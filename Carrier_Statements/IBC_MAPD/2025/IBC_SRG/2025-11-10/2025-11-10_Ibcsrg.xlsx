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127"/>
  <workbookPr filterPrivacy="1"/>
  <xr:revisionPtr revIDLastSave="0" documentId="13_ncr:1_{160A79DC-19E0-497A-9464-BCD86F856F7D}" xr6:coauthVersionLast="47" xr6:coauthVersionMax="47" xr10:uidLastSave="{00000000-0000-0000-0000-000000000000}"/>
  <bookViews>
    <workbookView xWindow="28680" yWindow="-120" windowWidth="29040" windowHeight="16440" activeTab="1" xr2:uid="{00000000-000D-0000-FFFF-FFFF00000000}"/>
  </bookViews>
  <sheets>
    <sheet name="Sheet1" sheetId="1" r:id="rId1"/>
    <sheet name="Sheet2" sheetId="2" r:id="rId2"/>
  </sheets>
  <calcPr calcId="181029"/>
</workbook>
</file>

<file path=xl/calcChain.xml><?xml version="1.0" encoding="utf-8"?>
<calcChain xmlns="http://schemas.openxmlformats.org/spreadsheetml/2006/main">
  <c r="K20" i="2" l="1"/>
  <c r="K19" i="2"/>
  <c r="K18" i="2"/>
  <c r="K17" i="2"/>
  <c r="K16" i="2"/>
  <c r="K15" i="2"/>
  <c r="K14" i="2"/>
  <c r="K13" i="2"/>
  <c r="K12" i="2"/>
  <c r="K11" i="2"/>
  <c r="K10" i="2"/>
  <c r="K9" i="2"/>
  <c r="K8" i="2"/>
  <c r="K7" i="2"/>
  <c r="K6" i="2"/>
  <c r="K5" i="2"/>
  <c r="K4" i="2"/>
  <c r="K3" i="2"/>
</calcChain>
</file>

<file path=xl/sharedStrings.xml><?xml version="1.0" encoding="utf-8"?>
<sst xmlns="http://schemas.openxmlformats.org/spreadsheetml/2006/main" count="493" uniqueCount="78">
  <si>
    <t>Post Date</t>
  </si>
  <si>
    <t>Pay Out Date</t>
  </si>
  <si>
    <t>Pay Type</t>
  </si>
  <si>
    <t>For</t>
  </si>
  <si>
    <t>Agency</t>
  </si>
  <si>
    <t>Agent</t>
  </si>
  <si>
    <t>Amount</t>
  </si>
  <si>
    <t>Agent NPN</t>
  </si>
  <si>
    <t>Carrier</t>
  </si>
  <si>
    <t>Carrier Policy ID</t>
  </si>
  <si>
    <t>MBI</t>
  </si>
  <si>
    <t>Plan Type</t>
  </si>
  <si>
    <t>Policy Holder</t>
  </si>
  <si>
    <t>Effective Date</t>
  </si>
  <si>
    <t>Term Date</t>
  </si>
  <si>
    <t>Notes</t>
  </si>
  <si>
    <t>2025-11-10</t>
  </si>
  <si>
    <t/>
  </si>
  <si>
    <t>Agent Pay</t>
  </si>
  <si>
    <t>MLB</t>
  </si>
  <si>
    <t>Hoffmann, Jason</t>
  </si>
  <si>
    <t>Ibc</t>
  </si>
  <si>
    <t>2XF7CM9XU48</t>
  </si>
  <si>
    <t>MAPD</t>
  </si>
  <si>
    <t>Czajka, Karen</t>
  </si>
  <si>
    <t>2025-12-01</t>
  </si>
  <si>
    <t>2025-12-31</t>
  </si>
  <si>
    <t>Agency Marketing Fee</t>
  </si>
  <si>
    <t>Foley, Carol</t>
  </si>
  <si>
    <t>1FT4FR7WF97</t>
  </si>
  <si>
    <t>Balcer, Eileen</t>
  </si>
  <si>
    <t>2025-06-01</t>
  </si>
  <si>
    <t>6Q54MT5WU09</t>
  </si>
  <si>
    <t>Balcer, James</t>
  </si>
  <si>
    <t>6UH1CX0NC96</t>
  </si>
  <si>
    <t>Bhakta, Arvind</t>
  </si>
  <si>
    <t>2026-01-01</t>
  </si>
  <si>
    <t>2G86XC4HN86</t>
  </si>
  <si>
    <t>Bhakta, Hemlata</t>
  </si>
  <si>
    <t>Kozacheck, Anne Marie</t>
  </si>
  <si>
    <t>7T31T35HY91</t>
  </si>
  <si>
    <t>Heffernan, Cheryl</t>
  </si>
  <si>
    <t>2025-08-01</t>
  </si>
  <si>
    <t>Richter, Peter</t>
  </si>
  <si>
    <t>3WR2HK2NW99</t>
  </si>
  <si>
    <t>Leeson, Gregory</t>
  </si>
  <si>
    <t>5TP1N20NG95</t>
  </si>
  <si>
    <t>Leeson, Janice</t>
  </si>
  <si>
    <t>9YM8PT7CA10</t>
  </si>
  <si>
    <t>Leibowitz, Steven</t>
  </si>
  <si>
    <t>2XH5R21XR88</t>
  </si>
  <si>
    <t>Menkins, John</t>
  </si>
  <si>
    <t>7C06FT3HQ61</t>
  </si>
  <si>
    <t>Raynor, Sharon</t>
  </si>
  <si>
    <t>6FP5XX3FR63</t>
  </si>
  <si>
    <t>Ryan, James</t>
  </si>
  <si>
    <t>7FV7NX4UM44</t>
  </si>
  <si>
    <t>Smith, Lynn</t>
  </si>
  <si>
    <t>2025-05-01</t>
  </si>
  <si>
    <t>2UE7EE3XD54</t>
  </si>
  <si>
    <t>Smith, Roger</t>
  </si>
  <si>
    <t>4Y07P67VM68</t>
  </si>
  <si>
    <t>Thompson, Gregory</t>
  </si>
  <si>
    <t>2025-09-01</t>
  </si>
  <si>
    <t>1W27VF1MW67</t>
  </si>
  <si>
    <t>Whelan Sr, Michael</t>
  </si>
  <si>
    <t>6GH4XG8DY03</t>
  </si>
  <si>
    <t>Facciolo, Francis</t>
  </si>
  <si>
    <t>2025-04-01</t>
  </si>
  <si>
    <t>1Y72R82VP27</t>
  </si>
  <si>
    <t>Mooney, Celia</t>
  </si>
  <si>
    <t>2025-01-01</t>
  </si>
  <si>
    <t>IBC MAPD 2025*</t>
  </si>
  <si>
    <t>[%/$=353][prorate=12/12]</t>
  </si>
  <si>
    <t>[%/$=353][prorate=9/12]</t>
  </si>
  <si>
    <t>[%/$=353][prorate=1/12]</t>
  </si>
  <si>
    <t>IBC MAPD OVR 2025</t>
  </si>
  <si>
    <t>Main Line Benefits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</si>
</sst>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22"/>
  <sheetViews>
    <sheetView workbookViewId="0">
      <selection activeCell="G1" sqref="G1:G1048576"/>
    </sheetView>
  </sheetViews>
  <sheetFormatPr defaultRowHeight="15" x14ac:dyDescent="0.25"/>
  <sheetData>
    <row r="1" spans="1:16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</row>
    <row r="2" spans="1:16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29.42</v>
      </c>
      <c r="H2">
        <v>17086692</v>
      </c>
      <c r="I2" t="s">
        <v>21</v>
      </c>
      <c r="J2">
        <v>51044314</v>
      </c>
      <c r="K2" t="s">
        <v>22</v>
      </c>
      <c r="L2" t="s">
        <v>23</v>
      </c>
      <c r="M2" t="s">
        <v>24</v>
      </c>
      <c r="N2" t="s">
        <v>25</v>
      </c>
      <c r="O2" t="s">
        <v>26</v>
      </c>
      <c r="P2" t="s">
        <v>17</v>
      </c>
    </row>
    <row r="3" spans="1:16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28</v>
      </c>
      <c r="G3">
        <v>60</v>
      </c>
      <c r="H3">
        <v>17086692</v>
      </c>
      <c r="I3" t="s">
        <v>21</v>
      </c>
      <c r="J3">
        <v>51040586</v>
      </c>
      <c r="K3" t="s">
        <v>29</v>
      </c>
      <c r="L3" t="s">
        <v>23</v>
      </c>
      <c r="M3" t="s">
        <v>30</v>
      </c>
      <c r="N3" t="s">
        <v>31</v>
      </c>
      <c r="O3" t="s">
        <v>17</v>
      </c>
      <c r="P3" t="s">
        <v>17</v>
      </c>
    </row>
    <row r="4" spans="1:16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28</v>
      </c>
      <c r="G4">
        <v>60</v>
      </c>
      <c r="H4">
        <v>17086692</v>
      </c>
      <c r="I4" t="s">
        <v>21</v>
      </c>
      <c r="J4">
        <v>51040579</v>
      </c>
      <c r="K4" t="s">
        <v>32</v>
      </c>
      <c r="L4" t="s">
        <v>23</v>
      </c>
      <c r="M4" t="s">
        <v>33</v>
      </c>
      <c r="N4" t="s">
        <v>31</v>
      </c>
      <c r="O4" t="s">
        <v>17</v>
      </c>
      <c r="P4" t="s">
        <v>17</v>
      </c>
    </row>
    <row r="5" spans="1:16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20</v>
      </c>
      <c r="G5">
        <v>60</v>
      </c>
      <c r="H5">
        <v>17086692</v>
      </c>
      <c r="I5" t="s">
        <v>21</v>
      </c>
      <c r="J5">
        <v>51022721</v>
      </c>
      <c r="K5" t="s">
        <v>34</v>
      </c>
      <c r="L5" t="s">
        <v>23</v>
      </c>
      <c r="M5" t="s">
        <v>35</v>
      </c>
      <c r="N5" t="s">
        <v>36</v>
      </c>
      <c r="O5" t="s">
        <v>17</v>
      </c>
      <c r="P5" t="s">
        <v>17</v>
      </c>
    </row>
    <row r="6" spans="1:16" x14ac:dyDescent="0.25">
      <c r="A6" t="s">
        <v>16</v>
      </c>
      <c r="B6" t="s">
        <v>16</v>
      </c>
      <c r="C6" t="s">
        <v>17</v>
      </c>
      <c r="D6" t="s">
        <v>27</v>
      </c>
      <c r="E6" t="s">
        <v>19</v>
      </c>
      <c r="F6" t="s">
        <v>20</v>
      </c>
      <c r="G6">
        <v>60</v>
      </c>
      <c r="H6">
        <v>17086692</v>
      </c>
      <c r="I6" t="s">
        <v>21</v>
      </c>
      <c r="J6">
        <v>51022734</v>
      </c>
      <c r="K6" t="s">
        <v>37</v>
      </c>
      <c r="L6" t="s">
        <v>23</v>
      </c>
      <c r="M6" t="s">
        <v>38</v>
      </c>
      <c r="N6" t="s">
        <v>36</v>
      </c>
      <c r="O6" t="s">
        <v>17</v>
      </c>
      <c r="P6" t="s">
        <v>17</v>
      </c>
    </row>
    <row r="7" spans="1:16" x14ac:dyDescent="0.25">
      <c r="A7" t="s">
        <v>16</v>
      </c>
      <c r="B7" t="s">
        <v>16</v>
      </c>
      <c r="C7" t="s">
        <v>17</v>
      </c>
      <c r="D7" t="s">
        <v>27</v>
      </c>
      <c r="E7" t="s">
        <v>19</v>
      </c>
      <c r="F7" t="s">
        <v>39</v>
      </c>
      <c r="G7">
        <v>60</v>
      </c>
      <c r="H7">
        <v>17086692</v>
      </c>
      <c r="I7" t="s">
        <v>21</v>
      </c>
      <c r="J7">
        <v>51040180</v>
      </c>
      <c r="K7" t="s">
        <v>40</v>
      </c>
      <c r="L7" t="s">
        <v>23</v>
      </c>
      <c r="M7" t="s">
        <v>41</v>
      </c>
      <c r="N7" t="s">
        <v>42</v>
      </c>
      <c r="O7" t="s">
        <v>17</v>
      </c>
      <c r="P7" t="s">
        <v>17</v>
      </c>
    </row>
    <row r="8" spans="1:16" x14ac:dyDescent="0.25">
      <c r="A8" t="s">
        <v>16</v>
      </c>
      <c r="B8" t="s">
        <v>16</v>
      </c>
      <c r="C8" t="s">
        <v>17</v>
      </c>
      <c r="D8" t="s">
        <v>27</v>
      </c>
      <c r="E8" t="s">
        <v>19</v>
      </c>
      <c r="F8" t="s">
        <v>43</v>
      </c>
      <c r="G8">
        <v>60</v>
      </c>
      <c r="H8">
        <v>17086692</v>
      </c>
      <c r="I8" t="s">
        <v>21</v>
      </c>
      <c r="J8">
        <v>50119987</v>
      </c>
      <c r="K8" t="s">
        <v>44</v>
      </c>
      <c r="L8" t="s">
        <v>23</v>
      </c>
      <c r="M8" t="s">
        <v>45</v>
      </c>
      <c r="N8" t="s">
        <v>36</v>
      </c>
      <c r="O8" t="s">
        <v>17</v>
      </c>
      <c r="P8" t="s">
        <v>17</v>
      </c>
    </row>
    <row r="9" spans="1:16" x14ac:dyDescent="0.25">
      <c r="A9" t="s">
        <v>16</v>
      </c>
      <c r="B9" t="s">
        <v>16</v>
      </c>
      <c r="C9" t="s">
        <v>17</v>
      </c>
      <c r="D9" t="s">
        <v>27</v>
      </c>
      <c r="E9" t="s">
        <v>19</v>
      </c>
      <c r="F9" t="s">
        <v>43</v>
      </c>
      <c r="G9">
        <v>60</v>
      </c>
      <c r="H9">
        <v>17086692</v>
      </c>
      <c r="I9" t="s">
        <v>21</v>
      </c>
      <c r="J9">
        <v>50120035</v>
      </c>
      <c r="K9" t="s">
        <v>46</v>
      </c>
      <c r="L9" t="s">
        <v>23</v>
      </c>
      <c r="M9" t="s">
        <v>47</v>
      </c>
      <c r="N9" t="s">
        <v>36</v>
      </c>
      <c r="O9" t="s">
        <v>17</v>
      </c>
      <c r="P9" t="s">
        <v>17</v>
      </c>
    </row>
    <row r="10" spans="1:16" x14ac:dyDescent="0.25">
      <c r="A10" t="s">
        <v>16</v>
      </c>
      <c r="B10" t="s">
        <v>16</v>
      </c>
      <c r="C10" t="s">
        <v>17</v>
      </c>
      <c r="D10" t="s">
        <v>27</v>
      </c>
      <c r="E10" t="s">
        <v>19</v>
      </c>
      <c r="F10" t="s">
        <v>20</v>
      </c>
      <c r="G10">
        <v>60</v>
      </c>
      <c r="H10">
        <v>17086692</v>
      </c>
      <c r="I10" t="s">
        <v>21</v>
      </c>
      <c r="J10">
        <v>51017846</v>
      </c>
      <c r="K10" t="s">
        <v>48</v>
      </c>
      <c r="L10" t="s">
        <v>23</v>
      </c>
      <c r="M10" t="s">
        <v>49</v>
      </c>
      <c r="N10" t="s">
        <v>36</v>
      </c>
      <c r="O10" t="s">
        <v>17</v>
      </c>
      <c r="P10" t="s">
        <v>17</v>
      </c>
    </row>
    <row r="11" spans="1:16" x14ac:dyDescent="0.25">
      <c r="A11" t="s">
        <v>16</v>
      </c>
      <c r="B11" t="s">
        <v>16</v>
      </c>
      <c r="C11" t="s">
        <v>17</v>
      </c>
      <c r="D11" t="s">
        <v>27</v>
      </c>
      <c r="E11" t="s">
        <v>19</v>
      </c>
      <c r="F11" t="s">
        <v>20</v>
      </c>
      <c r="G11">
        <v>60</v>
      </c>
      <c r="H11">
        <v>17086692</v>
      </c>
      <c r="I11" t="s">
        <v>21</v>
      </c>
      <c r="J11">
        <v>51037754</v>
      </c>
      <c r="K11" t="s">
        <v>50</v>
      </c>
      <c r="L11" t="s">
        <v>23</v>
      </c>
      <c r="M11" t="s">
        <v>51</v>
      </c>
      <c r="N11" t="s">
        <v>36</v>
      </c>
      <c r="O11" t="s">
        <v>17</v>
      </c>
      <c r="P11" t="s">
        <v>17</v>
      </c>
    </row>
    <row r="12" spans="1:16" x14ac:dyDescent="0.25">
      <c r="A12" t="s">
        <v>16</v>
      </c>
      <c r="B12" t="s">
        <v>16</v>
      </c>
      <c r="C12" t="s">
        <v>17</v>
      </c>
      <c r="D12" t="s">
        <v>27</v>
      </c>
      <c r="E12" t="s">
        <v>19</v>
      </c>
      <c r="F12" t="s">
        <v>39</v>
      </c>
      <c r="G12">
        <v>60</v>
      </c>
      <c r="H12">
        <v>17086692</v>
      </c>
      <c r="I12" t="s">
        <v>21</v>
      </c>
      <c r="J12">
        <v>51034947</v>
      </c>
      <c r="K12" t="s">
        <v>52</v>
      </c>
      <c r="L12" t="s">
        <v>23</v>
      </c>
      <c r="M12" t="s">
        <v>53</v>
      </c>
      <c r="N12" t="s">
        <v>36</v>
      </c>
      <c r="O12" t="s">
        <v>17</v>
      </c>
      <c r="P12" t="s">
        <v>17</v>
      </c>
    </row>
    <row r="13" spans="1:16" x14ac:dyDescent="0.25">
      <c r="A13" t="s">
        <v>16</v>
      </c>
      <c r="B13" t="s">
        <v>16</v>
      </c>
      <c r="C13" t="s">
        <v>17</v>
      </c>
      <c r="D13" t="s">
        <v>27</v>
      </c>
      <c r="E13" t="s">
        <v>19</v>
      </c>
      <c r="F13" t="s">
        <v>39</v>
      </c>
      <c r="G13">
        <v>60</v>
      </c>
      <c r="H13">
        <v>17086692</v>
      </c>
      <c r="I13" t="s">
        <v>21</v>
      </c>
      <c r="J13">
        <v>50141052</v>
      </c>
      <c r="K13" t="s">
        <v>54</v>
      </c>
      <c r="L13" t="s">
        <v>23</v>
      </c>
      <c r="M13" t="s">
        <v>55</v>
      </c>
      <c r="N13" t="s">
        <v>36</v>
      </c>
      <c r="O13" t="s">
        <v>17</v>
      </c>
      <c r="P13" t="s">
        <v>17</v>
      </c>
    </row>
    <row r="14" spans="1:16" x14ac:dyDescent="0.25">
      <c r="A14" t="s">
        <v>16</v>
      </c>
      <c r="B14" t="s">
        <v>16</v>
      </c>
      <c r="C14" t="s">
        <v>17</v>
      </c>
      <c r="D14" t="s">
        <v>27</v>
      </c>
      <c r="E14" t="s">
        <v>19</v>
      </c>
      <c r="F14" t="s">
        <v>20</v>
      </c>
      <c r="G14">
        <v>60</v>
      </c>
      <c r="H14">
        <v>17086692</v>
      </c>
      <c r="I14" t="s">
        <v>21</v>
      </c>
      <c r="J14">
        <v>51040079</v>
      </c>
      <c r="K14" t="s">
        <v>56</v>
      </c>
      <c r="L14" t="s">
        <v>23</v>
      </c>
      <c r="M14" t="s">
        <v>57</v>
      </c>
      <c r="N14" t="s">
        <v>58</v>
      </c>
      <c r="O14" t="s">
        <v>17</v>
      </c>
      <c r="P14" t="s">
        <v>17</v>
      </c>
    </row>
    <row r="15" spans="1:16" x14ac:dyDescent="0.25">
      <c r="A15" t="s">
        <v>16</v>
      </c>
      <c r="B15" t="s">
        <v>16</v>
      </c>
      <c r="C15" t="s">
        <v>17</v>
      </c>
      <c r="D15" t="s">
        <v>27</v>
      </c>
      <c r="E15" t="s">
        <v>19</v>
      </c>
      <c r="F15" t="s">
        <v>39</v>
      </c>
      <c r="G15">
        <v>60</v>
      </c>
      <c r="H15">
        <v>17086692</v>
      </c>
      <c r="I15" t="s">
        <v>21</v>
      </c>
      <c r="J15">
        <v>50141664</v>
      </c>
      <c r="K15" t="s">
        <v>59</v>
      </c>
      <c r="L15" t="s">
        <v>23</v>
      </c>
      <c r="M15" t="s">
        <v>60</v>
      </c>
      <c r="N15" t="s">
        <v>36</v>
      </c>
      <c r="O15" t="s">
        <v>17</v>
      </c>
      <c r="P15" t="s">
        <v>17</v>
      </c>
    </row>
    <row r="16" spans="1:16" x14ac:dyDescent="0.25">
      <c r="A16" t="s">
        <v>16</v>
      </c>
      <c r="B16" t="s">
        <v>16</v>
      </c>
      <c r="C16" t="s">
        <v>17</v>
      </c>
      <c r="D16" t="s">
        <v>27</v>
      </c>
      <c r="E16" t="s">
        <v>19</v>
      </c>
      <c r="F16" t="s">
        <v>39</v>
      </c>
      <c r="G16">
        <v>60</v>
      </c>
      <c r="H16">
        <v>17086692</v>
      </c>
      <c r="I16" t="s">
        <v>21</v>
      </c>
      <c r="J16">
        <v>51043203</v>
      </c>
      <c r="K16" t="s">
        <v>61</v>
      </c>
      <c r="L16" t="s">
        <v>23</v>
      </c>
      <c r="M16" t="s">
        <v>62</v>
      </c>
      <c r="N16" t="s">
        <v>63</v>
      </c>
      <c r="O16" t="s">
        <v>17</v>
      </c>
      <c r="P16" t="s">
        <v>17</v>
      </c>
    </row>
    <row r="17" spans="1:16" x14ac:dyDescent="0.25">
      <c r="A17" t="s">
        <v>16</v>
      </c>
      <c r="B17" t="s">
        <v>16</v>
      </c>
      <c r="C17" t="s">
        <v>17</v>
      </c>
      <c r="D17" t="s">
        <v>27</v>
      </c>
      <c r="E17" t="s">
        <v>19</v>
      </c>
      <c r="F17" t="s">
        <v>28</v>
      </c>
      <c r="G17">
        <v>60</v>
      </c>
      <c r="H17">
        <v>17086692</v>
      </c>
      <c r="I17" t="s">
        <v>21</v>
      </c>
      <c r="J17">
        <v>51041938</v>
      </c>
      <c r="K17" t="s">
        <v>64</v>
      </c>
      <c r="L17" t="s">
        <v>23</v>
      </c>
      <c r="M17" t="s">
        <v>65</v>
      </c>
      <c r="N17" t="s">
        <v>63</v>
      </c>
      <c r="O17" t="s">
        <v>17</v>
      </c>
      <c r="P17" t="s">
        <v>17</v>
      </c>
    </row>
    <row r="18" spans="1:16" x14ac:dyDescent="0.25">
      <c r="A18" t="s">
        <v>16</v>
      </c>
      <c r="B18" t="s">
        <v>16</v>
      </c>
      <c r="C18" t="s">
        <v>17</v>
      </c>
      <c r="D18" t="s">
        <v>27</v>
      </c>
      <c r="E18" t="s">
        <v>19</v>
      </c>
      <c r="F18" t="s">
        <v>20</v>
      </c>
      <c r="G18">
        <v>150</v>
      </c>
      <c r="H18">
        <v>17086692</v>
      </c>
      <c r="I18" t="s">
        <v>21</v>
      </c>
      <c r="J18">
        <v>51044314</v>
      </c>
      <c r="K18" t="s">
        <v>22</v>
      </c>
      <c r="L18" t="s">
        <v>23</v>
      </c>
      <c r="M18" t="s">
        <v>24</v>
      </c>
      <c r="N18" t="s">
        <v>25</v>
      </c>
      <c r="O18" t="s">
        <v>26</v>
      </c>
      <c r="P18" t="s">
        <v>17</v>
      </c>
    </row>
    <row r="19" spans="1:16" x14ac:dyDescent="0.25">
      <c r="A19" t="s">
        <v>16</v>
      </c>
      <c r="B19" t="s">
        <v>16</v>
      </c>
      <c r="C19" t="s">
        <v>17</v>
      </c>
      <c r="D19" t="s">
        <v>27</v>
      </c>
      <c r="E19" t="s">
        <v>19</v>
      </c>
      <c r="F19" t="s">
        <v>43</v>
      </c>
      <c r="G19">
        <v>150</v>
      </c>
      <c r="H19">
        <v>17086692</v>
      </c>
      <c r="I19" t="s">
        <v>21</v>
      </c>
      <c r="J19">
        <v>50013881</v>
      </c>
      <c r="K19" t="s">
        <v>66</v>
      </c>
      <c r="L19" t="s">
        <v>23</v>
      </c>
      <c r="M19" t="s">
        <v>67</v>
      </c>
      <c r="N19" t="s">
        <v>68</v>
      </c>
      <c r="O19" t="s">
        <v>26</v>
      </c>
      <c r="P19" t="s">
        <v>17</v>
      </c>
    </row>
    <row r="20" spans="1:16" x14ac:dyDescent="0.25">
      <c r="A20" t="s">
        <v>16</v>
      </c>
      <c r="B20" t="s">
        <v>16</v>
      </c>
      <c r="C20" t="s">
        <v>17</v>
      </c>
      <c r="D20" t="s">
        <v>27</v>
      </c>
      <c r="E20" t="s">
        <v>19</v>
      </c>
      <c r="F20" t="s">
        <v>28</v>
      </c>
      <c r="G20">
        <v>150</v>
      </c>
      <c r="H20">
        <v>17086692</v>
      </c>
      <c r="I20" t="s">
        <v>21</v>
      </c>
      <c r="J20">
        <v>50062555</v>
      </c>
      <c r="K20" t="s">
        <v>69</v>
      </c>
      <c r="L20" t="s">
        <v>23</v>
      </c>
      <c r="M20" t="s">
        <v>70</v>
      </c>
      <c r="N20" t="s">
        <v>71</v>
      </c>
      <c r="O20" t="s">
        <v>26</v>
      </c>
      <c r="P20" t="s">
        <v>17</v>
      </c>
    </row>
    <row r="21" spans="1:16" x14ac:dyDescent="0.25">
      <c r="A21" t="s">
        <v>16</v>
      </c>
      <c r="B21" t="s">
        <v>16</v>
      </c>
      <c r="C21" t="s">
        <v>17</v>
      </c>
      <c r="D21" t="s">
        <v>18</v>
      </c>
      <c r="E21" t="s">
        <v>19</v>
      </c>
      <c r="F21" t="s">
        <v>43</v>
      </c>
      <c r="G21">
        <v>264.75</v>
      </c>
      <c r="H21">
        <v>17086692</v>
      </c>
      <c r="I21" t="s">
        <v>21</v>
      </c>
      <c r="J21">
        <v>50013881</v>
      </c>
      <c r="K21" t="s">
        <v>66</v>
      </c>
      <c r="L21" t="s">
        <v>23</v>
      </c>
      <c r="M21" t="s">
        <v>67</v>
      </c>
      <c r="N21" t="s">
        <v>68</v>
      </c>
      <c r="O21" t="s">
        <v>26</v>
      </c>
      <c r="P21" t="s">
        <v>17</v>
      </c>
    </row>
    <row r="22" spans="1:16" x14ac:dyDescent="0.25">
      <c r="A22" t="s">
        <v>16</v>
      </c>
      <c r="B22" t="s">
        <v>16</v>
      </c>
      <c r="C22" t="s">
        <v>17</v>
      </c>
      <c r="D22" t="s">
        <v>18</v>
      </c>
      <c r="E22" t="s">
        <v>19</v>
      </c>
      <c r="F22" t="s">
        <v>28</v>
      </c>
      <c r="G22">
        <v>353</v>
      </c>
      <c r="H22">
        <v>17086692</v>
      </c>
      <c r="I22" t="s">
        <v>21</v>
      </c>
      <c r="J22">
        <v>50062555</v>
      </c>
      <c r="K22" t="s">
        <v>69</v>
      </c>
      <c r="L22" t="s">
        <v>23</v>
      </c>
      <c r="M22" t="s">
        <v>70</v>
      </c>
      <c r="N22" t="s">
        <v>71</v>
      </c>
      <c r="O22" t="s">
        <v>26</v>
      </c>
      <c r="P22" t="s">
        <v>17</v>
      </c>
    </row>
  </sheetData>
  <pageMargins left="0.7" right="0.7" top="0.75" bottom="0.75" header="0.3" footer="0.3"/>
  <pageSetup orientation="portrait" horizontalDpi="4294967295" verticalDpi="429496729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75D44E3-1E6D-4FB9-AA30-A78E48A25118}">
  <dimension ref="A1:O22"/>
  <sheetViews>
    <sheetView tabSelected="1" workbookViewId="0">
      <selection activeCell="K8" sqref="K8"/>
    </sheetView>
  </sheetViews>
  <sheetFormatPr defaultRowHeight="15" x14ac:dyDescent="0.25"/>
  <cols>
    <col min="1" max="1" width="10.42578125" bestFit="1" customWidth="1"/>
    <col min="2" max="2" width="12.42578125" bestFit="1" customWidth="1"/>
    <col min="3" max="3" width="8.85546875" bestFit="1" customWidth="1"/>
    <col min="4" max="4" width="20.85546875" bestFit="1" customWidth="1"/>
    <col min="5" max="5" width="7.42578125" bestFit="1" customWidth="1"/>
    <col min="6" max="6" width="21.85546875" bestFit="1" customWidth="1"/>
    <col min="7" max="7" width="8.140625" bestFit="1" customWidth="1"/>
    <col min="8" max="8" width="10.7109375" bestFit="1" customWidth="1"/>
    <col min="9" max="9" width="7" bestFit="1" customWidth="1"/>
    <col min="10" max="10" width="15.140625" bestFit="1" customWidth="1"/>
    <col min="11" max="11" width="15.140625" customWidth="1"/>
    <col min="12" max="12" width="18.5703125" bestFit="1" customWidth="1"/>
    <col min="13" max="13" width="13.5703125" bestFit="1" customWidth="1"/>
    <col min="14" max="14" width="15.28515625" bestFit="1" customWidth="1"/>
  </cols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L1" t="s">
        <v>12</v>
      </c>
      <c r="M1" t="s">
        <v>13</v>
      </c>
    </row>
    <row r="2" spans="1:15" x14ac:dyDescent="0.25">
      <c r="A2" t="s">
        <v>16</v>
      </c>
      <c r="B2" t="s">
        <v>16</v>
      </c>
      <c r="C2" t="s">
        <v>17</v>
      </c>
      <c r="D2" t="s">
        <v>18</v>
      </c>
      <c r="E2" t="s">
        <v>19</v>
      </c>
      <c r="F2" t="s">
        <v>20</v>
      </c>
      <c r="G2">
        <v>29.42</v>
      </c>
      <c r="H2">
        <v>15278437</v>
      </c>
      <c r="I2" t="s">
        <v>21</v>
      </c>
      <c r="J2">
        <v>51044314</v>
      </c>
      <c r="K2">
        <v>51044314</v>
      </c>
      <c r="L2" t="s">
        <v>24</v>
      </c>
      <c r="M2" s="1">
        <v>45992</v>
      </c>
      <c r="N2" t="s">
        <v>72</v>
      </c>
      <c r="O2" t="s">
        <v>75</v>
      </c>
    </row>
    <row r="3" spans="1:15" x14ac:dyDescent="0.25">
      <c r="A3" t="s">
        <v>16</v>
      </c>
      <c r="B3" t="s">
        <v>16</v>
      </c>
      <c r="C3" t="s">
        <v>17</v>
      </c>
      <c r="D3" t="s">
        <v>27</v>
      </c>
      <c r="E3" t="s">
        <v>19</v>
      </c>
      <c r="F3" t="s">
        <v>77</v>
      </c>
      <c r="G3">
        <v>60</v>
      </c>
      <c r="H3">
        <v>20411454</v>
      </c>
      <c r="I3" t="s">
        <v>21</v>
      </c>
      <c r="J3">
        <v>51040586</v>
      </c>
      <c r="K3" t="str">
        <f>CONCATENATE(J3,"OVR")</f>
        <v>51040586OVR</v>
      </c>
      <c r="L3" t="s">
        <v>30</v>
      </c>
      <c r="M3" s="1">
        <v>45809</v>
      </c>
      <c r="N3" t="s">
        <v>76</v>
      </c>
    </row>
    <row r="4" spans="1:15" x14ac:dyDescent="0.25">
      <c r="A4" t="s">
        <v>16</v>
      </c>
      <c r="B4" t="s">
        <v>16</v>
      </c>
      <c r="C4" t="s">
        <v>17</v>
      </c>
      <c r="D4" t="s">
        <v>27</v>
      </c>
      <c r="E4" t="s">
        <v>19</v>
      </c>
      <c r="F4" t="s">
        <v>77</v>
      </c>
      <c r="G4">
        <v>60</v>
      </c>
      <c r="H4">
        <v>20411454</v>
      </c>
      <c r="I4" t="s">
        <v>21</v>
      </c>
      <c r="J4">
        <v>51040579</v>
      </c>
      <c r="K4" t="str">
        <f t="shared" ref="K4:K20" si="0">CONCATENATE(J4,"OVR")</f>
        <v>51040579OVR</v>
      </c>
      <c r="L4" t="s">
        <v>33</v>
      </c>
      <c r="M4" s="1">
        <v>45809</v>
      </c>
      <c r="N4" t="s">
        <v>76</v>
      </c>
    </row>
    <row r="5" spans="1:15" x14ac:dyDescent="0.25">
      <c r="A5" t="s">
        <v>16</v>
      </c>
      <c r="B5" t="s">
        <v>16</v>
      </c>
      <c r="C5" t="s">
        <v>17</v>
      </c>
      <c r="D5" t="s">
        <v>27</v>
      </c>
      <c r="E5" t="s">
        <v>19</v>
      </c>
      <c r="F5" t="s">
        <v>77</v>
      </c>
      <c r="G5">
        <v>60</v>
      </c>
      <c r="H5">
        <v>20411454</v>
      </c>
      <c r="I5" t="s">
        <v>21</v>
      </c>
      <c r="J5">
        <v>51022721</v>
      </c>
      <c r="K5" t="str">
        <f t="shared" si="0"/>
        <v>51022721OVR</v>
      </c>
      <c r="L5" t="s">
        <v>35</v>
      </c>
      <c r="M5" s="1">
        <v>46023</v>
      </c>
      <c r="N5" t="s">
        <v>76</v>
      </c>
    </row>
    <row r="6" spans="1:15" x14ac:dyDescent="0.25">
      <c r="A6" t="s">
        <v>16</v>
      </c>
      <c r="B6" t="s">
        <v>16</v>
      </c>
      <c r="C6" t="s">
        <v>17</v>
      </c>
      <c r="D6" t="s">
        <v>27</v>
      </c>
      <c r="E6" t="s">
        <v>19</v>
      </c>
      <c r="F6" t="s">
        <v>77</v>
      </c>
      <c r="G6">
        <v>60</v>
      </c>
      <c r="H6">
        <v>20411454</v>
      </c>
      <c r="I6" t="s">
        <v>21</v>
      </c>
      <c r="J6">
        <v>51022734</v>
      </c>
      <c r="K6" t="str">
        <f t="shared" si="0"/>
        <v>51022734OVR</v>
      </c>
      <c r="L6" t="s">
        <v>38</v>
      </c>
      <c r="M6" s="1">
        <v>46023</v>
      </c>
      <c r="N6" t="s">
        <v>76</v>
      </c>
    </row>
    <row r="7" spans="1:15" x14ac:dyDescent="0.25">
      <c r="A7" t="s">
        <v>16</v>
      </c>
      <c r="B7" t="s">
        <v>16</v>
      </c>
      <c r="C7" t="s">
        <v>17</v>
      </c>
      <c r="D7" t="s">
        <v>27</v>
      </c>
      <c r="E7" t="s">
        <v>19</v>
      </c>
      <c r="F7" t="s">
        <v>77</v>
      </c>
      <c r="G7">
        <v>60</v>
      </c>
      <c r="H7">
        <v>20411454</v>
      </c>
      <c r="I7" t="s">
        <v>21</v>
      </c>
      <c r="J7">
        <v>51040180</v>
      </c>
      <c r="K7" t="str">
        <f t="shared" si="0"/>
        <v>51040180OVR</v>
      </c>
      <c r="L7" t="s">
        <v>41</v>
      </c>
      <c r="M7" s="1">
        <v>45870</v>
      </c>
      <c r="N7" t="s">
        <v>76</v>
      </c>
    </row>
    <row r="8" spans="1:15" x14ac:dyDescent="0.25">
      <c r="A8" t="s">
        <v>16</v>
      </c>
      <c r="B8" t="s">
        <v>16</v>
      </c>
      <c r="C8" t="s">
        <v>17</v>
      </c>
      <c r="D8" t="s">
        <v>27</v>
      </c>
      <c r="E8" t="s">
        <v>19</v>
      </c>
      <c r="F8" t="s">
        <v>77</v>
      </c>
      <c r="G8">
        <v>60</v>
      </c>
      <c r="H8">
        <v>20411454</v>
      </c>
      <c r="I8" t="s">
        <v>21</v>
      </c>
      <c r="J8">
        <v>50119987</v>
      </c>
      <c r="K8" t="str">
        <f t="shared" si="0"/>
        <v>50119987OVR</v>
      </c>
      <c r="L8" t="s">
        <v>45</v>
      </c>
      <c r="M8" s="1">
        <v>46023</v>
      </c>
      <c r="N8" t="s">
        <v>76</v>
      </c>
    </row>
    <row r="9" spans="1:15" x14ac:dyDescent="0.25">
      <c r="A9" t="s">
        <v>16</v>
      </c>
      <c r="B9" t="s">
        <v>16</v>
      </c>
      <c r="C9" t="s">
        <v>17</v>
      </c>
      <c r="D9" t="s">
        <v>27</v>
      </c>
      <c r="E9" t="s">
        <v>19</v>
      </c>
      <c r="F9" t="s">
        <v>77</v>
      </c>
      <c r="G9">
        <v>60</v>
      </c>
      <c r="H9">
        <v>20411454</v>
      </c>
      <c r="I9" t="s">
        <v>21</v>
      </c>
      <c r="J9">
        <v>50120035</v>
      </c>
      <c r="K9" t="str">
        <f t="shared" si="0"/>
        <v>50120035OVR</v>
      </c>
      <c r="L9" t="s">
        <v>47</v>
      </c>
      <c r="M9" s="1">
        <v>46023</v>
      </c>
      <c r="N9" t="s">
        <v>76</v>
      </c>
    </row>
    <row r="10" spans="1:15" x14ac:dyDescent="0.25">
      <c r="A10" t="s">
        <v>16</v>
      </c>
      <c r="B10" t="s">
        <v>16</v>
      </c>
      <c r="C10" t="s">
        <v>17</v>
      </c>
      <c r="D10" t="s">
        <v>27</v>
      </c>
      <c r="E10" t="s">
        <v>19</v>
      </c>
      <c r="F10" t="s">
        <v>77</v>
      </c>
      <c r="G10">
        <v>60</v>
      </c>
      <c r="H10">
        <v>20411454</v>
      </c>
      <c r="I10" t="s">
        <v>21</v>
      </c>
      <c r="J10">
        <v>51017846</v>
      </c>
      <c r="K10" t="str">
        <f t="shared" si="0"/>
        <v>51017846OVR</v>
      </c>
      <c r="L10" t="s">
        <v>49</v>
      </c>
      <c r="M10" s="1">
        <v>46023</v>
      </c>
      <c r="N10" t="s">
        <v>76</v>
      </c>
    </row>
    <row r="11" spans="1:15" x14ac:dyDescent="0.25">
      <c r="A11" t="s">
        <v>16</v>
      </c>
      <c r="B11" t="s">
        <v>16</v>
      </c>
      <c r="C11" t="s">
        <v>17</v>
      </c>
      <c r="D11" t="s">
        <v>27</v>
      </c>
      <c r="E11" t="s">
        <v>19</v>
      </c>
      <c r="F11" t="s">
        <v>77</v>
      </c>
      <c r="G11">
        <v>60</v>
      </c>
      <c r="H11">
        <v>20411454</v>
      </c>
      <c r="I11" t="s">
        <v>21</v>
      </c>
      <c r="J11">
        <v>51037754</v>
      </c>
      <c r="K11" t="str">
        <f t="shared" si="0"/>
        <v>51037754OVR</v>
      </c>
      <c r="L11" t="s">
        <v>51</v>
      </c>
      <c r="M11" s="1">
        <v>46023</v>
      </c>
      <c r="N11" t="s">
        <v>76</v>
      </c>
    </row>
    <row r="12" spans="1:15" x14ac:dyDescent="0.25">
      <c r="A12" t="s">
        <v>16</v>
      </c>
      <c r="B12" t="s">
        <v>16</v>
      </c>
      <c r="C12" t="s">
        <v>17</v>
      </c>
      <c r="D12" t="s">
        <v>27</v>
      </c>
      <c r="E12" t="s">
        <v>19</v>
      </c>
      <c r="F12" t="s">
        <v>77</v>
      </c>
      <c r="G12">
        <v>60</v>
      </c>
      <c r="H12">
        <v>20411454</v>
      </c>
      <c r="I12" t="s">
        <v>21</v>
      </c>
      <c r="J12">
        <v>51034947</v>
      </c>
      <c r="K12" t="str">
        <f t="shared" si="0"/>
        <v>51034947OVR</v>
      </c>
      <c r="L12" t="s">
        <v>53</v>
      </c>
      <c r="M12" s="1">
        <v>46023</v>
      </c>
      <c r="N12" t="s">
        <v>76</v>
      </c>
    </row>
    <row r="13" spans="1:15" x14ac:dyDescent="0.25">
      <c r="A13" t="s">
        <v>16</v>
      </c>
      <c r="B13" t="s">
        <v>16</v>
      </c>
      <c r="C13" t="s">
        <v>17</v>
      </c>
      <c r="D13" t="s">
        <v>27</v>
      </c>
      <c r="E13" t="s">
        <v>19</v>
      </c>
      <c r="F13" t="s">
        <v>77</v>
      </c>
      <c r="G13">
        <v>60</v>
      </c>
      <c r="H13">
        <v>20411454</v>
      </c>
      <c r="I13" t="s">
        <v>21</v>
      </c>
      <c r="J13">
        <v>50141052</v>
      </c>
      <c r="K13" t="str">
        <f t="shared" si="0"/>
        <v>50141052OVR</v>
      </c>
      <c r="L13" t="s">
        <v>55</v>
      </c>
      <c r="M13" s="1">
        <v>46023</v>
      </c>
      <c r="N13" t="s">
        <v>76</v>
      </c>
    </row>
    <row r="14" spans="1:15" x14ac:dyDescent="0.25">
      <c r="A14" t="s">
        <v>16</v>
      </c>
      <c r="B14" t="s">
        <v>16</v>
      </c>
      <c r="C14" t="s">
        <v>17</v>
      </c>
      <c r="D14" t="s">
        <v>27</v>
      </c>
      <c r="E14" t="s">
        <v>19</v>
      </c>
      <c r="F14" t="s">
        <v>77</v>
      </c>
      <c r="G14">
        <v>60</v>
      </c>
      <c r="H14">
        <v>20411454</v>
      </c>
      <c r="I14" t="s">
        <v>21</v>
      </c>
      <c r="J14">
        <v>51040079</v>
      </c>
      <c r="K14" t="str">
        <f t="shared" si="0"/>
        <v>51040079OVR</v>
      </c>
      <c r="L14" t="s">
        <v>57</v>
      </c>
      <c r="M14" s="1">
        <v>45778</v>
      </c>
      <c r="N14" t="s">
        <v>76</v>
      </c>
    </row>
    <row r="15" spans="1:15" x14ac:dyDescent="0.25">
      <c r="A15" t="s">
        <v>16</v>
      </c>
      <c r="B15" t="s">
        <v>16</v>
      </c>
      <c r="C15" t="s">
        <v>17</v>
      </c>
      <c r="D15" t="s">
        <v>27</v>
      </c>
      <c r="E15" t="s">
        <v>19</v>
      </c>
      <c r="F15" t="s">
        <v>77</v>
      </c>
      <c r="G15">
        <v>60</v>
      </c>
      <c r="H15">
        <v>20411454</v>
      </c>
      <c r="I15" t="s">
        <v>21</v>
      </c>
      <c r="J15">
        <v>50141664</v>
      </c>
      <c r="K15" t="str">
        <f t="shared" si="0"/>
        <v>50141664OVR</v>
      </c>
      <c r="L15" t="s">
        <v>60</v>
      </c>
      <c r="M15" s="1">
        <v>46023</v>
      </c>
      <c r="N15" t="s">
        <v>76</v>
      </c>
    </row>
    <row r="16" spans="1:15" x14ac:dyDescent="0.25">
      <c r="A16" t="s">
        <v>16</v>
      </c>
      <c r="B16" t="s">
        <v>16</v>
      </c>
      <c r="C16" t="s">
        <v>17</v>
      </c>
      <c r="D16" t="s">
        <v>27</v>
      </c>
      <c r="E16" t="s">
        <v>19</v>
      </c>
      <c r="F16" t="s">
        <v>77</v>
      </c>
      <c r="G16">
        <v>60</v>
      </c>
      <c r="H16">
        <v>20411454</v>
      </c>
      <c r="I16" t="s">
        <v>21</v>
      </c>
      <c r="J16">
        <v>51043203</v>
      </c>
      <c r="K16" t="str">
        <f t="shared" si="0"/>
        <v>51043203OVR</v>
      </c>
      <c r="L16" t="s">
        <v>62</v>
      </c>
      <c r="M16" s="1">
        <v>45901</v>
      </c>
      <c r="N16" t="s">
        <v>76</v>
      </c>
    </row>
    <row r="17" spans="1:15" x14ac:dyDescent="0.25">
      <c r="A17" t="s">
        <v>16</v>
      </c>
      <c r="B17" t="s">
        <v>16</v>
      </c>
      <c r="C17" t="s">
        <v>17</v>
      </c>
      <c r="D17" t="s">
        <v>27</v>
      </c>
      <c r="E17" t="s">
        <v>19</v>
      </c>
      <c r="F17" t="s">
        <v>77</v>
      </c>
      <c r="G17">
        <v>60</v>
      </c>
      <c r="H17">
        <v>20411454</v>
      </c>
      <c r="I17" t="s">
        <v>21</v>
      </c>
      <c r="J17">
        <v>51041938</v>
      </c>
      <c r="K17" t="str">
        <f t="shared" si="0"/>
        <v>51041938OVR</v>
      </c>
      <c r="L17" t="s">
        <v>65</v>
      </c>
      <c r="M17" s="1">
        <v>45901</v>
      </c>
      <c r="N17" t="s">
        <v>76</v>
      </c>
    </row>
    <row r="18" spans="1:15" x14ac:dyDescent="0.25">
      <c r="A18" t="s">
        <v>16</v>
      </c>
      <c r="B18" t="s">
        <v>16</v>
      </c>
      <c r="C18" t="s">
        <v>17</v>
      </c>
      <c r="D18" t="s">
        <v>27</v>
      </c>
      <c r="E18" t="s">
        <v>19</v>
      </c>
      <c r="F18" t="s">
        <v>77</v>
      </c>
      <c r="G18">
        <v>150</v>
      </c>
      <c r="H18">
        <v>20411454</v>
      </c>
      <c r="I18" t="s">
        <v>21</v>
      </c>
      <c r="J18">
        <v>51044314</v>
      </c>
      <c r="K18" t="str">
        <f t="shared" si="0"/>
        <v>51044314OVR</v>
      </c>
      <c r="L18" t="s">
        <v>24</v>
      </c>
      <c r="M18" s="1">
        <v>45992</v>
      </c>
      <c r="N18" t="s">
        <v>76</v>
      </c>
    </row>
    <row r="19" spans="1:15" x14ac:dyDescent="0.25">
      <c r="A19" t="s">
        <v>16</v>
      </c>
      <c r="B19" t="s">
        <v>16</v>
      </c>
      <c r="C19" t="s">
        <v>17</v>
      </c>
      <c r="D19" t="s">
        <v>27</v>
      </c>
      <c r="E19" t="s">
        <v>19</v>
      </c>
      <c r="F19" t="s">
        <v>77</v>
      </c>
      <c r="G19">
        <v>150</v>
      </c>
      <c r="H19">
        <v>20411454</v>
      </c>
      <c r="I19" t="s">
        <v>21</v>
      </c>
      <c r="J19">
        <v>50013881</v>
      </c>
      <c r="K19" t="str">
        <f t="shared" si="0"/>
        <v>50013881OVR</v>
      </c>
      <c r="L19" t="s">
        <v>67</v>
      </c>
      <c r="M19" s="1">
        <v>45748</v>
      </c>
      <c r="N19" t="s">
        <v>76</v>
      </c>
    </row>
    <row r="20" spans="1:15" x14ac:dyDescent="0.25">
      <c r="A20" t="s">
        <v>16</v>
      </c>
      <c r="B20" t="s">
        <v>16</v>
      </c>
      <c r="C20" t="s">
        <v>17</v>
      </c>
      <c r="D20" t="s">
        <v>27</v>
      </c>
      <c r="E20" t="s">
        <v>19</v>
      </c>
      <c r="F20" t="s">
        <v>77</v>
      </c>
      <c r="G20">
        <v>150</v>
      </c>
      <c r="H20">
        <v>20411454</v>
      </c>
      <c r="I20" t="s">
        <v>21</v>
      </c>
      <c r="J20">
        <v>50062555</v>
      </c>
      <c r="K20" t="str">
        <f t="shared" si="0"/>
        <v>50062555OVR</v>
      </c>
      <c r="L20" t="s">
        <v>70</v>
      </c>
      <c r="M20" s="1">
        <v>45658</v>
      </c>
      <c r="N20" t="s">
        <v>76</v>
      </c>
    </row>
    <row r="21" spans="1:15" x14ac:dyDescent="0.25">
      <c r="A21" t="s">
        <v>16</v>
      </c>
      <c r="B21" t="s">
        <v>16</v>
      </c>
      <c r="C21" t="s">
        <v>17</v>
      </c>
      <c r="D21" t="s">
        <v>18</v>
      </c>
      <c r="E21" t="s">
        <v>19</v>
      </c>
      <c r="F21" t="s">
        <v>43</v>
      </c>
      <c r="G21">
        <v>264.75</v>
      </c>
      <c r="H21">
        <v>16509456</v>
      </c>
      <c r="I21" t="s">
        <v>21</v>
      </c>
      <c r="J21">
        <v>50013881</v>
      </c>
      <c r="K21">
        <v>50013881</v>
      </c>
      <c r="L21" t="s">
        <v>67</v>
      </c>
      <c r="M21" s="1">
        <v>45748</v>
      </c>
      <c r="N21" t="s">
        <v>72</v>
      </c>
      <c r="O21" t="s">
        <v>74</v>
      </c>
    </row>
    <row r="22" spans="1:15" x14ac:dyDescent="0.25">
      <c r="A22" t="s">
        <v>16</v>
      </c>
      <c r="B22" t="s">
        <v>16</v>
      </c>
      <c r="C22" t="s">
        <v>17</v>
      </c>
      <c r="D22" t="s">
        <v>18</v>
      </c>
      <c r="E22" t="s">
        <v>19</v>
      </c>
      <c r="F22" t="s">
        <v>28</v>
      </c>
      <c r="G22">
        <v>353</v>
      </c>
      <c r="H22">
        <v>17425766</v>
      </c>
      <c r="I22" t="s">
        <v>21</v>
      </c>
      <c r="J22">
        <v>50062555</v>
      </c>
      <c r="K22">
        <v>50062555</v>
      </c>
      <c r="L22" t="s">
        <v>70</v>
      </c>
      <c r="M22" s="1">
        <v>45658</v>
      </c>
      <c r="N22" t="s">
        <v>72</v>
      </c>
      <c r="O22" t="s">
        <v>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Manager/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dcterms:created xsi:type="dcterms:W3CDTF">2025-11-10T10:44:12Z</dcterms:created>
  <dcterms:modified xsi:type="dcterms:W3CDTF">2025-11-11T21:47:10Z</dcterms:modified>
  <cp:category/>
</cp:coreProperties>
</file>