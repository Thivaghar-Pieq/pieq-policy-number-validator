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SRG 3-5-25\"/>
    </mc:Choice>
  </mc:AlternateContent>
  <xr:revisionPtr revIDLastSave="0" documentId="13_ncr:1_{6E720FD2-0C7B-45C4-9687-00888AB0DBE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2" l="1"/>
  <c r="M4" i="2"/>
  <c r="M5" i="2"/>
  <c r="M2" i="2"/>
  <c r="D3" i="2"/>
  <c r="D4" i="2"/>
  <c r="D5" i="2"/>
  <c r="D2" i="2"/>
  <c r="K10" i="1"/>
</calcChain>
</file>

<file path=xl/sharedStrings.xml><?xml version="1.0" encoding="utf-8"?>
<sst xmlns="http://schemas.openxmlformats.org/spreadsheetml/2006/main" count="97" uniqueCount="39">
  <si>
    <t>C_ID/ECI_ID</t>
  </si>
  <si>
    <t>HIC_NUM</t>
  </si>
  <si>
    <t>CUSTOMER LAST NAME</t>
  </si>
  <si>
    <t>CUSTOMER FIRST NAME</t>
  </si>
  <si>
    <t>State</t>
  </si>
  <si>
    <t>Enrollment Date</t>
  </si>
  <si>
    <t>DISENROLLMENT DATE</t>
  </si>
  <si>
    <t>AGENCY SERVICE FEE</t>
  </si>
  <si>
    <t>AGENCY MKT FEE</t>
  </si>
  <si>
    <t>AGENT PAY</t>
  </si>
  <si>
    <t>SRG_TOTAL OUT</t>
  </si>
  <si>
    <t>CYCLE YEAR</t>
  </si>
  <si>
    <t>NPN</t>
  </si>
  <si>
    <t>BROKER FIRST NAME</t>
  </si>
  <si>
    <t>BROKER LAST NAME</t>
  </si>
  <si>
    <t>A AGENCY RAW HEADER</t>
  </si>
  <si>
    <t>AR_Date</t>
  </si>
  <si>
    <t>Carrier</t>
  </si>
  <si>
    <t>Stmt Carrier</t>
  </si>
  <si>
    <t>Notes</t>
  </si>
  <si>
    <t>7X62KY3PR70</t>
  </si>
  <si>
    <t>FELL</t>
  </si>
  <si>
    <t>ANA</t>
  </si>
  <si>
    <t>PA</t>
  </si>
  <si>
    <t>Carol</t>
  </si>
  <si>
    <t>Foley</t>
  </si>
  <si>
    <t>MLB</t>
  </si>
  <si>
    <t>IBC</t>
  </si>
  <si>
    <t>2XH5R21XR88</t>
  </si>
  <si>
    <t>MENKINS</t>
  </si>
  <si>
    <t>JOHN</t>
  </si>
  <si>
    <t>Jason</t>
  </si>
  <si>
    <t>Hoffmann</t>
  </si>
  <si>
    <t>IBC MAPD OVR 2025</t>
  </si>
  <si>
    <t>IBC MAPD 2025*</t>
  </si>
  <si>
    <t>[%/$=353][prorate=10/12]</t>
  </si>
  <si>
    <t>[%/$=353][prorate=8/12]</t>
  </si>
  <si>
    <t>2XH5R21XR880</t>
  </si>
  <si>
    <t>7X62KY3PR700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</si>
</sst>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 applyAlignment="1">
      <alignment wrapText="1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workbookViewId="0">
      <selection sqref="A1:XFD1048576"/>
    </sheetView>
  </sheetViews>
  <sheetFormatPr defaultRowHeight="15" x14ac:dyDescent="0.25"/>
  <sheetData>
    <row r="1" spans="1:2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51037597</v>
      </c>
      <c r="B2" t="s">
        <v>20</v>
      </c>
      <c r="C2" t="s">
        <v>21</v>
      </c>
      <c r="D2" t="s">
        <v>22</v>
      </c>
      <c r="E2" t="s">
        <v>23</v>
      </c>
      <c r="F2" s="3">
        <v>45778</v>
      </c>
      <c r="H2" s="4"/>
      <c r="I2" s="4"/>
      <c r="J2" s="4">
        <v>235.33</v>
      </c>
      <c r="K2" s="4">
        <v>235.33</v>
      </c>
      <c r="M2">
        <v>17425766</v>
      </c>
      <c r="N2" t="s">
        <v>24</v>
      </c>
      <c r="O2" t="s">
        <v>25</v>
      </c>
      <c r="P2" t="s">
        <v>26</v>
      </c>
      <c r="Q2" s="3">
        <v>45721</v>
      </c>
      <c r="R2" t="s">
        <v>27</v>
      </c>
      <c r="S2" t="s">
        <v>27</v>
      </c>
    </row>
    <row r="3" spans="1:20" x14ac:dyDescent="0.25">
      <c r="A3">
        <v>51037754</v>
      </c>
      <c r="B3" t="s">
        <v>28</v>
      </c>
      <c r="C3" t="s">
        <v>29</v>
      </c>
      <c r="D3" t="s">
        <v>30</v>
      </c>
      <c r="E3" t="s">
        <v>23</v>
      </c>
      <c r="F3" s="3">
        <v>45717</v>
      </c>
      <c r="H3" s="4">
        <v>150</v>
      </c>
      <c r="I3" s="4"/>
      <c r="J3" s="4">
        <v>0</v>
      </c>
      <c r="K3" s="4">
        <v>150</v>
      </c>
      <c r="M3">
        <v>15278437</v>
      </c>
      <c r="N3" t="s">
        <v>31</v>
      </c>
      <c r="O3" t="s">
        <v>32</v>
      </c>
      <c r="P3" t="s">
        <v>26</v>
      </c>
      <c r="Q3" s="3">
        <v>45721</v>
      </c>
      <c r="R3" t="s">
        <v>27</v>
      </c>
      <c r="S3" t="s">
        <v>27</v>
      </c>
    </row>
    <row r="4" spans="1:20" x14ac:dyDescent="0.25">
      <c r="A4">
        <v>51037754</v>
      </c>
      <c r="B4" t="s">
        <v>28</v>
      </c>
      <c r="C4" t="s">
        <v>29</v>
      </c>
      <c r="D4" t="s">
        <v>30</v>
      </c>
      <c r="E4" t="s">
        <v>23</v>
      </c>
      <c r="F4" s="3">
        <v>45717</v>
      </c>
      <c r="H4" s="4"/>
      <c r="I4" s="4"/>
      <c r="J4" s="4">
        <v>294.17</v>
      </c>
      <c r="K4" s="4">
        <v>294.17</v>
      </c>
      <c r="M4">
        <v>15278437</v>
      </c>
      <c r="N4" t="s">
        <v>31</v>
      </c>
      <c r="O4" t="s">
        <v>32</v>
      </c>
      <c r="P4" t="s">
        <v>26</v>
      </c>
      <c r="Q4" s="3">
        <v>45721</v>
      </c>
      <c r="R4" t="s">
        <v>27</v>
      </c>
      <c r="S4" t="s">
        <v>27</v>
      </c>
    </row>
    <row r="5" spans="1:20" x14ac:dyDescent="0.25">
      <c r="A5">
        <v>51037597</v>
      </c>
      <c r="B5" t="s">
        <v>20</v>
      </c>
      <c r="C5" t="s">
        <v>21</v>
      </c>
      <c r="D5" t="s">
        <v>22</v>
      </c>
      <c r="E5" t="s">
        <v>23</v>
      </c>
      <c r="F5" s="3">
        <v>45778</v>
      </c>
      <c r="H5" s="4">
        <v>150</v>
      </c>
      <c r="I5" s="4"/>
      <c r="J5" s="4">
        <v>0</v>
      </c>
      <c r="K5" s="4">
        <v>150</v>
      </c>
      <c r="M5">
        <v>17425766</v>
      </c>
      <c r="N5" t="s">
        <v>24</v>
      </c>
      <c r="O5" t="s">
        <v>25</v>
      </c>
      <c r="P5" t="s">
        <v>26</v>
      </c>
      <c r="Q5" s="3">
        <v>45721</v>
      </c>
      <c r="R5" t="s">
        <v>27</v>
      </c>
      <c r="S5" t="s">
        <v>27</v>
      </c>
    </row>
    <row r="10" spans="1:20" x14ac:dyDescent="0.25">
      <c r="K10" s="4">
        <f>SUM(K2:K9)</f>
        <v>829.5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8E96-20BD-4645-819E-51E0A75A39A2}">
  <dimension ref="A1:Q10"/>
  <sheetViews>
    <sheetView tabSelected="1" workbookViewId="0">
      <selection activeCell="E32" sqref="E32"/>
    </sheetView>
  </sheetViews>
  <sheetFormatPr defaultRowHeight="15" x14ac:dyDescent="0.25"/>
  <cols>
    <col min="1" max="1" width="12.85546875" bestFit="1" customWidth="1"/>
    <col min="2" max="2" width="23.140625" bestFit="1" customWidth="1"/>
    <col min="3" max="3" width="23.7109375" bestFit="1" customWidth="1"/>
    <col min="4" max="4" width="23.7109375" customWidth="1"/>
    <col min="5" max="5" width="5.7109375" bestFit="1" customWidth="1"/>
    <col min="6" max="6" width="15.7109375" bestFit="1" customWidth="1"/>
    <col min="7" max="7" width="9" bestFit="1" customWidth="1"/>
    <col min="8" max="8" width="7.28515625" bestFit="1" customWidth="1"/>
    <col min="9" max="10" width="9" bestFit="1" customWidth="1"/>
    <col min="11" max="11" width="20.85546875" bestFit="1" customWidth="1"/>
    <col min="12" max="12" width="20.28515625" bestFit="1" customWidth="1"/>
    <col min="13" max="13" width="20.28515625" customWidth="1"/>
    <col min="14" max="14" width="18.7109375" bestFit="1" customWidth="1"/>
    <col min="15" max="15" width="7.28515625" bestFit="1" customWidth="1"/>
    <col min="16" max="16" width="12" bestFit="1" customWidth="1"/>
    <col min="17" max="17" width="6" bestFit="1" customWidth="1"/>
  </cols>
  <sheetData>
    <row r="1" spans="1:17" ht="39" x14ac:dyDescent="0.25">
      <c r="A1" s="1" t="s">
        <v>1</v>
      </c>
      <c r="B1" s="1" t="s">
        <v>2</v>
      </c>
      <c r="C1" s="1" t="s">
        <v>3</v>
      </c>
      <c r="D1" s="1"/>
      <c r="E1" s="1" t="s">
        <v>4</v>
      </c>
      <c r="F1" s="1" t="s">
        <v>5</v>
      </c>
      <c r="G1" s="2" t="s">
        <v>7</v>
      </c>
      <c r="H1" s="2" t="s">
        <v>9</v>
      </c>
      <c r="I1" s="2" t="s">
        <v>10</v>
      </c>
      <c r="J1" s="1" t="s">
        <v>12</v>
      </c>
      <c r="K1" s="1" t="s">
        <v>13</v>
      </c>
      <c r="L1" s="1" t="s">
        <v>14</v>
      </c>
      <c r="M1" s="1"/>
      <c r="N1" s="1"/>
      <c r="O1" s="1"/>
      <c r="P1" s="1"/>
      <c r="Q1" s="1"/>
    </row>
    <row r="2" spans="1:17" x14ac:dyDescent="0.25">
      <c r="A2" t="s">
        <v>20</v>
      </c>
      <c r="B2" t="s">
        <v>21</v>
      </c>
      <c r="C2" t="s">
        <v>22</v>
      </c>
      <c r="D2" t="str">
        <f>CONCATENATE(C2, " ", B2)</f>
        <v>ANA FELL</v>
      </c>
      <c r="E2" t="s">
        <v>23</v>
      </c>
      <c r="F2" s="3">
        <v>45778</v>
      </c>
      <c r="G2" s="4"/>
      <c r="H2" s="4">
        <v>235.33</v>
      </c>
      <c r="I2" s="4">
        <v>235.33</v>
      </c>
      <c r="J2">
        <v>17425766</v>
      </c>
      <c r="K2" t="s">
        <v>24</v>
      </c>
      <c r="L2" t="s">
        <v>25</v>
      </c>
      <c r="M2" t="str">
        <f>CONCATENATE(K2, " ", L2)</f>
        <v>Carol Foley</v>
      </c>
      <c r="N2" s="3" t="s">
        <v>34</v>
      </c>
      <c r="O2" t="s">
        <v>36</v>
      </c>
    </row>
    <row r="3" spans="1:17" x14ac:dyDescent="0.25">
      <c r="A3" t="s">
        <v>37</v>
      </c>
      <c r="B3" t="s">
        <v>29</v>
      </c>
      <c r="C3" t="s">
        <v>30</v>
      </c>
      <c r="D3" t="str">
        <f t="shared" ref="D3:D5" si="0">CONCATENATE(C3, " ", B3)</f>
        <v>JOHN MENKINS</v>
      </c>
      <c r="E3" t="s">
        <v>23</v>
      </c>
      <c r="F3" s="3">
        <v>45717</v>
      </c>
      <c r="G3" s="4">
        <v>150</v>
      </c>
      <c r="H3" s="4">
        <v>0</v>
      </c>
      <c r="I3" s="4">
        <v>150</v>
      </c>
      <c r="J3">
        <v>15278437</v>
      </c>
      <c r="K3" t="s">
        <v>31</v>
      </c>
      <c r="L3" t="s">
        <v>32</v>
      </c>
      <c r="M3" t="str">
        <f t="shared" ref="M3:M5" si="1">CONCATENATE(K3, " ", L3)</f>
        <v>Jason Hoffmann</v>
      </c>
      <c r="N3" s="3" t="s">
        <v>33</v>
      </c>
    </row>
    <row r="4" spans="1:17" x14ac:dyDescent="0.25">
      <c r="A4" t="s">
        <v>28</v>
      </c>
      <c r="B4" t="s">
        <v>29</v>
      </c>
      <c r="C4" t="s">
        <v>30</v>
      </c>
      <c r="D4" t="str">
        <f t="shared" si="0"/>
        <v>JOHN MENKINS</v>
      </c>
      <c r="E4" t="s">
        <v>23</v>
      </c>
      <c r="F4" s="3">
        <v>45717</v>
      </c>
      <c r="G4" s="4"/>
      <c r="H4" s="4">
        <v>294.17</v>
      </c>
      <c r="I4" s="4">
        <v>294.17</v>
      </c>
      <c r="J4">
        <v>15278437</v>
      </c>
      <c r="K4" t="s">
        <v>31</v>
      </c>
      <c r="L4" t="s">
        <v>32</v>
      </c>
      <c r="M4" t="str">
        <f t="shared" si="1"/>
        <v>Jason Hoffmann</v>
      </c>
      <c r="N4" s="3" t="s">
        <v>34</v>
      </c>
      <c r="O4" t="s">
        <v>35</v>
      </c>
    </row>
    <row r="5" spans="1:17" x14ac:dyDescent="0.25">
      <c r="A5" t="s">
        <v>38</v>
      </c>
      <c r="B5" t="s">
        <v>21</v>
      </c>
      <c r="C5" t="s">
        <v>22</v>
      </c>
      <c r="D5" t="str">
        <f t="shared" si="0"/>
        <v>ANA FELL</v>
      </c>
      <c r="E5" t="s">
        <v>23</v>
      </c>
      <c r="F5" s="3">
        <v>45778</v>
      </c>
      <c r="G5" s="4">
        <v>150</v>
      </c>
      <c r="H5" s="4">
        <v>0</v>
      </c>
      <c r="I5" s="4">
        <v>150</v>
      </c>
      <c r="J5">
        <v>17425766</v>
      </c>
      <c r="K5" t="s">
        <v>24</v>
      </c>
      <c r="L5" t="s">
        <v>25</v>
      </c>
      <c r="M5" t="str">
        <f t="shared" si="1"/>
        <v>Carol Foley</v>
      </c>
      <c r="N5" s="3" t="s">
        <v>33</v>
      </c>
    </row>
    <row r="10" spans="1:17" x14ac:dyDescent="0.25">
      <c r="I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Yi, Lingxi</dc:creator>
  <cp:lastModifiedBy>Cabel, Denisse Raeka</cp:lastModifiedBy>
  <dcterms:created xsi:type="dcterms:W3CDTF">2015-06-05T18:17:20Z</dcterms:created>
  <dcterms:modified xsi:type="dcterms:W3CDTF">2025-03-10T20:17:39Z</dcterms:modified>
</cp:coreProperties>
</file>