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03-03-25\"/>
    </mc:Choice>
  </mc:AlternateContent>
  <xr:revisionPtr revIDLastSave="0" documentId="13_ncr:1_{487634C0-4337-4DA6-B4D8-021694FDB706}" xr6:coauthVersionLast="47" xr6:coauthVersionMax="47" xr10:uidLastSave="{00000000-0000-0000-0000-000000000000}"/>
  <bookViews>
    <workbookView xWindow="-120" yWindow="-120" windowWidth="29040" windowHeight="16440" activeTab="1" xr2:uid="{1484E794-EC1A-4A1F-B8D7-751F071042D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2" l="1"/>
  <c r="E3" i="2"/>
  <c r="E2" i="2"/>
  <c r="K8" i="1"/>
</calcChain>
</file>

<file path=xl/sharedStrings.xml><?xml version="1.0" encoding="utf-8"?>
<sst xmlns="http://schemas.openxmlformats.org/spreadsheetml/2006/main" count="69" uniqueCount="33">
  <si>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</si>
  <si>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</si>
  <si>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</si>
  <si>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</si>
  <si>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</si>
  <si>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</si>
  <si>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</si>
  <si>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</si>
  <si>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</si>
  <si>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</si>
  <si>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</si>
  <si>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</si>
  <si>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</si>
  <si>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</si>
  <si>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</si>
  <si>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</si>
  <si>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</si>
  <si>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</si>
  <si>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</si>
  <si>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</si>
  <si>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9F31G33XG17</t>
  </si>
  <si>
    <t>GOLDSTEIN</t>
  </si>
  <si>
    <t>JEFFREY</t>
  </si>
  <si>
    <t>PA</t>
  </si>
  <si>
    <t>Anne Marie</t>
  </si>
  <si>
    <t>Kozacheck</t>
  </si>
  <si>
    <t>MLB</t>
  </si>
  <si>
    <t>IBC</t>
  </si>
  <si>
    <t>Main Line Benefits</t>
  </si>
  <si>
    <t>9F31G33XG170</t>
  </si>
  <si>
    <t>IBC MAPD 2025*</t>
  </si>
  <si>
    <t>IBC MAPD OVR 2025</t>
  </si>
  <si>
    <t>[%/$=353][prorate=10/12]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</si>
</sst>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9E1B-4D09-4689-B650-552B8ADCF0C2}">
  <dimension ref="A1:T8"/>
  <sheetViews>
    <sheetView workbookViewId="0">
      <selection activeCell="G15" sqref="G15"/>
    </sheetView>
  </sheetViews>
  <sheetFormatPr defaultRowHeight="15" x14ac:dyDescent="0.25"/>
  <cols>
    <col min="17" max="17" width="9.7109375" bestFit="1" customWidth="1"/>
  </cols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51037279</v>
      </c>
      <c r="B2" t="s">
        <v>20</v>
      </c>
      <c r="C2" t="s">
        <v>21</v>
      </c>
      <c r="D2" t="s">
        <v>22</v>
      </c>
      <c r="E2" t="s">
        <v>23</v>
      </c>
      <c r="F2" s="3">
        <v>45717</v>
      </c>
      <c r="H2" s="4"/>
      <c r="I2" s="4"/>
      <c r="J2" s="4">
        <v>294.17</v>
      </c>
      <c r="K2" s="4">
        <v>294.17</v>
      </c>
      <c r="M2">
        <v>19278370</v>
      </c>
      <c r="N2" t="s">
        <v>24</v>
      </c>
      <c r="O2" t="s">
        <v>25</v>
      </c>
      <c r="P2" t="s">
        <v>26</v>
      </c>
      <c r="Q2" s="3">
        <v>45715</v>
      </c>
      <c r="R2" t="s">
        <v>27</v>
      </c>
      <c r="S2" t="s">
        <v>27</v>
      </c>
    </row>
    <row r="3" spans="1:20" x14ac:dyDescent="0.25">
      <c r="A3">
        <v>51037279</v>
      </c>
      <c r="B3" t="s">
        <v>20</v>
      </c>
      <c r="C3" t="s">
        <v>21</v>
      </c>
      <c r="D3" t="s">
        <v>22</v>
      </c>
      <c r="E3" t="s">
        <v>23</v>
      </c>
      <c r="F3" s="3">
        <v>45717</v>
      </c>
      <c r="H3" s="4">
        <v>150</v>
      </c>
      <c r="I3" s="4"/>
      <c r="J3" s="4">
        <v>0</v>
      </c>
      <c r="K3" s="4">
        <v>150</v>
      </c>
      <c r="M3">
        <v>19278370</v>
      </c>
      <c r="N3" t="s">
        <v>24</v>
      </c>
      <c r="O3" t="s">
        <v>25</v>
      </c>
      <c r="P3" t="s">
        <v>26</v>
      </c>
      <c r="Q3" s="3">
        <v>45715</v>
      </c>
      <c r="R3" t="s">
        <v>27</v>
      </c>
      <c r="S3" t="s">
        <v>27</v>
      </c>
    </row>
    <row r="8" spans="1:20" x14ac:dyDescent="0.25">
      <c r="K8" s="4">
        <f>SUM(K2:K7)</f>
        <v>444.17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A328-4632-41A3-BD0F-A038803CFC7B}">
  <dimension ref="A1:S8"/>
  <sheetViews>
    <sheetView tabSelected="1" workbookViewId="0">
      <selection activeCell="S2" sqref="S2"/>
    </sheetView>
  </sheetViews>
  <sheetFormatPr defaultRowHeight="15" x14ac:dyDescent="0.25"/>
  <cols>
    <col min="1" max="1" width="11.5703125" bestFit="1" customWidth="1"/>
    <col min="2" max="2" width="13.85546875" bestFit="1" customWidth="1"/>
    <col min="3" max="3" width="23.140625" bestFit="1" customWidth="1"/>
    <col min="4" max="4" width="23.7109375" bestFit="1" customWidth="1"/>
    <col min="5" max="5" width="23.7109375" customWidth="1"/>
    <col min="6" max="6" width="11.5703125" customWidth="1"/>
    <col min="17" max="17" width="21.140625" bestFit="1" customWidth="1"/>
    <col min="18" max="18" width="18.7109375" bestFit="1" customWidth="1"/>
  </cols>
  <sheetData>
    <row r="1" spans="1: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</row>
    <row r="2" spans="1:19" x14ac:dyDescent="0.25">
      <c r="A2">
        <v>51037279</v>
      </c>
      <c r="B2" t="s">
        <v>20</v>
      </c>
      <c r="C2" t="s">
        <v>21</v>
      </c>
      <c r="D2" t="s">
        <v>22</v>
      </c>
      <c r="E2" t="str">
        <f>CONCATENATE(D2, " ",C2)</f>
        <v>JEFFREY GOLDSTEIN</v>
      </c>
      <c r="F2" t="s">
        <v>23</v>
      </c>
      <c r="G2" s="3">
        <v>45717</v>
      </c>
      <c r="I2" s="4"/>
      <c r="J2" s="4"/>
      <c r="K2" s="4">
        <v>294.17</v>
      </c>
      <c r="L2" s="4">
        <v>294.17</v>
      </c>
      <c r="N2">
        <v>19278370</v>
      </c>
      <c r="O2" t="s">
        <v>24</v>
      </c>
      <c r="P2" t="s">
        <v>25</v>
      </c>
      <c r="Q2" t="str">
        <f>CONCATENATE(O2, " ",P2)</f>
        <v>Anne Marie Kozacheck</v>
      </c>
      <c r="R2" t="s">
        <v>30</v>
      </c>
      <c r="S2" t="s">
        <v>32</v>
      </c>
    </row>
    <row r="3" spans="1:19" x14ac:dyDescent="0.25">
      <c r="A3">
        <v>51037279</v>
      </c>
      <c r="B3" t="s">
        <v>29</v>
      </c>
      <c r="C3" t="s">
        <v>21</v>
      </c>
      <c r="D3" t="s">
        <v>22</v>
      </c>
      <c r="E3" t="str">
        <f>CONCATENATE(D3, " ",C3)</f>
        <v>JEFFREY GOLDSTEIN</v>
      </c>
      <c r="F3" t="s">
        <v>23</v>
      </c>
      <c r="G3" s="3">
        <v>45717</v>
      </c>
      <c r="I3" s="4">
        <v>150</v>
      </c>
      <c r="J3" s="4"/>
      <c r="K3" s="4">
        <v>0</v>
      </c>
      <c r="L3" s="4">
        <v>150</v>
      </c>
      <c r="N3">
        <v>20411454</v>
      </c>
      <c r="O3" t="s">
        <v>24</v>
      </c>
      <c r="P3" t="s">
        <v>25</v>
      </c>
      <c r="Q3" t="s">
        <v>28</v>
      </c>
      <c r="R3" t="s">
        <v>31</v>
      </c>
    </row>
    <row r="8" spans="1:19" x14ac:dyDescent="0.25">
      <c r="L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2025-03-04T13:42:25Z</dcterms:created>
  <dcterms:modified xsi:type="dcterms:W3CDTF">2025-03-04T15:41:52Z</dcterms:modified>
</cp:coreProperties>
</file>