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IBC MAPD/2025/IBC from SRG 2-10-25/"/>
    </mc:Choice>
  </mc:AlternateContent>
  <xr:revisionPtr revIDLastSave="0" documentId="13_ncr:1_{9F51E578-CDD7-1D44-8927-5EAFBB53156F}" xr6:coauthVersionLast="47" xr6:coauthVersionMax="47" xr10:uidLastSave="{00000000-0000-0000-0000-000000000000}"/>
  <bookViews>
    <workbookView xWindow="0" yWindow="500" windowWidth="19200" windowHeight="19360" activeTab="1" xr2:uid="{C40E2ED1-0E95-0647-A19B-DF54118F26D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2" i="2"/>
  <c r="E3" i="2"/>
  <c r="E4" i="2"/>
  <c r="E5" i="2"/>
  <c r="E2" i="2"/>
  <c r="L11" i="2"/>
  <c r="K11" i="1"/>
</calcChain>
</file>

<file path=xl/sharedStrings.xml><?xml version="1.0" encoding="utf-8"?>
<sst xmlns="http://schemas.openxmlformats.org/spreadsheetml/2006/main" count="130" uniqueCount="40">
  <si>
    <t>C_ID/ECI_ID</t>
  </si>
  <si>
    <t>HIC_NUM</t>
  </si>
  <si>
    <t>CUSTOMER LAST NAME</t>
  </si>
  <si>
    <t>CUSTOMER FIRST NAME</t>
  </si>
  <si>
    <t>State</t>
  </si>
  <si>
    <t>Enrollment Date</t>
  </si>
  <si>
    <t>DISENROLLMENT DATE</t>
  </si>
  <si>
    <t>AGENCY SERVICE FEE</t>
  </si>
  <si>
    <t>AGENCY MKT FEE</t>
  </si>
  <si>
    <t>AGENT PAY</t>
  </si>
  <si>
    <t>SRG_TOTAL OUT</t>
  </si>
  <si>
    <t>CYCLE YEAR</t>
  </si>
  <si>
    <t>NPN</t>
  </si>
  <si>
    <t>BROKER FIRST NAME</t>
  </si>
  <si>
    <t>BROKER LAST NAME</t>
  </si>
  <si>
    <t>A AGENCY RAW HEADER</t>
  </si>
  <si>
    <t>AR_Date</t>
  </si>
  <si>
    <t>Carrier</t>
  </si>
  <si>
    <t>Stmt Carrier</t>
  </si>
  <si>
    <t>Notes</t>
  </si>
  <si>
    <t>51036360</t>
  </si>
  <si>
    <t>3PU2P22GA04</t>
  </si>
  <si>
    <t>BALLARD</t>
  </si>
  <si>
    <t>LINN</t>
  </si>
  <si>
    <t>PA</t>
  </si>
  <si>
    <t/>
  </si>
  <si>
    <t>Carol</t>
  </si>
  <si>
    <t>Foley</t>
  </si>
  <si>
    <t>MLB</t>
  </si>
  <si>
    <t>IBC</t>
  </si>
  <si>
    <t>51036186</t>
  </si>
  <si>
    <t>8A13QW1NE73</t>
  </si>
  <si>
    <t>REILLY</t>
  </si>
  <si>
    <t>BONNIE</t>
  </si>
  <si>
    <t>IBC MAPD OVR 2025</t>
  </si>
  <si>
    <t>IBC MAPD 2025*</t>
  </si>
  <si>
    <t>[%/$=353][prorate=11/12]</t>
  </si>
  <si>
    <t>[%/$=353][prorate=9/12]</t>
  </si>
  <si>
    <t>3PU2P22GA040</t>
  </si>
  <si>
    <t>8A13QW1NE730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</si>
</sst>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wrapText="1"/>
    </xf>
    <xf numFmtId="1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64DC-1434-874E-8051-CC22ABD3CFFC}">
  <dimension ref="A1:T11"/>
  <sheetViews>
    <sheetView workbookViewId="0">
      <selection sqref="A1:XFD1048576"/>
    </sheetView>
  </sheetViews>
  <sheetFormatPr baseColWidth="10" defaultColWidth="8.83203125" defaultRowHeight="16" x14ac:dyDescent="0.2"/>
  <sheetData>
    <row r="1" spans="1:20" ht="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3">
        <v>45748</v>
      </c>
      <c r="G2" t="s">
        <v>25</v>
      </c>
      <c r="H2" s="4">
        <v>150</v>
      </c>
      <c r="I2" s="4"/>
      <c r="J2" s="4">
        <v>0</v>
      </c>
      <c r="K2" s="4">
        <v>150</v>
      </c>
      <c r="M2">
        <v>17425766</v>
      </c>
      <c r="N2" t="s">
        <v>26</v>
      </c>
      <c r="O2" t="s">
        <v>27</v>
      </c>
      <c r="P2" t="s">
        <v>28</v>
      </c>
      <c r="Q2" s="3">
        <v>45694</v>
      </c>
      <c r="R2" t="s">
        <v>29</v>
      </c>
      <c r="S2" t="s">
        <v>29</v>
      </c>
    </row>
    <row r="3" spans="1:20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s="3">
        <v>45748</v>
      </c>
      <c r="G3" t="s">
        <v>25</v>
      </c>
      <c r="H3" s="4"/>
      <c r="I3" s="4"/>
      <c r="J3" s="4">
        <v>264.75</v>
      </c>
      <c r="K3" s="4">
        <v>264.75</v>
      </c>
      <c r="M3">
        <v>17425766</v>
      </c>
      <c r="N3" t="s">
        <v>26</v>
      </c>
      <c r="O3" t="s">
        <v>27</v>
      </c>
      <c r="P3" t="s">
        <v>28</v>
      </c>
      <c r="Q3" s="3">
        <v>45694</v>
      </c>
      <c r="R3" t="s">
        <v>29</v>
      </c>
      <c r="S3" t="s">
        <v>29</v>
      </c>
    </row>
    <row r="4" spans="1:20" x14ac:dyDescent="0.2">
      <c r="A4" t="s">
        <v>30</v>
      </c>
      <c r="B4" t="s">
        <v>31</v>
      </c>
      <c r="C4" t="s">
        <v>32</v>
      </c>
      <c r="D4" t="s">
        <v>33</v>
      </c>
      <c r="E4" t="s">
        <v>24</v>
      </c>
      <c r="F4" s="3">
        <v>45689</v>
      </c>
      <c r="G4" t="s">
        <v>25</v>
      </c>
      <c r="H4" s="4"/>
      <c r="I4" s="4"/>
      <c r="J4" s="4">
        <v>323.58</v>
      </c>
      <c r="K4" s="4">
        <v>323.58</v>
      </c>
      <c r="M4">
        <v>17425766</v>
      </c>
      <c r="N4" t="s">
        <v>26</v>
      </c>
      <c r="O4" t="s">
        <v>27</v>
      </c>
      <c r="P4" t="s">
        <v>28</v>
      </c>
      <c r="Q4" s="3">
        <v>45694</v>
      </c>
      <c r="R4" t="s">
        <v>29</v>
      </c>
      <c r="S4" t="s">
        <v>29</v>
      </c>
    </row>
    <row r="5" spans="1:20" x14ac:dyDescent="0.2">
      <c r="A5" t="s">
        <v>30</v>
      </c>
      <c r="B5" t="s">
        <v>31</v>
      </c>
      <c r="C5" t="s">
        <v>32</v>
      </c>
      <c r="D5" t="s">
        <v>33</v>
      </c>
      <c r="E5" t="s">
        <v>24</v>
      </c>
      <c r="F5" s="3">
        <v>45689</v>
      </c>
      <c r="G5" t="s">
        <v>25</v>
      </c>
      <c r="H5" s="4">
        <v>150</v>
      </c>
      <c r="I5" s="4"/>
      <c r="J5" s="4">
        <v>0</v>
      </c>
      <c r="K5" s="4">
        <v>150</v>
      </c>
      <c r="M5">
        <v>17425766</v>
      </c>
      <c r="N5" t="s">
        <v>26</v>
      </c>
      <c r="O5" t="s">
        <v>27</v>
      </c>
      <c r="P5" t="s">
        <v>28</v>
      </c>
      <c r="Q5" s="3">
        <v>45694</v>
      </c>
      <c r="R5" t="s">
        <v>29</v>
      </c>
      <c r="S5" t="s">
        <v>29</v>
      </c>
    </row>
    <row r="11" spans="1:20" x14ac:dyDescent="0.2">
      <c r="K11" s="4">
        <f>SUM(K2:K10)</f>
        <v>888.32999999999993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4533-C0F6-2644-8072-1DC926CE7A9B}">
  <dimension ref="A1:W11"/>
  <sheetViews>
    <sheetView tabSelected="1" topLeftCell="G1" workbookViewId="0">
      <selection activeCell="G2" sqref="G2:G5"/>
    </sheetView>
  </sheetViews>
  <sheetFormatPr baseColWidth="10" defaultColWidth="8.83203125" defaultRowHeight="16" x14ac:dyDescent="0.2"/>
  <cols>
    <col min="1" max="1" width="11" bestFit="1" customWidth="1"/>
    <col min="2" max="2" width="13.5" bestFit="1" customWidth="1"/>
    <col min="4" max="4" width="21.6640625" bestFit="1" customWidth="1"/>
    <col min="5" max="5" width="12.83203125" bestFit="1" customWidth="1"/>
    <col min="7" max="7" width="14.1640625" bestFit="1" customWidth="1"/>
    <col min="17" max="17" width="10.33203125" bestFit="1" customWidth="1"/>
  </cols>
  <sheetData>
    <row r="1" spans="1:23" ht="43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/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3" x14ac:dyDescent="0.2">
      <c r="A2" s="5">
        <v>51036360</v>
      </c>
      <c r="B2" t="s">
        <v>38</v>
      </c>
      <c r="C2" t="s">
        <v>22</v>
      </c>
      <c r="D2" t="s">
        <v>23</v>
      </c>
      <c r="E2" t="str">
        <f>CONCATENATE(D2, " ", C2)</f>
        <v>LINN BALLARD</v>
      </c>
      <c r="F2" t="s">
        <v>24</v>
      </c>
      <c r="G2" s="3">
        <v>45748</v>
      </c>
      <c r="H2" t="s">
        <v>25</v>
      </c>
      <c r="I2" s="4">
        <v>150</v>
      </c>
      <c r="J2" s="4"/>
      <c r="K2" s="4">
        <v>0</v>
      </c>
      <c r="L2" s="4">
        <v>150</v>
      </c>
      <c r="N2">
        <v>17425766</v>
      </c>
      <c r="O2" t="s">
        <v>26</v>
      </c>
      <c r="P2" t="s">
        <v>27</v>
      </c>
      <c r="Q2" t="str">
        <f>CONCATENATE(O2, " ", P2)</f>
        <v>Carol Foley</v>
      </c>
      <c r="R2" t="s">
        <v>28</v>
      </c>
      <c r="S2" s="3">
        <v>45694</v>
      </c>
      <c r="T2" t="s">
        <v>29</v>
      </c>
      <c r="U2" t="s">
        <v>29</v>
      </c>
      <c r="V2" t="s">
        <v>34</v>
      </c>
    </row>
    <row r="3" spans="1:23" x14ac:dyDescent="0.2">
      <c r="A3" s="5">
        <v>51036360</v>
      </c>
      <c r="B3" t="s">
        <v>21</v>
      </c>
      <c r="C3" t="s">
        <v>22</v>
      </c>
      <c r="D3" t="s">
        <v>23</v>
      </c>
      <c r="E3" t="str">
        <f t="shared" ref="E3:E5" si="0">CONCATENATE(D3, " ", C3)</f>
        <v>LINN BALLARD</v>
      </c>
      <c r="F3" t="s">
        <v>24</v>
      </c>
      <c r="G3" s="3">
        <v>45748</v>
      </c>
      <c r="H3" t="s">
        <v>25</v>
      </c>
      <c r="I3" s="4"/>
      <c r="J3" s="4"/>
      <c r="K3" s="4">
        <v>264.75</v>
      </c>
      <c r="L3" s="4">
        <v>264.75</v>
      </c>
      <c r="N3">
        <v>17425766</v>
      </c>
      <c r="O3" t="s">
        <v>26</v>
      </c>
      <c r="P3" t="s">
        <v>27</v>
      </c>
      <c r="Q3" t="str">
        <f t="shared" ref="Q3:Q5" si="1">CONCATENATE(O3, " ", P3)</f>
        <v>Carol Foley</v>
      </c>
      <c r="R3" t="s">
        <v>28</v>
      </c>
      <c r="S3" s="3">
        <v>45694</v>
      </c>
      <c r="T3" t="s">
        <v>29</v>
      </c>
      <c r="U3" t="s">
        <v>29</v>
      </c>
      <c r="V3" t="s">
        <v>35</v>
      </c>
      <c r="W3" t="s">
        <v>37</v>
      </c>
    </row>
    <row r="4" spans="1:23" x14ac:dyDescent="0.2">
      <c r="A4" s="5">
        <v>51036186</v>
      </c>
      <c r="B4" t="s">
        <v>31</v>
      </c>
      <c r="C4" t="s">
        <v>32</v>
      </c>
      <c r="D4" t="s">
        <v>33</v>
      </c>
      <c r="E4" t="str">
        <f t="shared" si="0"/>
        <v>BONNIE REILLY</v>
      </c>
      <c r="F4" t="s">
        <v>24</v>
      </c>
      <c r="G4" s="3">
        <v>45689</v>
      </c>
      <c r="H4" t="s">
        <v>25</v>
      </c>
      <c r="I4" s="4"/>
      <c r="J4" s="4"/>
      <c r="K4" s="4">
        <v>323.58</v>
      </c>
      <c r="L4" s="4">
        <v>323.58</v>
      </c>
      <c r="N4">
        <v>17425766</v>
      </c>
      <c r="O4" t="s">
        <v>26</v>
      </c>
      <c r="P4" t="s">
        <v>27</v>
      </c>
      <c r="Q4" t="str">
        <f t="shared" si="1"/>
        <v>Carol Foley</v>
      </c>
      <c r="R4" t="s">
        <v>28</v>
      </c>
      <c r="S4" s="3">
        <v>45694</v>
      </c>
      <c r="T4" t="s">
        <v>29</v>
      </c>
      <c r="U4" t="s">
        <v>29</v>
      </c>
      <c r="V4" t="s">
        <v>35</v>
      </c>
      <c r="W4" t="s">
        <v>36</v>
      </c>
    </row>
    <row r="5" spans="1:23" x14ac:dyDescent="0.2">
      <c r="A5" s="5">
        <v>51036186</v>
      </c>
      <c r="B5" t="s">
        <v>39</v>
      </c>
      <c r="C5" t="s">
        <v>32</v>
      </c>
      <c r="D5" t="s">
        <v>33</v>
      </c>
      <c r="E5" t="str">
        <f t="shared" si="0"/>
        <v>BONNIE REILLY</v>
      </c>
      <c r="F5" t="s">
        <v>24</v>
      </c>
      <c r="G5" s="3">
        <v>45689</v>
      </c>
      <c r="H5" t="s">
        <v>25</v>
      </c>
      <c r="I5" s="4">
        <v>150</v>
      </c>
      <c r="J5" s="4"/>
      <c r="K5" s="4">
        <v>0</v>
      </c>
      <c r="L5" s="4">
        <v>150</v>
      </c>
      <c r="N5">
        <v>17425766</v>
      </c>
      <c r="O5" t="s">
        <v>26</v>
      </c>
      <c r="P5" t="s">
        <v>27</v>
      </c>
      <c r="Q5" t="str">
        <f t="shared" si="1"/>
        <v>Carol Foley</v>
      </c>
      <c r="R5" t="s">
        <v>28</v>
      </c>
      <c r="S5" s="3">
        <v>45694</v>
      </c>
      <c r="T5" t="s">
        <v>29</v>
      </c>
      <c r="U5" t="s">
        <v>29</v>
      </c>
      <c r="V5" t="s">
        <v>34</v>
      </c>
    </row>
    <row r="11" spans="1:23" x14ac:dyDescent="0.2">
      <c r="L11" s="4">
        <f>SUM(L2:L10)</f>
        <v>888.32999999999993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2025-02-10T15:04:30Z</dcterms:created>
  <dcterms:modified xsi:type="dcterms:W3CDTF">2025-02-10T16:11:27Z</dcterms:modified>
</cp:coreProperties>
</file>