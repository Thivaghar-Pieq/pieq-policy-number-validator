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6A4DB4C-ABF6-4557-AAB7-A0D348A8691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K17" i="2" l="1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</calcChain>
</file>

<file path=xl/sharedStrings.xml><?xml version="1.0" encoding="utf-8"?>
<sst xmlns="http://schemas.openxmlformats.org/spreadsheetml/2006/main" count="415" uniqueCount="67">
  <si>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</si>
  <si>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</si>
  <si>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</si>
  <si>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</si>
  <si>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</si>
  <si>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</si>
  <si>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</si>
  <si>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</si>
  <si>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</si>
  <si>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</si>
  <si>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</si>
  <si>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</si>
  <si>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</si>
  <si>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</si>
  <si>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</si>
  <si>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</si>
  <si>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2025-12-08</t>
  </si>
  <si>
    <t/>
  </si>
  <si>
    <t>Agent Pay</t>
  </si>
  <si>
    <t>MLB</t>
  </si>
  <si>
    <t>Roccia, Mark</t>
  </si>
  <si>
    <t>Ibc</t>
  </si>
  <si>
    <t>5ER5EV2UA52</t>
  </si>
  <si>
    <t>MAPD</t>
  </si>
  <si>
    <t>Weiler, Ellen</t>
  </si>
  <si>
    <t>2025-12-01</t>
  </si>
  <si>
    <t>Agency Marketing Fee</t>
  </si>
  <si>
    <t>Richter, Peter</t>
  </si>
  <si>
    <t>9RW6WA9EA75</t>
  </si>
  <si>
    <t>Case, David</t>
  </si>
  <si>
    <t>2026-01-01</t>
  </si>
  <si>
    <t>3NU9K50YF28</t>
  </si>
  <si>
    <t>Facciolo, Cindy</t>
  </si>
  <si>
    <t>2025-07-01</t>
  </si>
  <si>
    <t>6GH4XG8DY03</t>
  </si>
  <si>
    <t>Facciolo, Francis</t>
  </si>
  <si>
    <t>2025-04-01</t>
  </si>
  <si>
    <t>2025-12-31</t>
  </si>
  <si>
    <t>Kozacheck, Anne Marie</t>
  </si>
  <si>
    <t>2NF9Q96EM32</t>
  </si>
  <si>
    <t>Gow, Grace</t>
  </si>
  <si>
    <t>Hoffmann, Jason</t>
  </si>
  <si>
    <t>8RH1J35RC26</t>
  </si>
  <si>
    <t>Hagerty, Dana</t>
  </si>
  <si>
    <t>7NP9P07JH46</t>
  </si>
  <si>
    <t>Harwick, Donna</t>
  </si>
  <si>
    <t>6VR4W03HQ83</t>
  </si>
  <si>
    <t>Harwick, Ella</t>
  </si>
  <si>
    <t>3C52AF5NP85</t>
  </si>
  <si>
    <t>Lippolis, Jean</t>
  </si>
  <si>
    <t>9J81QU5KG22</t>
  </si>
  <si>
    <t>Murray, Christopher</t>
  </si>
  <si>
    <t>6G58N09HR56</t>
  </si>
  <si>
    <t>Murray, Donna</t>
  </si>
  <si>
    <t>3EV5N13HY83</t>
  </si>
  <si>
    <t>Schwab, David</t>
  </si>
  <si>
    <t>2025-08-01</t>
  </si>
  <si>
    <t>1U39JG8DJ38</t>
  </si>
  <si>
    <t>Vita, Michael</t>
  </si>
  <si>
    <t>7J85X57WF51</t>
  </si>
  <si>
    <t>White, Donald</t>
  </si>
  <si>
    <t>9CE0MW6PF16</t>
  </si>
  <si>
    <t>Hurwitz White, Laurie</t>
  </si>
  <si>
    <t>Main Line Benefits</t>
  </si>
  <si>
    <t>[%/$=353][prorate=1/12]</t>
  </si>
  <si>
    <t>IBC MAPD 2025*</t>
  </si>
  <si>
    <t>IBC MAPD OVR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</si>
</sst>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opLeftCell="B1" workbookViewId="0">
      <selection activeCell="B1" sqref="A1:XFD1048576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4.5703125" bestFit="1" customWidth="1"/>
    <col min="12" max="12" width="9.5703125" bestFit="1" customWidth="1"/>
    <col min="13" max="13" width="20.42578125" bestFit="1" customWidth="1"/>
    <col min="14" max="14" width="13.5703125" bestFit="1" customWidth="1"/>
    <col min="15" max="15" width="10.425781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29.42</v>
      </c>
      <c r="H2">
        <v>17086692</v>
      </c>
      <c r="I2" t="s">
        <v>21</v>
      </c>
      <c r="J2">
        <v>51046848</v>
      </c>
      <c r="K2" t="s">
        <v>22</v>
      </c>
      <c r="L2" t="s">
        <v>23</v>
      </c>
      <c r="M2" t="s">
        <v>24</v>
      </c>
      <c r="N2" t="s">
        <v>25</v>
      </c>
      <c r="O2" t="s">
        <v>17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26</v>
      </c>
      <c r="E3" t="s">
        <v>19</v>
      </c>
      <c r="F3" t="s">
        <v>27</v>
      </c>
      <c r="G3">
        <v>60</v>
      </c>
      <c r="H3">
        <v>17086692</v>
      </c>
      <c r="I3" t="s">
        <v>21</v>
      </c>
      <c r="J3">
        <v>50110456</v>
      </c>
      <c r="K3" t="s">
        <v>28</v>
      </c>
      <c r="L3" t="s">
        <v>23</v>
      </c>
      <c r="M3" t="s">
        <v>29</v>
      </c>
      <c r="N3" t="s">
        <v>30</v>
      </c>
      <c r="O3" t="s">
        <v>17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26</v>
      </c>
      <c r="E4" t="s">
        <v>19</v>
      </c>
      <c r="F4" t="s">
        <v>27</v>
      </c>
      <c r="G4">
        <v>60</v>
      </c>
      <c r="H4">
        <v>17086692</v>
      </c>
      <c r="I4" t="s">
        <v>21</v>
      </c>
      <c r="J4">
        <v>51040690</v>
      </c>
      <c r="K4" t="s">
        <v>31</v>
      </c>
      <c r="L4" t="s">
        <v>23</v>
      </c>
      <c r="M4" t="s">
        <v>32</v>
      </c>
      <c r="N4" t="s">
        <v>33</v>
      </c>
      <c r="O4" t="s">
        <v>17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26</v>
      </c>
      <c r="E5" t="s">
        <v>19</v>
      </c>
      <c r="F5" t="s">
        <v>27</v>
      </c>
      <c r="G5">
        <v>60</v>
      </c>
      <c r="H5">
        <v>17086692</v>
      </c>
      <c r="I5" t="s">
        <v>21</v>
      </c>
      <c r="J5">
        <v>50013881</v>
      </c>
      <c r="K5" t="s">
        <v>34</v>
      </c>
      <c r="L5" t="s">
        <v>23</v>
      </c>
      <c r="M5" t="s">
        <v>35</v>
      </c>
      <c r="N5" t="s">
        <v>36</v>
      </c>
      <c r="O5" t="s">
        <v>37</v>
      </c>
      <c r="P5" t="s">
        <v>17</v>
      </c>
    </row>
    <row r="6" spans="1:16" x14ac:dyDescent="0.25">
      <c r="A6" t="s">
        <v>16</v>
      </c>
      <c r="B6" t="s">
        <v>16</v>
      </c>
      <c r="C6" t="s">
        <v>17</v>
      </c>
      <c r="D6" t="s">
        <v>26</v>
      </c>
      <c r="E6" t="s">
        <v>19</v>
      </c>
      <c r="F6" t="s">
        <v>38</v>
      </c>
      <c r="G6">
        <v>60</v>
      </c>
      <c r="H6">
        <v>17086692</v>
      </c>
      <c r="I6" t="s">
        <v>21</v>
      </c>
      <c r="J6">
        <v>50010651</v>
      </c>
      <c r="K6" t="s">
        <v>39</v>
      </c>
      <c r="L6" t="s">
        <v>23</v>
      </c>
      <c r="M6" t="s">
        <v>40</v>
      </c>
      <c r="N6" t="s">
        <v>30</v>
      </c>
      <c r="O6" t="s">
        <v>17</v>
      </c>
      <c r="P6" t="s">
        <v>17</v>
      </c>
    </row>
    <row r="7" spans="1:16" x14ac:dyDescent="0.25">
      <c r="A7" t="s">
        <v>16</v>
      </c>
      <c r="B7" t="s">
        <v>16</v>
      </c>
      <c r="C7" t="s">
        <v>17</v>
      </c>
      <c r="D7" t="s">
        <v>26</v>
      </c>
      <c r="E7" t="s">
        <v>19</v>
      </c>
      <c r="F7" t="s">
        <v>41</v>
      </c>
      <c r="G7">
        <v>60</v>
      </c>
      <c r="H7">
        <v>17086692</v>
      </c>
      <c r="I7" t="s">
        <v>21</v>
      </c>
      <c r="J7">
        <v>51025766</v>
      </c>
      <c r="K7" t="s">
        <v>42</v>
      </c>
      <c r="L7" t="s">
        <v>23</v>
      </c>
      <c r="M7" t="s">
        <v>43</v>
      </c>
      <c r="N7" t="s">
        <v>30</v>
      </c>
      <c r="O7" t="s">
        <v>17</v>
      </c>
      <c r="P7" t="s">
        <v>17</v>
      </c>
    </row>
    <row r="8" spans="1:16" x14ac:dyDescent="0.25">
      <c r="A8" t="s">
        <v>16</v>
      </c>
      <c r="B8" t="s">
        <v>16</v>
      </c>
      <c r="C8" t="s">
        <v>17</v>
      </c>
      <c r="D8" t="s">
        <v>26</v>
      </c>
      <c r="E8" t="s">
        <v>19</v>
      </c>
      <c r="F8" t="s">
        <v>41</v>
      </c>
      <c r="G8">
        <v>60</v>
      </c>
      <c r="H8">
        <v>17086692</v>
      </c>
      <c r="I8" t="s">
        <v>21</v>
      </c>
      <c r="J8">
        <v>50027542</v>
      </c>
      <c r="K8" t="s">
        <v>44</v>
      </c>
      <c r="L8" t="s">
        <v>23</v>
      </c>
      <c r="M8" t="s">
        <v>45</v>
      </c>
      <c r="N8" t="s">
        <v>30</v>
      </c>
      <c r="O8" t="s">
        <v>17</v>
      </c>
      <c r="P8" t="s">
        <v>17</v>
      </c>
    </row>
    <row r="9" spans="1:16" x14ac:dyDescent="0.25">
      <c r="A9" t="s">
        <v>16</v>
      </c>
      <c r="B9" t="s">
        <v>16</v>
      </c>
      <c r="C9" t="s">
        <v>17</v>
      </c>
      <c r="D9" t="s">
        <v>26</v>
      </c>
      <c r="E9" t="s">
        <v>19</v>
      </c>
      <c r="F9" t="s">
        <v>41</v>
      </c>
      <c r="G9">
        <v>60</v>
      </c>
      <c r="H9">
        <v>17086692</v>
      </c>
      <c r="I9" t="s">
        <v>21</v>
      </c>
      <c r="J9">
        <v>50074203</v>
      </c>
      <c r="K9" t="s">
        <v>46</v>
      </c>
      <c r="L9" t="s">
        <v>23</v>
      </c>
      <c r="M9" t="s">
        <v>47</v>
      </c>
      <c r="N9" t="s">
        <v>30</v>
      </c>
      <c r="O9" t="s">
        <v>17</v>
      </c>
      <c r="P9" t="s">
        <v>17</v>
      </c>
    </row>
    <row r="10" spans="1:16" x14ac:dyDescent="0.25">
      <c r="A10" t="s">
        <v>16</v>
      </c>
      <c r="B10" t="s">
        <v>16</v>
      </c>
      <c r="C10" t="s">
        <v>17</v>
      </c>
      <c r="D10" t="s">
        <v>26</v>
      </c>
      <c r="E10" t="s">
        <v>19</v>
      </c>
      <c r="F10" t="s">
        <v>27</v>
      </c>
      <c r="G10">
        <v>60</v>
      </c>
      <c r="H10">
        <v>17086692</v>
      </c>
      <c r="I10" t="s">
        <v>21</v>
      </c>
      <c r="J10">
        <v>50125835</v>
      </c>
      <c r="K10" t="s">
        <v>48</v>
      </c>
      <c r="L10" t="s">
        <v>23</v>
      </c>
      <c r="M10" t="s">
        <v>49</v>
      </c>
      <c r="N10" t="s">
        <v>30</v>
      </c>
      <c r="O10" t="s">
        <v>17</v>
      </c>
      <c r="P10" t="s">
        <v>17</v>
      </c>
    </row>
    <row r="11" spans="1:16" x14ac:dyDescent="0.25">
      <c r="A11" t="s">
        <v>16</v>
      </c>
      <c r="B11" t="s">
        <v>16</v>
      </c>
      <c r="C11" t="s">
        <v>17</v>
      </c>
      <c r="D11" t="s">
        <v>26</v>
      </c>
      <c r="E11" t="s">
        <v>19</v>
      </c>
      <c r="F11" t="s">
        <v>27</v>
      </c>
      <c r="G11">
        <v>60</v>
      </c>
      <c r="H11">
        <v>17086692</v>
      </c>
      <c r="I11" t="s">
        <v>21</v>
      </c>
      <c r="J11">
        <v>50092045</v>
      </c>
      <c r="K11" t="s">
        <v>50</v>
      </c>
      <c r="L11" t="s">
        <v>23</v>
      </c>
      <c r="M11" t="s">
        <v>51</v>
      </c>
      <c r="N11" t="s">
        <v>30</v>
      </c>
      <c r="O11" t="s">
        <v>17</v>
      </c>
      <c r="P11" t="s">
        <v>17</v>
      </c>
    </row>
    <row r="12" spans="1:16" x14ac:dyDescent="0.25">
      <c r="A12" t="s">
        <v>16</v>
      </c>
      <c r="B12" t="s">
        <v>16</v>
      </c>
      <c r="C12" t="s">
        <v>17</v>
      </c>
      <c r="D12" t="s">
        <v>26</v>
      </c>
      <c r="E12" t="s">
        <v>19</v>
      </c>
      <c r="F12" t="s">
        <v>27</v>
      </c>
      <c r="G12">
        <v>60</v>
      </c>
      <c r="H12">
        <v>17086692</v>
      </c>
      <c r="I12" t="s">
        <v>21</v>
      </c>
      <c r="J12">
        <v>51026418</v>
      </c>
      <c r="K12" t="s">
        <v>52</v>
      </c>
      <c r="L12" t="s">
        <v>23</v>
      </c>
      <c r="M12" t="s">
        <v>53</v>
      </c>
      <c r="N12" t="s">
        <v>30</v>
      </c>
      <c r="O12" t="s">
        <v>17</v>
      </c>
      <c r="P12" t="s">
        <v>17</v>
      </c>
    </row>
    <row r="13" spans="1:16" x14ac:dyDescent="0.25">
      <c r="A13" t="s">
        <v>16</v>
      </c>
      <c r="B13" t="s">
        <v>16</v>
      </c>
      <c r="C13" t="s">
        <v>17</v>
      </c>
      <c r="D13" t="s">
        <v>26</v>
      </c>
      <c r="E13" t="s">
        <v>19</v>
      </c>
      <c r="F13" t="s">
        <v>27</v>
      </c>
      <c r="G13">
        <v>60</v>
      </c>
      <c r="H13">
        <v>17086692</v>
      </c>
      <c r="I13" t="s">
        <v>21</v>
      </c>
      <c r="J13">
        <v>51042757</v>
      </c>
      <c r="K13" t="s">
        <v>54</v>
      </c>
      <c r="L13" t="s">
        <v>23</v>
      </c>
      <c r="M13" t="s">
        <v>55</v>
      </c>
      <c r="N13" t="s">
        <v>56</v>
      </c>
      <c r="O13" t="s">
        <v>17</v>
      </c>
      <c r="P13" t="s">
        <v>17</v>
      </c>
    </row>
    <row r="14" spans="1:16" x14ac:dyDescent="0.25">
      <c r="A14" t="s">
        <v>16</v>
      </c>
      <c r="B14" t="s">
        <v>16</v>
      </c>
      <c r="C14" t="s">
        <v>17</v>
      </c>
      <c r="D14" t="s">
        <v>26</v>
      </c>
      <c r="E14" t="s">
        <v>19</v>
      </c>
      <c r="F14" t="s">
        <v>41</v>
      </c>
      <c r="G14">
        <v>60</v>
      </c>
      <c r="H14">
        <v>17086692</v>
      </c>
      <c r="I14" t="s">
        <v>21</v>
      </c>
      <c r="J14">
        <v>50065597</v>
      </c>
      <c r="K14" t="s">
        <v>57</v>
      </c>
      <c r="L14" t="s">
        <v>23</v>
      </c>
      <c r="M14" t="s">
        <v>58</v>
      </c>
      <c r="N14" t="s">
        <v>30</v>
      </c>
      <c r="O14" t="s">
        <v>17</v>
      </c>
      <c r="P14" t="s">
        <v>17</v>
      </c>
    </row>
    <row r="15" spans="1:16" x14ac:dyDescent="0.25">
      <c r="A15" t="s">
        <v>16</v>
      </c>
      <c r="B15" t="s">
        <v>16</v>
      </c>
      <c r="C15" t="s">
        <v>17</v>
      </c>
      <c r="D15" t="s">
        <v>26</v>
      </c>
      <c r="E15" t="s">
        <v>19</v>
      </c>
      <c r="F15" t="s">
        <v>41</v>
      </c>
      <c r="G15">
        <v>60</v>
      </c>
      <c r="H15">
        <v>17086692</v>
      </c>
      <c r="I15" t="s">
        <v>21</v>
      </c>
      <c r="J15">
        <v>50016536</v>
      </c>
      <c r="K15" t="s">
        <v>59</v>
      </c>
      <c r="L15" t="s">
        <v>23</v>
      </c>
      <c r="M15" t="s">
        <v>60</v>
      </c>
      <c r="N15" t="s">
        <v>30</v>
      </c>
      <c r="O15" t="s">
        <v>17</v>
      </c>
      <c r="P15" t="s">
        <v>17</v>
      </c>
    </row>
    <row r="16" spans="1:16" x14ac:dyDescent="0.25">
      <c r="A16" t="s">
        <v>16</v>
      </c>
      <c r="B16" t="s">
        <v>16</v>
      </c>
      <c r="C16" t="s">
        <v>17</v>
      </c>
      <c r="D16" t="s">
        <v>26</v>
      </c>
      <c r="E16" t="s">
        <v>19</v>
      </c>
      <c r="F16" t="s">
        <v>41</v>
      </c>
      <c r="G16">
        <v>100</v>
      </c>
      <c r="H16">
        <v>17086692</v>
      </c>
      <c r="I16" t="s">
        <v>21</v>
      </c>
      <c r="J16">
        <v>51047255</v>
      </c>
      <c r="K16" t="s">
        <v>61</v>
      </c>
      <c r="L16" t="s">
        <v>23</v>
      </c>
      <c r="M16" t="s">
        <v>62</v>
      </c>
      <c r="N16" t="s">
        <v>30</v>
      </c>
      <c r="O16" t="s">
        <v>17</v>
      </c>
      <c r="P16" t="s">
        <v>17</v>
      </c>
    </row>
    <row r="17" spans="1:16" x14ac:dyDescent="0.25">
      <c r="A17" t="s">
        <v>16</v>
      </c>
      <c r="B17" t="s">
        <v>16</v>
      </c>
      <c r="C17" t="s">
        <v>17</v>
      </c>
      <c r="D17" t="s">
        <v>26</v>
      </c>
      <c r="E17" t="s">
        <v>19</v>
      </c>
      <c r="F17" t="s">
        <v>20</v>
      </c>
      <c r="G17">
        <v>150</v>
      </c>
      <c r="H17">
        <v>17086692</v>
      </c>
      <c r="I17" t="s">
        <v>21</v>
      </c>
      <c r="J17">
        <v>51046848</v>
      </c>
      <c r="K17" t="s">
        <v>22</v>
      </c>
      <c r="L17" t="s">
        <v>23</v>
      </c>
      <c r="M17" t="s">
        <v>24</v>
      </c>
      <c r="N17" t="s">
        <v>25</v>
      </c>
      <c r="O17" t="s">
        <v>17</v>
      </c>
      <c r="P17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9F20-4821-42DC-BDF5-1C28B41BB67A}">
  <dimension ref="A1:Q17"/>
  <sheetViews>
    <sheetView tabSelected="1" workbookViewId="0">
      <selection activeCell="N12" sqref="N12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5.140625" customWidth="1"/>
    <col min="12" max="12" width="14.5703125" bestFit="1" customWidth="1"/>
    <col min="13" max="13" width="9.5703125" bestFit="1" customWidth="1"/>
    <col min="14" max="14" width="20.42578125" bestFit="1" customWidth="1"/>
    <col min="15" max="15" width="13.5703125" bestFit="1" customWidth="1"/>
    <col min="16" max="16" width="15.28515625" bestFit="1" customWidth="1"/>
    <col min="17" max="17" width="6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7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29.42</v>
      </c>
      <c r="H2">
        <v>21618313</v>
      </c>
      <c r="I2" t="s">
        <v>21</v>
      </c>
      <c r="J2">
        <v>51046848</v>
      </c>
      <c r="K2">
        <v>51046848</v>
      </c>
      <c r="L2" t="s">
        <v>22</v>
      </c>
      <c r="M2" t="s">
        <v>23</v>
      </c>
      <c r="N2" t="s">
        <v>24</v>
      </c>
      <c r="O2" s="1">
        <v>45992</v>
      </c>
      <c r="P2" t="s">
        <v>65</v>
      </c>
      <c r="Q2" t="s">
        <v>64</v>
      </c>
    </row>
    <row r="3" spans="1:17" x14ac:dyDescent="0.25">
      <c r="A3" t="s">
        <v>16</v>
      </c>
      <c r="B3" t="s">
        <v>16</v>
      </c>
      <c r="C3" t="s">
        <v>17</v>
      </c>
      <c r="D3" t="s">
        <v>26</v>
      </c>
      <c r="E3" t="s">
        <v>19</v>
      </c>
      <c r="F3" t="s">
        <v>63</v>
      </c>
      <c r="G3">
        <v>60</v>
      </c>
      <c r="H3">
        <v>20411454</v>
      </c>
      <c r="I3" t="s">
        <v>21</v>
      </c>
      <c r="J3">
        <v>50110456</v>
      </c>
      <c r="K3" t="str">
        <f>CONCATENATE(J3,"OVR")</f>
        <v>50110456OVR</v>
      </c>
      <c r="L3" t="s">
        <v>28</v>
      </c>
      <c r="M3" t="s">
        <v>23</v>
      </c>
      <c r="N3" t="s">
        <v>29</v>
      </c>
      <c r="O3" s="1">
        <v>46023</v>
      </c>
      <c r="P3" t="s">
        <v>66</v>
      </c>
    </row>
    <row r="4" spans="1:17" x14ac:dyDescent="0.25">
      <c r="A4" t="s">
        <v>16</v>
      </c>
      <c r="B4" t="s">
        <v>16</v>
      </c>
      <c r="C4" t="s">
        <v>17</v>
      </c>
      <c r="D4" t="s">
        <v>26</v>
      </c>
      <c r="E4" t="s">
        <v>19</v>
      </c>
      <c r="F4" t="s">
        <v>63</v>
      </c>
      <c r="G4">
        <v>60</v>
      </c>
      <c r="H4">
        <v>20411454</v>
      </c>
      <c r="I4" t="s">
        <v>21</v>
      </c>
      <c r="J4">
        <v>51040690</v>
      </c>
      <c r="K4" t="str">
        <f t="shared" ref="K4:K17" si="0">CONCATENATE(J4,"OVR")</f>
        <v>51040690OVR</v>
      </c>
      <c r="L4" t="s">
        <v>31</v>
      </c>
      <c r="M4" t="s">
        <v>23</v>
      </c>
      <c r="N4" t="s">
        <v>32</v>
      </c>
      <c r="O4" s="1">
        <v>45839</v>
      </c>
      <c r="P4" t="s">
        <v>66</v>
      </c>
    </row>
    <row r="5" spans="1:17" x14ac:dyDescent="0.25">
      <c r="A5" t="s">
        <v>16</v>
      </c>
      <c r="B5" t="s">
        <v>16</v>
      </c>
      <c r="C5" t="s">
        <v>17</v>
      </c>
      <c r="D5" t="s">
        <v>26</v>
      </c>
      <c r="E5" t="s">
        <v>19</v>
      </c>
      <c r="F5" t="s">
        <v>63</v>
      </c>
      <c r="G5">
        <v>60</v>
      </c>
      <c r="H5">
        <v>20411454</v>
      </c>
      <c r="I5" t="s">
        <v>21</v>
      </c>
      <c r="J5">
        <v>50013881</v>
      </c>
      <c r="K5" t="str">
        <f t="shared" si="0"/>
        <v>50013881OVR</v>
      </c>
      <c r="L5" t="s">
        <v>34</v>
      </c>
      <c r="M5" t="s">
        <v>23</v>
      </c>
      <c r="N5" t="s">
        <v>35</v>
      </c>
      <c r="O5" s="1">
        <v>45748</v>
      </c>
      <c r="P5" t="s">
        <v>66</v>
      </c>
    </row>
    <row r="6" spans="1:17" x14ac:dyDescent="0.25">
      <c r="A6" t="s">
        <v>16</v>
      </c>
      <c r="B6" t="s">
        <v>16</v>
      </c>
      <c r="C6" t="s">
        <v>17</v>
      </c>
      <c r="D6" t="s">
        <v>26</v>
      </c>
      <c r="E6" t="s">
        <v>19</v>
      </c>
      <c r="F6" t="s">
        <v>63</v>
      </c>
      <c r="G6">
        <v>60</v>
      </c>
      <c r="H6">
        <v>20411454</v>
      </c>
      <c r="I6" t="s">
        <v>21</v>
      </c>
      <c r="J6">
        <v>50010651</v>
      </c>
      <c r="K6" t="str">
        <f t="shared" si="0"/>
        <v>50010651OVR</v>
      </c>
      <c r="L6" t="s">
        <v>39</v>
      </c>
      <c r="M6" t="s">
        <v>23</v>
      </c>
      <c r="N6" t="s">
        <v>40</v>
      </c>
      <c r="O6" s="1">
        <v>46023</v>
      </c>
      <c r="P6" t="s">
        <v>66</v>
      </c>
    </row>
    <row r="7" spans="1:17" x14ac:dyDescent="0.25">
      <c r="A7" t="s">
        <v>16</v>
      </c>
      <c r="B7" t="s">
        <v>16</v>
      </c>
      <c r="C7" t="s">
        <v>17</v>
      </c>
      <c r="D7" t="s">
        <v>26</v>
      </c>
      <c r="E7" t="s">
        <v>19</v>
      </c>
      <c r="F7" t="s">
        <v>63</v>
      </c>
      <c r="G7">
        <v>60</v>
      </c>
      <c r="H7">
        <v>20411454</v>
      </c>
      <c r="I7" t="s">
        <v>21</v>
      </c>
      <c r="J7">
        <v>51025766</v>
      </c>
      <c r="K7" t="str">
        <f t="shared" si="0"/>
        <v>51025766OVR</v>
      </c>
      <c r="L7" t="s">
        <v>42</v>
      </c>
      <c r="M7" t="s">
        <v>23</v>
      </c>
      <c r="N7" t="s">
        <v>43</v>
      </c>
      <c r="O7" s="1">
        <v>46023</v>
      </c>
      <c r="P7" t="s">
        <v>66</v>
      </c>
    </row>
    <row r="8" spans="1:17" x14ac:dyDescent="0.25">
      <c r="A8" t="s">
        <v>16</v>
      </c>
      <c r="B8" t="s">
        <v>16</v>
      </c>
      <c r="C8" t="s">
        <v>17</v>
      </c>
      <c r="D8" t="s">
        <v>26</v>
      </c>
      <c r="E8" t="s">
        <v>19</v>
      </c>
      <c r="F8" t="s">
        <v>63</v>
      </c>
      <c r="G8">
        <v>60</v>
      </c>
      <c r="H8">
        <v>20411454</v>
      </c>
      <c r="I8" t="s">
        <v>21</v>
      </c>
      <c r="J8">
        <v>50027542</v>
      </c>
      <c r="K8" t="str">
        <f t="shared" si="0"/>
        <v>50027542OVR</v>
      </c>
      <c r="L8" t="s">
        <v>44</v>
      </c>
      <c r="M8" t="s">
        <v>23</v>
      </c>
      <c r="N8" t="s">
        <v>45</v>
      </c>
      <c r="O8" s="1">
        <v>46023</v>
      </c>
      <c r="P8" t="s">
        <v>66</v>
      </c>
    </row>
    <row r="9" spans="1:17" x14ac:dyDescent="0.25">
      <c r="A9" t="s">
        <v>16</v>
      </c>
      <c r="B9" t="s">
        <v>16</v>
      </c>
      <c r="C9" t="s">
        <v>17</v>
      </c>
      <c r="D9" t="s">
        <v>26</v>
      </c>
      <c r="E9" t="s">
        <v>19</v>
      </c>
      <c r="F9" t="s">
        <v>63</v>
      </c>
      <c r="G9">
        <v>60</v>
      </c>
      <c r="H9">
        <v>20411454</v>
      </c>
      <c r="I9" t="s">
        <v>21</v>
      </c>
      <c r="J9">
        <v>50074203</v>
      </c>
      <c r="K9" t="str">
        <f t="shared" si="0"/>
        <v>50074203OVR</v>
      </c>
      <c r="L9" t="s">
        <v>46</v>
      </c>
      <c r="M9" t="s">
        <v>23</v>
      </c>
      <c r="N9" t="s">
        <v>47</v>
      </c>
      <c r="O9" s="1">
        <v>46023</v>
      </c>
      <c r="P9" t="s">
        <v>66</v>
      </c>
    </row>
    <row r="10" spans="1:17" x14ac:dyDescent="0.25">
      <c r="A10" t="s">
        <v>16</v>
      </c>
      <c r="B10" t="s">
        <v>16</v>
      </c>
      <c r="C10" t="s">
        <v>17</v>
      </c>
      <c r="D10" t="s">
        <v>26</v>
      </c>
      <c r="E10" t="s">
        <v>19</v>
      </c>
      <c r="F10" t="s">
        <v>63</v>
      </c>
      <c r="G10">
        <v>60</v>
      </c>
      <c r="H10">
        <v>20411454</v>
      </c>
      <c r="I10" t="s">
        <v>21</v>
      </c>
      <c r="J10">
        <v>50125835</v>
      </c>
      <c r="K10" t="str">
        <f t="shared" si="0"/>
        <v>50125835OVR</v>
      </c>
      <c r="L10" t="s">
        <v>48</v>
      </c>
      <c r="M10" t="s">
        <v>23</v>
      </c>
      <c r="N10" t="s">
        <v>49</v>
      </c>
      <c r="O10" s="1">
        <v>46023</v>
      </c>
      <c r="P10" t="s">
        <v>66</v>
      </c>
    </row>
    <row r="11" spans="1:17" x14ac:dyDescent="0.25">
      <c r="A11" t="s">
        <v>16</v>
      </c>
      <c r="B11" t="s">
        <v>16</v>
      </c>
      <c r="C11" t="s">
        <v>17</v>
      </c>
      <c r="D11" t="s">
        <v>26</v>
      </c>
      <c r="E11" t="s">
        <v>19</v>
      </c>
      <c r="F11" t="s">
        <v>63</v>
      </c>
      <c r="G11">
        <v>60</v>
      </c>
      <c r="H11">
        <v>20411454</v>
      </c>
      <c r="I11" t="s">
        <v>21</v>
      </c>
      <c r="J11">
        <v>50092045</v>
      </c>
      <c r="K11" t="str">
        <f t="shared" si="0"/>
        <v>50092045OVR</v>
      </c>
      <c r="L11" t="s">
        <v>50</v>
      </c>
      <c r="M11" t="s">
        <v>23</v>
      </c>
      <c r="N11" t="s">
        <v>51</v>
      </c>
      <c r="O11" s="1">
        <v>46023</v>
      </c>
      <c r="P11" t="s">
        <v>66</v>
      </c>
    </row>
    <row r="12" spans="1:17" x14ac:dyDescent="0.25">
      <c r="A12" t="s">
        <v>16</v>
      </c>
      <c r="B12" t="s">
        <v>16</v>
      </c>
      <c r="C12" t="s">
        <v>17</v>
      </c>
      <c r="D12" t="s">
        <v>26</v>
      </c>
      <c r="E12" t="s">
        <v>19</v>
      </c>
      <c r="F12" t="s">
        <v>63</v>
      </c>
      <c r="G12">
        <v>60</v>
      </c>
      <c r="H12">
        <v>20411454</v>
      </c>
      <c r="I12" t="s">
        <v>21</v>
      </c>
      <c r="J12">
        <v>51026418</v>
      </c>
      <c r="K12" t="str">
        <f t="shared" si="0"/>
        <v>51026418OVR</v>
      </c>
      <c r="L12" t="s">
        <v>52</v>
      </c>
      <c r="M12" t="s">
        <v>23</v>
      </c>
      <c r="N12" t="s">
        <v>53</v>
      </c>
      <c r="O12" s="1">
        <v>46023</v>
      </c>
      <c r="P12" t="s">
        <v>66</v>
      </c>
    </row>
    <row r="13" spans="1:17" x14ac:dyDescent="0.25">
      <c r="A13" t="s">
        <v>16</v>
      </c>
      <c r="B13" t="s">
        <v>16</v>
      </c>
      <c r="C13" t="s">
        <v>17</v>
      </c>
      <c r="D13" t="s">
        <v>26</v>
      </c>
      <c r="E13" t="s">
        <v>19</v>
      </c>
      <c r="F13" t="s">
        <v>63</v>
      </c>
      <c r="G13">
        <v>60</v>
      </c>
      <c r="H13">
        <v>20411454</v>
      </c>
      <c r="I13" t="s">
        <v>21</v>
      </c>
      <c r="J13">
        <v>51042757</v>
      </c>
      <c r="K13" t="str">
        <f t="shared" si="0"/>
        <v>51042757OVR</v>
      </c>
      <c r="L13" t="s">
        <v>54</v>
      </c>
      <c r="M13" t="s">
        <v>23</v>
      </c>
      <c r="N13" t="s">
        <v>55</v>
      </c>
      <c r="O13" s="1">
        <v>45870</v>
      </c>
      <c r="P13" t="s">
        <v>66</v>
      </c>
    </row>
    <row r="14" spans="1:17" x14ac:dyDescent="0.25">
      <c r="A14" t="s">
        <v>16</v>
      </c>
      <c r="B14" t="s">
        <v>16</v>
      </c>
      <c r="C14" t="s">
        <v>17</v>
      </c>
      <c r="D14" t="s">
        <v>26</v>
      </c>
      <c r="E14" t="s">
        <v>19</v>
      </c>
      <c r="F14" t="s">
        <v>63</v>
      </c>
      <c r="G14">
        <v>60</v>
      </c>
      <c r="H14">
        <v>20411454</v>
      </c>
      <c r="I14" t="s">
        <v>21</v>
      </c>
      <c r="J14">
        <v>50065597</v>
      </c>
      <c r="K14" t="str">
        <f t="shared" si="0"/>
        <v>50065597OVR</v>
      </c>
      <c r="L14" t="s">
        <v>57</v>
      </c>
      <c r="M14" t="s">
        <v>23</v>
      </c>
      <c r="N14" t="s">
        <v>58</v>
      </c>
      <c r="O14" s="1">
        <v>46023</v>
      </c>
      <c r="P14" t="s">
        <v>66</v>
      </c>
    </row>
    <row r="15" spans="1:17" x14ac:dyDescent="0.25">
      <c r="A15" t="s">
        <v>16</v>
      </c>
      <c r="B15" t="s">
        <v>16</v>
      </c>
      <c r="C15" t="s">
        <v>17</v>
      </c>
      <c r="D15" t="s">
        <v>26</v>
      </c>
      <c r="E15" t="s">
        <v>19</v>
      </c>
      <c r="F15" t="s">
        <v>63</v>
      </c>
      <c r="G15">
        <v>60</v>
      </c>
      <c r="H15">
        <v>20411454</v>
      </c>
      <c r="I15" t="s">
        <v>21</v>
      </c>
      <c r="J15">
        <v>50016536</v>
      </c>
      <c r="K15" t="str">
        <f t="shared" si="0"/>
        <v>50016536OVR</v>
      </c>
      <c r="L15" t="s">
        <v>59</v>
      </c>
      <c r="M15" t="s">
        <v>23</v>
      </c>
      <c r="N15" t="s">
        <v>60</v>
      </c>
      <c r="O15" s="1">
        <v>46023</v>
      </c>
      <c r="P15" t="s">
        <v>66</v>
      </c>
    </row>
    <row r="16" spans="1:17" x14ac:dyDescent="0.25">
      <c r="A16" t="s">
        <v>16</v>
      </c>
      <c r="B16" t="s">
        <v>16</v>
      </c>
      <c r="C16" t="s">
        <v>17</v>
      </c>
      <c r="D16" t="s">
        <v>26</v>
      </c>
      <c r="E16" t="s">
        <v>19</v>
      </c>
      <c r="F16" t="s">
        <v>63</v>
      </c>
      <c r="G16">
        <v>100</v>
      </c>
      <c r="H16">
        <v>20411454</v>
      </c>
      <c r="I16" t="s">
        <v>21</v>
      </c>
      <c r="J16">
        <v>51047255</v>
      </c>
      <c r="K16" t="str">
        <f t="shared" si="0"/>
        <v>51047255OVR</v>
      </c>
      <c r="L16" t="s">
        <v>61</v>
      </c>
      <c r="M16" t="s">
        <v>23</v>
      </c>
      <c r="N16" t="s">
        <v>62</v>
      </c>
      <c r="O16" s="1">
        <v>46023</v>
      </c>
      <c r="P16" t="s">
        <v>66</v>
      </c>
    </row>
    <row r="17" spans="1:16" x14ac:dyDescent="0.25">
      <c r="A17" t="s">
        <v>16</v>
      </c>
      <c r="B17" t="s">
        <v>16</v>
      </c>
      <c r="C17" t="s">
        <v>17</v>
      </c>
      <c r="D17" t="s">
        <v>26</v>
      </c>
      <c r="E17" t="s">
        <v>19</v>
      </c>
      <c r="F17" t="s">
        <v>63</v>
      </c>
      <c r="G17">
        <v>150</v>
      </c>
      <c r="H17">
        <v>20411454</v>
      </c>
      <c r="I17" t="s">
        <v>21</v>
      </c>
      <c r="J17">
        <v>51046848</v>
      </c>
      <c r="K17" t="str">
        <f t="shared" si="0"/>
        <v>51046848OVR</v>
      </c>
      <c r="L17" t="s">
        <v>22</v>
      </c>
      <c r="M17" t="s">
        <v>23</v>
      </c>
      <c r="N17" t="s">
        <v>24</v>
      </c>
      <c r="O17" s="1">
        <v>45992</v>
      </c>
      <c r="P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2025-12-08T14:10:01Z</dcterms:created>
  <dcterms:modified xsi:type="dcterms:W3CDTF">2025-12-08T20:08:13Z</dcterms:modified>
  <cp:category/>
</cp:coreProperties>
</file>