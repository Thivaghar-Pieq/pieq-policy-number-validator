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DD1EB014-8A56-46C6-848B-3F3BD75282C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5" i="2" l="1"/>
  <c r="J4" i="2"/>
  <c r="J3" i="2"/>
  <c r="J2" i="2"/>
  <c r="P8" i="2"/>
  <c r="P7" i="2"/>
  <c r="P9" i="2"/>
  <c r="P6" i="2"/>
</calcChain>
</file>

<file path=xl/sharedStrings.xml><?xml version="1.0" encoding="utf-8"?>
<sst xmlns="http://schemas.openxmlformats.org/spreadsheetml/2006/main" count="204" uniqueCount="37">
  <si>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</si>
  <si>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</si>
  <si>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</si>
  <si>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</si>
  <si>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</si>
  <si>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</si>
  <si>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</si>
  <si>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</si>
  <si>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</si>
  <si>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</si>
  <si>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</si>
  <si>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</si>
  <si>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</si>
  <si>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</si>
  <si>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2025-07-21</t>
  </si>
  <si>
    <t/>
  </si>
  <si>
    <t>Agent Pay</t>
  </si>
  <si>
    <t>MLB</t>
  </si>
  <si>
    <t>Kozacheck, Anne Marie</t>
  </si>
  <si>
    <t>Ibc</t>
  </si>
  <si>
    <t>MAPD</t>
  </si>
  <si>
    <t>Foley, Carol</t>
  </si>
  <si>
    <t>Whelan Sr, Michael</t>
  </si>
  <si>
    <t>2025-09-01</t>
  </si>
  <si>
    <t>Gaugler, Ronald</t>
  </si>
  <si>
    <t>2025-08-01</t>
  </si>
  <si>
    <t>Miller, Frances</t>
  </si>
  <si>
    <t>Agency Marketing Fee</t>
  </si>
  <si>
    <t>Richter, Peter</t>
  </si>
  <si>
    <t>Golato, Cheryl</t>
  </si>
  <si>
    <t>2025-07-01</t>
  </si>
  <si>
    <t>IBC MAPD OVR 2025</t>
  </si>
  <si>
    <t>Main Line Benefits</t>
  </si>
  <si>
    <t>IBC MAPD 2025*</t>
  </si>
  <si>
    <t>[%/$=353][prorate=4/12]</t>
  </si>
  <si>
    <t>[%/$=353][prorate=6/12]</t>
  </si>
  <si>
    <t>[%/$=353][prorate=5/12]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</si>
</sst>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10" sqref="F10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8.28515625" bestFit="1" customWidth="1"/>
    <col min="12" max="12" width="13.5703125" bestFit="1" customWidth="1"/>
    <col min="13" max="13" width="10.425781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>
        <v>117.67</v>
      </c>
      <c r="H2" t="s">
        <v>19</v>
      </c>
      <c r="I2">
        <v>51041938</v>
      </c>
      <c r="J2" t="s">
        <v>20</v>
      </c>
      <c r="K2" t="s">
        <v>22</v>
      </c>
      <c r="L2" t="s">
        <v>23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147.08000000000001</v>
      </c>
      <c r="H3" t="s">
        <v>19</v>
      </c>
      <c r="I3">
        <v>51041982</v>
      </c>
      <c r="J3" t="s">
        <v>20</v>
      </c>
      <c r="K3" t="s">
        <v>24</v>
      </c>
      <c r="L3" t="s">
        <v>25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147.08000000000001</v>
      </c>
      <c r="H4" t="s">
        <v>19</v>
      </c>
      <c r="I4">
        <v>51041979</v>
      </c>
      <c r="J4" t="s">
        <v>20</v>
      </c>
      <c r="K4" t="s">
        <v>26</v>
      </c>
      <c r="L4" t="s">
        <v>25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27</v>
      </c>
      <c r="E5" t="s">
        <v>17</v>
      </c>
      <c r="F5" t="s">
        <v>18</v>
      </c>
      <c r="G5">
        <v>150</v>
      </c>
      <c r="H5" t="s">
        <v>19</v>
      </c>
      <c r="I5">
        <v>51041982</v>
      </c>
      <c r="J5" t="s">
        <v>20</v>
      </c>
      <c r="K5" t="s">
        <v>24</v>
      </c>
      <c r="L5" t="s">
        <v>25</v>
      </c>
      <c r="M5" t="s">
        <v>15</v>
      </c>
      <c r="N5" t="s">
        <v>15</v>
      </c>
    </row>
    <row r="6" spans="1:14" x14ac:dyDescent="0.25">
      <c r="A6" t="s">
        <v>14</v>
      </c>
      <c r="B6" t="s">
        <v>14</v>
      </c>
      <c r="C6" t="s">
        <v>15</v>
      </c>
      <c r="D6" t="s">
        <v>27</v>
      </c>
      <c r="E6" t="s">
        <v>17</v>
      </c>
      <c r="F6" t="s">
        <v>28</v>
      </c>
      <c r="G6">
        <v>150</v>
      </c>
      <c r="H6" t="s">
        <v>19</v>
      </c>
      <c r="I6">
        <v>51041841</v>
      </c>
      <c r="J6" t="s">
        <v>20</v>
      </c>
      <c r="K6" t="s">
        <v>29</v>
      </c>
      <c r="L6" t="s">
        <v>30</v>
      </c>
      <c r="M6" t="s">
        <v>15</v>
      </c>
      <c r="N6" t="s">
        <v>15</v>
      </c>
    </row>
    <row r="7" spans="1:14" x14ac:dyDescent="0.25">
      <c r="A7" t="s">
        <v>14</v>
      </c>
      <c r="B7" t="s">
        <v>14</v>
      </c>
      <c r="C7" t="s">
        <v>15</v>
      </c>
      <c r="D7" t="s">
        <v>27</v>
      </c>
      <c r="E7" t="s">
        <v>17</v>
      </c>
      <c r="F7" t="s">
        <v>18</v>
      </c>
      <c r="G7">
        <v>150</v>
      </c>
      <c r="H7" t="s">
        <v>19</v>
      </c>
      <c r="I7">
        <v>51041979</v>
      </c>
      <c r="J7" t="s">
        <v>20</v>
      </c>
      <c r="K7" t="s">
        <v>26</v>
      </c>
      <c r="L7" t="s">
        <v>25</v>
      </c>
      <c r="M7" t="s">
        <v>15</v>
      </c>
      <c r="N7" t="s">
        <v>15</v>
      </c>
    </row>
    <row r="8" spans="1:14" x14ac:dyDescent="0.25">
      <c r="A8" t="s">
        <v>14</v>
      </c>
      <c r="B8" t="s">
        <v>14</v>
      </c>
      <c r="C8" t="s">
        <v>15</v>
      </c>
      <c r="D8" t="s">
        <v>27</v>
      </c>
      <c r="E8" t="s">
        <v>17</v>
      </c>
      <c r="F8" t="s">
        <v>21</v>
      </c>
      <c r="G8">
        <v>150</v>
      </c>
      <c r="H8" t="s">
        <v>19</v>
      </c>
      <c r="I8">
        <v>51041938</v>
      </c>
      <c r="J8" t="s">
        <v>20</v>
      </c>
      <c r="K8" t="s">
        <v>22</v>
      </c>
      <c r="L8" t="s">
        <v>23</v>
      </c>
      <c r="M8" t="s">
        <v>15</v>
      </c>
      <c r="N8" t="s">
        <v>15</v>
      </c>
    </row>
    <row r="9" spans="1:14" x14ac:dyDescent="0.25">
      <c r="A9" t="s">
        <v>14</v>
      </c>
      <c r="B9" t="s">
        <v>14</v>
      </c>
      <c r="C9" t="s">
        <v>15</v>
      </c>
      <c r="D9" t="s">
        <v>16</v>
      </c>
      <c r="E9" t="s">
        <v>17</v>
      </c>
      <c r="F9" t="s">
        <v>28</v>
      </c>
      <c r="G9">
        <v>176.5</v>
      </c>
      <c r="H9" t="s">
        <v>19</v>
      </c>
      <c r="I9">
        <v>51041841</v>
      </c>
      <c r="J9" t="s">
        <v>20</v>
      </c>
      <c r="K9" t="s">
        <v>29</v>
      </c>
      <c r="L9" t="s">
        <v>30</v>
      </c>
      <c r="M9" t="s">
        <v>15</v>
      </c>
      <c r="N9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2CD3-C604-4EDD-BA98-627C75A3265F}">
  <dimension ref="A1:P12"/>
  <sheetViews>
    <sheetView workbookViewId="0">
      <selection activeCell="J12" sqref="J12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12.42578125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15.140625" customWidth="1"/>
    <col min="11" max="11" width="9.5703125" bestFit="1" customWidth="1"/>
    <col min="12" max="12" width="18.28515625" bestFit="1" customWidth="1"/>
    <col min="13" max="13" width="13.5703125" bestFit="1" customWidth="1"/>
    <col min="14" max="14" width="18.7109375" bestFit="1" customWidth="1"/>
    <col min="15" max="15" width="23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6" x14ac:dyDescent="0.25">
      <c r="A2" t="s">
        <v>14</v>
      </c>
      <c r="B2" t="s">
        <v>14</v>
      </c>
      <c r="C2" t="s">
        <v>15</v>
      </c>
      <c r="D2" t="s">
        <v>27</v>
      </c>
      <c r="E2">
        <v>20411454</v>
      </c>
      <c r="F2" t="s">
        <v>32</v>
      </c>
      <c r="G2">
        <v>150</v>
      </c>
      <c r="H2" t="s">
        <v>19</v>
      </c>
      <c r="I2">
        <v>51041982</v>
      </c>
      <c r="J2" t="str">
        <f>CONCATENATE(I2,0)</f>
        <v>510419820</v>
      </c>
      <c r="K2" t="s">
        <v>20</v>
      </c>
      <c r="L2" t="s">
        <v>24</v>
      </c>
      <c r="M2" s="1">
        <v>45870</v>
      </c>
      <c r="N2" t="s">
        <v>31</v>
      </c>
      <c r="O2" t="s">
        <v>15</v>
      </c>
    </row>
    <row r="3" spans="1:16" x14ac:dyDescent="0.25">
      <c r="A3" t="s">
        <v>14</v>
      </c>
      <c r="B3" t="s">
        <v>14</v>
      </c>
      <c r="C3" t="s">
        <v>15</v>
      </c>
      <c r="D3" t="s">
        <v>27</v>
      </c>
      <c r="E3">
        <v>20411454</v>
      </c>
      <c r="F3" t="s">
        <v>32</v>
      </c>
      <c r="G3">
        <v>150</v>
      </c>
      <c r="H3" t="s">
        <v>19</v>
      </c>
      <c r="I3">
        <v>51041841</v>
      </c>
      <c r="J3" t="str">
        <f t="shared" ref="J3:J5" si="0">CONCATENATE(I3,0)</f>
        <v>510418410</v>
      </c>
      <c r="K3" t="s">
        <v>20</v>
      </c>
      <c r="L3" t="s">
        <v>29</v>
      </c>
      <c r="M3" s="1">
        <v>45839</v>
      </c>
      <c r="N3" t="s">
        <v>31</v>
      </c>
      <c r="O3" t="s">
        <v>15</v>
      </c>
    </row>
    <row r="4" spans="1:16" x14ac:dyDescent="0.25">
      <c r="A4" t="s">
        <v>14</v>
      </c>
      <c r="B4" t="s">
        <v>14</v>
      </c>
      <c r="C4" t="s">
        <v>15</v>
      </c>
      <c r="D4" t="s">
        <v>27</v>
      </c>
      <c r="E4">
        <v>20411454</v>
      </c>
      <c r="F4" t="s">
        <v>32</v>
      </c>
      <c r="G4">
        <v>150</v>
      </c>
      <c r="H4" t="s">
        <v>19</v>
      </c>
      <c r="I4">
        <v>51041979</v>
      </c>
      <c r="J4" t="str">
        <f t="shared" si="0"/>
        <v>510419790</v>
      </c>
      <c r="K4" t="s">
        <v>20</v>
      </c>
      <c r="L4" t="s">
        <v>26</v>
      </c>
      <c r="M4" s="1">
        <v>45870</v>
      </c>
      <c r="N4" t="s">
        <v>31</v>
      </c>
      <c r="O4" t="s">
        <v>15</v>
      </c>
    </row>
    <row r="5" spans="1:16" x14ac:dyDescent="0.25">
      <c r="A5" t="s">
        <v>14</v>
      </c>
      <c r="B5" t="s">
        <v>14</v>
      </c>
      <c r="C5" t="s">
        <v>15</v>
      </c>
      <c r="D5" t="s">
        <v>27</v>
      </c>
      <c r="E5">
        <v>20411454</v>
      </c>
      <c r="F5" t="s">
        <v>32</v>
      </c>
      <c r="G5">
        <v>150</v>
      </c>
      <c r="H5" t="s">
        <v>19</v>
      </c>
      <c r="I5">
        <v>51041938</v>
      </c>
      <c r="J5" t="str">
        <f t="shared" si="0"/>
        <v>510419380</v>
      </c>
      <c r="K5" t="s">
        <v>20</v>
      </c>
      <c r="L5" t="s">
        <v>22</v>
      </c>
      <c r="M5" s="1">
        <v>45901</v>
      </c>
      <c r="N5" t="s">
        <v>31</v>
      </c>
      <c r="O5" t="s">
        <v>15</v>
      </c>
    </row>
    <row r="6" spans="1:16" x14ac:dyDescent="0.25">
      <c r="A6" t="s">
        <v>14</v>
      </c>
      <c r="B6" t="s">
        <v>14</v>
      </c>
      <c r="C6" t="s">
        <v>15</v>
      </c>
      <c r="D6" t="s">
        <v>16</v>
      </c>
      <c r="E6">
        <v>17425766</v>
      </c>
      <c r="F6" t="s">
        <v>21</v>
      </c>
      <c r="G6">
        <v>117.67</v>
      </c>
      <c r="H6" t="s">
        <v>19</v>
      </c>
      <c r="I6">
        <v>51041938</v>
      </c>
      <c r="J6" s="2">
        <v>51041938</v>
      </c>
      <c r="K6" t="s">
        <v>20</v>
      </c>
      <c r="L6" t="s">
        <v>22</v>
      </c>
      <c r="M6" s="1">
        <v>45901</v>
      </c>
      <c r="N6" t="s">
        <v>33</v>
      </c>
      <c r="O6" t="s">
        <v>34</v>
      </c>
      <c r="P6">
        <f>353/12*4</f>
        <v>117.66666666666667</v>
      </c>
    </row>
    <row r="7" spans="1:16" x14ac:dyDescent="0.25">
      <c r="A7" t="s">
        <v>14</v>
      </c>
      <c r="B7" t="s">
        <v>14</v>
      </c>
      <c r="C7" t="s">
        <v>15</v>
      </c>
      <c r="D7" t="s">
        <v>16</v>
      </c>
      <c r="E7">
        <v>19278370</v>
      </c>
      <c r="F7" t="s">
        <v>18</v>
      </c>
      <c r="G7">
        <v>147.08000000000001</v>
      </c>
      <c r="H7" t="s">
        <v>19</v>
      </c>
      <c r="I7">
        <v>51041982</v>
      </c>
      <c r="J7" s="2">
        <v>51041982</v>
      </c>
      <c r="K7" t="s">
        <v>20</v>
      </c>
      <c r="L7" t="s">
        <v>24</v>
      </c>
      <c r="M7" s="1">
        <v>45870</v>
      </c>
      <c r="N7" t="s">
        <v>33</v>
      </c>
      <c r="O7" t="s">
        <v>36</v>
      </c>
      <c r="P7">
        <f>353/12*5</f>
        <v>147.08333333333334</v>
      </c>
    </row>
    <row r="8" spans="1:16" x14ac:dyDescent="0.25">
      <c r="A8" t="s">
        <v>14</v>
      </c>
      <c r="B8" t="s">
        <v>14</v>
      </c>
      <c r="C8" t="s">
        <v>15</v>
      </c>
      <c r="D8" t="s">
        <v>16</v>
      </c>
      <c r="E8">
        <v>19278370</v>
      </c>
      <c r="F8" t="s">
        <v>18</v>
      </c>
      <c r="G8">
        <v>147.08000000000001</v>
      </c>
      <c r="H8" t="s">
        <v>19</v>
      </c>
      <c r="I8">
        <v>51041979</v>
      </c>
      <c r="J8" s="2">
        <v>51041979</v>
      </c>
      <c r="K8" t="s">
        <v>20</v>
      </c>
      <c r="L8" t="s">
        <v>26</v>
      </c>
      <c r="M8" s="1">
        <v>45870</v>
      </c>
      <c r="N8" t="s">
        <v>33</v>
      </c>
      <c r="O8" t="s">
        <v>36</v>
      </c>
      <c r="P8">
        <f>353/12*5</f>
        <v>147.08333333333334</v>
      </c>
    </row>
    <row r="9" spans="1:16" x14ac:dyDescent="0.25">
      <c r="A9" t="s">
        <v>14</v>
      </c>
      <c r="B9" t="s">
        <v>14</v>
      </c>
      <c r="C9" t="s">
        <v>15</v>
      </c>
      <c r="D9" t="s">
        <v>16</v>
      </c>
      <c r="E9">
        <v>16509456</v>
      </c>
      <c r="F9" t="s">
        <v>28</v>
      </c>
      <c r="G9">
        <v>176.5</v>
      </c>
      <c r="H9" t="s">
        <v>19</v>
      </c>
      <c r="I9">
        <v>51041841</v>
      </c>
      <c r="J9" s="2">
        <v>51041841</v>
      </c>
      <c r="K9" t="s">
        <v>20</v>
      </c>
      <c r="L9" t="s">
        <v>29</v>
      </c>
      <c r="M9" s="1">
        <v>45839</v>
      </c>
      <c r="N9" t="s">
        <v>33</v>
      </c>
      <c r="O9" t="s">
        <v>35</v>
      </c>
      <c r="P9">
        <f>353/12*6</f>
        <v>176.5</v>
      </c>
    </row>
    <row r="12" spans="1:16" x14ac:dyDescent="0.25">
      <c r="J12">
        <v>51040773</v>
      </c>
    </row>
  </sheetData>
  <sortState xmlns:xlrd2="http://schemas.microsoft.com/office/spreadsheetml/2017/richdata2" ref="A2:O9"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2025-07-21T12:19:48Z</dcterms:created>
  <dcterms:modified xsi:type="dcterms:W3CDTF">2025-07-23T12:44:26Z</dcterms:modified>
  <cp:category/>
</cp:coreProperties>
</file>