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SRG\IBC MAPD 4-21-25\"/>
    </mc:Choice>
  </mc:AlternateContent>
  <xr:revisionPtr revIDLastSave="0" documentId="13_ncr:1_{3ADADA3A-7335-4205-A1BD-902E801BFC02}" xr6:coauthVersionLast="47" xr6:coauthVersionMax="47" xr10:uidLastSave="{00000000-0000-0000-0000-000000000000}"/>
  <bookViews>
    <workbookView xWindow="28680" yWindow="-120" windowWidth="29040" windowHeight="16440" activeTab="1" xr2:uid="{BA016BD1-FCE3-4DFE-A2B9-16788ABCCF2E}"/>
  </bookViews>
  <sheets>
    <sheet name="Sheet10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5" i="2"/>
  <c r="B10" i="2"/>
  <c r="B12" i="2"/>
  <c r="B14" i="2"/>
  <c r="B16" i="2"/>
  <c r="B8" i="2"/>
  <c r="N4" i="2"/>
  <c r="N15" i="2"/>
  <c r="N6" i="2"/>
  <c r="N13" i="2"/>
  <c r="N11" i="2"/>
  <c r="N2" i="2"/>
  <c r="N7" i="2"/>
  <c r="N9" i="2"/>
  <c r="E8" i="2"/>
  <c r="E7" i="2"/>
  <c r="E10" i="2"/>
  <c r="E12" i="2"/>
  <c r="E14" i="2"/>
  <c r="E2" i="2"/>
  <c r="E11" i="2"/>
  <c r="E13" i="2"/>
  <c r="E3" i="2"/>
  <c r="E5" i="2"/>
  <c r="E6" i="2"/>
  <c r="E15" i="2"/>
  <c r="E4" i="2"/>
  <c r="E16" i="2"/>
  <c r="E9" i="2"/>
  <c r="K21" i="1"/>
</calcChain>
</file>

<file path=xl/sharedStrings.xml><?xml version="1.0" encoding="utf-8"?>
<sst xmlns="http://schemas.openxmlformats.org/spreadsheetml/2006/main" count="280" uniqueCount="63">
  <si>
    <t>IBC</t>
  </si>
  <si>
    <t>MLB</t>
  </si>
  <si>
    <t>Kozacheck</t>
  </si>
  <si>
    <t>Anne Marie</t>
  </si>
  <si>
    <t>PA</t>
  </si>
  <si>
    <t>ROGER</t>
  </si>
  <si>
    <t>SMITH</t>
  </si>
  <si>
    <t>2UE7EE3XD54</t>
  </si>
  <si>
    <t>BARBARA</t>
  </si>
  <si>
    <t>MCCONLOGUE</t>
  </si>
  <si>
    <t>3G04X66VK77</t>
  </si>
  <si>
    <t>Foley</t>
  </si>
  <si>
    <t>Carol</t>
  </si>
  <si>
    <t>CARMELA</t>
  </si>
  <si>
    <t>LUCIFERO</t>
  </si>
  <si>
    <t>3QE3U39WV98</t>
  </si>
  <si>
    <t>Richter</t>
  </si>
  <si>
    <t>Peter</t>
  </si>
  <si>
    <t>ALBA</t>
  </si>
  <si>
    <t>GILBERT</t>
  </si>
  <si>
    <t>7DT9A40EJ59</t>
  </si>
  <si>
    <t>Sterner</t>
  </si>
  <si>
    <t>Murray</t>
  </si>
  <si>
    <t>MARVA</t>
  </si>
  <si>
    <t>KIDD</t>
  </si>
  <si>
    <t>3VE8DH1PW38</t>
  </si>
  <si>
    <t>Hoffmann</t>
  </si>
  <si>
    <t>Jason</t>
  </si>
  <si>
    <t>KIMBERLY</t>
  </si>
  <si>
    <t>GRAY</t>
  </si>
  <si>
    <t>1VW2KD2KM95</t>
  </si>
  <si>
    <t>JESSE</t>
  </si>
  <si>
    <t>MILLER</t>
  </si>
  <si>
    <t>5NV7C74RH71</t>
  </si>
  <si>
    <t>JAMES</t>
  </si>
  <si>
    <t>RYAN</t>
  </si>
  <si>
    <t>6FP5XX3FR63</t>
  </si>
  <si>
    <t>Notes</t>
  </si>
  <si>
    <t>Stmt Carrier</t>
  </si>
  <si>
    <t>Carrier</t>
  </si>
  <si>
    <t>AR_Date</t>
  </si>
  <si>
    <t>A AGENCY RAW HEADER</t>
  </si>
  <si>
    <t>BROKER LAST NAME</t>
  </si>
  <si>
    <t>BROKER FIRST NAME</t>
  </si>
  <si>
    <t>NPN</t>
  </si>
  <si>
    <t>CYCLE YEAR</t>
  </si>
  <si>
    <t>SRG_TOTAL OUT</t>
  </si>
  <si>
    <t>AGENT PAY</t>
  </si>
  <si>
    <t>AGENCY MKT FEE</t>
  </si>
  <si>
    <t>AGENCY SERVICE FEE</t>
  </si>
  <si>
    <t>DISENROLLMENT DATE</t>
  </si>
  <si>
    <t>Enrollment Date</t>
  </si>
  <si>
    <t>State</t>
  </si>
  <si>
    <t>CUSTOMER FIRST NAME</t>
  </si>
  <si>
    <t>CUSTOMER LAST NAME</t>
  </si>
  <si>
    <t>HIC_NUM</t>
  </si>
  <si>
    <t>C_ID/ECI_ID</t>
  </si>
  <si>
    <t>IBC MAPD 2025*</t>
  </si>
  <si>
    <t>IBC MAPD OVR 2025</t>
  </si>
  <si>
    <t>[%/$=353][prorate=12/12]</t>
  </si>
  <si>
    <t>[%/$=353][prorate=9/12]</t>
  </si>
  <si>
    <t>[%/$=353][prorate=8/12]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</si>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</sst>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wrapText="1"/>
    </xf>
    <xf numFmtId="0" fontId="0" fillId="2" borderId="0" xfId="0" applyFill="1"/>
    <xf numFmtId="14" fontId="0" fillId="2" borderId="0" xfId="0" applyNumberFormat="1" applyFill="1"/>
    <xf numFmtId="2" fontId="0" fillId="2" borderId="0" xfId="0" applyNumberFormat="1" applyFill="1"/>
    <xf numFmtId="0" fontId="2" fillId="2" borderId="0" xfId="0" applyFont="1" applyFill="1"/>
    <xf numFmtId="14" fontId="2" fillId="2" borderId="0" xfId="0" applyNumberFormat="1" applyFont="1" applyFill="1"/>
    <xf numFmtId="2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79A3-A6FB-4FA2-B96F-20F94E64BF3E}">
  <dimension ref="A1:T21"/>
  <sheetViews>
    <sheetView workbookViewId="0">
      <selection activeCell="F14" sqref="F14"/>
    </sheetView>
  </sheetViews>
  <sheetFormatPr defaultRowHeight="15" x14ac:dyDescent="0.25"/>
  <cols>
    <col min="6" max="6" width="15.7109375" bestFit="1" customWidth="1"/>
    <col min="7" max="7" width="22.5703125" bestFit="1" customWidth="1"/>
    <col min="17" max="17" width="9.7109375" bestFit="1" customWidth="1"/>
  </cols>
  <sheetData>
    <row r="1" spans="1:20" ht="39" x14ac:dyDescent="0.25">
      <c r="A1" s="3" t="s">
        <v>56</v>
      </c>
      <c r="B1" s="3" t="s">
        <v>55</v>
      </c>
      <c r="C1" s="3" t="s">
        <v>54</v>
      </c>
      <c r="D1" s="3" t="s">
        <v>53</v>
      </c>
      <c r="E1" s="3" t="s">
        <v>52</v>
      </c>
      <c r="F1" s="3" t="s">
        <v>51</v>
      </c>
      <c r="G1" s="3" t="s">
        <v>50</v>
      </c>
      <c r="H1" s="4" t="s">
        <v>49</v>
      </c>
      <c r="I1" s="4" t="s">
        <v>48</v>
      </c>
      <c r="J1" s="4" t="s">
        <v>47</v>
      </c>
      <c r="K1" s="4" t="s">
        <v>46</v>
      </c>
      <c r="L1" s="3" t="s">
        <v>45</v>
      </c>
      <c r="M1" s="3" t="s">
        <v>44</v>
      </c>
      <c r="N1" s="3" t="s">
        <v>43</v>
      </c>
      <c r="O1" s="3" t="s">
        <v>42</v>
      </c>
      <c r="P1" s="3" t="s">
        <v>41</v>
      </c>
      <c r="Q1" s="3" t="s">
        <v>40</v>
      </c>
      <c r="R1" s="3" t="s">
        <v>39</v>
      </c>
      <c r="S1" s="3" t="s">
        <v>38</v>
      </c>
      <c r="T1" s="3" t="s">
        <v>37</v>
      </c>
    </row>
    <row r="2" spans="1:20" x14ac:dyDescent="0.25">
      <c r="A2">
        <v>50140998</v>
      </c>
      <c r="B2" t="s">
        <v>33</v>
      </c>
      <c r="C2" t="s">
        <v>32</v>
      </c>
      <c r="D2" t="s">
        <v>31</v>
      </c>
      <c r="E2" t="s">
        <v>4</v>
      </c>
      <c r="F2" s="1">
        <v>45597</v>
      </c>
      <c r="H2" s="2"/>
      <c r="I2" s="2"/>
      <c r="J2" s="2">
        <v>353</v>
      </c>
      <c r="K2" s="2">
        <v>353</v>
      </c>
      <c r="M2">
        <v>19278370</v>
      </c>
      <c r="N2" t="s">
        <v>3</v>
      </c>
      <c r="O2" t="s">
        <v>2</v>
      </c>
      <c r="P2" t="s">
        <v>1</v>
      </c>
      <c r="Q2" s="1">
        <v>45763</v>
      </c>
      <c r="R2" t="s">
        <v>0</v>
      </c>
      <c r="S2" t="s">
        <v>0</v>
      </c>
    </row>
    <row r="3" spans="1:20" x14ac:dyDescent="0.25">
      <c r="A3">
        <v>50141052</v>
      </c>
      <c r="B3" t="s">
        <v>36</v>
      </c>
      <c r="C3" t="s">
        <v>35</v>
      </c>
      <c r="D3" t="s">
        <v>34</v>
      </c>
      <c r="E3" t="s">
        <v>4</v>
      </c>
      <c r="F3" s="1">
        <v>45597</v>
      </c>
      <c r="H3" s="2">
        <v>0</v>
      </c>
      <c r="I3" s="2">
        <v>60</v>
      </c>
      <c r="J3" s="2">
        <v>0</v>
      </c>
      <c r="K3" s="2">
        <v>60</v>
      </c>
      <c r="M3">
        <v>19278370</v>
      </c>
      <c r="N3" t="s">
        <v>3</v>
      </c>
      <c r="O3" t="s">
        <v>2</v>
      </c>
      <c r="P3" t="s">
        <v>1</v>
      </c>
      <c r="Q3" s="1">
        <v>45763</v>
      </c>
      <c r="R3" t="s">
        <v>0</v>
      </c>
      <c r="S3" t="s">
        <v>0</v>
      </c>
    </row>
    <row r="4" spans="1:20" x14ac:dyDescent="0.25">
      <c r="A4">
        <v>50141052</v>
      </c>
      <c r="B4" t="s">
        <v>36</v>
      </c>
      <c r="C4" t="s">
        <v>35</v>
      </c>
      <c r="D4" t="s">
        <v>34</v>
      </c>
      <c r="E4" t="s">
        <v>4</v>
      </c>
      <c r="F4" s="1">
        <v>45597</v>
      </c>
      <c r="H4" s="2"/>
      <c r="I4" s="2"/>
      <c r="J4" s="2">
        <v>353</v>
      </c>
      <c r="K4" s="2">
        <v>353</v>
      </c>
      <c r="M4">
        <v>19278370</v>
      </c>
      <c r="N4" t="s">
        <v>3</v>
      </c>
      <c r="O4" t="s">
        <v>2</v>
      </c>
      <c r="P4" t="s">
        <v>1</v>
      </c>
      <c r="Q4" s="1">
        <v>45763</v>
      </c>
      <c r="R4" t="s">
        <v>0</v>
      </c>
      <c r="S4" t="s">
        <v>0</v>
      </c>
    </row>
    <row r="5" spans="1:20" x14ac:dyDescent="0.25">
      <c r="A5">
        <v>50140998</v>
      </c>
      <c r="B5" t="s">
        <v>33</v>
      </c>
      <c r="C5" t="s">
        <v>32</v>
      </c>
      <c r="D5" t="s">
        <v>31</v>
      </c>
      <c r="E5" t="s">
        <v>4</v>
      </c>
      <c r="F5" s="1">
        <v>45597</v>
      </c>
      <c r="H5" s="2">
        <v>0</v>
      </c>
      <c r="I5" s="2">
        <v>60</v>
      </c>
      <c r="J5" s="2">
        <v>0</v>
      </c>
      <c r="K5" s="2">
        <v>60</v>
      </c>
      <c r="M5">
        <v>19278370</v>
      </c>
      <c r="N5" t="s">
        <v>3</v>
      </c>
      <c r="O5" t="s">
        <v>2</v>
      </c>
      <c r="P5" t="s">
        <v>1</v>
      </c>
      <c r="Q5" s="1">
        <v>45763</v>
      </c>
      <c r="R5" t="s">
        <v>0</v>
      </c>
      <c r="S5" t="s">
        <v>0</v>
      </c>
    </row>
    <row r="6" spans="1:20" x14ac:dyDescent="0.25">
      <c r="A6">
        <v>50141120</v>
      </c>
      <c r="B6" t="s">
        <v>30</v>
      </c>
      <c r="C6" t="s">
        <v>29</v>
      </c>
      <c r="D6" t="s">
        <v>28</v>
      </c>
      <c r="E6" t="s">
        <v>4</v>
      </c>
      <c r="F6" s="1">
        <v>45627</v>
      </c>
      <c r="H6" s="2">
        <v>0</v>
      </c>
      <c r="I6" s="2">
        <v>60</v>
      </c>
      <c r="J6" s="2">
        <v>0</v>
      </c>
      <c r="K6" s="2">
        <v>60</v>
      </c>
      <c r="M6">
        <v>15278437</v>
      </c>
      <c r="N6" t="s">
        <v>27</v>
      </c>
      <c r="O6" t="s">
        <v>26</v>
      </c>
      <c r="P6" t="s">
        <v>1</v>
      </c>
      <c r="Q6" s="1">
        <v>45763</v>
      </c>
      <c r="R6" t="s">
        <v>0</v>
      </c>
      <c r="S6" t="s">
        <v>0</v>
      </c>
    </row>
    <row r="7" spans="1:20" x14ac:dyDescent="0.25">
      <c r="A7">
        <v>50141164</v>
      </c>
      <c r="B7" t="s">
        <v>25</v>
      </c>
      <c r="C7" t="s">
        <v>24</v>
      </c>
      <c r="D7" t="s">
        <v>23</v>
      </c>
      <c r="E7" t="s">
        <v>4</v>
      </c>
      <c r="F7" s="1">
        <v>45658</v>
      </c>
      <c r="H7" s="2">
        <v>0</v>
      </c>
      <c r="I7" s="2">
        <v>150</v>
      </c>
      <c r="J7" s="2">
        <v>0</v>
      </c>
      <c r="K7" s="2">
        <v>150</v>
      </c>
      <c r="M7">
        <v>16212649</v>
      </c>
      <c r="N7" t="s">
        <v>22</v>
      </c>
      <c r="O7" t="s">
        <v>21</v>
      </c>
      <c r="P7" t="s">
        <v>1</v>
      </c>
      <c r="Q7" s="1">
        <v>45763</v>
      </c>
      <c r="R7" t="s">
        <v>0</v>
      </c>
      <c r="S7" t="s">
        <v>0</v>
      </c>
    </row>
    <row r="8" spans="1:20" x14ac:dyDescent="0.25">
      <c r="A8">
        <v>50141571</v>
      </c>
      <c r="B8" t="s">
        <v>20</v>
      </c>
      <c r="C8" t="s">
        <v>19</v>
      </c>
      <c r="D8" t="s">
        <v>18</v>
      </c>
      <c r="E8" t="s">
        <v>4</v>
      </c>
      <c r="F8" s="1">
        <v>45597</v>
      </c>
      <c r="H8" s="2"/>
      <c r="I8" s="2"/>
      <c r="J8" s="2">
        <v>353</v>
      </c>
      <c r="K8" s="2">
        <v>353</v>
      </c>
      <c r="M8">
        <v>16509456</v>
      </c>
      <c r="N8" t="s">
        <v>17</v>
      </c>
      <c r="O8" t="s">
        <v>16</v>
      </c>
      <c r="P8" t="s">
        <v>1</v>
      </c>
      <c r="Q8" s="1">
        <v>45763</v>
      </c>
      <c r="R8" t="s">
        <v>0</v>
      </c>
      <c r="S8" t="s">
        <v>0</v>
      </c>
    </row>
    <row r="9" spans="1:20" x14ac:dyDescent="0.25">
      <c r="A9">
        <v>50141120</v>
      </c>
      <c r="B9" t="s">
        <v>30</v>
      </c>
      <c r="C9" t="s">
        <v>29</v>
      </c>
      <c r="D9" t="s">
        <v>28</v>
      </c>
      <c r="E9" t="s">
        <v>4</v>
      </c>
      <c r="F9" s="1">
        <v>45627</v>
      </c>
      <c r="H9" s="2"/>
      <c r="I9" s="2"/>
      <c r="J9" s="2">
        <v>353</v>
      </c>
      <c r="K9" s="2">
        <v>353</v>
      </c>
      <c r="M9">
        <v>15278437</v>
      </c>
      <c r="N9" t="s">
        <v>27</v>
      </c>
      <c r="O9" t="s">
        <v>26</v>
      </c>
      <c r="P9" t="s">
        <v>1</v>
      </c>
      <c r="Q9" s="1">
        <v>45763</v>
      </c>
      <c r="R9" t="s">
        <v>0</v>
      </c>
      <c r="S9" t="s">
        <v>0</v>
      </c>
    </row>
    <row r="10" spans="1:20" x14ac:dyDescent="0.25">
      <c r="A10">
        <v>50141164</v>
      </c>
      <c r="B10" t="s">
        <v>25</v>
      </c>
      <c r="C10" t="s">
        <v>24</v>
      </c>
      <c r="D10" t="s">
        <v>23</v>
      </c>
      <c r="E10" t="s">
        <v>4</v>
      </c>
      <c r="F10" s="1">
        <v>45658</v>
      </c>
      <c r="H10" s="2"/>
      <c r="I10" s="2"/>
      <c r="J10" s="2">
        <v>353</v>
      </c>
      <c r="K10" s="2">
        <v>353</v>
      </c>
      <c r="M10">
        <v>16212649</v>
      </c>
      <c r="N10" t="s">
        <v>22</v>
      </c>
      <c r="O10" t="s">
        <v>21</v>
      </c>
      <c r="P10" t="s">
        <v>1</v>
      </c>
      <c r="Q10" s="1">
        <v>45763</v>
      </c>
      <c r="R10" t="s">
        <v>0</v>
      </c>
      <c r="S10" t="s">
        <v>0</v>
      </c>
    </row>
    <row r="11" spans="1:20" x14ac:dyDescent="0.25">
      <c r="A11">
        <v>50141571</v>
      </c>
      <c r="B11" t="s">
        <v>20</v>
      </c>
      <c r="C11" t="s">
        <v>19</v>
      </c>
      <c r="D11" t="s">
        <v>18</v>
      </c>
      <c r="E11" t="s">
        <v>4</v>
      </c>
      <c r="F11" s="1">
        <v>45597</v>
      </c>
      <c r="H11" s="2">
        <v>0</v>
      </c>
      <c r="I11" s="2">
        <v>60</v>
      </c>
      <c r="J11" s="2">
        <v>0</v>
      </c>
      <c r="K11" s="2">
        <v>60</v>
      </c>
      <c r="M11">
        <v>16509456</v>
      </c>
      <c r="N11" t="s">
        <v>17</v>
      </c>
      <c r="O11" t="s">
        <v>16</v>
      </c>
      <c r="P11" t="s">
        <v>1</v>
      </c>
      <c r="Q11" s="1">
        <v>45763</v>
      </c>
      <c r="R11" t="s">
        <v>0</v>
      </c>
      <c r="S11" t="s">
        <v>0</v>
      </c>
    </row>
    <row r="12" spans="1:20" x14ac:dyDescent="0.25">
      <c r="A12">
        <v>51039519</v>
      </c>
      <c r="B12" t="s">
        <v>10</v>
      </c>
      <c r="C12" t="s">
        <v>9</v>
      </c>
      <c r="D12" t="s">
        <v>8</v>
      </c>
      <c r="E12" t="s">
        <v>4</v>
      </c>
      <c r="F12" s="1">
        <v>45778</v>
      </c>
      <c r="H12" s="2">
        <v>0</v>
      </c>
      <c r="I12" s="2">
        <v>150</v>
      </c>
      <c r="J12" s="2">
        <v>0</v>
      </c>
      <c r="K12" s="2">
        <v>150</v>
      </c>
      <c r="M12">
        <v>19278370</v>
      </c>
      <c r="N12" t="s">
        <v>3</v>
      </c>
      <c r="O12" t="s">
        <v>2</v>
      </c>
      <c r="P12" t="s">
        <v>1</v>
      </c>
      <c r="Q12" s="1">
        <v>45763</v>
      </c>
      <c r="R12" t="s">
        <v>0</v>
      </c>
      <c r="S12" t="s">
        <v>0</v>
      </c>
    </row>
    <row r="13" spans="1:20" x14ac:dyDescent="0.25">
      <c r="A13">
        <v>51039006</v>
      </c>
      <c r="B13" t="s">
        <v>15</v>
      </c>
      <c r="C13" t="s">
        <v>14</v>
      </c>
      <c r="D13" t="s">
        <v>13</v>
      </c>
      <c r="E13" t="s">
        <v>4</v>
      </c>
      <c r="F13" s="1">
        <v>45748</v>
      </c>
      <c r="G13" s="1">
        <v>45777</v>
      </c>
      <c r="H13" s="2"/>
      <c r="I13" s="2"/>
      <c r="J13" s="2">
        <v>-264.75</v>
      </c>
      <c r="K13" s="2">
        <v>-264.75</v>
      </c>
      <c r="M13">
        <v>17425766</v>
      </c>
      <c r="N13" t="s">
        <v>12</v>
      </c>
      <c r="O13" t="s">
        <v>11</v>
      </c>
      <c r="P13" t="s">
        <v>1</v>
      </c>
      <c r="Q13" s="1">
        <v>45763</v>
      </c>
      <c r="R13" t="s">
        <v>0</v>
      </c>
      <c r="S13" t="s">
        <v>0</v>
      </c>
    </row>
    <row r="14" spans="1:20" x14ac:dyDescent="0.25">
      <c r="A14">
        <v>50141664</v>
      </c>
      <c r="B14" t="s">
        <v>7</v>
      </c>
      <c r="C14" t="s">
        <v>6</v>
      </c>
      <c r="D14" t="s">
        <v>5</v>
      </c>
      <c r="E14" t="s">
        <v>4</v>
      </c>
      <c r="F14" s="1">
        <v>45627</v>
      </c>
      <c r="H14" s="2"/>
      <c r="I14" s="2"/>
      <c r="J14" s="2">
        <v>353</v>
      </c>
      <c r="K14" s="2">
        <v>353</v>
      </c>
      <c r="M14">
        <v>19278370</v>
      </c>
      <c r="N14" t="s">
        <v>3</v>
      </c>
      <c r="O14" t="s">
        <v>2</v>
      </c>
      <c r="P14" t="s">
        <v>1</v>
      </c>
      <c r="Q14" s="1">
        <v>45763</v>
      </c>
      <c r="R14" t="s">
        <v>0</v>
      </c>
      <c r="S14" t="s">
        <v>0</v>
      </c>
    </row>
    <row r="15" spans="1:20" x14ac:dyDescent="0.25">
      <c r="A15">
        <v>51039519</v>
      </c>
      <c r="B15" t="s">
        <v>10</v>
      </c>
      <c r="C15" t="s">
        <v>9</v>
      </c>
      <c r="D15" t="s">
        <v>8</v>
      </c>
      <c r="E15" t="s">
        <v>4</v>
      </c>
      <c r="F15" s="1">
        <v>45778</v>
      </c>
      <c r="H15" s="2"/>
      <c r="I15" s="2"/>
      <c r="J15" s="2">
        <v>235.33</v>
      </c>
      <c r="K15" s="2">
        <v>235.33</v>
      </c>
      <c r="M15">
        <v>19278370</v>
      </c>
      <c r="N15" t="s">
        <v>3</v>
      </c>
      <c r="O15" t="s">
        <v>2</v>
      </c>
      <c r="P15" t="s">
        <v>1</v>
      </c>
      <c r="Q15" s="1">
        <v>45763</v>
      </c>
      <c r="R15" t="s">
        <v>0</v>
      </c>
      <c r="S15" t="s">
        <v>0</v>
      </c>
    </row>
    <row r="16" spans="1:20" x14ac:dyDescent="0.25">
      <c r="A16">
        <v>50141664</v>
      </c>
      <c r="B16" t="s">
        <v>7</v>
      </c>
      <c r="C16" t="s">
        <v>6</v>
      </c>
      <c r="D16" t="s">
        <v>5</v>
      </c>
      <c r="E16" t="s">
        <v>4</v>
      </c>
      <c r="F16" s="1">
        <v>45627</v>
      </c>
      <c r="H16" s="2">
        <v>0</v>
      </c>
      <c r="I16" s="2">
        <v>60</v>
      </c>
      <c r="J16" s="2">
        <v>0</v>
      </c>
      <c r="K16" s="2">
        <v>60</v>
      </c>
      <c r="M16">
        <v>19278370</v>
      </c>
      <c r="N16" t="s">
        <v>3</v>
      </c>
      <c r="O16" t="s">
        <v>2</v>
      </c>
      <c r="P16" t="s">
        <v>1</v>
      </c>
      <c r="Q16" s="1">
        <v>45763</v>
      </c>
      <c r="R16" t="s">
        <v>0</v>
      </c>
      <c r="S16" t="s">
        <v>0</v>
      </c>
    </row>
    <row r="21" spans="11:11" x14ac:dyDescent="0.25">
      <c r="K21" s="2">
        <f>SUM(K2:K20)</f>
        <v>2688.58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3A06-38FC-40A0-B87C-7988779925AA}">
  <dimension ref="A1:P21"/>
  <sheetViews>
    <sheetView tabSelected="1" workbookViewId="0">
      <selection activeCell="B15" sqref="B15"/>
    </sheetView>
  </sheetViews>
  <sheetFormatPr defaultRowHeight="15" x14ac:dyDescent="0.25"/>
  <cols>
    <col min="1" max="1" width="14.5703125" bestFit="1" customWidth="1"/>
    <col min="2" max="2" width="15.5703125" bestFit="1" customWidth="1"/>
    <col min="3" max="3" width="23.140625" bestFit="1" customWidth="1"/>
    <col min="4" max="4" width="23.7109375" bestFit="1" customWidth="1"/>
    <col min="5" max="5" width="23.7109375" customWidth="1"/>
    <col min="6" max="6" width="5.7109375" bestFit="1" customWidth="1"/>
    <col min="7" max="7" width="15.7109375" bestFit="1" customWidth="1"/>
    <col min="8" max="8" width="9" bestFit="1" customWidth="1"/>
    <col min="9" max="9" width="7.28515625" bestFit="1" customWidth="1"/>
    <col min="10" max="11" width="9" bestFit="1" customWidth="1"/>
    <col min="12" max="12" width="20.85546875" bestFit="1" customWidth="1"/>
    <col min="13" max="13" width="20.28515625" bestFit="1" customWidth="1"/>
    <col min="14" max="14" width="20.28515625" customWidth="1"/>
    <col min="15" max="15" width="18.7109375" bestFit="1" customWidth="1"/>
  </cols>
  <sheetData>
    <row r="1" spans="1:16" ht="26.25" x14ac:dyDescent="0.25">
      <c r="A1" s="3" t="s">
        <v>55</v>
      </c>
      <c r="B1" s="3"/>
      <c r="C1" s="3" t="s">
        <v>54</v>
      </c>
      <c r="D1" s="3" t="s">
        <v>53</v>
      </c>
      <c r="E1" s="3"/>
      <c r="F1" s="3" t="s">
        <v>52</v>
      </c>
      <c r="G1" s="3" t="s">
        <v>51</v>
      </c>
      <c r="H1" s="4" t="s">
        <v>48</v>
      </c>
      <c r="I1" s="4" t="s">
        <v>47</v>
      </c>
      <c r="J1" s="4" t="s">
        <v>46</v>
      </c>
      <c r="K1" s="3" t="s">
        <v>44</v>
      </c>
      <c r="L1" s="3" t="s">
        <v>43</v>
      </c>
      <c r="M1" s="3" t="s">
        <v>42</v>
      </c>
      <c r="N1" s="3"/>
    </row>
    <row r="2" spans="1:16" s="5" customFormat="1" x14ac:dyDescent="0.25">
      <c r="A2" s="5" t="s">
        <v>20</v>
      </c>
      <c r="B2" s="5" t="s">
        <v>20</v>
      </c>
      <c r="C2" s="5" t="s">
        <v>19</v>
      </c>
      <c r="D2" s="5" t="s">
        <v>18</v>
      </c>
      <c r="E2" s="5" t="str">
        <f>CONCATENATE(D2, " ",C2)</f>
        <v>ALBA GILBERT</v>
      </c>
      <c r="F2" s="5" t="s">
        <v>4</v>
      </c>
      <c r="G2" s="6">
        <v>45597</v>
      </c>
      <c r="H2" s="7"/>
      <c r="I2" s="7">
        <v>353</v>
      </c>
      <c r="J2" s="7">
        <v>353</v>
      </c>
      <c r="K2" s="5">
        <v>16509456</v>
      </c>
      <c r="L2" s="5" t="s">
        <v>17</v>
      </c>
      <c r="M2" s="5" t="s">
        <v>16</v>
      </c>
      <c r="N2" s="5" t="str">
        <f>CONCATENATE(L2, " ",M2)</f>
        <v>Peter Richter</v>
      </c>
      <c r="O2" s="5" t="s">
        <v>57</v>
      </c>
      <c r="P2" s="5" t="s">
        <v>59</v>
      </c>
    </row>
    <row r="3" spans="1:16" s="5" customFormat="1" x14ac:dyDescent="0.25">
      <c r="A3" s="5" t="s">
        <v>20</v>
      </c>
      <c r="B3" s="5" t="str">
        <f>CONCATENATE(A3,0)</f>
        <v>7DT9A40EJ590</v>
      </c>
      <c r="C3" s="5" t="s">
        <v>19</v>
      </c>
      <c r="D3" s="5" t="s">
        <v>18</v>
      </c>
      <c r="E3" s="5" t="str">
        <f>CONCATENATE(D3, " ",C3)</f>
        <v>ALBA GILBERT</v>
      </c>
      <c r="F3" s="5" t="s">
        <v>4</v>
      </c>
      <c r="G3" s="6">
        <v>45597</v>
      </c>
      <c r="H3" s="7">
        <v>60</v>
      </c>
      <c r="I3" s="7">
        <v>0</v>
      </c>
      <c r="J3" s="7">
        <v>60</v>
      </c>
      <c r="K3" s="5">
        <v>20411454</v>
      </c>
      <c r="N3" s="5" t="s">
        <v>62</v>
      </c>
      <c r="O3" s="5" t="s">
        <v>58</v>
      </c>
    </row>
    <row r="4" spans="1:16" s="8" customFormat="1" x14ac:dyDescent="0.25">
      <c r="A4" s="8" t="s">
        <v>10</v>
      </c>
      <c r="B4" s="8" t="s">
        <v>10</v>
      </c>
      <c r="C4" s="8" t="s">
        <v>9</v>
      </c>
      <c r="D4" s="8" t="s">
        <v>8</v>
      </c>
      <c r="E4" s="8" t="str">
        <f>CONCATENATE(D4, " ",C4)</f>
        <v>BARBARA MCCONLOGUE</v>
      </c>
      <c r="F4" s="8" t="s">
        <v>4</v>
      </c>
      <c r="G4" s="9">
        <v>45778</v>
      </c>
      <c r="H4" s="10"/>
      <c r="I4" s="10">
        <v>235.33</v>
      </c>
      <c r="J4" s="10">
        <v>235.33</v>
      </c>
      <c r="K4" s="8">
        <v>19278370</v>
      </c>
      <c r="L4" s="8" t="s">
        <v>3</v>
      </c>
      <c r="M4" s="8" t="s">
        <v>2</v>
      </c>
      <c r="N4" s="8" t="str">
        <f>CONCATENATE(L4, " ",M4)</f>
        <v>Anne Marie Kozacheck</v>
      </c>
      <c r="O4" s="8" t="s">
        <v>57</v>
      </c>
      <c r="P4" s="8" t="s">
        <v>61</v>
      </c>
    </row>
    <row r="5" spans="1:16" s="5" customFormat="1" x14ac:dyDescent="0.25">
      <c r="A5" s="5" t="s">
        <v>10</v>
      </c>
      <c r="B5" s="5" t="str">
        <f>CONCATENATE(A5,0)</f>
        <v>3G04X66VK770</v>
      </c>
      <c r="C5" s="5" t="s">
        <v>9</v>
      </c>
      <c r="D5" s="5" t="s">
        <v>8</v>
      </c>
      <c r="E5" s="5" t="str">
        <f>CONCATENATE(D5, " ",C5)</f>
        <v>BARBARA MCCONLOGUE</v>
      </c>
      <c r="F5" s="5" t="s">
        <v>4</v>
      </c>
      <c r="G5" s="6">
        <v>45778</v>
      </c>
      <c r="H5" s="7">
        <v>150</v>
      </c>
      <c r="I5" s="7">
        <v>0</v>
      </c>
      <c r="J5" s="7">
        <v>150</v>
      </c>
      <c r="K5" s="5">
        <v>20411454</v>
      </c>
      <c r="N5" s="5" t="s">
        <v>62</v>
      </c>
      <c r="O5" s="5" t="s">
        <v>58</v>
      </c>
    </row>
    <row r="6" spans="1:16" s="5" customFormat="1" x14ac:dyDescent="0.25">
      <c r="A6" s="5" t="s">
        <v>15</v>
      </c>
      <c r="B6" s="5" t="s">
        <v>15</v>
      </c>
      <c r="C6" s="5" t="s">
        <v>14</v>
      </c>
      <c r="D6" s="5" t="s">
        <v>13</v>
      </c>
      <c r="E6" s="5" t="str">
        <f>CONCATENATE(D6, " ",C6)</f>
        <v>CARMELA LUCIFERO</v>
      </c>
      <c r="F6" s="5" t="s">
        <v>4</v>
      </c>
      <c r="G6" s="6">
        <v>45748</v>
      </c>
      <c r="H6" s="7"/>
      <c r="I6" s="7">
        <v>-264.75</v>
      </c>
      <c r="J6" s="7">
        <v>-264.75</v>
      </c>
      <c r="K6" s="5">
        <v>17425766</v>
      </c>
      <c r="L6" s="5" t="s">
        <v>12</v>
      </c>
      <c r="M6" s="5" t="s">
        <v>11</v>
      </c>
      <c r="N6" s="5" t="str">
        <f>CONCATENATE(L6, " ",M6)</f>
        <v>Carol Foley</v>
      </c>
      <c r="O6" s="5" t="s">
        <v>57</v>
      </c>
      <c r="P6" s="5" t="s">
        <v>60</v>
      </c>
    </row>
    <row r="7" spans="1:16" s="8" customFormat="1" x14ac:dyDescent="0.25">
      <c r="A7" s="8" t="s">
        <v>36</v>
      </c>
      <c r="B7" s="8" t="s">
        <v>36</v>
      </c>
      <c r="C7" s="8" t="s">
        <v>35</v>
      </c>
      <c r="D7" s="8" t="s">
        <v>34</v>
      </c>
      <c r="E7" s="8" t="str">
        <f>CONCATENATE(D7, " ",C7)</f>
        <v>JAMES RYAN</v>
      </c>
      <c r="F7" s="8" t="s">
        <v>4</v>
      </c>
      <c r="G7" s="9">
        <v>45597</v>
      </c>
      <c r="H7" s="10"/>
      <c r="I7" s="10">
        <v>353</v>
      </c>
      <c r="J7" s="10">
        <v>353</v>
      </c>
      <c r="K7" s="8">
        <v>19278370</v>
      </c>
      <c r="L7" s="8" t="s">
        <v>3</v>
      </c>
      <c r="M7" s="8" t="s">
        <v>2</v>
      </c>
      <c r="N7" s="8" t="str">
        <f>CONCATENATE(L7, " ",M7)</f>
        <v>Anne Marie Kozacheck</v>
      </c>
      <c r="O7" s="8" t="s">
        <v>57</v>
      </c>
      <c r="P7" s="8" t="s">
        <v>59</v>
      </c>
    </row>
    <row r="8" spans="1:16" s="5" customFormat="1" x14ac:dyDescent="0.25">
      <c r="A8" s="5" t="s">
        <v>36</v>
      </c>
      <c r="B8" s="5" t="str">
        <f>CONCATENATE(A8,0)</f>
        <v>6FP5XX3FR630</v>
      </c>
      <c r="C8" s="5" t="s">
        <v>35</v>
      </c>
      <c r="D8" s="5" t="s">
        <v>34</v>
      </c>
      <c r="E8" s="5" t="str">
        <f>CONCATENATE(D8, " ",C8)</f>
        <v>JAMES RYAN</v>
      </c>
      <c r="F8" s="5" t="s">
        <v>4</v>
      </c>
      <c r="G8" s="6">
        <v>45597</v>
      </c>
      <c r="H8" s="7">
        <v>60</v>
      </c>
      <c r="I8" s="7">
        <v>0</v>
      </c>
      <c r="J8" s="7">
        <v>60</v>
      </c>
      <c r="K8" s="5">
        <v>20411454</v>
      </c>
      <c r="N8" s="5" t="s">
        <v>62</v>
      </c>
      <c r="O8" s="5" t="s">
        <v>58</v>
      </c>
    </row>
    <row r="9" spans="1:16" s="8" customFormat="1" x14ac:dyDescent="0.25">
      <c r="A9" s="8" t="s">
        <v>33</v>
      </c>
      <c r="B9" s="8" t="s">
        <v>33</v>
      </c>
      <c r="C9" s="8" t="s">
        <v>32</v>
      </c>
      <c r="D9" s="8" t="s">
        <v>31</v>
      </c>
      <c r="E9" s="8" t="str">
        <f>CONCATENATE(D9, " ",C9)</f>
        <v>JESSE MILLER</v>
      </c>
      <c r="F9" s="8" t="s">
        <v>4</v>
      </c>
      <c r="G9" s="9">
        <v>45597</v>
      </c>
      <c r="H9" s="10"/>
      <c r="I9" s="10">
        <v>353</v>
      </c>
      <c r="J9" s="10">
        <v>353</v>
      </c>
      <c r="K9" s="8">
        <v>19278370</v>
      </c>
      <c r="L9" s="8" t="s">
        <v>3</v>
      </c>
      <c r="M9" s="8" t="s">
        <v>2</v>
      </c>
      <c r="N9" s="8" t="str">
        <f>CONCATENATE(L9, " ",M9)</f>
        <v>Anne Marie Kozacheck</v>
      </c>
      <c r="O9" s="8" t="s">
        <v>57</v>
      </c>
      <c r="P9" s="8" t="s">
        <v>59</v>
      </c>
    </row>
    <row r="10" spans="1:16" s="5" customFormat="1" x14ac:dyDescent="0.25">
      <c r="A10" s="5" t="s">
        <v>33</v>
      </c>
      <c r="B10" s="5" t="str">
        <f>CONCATENATE(A10,0)</f>
        <v>5NV7C74RH710</v>
      </c>
      <c r="C10" s="5" t="s">
        <v>32</v>
      </c>
      <c r="D10" s="5" t="s">
        <v>31</v>
      </c>
      <c r="E10" s="5" t="str">
        <f>CONCATENATE(D10, " ",C10)</f>
        <v>JESSE MILLER</v>
      </c>
      <c r="F10" s="5" t="s">
        <v>4</v>
      </c>
      <c r="G10" s="6">
        <v>45597</v>
      </c>
      <c r="H10" s="7">
        <v>60</v>
      </c>
      <c r="I10" s="7">
        <v>0</v>
      </c>
      <c r="J10" s="7">
        <v>60</v>
      </c>
      <c r="K10" s="5">
        <v>20411454</v>
      </c>
      <c r="N10" s="5" t="s">
        <v>62</v>
      </c>
      <c r="O10" s="5" t="s">
        <v>58</v>
      </c>
    </row>
    <row r="11" spans="1:16" s="5" customFormat="1" x14ac:dyDescent="0.25">
      <c r="A11" s="5" t="s">
        <v>30</v>
      </c>
      <c r="B11" s="5" t="s">
        <v>30</v>
      </c>
      <c r="C11" s="5" t="s">
        <v>29</v>
      </c>
      <c r="D11" s="5" t="s">
        <v>28</v>
      </c>
      <c r="E11" s="5" t="str">
        <f>CONCATENATE(D11, " ",C11)</f>
        <v>KIMBERLY GRAY</v>
      </c>
      <c r="F11" s="5" t="s">
        <v>4</v>
      </c>
      <c r="G11" s="6">
        <v>45627</v>
      </c>
      <c r="H11" s="7"/>
      <c r="I11" s="7">
        <v>353</v>
      </c>
      <c r="J11" s="7">
        <v>353</v>
      </c>
      <c r="K11" s="5">
        <v>15278437</v>
      </c>
      <c r="L11" s="5" t="s">
        <v>27</v>
      </c>
      <c r="M11" s="5" t="s">
        <v>26</v>
      </c>
      <c r="N11" s="5" t="str">
        <f>CONCATENATE(L11, " ",M11)</f>
        <v>Jason Hoffmann</v>
      </c>
      <c r="O11" s="5" t="s">
        <v>57</v>
      </c>
      <c r="P11" s="5" t="s">
        <v>59</v>
      </c>
    </row>
    <row r="12" spans="1:16" s="5" customFormat="1" x14ac:dyDescent="0.25">
      <c r="A12" s="5" t="s">
        <v>30</v>
      </c>
      <c r="B12" s="5" t="str">
        <f>CONCATENATE(A12,0)</f>
        <v>1VW2KD2KM950</v>
      </c>
      <c r="C12" s="5" t="s">
        <v>29</v>
      </c>
      <c r="D12" s="5" t="s">
        <v>28</v>
      </c>
      <c r="E12" s="5" t="str">
        <f>CONCATENATE(D12, " ",C12)</f>
        <v>KIMBERLY GRAY</v>
      </c>
      <c r="F12" s="5" t="s">
        <v>4</v>
      </c>
      <c r="G12" s="6">
        <v>45627</v>
      </c>
      <c r="H12" s="7">
        <v>60</v>
      </c>
      <c r="I12" s="7">
        <v>0</v>
      </c>
      <c r="J12" s="7">
        <v>60</v>
      </c>
      <c r="K12" s="5">
        <v>20411454</v>
      </c>
      <c r="N12" s="5" t="s">
        <v>62</v>
      </c>
      <c r="O12" s="5" t="s">
        <v>58</v>
      </c>
    </row>
    <row r="13" spans="1:16" s="5" customFormat="1" x14ac:dyDescent="0.25">
      <c r="A13" s="5" t="s">
        <v>25</v>
      </c>
      <c r="B13" s="5" t="s">
        <v>25</v>
      </c>
      <c r="C13" s="5" t="s">
        <v>24</v>
      </c>
      <c r="D13" s="5" t="s">
        <v>23</v>
      </c>
      <c r="E13" s="5" t="str">
        <f>CONCATENATE(D13, " ",C13)</f>
        <v>MARVA KIDD</v>
      </c>
      <c r="F13" s="5" t="s">
        <v>4</v>
      </c>
      <c r="G13" s="6">
        <v>45658</v>
      </c>
      <c r="H13" s="7"/>
      <c r="I13" s="7">
        <v>353</v>
      </c>
      <c r="J13" s="7">
        <v>353</v>
      </c>
      <c r="K13" s="5">
        <v>16212649</v>
      </c>
      <c r="L13" s="5" t="s">
        <v>22</v>
      </c>
      <c r="M13" s="5" t="s">
        <v>21</v>
      </c>
      <c r="N13" s="5" t="str">
        <f>CONCATENATE(L13, " ",M13)</f>
        <v>Murray Sterner</v>
      </c>
      <c r="O13" s="5" t="s">
        <v>57</v>
      </c>
      <c r="P13" s="5" t="s">
        <v>59</v>
      </c>
    </row>
    <row r="14" spans="1:16" s="5" customFormat="1" x14ac:dyDescent="0.25">
      <c r="A14" s="5" t="s">
        <v>25</v>
      </c>
      <c r="B14" s="5" t="str">
        <f>CONCATENATE(A14,0)</f>
        <v>3VE8DH1PW380</v>
      </c>
      <c r="C14" s="5" t="s">
        <v>24</v>
      </c>
      <c r="D14" s="5" t="s">
        <v>23</v>
      </c>
      <c r="E14" s="5" t="str">
        <f>CONCATENATE(D14, " ",C14)</f>
        <v>MARVA KIDD</v>
      </c>
      <c r="F14" s="5" t="s">
        <v>4</v>
      </c>
      <c r="G14" s="6">
        <v>45658</v>
      </c>
      <c r="H14" s="7">
        <v>150</v>
      </c>
      <c r="I14" s="7">
        <v>0</v>
      </c>
      <c r="J14" s="7">
        <v>150</v>
      </c>
      <c r="K14" s="5">
        <v>20411454</v>
      </c>
      <c r="N14" s="5" t="s">
        <v>62</v>
      </c>
      <c r="O14" s="5" t="s">
        <v>58</v>
      </c>
    </row>
    <row r="15" spans="1:16" s="8" customFormat="1" x14ac:dyDescent="0.25">
      <c r="A15" s="8" t="s">
        <v>7</v>
      </c>
      <c r="B15" s="8" t="s">
        <v>7</v>
      </c>
      <c r="C15" s="8" t="s">
        <v>6</v>
      </c>
      <c r="D15" s="8" t="s">
        <v>5</v>
      </c>
      <c r="E15" s="8" t="str">
        <f>CONCATENATE(D15, " ",C15)</f>
        <v>ROGER SMITH</v>
      </c>
      <c r="F15" s="8" t="s">
        <v>4</v>
      </c>
      <c r="G15" s="9">
        <v>45627</v>
      </c>
      <c r="H15" s="10"/>
      <c r="I15" s="10">
        <v>353</v>
      </c>
      <c r="J15" s="10">
        <v>353</v>
      </c>
      <c r="K15" s="8">
        <v>19278370</v>
      </c>
      <c r="L15" s="8" t="s">
        <v>3</v>
      </c>
      <c r="M15" s="8" t="s">
        <v>2</v>
      </c>
      <c r="N15" s="8" t="str">
        <f>CONCATENATE(L15, " ",M15)</f>
        <v>Anne Marie Kozacheck</v>
      </c>
      <c r="O15" s="8" t="s">
        <v>57</v>
      </c>
      <c r="P15" s="8" t="s">
        <v>59</v>
      </c>
    </row>
    <row r="16" spans="1:16" s="5" customFormat="1" x14ac:dyDescent="0.25">
      <c r="A16" s="5" t="s">
        <v>7</v>
      </c>
      <c r="B16" s="5" t="str">
        <f>CONCATENATE(A16,0)</f>
        <v>2UE7EE3XD540</v>
      </c>
      <c r="C16" s="5" t="s">
        <v>6</v>
      </c>
      <c r="D16" s="5" t="s">
        <v>5</v>
      </c>
      <c r="E16" s="5" t="str">
        <f>CONCATENATE(D16, " ",C16)</f>
        <v>ROGER SMITH</v>
      </c>
      <c r="F16" s="5" t="s">
        <v>4</v>
      </c>
      <c r="G16" s="6">
        <v>45627</v>
      </c>
      <c r="H16" s="7">
        <v>60</v>
      </c>
      <c r="I16" s="7">
        <v>0</v>
      </c>
      <c r="J16" s="7">
        <v>60</v>
      </c>
      <c r="K16" s="5">
        <v>20411454</v>
      </c>
      <c r="N16" s="5" t="s">
        <v>62</v>
      </c>
      <c r="O16" s="5" t="s">
        <v>58</v>
      </c>
    </row>
    <row r="21" spans="10:10" x14ac:dyDescent="0.25">
      <c r="J21" s="2"/>
    </row>
  </sheetData>
  <sortState xmlns:xlrd2="http://schemas.microsoft.com/office/spreadsheetml/2017/richdata2" ref="A2:P16">
    <sortCondition ref="E2:E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Sheet10</vt:lpstr>
      <vt:lpstr>Sheet1</vt:lpstr>
    </vt:vector>
  </TitlesOfParts>
  <Company>Independent Administrative Services,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Lingxi</dc:creator>
  <cp:lastModifiedBy>Cabel, Denisse Raeka</cp:lastModifiedBy>
  <dcterms:created xsi:type="dcterms:W3CDTF">2025-04-16T19:55:53Z</dcterms:created>
  <dcterms:modified xsi:type="dcterms:W3CDTF">2025-04-23T14:54:38Z</dcterms:modified>
</cp:coreProperties>
</file>