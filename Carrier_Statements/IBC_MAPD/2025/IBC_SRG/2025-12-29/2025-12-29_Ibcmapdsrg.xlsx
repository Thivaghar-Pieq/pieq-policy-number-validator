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AA52326-FF6F-42ED-AD21-C3894FA7D36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14" i="2" l="1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<sst xmlns="http://schemas.openxmlformats.org/spreadsheetml/2006/main" count="271" uniqueCount="54">
  <si>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</si>
  <si>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</si>
  <si>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</si>
  <si>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</si>
  <si>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</si>
  <si>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</si>
  <si>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</si>
  <si>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</si>
  <si>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</si>
  <si>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</si>
  <si>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</si>
  <si>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</si>
  <si>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</si>
  <si>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</si>
  <si>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</si>
  <si>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</si>
  <si>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2025-12-29</t>
  </si>
  <si>
    <t/>
  </si>
  <si>
    <t>Agency Marketing Fee</t>
  </si>
  <si>
    <t>MLB</t>
  </si>
  <si>
    <t>Kozacheck, Anne Marie</t>
  </si>
  <si>
    <t>Ibc</t>
  </si>
  <si>
    <t>2PF4PG1VE06</t>
  </si>
  <si>
    <t>MAPD</t>
  </si>
  <si>
    <t>Ganster, Roxane</t>
  </si>
  <si>
    <t>2025-07-01</t>
  </si>
  <si>
    <t>Richter, Peter</t>
  </si>
  <si>
    <t>9JV0Q98TT48</t>
  </si>
  <si>
    <t>Renda, Ellen</t>
  </si>
  <si>
    <t>2026-01-01</t>
  </si>
  <si>
    <t>1D23MD1JE93</t>
  </si>
  <si>
    <t>Kaiser, Thomas</t>
  </si>
  <si>
    <t>4AQ7DG9GJ68</t>
  </si>
  <si>
    <t>Tang, Ralph</t>
  </si>
  <si>
    <t>2025-12-01</t>
  </si>
  <si>
    <t>2025-12-31</t>
  </si>
  <si>
    <t>Agent Pay</t>
  </si>
  <si>
    <t>Hoffmann, Jason</t>
  </si>
  <si>
    <t>7U15AF7UP71</t>
  </si>
  <si>
    <t>Engle, Robert</t>
  </si>
  <si>
    <t>Roccia, Mark</t>
  </si>
  <si>
    <t>2Q79JY5YU11</t>
  </si>
  <si>
    <t>Fay, Anthony</t>
  </si>
  <si>
    <t>Foley, Carol</t>
  </si>
  <si>
    <t>9WJ5Y20GY84</t>
  </si>
  <si>
    <t>Smith, Carol</t>
  </si>
  <si>
    <t>5ER5EV2UA52</t>
  </si>
  <si>
    <t>Weiler, Ellen</t>
  </si>
  <si>
    <t>Main Line Benefits</t>
  </si>
  <si>
    <t>IBC MAPD OVR 2025</t>
  </si>
  <si>
    <t>IBC MAPD 2025</t>
  </si>
  <si>
    <t>[%/$=353][prorate=1/12]</t>
  </si>
  <si>
    <t>IBC MAPD 2025*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</si>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</sst>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J18" sqref="J18"/>
    </sheetView>
  </sheetViews>
  <sheetFormatPr defaultRowHeight="15" x14ac:dyDescent="0.25"/>
  <cols>
    <col min="4" max="4" width="20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17086692</v>
      </c>
      <c r="I2" t="s">
        <v>21</v>
      </c>
      <c r="J2">
        <v>51041084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>
        <v>60</v>
      </c>
      <c r="H3">
        <v>17086692</v>
      </c>
      <c r="I3" t="s">
        <v>21</v>
      </c>
      <c r="J3">
        <v>51022238</v>
      </c>
      <c r="K3" t="s">
        <v>27</v>
      </c>
      <c r="L3" t="s">
        <v>23</v>
      </c>
      <c r="M3" t="s">
        <v>28</v>
      </c>
      <c r="N3" t="s">
        <v>29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26</v>
      </c>
      <c r="G4">
        <v>100</v>
      </c>
      <c r="H4">
        <v>17086692</v>
      </c>
      <c r="I4" t="s">
        <v>21</v>
      </c>
      <c r="J4">
        <v>51050965</v>
      </c>
      <c r="K4" t="s">
        <v>30</v>
      </c>
      <c r="L4" t="s">
        <v>23</v>
      </c>
      <c r="M4" t="s">
        <v>31</v>
      </c>
      <c r="N4" t="s">
        <v>29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150</v>
      </c>
      <c r="H5">
        <v>17086692</v>
      </c>
      <c r="I5" t="s">
        <v>21</v>
      </c>
      <c r="J5">
        <v>51048845</v>
      </c>
      <c r="K5" t="s">
        <v>32</v>
      </c>
      <c r="L5" t="s">
        <v>23</v>
      </c>
      <c r="M5" t="s">
        <v>33</v>
      </c>
      <c r="N5" t="s">
        <v>34</v>
      </c>
      <c r="O5" t="s">
        <v>35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36</v>
      </c>
      <c r="E6" t="s">
        <v>19</v>
      </c>
      <c r="F6" t="s">
        <v>37</v>
      </c>
      <c r="G6">
        <v>675.58</v>
      </c>
      <c r="H6">
        <v>17086692</v>
      </c>
      <c r="I6" t="s">
        <v>21</v>
      </c>
      <c r="J6">
        <v>51046503</v>
      </c>
      <c r="K6" t="s">
        <v>38</v>
      </c>
      <c r="L6" t="s">
        <v>23</v>
      </c>
      <c r="M6" t="s">
        <v>39</v>
      </c>
      <c r="N6" t="s">
        <v>34</v>
      </c>
      <c r="O6" t="s">
        <v>35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36</v>
      </c>
      <c r="E7" t="s">
        <v>19</v>
      </c>
      <c r="F7" t="s">
        <v>40</v>
      </c>
      <c r="G7">
        <v>675.58</v>
      </c>
      <c r="H7">
        <v>17086692</v>
      </c>
      <c r="I7" t="s">
        <v>21</v>
      </c>
      <c r="J7">
        <v>51049192</v>
      </c>
      <c r="K7" t="s">
        <v>41</v>
      </c>
      <c r="L7" t="s">
        <v>23</v>
      </c>
      <c r="M7" t="s">
        <v>42</v>
      </c>
      <c r="N7" t="s">
        <v>34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36</v>
      </c>
      <c r="E8" t="s">
        <v>19</v>
      </c>
      <c r="F8" t="s">
        <v>43</v>
      </c>
      <c r="G8">
        <v>675.58</v>
      </c>
      <c r="H8">
        <v>17086692</v>
      </c>
      <c r="I8" t="s">
        <v>21</v>
      </c>
      <c r="J8">
        <v>51048263</v>
      </c>
      <c r="K8" t="s">
        <v>44</v>
      </c>
      <c r="L8" t="s">
        <v>23</v>
      </c>
      <c r="M8" t="s">
        <v>45</v>
      </c>
      <c r="N8" t="s">
        <v>34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36</v>
      </c>
      <c r="E9" t="s">
        <v>19</v>
      </c>
      <c r="F9" t="s">
        <v>40</v>
      </c>
      <c r="G9">
        <v>675.58</v>
      </c>
      <c r="H9">
        <v>17086692</v>
      </c>
      <c r="I9" t="s">
        <v>21</v>
      </c>
      <c r="J9">
        <v>51046848</v>
      </c>
      <c r="K9" t="s">
        <v>46</v>
      </c>
      <c r="L9" t="s">
        <v>23</v>
      </c>
      <c r="M9" t="s">
        <v>47</v>
      </c>
      <c r="N9" t="s">
        <v>34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36</v>
      </c>
      <c r="E10" t="s">
        <v>19</v>
      </c>
      <c r="F10" t="s">
        <v>20</v>
      </c>
      <c r="G10">
        <v>705</v>
      </c>
      <c r="H10">
        <v>17086692</v>
      </c>
      <c r="I10" t="s">
        <v>21</v>
      </c>
      <c r="J10">
        <v>51048845</v>
      </c>
      <c r="K10" t="s">
        <v>32</v>
      </c>
      <c r="L10" t="s">
        <v>23</v>
      </c>
      <c r="M10" t="s">
        <v>33</v>
      </c>
      <c r="N10" t="s">
        <v>34</v>
      </c>
      <c r="O10" t="s">
        <v>35</v>
      </c>
      <c r="P10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7A73-FE21-4C2A-B103-57C674FBB16D}">
  <dimension ref="A1:O14"/>
  <sheetViews>
    <sheetView workbookViewId="0">
      <selection activeCell="F1" sqref="F1:F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20.85546875" bestFit="1" customWidth="1"/>
    <col min="4" max="4" width="7.42578125" bestFit="1" customWidth="1"/>
    <col min="5" max="5" width="21.85546875" bestFit="1" customWidth="1"/>
    <col min="6" max="6" width="8.140625" bestFit="1" customWidth="1"/>
    <col min="7" max="7" width="10.7109375" bestFit="1" customWidth="1"/>
    <col min="8" max="8" width="7" bestFit="1" customWidth="1"/>
    <col min="9" max="9" width="15.140625" bestFit="1" customWidth="1"/>
    <col min="10" max="10" width="15.140625" customWidth="1"/>
    <col min="11" max="11" width="9.5703125" bestFit="1" customWidth="1"/>
    <col min="12" max="12" width="15.5703125" bestFit="1" customWidth="1"/>
    <col min="13" max="13" width="13.5703125" bestFit="1" customWidth="1"/>
    <col min="14" max="14" width="18.7109375" bestFit="1" customWidth="1"/>
  </cols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t="s">
        <v>11</v>
      </c>
      <c r="L1" t="s">
        <v>12</v>
      </c>
      <c r="M1" t="s">
        <v>13</v>
      </c>
    </row>
    <row r="2" spans="1:15" s="1" customFormat="1" x14ac:dyDescent="0.25">
      <c r="A2" s="1" t="s">
        <v>16</v>
      </c>
      <c r="B2" s="1" t="s">
        <v>16</v>
      </c>
      <c r="C2" s="1" t="s">
        <v>18</v>
      </c>
      <c r="D2" s="1" t="s">
        <v>19</v>
      </c>
      <c r="E2" s="1" t="s">
        <v>48</v>
      </c>
      <c r="F2" s="1">
        <v>60</v>
      </c>
      <c r="G2" s="1">
        <v>20411454</v>
      </c>
      <c r="H2" s="1" t="s">
        <v>21</v>
      </c>
      <c r="I2" s="1">
        <v>51041084</v>
      </c>
      <c r="J2" s="1" t="str">
        <f>CONCATENATE(I2,"OVR")</f>
        <v>51041084OVR</v>
      </c>
      <c r="K2" s="1" t="s">
        <v>23</v>
      </c>
      <c r="L2" s="1" t="s">
        <v>24</v>
      </c>
      <c r="M2" s="2">
        <v>45839</v>
      </c>
      <c r="N2" s="1" t="s">
        <v>49</v>
      </c>
    </row>
    <row r="3" spans="1:15" s="1" customFormat="1" x14ac:dyDescent="0.25">
      <c r="A3" s="1" t="s">
        <v>16</v>
      </c>
      <c r="B3" s="1" t="s">
        <v>16</v>
      </c>
      <c r="C3" s="1" t="s">
        <v>18</v>
      </c>
      <c r="D3" s="1" t="s">
        <v>19</v>
      </c>
      <c r="E3" s="1" t="s">
        <v>48</v>
      </c>
      <c r="F3" s="1">
        <v>60</v>
      </c>
      <c r="G3" s="1">
        <v>20411454</v>
      </c>
      <c r="H3" s="1" t="s">
        <v>21</v>
      </c>
      <c r="I3" s="1">
        <v>51022238</v>
      </c>
      <c r="J3" s="1" t="str">
        <f t="shared" ref="J3:J5" si="0">CONCATENATE(I3,"OVR")</f>
        <v>51022238OVR</v>
      </c>
      <c r="K3" s="1" t="s">
        <v>23</v>
      </c>
      <c r="L3" s="1" t="s">
        <v>28</v>
      </c>
      <c r="M3" s="2">
        <v>46023</v>
      </c>
      <c r="N3" s="1" t="s">
        <v>49</v>
      </c>
    </row>
    <row r="4" spans="1:15" s="1" customFormat="1" x14ac:dyDescent="0.25">
      <c r="A4" s="1" t="s">
        <v>16</v>
      </c>
      <c r="B4" s="1" t="s">
        <v>16</v>
      </c>
      <c r="C4" s="1" t="s">
        <v>18</v>
      </c>
      <c r="D4" s="1" t="s">
        <v>19</v>
      </c>
      <c r="E4" s="1" t="s">
        <v>48</v>
      </c>
      <c r="F4" s="1">
        <v>100</v>
      </c>
      <c r="G4" s="1">
        <v>20411454</v>
      </c>
      <c r="H4" s="1" t="s">
        <v>21</v>
      </c>
      <c r="I4" s="1">
        <v>51050965</v>
      </c>
      <c r="J4" s="1" t="str">
        <f t="shared" si="0"/>
        <v>51050965OVR</v>
      </c>
      <c r="K4" s="1" t="s">
        <v>23</v>
      </c>
      <c r="L4" s="1" t="s">
        <v>31</v>
      </c>
      <c r="M4" s="2">
        <v>46023</v>
      </c>
      <c r="N4" s="1" t="s">
        <v>49</v>
      </c>
    </row>
    <row r="5" spans="1:15" s="1" customFormat="1" x14ac:dyDescent="0.25">
      <c r="A5" s="1" t="s">
        <v>16</v>
      </c>
      <c r="B5" s="1" t="s">
        <v>16</v>
      </c>
      <c r="C5" s="1" t="s">
        <v>18</v>
      </c>
      <c r="D5" s="1" t="s">
        <v>19</v>
      </c>
      <c r="E5" s="1" t="s">
        <v>48</v>
      </c>
      <c r="F5" s="1">
        <v>150</v>
      </c>
      <c r="G5" s="1">
        <v>20411454</v>
      </c>
      <c r="H5" s="1" t="s">
        <v>21</v>
      </c>
      <c r="I5" s="1">
        <v>51048845</v>
      </c>
      <c r="J5" s="1" t="str">
        <f t="shared" si="0"/>
        <v>51048845OVR</v>
      </c>
      <c r="K5" s="1" t="s">
        <v>23</v>
      </c>
      <c r="L5" s="1" t="s">
        <v>33</v>
      </c>
      <c r="M5" s="2">
        <v>45992</v>
      </c>
      <c r="N5" s="1" t="s">
        <v>49</v>
      </c>
    </row>
    <row r="6" spans="1:15" s="3" customFormat="1" x14ac:dyDescent="0.25">
      <c r="A6" s="3" t="s">
        <v>16</v>
      </c>
      <c r="B6" s="3" t="s">
        <v>16</v>
      </c>
      <c r="C6" s="3" t="s">
        <v>36</v>
      </c>
      <c r="D6" s="3" t="s">
        <v>19</v>
      </c>
      <c r="E6" s="3" t="s">
        <v>43</v>
      </c>
      <c r="F6" s="3">
        <v>705</v>
      </c>
      <c r="G6" s="3">
        <v>17425766</v>
      </c>
      <c r="H6" s="3" t="s">
        <v>21</v>
      </c>
      <c r="I6" s="3">
        <v>51048263</v>
      </c>
      <c r="J6" s="3" t="str">
        <f>CONCATENATE(I6,1)</f>
        <v>510482631</v>
      </c>
      <c r="K6" s="3" t="s">
        <v>23</v>
      </c>
      <c r="L6" s="3" t="s">
        <v>45</v>
      </c>
      <c r="M6" s="4">
        <v>45992</v>
      </c>
      <c r="N6" s="3" t="s">
        <v>50</v>
      </c>
      <c r="O6" s="3" t="s">
        <v>53</v>
      </c>
    </row>
    <row r="7" spans="1:15" s="3" customFormat="1" x14ac:dyDescent="0.25">
      <c r="A7" s="3" t="s">
        <v>16</v>
      </c>
      <c r="B7" s="3" t="s">
        <v>16</v>
      </c>
      <c r="C7" s="3" t="s">
        <v>36</v>
      </c>
      <c r="D7" s="3" t="s">
        <v>19</v>
      </c>
      <c r="E7" s="3" t="s">
        <v>37</v>
      </c>
      <c r="F7" s="3">
        <v>705</v>
      </c>
      <c r="G7" s="3">
        <v>15278437</v>
      </c>
      <c r="H7" s="3" t="s">
        <v>21</v>
      </c>
      <c r="I7" s="3">
        <v>51046503</v>
      </c>
      <c r="J7" s="3" t="str">
        <f t="shared" ref="J7:J9" si="1">CONCATENATE(I7,1)</f>
        <v>510465031</v>
      </c>
      <c r="K7" s="3" t="s">
        <v>23</v>
      </c>
      <c r="L7" s="3" t="s">
        <v>39</v>
      </c>
      <c r="M7" s="4">
        <v>45992</v>
      </c>
      <c r="N7" s="3" t="s">
        <v>50</v>
      </c>
      <c r="O7" s="3" t="s">
        <v>53</v>
      </c>
    </row>
    <row r="8" spans="1:15" s="3" customFormat="1" x14ac:dyDescent="0.25">
      <c r="A8" s="3" t="s">
        <v>16</v>
      </c>
      <c r="B8" s="3" t="s">
        <v>16</v>
      </c>
      <c r="C8" s="3" t="s">
        <v>36</v>
      </c>
      <c r="D8" s="3" t="s">
        <v>19</v>
      </c>
      <c r="E8" s="3" t="s">
        <v>40</v>
      </c>
      <c r="F8" s="3">
        <v>705</v>
      </c>
      <c r="G8" s="3">
        <v>21618313</v>
      </c>
      <c r="H8" s="3" t="s">
        <v>21</v>
      </c>
      <c r="I8" s="3">
        <v>51049192</v>
      </c>
      <c r="J8" s="3" t="str">
        <f t="shared" si="1"/>
        <v>510491921</v>
      </c>
      <c r="K8" s="3" t="s">
        <v>23</v>
      </c>
      <c r="L8" s="3" t="s">
        <v>42</v>
      </c>
      <c r="M8" s="4">
        <v>45992</v>
      </c>
      <c r="N8" s="3" t="s">
        <v>50</v>
      </c>
      <c r="O8" s="3" t="s">
        <v>53</v>
      </c>
    </row>
    <row r="9" spans="1:15" s="3" customFormat="1" x14ac:dyDescent="0.25">
      <c r="A9" s="3" t="s">
        <v>16</v>
      </c>
      <c r="B9" s="3" t="s">
        <v>16</v>
      </c>
      <c r="C9" s="3" t="s">
        <v>36</v>
      </c>
      <c r="D9" s="3" t="s">
        <v>19</v>
      </c>
      <c r="E9" s="3" t="s">
        <v>40</v>
      </c>
      <c r="F9" s="3">
        <v>705</v>
      </c>
      <c r="G9" s="3">
        <v>21618313</v>
      </c>
      <c r="H9" s="3" t="s">
        <v>21</v>
      </c>
      <c r="I9" s="3">
        <v>51046848</v>
      </c>
      <c r="J9" s="3" t="str">
        <f t="shared" si="1"/>
        <v>510468481</v>
      </c>
      <c r="K9" s="3" t="s">
        <v>23</v>
      </c>
      <c r="L9" s="3" t="s">
        <v>47</v>
      </c>
      <c r="M9" s="4">
        <v>45992</v>
      </c>
      <c r="N9" s="3" t="s">
        <v>50</v>
      </c>
      <c r="O9" s="3" t="s">
        <v>53</v>
      </c>
    </row>
    <row r="10" spans="1:15" s="3" customFormat="1" x14ac:dyDescent="0.25">
      <c r="A10" s="3" t="s">
        <v>16</v>
      </c>
      <c r="B10" s="3" t="s">
        <v>16</v>
      </c>
      <c r="C10" s="3" t="s">
        <v>36</v>
      </c>
      <c r="D10" s="3" t="s">
        <v>19</v>
      </c>
      <c r="E10" s="3" t="s">
        <v>43</v>
      </c>
      <c r="F10" s="3">
        <v>-29.42</v>
      </c>
      <c r="G10" s="3">
        <v>17425766</v>
      </c>
      <c r="H10" s="3" t="s">
        <v>21</v>
      </c>
      <c r="I10" s="3">
        <v>51048263</v>
      </c>
      <c r="J10" s="3">
        <v>51048263</v>
      </c>
      <c r="K10" s="3" t="s">
        <v>23</v>
      </c>
      <c r="L10" s="3" t="s">
        <v>45</v>
      </c>
      <c r="M10" s="4">
        <v>45992</v>
      </c>
      <c r="N10" s="3" t="s">
        <v>52</v>
      </c>
      <c r="O10" s="3" t="s">
        <v>51</v>
      </c>
    </row>
    <row r="11" spans="1:15" s="3" customFormat="1" x14ac:dyDescent="0.25">
      <c r="A11" s="3" t="s">
        <v>16</v>
      </c>
      <c r="B11" s="3" t="s">
        <v>16</v>
      </c>
      <c r="C11" s="3" t="s">
        <v>36</v>
      </c>
      <c r="D11" s="3" t="s">
        <v>19</v>
      </c>
      <c r="E11" s="3" t="s">
        <v>37</v>
      </c>
      <c r="F11" s="3">
        <v>-29.42</v>
      </c>
      <c r="G11" s="3">
        <v>15278437</v>
      </c>
      <c r="H11" s="3" t="s">
        <v>21</v>
      </c>
      <c r="I11" s="3">
        <v>51046503</v>
      </c>
      <c r="J11" s="3">
        <v>51046503</v>
      </c>
      <c r="K11" s="3" t="s">
        <v>23</v>
      </c>
      <c r="L11" s="3" t="s">
        <v>39</v>
      </c>
      <c r="M11" s="4">
        <v>45992</v>
      </c>
      <c r="N11" s="3" t="s">
        <v>52</v>
      </c>
      <c r="O11" s="3" t="s">
        <v>51</v>
      </c>
    </row>
    <row r="12" spans="1:15" s="3" customFormat="1" x14ac:dyDescent="0.25">
      <c r="A12" s="3" t="s">
        <v>16</v>
      </c>
      <c r="B12" s="3" t="s">
        <v>16</v>
      </c>
      <c r="C12" s="3" t="s">
        <v>36</v>
      </c>
      <c r="D12" s="3" t="s">
        <v>19</v>
      </c>
      <c r="E12" s="3" t="s">
        <v>40</v>
      </c>
      <c r="F12" s="3">
        <v>-29.42</v>
      </c>
      <c r="G12" s="3">
        <v>21618313</v>
      </c>
      <c r="H12" s="3" t="s">
        <v>21</v>
      </c>
      <c r="I12" s="3">
        <v>51049192</v>
      </c>
      <c r="J12" s="3">
        <v>51049192</v>
      </c>
      <c r="K12" s="3" t="s">
        <v>23</v>
      </c>
      <c r="L12" s="3" t="s">
        <v>42</v>
      </c>
      <c r="M12" s="4">
        <v>45992</v>
      </c>
      <c r="N12" s="3" t="s">
        <v>52</v>
      </c>
      <c r="O12" s="3" t="s">
        <v>51</v>
      </c>
    </row>
    <row r="13" spans="1:15" s="3" customFormat="1" x14ac:dyDescent="0.25">
      <c r="A13" s="3" t="s">
        <v>16</v>
      </c>
      <c r="B13" s="3" t="s">
        <v>16</v>
      </c>
      <c r="C13" s="3" t="s">
        <v>36</v>
      </c>
      <c r="D13" s="3" t="s">
        <v>19</v>
      </c>
      <c r="E13" s="3" t="s">
        <v>40</v>
      </c>
      <c r="F13" s="3">
        <v>-29.42</v>
      </c>
      <c r="G13" s="3">
        <v>21618313</v>
      </c>
      <c r="H13" s="3" t="s">
        <v>21</v>
      </c>
      <c r="I13" s="3">
        <v>51046848</v>
      </c>
      <c r="J13" s="3">
        <v>51046848</v>
      </c>
      <c r="K13" s="3" t="s">
        <v>23</v>
      </c>
      <c r="L13" s="3" t="s">
        <v>47</v>
      </c>
      <c r="M13" s="4">
        <v>45992</v>
      </c>
      <c r="N13" s="3" t="s">
        <v>52</v>
      </c>
      <c r="O13" s="3" t="s">
        <v>51</v>
      </c>
    </row>
    <row r="14" spans="1:15" s="3" customFormat="1" x14ac:dyDescent="0.25">
      <c r="A14" s="3" t="s">
        <v>16</v>
      </c>
      <c r="B14" s="3" t="s">
        <v>16</v>
      </c>
      <c r="C14" s="3" t="s">
        <v>36</v>
      </c>
      <c r="D14" s="3" t="s">
        <v>19</v>
      </c>
      <c r="E14" s="3" t="s">
        <v>20</v>
      </c>
      <c r="F14" s="3">
        <v>705</v>
      </c>
      <c r="G14" s="3">
        <v>19278370</v>
      </c>
      <c r="H14" s="3" t="s">
        <v>21</v>
      </c>
      <c r="I14" s="3">
        <v>51048845</v>
      </c>
      <c r="J14" s="3" t="str">
        <f>CONCATENATE(I14,1)</f>
        <v>510488451</v>
      </c>
      <c r="K14" s="3" t="s">
        <v>23</v>
      </c>
      <c r="L14" s="3" t="s">
        <v>33</v>
      </c>
      <c r="M14" s="4">
        <v>45992</v>
      </c>
      <c r="N14" s="3" t="s">
        <v>50</v>
      </c>
      <c r="O14" s="3" t="s">
        <v>53</v>
      </c>
    </row>
  </sheetData>
  <sortState xmlns:xlrd2="http://schemas.microsoft.com/office/spreadsheetml/2017/richdata2" ref="A6:Q14">
    <sortCondition ref="F6:F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2025-12-29T07:12:34Z</dcterms:created>
  <dcterms:modified xsi:type="dcterms:W3CDTF">2025-12-29T19:09:59Z</dcterms:modified>
  <cp:category/>
</cp:coreProperties>
</file>