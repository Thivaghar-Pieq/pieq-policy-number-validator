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E65031C-3606-41B0-8A54-419497CE152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16" i="2" l="1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<sst xmlns="http://schemas.openxmlformats.org/spreadsheetml/2006/main" count="443" uniqueCount="74">
  <si>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</si>
  <si>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</si>
  <si>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</si>
  <si>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</si>
  <si>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</si>
  <si>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</si>
  <si>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</si>
  <si>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</si>
  <si>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</si>
  <si>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</si>
  <si>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</si>
  <si>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</si>
  <si>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</si>
  <si>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</si>
  <si>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</si>
  <si>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</si>
  <si>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2025-12-15</t>
  </si>
  <si>
    <t>2025-12-22</t>
  </si>
  <si>
    <t/>
  </si>
  <si>
    <t>Agent Pay</t>
  </si>
  <si>
    <t>MLB</t>
  </si>
  <si>
    <t>Kozacheck, Anne Marie</t>
  </si>
  <si>
    <t>Ibc</t>
  </si>
  <si>
    <t>8Y19JV9JN59</t>
  </si>
  <si>
    <t>MAPD</t>
  </si>
  <si>
    <t>Thornton, Karen</t>
  </si>
  <si>
    <t>2025-08-01</t>
  </si>
  <si>
    <t>Agency Marketing Fee</t>
  </si>
  <si>
    <t>Agency Service Fee</t>
  </si>
  <si>
    <t>Foley, Carol</t>
  </si>
  <si>
    <t>Clover</t>
  </si>
  <si>
    <t>CP2140165</t>
  </si>
  <si>
    <t>Trask, Valeta</t>
  </si>
  <si>
    <t>2024-10-01</t>
  </si>
  <si>
    <t>2025-12-31</t>
  </si>
  <si>
    <t>Hoffmann, Jason</t>
  </si>
  <si>
    <t>4WF2RQ6YG08</t>
  </si>
  <si>
    <t>Di Stefano, Richard</t>
  </si>
  <si>
    <t>2026-01-01</t>
  </si>
  <si>
    <t>1TY1EF3DY07</t>
  </si>
  <si>
    <t>Foresta, Deborah</t>
  </si>
  <si>
    <t>9FG4TR6AU99</t>
  </si>
  <si>
    <t>Weits, Robert</t>
  </si>
  <si>
    <t>Richter, Peter</t>
  </si>
  <si>
    <t>8K59YW4GW11</t>
  </si>
  <si>
    <t>Whittington, Frances</t>
  </si>
  <si>
    <t>Roccia, Mark</t>
  </si>
  <si>
    <t>2Q79JY5YU11</t>
  </si>
  <si>
    <t>Fay, Anthony</t>
  </si>
  <si>
    <t>2025-12-01</t>
  </si>
  <si>
    <t>9WJ5Y20GY84</t>
  </si>
  <si>
    <t>Smith, Carol</t>
  </si>
  <si>
    <t>7WK8N55FC50</t>
  </si>
  <si>
    <t>Durante, Jim</t>
  </si>
  <si>
    <t>2025-06-01</t>
  </si>
  <si>
    <t>3P91G37QF32</t>
  </si>
  <si>
    <t>Feulner, Keith</t>
  </si>
  <si>
    <t>4HY4EF5CH93</t>
  </si>
  <si>
    <t>Jones, Mark</t>
  </si>
  <si>
    <t>2025-11-01</t>
  </si>
  <si>
    <t>7Y38HY6NN32</t>
  </si>
  <si>
    <t>Kolb, Daniel</t>
  </si>
  <si>
    <t>2025-09-01</t>
  </si>
  <si>
    <t>1HY0F20QH34</t>
  </si>
  <si>
    <t>Dulin, Dona</t>
  </si>
  <si>
    <t>4VU0FQ2HM03</t>
  </si>
  <si>
    <t>Sirleaf Davis, Ethel</t>
  </si>
  <si>
    <t>Clover OVR</t>
  </si>
  <si>
    <t>IBC MAPD OVR 2025</t>
  </si>
  <si>
    <t>IBC MAPD 2025</t>
  </si>
  <si>
    <t>IBC MAPD 2025*</t>
  </si>
  <si>
    <t>[%/$=705]</t>
  </si>
  <si>
    <t>[%/$=353][prorate=1/12]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</si>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</sst>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G1" sqref="G1:G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28515625" bestFit="1" customWidth="1"/>
    <col min="12" max="12" width="9.5703125" bestFit="1" customWidth="1"/>
    <col min="13" max="13" width="19.710937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-705</v>
      </c>
      <c r="H2">
        <v>17086692</v>
      </c>
      <c r="I2" t="s">
        <v>22</v>
      </c>
      <c r="J2">
        <v>51040188</v>
      </c>
      <c r="K2" t="s">
        <v>23</v>
      </c>
      <c r="L2" t="s">
        <v>24</v>
      </c>
      <c r="M2" t="s">
        <v>25</v>
      </c>
      <c r="N2" t="s">
        <v>26</v>
      </c>
      <c r="O2" t="s">
        <v>26</v>
      </c>
      <c r="P2" t="s">
        <v>18</v>
      </c>
    </row>
    <row r="3" spans="1:16" x14ac:dyDescent="0.25">
      <c r="A3" t="s">
        <v>16</v>
      </c>
      <c r="B3" t="s">
        <v>17</v>
      </c>
      <c r="C3" t="s">
        <v>18</v>
      </c>
      <c r="D3" t="s">
        <v>27</v>
      </c>
      <c r="E3" t="s">
        <v>20</v>
      </c>
      <c r="F3" t="s">
        <v>21</v>
      </c>
      <c r="G3">
        <v>-150</v>
      </c>
      <c r="H3">
        <v>17086692</v>
      </c>
      <c r="I3" t="s">
        <v>22</v>
      </c>
      <c r="J3">
        <v>51040188</v>
      </c>
      <c r="K3" t="s">
        <v>23</v>
      </c>
      <c r="L3" t="s">
        <v>24</v>
      </c>
      <c r="M3" t="s">
        <v>25</v>
      </c>
      <c r="N3" t="s">
        <v>26</v>
      </c>
      <c r="O3" t="s">
        <v>26</v>
      </c>
      <c r="P3" t="s">
        <v>18</v>
      </c>
    </row>
    <row r="4" spans="1:16" x14ac:dyDescent="0.25">
      <c r="A4" t="s">
        <v>16</v>
      </c>
      <c r="B4" t="s">
        <v>17</v>
      </c>
      <c r="C4" t="s">
        <v>18</v>
      </c>
      <c r="D4" t="s">
        <v>28</v>
      </c>
      <c r="E4" t="s">
        <v>20</v>
      </c>
      <c r="F4" t="s">
        <v>29</v>
      </c>
      <c r="G4">
        <v>2.1</v>
      </c>
      <c r="H4">
        <v>17086692</v>
      </c>
      <c r="I4" t="s">
        <v>30</v>
      </c>
      <c r="J4" t="s">
        <v>31</v>
      </c>
      <c r="K4" t="s">
        <v>18</v>
      </c>
      <c r="L4" t="s">
        <v>24</v>
      </c>
      <c r="M4" t="s">
        <v>32</v>
      </c>
      <c r="N4" t="s">
        <v>33</v>
      </c>
      <c r="O4" t="s">
        <v>34</v>
      </c>
      <c r="P4" t="s">
        <v>18</v>
      </c>
    </row>
    <row r="5" spans="1:16" x14ac:dyDescent="0.25">
      <c r="A5" t="s">
        <v>16</v>
      </c>
      <c r="B5" t="s">
        <v>17</v>
      </c>
      <c r="C5" t="s">
        <v>18</v>
      </c>
      <c r="D5" t="s">
        <v>27</v>
      </c>
      <c r="E5" t="s">
        <v>20</v>
      </c>
      <c r="F5" t="s">
        <v>35</v>
      </c>
      <c r="G5">
        <v>60</v>
      </c>
      <c r="H5">
        <v>17086692</v>
      </c>
      <c r="I5" t="s">
        <v>22</v>
      </c>
      <c r="J5">
        <v>51037053</v>
      </c>
      <c r="K5" t="s">
        <v>36</v>
      </c>
      <c r="L5" t="s">
        <v>24</v>
      </c>
      <c r="M5" t="s">
        <v>37</v>
      </c>
      <c r="N5" t="s">
        <v>38</v>
      </c>
      <c r="O5" t="s">
        <v>18</v>
      </c>
      <c r="P5" t="s">
        <v>18</v>
      </c>
    </row>
    <row r="6" spans="1:16" x14ac:dyDescent="0.25">
      <c r="A6" t="s">
        <v>16</v>
      </c>
      <c r="B6" t="s">
        <v>17</v>
      </c>
      <c r="C6" t="s">
        <v>18</v>
      </c>
      <c r="D6" t="s">
        <v>27</v>
      </c>
      <c r="E6" t="s">
        <v>20</v>
      </c>
      <c r="F6" t="s">
        <v>21</v>
      </c>
      <c r="G6">
        <v>60</v>
      </c>
      <c r="H6">
        <v>17086692</v>
      </c>
      <c r="I6" t="s">
        <v>22</v>
      </c>
      <c r="J6">
        <v>50118614</v>
      </c>
      <c r="K6" t="s">
        <v>39</v>
      </c>
      <c r="L6" t="s">
        <v>24</v>
      </c>
      <c r="M6" t="s">
        <v>40</v>
      </c>
      <c r="N6" t="s">
        <v>38</v>
      </c>
      <c r="O6" t="s">
        <v>18</v>
      </c>
      <c r="P6" t="s">
        <v>18</v>
      </c>
    </row>
    <row r="7" spans="1:16" x14ac:dyDescent="0.25">
      <c r="A7" t="s">
        <v>16</v>
      </c>
      <c r="B7" t="s">
        <v>17</v>
      </c>
      <c r="C7" t="s">
        <v>18</v>
      </c>
      <c r="D7" t="s">
        <v>27</v>
      </c>
      <c r="E7" t="s">
        <v>20</v>
      </c>
      <c r="F7" t="s">
        <v>21</v>
      </c>
      <c r="G7">
        <v>60</v>
      </c>
      <c r="H7">
        <v>17086692</v>
      </c>
      <c r="I7" t="s">
        <v>22</v>
      </c>
      <c r="J7">
        <v>50089492</v>
      </c>
      <c r="K7" t="s">
        <v>41</v>
      </c>
      <c r="L7" t="s">
        <v>24</v>
      </c>
      <c r="M7" t="s">
        <v>42</v>
      </c>
      <c r="N7" t="s">
        <v>38</v>
      </c>
      <c r="O7" t="s">
        <v>18</v>
      </c>
      <c r="P7" t="s">
        <v>18</v>
      </c>
    </row>
    <row r="8" spans="1:16" x14ac:dyDescent="0.25">
      <c r="A8" t="s">
        <v>16</v>
      </c>
      <c r="B8" t="s">
        <v>17</v>
      </c>
      <c r="C8" t="s">
        <v>18</v>
      </c>
      <c r="D8" t="s">
        <v>27</v>
      </c>
      <c r="E8" t="s">
        <v>20</v>
      </c>
      <c r="F8" t="s">
        <v>43</v>
      </c>
      <c r="G8">
        <v>60</v>
      </c>
      <c r="H8">
        <v>17086692</v>
      </c>
      <c r="I8" t="s">
        <v>22</v>
      </c>
      <c r="J8">
        <v>50032784</v>
      </c>
      <c r="K8" t="s">
        <v>44</v>
      </c>
      <c r="L8" t="s">
        <v>24</v>
      </c>
      <c r="M8" t="s">
        <v>45</v>
      </c>
      <c r="N8" t="s">
        <v>38</v>
      </c>
      <c r="O8" t="s">
        <v>18</v>
      </c>
      <c r="P8" t="s">
        <v>18</v>
      </c>
    </row>
    <row r="9" spans="1:16" x14ac:dyDescent="0.25">
      <c r="A9" t="s">
        <v>17</v>
      </c>
      <c r="B9" t="s">
        <v>17</v>
      </c>
      <c r="C9" t="s">
        <v>18</v>
      </c>
      <c r="D9" t="s">
        <v>19</v>
      </c>
      <c r="E9" t="s">
        <v>20</v>
      </c>
      <c r="F9" t="s">
        <v>46</v>
      </c>
      <c r="G9">
        <v>29.42</v>
      </c>
      <c r="H9">
        <v>17086692</v>
      </c>
      <c r="I9" t="s">
        <v>22</v>
      </c>
      <c r="J9">
        <v>51049192</v>
      </c>
      <c r="K9" t="s">
        <v>47</v>
      </c>
      <c r="L9" t="s">
        <v>24</v>
      </c>
      <c r="M9" t="s">
        <v>48</v>
      </c>
      <c r="N9" t="s">
        <v>49</v>
      </c>
      <c r="O9" t="s">
        <v>18</v>
      </c>
      <c r="P9" t="s">
        <v>18</v>
      </c>
    </row>
    <row r="10" spans="1:16" x14ac:dyDescent="0.25">
      <c r="A10" t="s">
        <v>17</v>
      </c>
      <c r="B10" t="s">
        <v>17</v>
      </c>
      <c r="C10" t="s">
        <v>18</v>
      </c>
      <c r="D10" t="s">
        <v>19</v>
      </c>
      <c r="E10" t="s">
        <v>20</v>
      </c>
      <c r="F10" t="s">
        <v>29</v>
      </c>
      <c r="G10">
        <v>29.42</v>
      </c>
      <c r="H10">
        <v>17086692</v>
      </c>
      <c r="I10" t="s">
        <v>22</v>
      </c>
      <c r="J10">
        <v>51048263</v>
      </c>
      <c r="K10" t="s">
        <v>50</v>
      </c>
      <c r="L10" t="s">
        <v>24</v>
      </c>
      <c r="M10" t="s">
        <v>51</v>
      </c>
      <c r="N10" t="s">
        <v>49</v>
      </c>
      <c r="O10" t="s">
        <v>18</v>
      </c>
      <c r="P10" t="s">
        <v>18</v>
      </c>
    </row>
    <row r="11" spans="1:16" x14ac:dyDescent="0.25">
      <c r="A11" t="s">
        <v>17</v>
      </c>
      <c r="B11" t="s">
        <v>17</v>
      </c>
      <c r="C11" t="s">
        <v>18</v>
      </c>
      <c r="D11" t="s">
        <v>27</v>
      </c>
      <c r="E11" t="s">
        <v>20</v>
      </c>
      <c r="F11" t="s">
        <v>21</v>
      </c>
      <c r="G11">
        <v>60</v>
      </c>
      <c r="H11">
        <v>17086692</v>
      </c>
      <c r="I11" t="s">
        <v>22</v>
      </c>
      <c r="J11">
        <v>51040325</v>
      </c>
      <c r="K11" t="s">
        <v>52</v>
      </c>
      <c r="L11" t="s">
        <v>24</v>
      </c>
      <c r="M11" t="s">
        <v>53</v>
      </c>
      <c r="N11" t="s">
        <v>54</v>
      </c>
      <c r="O11" t="s">
        <v>18</v>
      </c>
      <c r="P11" t="s">
        <v>18</v>
      </c>
    </row>
    <row r="12" spans="1:16" x14ac:dyDescent="0.25">
      <c r="A12" t="s">
        <v>17</v>
      </c>
      <c r="B12" t="s">
        <v>17</v>
      </c>
      <c r="C12" t="s">
        <v>18</v>
      </c>
      <c r="D12" t="s">
        <v>27</v>
      </c>
      <c r="E12" t="s">
        <v>20</v>
      </c>
      <c r="F12" t="s">
        <v>35</v>
      </c>
      <c r="G12">
        <v>60</v>
      </c>
      <c r="H12">
        <v>17086692</v>
      </c>
      <c r="I12" t="s">
        <v>22</v>
      </c>
      <c r="J12">
        <v>50033063</v>
      </c>
      <c r="K12" t="s">
        <v>55</v>
      </c>
      <c r="L12" t="s">
        <v>24</v>
      </c>
      <c r="M12" t="s">
        <v>56</v>
      </c>
      <c r="N12" t="s">
        <v>38</v>
      </c>
      <c r="O12" t="s">
        <v>18</v>
      </c>
      <c r="P12" t="s">
        <v>18</v>
      </c>
    </row>
    <row r="13" spans="1:16" x14ac:dyDescent="0.25">
      <c r="A13" t="s">
        <v>17</v>
      </c>
      <c r="B13" t="s">
        <v>17</v>
      </c>
      <c r="C13" t="s">
        <v>18</v>
      </c>
      <c r="D13" t="s">
        <v>27</v>
      </c>
      <c r="E13" t="s">
        <v>20</v>
      </c>
      <c r="F13" t="s">
        <v>43</v>
      </c>
      <c r="G13">
        <v>60</v>
      </c>
      <c r="H13">
        <v>17086692</v>
      </c>
      <c r="I13" t="s">
        <v>22</v>
      </c>
      <c r="J13">
        <v>51043111</v>
      </c>
      <c r="K13" t="s">
        <v>57</v>
      </c>
      <c r="L13" t="s">
        <v>24</v>
      </c>
      <c r="M13" t="s">
        <v>58</v>
      </c>
      <c r="N13" t="s">
        <v>59</v>
      </c>
      <c r="O13" t="s">
        <v>18</v>
      </c>
      <c r="P13" t="s">
        <v>18</v>
      </c>
    </row>
    <row r="14" spans="1:16" x14ac:dyDescent="0.25">
      <c r="A14" t="s">
        <v>17</v>
      </c>
      <c r="B14" t="s">
        <v>17</v>
      </c>
      <c r="C14" t="s">
        <v>18</v>
      </c>
      <c r="D14" t="s">
        <v>27</v>
      </c>
      <c r="E14" t="s">
        <v>20</v>
      </c>
      <c r="F14" t="s">
        <v>21</v>
      </c>
      <c r="G14">
        <v>60</v>
      </c>
      <c r="H14">
        <v>17086692</v>
      </c>
      <c r="I14" t="s">
        <v>22</v>
      </c>
      <c r="J14">
        <v>51043170</v>
      </c>
      <c r="K14" t="s">
        <v>60</v>
      </c>
      <c r="L14" t="s">
        <v>24</v>
      </c>
      <c r="M14" t="s">
        <v>61</v>
      </c>
      <c r="N14" t="s">
        <v>62</v>
      </c>
      <c r="O14" t="s">
        <v>18</v>
      </c>
      <c r="P14" t="s">
        <v>18</v>
      </c>
    </row>
    <row r="15" spans="1:16" x14ac:dyDescent="0.25">
      <c r="A15" t="s">
        <v>17</v>
      </c>
      <c r="B15" t="s">
        <v>17</v>
      </c>
      <c r="C15" t="s">
        <v>18</v>
      </c>
      <c r="D15" t="s">
        <v>27</v>
      </c>
      <c r="E15" t="s">
        <v>20</v>
      </c>
      <c r="F15" t="s">
        <v>46</v>
      </c>
      <c r="G15">
        <v>100</v>
      </c>
      <c r="H15">
        <v>17086692</v>
      </c>
      <c r="I15" t="s">
        <v>22</v>
      </c>
      <c r="J15">
        <v>51050008</v>
      </c>
      <c r="K15" t="s">
        <v>63</v>
      </c>
      <c r="L15" t="s">
        <v>24</v>
      </c>
      <c r="M15" t="s">
        <v>64</v>
      </c>
      <c r="N15" t="s">
        <v>38</v>
      </c>
      <c r="O15" t="s">
        <v>18</v>
      </c>
      <c r="P15" t="s">
        <v>18</v>
      </c>
    </row>
    <row r="16" spans="1:16" x14ac:dyDescent="0.25">
      <c r="A16" t="s">
        <v>17</v>
      </c>
      <c r="B16" t="s">
        <v>17</v>
      </c>
      <c r="C16" t="s">
        <v>18</v>
      </c>
      <c r="D16" t="s">
        <v>27</v>
      </c>
      <c r="E16" t="s">
        <v>20</v>
      </c>
      <c r="F16" t="s">
        <v>46</v>
      </c>
      <c r="G16">
        <v>100</v>
      </c>
      <c r="H16">
        <v>17086692</v>
      </c>
      <c r="I16" t="s">
        <v>22</v>
      </c>
      <c r="J16">
        <v>51049085</v>
      </c>
      <c r="K16" t="s">
        <v>65</v>
      </c>
      <c r="L16" t="s">
        <v>24</v>
      </c>
      <c r="M16" t="s">
        <v>66</v>
      </c>
      <c r="N16" t="s">
        <v>38</v>
      </c>
      <c r="O16" t="s">
        <v>18</v>
      </c>
      <c r="P16" t="s">
        <v>18</v>
      </c>
    </row>
    <row r="17" spans="1:16" x14ac:dyDescent="0.25">
      <c r="A17" t="s">
        <v>17</v>
      </c>
      <c r="B17" t="s">
        <v>17</v>
      </c>
      <c r="C17" t="s">
        <v>18</v>
      </c>
      <c r="D17" t="s">
        <v>27</v>
      </c>
      <c r="E17" t="s">
        <v>20</v>
      </c>
      <c r="F17" t="s">
        <v>46</v>
      </c>
      <c r="G17">
        <v>150</v>
      </c>
      <c r="H17">
        <v>17086692</v>
      </c>
      <c r="I17" t="s">
        <v>22</v>
      </c>
      <c r="J17">
        <v>51049192</v>
      </c>
      <c r="K17" t="s">
        <v>47</v>
      </c>
      <c r="L17" t="s">
        <v>24</v>
      </c>
      <c r="M17" t="s">
        <v>48</v>
      </c>
      <c r="N17" t="s">
        <v>49</v>
      </c>
      <c r="O17" t="s">
        <v>18</v>
      </c>
      <c r="P17" t="s">
        <v>18</v>
      </c>
    </row>
    <row r="18" spans="1:16" x14ac:dyDescent="0.25">
      <c r="A18" t="s">
        <v>17</v>
      </c>
      <c r="B18" t="s">
        <v>17</v>
      </c>
      <c r="C18" t="s">
        <v>18</v>
      </c>
      <c r="D18" t="s">
        <v>27</v>
      </c>
      <c r="E18" t="s">
        <v>20</v>
      </c>
      <c r="F18" t="s">
        <v>29</v>
      </c>
      <c r="G18">
        <v>150</v>
      </c>
      <c r="H18">
        <v>17086692</v>
      </c>
      <c r="I18" t="s">
        <v>22</v>
      </c>
      <c r="J18">
        <v>51048263</v>
      </c>
      <c r="K18" t="s">
        <v>50</v>
      </c>
      <c r="L18" t="s">
        <v>24</v>
      </c>
      <c r="M18" t="s">
        <v>51</v>
      </c>
      <c r="N18" t="s">
        <v>49</v>
      </c>
      <c r="O18" t="s">
        <v>18</v>
      </c>
      <c r="P18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73F5-92E2-4FD5-AD28-AD088F7349E2}">
  <dimension ref="A1:Q18"/>
  <sheetViews>
    <sheetView workbookViewId="0">
      <selection activeCell="Q2" sqref="Q2:Q1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14.28515625" bestFit="1" customWidth="1"/>
    <col min="13" max="13" width="9.5703125" bestFit="1" customWidth="1"/>
    <col min="14" max="14" width="19.7109375" bestFit="1" customWidth="1"/>
    <col min="15" max="15" width="13.5703125" bestFit="1" customWidth="1"/>
    <col min="16" max="16" width="18.7109375" bestFit="1" customWidth="1"/>
    <col min="17" max="17" width="23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7" s="2" customFormat="1" x14ac:dyDescent="0.25">
      <c r="A2" s="2" t="s">
        <v>16</v>
      </c>
      <c r="B2" s="2" t="s">
        <v>17</v>
      </c>
      <c r="C2" s="2" t="s">
        <v>18</v>
      </c>
      <c r="D2" s="2" t="s">
        <v>27</v>
      </c>
      <c r="E2" s="2" t="s">
        <v>20</v>
      </c>
      <c r="F2" s="2" t="s">
        <v>73</v>
      </c>
      <c r="G2" s="2">
        <v>-150</v>
      </c>
      <c r="H2" s="2">
        <v>20411454</v>
      </c>
      <c r="I2" s="2" t="s">
        <v>22</v>
      </c>
      <c r="J2" s="2">
        <v>51040188</v>
      </c>
      <c r="K2" s="2" t="str">
        <f>CONCATENATE(J2,"OVR")</f>
        <v>51040188OVR</v>
      </c>
      <c r="L2" s="2" t="s">
        <v>23</v>
      </c>
      <c r="M2" s="2" t="s">
        <v>24</v>
      </c>
      <c r="N2" s="2" t="s">
        <v>25</v>
      </c>
      <c r="O2" s="3">
        <v>45870</v>
      </c>
      <c r="P2" s="2" t="s">
        <v>68</v>
      </c>
    </row>
    <row r="3" spans="1:17" s="2" customFormat="1" x14ac:dyDescent="0.25">
      <c r="A3" s="2" t="s">
        <v>16</v>
      </c>
      <c r="B3" s="2" t="s">
        <v>17</v>
      </c>
      <c r="C3" s="2" t="s">
        <v>18</v>
      </c>
      <c r="D3" s="2" t="s">
        <v>27</v>
      </c>
      <c r="E3" s="2" t="s">
        <v>20</v>
      </c>
      <c r="F3" s="2" t="s">
        <v>73</v>
      </c>
      <c r="G3" s="2">
        <v>60</v>
      </c>
      <c r="H3" s="2">
        <v>20411454</v>
      </c>
      <c r="I3" s="2" t="s">
        <v>22</v>
      </c>
      <c r="J3" s="2">
        <v>51037053</v>
      </c>
      <c r="K3" s="2" t="str">
        <f t="shared" ref="K3:K15" si="0">CONCATENATE(J3,"OVR")</f>
        <v>51037053OVR</v>
      </c>
      <c r="L3" s="2" t="s">
        <v>36</v>
      </c>
      <c r="M3" s="2" t="s">
        <v>24</v>
      </c>
      <c r="N3" s="2" t="s">
        <v>37</v>
      </c>
      <c r="O3" s="3">
        <v>46023</v>
      </c>
      <c r="P3" s="2" t="s">
        <v>68</v>
      </c>
    </row>
    <row r="4" spans="1:17" s="2" customFormat="1" x14ac:dyDescent="0.25">
      <c r="A4" s="2" t="s">
        <v>16</v>
      </c>
      <c r="B4" s="2" t="s">
        <v>17</v>
      </c>
      <c r="C4" s="2" t="s">
        <v>18</v>
      </c>
      <c r="D4" s="2" t="s">
        <v>27</v>
      </c>
      <c r="E4" s="2" t="s">
        <v>20</v>
      </c>
      <c r="F4" s="2" t="s">
        <v>73</v>
      </c>
      <c r="G4" s="2">
        <v>60</v>
      </c>
      <c r="H4" s="2">
        <v>20411454</v>
      </c>
      <c r="I4" s="2" t="s">
        <v>22</v>
      </c>
      <c r="J4" s="2">
        <v>50118614</v>
      </c>
      <c r="K4" s="2" t="str">
        <f t="shared" si="0"/>
        <v>50118614OVR</v>
      </c>
      <c r="L4" s="2" t="s">
        <v>39</v>
      </c>
      <c r="M4" s="2" t="s">
        <v>24</v>
      </c>
      <c r="N4" s="2" t="s">
        <v>40</v>
      </c>
      <c r="O4" s="3">
        <v>46023</v>
      </c>
      <c r="P4" s="2" t="s">
        <v>68</v>
      </c>
    </row>
    <row r="5" spans="1:17" s="2" customFormat="1" x14ac:dyDescent="0.25">
      <c r="A5" s="2" t="s">
        <v>16</v>
      </c>
      <c r="B5" s="2" t="s">
        <v>17</v>
      </c>
      <c r="C5" s="2" t="s">
        <v>18</v>
      </c>
      <c r="D5" s="2" t="s">
        <v>27</v>
      </c>
      <c r="E5" s="2" t="s">
        <v>20</v>
      </c>
      <c r="F5" s="2" t="s">
        <v>73</v>
      </c>
      <c r="G5" s="2">
        <v>60</v>
      </c>
      <c r="H5" s="2">
        <v>20411454</v>
      </c>
      <c r="I5" s="2" t="s">
        <v>22</v>
      </c>
      <c r="J5" s="2">
        <v>50089492</v>
      </c>
      <c r="K5" s="2" t="str">
        <f t="shared" si="0"/>
        <v>50089492OVR</v>
      </c>
      <c r="L5" s="2" t="s">
        <v>41</v>
      </c>
      <c r="M5" s="2" t="s">
        <v>24</v>
      </c>
      <c r="N5" s="2" t="s">
        <v>42</v>
      </c>
      <c r="O5" s="3">
        <v>46023</v>
      </c>
      <c r="P5" s="2" t="s">
        <v>68</v>
      </c>
    </row>
    <row r="6" spans="1:17" s="2" customFormat="1" x14ac:dyDescent="0.25">
      <c r="A6" s="2" t="s">
        <v>16</v>
      </c>
      <c r="B6" s="2" t="s">
        <v>17</v>
      </c>
      <c r="C6" s="2" t="s">
        <v>18</v>
      </c>
      <c r="D6" s="2" t="s">
        <v>27</v>
      </c>
      <c r="E6" s="2" t="s">
        <v>20</v>
      </c>
      <c r="F6" s="2" t="s">
        <v>73</v>
      </c>
      <c r="G6" s="2">
        <v>60</v>
      </c>
      <c r="H6" s="2">
        <v>20411454</v>
      </c>
      <c r="I6" s="2" t="s">
        <v>22</v>
      </c>
      <c r="J6" s="2">
        <v>50032784</v>
      </c>
      <c r="K6" s="2" t="str">
        <f t="shared" si="0"/>
        <v>50032784OVR</v>
      </c>
      <c r="L6" s="2" t="s">
        <v>44</v>
      </c>
      <c r="M6" s="2" t="s">
        <v>24</v>
      </c>
      <c r="N6" s="2" t="s">
        <v>45</v>
      </c>
      <c r="O6" s="3">
        <v>46023</v>
      </c>
      <c r="P6" s="2" t="s">
        <v>68</v>
      </c>
    </row>
    <row r="7" spans="1:17" s="2" customFormat="1" x14ac:dyDescent="0.25">
      <c r="A7" s="2" t="s">
        <v>17</v>
      </c>
      <c r="B7" s="2" t="s">
        <v>17</v>
      </c>
      <c r="C7" s="2" t="s">
        <v>18</v>
      </c>
      <c r="D7" s="2" t="s">
        <v>27</v>
      </c>
      <c r="E7" s="2" t="s">
        <v>20</v>
      </c>
      <c r="F7" s="2" t="s">
        <v>73</v>
      </c>
      <c r="G7" s="2">
        <v>60</v>
      </c>
      <c r="H7" s="2">
        <v>20411454</v>
      </c>
      <c r="I7" s="2" t="s">
        <v>22</v>
      </c>
      <c r="J7" s="2">
        <v>51040325</v>
      </c>
      <c r="K7" s="2" t="str">
        <f t="shared" si="0"/>
        <v>51040325OVR</v>
      </c>
      <c r="L7" s="2" t="s">
        <v>52</v>
      </c>
      <c r="M7" s="2" t="s">
        <v>24</v>
      </c>
      <c r="N7" s="2" t="s">
        <v>53</v>
      </c>
      <c r="O7" s="3">
        <v>45809</v>
      </c>
      <c r="P7" s="2" t="s">
        <v>68</v>
      </c>
    </row>
    <row r="8" spans="1:17" s="2" customFormat="1" x14ac:dyDescent="0.25">
      <c r="A8" s="2" t="s">
        <v>17</v>
      </c>
      <c r="B8" s="2" t="s">
        <v>17</v>
      </c>
      <c r="C8" s="2" t="s">
        <v>18</v>
      </c>
      <c r="D8" s="2" t="s">
        <v>27</v>
      </c>
      <c r="E8" s="2" t="s">
        <v>20</v>
      </c>
      <c r="F8" s="2" t="s">
        <v>73</v>
      </c>
      <c r="G8" s="2">
        <v>60</v>
      </c>
      <c r="H8" s="2">
        <v>20411454</v>
      </c>
      <c r="I8" s="2" t="s">
        <v>22</v>
      </c>
      <c r="J8" s="2">
        <v>50033063</v>
      </c>
      <c r="K8" s="2" t="str">
        <f t="shared" si="0"/>
        <v>50033063OVR</v>
      </c>
      <c r="L8" s="2" t="s">
        <v>55</v>
      </c>
      <c r="M8" s="2" t="s">
        <v>24</v>
      </c>
      <c r="N8" s="2" t="s">
        <v>56</v>
      </c>
      <c r="O8" s="3">
        <v>46023</v>
      </c>
      <c r="P8" s="2" t="s">
        <v>68</v>
      </c>
    </row>
    <row r="9" spans="1:17" s="2" customFormat="1" x14ac:dyDescent="0.25">
      <c r="A9" s="2" t="s">
        <v>17</v>
      </c>
      <c r="B9" s="2" t="s">
        <v>17</v>
      </c>
      <c r="C9" s="2" t="s">
        <v>18</v>
      </c>
      <c r="D9" s="2" t="s">
        <v>27</v>
      </c>
      <c r="E9" s="2" t="s">
        <v>20</v>
      </c>
      <c r="F9" s="2" t="s">
        <v>73</v>
      </c>
      <c r="G9" s="2">
        <v>60</v>
      </c>
      <c r="H9" s="2">
        <v>20411454</v>
      </c>
      <c r="I9" s="2" t="s">
        <v>22</v>
      </c>
      <c r="J9" s="2">
        <v>51043111</v>
      </c>
      <c r="K9" s="2" t="str">
        <f t="shared" si="0"/>
        <v>51043111OVR</v>
      </c>
      <c r="L9" s="2" t="s">
        <v>57</v>
      </c>
      <c r="M9" s="2" t="s">
        <v>24</v>
      </c>
      <c r="N9" s="2" t="s">
        <v>58</v>
      </c>
      <c r="O9" s="3">
        <v>45962</v>
      </c>
      <c r="P9" s="2" t="s">
        <v>68</v>
      </c>
    </row>
    <row r="10" spans="1:17" s="2" customFormat="1" x14ac:dyDescent="0.25">
      <c r="A10" s="2" t="s">
        <v>17</v>
      </c>
      <c r="B10" s="2" t="s">
        <v>17</v>
      </c>
      <c r="C10" s="2" t="s">
        <v>18</v>
      </c>
      <c r="D10" s="2" t="s">
        <v>27</v>
      </c>
      <c r="E10" s="2" t="s">
        <v>20</v>
      </c>
      <c r="F10" s="2" t="s">
        <v>73</v>
      </c>
      <c r="G10" s="2">
        <v>60</v>
      </c>
      <c r="H10" s="2">
        <v>20411454</v>
      </c>
      <c r="I10" s="2" t="s">
        <v>22</v>
      </c>
      <c r="J10" s="2">
        <v>51043170</v>
      </c>
      <c r="K10" s="2" t="str">
        <f t="shared" si="0"/>
        <v>51043170OVR</v>
      </c>
      <c r="L10" s="2" t="s">
        <v>60</v>
      </c>
      <c r="M10" s="2" t="s">
        <v>24</v>
      </c>
      <c r="N10" s="2" t="s">
        <v>61</v>
      </c>
      <c r="O10" s="3">
        <v>45901</v>
      </c>
      <c r="P10" s="2" t="s">
        <v>68</v>
      </c>
    </row>
    <row r="11" spans="1:17" s="2" customFormat="1" x14ac:dyDescent="0.25">
      <c r="A11" s="2" t="s">
        <v>17</v>
      </c>
      <c r="B11" s="2" t="s">
        <v>17</v>
      </c>
      <c r="C11" s="2" t="s">
        <v>18</v>
      </c>
      <c r="D11" s="2" t="s">
        <v>27</v>
      </c>
      <c r="E11" s="2" t="s">
        <v>20</v>
      </c>
      <c r="F11" s="2" t="s">
        <v>73</v>
      </c>
      <c r="G11" s="2">
        <v>100</v>
      </c>
      <c r="H11" s="2">
        <v>20411454</v>
      </c>
      <c r="I11" s="2" t="s">
        <v>22</v>
      </c>
      <c r="J11" s="2">
        <v>51050008</v>
      </c>
      <c r="K11" s="2" t="str">
        <f t="shared" si="0"/>
        <v>51050008OVR</v>
      </c>
      <c r="L11" s="2" t="s">
        <v>63</v>
      </c>
      <c r="M11" s="2" t="s">
        <v>24</v>
      </c>
      <c r="N11" s="2" t="s">
        <v>64</v>
      </c>
      <c r="O11" s="3">
        <v>46023</v>
      </c>
      <c r="P11" s="2" t="s">
        <v>68</v>
      </c>
    </row>
    <row r="12" spans="1:17" s="2" customFormat="1" x14ac:dyDescent="0.25">
      <c r="A12" s="2" t="s">
        <v>17</v>
      </c>
      <c r="B12" s="2" t="s">
        <v>17</v>
      </c>
      <c r="C12" s="2" t="s">
        <v>18</v>
      </c>
      <c r="D12" s="2" t="s">
        <v>27</v>
      </c>
      <c r="E12" s="2" t="s">
        <v>20</v>
      </c>
      <c r="F12" s="2" t="s">
        <v>73</v>
      </c>
      <c r="G12" s="2">
        <v>100</v>
      </c>
      <c r="H12" s="2">
        <v>20411454</v>
      </c>
      <c r="I12" s="2" t="s">
        <v>22</v>
      </c>
      <c r="J12" s="2">
        <v>51049085</v>
      </c>
      <c r="K12" s="2" t="str">
        <f t="shared" si="0"/>
        <v>51049085OVR</v>
      </c>
      <c r="L12" s="2" t="s">
        <v>65</v>
      </c>
      <c r="M12" s="2" t="s">
        <v>24</v>
      </c>
      <c r="N12" s="2" t="s">
        <v>66</v>
      </c>
      <c r="O12" s="3">
        <v>46023</v>
      </c>
      <c r="P12" s="2" t="s">
        <v>68</v>
      </c>
    </row>
    <row r="13" spans="1:17" s="2" customFormat="1" x14ac:dyDescent="0.25">
      <c r="A13" s="2" t="s">
        <v>17</v>
      </c>
      <c r="B13" s="2" t="s">
        <v>17</v>
      </c>
      <c r="C13" s="2" t="s">
        <v>18</v>
      </c>
      <c r="D13" s="2" t="s">
        <v>27</v>
      </c>
      <c r="E13" s="2" t="s">
        <v>20</v>
      </c>
      <c r="F13" s="2" t="s">
        <v>73</v>
      </c>
      <c r="G13" s="2">
        <v>150</v>
      </c>
      <c r="H13" s="2">
        <v>20411454</v>
      </c>
      <c r="I13" s="2" t="s">
        <v>22</v>
      </c>
      <c r="J13" s="2">
        <v>51049192</v>
      </c>
      <c r="K13" s="2" t="str">
        <f t="shared" si="0"/>
        <v>51049192OVR</v>
      </c>
      <c r="L13" s="2" t="s">
        <v>47</v>
      </c>
      <c r="M13" s="2" t="s">
        <v>24</v>
      </c>
      <c r="N13" s="2" t="s">
        <v>48</v>
      </c>
      <c r="O13" s="3">
        <v>45992</v>
      </c>
      <c r="P13" s="2" t="s">
        <v>68</v>
      </c>
    </row>
    <row r="14" spans="1:17" s="2" customFormat="1" x14ac:dyDescent="0.25">
      <c r="A14" s="2" t="s">
        <v>17</v>
      </c>
      <c r="B14" s="2" t="s">
        <v>17</v>
      </c>
      <c r="C14" s="2" t="s">
        <v>18</v>
      </c>
      <c r="D14" s="2" t="s">
        <v>27</v>
      </c>
      <c r="E14" s="2" t="s">
        <v>20</v>
      </c>
      <c r="F14" s="2" t="s">
        <v>73</v>
      </c>
      <c r="G14" s="2">
        <v>150</v>
      </c>
      <c r="H14" s="2">
        <v>20411454</v>
      </c>
      <c r="I14" s="2" t="s">
        <v>22</v>
      </c>
      <c r="J14" s="2">
        <v>51048263</v>
      </c>
      <c r="K14" s="2" t="str">
        <f t="shared" si="0"/>
        <v>51048263OVR</v>
      </c>
      <c r="L14" s="2" t="s">
        <v>50</v>
      </c>
      <c r="M14" s="2" t="s">
        <v>24</v>
      </c>
      <c r="N14" s="2" t="s">
        <v>51</v>
      </c>
      <c r="O14" s="3">
        <v>45992</v>
      </c>
      <c r="P14" s="2" t="s">
        <v>68</v>
      </c>
    </row>
    <row r="15" spans="1:17" s="2" customFormat="1" x14ac:dyDescent="0.25">
      <c r="A15" s="2" t="s">
        <v>16</v>
      </c>
      <c r="B15" s="2" t="s">
        <v>17</v>
      </c>
      <c r="C15" s="2" t="s">
        <v>18</v>
      </c>
      <c r="D15" s="2" t="s">
        <v>28</v>
      </c>
      <c r="E15" s="2" t="s">
        <v>20</v>
      </c>
      <c r="F15" s="2" t="s">
        <v>73</v>
      </c>
      <c r="G15" s="2">
        <v>2.1</v>
      </c>
      <c r="H15" s="2">
        <v>20411454</v>
      </c>
      <c r="I15" s="2" t="s">
        <v>30</v>
      </c>
      <c r="J15" s="2" t="s">
        <v>31</v>
      </c>
      <c r="K15" s="2" t="str">
        <f t="shared" si="0"/>
        <v>CP2140165OVR</v>
      </c>
      <c r="L15" s="2" t="s">
        <v>18</v>
      </c>
      <c r="M15" s="2" t="s">
        <v>24</v>
      </c>
      <c r="N15" s="2" t="s">
        <v>32</v>
      </c>
      <c r="O15" s="3">
        <v>45566</v>
      </c>
      <c r="P15" s="2" t="s">
        <v>67</v>
      </c>
    </row>
    <row r="16" spans="1:17" x14ac:dyDescent="0.2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>
        <v>-705</v>
      </c>
      <c r="H16">
        <v>19278370</v>
      </c>
      <c r="I16" t="s">
        <v>22</v>
      </c>
      <c r="J16">
        <v>51040188</v>
      </c>
      <c r="K16" t="str">
        <f>CONCATENATE(J16,1)</f>
        <v>510401881</v>
      </c>
      <c r="L16" t="s">
        <v>23</v>
      </c>
      <c r="M16" t="s">
        <v>24</v>
      </c>
      <c r="N16" t="s">
        <v>25</v>
      </c>
      <c r="O16" s="1">
        <v>45870</v>
      </c>
      <c r="P16" t="s">
        <v>69</v>
      </c>
      <c r="Q16" t="s">
        <v>71</v>
      </c>
    </row>
    <row r="17" spans="1:17" x14ac:dyDescent="0.25">
      <c r="A17" t="s">
        <v>17</v>
      </c>
      <c r="B17" t="s">
        <v>17</v>
      </c>
      <c r="C17" t="s">
        <v>18</v>
      </c>
      <c r="D17" t="s">
        <v>19</v>
      </c>
      <c r="E17" t="s">
        <v>20</v>
      </c>
      <c r="F17" t="s">
        <v>46</v>
      </c>
      <c r="G17">
        <v>29.42</v>
      </c>
      <c r="H17">
        <v>21618313</v>
      </c>
      <c r="I17" t="s">
        <v>22</v>
      </c>
      <c r="J17">
        <v>51049192</v>
      </c>
      <c r="K17">
        <v>51049192</v>
      </c>
      <c r="L17" t="s">
        <v>47</v>
      </c>
      <c r="M17" t="s">
        <v>24</v>
      </c>
      <c r="N17" t="s">
        <v>48</v>
      </c>
      <c r="O17" s="1">
        <v>45992</v>
      </c>
      <c r="P17" t="s">
        <v>70</v>
      </c>
      <c r="Q17" t="s">
        <v>72</v>
      </c>
    </row>
    <row r="18" spans="1:17" x14ac:dyDescent="0.25">
      <c r="A18" t="s">
        <v>17</v>
      </c>
      <c r="B18" t="s">
        <v>17</v>
      </c>
      <c r="C18" t="s">
        <v>18</v>
      </c>
      <c r="D18" t="s">
        <v>19</v>
      </c>
      <c r="E18" t="s">
        <v>20</v>
      </c>
      <c r="F18" t="s">
        <v>29</v>
      </c>
      <c r="G18">
        <v>29.42</v>
      </c>
      <c r="H18">
        <v>17425766</v>
      </c>
      <c r="I18" t="s">
        <v>22</v>
      </c>
      <c r="J18">
        <v>51048263</v>
      </c>
      <c r="K18">
        <v>51048263</v>
      </c>
      <c r="L18" t="s">
        <v>50</v>
      </c>
      <c r="M18" t="s">
        <v>24</v>
      </c>
      <c r="N18" t="s">
        <v>51</v>
      </c>
      <c r="O18" s="1">
        <v>45992</v>
      </c>
      <c r="P18" t="s">
        <v>70</v>
      </c>
      <c r="Q18" t="s">
        <v>72</v>
      </c>
    </row>
  </sheetData>
  <sortState xmlns:xlrd2="http://schemas.microsoft.com/office/spreadsheetml/2017/richdata2" ref="A2:Q18">
    <sortCondition ref="D2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2025-12-19T06:43:46Z</dcterms:created>
  <dcterms:modified xsi:type="dcterms:W3CDTF">2025-12-19T20:44:39Z</dcterms:modified>
  <cp:category/>
</cp:coreProperties>
</file>