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\IBC SRG 5-12-25\"/>
    </mc:Choice>
  </mc:AlternateContent>
  <xr:revisionPtr revIDLastSave="0" documentId="13_ncr:1_{B3A40E5B-409E-4BC0-8F1D-373A9192B75C}" xr6:coauthVersionLast="47" xr6:coauthVersionMax="47" xr10:uidLastSave="{00000000-0000-0000-0000-000000000000}"/>
  <bookViews>
    <workbookView xWindow="-57720" yWindow="-45" windowWidth="29040" windowHeight="15720" xr2:uid="{AF26C398-F342-4DFC-A472-746C613C4A62}"/>
  </bookViews>
  <sheets>
    <sheet name="Sheet1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C4" i="2"/>
  <c r="L9" i="2"/>
  <c r="K9" i="1"/>
</calcChain>
</file>

<file path=xl/sharedStrings.xml><?xml version="1.0" encoding="utf-8"?>
<sst xmlns="http://schemas.openxmlformats.org/spreadsheetml/2006/main" count="99" uniqueCount="37">
  <si>
    <t>IBC</t>
  </si>
  <si>
    <t>MLB</t>
  </si>
  <si>
    <t>Richter</t>
  </si>
  <si>
    <t>Peter</t>
  </si>
  <si>
    <t>PA</t>
  </si>
  <si>
    <t>MICHAEL</t>
  </si>
  <si>
    <t>PEACE</t>
  </si>
  <si>
    <t>8E30N79YT16</t>
  </si>
  <si>
    <t>Foley</t>
  </si>
  <si>
    <t>Carol</t>
  </si>
  <si>
    <t>CARMELA</t>
  </si>
  <si>
    <t>LUCIFERO</t>
  </si>
  <si>
    <t>3QE3U39WV98</t>
  </si>
  <si>
    <t>Notes</t>
  </si>
  <si>
    <t>Stmt Carrier</t>
  </si>
  <si>
    <t>Carrier</t>
  </si>
  <si>
    <t>AR_Date</t>
  </si>
  <si>
    <t>A AGENCY RAW HEADER</t>
  </si>
  <si>
    <t>BROKER LAST NAME</t>
  </si>
  <si>
    <t>BROKER FIRST NAME</t>
  </si>
  <si>
    <t>NPN</t>
  </si>
  <si>
    <t>CYCLE YEAR</t>
  </si>
  <si>
    <t>SRG_TOTAL OUT</t>
  </si>
  <si>
    <t>AGENT PAY</t>
  </si>
  <si>
    <t>AGENCY MKT FEE</t>
  </si>
  <si>
    <t>AGENCY SERVICE FEE</t>
  </si>
  <si>
    <t>DISENROLLMENT DATE</t>
  </si>
  <si>
    <t>Enrollment Date</t>
  </si>
  <si>
    <t>State</t>
  </si>
  <si>
    <t>CUSTOMER FIRST NAME</t>
  </si>
  <si>
    <t>CUSTOMER LAST NAME</t>
  </si>
  <si>
    <t>HIC_NUM</t>
  </si>
  <si>
    <t>C_ID/ECI_ID</t>
  </si>
  <si>
    <t>[%/$=353][prorate=9/12]</t>
  </si>
  <si>
    <t>[%/$=353][prorate=7/12]</t>
  </si>
  <si>
    <t>IBC MAPD 2025*</t>
  </si>
  <si>
    <t>IBC MAPD OVR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</si>
</sst>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484F-87A6-4EC1-9FDF-B6D2F32960D9}">
  <dimension ref="A1:T9"/>
  <sheetViews>
    <sheetView tabSelected="1" workbookViewId="0">
      <selection activeCell="B3" sqref="B3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23.140625" bestFit="1" customWidth="1"/>
    <col min="4" max="4" width="23.7109375" bestFit="1" customWidth="1"/>
    <col min="5" max="5" width="5.7109375" bestFit="1" customWidth="1"/>
    <col min="6" max="6" width="15.7109375" bestFit="1" customWidth="1"/>
    <col min="7" max="7" width="22.5703125" bestFit="1" customWidth="1"/>
    <col min="8" max="9" width="9" bestFit="1" customWidth="1"/>
    <col min="10" max="10" width="7.28515625" bestFit="1" customWidth="1"/>
    <col min="11" max="11" width="9" bestFit="1" customWidth="1"/>
    <col min="12" max="12" width="12.42578125" bestFit="1" customWidth="1"/>
    <col min="13" max="13" width="9" bestFit="1" customWidth="1"/>
    <col min="14" max="14" width="20.85546875" bestFit="1" customWidth="1"/>
    <col min="15" max="15" width="20.28515625" bestFit="1" customWidth="1"/>
    <col min="16" max="16" width="23.85546875" bestFit="1" customWidth="1"/>
    <col min="17" max="17" width="9.7109375" bestFit="1" customWidth="1"/>
    <col min="18" max="18" width="7.28515625" bestFit="1" customWidth="1"/>
    <col min="19" max="19" width="12" bestFit="1" customWidth="1"/>
    <col min="20" max="20" width="6" bestFit="1" customWidth="1"/>
  </cols>
  <sheetData>
    <row r="1" spans="1:20" ht="39" x14ac:dyDescent="0.25">
      <c r="A1" s="3" t="s">
        <v>32</v>
      </c>
      <c r="B1" s="3" t="s">
        <v>31</v>
      </c>
      <c r="C1" s="3" t="s">
        <v>30</v>
      </c>
      <c r="D1" s="3" t="s">
        <v>29</v>
      </c>
      <c r="E1" s="3" t="s">
        <v>28</v>
      </c>
      <c r="F1" s="3" t="s">
        <v>27</v>
      </c>
      <c r="G1" s="3" t="s">
        <v>26</v>
      </c>
      <c r="H1" s="4" t="s">
        <v>25</v>
      </c>
      <c r="I1" s="4" t="s">
        <v>24</v>
      </c>
      <c r="J1" s="4" t="s">
        <v>23</v>
      </c>
      <c r="K1" s="4" t="s">
        <v>22</v>
      </c>
      <c r="L1" s="3" t="s">
        <v>21</v>
      </c>
      <c r="M1" s="3" t="s">
        <v>20</v>
      </c>
      <c r="N1" s="3" t="s">
        <v>19</v>
      </c>
      <c r="O1" s="3" t="s">
        <v>18</v>
      </c>
      <c r="P1" s="3" t="s">
        <v>17</v>
      </c>
      <c r="Q1" s="3" t="s">
        <v>16</v>
      </c>
      <c r="R1" s="3" t="s">
        <v>15</v>
      </c>
      <c r="S1" s="3" t="s">
        <v>14</v>
      </c>
      <c r="T1" s="3" t="s">
        <v>13</v>
      </c>
    </row>
    <row r="2" spans="1:20" x14ac:dyDescent="0.25">
      <c r="A2">
        <v>51039720</v>
      </c>
      <c r="B2" t="s">
        <v>7</v>
      </c>
      <c r="C2" t="s">
        <v>6</v>
      </c>
      <c r="D2" t="s">
        <v>5</v>
      </c>
      <c r="E2" t="s">
        <v>4</v>
      </c>
      <c r="F2" s="1">
        <v>45809</v>
      </c>
      <c r="H2" s="2"/>
      <c r="I2" s="2">
        <v>150</v>
      </c>
      <c r="J2" s="2">
        <v>0</v>
      </c>
      <c r="K2" s="2">
        <v>150</v>
      </c>
      <c r="M2">
        <v>16509456</v>
      </c>
      <c r="N2" t="s">
        <v>3</v>
      </c>
      <c r="O2" t="s">
        <v>2</v>
      </c>
      <c r="P2" t="s">
        <v>1</v>
      </c>
      <c r="Q2" s="1">
        <v>45777</v>
      </c>
      <c r="R2" t="s">
        <v>0</v>
      </c>
      <c r="S2" t="s">
        <v>0</v>
      </c>
    </row>
    <row r="3" spans="1:20" x14ac:dyDescent="0.25">
      <c r="A3">
        <v>51039006</v>
      </c>
      <c r="B3" t="s">
        <v>12</v>
      </c>
      <c r="C3" t="s">
        <v>11</v>
      </c>
      <c r="D3" t="s">
        <v>10</v>
      </c>
      <c r="E3" t="s">
        <v>4</v>
      </c>
      <c r="F3" s="1">
        <v>45748</v>
      </c>
      <c r="H3" s="2"/>
      <c r="I3" s="2"/>
      <c r="J3" s="2">
        <v>264.75</v>
      </c>
      <c r="K3" s="2">
        <v>264.75</v>
      </c>
      <c r="M3">
        <v>17425766</v>
      </c>
      <c r="N3" t="s">
        <v>9</v>
      </c>
      <c r="O3" t="s">
        <v>8</v>
      </c>
      <c r="P3" t="s">
        <v>1</v>
      </c>
      <c r="Q3" s="1">
        <v>45777</v>
      </c>
      <c r="R3" t="s">
        <v>0</v>
      </c>
      <c r="S3" t="s">
        <v>0</v>
      </c>
    </row>
    <row r="4" spans="1:20" x14ac:dyDescent="0.25">
      <c r="A4">
        <v>51039720</v>
      </c>
      <c r="B4" t="s">
        <v>7</v>
      </c>
      <c r="C4" t="s">
        <v>6</v>
      </c>
      <c r="D4" t="s">
        <v>5</v>
      </c>
      <c r="E4" t="s">
        <v>4</v>
      </c>
      <c r="F4" s="1">
        <v>45809</v>
      </c>
      <c r="H4" s="2"/>
      <c r="I4" s="2"/>
      <c r="J4" s="2">
        <v>205.92</v>
      </c>
      <c r="K4" s="2">
        <v>205.92</v>
      </c>
      <c r="M4">
        <v>16509456</v>
      </c>
      <c r="N4" t="s">
        <v>3</v>
      </c>
      <c r="O4" t="s">
        <v>2</v>
      </c>
      <c r="P4" t="s">
        <v>1</v>
      </c>
      <c r="Q4" s="1">
        <v>45777</v>
      </c>
      <c r="R4" t="s">
        <v>0</v>
      </c>
      <c r="S4" t="s">
        <v>0</v>
      </c>
    </row>
    <row r="9" spans="1:20" x14ac:dyDescent="0.25">
      <c r="K9" s="2">
        <f>SUM(K2:K8)</f>
        <v>620.66999999999996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31EC-A0AC-4613-96B7-27463A19EB53}">
  <dimension ref="A1:V9"/>
  <sheetViews>
    <sheetView workbookViewId="0">
      <selection activeCell="C19" sqref="C19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14.5703125" bestFit="1" customWidth="1"/>
    <col min="5" max="5" width="23.7109375" bestFit="1" customWidth="1"/>
    <col min="18" max="18" width="9.7109375" bestFit="1" customWidth="1"/>
    <col min="21" max="21" width="23.140625" bestFit="1" customWidth="1"/>
  </cols>
  <sheetData>
    <row r="1" spans="1:22" ht="39" x14ac:dyDescent="0.25">
      <c r="A1" s="3" t="s">
        <v>32</v>
      </c>
      <c r="B1" s="3" t="s">
        <v>31</v>
      </c>
      <c r="C1" s="3"/>
      <c r="D1" s="3" t="s">
        <v>30</v>
      </c>
      <c r="E1" s="3" t="s">
        <v>29</v>
      </c>
      <c r="F1" s="3" t="s">
        <v>28</v>
      </c>
      <c r="G1" s="3" t="s">
        <v>27</v>
      </c>
      <c r="H1" s="3" t="s">
        <v>26</v>
      </c>
      <c r="I1" s="4" t="s">
        <v>25</v>
      </c>
      <c r="J1" s="4" t="s">
        <v>24</v>
      </c>
      <c r="K1" s="4" t="s">
        <v>23</v>
      </c>
      <c r="L1" s="4" t="s">
        <v>22</v>
      </c>
      <c r="M1" s="3" t="s">
        <v>21</v>
      </c>
      <c r="N1" s="3" t="s">
        <v>20</v>
      </c>
      <c r="O1" s="3" t="s">
        <v>19</v>
      </c>
      <c r="P1" s="3" t="s">
        <v>18</v>
      </c>
      <c r="Q1" s="3" t="s">
        <v>17</v>
      </c>
      <c r="R1" s="3" t="s">
        <v>16</v>
      </c>
      <c r="S1" s="3" t="s">
        <v>15</v>
      </c>
      <c r="T1" s="3" t="s">
        <v>14</v>
      </c>
      <c r="U1" s="3" t="s">
        <v>13</v>
      </c>
    </row>
    <row r="2" spans="1:22" x14ac:dyDescent="0.25">
      <c r="A2">
        <v>51039720</v>
      </c>
      <c r="B2" t="s">
        <v>7</v>
      </c>
      <c r="C2" t="str">
        <f>CONCATENATE(B2,99)</f>
        <v>8E30N79YT1699</v>
      </c>
      <c r="D2" t="s">
        <v>6</v>
      </c>
      <c r="E2" t="s">
        <v>5</v>
      </c>
      <c r="F2" t="s">
        <v>4</v>
      </c>
      <c r="G2" s="1">
        <v>45809</v>
      </c>
      <c r="I2" s="2"/>
      <c r="J2" s="2">
        <v>150</v>
      </c>
      <c r="K2" s="2">
        <v>0</v>
      </c>
      <c r="L2" s="2">
        <v>150</v>
      </c>
      <c r="N2">
        <v>16509456</v>
      </c>
      <c r="O2" t="s">
        <v>3</v>
      </c>
      <c r="P2" t="s">
        <v>2</v>
      </c>
      <c r="Q2" t="s">
        <v>1</v>
      </c>
      <c r="R2" s="1">
        <v>45777</v>
      </c>
      <c r="S2" t="s">
        <v>0</v>
      </c>
      <c r="T2" t="s">
        <v>0</v>
      </c>
      <c r="U2" t="s">
        <v>36</v>
      </c>
    </row>
    <row r="3" spans="1:22" x14ac:dyDescent="0.25">
      <c r="A3">
        <v>51039006</v>
      </c>
      <c r="B3" t="s">
        <v>12</v>
      </c>
      <c r="C3" t="str">
        <f>CONCATENATE(B3)</f>
        <v>3QE3U39WV98</v>
      </c>
      <c r="D3" t="s">
        <v>11</v>
      </c>
      <c r="E3" t="s">
        <v>10</v>
      </c>
      <c r="F3" t="s">
        <v>4</v>
      </c>
      <c r="G3" s="1">
        <v>45748</v>
      </c>
      <c r="I3" s="2"/>
      <c r="J3" s="2"/>
      <c r="K3" s="2">
        <v>264.75</v>
      </c>
      <c r="L3" s="2">
        <v>264.75</v>
      </c>
      <c r="N3">
        <v>17425766</v>
      </c>
      <c r="O3" t="s">
        <v>9</v>
      </c>
      <c r="P3" t="s">
        <v>8</v>
      </c>
      <c r="Q3" t="s">
        <v>1</v>
      </c>
      <c r="R3" s="1">
        <v>45777</v>
      </c>
      <c r="S3" t="s">
        <v>0</v>
      </c>
      <c r="T3" t="s">
        <v>0</v>
      </c>
      <c r="U3" t="s">
        <v>33</v>
      </c>
      <c r="V3" t="s">
        <v>35</v>
      </c>
    </row>
    <row r="4" spans="1:22" x14ac:dyDescent="0.25">
      <c r="A4">
        <v>51039720</v>
      </c>
      <c r="B4" t="s">
        <v>7</v>
      </c>
      <c r="C4" t="str">
        <f>CONCATENATE(B4,9)</f>
        <v>8E30N79YT169</v>
      </c>
      <c r="D4" t="s">
        <v>6</v>
      </c>
      <c r="E4" t="s">
        <v>5</v>
      </c>
      <c r="F4" t="s">
        <v>4</v>
      </c>
      <c r="G4" s="1">
        <v>45809</v>
      </c>
      <c r="I4" s="2"/>
      <c r="J4" s="2"/>
      <c r="K4" s="2">
        <v>205.92</v>
      </c>
      <c r="L4" s="2">
        <v>205.92</v>
      </c>
      <c r="N4">
        <v>16509456</v>
      </c>
      <c r="O4" t="s">
        <v>3</v>
      </c>
      <c r="P4" t="s">
        <v>2</v>
      </c>
      <c r="Q4" t="s">
        <v>1</v>
      </c>
      <c r="R4" s="1">
        <v>45777</v>
      </c>
      <c r="S4" t="s">
        <v>0</v>
      </c>
      <c r="T4" t="s">
        <v>0</v>
      </c>
      <c r="U4" t="s">
        <v>34</v>
      </c>
      <c r="V4" t="s">
        <v>35</v>
      </c>
    </row>
    <row r="9" spans="1:22" x14ac:dyDescent="0.25">
      <c r="L9" s="2">
        <f>SUM(L2:L8)</f>
        <v>620.66999999999996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Sheet16</vt:lpstr>
      <vt:lpstr>Sheet1</vt:lpstr>
    </vt:vector>
  </TitlesOfParts>
  <Company>Independent Administrative Services,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Janki Patel</cp:lastModifiedBy>
  <dcterms:created xsi:type="dcterms:W3CDTF">2025-05-07T17:24:56Z</dcterms:created>
  <dcterms:modified xsi:type="dcterms:W3CDTF">2025-05-13T16:15:50Z</dcterms:modified>
</cp:coreProperties>
</file>