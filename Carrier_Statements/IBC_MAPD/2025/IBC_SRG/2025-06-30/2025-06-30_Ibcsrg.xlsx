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982CEABC-8D48-4EAF-8BAE-9A988E1D3FEA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T5" i="2" l="1"/>
  <c r="T2" i="2"/>
  <c r="P5" i="2"/>
  <c r="P2" i="2"/>
  <c r="J4" i="2"/>
  <c r="J3" i="2"/>
</calcChain>
</file>

<file path=xl/sharedStrings.xml><?xml version="1.0" encoding="utf-8"?>
<sst xmlns="http://schemas.openxmlformats.org/spreadsheetml/2006/main" count="116" uniqueCount="31">
  <si>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</si>
  <si>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</si>
  <si>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</si>
  <si>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</si>
  <si>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</si>
  <si>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</si>
  <si>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</si>
  <si>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</si>
  <si>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</si>
  <si>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</si>
  <si>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</si>
  <si>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</si>
  <si>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</si>
  <si>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</si>
  <si>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2025-06-30</t>
  </si>
  <si>
    <t/>
  </si>
  <si>
    <t>Agent Pay</t>
  </si>
  <si>
    <t>MLB</t>
  </si>
  <si>
    <t>Kozacheck, Anne Marie</t>
  </si>
  <si>
    <t>Ibc</t>
  </si>
  <si>
    <t>MAPD</t>
  </si>
  <si>
    <t>Blohm, Maria</t>
  </si>
  <si>
    <t>2025-08-01</t>
  </si>
  <si>
    <t>Agency Marketing Fee</t>
  </si>
  <si>
    <t>Ganster, Roxane</t>
  </si>
  <si>
    <t>2025-07-01</t>
  </si>
  <si>
    <t>Main Line Benefits</t>
  </si>
  <si>
    <t>IBC MAPD OVR 2025</t>
  </si>
  <si>
    <t>IBC MAPD 2025*</t>
  </si>
  <si>
    <t>[%/$=353][prorate=5/12]</t>
  </si>
  <si>
    <t>[%/$=353][prorate=6/12]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</si>
</sst>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workbookViewId="0">
      <selection sqref="A1:XFD1048576"/>
    </sheetView>
  </sheetViews>
  <sheetFormatPr defaultRowHeight="15" x14ac:dyDescent="0.25"/>
  <cols>
    <col min="6" max="6" width="21.85546875" bestFit="1" customWidth="1"/>
    <col min="11" max="11" width="1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147.08000000000001</v>
      </c>
      <c r="H2" t="s">
        <v>19</v>
      </c>
      <c r="I2">
        <v>51040966</v>
      </c>
      <c r="J2" t="s">
        <v>20</v>
      </c>
      <c r="K2" t="s">
        <v>21</v>
      </c>
      <c r="L2" t="s">
        <v>22</v>
      </c>
      <c r="M2" t="s">
        <v>15</v>
      </c>
      <c r="N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23</v>
      </c>
      <c r="E3" t="s">
        <v>17</v>
      </c>
      <c r="F3" t="s">
        <v>18</v>
      </c>
      <c r="G3">
        <v>150</v>
      </c>
      <c r="H3" t="s">
        <v>19</v>
      </c>
      <c r="I3">
        <v>51040966</v>
      </c>
      <c r="J3" t="s">
        <v>20</v>
      </c>
      <c r="K3" t="s">
        <v>21</v>
      </c>
      <c r="L3" t="s">
        <v>22</v>
      </c>
      <c r="M3" t="s">
        <v>15</v>
      </c>
      <c r="N3" t="s">
        <v>15</v>
      </c>
    </row>
    <row r="4" spans="1:14" x14ac:dyDescent="0.25">
      <c r="A4" t="s">
        <v>14</v>
      </c>
      <c r="B4" t="s">
        <v>14</v>
      </c>
      <c r="C4" t="s">
        <v>15</v>
      </c>
      <c r="D4" t="s">
        <v>23</v>
      </c>
      <c r="E4" t="s">
        <v>17</v>
      </c>
      <c r="F4" t="s">
        <v>18</v>
      </c>
      <c r="G4">
        <v>150</v>
      </c>
      <c r="H4" t="s">
        <v>19</v>
      </c>
      <c r="I4">
        <v>51041084</v>
      </c>
      <c r="J4" t="s">
        <v>20</v>
      </c>
      <c r="K4" t="s">
        <v>24</v>
      </c>
      <c r="L4" t="s">
        <v>25</v>
      </c>
      <c r="M4" t="s">
        <v>15</v>
      </c>
      <c r="N4" t="s">
        <v>15</v>
      </c>
    </row>
    <row r="5" spans="1:14" x14ac:dyDescent="0.25">
      <c r="A5" t="s">
        <v>14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>
        <v>176.5</v>
      </c>
      <c r="H5" t="s">
        <v>19</v>
      </c>
      <c r="I5">
        <v>51041084</v>
      </c>
      <c r="J5" t="s">
        <v>20</v>
      </c>
      <c r="K5" t="s">
        <v>24</v>
      </c>
      <c r="L5" t="s">
        <v>25</v>
      </c>
      <c r="M5" t="s">
        <v>15</v>
      </c>
      <c r="N5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C61E-6429-4865-95D1-0A88336DACCD}">
  <dimension ref="A1:T5"/>
  <sheetViews>
    <sheetView tabSelected="1" workbookViewId="0">
      <selection activeCell="T5" sqref="T5"/>
    </sheetView>
  </sheetViews>
  <sheetFormatPr defaultRowHeight="15" x14ac:dyDescent="0.25"/>
  <cols>
    <col min="4" max="4" width="20.85546875" bestFit="1" customWidth="1"/>
    <col min="6" max="6" width="21.85546875" bestFit="1" customWidth="1"/>
    <col min="10" max="10" width="10" bestFit="1" customWidth="1"/>
    <col min="12" max="12" width="15.5703125" bestFit="1" customWidth="1"/>
    <col min="13" max="13" width="13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</row>
    <row r="2" spans="1:20" x14ac:dyDescent="0.25">
      <c r="A2" t="s">
        <v>14</v>
      </c>
      <c r="B2" t="s">
        <v>14</v>
      </c>
      <c r="C2" t="s">
        <v>15</v>
      </c>
      <c r="D2" t="s">
        <v>16</v>
      </c>
      <c r="E2">
        <v>19278370</v>
      </c>
      <c r="F2" t="s">
        <v>18</v>
      </c>
      <c r="G2">
        <v>147.08000000000001</v>
      </c>
      <c r="H2" t="s">
        <v>19</v>
      </c>
      <c r="I2">
        <v>51040966</v>
      </c>
      <c r="J2">
        <v>51040966</v>
      </c>
      <c r="K2" t="s">
        <v>20</v>
      </c>
      <c r="L2" t="s">
        <v>21</v>
      </c>
      <c r="M2" t="s">
        <v>22</v>
      </c>
      <c r="N2" t="s">
        <v>28</v>
      </c>
      <c r="P2">
        <f>353/12*5</f>
        <v>147.08333333333334</v>
      </c>
      <c r="Q2" t="s">
        <v>29</v>
      </c>
      <c r="T2">
        <f>129.43+8.2+9.45</f>
        <v>147.07999999999998</v>
      </c>
    </row>
    <row r="3" spans="1:20" x14ac:dyDescent="0.25">
      <c r="A3" t="s">
        <v>14</v>
      </c>
      <c r="B3" t="s">
        <v>14</v>
      </c>
      <c r="C3" t="s">
        <v>15</v>
      </c>
      <c r="D3" t="s">
        <v>23</v>
      </c>
      <c r="E3">
        <v>20411454</v>
      </c>
      <c r="F3" t="s">
        <v>26</v>
      </c>
      <c r="G3">
        <v>150</v>
      </c>
      <c r="H3" t="s">
        <v>19</v>
      </c>
      <c r="I3">
        <v>51040966</v>
      </c>
      <c r="J3" t="str">
        <f>CONCATENATE(I3,0)</f>
        <v>510409660</v>
      </c>
      <c r="K3" t="s">
        <v>20</v>
      </c>
      <c r="L3" t="s">
        <v>21</v>
      </c>
      <c r="M3" t="s">
        <v>22</v>
      </c>
      <c r="N3" t="s">
        <v>27</v>
      </c>
    </row>
    <row r="4" spans="1:20" x14ac:dyDescent="0.25">
      <c r="A4" t="s">
        <v>14</v>
      </c>
      <c r="B4" t="s">
        <v>14</v>
      </c>
      <c r="C4" t="s">
        <v>15</v>
      </c>
      <c r="D4" t="s">
        <v>23</v>
      </c>
      <c r="E4">
        <v>20411454</v>
      </c>
      <c r="F4" t="s">
        <v>26</v>
      </c>
      <c r="G4">
        <v>150</v>
      </c>
      <c r="H4" t="s">
        <v>19</v>
      </c>
      <c r="I4">
        <v>51041084</v>
      </c>
      <c r="J4" t="str">
        <f>CONCATENATE(I4,0)</f>
        <v>510410840</v>
      </c>
      <c r="K4" t="s">
        <v>20</v>
      </c>
      <c r="L4" t="s">
        <v>24</v>
      </c>
      <c r="M4" t="s">
        <v>25</v>
      </c>
      <c r="N4" t="s">
        <v>27</v>
      </c>
    </row>
    <row r="5" spans="1:20" x14ac:dyDescent="0.25">
      <c r="A5" t="s">
        <v>14</v>
      </c>
      <c r="B5" t="s">
        <v>14</v>
      </c>
      <c r="C5" t="s">
        <v>15</v>
      </c>
      <c r="D5" t="s">
        <v>16</v>
      </c>
      <c r="E5">
        <v>19278370</v>
      </c>
      <c r="F5" t="s">
        <v>18</v>
      </c>
      <c r="G5">
        <v>176.5</v>
      </c>
      <c r="H5" t="s">
        <v>19</v>
      </c>
      <c r="I5">
        <v>51041084</v>
      </c>
      <c r="J5">
        <v>51041084</v>
      </c>
      <c r="K5" t="s">
        <v>20</v>
      </c>
      <c r="L5" t="s">
        <v>24</v>
      </c>
      <c r="M5" t="s">
        <v>25</v>
      </c>
      <c r="N5" t="s">
        <v>28</v>
      </c>
      <c r="P5">
        <f>353/12*6</f>
        <v>176.5</v>
      </c>
      <c r="Q5" t="s">
        <v>30</v>
      </c>
      <c r="T5">
        <f>155.32+9.84+11.34</f>
        <v>176.5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2025-07-02T12:09:58Z</dcterms:created>
  <dcterms:modified xsi:type="dcterms:W3CDTF">2025-07-02T12:31:44Z</dcterms:modified>
  <cp:category/>
</cp:coreProperties>
</file>