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 MAPD\2025\IBC SRG 4-7-25\"/>
    </mc:Choice>
  </mc:AlternateContent>
  <xr:revisionPtr revIDLastSave="0" documentId="13_ncr:1_{52083532-E796-4E5D-B60B-A41036D82405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2" i="2"/>
  <c r="F3" i="2"/>
  <c r="F4" i="2"/>
  <c r="F5" i="2"/>
  <c r="F6" i="2"/>
  <c r="F7" i="2"/>
  <c r="F8" i="2"/>
  <c r="F9" i="2"/>
  <c r="F10" i="2"/>
  <c r="F11" i="2"/>
  <c r="F12" i="2"/>
  <c r="F13" i="2"/>
  <c r="F2" i="2"/>
  <c r="C2" i="2"/>
  <c r="C9" i="2"/>
  <c r="C10" i="2"/>
  <c r="C11" i="2"/>
  <c r="C12" i="2"/>
  <c r="C13" i="2"/>
  <c r="C8" i="2"/>
  <c r="K17" i="1"/>
</calcChain>
</file>

<file path=xl/sharedStrings.xml><?xml version="1.0" encoding="utf-8"?>
<sst xmlns="http://schemas.openxmlformats.org/spreadsheetml/2006/main" count="241" uniqueCount="54">
  <si>
    <t>C_ID/ECI_ID</t>
  </si>
  <si>
    <t>HIC_NUM</t>
  </si>
  <si>
    <t>CUSTOMER LAST NAME</t>
  </si>
  <si>
    <t>CUSTOMER FIRST NAME</t>
  </si>
  <si>
    <t>State</t>
  </si>
  <si>
    <t>Enrollment Date</t>
  </si>
  <si>
    <t>DISENROLLMENT DATE</t>
  </si>
  <si>
    <t>AGENCY SERVICE FEE</t>
  </si>
  <si>
    <t>AGENCY MKT FEE</t>
  </si>
  <si>
    <t>AGENT PAY</t>
  </si>
  <si>
    <t>SRG_TOTAL OUT</t>
  </si>
  <si>
    <t>CYCLE YEAR</t>
  </si>
  <si>
    <t>NPN</t>
  </si>
  <si>
    <t>BROKER FIRST NAME</t>
  </si>
  <si>
    <t>BROKER LAST NAME</t>
  </si>
  <si>
    <t>A AGENCY RAW HEADER</t>
  </si>
  <si>
    <t>AR_Date</t>
  </si>
  <si>
    <t>Carrier</t>
  </si>
  <si>
    <t>Stmt Carrier</t>
  </si>
  <si>
    <t>Notes</t>
  </si>
  <si>
    <t>9K48AE4KA53</t>
  </si>
  <si>
    <t>SAKERS</t>
  </si>
  <si>
    <t>EVA</t>
  </si>
  <si>
    <t>PA</t>
  </si>
  <si>
    <t>Anne Marie</t>
  </si>
  <si>
    <t>Kozacheck</t>
  </si>
  <si>
    <t>MLB</t>
  </si>
  <si>
    <t>IBC</t>
  </si>
  <si>
    <t>5MC3RR5JF04</t>
  </si>
  <si>
    <t>GRENZ</t>
  </si>
  <si>
    <t>DIANE</t>
  </si>
  <si>
    <t>Jason</t>
  </si>
  <si>
    <t>Hoffmann</t>
  </si>
  <si>
    <t>9UX6TP1PA76</t>
  </si>
  <si>
    <t>STEVEN</t>
  </si>
  <si>
    <t>3QE3U39WV98</t>
  </si>
  <si>
    <t>LUCIFERO</t>
  </si>
  <si>
    <t>CARMELA</t>
  </si>
  <si>
    <t>Carol</t>
  </si>
  <si>
    <t>Foley</t>
  </si>
  <si>
    <t>3MQ2W97GA81</t>
  </si>
  <si>
    <t>KOSTES</t>
  </si>
  <si>
    <t>RICHARD</t>
  </si>
  <si>
    <t>6H66T12MW62</t>
  </si>
  <si>
    <t>FULLER</t>
  </si>
  <si>
    <t>MICHAEL</t>
  </si>
  <si>
    <t>IBC MAPD 2025*</t>
  </si>
  <si>
    <t>IBC MAPD 2025</t>
  </si>
  <si>
    <t>IBC MAPD OVR 2025</t>
  </si>
  <si>
    <t>[%/$=353][prorate=10/12]</t>
  </si>
  <si>
    <t>[%/$=705]</t>
  </si>
  <si>
    <t>[%/$=353][prorate=9/12]</t>
  </si>
  <si>
    <t>[%/$=353][prorate=8/12]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</si>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</sst>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1" fillId="0" borderId="0" xfId="0" applyNumberFormat="1" applyFont="1" applyAlignment="1">
      <alignment wrapText="1"/>
    </xf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"/>
  <sheetViews>
    <sheetView workbookViewId="0">
      <selection activeCell="K17" sqref="K17"/>
    </sheetView>
  </sheetViews>
  <sheetFormatPr defaultRowHeight="15" x14ac:dyDescent="0.25"/>
  <sheetData>
    <row r="1" spans="1:20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50029905</v>
      </c>
      <c r="B2" t="s">
        <v>20</v>
      </c>
      <c r="C2" t="s">
        <v>21</v>
      </c>
      <c r="D2" t="s">
        <v>22</v>
      </c>
      <c r="E2" t="s">
        <v>23</v>
      </c>
      <c r="F2" s="3">
        <v>45748</v>
      </c>
      <c r="I2">
        <v>112.5</v>
      </c>
      <c r="J2" s="4">
        <v>0</v>
      </c>
      <c r="K2" s="4">
        <v>112.5</v>
      </c>
      <c r="M2">
        <v>19278370</v>
      </c>
      <c r="N2" t="s">
        <v>24</v>
      </c>
      <c r="O2" t="s">
        <v>25</v>
      </c>
      <c r="P2" t="s">
        <v>26</v>
      </c>
      <c r="Q2" s="3">
        <v>45749</v>
      </c>
      <c r="R2" t="s">
        <v>27</v>
      </c>
      <c r="S2" t="s">
        <v>27</v>
      </c>
    </row>
    <row r="3" spans="1:20" x14ac:dyDescent="0.25">
      <c r="A3">
        <v>51038926</v>
      </c>
      <c r="B3" t="s">
        <v>28</v>
      </c>
      <c r="C3" t="s">
        <v>29</v>
      </c>
      <c r="D3" t="s">
        <v>30</v>
      </c>
      <c r="E3" t="s">
        <v>23</v>
      </c>
      <c r="F3" s="3">
        <v>45717</v>
      </c>
      <c r="I3">
        <v>150</v>
      </c>
      <c r="J3" s="4">
        <v>0</v>
      </c>
      <c r="K3" s="4">
        <v>150</v>
      </c>
      <c r="M3">
        <v>15278437</v>
      </c>
      <c r="N3" t="s">
        <v>31</v>
      </c>
      <c r="O3" t="s">
        <v>32</v>
      </c>
      <c r="P3" t="s">
        <v>26</v>
      </c>
      <c r="Q3" s="3">
        <v>45749</v>
      </c>
      <c r="R3" t="s">
        <v>27</v>
      </c>
      <c r="S3" t="s">
        <v>27</v>
      </c>
    </row>
    <row r="4" spans="1:20" x14ac:dyDescent="0.25">
      <c r="A4">
        <v>51038933</v>
      </c>
      <c r="B4" t="s">
        <v>33</v>
      </c>
      <c r="C4" t="s">
        <v>29</v>
      </c>
      <c r="D4" t="s">
        <v>34</v>
      </c>
      <c r="E4" t="s">
        <v>23</v>
      </c>
      <c r="F4" s="3">
        <v>45717</v>
      </c>
      <c r="J4" s="4">
        <v>294.17</v>
      </c>
      <c r="K4" s="4">
        <v>294.17</v>
      </c>
      <c r="M4">
        <v>15278437</v>
      </c>
      <c r="N4" t="s">
        <v>31</v>
      </c>
      <c r="O4" t="s">
        <v>32</v>
      </c>
      <c r="P4" t="s">
        <v>26</v>
      </c>
      <c r="Q4" s="3">
        <v>45749</v>
      </c>
      <c r="R4" t="s">
        <v>27</v>
      </c>
      <c r="S4" t="s">
        <v>27</v>
      </c>
    </row>
    <row r="5" spans="1:20" x14ac:dyDescent="0.25">
      <c r="A5">
        <v>51038926</v>
      </c>
      <c r="B5" t="s">
        <v>28</v>
      </c>
      <c r="C5" t="s">
        <v>29</v>
      </c>
      <c r="D5" t="s">
        <v>30</v>
      </c>
      <c r="E5" t="s">
        <v>23</v>
      </c>
      <c r="F5" s="3">
        <v>45717</v>
      </c>
      <c r="J5" s="4">
        <v>294.17</v>
      </c>
      <c r="K5" s="4">
        <v>294.17</v>
      </c>
      <c r="M5">
        <v>15278437</v>
      </c>
      <c r="N5" t="s">
        <v>31</v>
      </c>
      <c r="O5" t="s">
        <v>32</v>
      </c>
      <c r="P5" t="s">
        <v>26</v>
      </c>
      <c r="Q5" s="3">
        <v>45749</v>
      </c>
      <c r="R5" t="s">
        <v>27</v>
      </c>
      <c r="S5" t="s">
        <v>27</v>
      </c>
    </row>
    <row r="6" spans="1:20" x14ac:dyDescent="0.25">
      <c r="A6">
        <v>51039006</v>
      </c>
      <c r="B6" t="s">
        <v>35</v>
      </c>
      <c r="C6" t="s">
        <v>36</v>
      </c>
      <c r="D6" t="s">
        <v>37</v>
      </c>
      <c r="E6" t="s">
        <v>23</v>
      </c>
      <c r="F6" s="3">
        <v>45748</v>
      </c>
      <c r="I6">
        <v>150</v>
      </c>
      <c r="J6" s="4">
        <v>0</v>
      </c>
      <c r="K6" s="4">
        <v>150</v>
      </c>
      <c r="M6">
        <v>17425766</v>
      </c>
      <c r="N6" t="s">
        <v>38</v>
      </c>
      <c r="O6" t="s">
        <v>39</v>
      </c>
      <c r="P6" t="s">
        <v>26</v>
      </c>
      <c r="Q6" s="3">
        <v>45749</v>
      </c>
      <c r="R6" t="s">
        <v>27</v>
      </c>
      <c r="S6" t="s">
        <v>27</v>
      </c>
    </row>
    <row r="7" spans="1:20" x14ac:dyDescent="0.25">
      <c r="A7">
        <v>51028537</v>
      </c>
      <c r="B7" t="s">
        <v>40</v>
      </c>
      <c r="C7" t="s">
        <v>41</v>
      </c>
      <c r="D7" t="s">
        <v>42</v>
      </c>
      <c r="E7" t="s">
        <v>23</v>
      </c>
      <c r="F7" s="3">
        <v>45748</v>
      </c>
      <c r="J7" s="4">
        <v>705</v>
      </c>
      <c r="K7" s="4">
        <v>705</v>
      </c>
      <c r="M7">
        <v>19278370</v>
      </c>
      <c r="N7" t="s">
        <v>24</v>
      </c>
      <c r="O7" t="s">
        <v>25</v>
      </c>
      <c r="P7" t="s">
        <v>26</v>
      </c>
      <c r="Q7" s="3">
        <v>45749</v>
      </c>
      <c r="R7" t="s">
        <v>27</v>
      </c>
      <c r="S7" t="s">
        <v>27</v>
      </c>
    </row>
    <row r="8" spans="1:20" x14ac:dyDescent="0.25">
      <c r="A8">
        <v>50029905</v>
      </c>
      <c r="B8" t="s">
        <v>20</v>
      </c>
      <c r="C8" t="s">
        <v>21</v>
      </c>
      <c r="D8" t="s">
        <v>22</v>
      </c>
      <c r="E8" t="s">
        <v>23</v>
      </c>
      <c r="F8" s="3">
        <v>45748</v>
      </c>
      <c r="J8" s="4">
        <v>264.75</v>
      </c>
      <c r="K8" s="4">
        <v>264.75</v>
      </c>
      <c r="M8">
        <v>19278370</v>
      </c>
      <c r="N8" t="s">
        <v>24</v>
      </c>
      <c r="O8" t="s">
        <v>25</v>
      </c>
      <c r="P8" t="s">
        <v>26</v>
      </c>
      <c r="Q8" s="3">
        <v>45749</v>
      </c>
      <c r="R8" t="s">
        <v>27</v>
      </c>
      <c r="S8" t="s">
        <v>27</v>
      </c>
    </row>
    <row r="9" spans="1:20" x14ac:dyDescent="0.25">
      <c r="A9">
        <v>51028537</v>
      </c>
      <c r="B9" t="s">
        <v>40</v>
      </c>
      <c r="C9" t="s">
        <v>41</v>
      </c>
      <c r="D9" t="s">
        <v>42</v>
      </c>
      <c r="E9" t="s">
        <v>23</v>
      </c>
      <c r="F9" s="3">
        <v>45748</v>
      </c>
      <c r="I9">
        <v>150</v>
      </c>
      <c r="J9" s="4">
        <v>0</v>
      </c>
      <c r="K9" s="4">
        <v>150</v>
      </c>
      <c r="M9">
        <v>19278370</v>
      </c>
      <c r="N9" t="s">
        <v>24</v>
      </c>
      <c r="O9" t="s">
        <v>25</v>
      </c>
      <c r="P9" t="s">
        <v>26</v>
      </c>
      <c r="Q9" s="3">
        <v>45749</v>
      </c>
      <c r="R9" t="s">
        <v>27</v>
      </c>
      <c r="S9" t="s">
        <v>27</v>
      </c>
    </row>
    <row r="10" spans="1:20" x14ac:dyDescent="0.25">
      <c r="A10">
        <v>51038860</v>
      </c>
      <c r="B10" t="s">
        <v>43</v>
      </c>
      <c r="C10" t="s">
        <v>44</v>
      </c>
      <c r="D10" t="s">
        <v>45</v>
      </c>
      <c r="E10" t="s">
        <v>23</v>
      </c>
      <c r="F10" s="3">
        <v>45778</v>
      </c>
      <c r="I10">
        <v>150</v>
      </c>
      <c r="J10" s="4">
        <v>0</v>
      </c>
      <c r="K10" s="4">
        <v>150</v>
      </c>
      <c r="M10">
        <v>19278370</v>
      </c>
      <c r="N10" t="s">
        <v>24</v>
      </c>
      <c r="O10" t="s">
        <v>25</v>
      </c>
      <c r="P10" t="s">
        <v>26</v>
      </c>
      <c r="Q10" s="3">
        <v>45749</v>
      </c>
      <c r="R10" t="s">
        <v>27</v>
      </c>
      <c r="S10" t="s">
        <v>27</v>
      </c>
    </row>
    <row r="11" spans="1:20" x14ac:dyDescent="0.25">
      <c r="A11">
        <v>51038860</v>
      </c>
      <c r="B11" t="s">
        <v>43</v>
      </c>
      <c r="C11" t="s">
        <v>44</v>
      </c>
      <c r="D11" t="s">
        <v>45</v>
      </c>
      <c r="E11" t="s">
        <v>23</v>
      </c>
      <c r="F11" s="3">
        <v>45778</v>
      </c>
      <c r="J11" s="4">
        <v>235.33</v>
      </c>
      <c r="K11" s="4">
        <v>235.33</v>
      </c>
      <c r="M11">
        <v>19278370</v>
      </c>
      <c r="N11" t="s">
        <v>24</v>
      </c>
      <c r="O11" t="s">
        <v>25</v>
      </c>
      <c r="P11" t="s">
        <v>26</v>
      </c>
      <c r="Q11" s="3">
        <v>45749</v>
      </c>
      <c r="R11" t="s">
        <v>27</v>
      </c>
      <c r="S11" t="s">
        <v>27</v>
      </c>
    </row>
    <row r="12" spans="1:20" x14ac:dyDescent="0.25">
      <c r="A12">
        <v>51038933</v>
      </c>
      <c r="B12" t="s">
        <v>33</v>
      </c>
      <c r="C12" t="s">
        <v>29</v>
      </c>
      <c r="D12" t="s">
        <v>34</v>
      </c>
      <c r="E12" t="s">
        <v>23</v>
      </c>
      <c r="F12" s="3">
        <v>45717</v>
      </c>
      <c r="I12">
        <v>150</v>
      </c>
      <c r="J12" s="4">
        <v>0</v>
      </c>
      <c r="K12" s="4">
        <v>150</v>
      </c>
      <c r="M12">
        <v>15278437</v>
      </c>
      <c r="N12" t="s">
        <v>31</v>
      </c>
      <c r="O12" t="s">
        <v>32</v>
      </c>
      <c r="P12" t="s">
        <v>26</v>
      </c>
      <c r="Q12" s="3">
        <v>45749</v>
      </c>
      <c r="R12" t="s">
        <v>27</v>
      </c>
      <c r="S12" t="s">
        <v>27</v>
      </c>
    </row>
    <row r="13" spans="1:20" x14ac:dyDescent="0.25">
      <c r="A13">
        <v>51039006</v>
      </c>
      <c r="B13" t="s">
        <v>35</v>
      </c>
      <c r="C13" t="s">
        <v>36</v>
      </c>
      <c r="D13" t="s">
        <v>37</v>
      </c>
      <c r="E13" t="s">
        <v>23</v>
      </c>
      <c r="F13" s="3">
        <v>45748</v>
      </c>
      <c r="J13" s="4">
        <v>264.75</v>
      </c>
      <c r="K13" s="4">
        <v>264.75</v>
      </c>
      <c r="M13">
        <v>17425766</v>
      </c>
      <c r="N13" t="s">
        <v>38</v>
      </c>
      <c r="O13" t="s">
        <v>39</v>
      </c>
      <c r="P13" t="s">
        <v>26</v>
      </c>
      <c r="Q13" s="3">
        <v>45749</v>
      </c>
      <c r="R13" t="s">
        <v>27</v>
      </c>
      <c r="S13" t="s">
        <v>27</v>
      </c>
    </row>
    <row r="17" spans="11:11" x14ac:dyDescent="0.25">
      <c r="K17" s="4">
        <f>SUM(K2:K16)</f>
        <v>2920.67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C876B-AB9A-4089-8D0E-592F418F2E16}">
  <dimension ref="A1:Q17"/>
  <sheetViews>
    <sheetView tabSelected="1" workbookViewId="0">
      <selection activeCell="Q2" sqref="Q2:Q7"/>
    </sheetView>
  </sheetViews>
  <sheetFormatPr defaultRowHeight="15" x14ac:dyDescent="0.25"/>
  <cols>
    <col min="1" max="1" width="11.5703125" bestFit="1" customWidth="1"/>
    <col min="2" max="2" width="14.7109375" bestFit="1" customWidth="1"/>
    <col min="3" max="3" width="15.7109375" bestFit="1" customWidth="1"/>
    <col min="4" max="4" width="14.140625" customWidth="1"/>
    <col min="5" max="6" width="13.7109375" customWidth="1"/>
    <col min="7" max="7" width="5.7109375" bestFit="1" customWidth="1"/>
    <col min="8" max="8" width="15.7109375" bestFit="1" customWidth="1"/>
    <col min="9" max="9" width="9" bestFit="1" customWidth="1"/>
    <col min="10" max="10" width="7.28515625" bestFit="1" customWidth="1"/>
    <col min="11" max="12" width="9" bestFit="1" customWidth="1"/>
    <col min="13" max="13" width="14.7109375" customWidth="1"/>
    <col min="14" max="15" width="15.28515625" customWidth="1"/>
    <col min="16" max="16" width="18.7109375" bestFit="1" customWidth="1"/>
  </cols>
  <sheetData>
    <row r="1" spans="1:17" ht="26.25" x14ac:dyDescent="0.25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1" t="s">
        <v>5</v>
      </c>
      <c r="I1" s="2" t="s">
        <v>8</v>
      </c>
      <c r="J1" s="2" t="s">
        <v>9</v>
      </c>
      <c r="K1" s="2" t="s">
        <v>10</v>
      </c>
      <c r="L1" s="1" t="s">
        <v>12</v>
      </c>
      <c r="M1" s="1" t="s">
        <v>13</v>
      </c>
      <c r="N1" s="1" t="s">
        <v>14</v>
      </c>
      <c r="O1" s="1"/>
    </row>
    <row r="2" spans="1:17" x14ac:dyDescent="0.25">
      <c r="A2">
        <v>51028537</v>
      </c>
      <c r="B2" t="s">
        <v>40</v>
      </c>
      <c r="C2" t="str">
        <f>CONCATENATE(B2,1)</f>
        <v>3MQ2W97GA811</v>
      </c>
      <c r="D2" t="s">
        <v>41</v>
      </c>
      <c r="E2" t="s">
        <v>42</v>
      </c>
      <c r="F2" t="str">
        <f>CONCATENATE(E2, " ",D2)</f>
        <v>RICHARD KOSTES</v>
      </c>
      <c r="G2" t="s">
        <v>23</v>
      </c>
      <c r="H2" s="3">
        <v>45748</v>
      </c>
      <c r="J2" s="4">
        <v>705</v>
      </c>
      <c r="K2" s="4">
        <v>705</v>
      </c>
      <c r="L2">
        <v>19278370</v>
      </c>
      <c r="M2" t="s">
        <v>24</v>
      </c>
      <c r="N2" t="s">
        <v>25</v>
      </c>
      <c r="O2" t="str">
        <f>CONCATENATE(M2, " ",N2)</f>
        <v>Anne Marie Kozacheck</v>
      </c>
      <c r="P2" t="s">
        <v>47</v>
      </c>
      <c r="Q2" t="s">
        <v>50</v>
      </c>
    </row>
    <row r="3" spans="1:17" x14ac:dyDescent="0.25">
      <c r="A3">
        <v>51038933</v>
      </c>
      <c r="B3" t="s">
        <v>33</v>
      </c>
      <c r="C3" t="s">
        <v>33</v>
      </c>
      <c r="D3" t="s">
        <v>29</v>
      </c>
      <c r="E3" t="s">
        <v>34</v>
      </c>
      <c r="F3" t="str">
        <f t="shared" ref="F3:F13" si="0">CONCATENATE(E3, " ",D3)</f>
        <v>STEVEN GRENZ</v>
      </c>
      <c r="G3" t="s">
        <v>23</v>
      </c>
      <c r="H3" s="3">
        <v>45717</v>
      </c>
      <c r="J3" s="4">
        <v>294.17</v>
      </c>
      <c r="K3" s="4">
        <v>294.17</v>
      </c>
      <c r="L3">
        <v>15278437</v>
      </c>
      <c r="M3" t="s">
        <v>31</v>
      </c>
      <c r="N3" t="s">
        <v>32</v>
      </c>
      <c r="O3" t="str">
        <f t="shared" ref="O3:O13" si="1">CONCATENATE(M3, " ",N3)</f>
        <v>Jason Hoffmann</v>
      </c>
      <c r="P3" t="s">
        <v>46</v>
      </c>
      <c r="Q3" t="s">
        <v>49</v>
      </c>
    </row>
    <row r="4" spans="1:17" x14ac:dyDescent="0.25">
      <c r="A4">
        <v>51038926</v>
      </c>
      <c r="B4" t="s">
        <v>28</v>
      </c>
      <c r="C4" t="s">
        <v>28</v>
      </c>
      <c r="D4" t="s">
        <v>29</v>
      </c>
      <c r="E4" t="s">
        <v>30</v>
      </c>
      <c r="F4" t="str">
        <f t="shared" si="0"/>
        <v>DIANE GRENZ</v>
      </c>
      <c r="G4" t="s">
        <v>23</v>
      </c>
      <c r="H4" s="3">
        <v>45717</v>
      </c>
      <c r="J4" s="4">
        <v>294.17</v>
      </c>
      <c r="K4" s="4">
        <v>294.17</v>
      </c>
      <c r="L4">
        <v>15278437</v>
      </c>
      <c r="M4" t="s">
        <v>31</v>
      </c>
      <c r="N4" t="s">
        <v>32</v>
      </c>
      <c r="O4" t="str">
        <f t="shared" si="1"/>
        <v>Jason Hoffmann</v>
      </c>
      <c r="P4" t="s">
        <v>46</v>
      </c>
      <c r="Q4" t="s">
        <v>49</v>
      </c>
    </row>
    <row r="5" spans="1:17" x14ac:dyDescent="0.25">
      <c r="A5">
        <v>50029905</v>
      </c>
      <c r="B5" t="s">
        <v>20</v>
      </c>
      <c r="C5" t="s">
        <v>20</v>
      </c>
      <c r="D5" t="s">
        <v>21</v>
      </c>
      <c r="E5" t="s">
        <v>22</v>
      </c>
      <c r="F5" t="str">
        <f t="shared" si="0"/>
        <v>EVA SAKERS</v>
      </c>
      <c r="G5" t="s">
        <v>23</v>
      </c>
      <c r="H5" s="3">
        <v>45748</v>
      </c>
      <c r="J5" s="4">
        <v>264.75</v>
      </c>
      <c r="K5" s="4">
        <v>264.75</v>
      </c>
      <c r="L5">
        <v>19278370</v>
      </c>
      <c r="M5" t="s">
        <v>24</v>
      </c>
      <c r="N5" t="s">
        <v>25</v>
      </c>
      <c r="O5" t="str">
        <f t="shared" si="1"/>
        <v>Anne Marie Kozacheck</v>
      </c>
      <c r="P5" t="s">
        <v>46</v>
      </c>
      <c r="Q5" t="s">
        <v>51</v>
      </c>
    </row>
    <row r="6" spans="1:17" x14ac:dyDescent="0.25">
      <c r="A6">
        <v>51038860</v>
      </c>
      <c r="B6" t="s">
        <v>43</v>
      </c>
      <c r="C6" t="s">
        <v>43</v>
      </c>
      <c r="D6" t="s">
        <v>44</v>
      </c>
      <c r="E6" t="s">
        <v>45</v>
      </c>
      <c r="F6" t="str">
        <f t="shared" si="0"/>
        <v>MICHAEL FULLER</v>
      </c>
      <c r="G6" t="s">
        <v>23</v>
      </c>
      <c r="H6" s="3">
        <v>45778</v>
      </c>
      <c r="J6" s="4">
        <v>235.33</v>
      </c>
      <c r="K6" s="4">
        <v>235.33</v>
      </c>
      <c r="L6">
        <v>19278370</v>
      </c>
      <c r="M6" t="s">
        <v>24</v>
      </c>
      <c r="N6" t="s">
        <v>25</v>
      </c>
      <c r="O6" t="str">
        <f t="shared" si="1"/>
        <v>Anne Marie Kozacheck</v>
      </c>
      <c r="P6" t="s">
        <v>46</v>
      </c>
      <c r="Q6" t="s">
        <v>52</v>
      </c>
    </row>
    <row r="7" spans="1:17" x14ac:dyDescent="0.25">
      <c r="A7">
        <v>51039006</v>
      </c>
      <c r="B7" t="s">
        <v>35</v>
      </c>
      <c r="C7" t="s">
        <v>35</v>
      </c>
      <c r="D7" t="s">
        <v>36</v>
      </c>
      <c r="E7" t="s">
        <v>37</v>
      </c>
      <c r="F7" t="str">
        <f t="shared" si="0"/>
        <v>CARMELA LUCIFERO</v>
      </c>
      <c r="G7" t="s">
        <v>23</v>
      </c>
      <c r="H7" s="3">
        <v>45748</v>
      </c>
      <c r="J7" s="4">
        <v>264.75</v>
      </c>
      <c r="K7" s="4">
        <v>264.75</v>
      </c>
      <c r="L7">
        <v>17425766</v>
      </c>
      <c r="M7" t="s">
        <v>38</v>
      </c>
      <c r="N7" t="s">
        <v>39</v>
      </c>
      <c r="O7" t="str">
        <f t="shared" si="1"/>
        <v>Carol Foley</v>
      </c>
      <c r="P7" t="s">
        <v>46</v>
      </c>
      <c r="Q7" t="s">
        <v>51</v>
      </c>
    </row>
    <row r="8" spans="1:17" x14ac:dyDescent="0.25">
      <c r="A8">
        <v>50029905</v>
      </c>
      <c r="B8" t="s">
        <v>20</v>
      </c>
      <c r="C8" t="str">
        <f>CONCATENATE(B8,0)</f>
        <v>9K48AE4KA530</v>
      </c>
      <c r="D8" t="s">
        <v>21</v>
      </c>
      <c r="E8" t="s">
        <v>22</v>
      </c>
      <c r="F8" t="str">
        <f t="shared" si="0"/>
        <v>EVA SAKERS</v>
      </c>
      <c r="G8" t="s">
        <v>23</v>
      </c>
      <c r="H8" s="3">
        <v>45748</v>
      </c>
      <c r="I8">
        <v>112.5</v>
      </c>
      <c r="J8" s="4">
        <v>0</v>
      </c>
      <c r="K8" s="4">
        <v>112.5</v>
      </c>
      <c r="L8">
        <v>20411454</v>
      </c>
      <c r="M8" t="s">
        <v>24</v>
      </c>
      <c r="N8" t="s">
        <v>25</v>
      </c>
      <c r="O8" t="s">
        <v>53</v>
      </c>
      <c r="P8" t="s">
        <v>48</v>
      </c>
    </row>
    <row r="9" spans="1:17" x14ac:dyDescent="0.25">
      <c r="A9">
        <v>51038926</v>
      </c>
      <c r="B9" t="s">
        <v>28</v>
      </c>
      <c r="C9" t="str">
        <f t="shared" ref="C9:C13" si="2">CONCATENATE(B9,0)</f>
        <v>5MC3RR5JF040</v>
      </c>
      <c r="D9" t="s">
        <v>29</v>
      </c>
      <c r="E9" t="s">
        <v>30</v>
      </c>
      <c r="F9" t="str">
        <f t="shared" si="0"/>
        <v>DIANE GRENZ</v>
      </c>
      <c r="G9" t="s">
        <v>23</v>
      </c>
      <c r="H9" s="3">
        <v>45717</v>
      </c>
      <c r="I9">
        <v>150</v>
      </c>
      <c r="J9" s="4">
        <v>0</v>
      </c>
      <c r="K9" s="4">
        <v>150</v>
      </c>
      <c r="L9">
        <v>20411454</v>
      </c>
      <c r="M9" t="s">
        <v>31</v>
      </c>
      <c r="N9" t="s">
        <v>32</v>
      </c>
      <c r="O9" t="s">
        <v>53</v>
      </c>
      <c r="P9" t="s">
        <v>48</v>
      </c>
    </row>
    <row r="10" spans="1:17" x14ac:dyDescent="0.25">
      <c r="A10">
        <v>51039006</v>
      </c>
      <c r="B10" t="s">
        <v>35</v>
      </c>
      <c r="C10" t="str">
        <f t="shared" si="2"/>
        <v>3QE3U39WV980</v>
      </c>
      <c r="D10" t="s">
        <v>36</v>
      </c>
      <c r="E10" t="s">
        <v>37</v>
      </c>
      <c r="F10" t="str">
        <f t="shared" si="0"/>
        <v>CARMELA LUCIFERO</v>
      </c>
      <c r="G10" t="s">
        <v>23</v>
      </c>
      <c r="H10" s="3">
        <v>45748</v>
      </c>
      <c r="I10">
        <v>150</v>
      </c>
      <c r="J10" s="4">
        <v>0</v>
      </c>
      <c r="K10" s="4">
        <v>150</v>
      </c>
      <c r="L10">
        <v>20411454</v>
      </c>
      <c r="M10" t="s">
        <v>38</v>
      </c>
      <c r="N10" t="s">
        <v>39</v>
      </c>
      <c r="O10" t="s">
        <v>53</v>
      </c>
      <c r="P10" t="s">
        <v>48</v>
      </c>
    </row>
    <row r="11" spans="1:17" x14ac:dyDescent="0.25">
      <c r="A11">
        <v>51028537</v>
      </c>
      <c r="B11" t="s">
        <v>40</v>
      </c>
      <c r="C11" t="str">
        <f t="shared" si="2"/>
        <v>3MQ2W97GA810</v>
      </c>
      <c r="D11" t="s">
        <v>41</v>
      </c>
      <c r="E11" t="s">
        <v>42</v>
      </c>
      <c r="F11" t="str">
        <f t="shared" si="0"/>
        <v>RICHARD KOSTES</v>
      </c>
      <c r="G11" t="s">
        <v>23</v>
      </c>
      <c r="H11" s="3">
        <v>45748</v>
      </c>
      <c r="I11">
        <v>150</v>
      </c>
      <c r="J11" s="4">
        <v>0</v>
      </c>
      <c r="K11" s="4">
        <v>150</v>
      </c>
      <c r="L11">
        <v>20411454</v>
      </c>
      <c r="M11" t="s">
        <v>24</v>
      </c>
      <c r="N11" t="s">
        <v>25</v>
      </c>
      <c r="O11" t="s">
        <v>53</v>
      </c>
      <c r="P11" t="s">
        <v>48</v>
      </c>
    </row>
    <row r="12" spans="1:17" x14ac:dyDescent="0.25">
      <c r="A12">
        <v>51038860</v>
      </c>
      <c r="B12" t="s">
        <v>43</v>
      </c>
      <c r="C12" t="str">
        <f t="shared" si="2"/>
        <v>6H66T12MW620</v>
      </c>
      <c r="D12" t="s">
        <v>44</v>
      </c>
      <c r="E12" t="s">
        <v>45</v>
      </c>
      <c r="F12" t="str">
        <f t="shared" si="0"/>
        <v>MICHAEL FULLER</v>
      </c>
      <c r="G12" t="s">
        <v>23</v>
      </c>
      <c r="H12" s="3">
        <v>45778</v>
      </c>
      <c r="I12">
        <v>150</v>
      </c>
      <c r="J12" s="4">
        <v>0</v>
      </c>
      <c r="K12" s="4">
        <v>150</v>
      </c>
      <c r="L12">
        <v>20411454</v>
      </c>
      <c r="M12" t="s">
        <v>24</v>
      </c>
      <c r="N12" t="s">
        <v>25</v>
      </c>
      <c r="O12" t="s">
        <v>53</v>
      </c>
      <c r="P12" t="s">
        <v>48</v>
      </c>
    </row>
    <row r="13" spans="1:17" x14ac:dyDescent="0.25">
      <c r="A13">
        <v>51038933</v>
      </c>
      <c r="B13" t="s">
        <v>33</v>
      </c>
      <c r="C13" t="str">
        <f t="shared" si="2"/>
        <v>9UX6TP1PA760</v>
      </c>
      <c r="D13" t="s">
        <v>29</v>
      </c>
      <c r="E13" t="s">
        <v>34</v>
      </c>
      <c r="F13" t="str">
        <f t="shared" si="0"/>
        <v>STEVEN GRENZ</v>
      </c>
      <c r="G13" t="s">
        <v>23</v>
      </c>
      <c r="H13" s="3">
        <v>45717</v>
      </c>
      <c r="I13">
        <v>150</v>
      </c>
      <c r="J13" s="4">
        <v>0</v>
      </c>
      <c r="K13" s="4">
        <v>150</v>
      </c>
      <c r="L13">
        <v>20411454</v>
      </c>
      <c r="M13" t="s">
        <v>31</v>
      </c>
      <c r="N13" t="s">
        <v>32</v>
      </c>
      <c r="O13" t="s">
        <v>53</v>
      </c>
      <c r="P13" t="s">
        <v>48</v>
      </c>
    </row>
    <row r="17" spans="11:11" x14ac:dyDescent="0.25">
      <c r="K17" s="4"/>
    </row>
  </sheetData>
  <sortState xmlns:xlrd2="http://schemas.microsoft.com/office/spreadsheetml/2017/richdata2" ref="A2:W13">
    <sortCondition ref="P2:P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Yi, Lingxi</dc:creator>
  <cp:lastModifiedBy>Cabel, Denisse Raeka</cp:lastModifiedBy>
  <dcterms:created xsi:type="dcterms:W3CDTF">2015-06-05T18:17:20Z</dcterms:created>
  <dcterms:modified xsi:type="dcterms:W3CDTF">2025-04-04T13:31:50Z</dcterms:modified>
</cp:coreProperties>
</file>