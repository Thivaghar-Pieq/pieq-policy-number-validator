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FF888DB-304D-4054-BBB4-364370C1F1A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K13" i="2" l="1"/>
  <c r="K12" i="2"/>
  <c r="K11" i="2"/>
  <c r="K10" i="2"/>
  <c r="K9" i="2"/>
  <c r="K8" i="2"/>
  <c r="K2" i="2"/>
</calcChain>
</file>

<file path=xl/sharedStrings.xml><?xml version="1.0" encoding="utf-8"?>
<sst xmlns="http://schemas.openxmlformats.org/spreadsheetml/2006/main" count="325" uniqueCount="53">
  <si>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</si>
  <si>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</si>
  <si>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</si>
  <si>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</si>
  <si>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</si>
  <si>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</si>
  <si>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</si>
  <si>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</si>
  <si>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</si>
  <si>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</si>
  <si>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</si>
  <si>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</si>
  <si>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</si>
  <si>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</si>
  <si>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</si>
  <si>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2025-11-24</t>
  </si>
  <si>
    <t/>
  </si>
  <si>
    <t>Agency Marketing Fee</t>
  </si>
  <si>
    <t>MLB</t>
  </si>
  <si>
    <t>Foley, Carol</t>
  </si>
  <si>
    <t>Ibc</t>
  </si>
  <si>
    <t>8UD5VK5WD53</t>
  </si>
  <si>
    <t>MAPD</t>
  </si>
  <si>
    <t>Gobbo, Linda</t>
  </si>
  <si>
    <t>2026-01-01</t>
  </si>
  <si>
    <t>Agent Pay</t>
  </si>
  <si>
    <t>Roccia, Mark</t>
  </si>
  <si>
    <t>4U55PU3XP84</t>
  </si>
  <si>
    <t>Lin, Ishen</t>
  </si>
  <si>
    <t>2025-12-01</t>
  </si>
  <si>
    <t>2025-12-31</t>
  </si>
  <si>
    <t>Richter, Peter</t>
  </si>
  <si>
    <t>1NW2QE9JM95</t>
  </si>
  <si>
    <t>Meehan, Kelly</t>
  </si>
  <si>
    <t>Kozacheck, Anne Marie</t>
  </si>
  <si>
    <t>1HX5T75TA67</t>
  </si>
  <si>
    <t>Miller Jr, Edward</t>
  </si>
  <si>
    <t>8EH0RE8GJ12</t>
  </si>
  <si>
    <t>Fowler, Roseann</t>
  </si>
  <si>
    <t>2025-11-01</t>
  </si>
  <si>
    <t>2NE7PG1NV38</t>
  </si>
  <si>
    <t>Scott, Patti</t>
  </si>
  <si>
    <t>Hoffmann, Jason</t>
  </si>
  <si>
    <t>9EQ7QW3VD33</t>
  </si>
  <si>
    <t>Mcclave, Christopher</t>
  </si>
  <si>
    <t>Approve</t>
  </si>
  <si>
    <t>Main Line Benefits</t>
  </si>
  <si>
    <t>IBC MAPD 2025*</t>
  </si>
  <si>
    <t>IBC MAPD OVR 2025</t>
  </si>
  <si>
    <t>Effective</t>
  </si>
  <si>
    <t>Date</t>
  </si>
  <si>
    <t>[%/$=353][prorate=1/12]</t>
  </si>
  <si>
    <t>[%/$=353][prorate=2/12]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</si>
</sst>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1734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Fill="1"/>
    <xf numFmtId="0" fontId="0" fillId="0" borderId="0" xfId="0" applyFill="1"/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G1" sqref="G1:G1048576"/>
    </sheetView>
  </sheetViews>
  <sheetFormatPr defaultRowHeight="15" x14ac:dyDescent="0.25"/>
  <cols>
    <col min="1" max="3" width="9.140625" style="4"/>
    <col min="4" max="4" width="20.85546875" style="4" bestFit="1" customWidth="1"/>
    <col min="5" max="5" width="9.140625" style="4"/>
    <col min="6" max="6" width="21.85546875" style="4" bestFit="1" customWidth="1"/>
    <col min="7" max="12" width="9.140625" style="4"/>
    <col min="13" max="13" width="19.85546875" style="4" bestFit="1" customWidth="1"/>
    <col min="14" max="14" width="13.5703125" style="4" bestFit="1" customWidth="1"/>
    <col min="15" max="15" width="10.42578125" style="4" bestFit="1" customWidth="1"/>
    <col min="16" max="16384" width="9.140625" style="4"/>
  </cols>
  <sheetData>
    <row r="1" spans="1:16" x14ac:dyDescent="0.25">
      <c r="A1" s="3" t="s">
        <v>45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x14ac:dyDescent="0.25">
      <c r="A2" s="4" t="s">
        <v>15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>
        <v>-100</v>
      </c>
      <c r="H2" s="4">
        <v>17086692</v>
      </c>
      <c r="I2" s="4" t="s">
        <v>20</v>
      </c>
      <c r="J2" s="4">
        <v>51044944</v>
      </c>
      <c r="K2" s="4" t="s">
        <v>21</v>
      </c>
      <c r="L2" s="4" t="s">
        <v>22</v>
      </c>
      <c r="M2" s="4" t="s">
        <v>23</v>
      </c>
      <c r="N2" s="4" t="s">
        <v>24</v>
      </c>
      <c r="O2" s="4" t="s">
        <v>24</v>
      </c>
      <c r="P2" s="4" t="s">
        <v>16</v>
      </c>
    </row>
    <row r="3" spans="1:16" x14ac:dyDescent="0.25">
      <c r="A3" s="4" t="s">
        <v>15</v>
      </c>
      <c r="B3" s="4" t="s">
        <v>15</v>
      </c>
      <c r="C3" s="4" t="s">
        <v>16</v>
      </c>
      <c r="D3" s="4" t="s">
        <v>25</v>
      </c>
      <c r="E3" s="4" t="s">
        <v>18</v>
      </c>
      <c r="F3" s="4" t="s">
        <v>26</v>
      </c>
      <c r="G3" s="4">
        <v>29.42</v>
      </c>
      <c r="H3" s="4">
        <v>17086692</v>
      </c>
      <c r="I3" s="4" t="s">
        <v>20</v>
      </c>
      <c r="J3" s="4">
        <v>51045900</v>
      </c>
      <c r="K3" s="4" t="s">
        <v>27</v>
      </c>
      <c r="L3" s="4" t="s">
        <v>22</v>
      </c>
      <c r="M3" s="4" t="s">
        <v>28</v>
      </c>
      <c r="N3" s="4" t="s">
        <v>29</v>
      </c>
      <c r="O3" s="4" t="s">
        <v>30</v>
      </c>
      <c r="P3" s="4" t="s">
        <v>16</v>
      </c>
    </row>
    <row r="4" spans="1:16" x14ac:dyDescent="0.25">
      <c r="A4" s="4" t="s">
        <v>15</v>
      </c>
      <c r="B4" s="4" t="s">
        <v>15</v>
      </c>
      <c r="C4" s="4" t="s">
        <v>16</v>
      </c>
      <c r="D4" s="4" t="s">
        <v>25</v>
      </c>
      <c r="E4" s="4" t="s">
        <v>18</v>
      </c>
      <c r="F4" s="4" t="s">
        <v>31</v>
      </c>
      <c r="G4" s="4">
        <v>29.42</v>
      </c>
      <c r="H4" s="4">
        <v>17086692</v>
      </c>
      <c r="I4" s="4" t="s">
        <v>20</v>
      </c>
      <c r="J4" s="4">
        <v>51045906</v>
      </c>
      <c r="K4" s="4" t="s">
        <v>32</v>
      </c>
      <c r="L4" s="4" t="s">
        <v>22</v>
      </c>
      <c r="M4" s="4" t="s">
        <v>33</v>
      </c>
      <c r="N4" s="4" t="s">
        <v>29</v>
      </c>
      <c r="O4" s="4" t="s">
        <v>30</v>
      </c>
      <c r="P4" s="4" t="s">
        <v>16</v>
      </c>
    </row>
    <row r="5" spans="1:16" x14ac:dyDescent="0.25">
      <c r="A5" s="4" t="s">
        <v>15</v>
      </c>
      <c r="B5" s="4" t="s">
        <v>15</v>
      </c>
      <c r="C5" s="4" t="s">
        <v>16</v>
      </c>
      <c r="D5" s="4" t="s">
        <v>25</v>
      </c>
      <c r="E5" s="4" t="s">
        <v>18</v>
      </c>
      <c r="F5" s="4" t="s">
        <v>34</v>
      </c>
      <c r="G5" s="4">
        <v>29.42</v>
      </c>
      <c r="H5" s="4">
        <v>17086692</v>
      </c>
      <c r="I5" s="4" t="s">
        <v>20</v>
      </c>
      <c r="J5" s="4">
        <v>51045893</v>
      </c>
      <c r="K5" s="4" t="s">
        <v>35</v>
      </c>
      <c r="L5" s="4" t="s">
        <v>22</v>
      </c>
      <c r="M5" s="4" t="s">
        <v>36</v>
      </c>
      <c r="N5" s="4" t="s">
        <v>29</v>
      </c>
      <c r="O5" s="4" t="s">
        <v>30</v>
      </c>
      <c r="P5" s="4" t="s">
        <v>16</v>
      </c>
    </row>
    <row r="6" spans="1:16" x14ac:dyDescent="0.25">
      <c r="A6" s="4" t="s">
        <v>15</v>
      </c>
      <c r="B6" s="4" t="s">
        <v>15</v>
      </c>
      <c r="C6" s="4" t="s">
        <v>16</v>
      </c>
      <c r="D6" s="4" t="s">
        <v>25</v>
      </c>
      <c r="E6" s="4" t="s">
        <v>18</v>
      </c>
      <c r="F6" s="4" t="s">
        <v>34</v>
      </c>
      <c r="G6" s="4">
        <v>58.83</v>
      </c>
      <c r="H6" s="4">
        <v>17086692</v>
      </c>
      <c r="I6" s="4" t="s">
        <v>20</v>
      </c>
      <c r="J6" s="4">
        <v>51045632</v>
      </c>
      <c r="K6" s="4" t="s">
        <v>37</v>
      </c>
      <c r="L6" s="4" t="s">
        <v>22</v>
      </c>
      <c r="M6" s="4" t="s">
        <v>38</v>
      </c>
      <c r="N6" s="4" t="s">
        <v>39</v>
      </c>
      <c r="O6" s="4" t="s">
        <v>30</v>
      </c>
      <c r="P6" s="4" t="s">
        <v>16</v>
      </c>
    </row>
    <row r="7" spans="1:16" x14ac:dyDescent="0.25">
      <c r="A7" s="4" t="s">
        <v>15</v>
      </c>
      <c r="B7" s="4" t="s">
        <v>15</v>
      </c>
      <c r="C7" s="4" t="s">
        <v>16</v>
      </c>
      <c r="D7" s="4" t="s">
        <v>25</v>
      </c>
      <c r="E7" s="4" t="s">
        <v>18</v>
      </c>
      <c r="F7" s="4" t="s">
        <v>34</v>
      </c>
      <c r="G7" s="4">
        <v>58.83</v>
      </c>
      <c r="H7" s="4">
        <v>17086692</v>
      </c>
      <c r="I7" s="4" t="s">
        <v>20</v>
      </c>
      <c r="J7" s="4">
        <v>51045742</v>
      </c>
      <c r="K7" s="4" t="s">
        <v>40</v>
      </c>
      <c r="L7" s="4" t="s">
        <v>22</v>
      </c>
      <c r="M7" s="4" t="s">
        <v>41</v>
      </c>
      <c r="N7" s="4" t="s">
        <v>39</v>
      </c>
      <c r="O7" s="4" t="s">
        <v>30</v>
      </c>
      <c r="P7" s="4" t="s">
        <v>16</v>
      </c>
    </row>
    <row r="8" spans="1:16" x14ac:dyDescent="0.25">
      <c r="A8" s="4" t="s">
        <v>15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42</v>
      </c>
      <c r="G8" s="4">
        <v>60</v>
      </c>
      <c r="H8" s="4">
        <v>17086692</v>
      </c>
      <c r="I8" s="4" t="s">
        <v>20</v>
      </c>
      <c r="J8" s="4">
        <v>51037946</v>
      </c>
      <c r="K8" s="4" t="s">
        <v>43</v>
      </c>
      <c r="L8" s="4" t="s">
        <v>22</v>
      </c>
      <c r="M8" s="4" t="s">
        <v>44</v>
      </c>
      <c r="N8" s="4" t="s">
        <v>24</v>
      </c>
      <c r="O8" s="4" t="s">
        <v>16</v>
      </c>
      <c r="P8" s="4" t="s">
        <v>16</v>
      </c>
    </row>
    <row r="9" spans="1:16" x14ac:dyDescent="0.25">
      <c r="A9" s="4" t="s">
        <v>15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34</v>
      </c>
      <c r="G9" s="4">
        <v>150</v>
      </c>
      <c r="H9" s="4">
        <v>17086692</v>
      </c>
      <c r="I9" s="4" t="s">
        <v>20</v>
      </c>
      <c r="J9" s="4">
        <v>51045632</v>
      </c>
      <c r="K9" s="4" t="s">
        <v>37</v>
      </c>
      <c r="L9" s="4" t="s">
        <v>22</v>
      </c>
      <c r="M9" s="4" t="s">
        <v>38</v>
      </c>
      <c r="N9" s="4" t="s">
        <v>39</v>
      </c>
      <c r="O9" s="4" t="s">
        <v>30</v>
      </c>
      <c r="P9" s="4" t="s">
        <v>16</v>
      </c>
    </row>
    <row r="10" spans="1:16" x14ac:dyDescent="0.25">
      <c r="A10" s="4" t="s">
        <v>15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26</v>
      </c>
      <c r="G10" s="4">
        <v>150</v>
      </c>
      <c r="H10" s="4">
        <v>17086692</v>
      </c>
      <c r="I10" s="4" t="s">
        <v>20</v>
      </c>
      <c r="J10" s="4">
        <v>51045900</v>
      </c>
      <c r="K10" s="4" t="s">
        <v>27</v>
      </c>
      <c r="L10" s="4" t="s">
        <v>22</v>
      </c>
      <c r="M10" s="4" t="s">
        <v>28</v>
      </c>
      <c r="N10" s="4" t="s">
        <v>29</v>
      </c>
      <c r="O10" s="4" t="s">
        <v>30</v>
      </c>
      <c r="P10" s="4" t="s">
        <v>16</v>
      </c>
    </row>
    <row r="11" spans="1:16" x14ac:dyDescent="0.25">
      <c r="A11" s="4" t="s">
        <v>15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31</v>
      </c>
      <c r="G11" s="4">
        <v>150</v>
      </c>
      <c r="H11" s="4">
        <v>17086692</v>
      </c>
      <c r="I11" s="4" t="s">
        <v>20</v>
      </c>
      <c r="J11" s="4">
        <v>51045906</v>
      </c>
      <c r="K11" s="4" t="s">
        <v>32</v>
      </c>
      <c r="L11" s="4" t="s">
        <v>22</v>
      </c>
      <c r="M11" s="4" t="s">
        <v>33</v>
      </c>
      <c r="N11" s="4" t="s">
        <v>29</v>
      </c>
      <c r="O11" s="4" t="s">
        <v>30</v>
      </c>
      <c r="P11" s="4" t="s">
        <v>16</v>
      </c>
    </row>
    <row r="12" spans="1:16" x14ac:dyDescent="0.25">
      <c r="A12" s="4" t="s">
        <v>15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34</v>
      </c>
      <c r="G12" s="4">
        <v>150</v>
      </c>
      <c r="H12" s="4">
        <v>17086692</v>
      </c>
      <c r="I12" s="4" t="s">
        <v>20</v>
      </c>
      <c r="J12" s="4">
        <v>51045893</v>
      </c>
      <c r="K12" s="4" t="s">
        <v>35</v>
      </c>
      <c r="L12" s="4" t="s">
        <v>22</v>
      </c>
      <c r="M12" s="4" t="s">
        <v>36</v>
      </c>
      <c r="N12" s="4" t="s">
        <v>29</v>
      </c>
      <c r="O12" s="4" t="s">
        <v>30</v>
      </c>
      <c r="P12" s="4" t="s">
        <v>16</v>
      </c>
    </row>
    <row r="13" spans="1:16" x14ac:dyDescent="0.25">
      <c r="A13" s="4" t="s">
        <v>15</v>
      </c>
      <c r="B13" s="4" t="s">
        <v>15</v>
      </c>
      <c r="C13" s="4" t="s">
        <v>16</v>
      </c>
      <c r="D13" s="4" t="s">
        <v>17</v>
      </c>
      <c r="E13" s="4" t="s">
        <v>18</v>
      </c>
      <c r="F13" s="4" t="s">
        <v>34</v>
      </c>
      <c r="G13" s="4">
        <v>150</v>
      </c>
      <c r="H13" s="4">
        <v>17086692</v>
      </c>
      <c r="I13" s="4" t="s">
        <v>20</v>
      </c>
      <c r="J13" s="4">
        <v>51045742</v>
      </c>
      <c r="K13" s="4" t="s">
        <v>40</v>
      </c>
      <c r="L13" s="4" t="s">
        <v>22</v>
      </c>
      <c r="M13" s="4" t="s">
        <v>41</v>
      </c>
      <c r="N13" s="4" t="s">
        <v>39</v>
      </c>
      <c r="O13" s="4" t="s">
        <v>30</v>
      </c>
      <c r="P13" s="4" t="s">
        <v>16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69CD-53B0-4934-8259-13BFFD9DE7C7}">
  <dimension ref="A1:S13"/>
  <sheetViews>
    <sheetView workbookViewId="0">
      <selection activeCell="S2" sqref="S2:S13"/>
    </sheetView>
  </sheetViews>
  <sheetFormatPr defaultRowHeight="15" x14ac:dyDescent="0.25"/>
  <cols>
    <col min="4" max="4" width="20.85546875" bestFit="1" customWidth="1"/>
    <col min="6" max="6" width="21.85546875" bestFit="1" customWidth="1"/>
    <col min="8" max="8" width="10.7109375" bestFit="1" customWidth="1"/>
    <col min="11" max="11" width="23.5703125" customWidth="1"/>
    <col min="14" max="14" width="19.85546875" bestFit="1" customWidth="1"/>
    <col min="15" max="15" width="13.5703125" bestFit="1" customWidth="1"/>
    <col min="16" max="16" width="10.42578125" bestFit="1" customWidth="1"/>
  </cols>
  <sheetData>
    <row r="1" spans="1:19" x14ac:dyDescent="0.25">
      <c r="A1" s="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  <c r="O1" t="s">
        <v>49</v>
      </c>
      <c r="P1" t="s">
        <v>50</v>
      </c>
      <c r="Q1" t="s">
        <v>14</v>
      </c>
    </row>
    <row r="2" spans="1:19" s="2" customFormat="1" x14ac:dyDescent="0.25">
      <c r="A2" s="2" t="s">
        <v>15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46</v>
      </c>
      <c r="G2" s="2">
        <v>-100</v>
      </c>
      <c r="H2" s="2">
        <v>20411454</v>
      </c>
      <c r="I2" s="2" t="s">
        <v>20</v>
      </c>
      <c r="J2" s="2">
        <v>51044944</v>
      </c>
      <c r="K2" s="2" t="str">
        <f>CONCATENATE(J2,"OVR")</f>
        <v>51044944OVR</v>
      </c>
      <c r="L2" s="2" t="s">
        <v>21</v>
      </c>
      <c r="M2" s="2" t="s">
        <v>22</v>
      </c>
      <c r="N2" s="2" t="s">
        <v>23</v>
      </c>
      <c r="O2" s="5">
        <v>46023</v>
      </c>
      <c r="Q2" s="2" t="s">
        <v>48</v>
      </c>
    </row>
    <row r="3" spans="1:19" x14ac:dyDescent="0.25">
      <c r="A3" t="s">
        <v>15</v>
      </c>
      <c r="B3" t="s">
        <v>15</v>
      </c>
      <c r="C3" t="s">
        <v>16</v>
      </c>
      <c r="D3" t="s">
        <v>25</v>
      </c>
      <c r="E3" t="s">
        <v>18</v>
      </c>
      <c r="F3" t="s">
        <v>26</v>
      </c>
      <c r="G3">
        <v>29.42</v>
      </c>
      <c r="H3">
        <v>21618313</v>
      </c>
      <c r="I3" t="s">
        <v>20</v>
      </c>
      <c r="J3">
        <v>51045900</v>
      </c>
      <c r="K3">
        <v>51045900</v>
      </c>
      <c r="L3" t="s">
        <v>27</v>
      </c>
      <c r="M3" t="s">
        <v>22</v>
      </c>
      <c r="N3" t="s">
        <v>28</v>
      </c>
      <c r="O3" s="6">
        <v>45992</v>
      </c>
      <c r="Q3" t="s">
        <v>47</v>
      </c>
      <c r="S3" t="s">
        <v>51</v>
      </c>
    </row>
    <row r="4" spans="1:19" x14ac:dyDescent="0.25">
      <c r="A4" t="s">
        <v>15</v>
      </c>
      <c r="B4" t="s">
        <v>15</v>
      </c>
      <c r="C4" t="s">
        <v>16</v>
      </c>
      <c r="D4" t="s">
        <v>25</v>
      </c>
      <c r="E4" t="s">
        <v>18</v>
      </c>
      <c r="F4" t="s">
        <v>31</v>
      </c>
      <c r="G4">
        <v>29.42</v>
      </c>
      <c r="H4">
        <v>16509456</v>
      </c>
      <c r="I4" t="s">
        <v>20</v>
      </c>
      <c r="J4">
        <v>51045906</v>
      </c>
      <c r="K4">
        <v>51045906</v>
      </c>
      <c r="L4" t="s">
        <v>32</v>
      </c>
      <c r="M4" t="s">
        <v>22</v>
      </c>
      <c r="N4" t="s">
        <v>33</v>
      </c>
      <c r="O4" s="6">
        <v>45992</v>
      </c>
      <c r="Q4" t="s">
        <v>47</v>
      </c>
      <c r="S4" t="s">
        <v>51</v>
      </c>
    </row>
    <row r="5" spans="1:19" x14ac:dyDescent="0.25">
      <c r="A5" t="s">
        <v>15</v>
      </c>
      <c r="B5" t="s">
        <v>15</v>
      </c>
      <c r="C5" t="s">
        <v>16</v>
      </c>
      <c r="D5" t="s">
        <v>25</v>
      </c>
      <c r="E5" t="s">
        <v>18</v>
      </c>
      <c r="F5" t="s">
        <v>34</v>
      </c>
      <c r="G5">
        <v>29.42</v>
      </c>
      <c r="H5">
        <v>19278370</v>
      </c>
      <c r="I5" t="s">
        <v>20</v>
      </c>
      <c r="J5">
        <v>51045893</v>
      </c>
      <c r="K5">
        <v>51045893</v>
      </c>
      <c r="L5" t="s">
        <v>35</v>
      </c>
      <c r="M5" t="s">
        <v>22</v>
      </c>
      <c r="N5" t="s">
        <v>36</v>
      </c>
      <c r="O5" s="6">
        <v>45992</v>
      </c>
      <c r="Q5" t="s">
        <v>47</v>
      </c>
      <c r="S5" t="s">
        <v>51</v>
      </c>
    </row>
    <row r="6" spans="1:19" x14ac:dyDescent="0.25">
      <c r="A6" t="s">
        <v>15</v>
      </c>
      <c r="B6" t="s">
        <v>15</v>
      </c>
      <c r="C6" t="s">
        <v>16</v>
      </c>
      <c r="D6" t="s">
        <v>25</v>
      </c>
      <c r="E6" t="s">
        <v>18</v>
      </c>
      <c r="F6" t="s">
        <v>34</v>
      </c>
      <c r="G6">
        <v>58.83</v>
      </c>
      <c r="H6">
        <v>19278370</v>
      </c>
      <c r="I6" t="s">
        <v>20</v>
      </c>
      <c r="J6">
        <v>51045632</v>
      </c>
      <c r="K6">
        <v>51045632</v>
      </c>
      <c r="L6" t="s">
        <v>37</v>
      </c>
      <c r="M6" t="s">
        <v>22</v>
      </c>
      <c r="N6" t="s">
        <v>38</v>
      </c>
      <c r="O6" s="6">
        <v>45962</v>
      </c>
      <c r="Q6" t="s">
        <v>47</v>
      </c>
      <c r="S6" t="s">
        <v>52</v>
      </c>
    </row>
    <row r="7" spans="1:19" x14ac:dyDescent="0.25">
      <c r="A7" t="s">
        <v>15</v>
      </c>
      <c r="B7" t="s">
        <v>15</v>
      </c>
      <c r="C7" t="s">
        <v>16</v>
      </c>
      <c r="D7" t="s">
        <v>25</v>
      </c>
      <c r="E7" t="s">
        <v>18</v>
      </c>
      <c r="F7" t="s">
        <v>34</v>
      </c>
      <c r="G7">
        <v>58.83</v>
      </c>
      <c r="H7">
        <v>19278370</v>
      </c>
      <c r="I7" t="s">
        <v>20</v>
      </c>
      <c r="J7">
        <v>51045742</v>
      </c>
      <c r="K7">
        <v>51045742</v>
      </c>
      <c r="L7" t="s">
        <v>40</v>
      </c>
      <c r="M7" t="s">
        <v>22</v>
      </c>
      <c r="N7" t="s">
        <v>41</v>
      </c>
      <c r="O7" s="6">
        <v>45962</v>
      </c>
      <c r="Q7" t="s">
        <v>47</v>
      </c>
      <c r="S7" t="s">
        <v>52</v>
      </c>
    </row>
    <row r="8" spans="1:19" s="2" customFormat="1" x14ac:dyDescent="0.25">
      <c r="A8" s="2" t="s">
        <v>15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46</v>
      </c>
      <c r="G8" s="2">
        <v>60</v>
      </c>
      <c r="H8" s="2">
        <v>20411454</v>
      </c>
      <c r="I8" s="2" t="s">
        <v>20</v>
      </c>
      <c r="J8" s="2">
        <v>51037946</v>
      </c>
      <c r="K8" s="2" t="str">
        <f t="shared" ref="K8:K13" si="0">CONCATENATE(J8,"OVR")</f>
        <v>51037946OVR</v>
      </c>
      <c r="L8" s="2" t="s">
        <v>43</v>
      </c>
      <c r="M8" s="2" t="s">
        <v>22</v>
      </c>
      <c r="N8" s="2" t="s">
        <v>44</v>
      </c>
      <c r="O8" s="5">
        <v>46023</v>
      </c>
      <c r="Q8" s="2" t="s">
        <v>48</v>
      </c>
    </row>
    <row r="9" spans="1:19" s="2" customFormat="1" x14ac:dyDescent="0.25">
      <c r="A9" s="2" t="s">
        <v>15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46</v>
      </c>
      <c r="G9" s="2">
        <v>150</v>
      </c>
      <c r="H9" s="2">
        <v>20411454</v>
      </c>
      <c r="I9" s="2" t="s">
        <v>20</v>
      </c>
      <c r="J9" s="2">
        <v>51045632</v>
      </c>
      <c r="K9" s="2" t="str">
        <f t="shared" si="0"/>
        <v>51045632OVR</v>
      </c>
      <c r="L9" s="2" t="s">
        <v>37</v>
      </c>
      <c r="M9" s="2" t="s">
        <v>22</v>
      </c>
      <c r="N9" s="2" t="s">
        <v>38</v>
      </c>
      <c r="O9" s="5">
        <v>45962</v>
      </c>
      <c r="Q9" s="2" t="s">
        <v>48</v>
      </c>
    </row>
    <row r="10" spans="1:19" s="2" customFormat="1" x14ac:dyDescent="0.25">
      <c r="A10" s="2" t="s">
        <v>15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46</v>
      </c>
      <c r="G10" s="2">
        <v>150</v>
      </c>
      <c r="H10" s="2">
        <v>20411454</v>
      </c>
      <c r="I10" s="2" t="s">
        <v>20</v>
      </c>
      <c r="J10" s="2">
        <v>51045900</v>
      </c>
      <c r="K10" s="2" t="str">
        <f t="shared" si="0"/>
        <v>51045900OVR</v>
      </c>
      <c r="L10" s="2" t="s">
        <v>27</v>
      </c>
      <c r="M10" s="2" t="s">
        <v>22</v>
      </c>
      <c r="N10" s="2" t="s">
        <v>28</v>
      </c>
      <c r="O10" s="5">
        <v>45992</v>
      </c>
      <c r="Q10" s="2" t="s">
        <v>48</v>
      </c>
    </row>
    <row r="11" spans="1:19" s="2" customFormat="1" x14ac:dyDescent="0.25">
      <c r="A11" s="2" t="s">
        <v>15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46</v>
      </c>
      <c r="G11" s="2">
        <v>150</v>
      </c>
      <c r="H11" s="2">
        <v>20411454</v>
      </c>
      <c r="I11" s="2" t="s">
        <v>20</v>
      </c>
      <c r="J11" s="2">
        <v>51045906</v>
      </c>
      <c r="K11" s="2" t="str">
        <f t="shared" si="0"/>
        <v>51045906OVR</v>
      </c>
      <c r="L11" s="2" t="s">
        <v>32</v>
      </c>
      <c r="M11" s="2" t="s">
        <v>22</v>
      </c>
      <c r="N11" s="2" t="s">
        <v>33</v>
      </c>
      <c r="O11" s="5">
        <v>45992</v>
      </c>
      <c r="Q11" s="2" t="s">
        <v>48</v>
      </c>
    </row>
    <row r="12" spans="1:19" s="2" customFormat="1" x14ac:dyDescent="0.25">
      <c r="A12" s="2" t="s">
        <v>15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46</v>
      </c>
      <c r="G12" s="2">
        <v>150</v>
      </c>
      <c r="H12" s="2">
        <v>20411454</v>
      </c>
      <c r="I12" s="2" t="s">
        <v>20</v>
      </c>
      <c r="J12" s="2">
        <v>51045893</v>
      </c>
      <c r="K12" s="2" t="str">
        <f t="shared" si="0"/>
        <v>51045893OVR</v>
      </c>
      <c r="L12" s="2" t="s">
        <v>35</v>
      </c>
      <c r="M12" s="2" t="s">
        <v>22</v>
      </c>
      <c r="N12" s="2" t="s">
        <v>36</v>
      </c>
      <c r="O12" s="5">
        <v>45992</v>
      </c>
      <c r="Q12" s="2" t="s">
        <v>48</v>
      </c>
    </row>
    <row r="13" spans="1:19" s="2" customFormat="1" x14ac:dyDescent="0.25">
      <c r="A13" s="2" t="s">
        <v>15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46</v>
      </c>
      <c r="G13" s="2">
        <v>150</v>
      </c>
      <c r="H13" s="2">
        <v>20411454</v>
      </c>
      <c r="I13" s="2" t="s">
        <v>20</v>
      </c>
      <c r="J13" s="2">
        <v>51045742</v>
      </c>
      <c r="K13" s="2" t="str">
        <f t="shared" si="0"/>
        <v>51045742OVR</v>
      </c>
      <c r="L13" s="2" t="s">
        <v>40</v>
      </c>
      <c r="M13" s="2" t="s">
        <v>22</v>
      </c>
      <c r="N13" s="2" t="s">
        <v>41</v>
      </c>
      <c r="O13" s="5">
        <v>45962</v>
      </c>
      <c r="Q13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2025-11-21T08:09:07Z</dcterms:created>
  <dcterms:modified xsi:type="dcterms:W3CDTF">2025-11-21T20:45:45Z</dcterms:modified>
  <cp:category/>
</cp:coreProperties>
</file>