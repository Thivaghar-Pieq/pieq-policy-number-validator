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8E2EDD28-7BC6-42A7-97C7-73D5B5352FE0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R3" i="2" l="1"/>
  <c r="R8" i="2"/>
  <c r="J7" i="2"/>
  <c r="J6" i="2"/>
  <c r="J5" i="2"/>
</calcChain>
</file>

<file path=xl/sharedStrings.xml><?xml version="1.0" encoding="utf-8"?>
<sst xmlns="http://schemas.openxmlformats.org/spreadsheetml/2006/main" count="168" uniqueCount="33">
  <si>
    <t>Post Date</t>
  </si>
  <si>
    <t>Pay Out Date</t>
  </si>
  <si>
    <t>Pay Type</t>
  </si>
  <si>
    <t>For</t>
  </si>
  <si>
    <t>Agency</t>
  </si>
  <si>
    <t>Agent</t>
  </si>
  <si>
    <t>Agent Pay</t>
  </si>
  <si>
    <t>Carrier</t>
  </si>
  <si>
    <t>Carrier Policy ID</t>
  </si>
  <si>
    <t>Plan Type</t>
  </si>
  <si>
    <t>Policy Holder</t>
  </si>
  <si>
    <t>Effective Date</t>
  </si>
  <si>
    <t>2025-05-26</t>
  </si>
  <si>
    <t/>
  </si>
  <si>
    <t>MLB</t>
  </si>
  <si>
    <t>Foley, Carol</t>
  </si>
  <si>
    <t>Ibc</t>
  </si>
  <si>
    <t>MAPD</t>
  </si>
  <si>
    <t>Lucifero, Carmela</t>
  </si>
  <si>
    <t>2025-04-01</t>
  </si>
  <si>
    <t>Kozacheck, Anne Marie</t>
  </si>
  <si>
    <t>Heffernan, Cheryl</t>
  </si>
  <si>
    <t>2025-08-01</t>
  </si>
  <si>
    <t>Thornton, Karen</t>
  </si>
  <si>
    <t>Agency Marketing Fee</t>
  </si>
  <si>
    <t>Durante, Jim</t>
  </si>
  <si>
    <t>2025-06-01</t>
  </si>
  <si>
    <t>[%/$=353][prorate=9/12]</t>
  </si>
  <si>
    <t>IBC MAPD 2025*</t>
  </si>
  <si>
    <t>IBC MAPD OVR 2025</t>
  </si>
  <si>
    <t>[%/$=353][prorate=5/12]</t>
  </si>
  <si>
    <t>[%/$=353][prorate=7/12]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</si>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</sst>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G14" sqref="G14"/>
    </sheetView>
  </sheetViews>
  <sheetFormatPr defaultRowHeight="15" x14ac:dyDescent="0.25"/>
  <cols>
    <col min="1" max="1" width="10.42578125" bestFit="1" customWidth="1"/>
    <col min="2" max="2" width="12.4257812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9.85546875" bestFit="1" customWidth="1"/>
    <col min="8" max="8" width="7" bestFit="1" customWidth="1"/>
    <col min="9" max="9" width="15.140625" bestFit="1" customWidth="1"/>
    <col min="10" max="10" width="9.5703125" bestFit="1" customWidth="1"/>
    <col min="11" max="11" width="16.85546875" bestFit="1" customWidth="1"/>
    <col min="12" max="12" width="13.5703125" bestFit="1" customWidth="1"/>
    <col min="13" max="13" width="1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6</v>
      </c>
      <c r="E2" t="s">
        <v>14</v>
      </c>
      <c r="F2" t="s">
        <v>15</v>
      </c>
      <c r="G2">
        <v>-264.75</v>
      </c>
      <c r="H2" t="s">
        <v>16</v>
      </c>
      <c r="I2">
        <v>51039006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12</v>
      </c>
      <c r="C3" t="s">
        <v>13</v>
      </c>
      <c r="D3" t="s">
        <v>6</v>
      </c>
      <c r="E3" t="s">
        <v>14</v>
      </c>
      <c r="F3" t="s">
        <v>20</v>
      </c>
      <c r="G3">
        <v>147.08000000000001</v>
      </c>
      <c r="H3" t="s">
        <v>16</v>
      </c>
      <c r="I3">
        <v>51040180</v>
      </c>
      <c r="J3" t="s">
        <v>17</v>
      </c>
      <c r="K3" t="s">
        <v>21</v>
      </c>
      <c r="L3" t="s">
        <v>22</v>
      </c>
    </row>
    <row r="4" spans="1:12" x14ac:dyDescent="0.25">
      <c r="A4" t="s">
        <v>12</v>
      </c>
      <c r="B4" t="s">
        <v>12</v>
      </c>
      <c r="C4" t="s">
        <v>13</v>
      </c>
      <c r="D4" t="s">
        <v>6</v>
      </c>
      <c r="E4" t="s">
        <v>14</v>
      </c>
      <c r="F4" t="s">
        <v>20</v>
      </c>
      <c r="G4">
        <v>147.08000000000001</v>
      </c>
      <c r="H4" t="s">
        <v>16</v>
      </c>
      <c r="I4">
        <v>51040188</v>
      </c>
      <c r="J4" t="s">
        <v>17</v>
      </c>
      <c r="K4" t="s">
        <v>23</v>
      </c>
      <c r="L4" t="s">
        <v>22</v>
      </c>
    </row>
    <row r="5" spans="1:12" x14ac:dyDescent="0.25">
      <c r="A5" t="s">
        <v>12</v>
      </c>
      <c r="B5" t="s">
        <v>12</v>
      </c>
      <c r="C5" t="s">
        <v>13</v>
      </c>
      <c r="D5" t="s">
        <v>24</v>
      </c>
      <c r="E5" t="s">
        <v>14</v>
      </c>
      <c r="F5" t="s">
        <v>20</v>
      </c>
      <c r="G5">
        <v>150</v>
      </c>
      <c r="H5" t="s">
        <v>16</v>
      </c>
      <c r="I5">
        <v>51040325</v>
      </c>
      <c r="J5" t="s">
        <v>17</v>
      </c>
      <c r="K5" t="s">
        <v>25</v>
      </c>
      <c r="L5" t="s">
        <v>26</v>
      </c>
    </row>
    <row r="6" spans="1:12" x14ac:dyDescent="0.25">
      <c r="A6" t="s">
        <v>12</v>
      </c>
      <c r="B6" t="s">
        <v>12</v>
      </c>
      <c r="C6" t="s">
        <v>13</v>
      </c>
      <c r="D6" t="s">
        <v>24</v>
      </c>
      <c r="E6" t="s">
        <v>14</v>
      </c>
      <c r="F6" t="s">
        <v>20</v>
      </c>
      <c r="G6">
        <v>150</v>
      </c>
      <c r="H6" t="s">
        <v>16</v>
      </c>
      <c r="I6">
        <v>51040180</v>
      </c>
      <c r="J6" t="s">
        <v>17</v>
      </c>
      <c r="K6" t="s">
        <v>21</v>
      </c>
      <c r="L6" t="s">
        <v>22</v>
      </c>
    </row>
    <row r="7" spans="1:12" x14ac:dyDescent="0.25">
      <c r="A7" t="s">
        <v>12</v>
      </c>
      <c r="B7" t="s">
        <v>12</v>
      </c>
      <c r="C7" t="s">
        <v>13</v>
      </c>
      <c r="D7" t="s">
        <v>24</v>
      </c>
      <c r="E7" t="s">
        <v>14</v>
      </c>
      <c r="F7" t="s">
        <v>20</v>
      </c>
      <c r="G7">
        <v>150</v>
      </c>
      <c r="H7" t="s">
        <v>16</v>
      </c>
      <c r="I7">
        <v>51040188</v>
      </c>
      <c r="J7" t="s">
        <v>17</v>
      </c>
      <c r="K7" t="s">
        <v>23</v>
      </c>
      <c r="L7" t="s">
        <v>22</v>
      </c>
    </row>
    <row r="8" spans="1:12" x14ac:dyDescent="0.25">
      <c r="A8" t="s">
        <v>12</v>
      </c>
      <c r="B8" t="s">
        <v>12</v>
      </c>
      <c r="C8" t="s">
        <v>13</v>
      </c>
      <c r="D8" t="s">
        <v>6</v>
      </c>
      <c r="E8" t="s">
        <v>14</v>
      </c>
      <c r="F8" t="s">
        <v>20</v>
      </c>
      <c r="G8">
        <v>205.92</v>
      </c>
      <c r="H8" t="s">
        <v>16</v>
      </c>
      <c r="I8">
        <v>51040325</v>
      </c>
      <c r="J8" t="s">
        <v>17</v>
      </c>
      <c r="K8" t="s">
        <v>25</v>
      </c>
      <c r="L8" t="s">
        <v>26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691F-4730-4071-A842-35DBD2683E87}">
  <dimension ref="A1:R8"/>
  <sheetViews>
    <sheetView tabSelected="1" workbookViewId="0">
      <selection activeCell="O2" sqref="O2:O8"/>
    </sheetView>
  </sheetViews>
  <sheetFormatPr defaultRowHeight="15" x14ac:dyDescent="0.25"/>
  <cols>
    <col min="1" max="1" width="10.42578125" bestFit="1" customWidth="1"/>
    <col min="2" max="2" width="12.42578125" bestFit="1" customWidth="1"/>
    <col min="4" max="4" width="20.85546875" bestFit="1" customWidth="1"/>
    <col min="5" max="5" width="15.140625" customWidth="1"/>
    <col min="6" max="6" width="21.85546875" bestFit="1" customWidth="1"/>
    <col min="7" max="7" width="9.85546875" bestFit="1" customWidth="1"/>
    <col min="8" max="8" width="7" bestFit="1" customWidth="1"/>
    <col min="9" max="9" width="15.140625" bestFit="1" customWidth="1"/>
    <col min="10" max="10" width="15.140625" style="2" customWidth="1"/>
    <col min="11" max="11" width="9.5703125" bestFit="1" customWidth="1"/>
    <col min="12" max="12" width="16.85546875" bestFit="1" customWidth="1"/>
    <col min="13" max="13" width="13.5703125" style="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s="1" t="s">
        <v>11</v>
      </c>
    </row>
    <row r="2" spans="1:18" x14ac:dyDescent="0.25">
      <c r="A2" t="s">
        <v>12</v>
      </c>
      <c r="B2" t="s">
        <v>12</v>
      </c>
      <c r="C2" t="s">
        <v>13</v>
      </c>
      <c r="D2" t="s">
        <v>6</v>
      </c>
      <c r="E2">
        <v>17425766</v>
      </c>
      <c r="F2" t="s">
        <v>15</v>
      </c>
      <c r="G2">
        <v>-264.75</v>
      </c>
      <c r="H2" t="s">
        <v>16</v>
      </c>
      <c r="I2">
        <v>51039006</v>
      </c>
      <c r="J2" s="2">
        <v>51039006</v>
      </c>
      <c r="K2" t="s">
        <v>17</v>
      </c>
      <c r="L2" t="s">
        <v>18</v>
      </c>
      <c r="M2" s="1" t="s">
        <v>19</v>
      </c>
      <c r="N2" t="s">
        <v>28</v>
      </c>
      <c r="O2" t="s">
        <v>27</v>
      </c>
    </row>
    <row r="3" spans="1:18" x14ac:dyDescent="0.25">
      <c r="A3" t="s">
        <v>12</v>
      </c>
      <c r="B3" t="s">
        <v>12</v>
      </c>
      <c r="C3" t="s">
        <v>13</v>
      </c>
      <c r="D3" t="s">
        <v>6</v>
      </c>
      <c r="E3">
        <v>19278370</v>
      </c>
      <c r="F3" t="s">
        <v>20</v>
      </c>
      <c r="G3">
        <v>147.08000000000001</v>
      </c>
      <c r="H3" t="s">
        <v>16</v>
      </c>
      <c r="I3">
        <v>51040180</v>
      </c>
      <c r="J3" s="2">
        <v>51040180</v>
      </c>
      <c r="K3" t="s">
        <v>17</v>
      </c>
      <c r="L3" t="s">
        <v>21</v>
      </c>
      <c r="M3" s="1" t="s">
        <v>22</v>
      </c>
      <c r="N3" t="s">
        <v>28</v>
      </c>
      <c r="O3" t="s">
        <v>30</v>
      </c>
      <c r="R3">
        <f>353/12*5</f>
        <v>147.08333333333334</v>
      </c>
    </row>
    <row r="4" spans="1:18" x14ac:dyDescent="0.25">
      <c r="A4" t="s">
        <v>12</v>
      </c>
      <c r="B4" t="s">
        <v>12</v>
      </c>
      <c r="C4" t="s">
        <v>13</v>
      </c>
      <c r="D4" t="s">
        <v>6</v>
      </c>
      <c r="E4">
        <v>19278370</v>
      </c>
      <c r="F4" t="s">
        <v>20</v>
      </c>
      <c r="G4">
        <v>147.08000000000001</v>
      </c>
      <c r="H4" t="s">
        <v>16</v>
      </c>
      <c r="I4">
        <v>51040188</v>
      </c>
      <c r="J4" s="2">
        <v>51040188</v>
      </c>
      <c r="K4" t="s">
        <v>17</v>
      </c>
      <c r="L4" t="s">
        <v>23</v>
      </c>
      <c r="M4" s="1" t="s">
        <v>22</v>
      </c>
      <c r="N4" t="s">
        <v>28</v>
      </c>
      <c r="O4" t="s">
        <v>30</v>
      </c>
    </row>
    <row r="5" spans="1:18" x14ac:dyDescent="0.25">
      <c r="A5" t="s">
        <v>12</v>
      </c>
      <c r="B5" t="s">
        <v>12</v>
      </c>
      <c r="C5" t="s">
        <v>13</v>
      </c>
      <c r="D5" t="s">
        <v>24</v>
      </c>
      <c r="E5">
        <v>20411454</v>
      </c>
      <c r="F5" t="s">
        <v>32</v>
      </c>
      <c r="G5">
        <v>150</v>
      </c>
      <c r="H5" t="s">
        <v>16</v>
      </c>
      <c r="I5">
        <v>51040325</v>
      </c>
      <c r="J5" s="2" t="str">
        <f>CONCATENATE(I5,0)</f>
        <v>510403250</v>
      </c>
      <c r="K5" t="s">
        <v>17</v>
      </c>
      <c r="L5" t="s">
        <v>25</v>
      </c>
      <c r="M5" s="1" t="s">
        <v>26</v>
      </c>
      <c r="N5" t="s">
        <v>29</v>
      </c>
    </row>
    <row r="6" spans="1:18" x14ac:dyDescent="0.25">
      <c r="A6" t="s">
        <v>12</v>
      </c>
      <c r="B6" t="s">
        <v>12</v>
      </c>
      <c r="C6" t="s">
        <v>13</v>
      </c>
      <c r="D6" t="s">
        <v>24</v>
      </c>
      <c r="E6">
        <v>20411454</v>
      </c>
      <c r="F6" t="s">
        <v>32</v>
      </c>
      <c r="G6">
        <v>150</v>
      </c>
      <c r="H6" t="s">
        <v>16</v>
      </c>
      <c r="I6">
        <v>51040180</v>
      </c>
      <c r="J6" s="2" t="str">
        <f t="shared" ref="J6:J7" si="0">CONCATENATE(I6,0)</f>
        <v>510401800</v>
      </c>
      <c r="K6" t="s">
        <v>17</v>
      </c>
      <c r="L6" t="s">
        <v>21</v>
      </c>
      <c r="M6" s="1" t="s">
        <v>22</v>
      </c>
      <c r="N6" t="s">
        <v>29</v>
      </c>
    </row>
    <row r="7" spans="1:18" x14ac:dyDescent="0.25">
      <c r="A7" t="s">
        <v>12</v>
      </c>
      <c r="B7" t="s">
        <v>12</v>
      </c>
      <c r="C7" t="s">
        <v>13</v>
      </c>
      <c r="D7" t="s">
        <v>24</v>
      </c>
      <c r="E7">
        <v>20411454</v>
      </c>
      <c r="F7" t="s">
        <v>32</v>
      </c>
      <c r="G7">
        <v>150</v>
      </c>
      <c r="H7" t="s">
        <v>16</v>
      </c>
      <c r="I7">
        <v>51040188</v>
      </c>
      <c r="J7" s="2" t="str">
        <f t="shared" si="0"/>
        <v>510401880</v>
      </c>
      <c r="K7" t="s">
        <v>17</v>
      </c>
      <c r="L7" t="s">
        <v>23</v>
      </c>
      <c r="M7" s="1" t="s">
        <v>22</v>
      </c>
      <c r="N7" t="s">
        <v>29</v>
      </c>
    </row>
    <row r="8" spans="1:18" x14ac:dyDescent="0.25">
      <c r="A8" t="s">
        <v>12</v>
      </c>
      <c r="B8" t="s">
        <v>12</v>
      </c>
      <c r="C8" t="s">
        <v>13</v>
      </c>
      <c r="D8" t="s">
        <v>6</v>
      </c>
      <c r="E8">
        <v>19278370</v>
      </c>
      <c r="F8" t="s">
        <v>20</v>
      </c>
      <c r="G8">
        <v>205.92</v>
      </c>
      <c r="H8" t="s">
        <v>16</v>
      </c>
      <c r="I8">
        <v>51040325</v>
      </c>
      <c r="J8" s="2">
        <v>51040325</v>
      </c>
      <c r="K8" t="s">
        <v>17</v>
      </c>
      <c r="L8" t="s">
        <v>25</v>
      </c>
      <c r="M8" s="1" t="s">
        <v>26</v>
      </c>
      <c r="N8" t="s">
        <v>28</v>
      </c>
      <c r="O8" t="s">
        <v>31</v>
      </c>
      <c r="R8">
        <f>353/12*7</f>
        <v>205.91666666666669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2025-05-23T12:35:51Z</dcterms:created>
  <dcterms:modified xsi:type="dcterms:W3CDTF">2025-05-27T19:33:30Z</dcterms:modified>
  <cp:category/>
</cp:coreProperties>
</file>