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2-14-25 from Ritter\"/>
    </mc:Choice>
  </mc:AlternateContent>
  <xr:revisionPtr revIDLastSave="0" documentId="13_ncr:1_{77E51FA5-E53E-4A16-8E0E-3DA83D315630}" xr6:coauthVersionLast="47" xr6:coauthVersionMax="47" xr10:uidLastSave="{00000000-0000-0000-0000-000000000000}"/>
  <bookViews>
    <workbookView xWindow="-120" yWindow="-120" windowWidth="29040" windowHeight="16440" activeTab="1" xr2:uid="{EAF683C5-D589-48F7-816C-1D63AB07CBF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2" i="2"/>
  <c r="F3" i="2"/>
  <c r="F4" i="2"/>
  <c r="F2" i="2"/>
</calcChain>
</file>

<file path=xl/sharedStrings.xml><?xml version="1.0" encoding="utf-8"?>
<sst xmlns="http://schemas.openxmlformats.org/spreadsheetml/2006/main" count="53" uniqueCount="20">
  <si>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</si>
  <si>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</si>
  <si>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</si>
  <si>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</si>
  <si>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</si>
  <si>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</si>
  <si>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</si>
  <si>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</si>
  <si>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</si>
  <si>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</si>
  <si>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</si>
  <si>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</si>
  <si>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Eva</t>
  </si>
  <si>
    <t>Sakers</t>
  </si>
  <si>
    <t>IBC</t>
  </si>
  <si>
    <t>IBC 2022-2025 Internal/Renewal OR</t>
  </si>
  <si>
    <t>IBC 2025 MAPD Int/Ext Replace STREET</t>
  </si>
  <si>
    <t>IBC 2022-2025 Internal/Renewal OR (ProRata: -12)</t>
  </si>
  <si>
    <t>[%/$=353][prorate=12/12]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</si>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</sst>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C02E-7E4F-4A1C-BF94-F9298D62CA42}">
  <dimension ref="A1:K4"/>
  <sheetViews>
    <sheetView workbookViewId="0">
      <selection sqref="A1:XFD1048576"/>
    </sheetView>
  </sheetViews>
  <sheetFormatPr defaultRowHeight="15" x14ac:dyDescent="0.25"/>
  <cols>
    <col min="8" max="8" width="14.7109375" bestFit="1" customWidth="1"/>
    <col min="10" max="10" width="4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50029905</v>
      </c>
      <c r="G2" s="1">
        <v>45658</v>
      </c>
      <c r="H2" s="1">
        <v>45702</v>
      </c>
      <c r="I2" t="s">
        <v>14</v>
      </c>
      <c r="J2" t="s">
        <v>15</v>
      </c>
      <c r="K2" s="2">
        <v>65</v>
      </c>
    </row>
    <row r="3" spans="1:11" x14ac:dyDescent="0.25">
      <c r="A3" t="s">
        <v>11</v>
      </c>
      <c r="C3">
        <v>15278437</v>
      </c>
      <c r="D3" t="s">
        <v>12</v>
      </c>
      <c r="E3" t="s">
        <v>13</v>
      </c>
      <c r="F3">
        <v>50029905</v>
      </c>
      <c r="G3" s="1">
        <v>45658</v>
      </c>
      <c r="H3" s="1">
        <v>45702</v>
      </c>
      <c r="I3" t="s">
        <v>14</v>
      </c>
      <c r="J3" t="s">
        <v>16</v>
      </c>
      <c r="K3" s="2">
        <v>353</v>
      </c>
    </row>
    <row r="4" spans="1:11" x14ac:dyDescent="0.25">
      <c r="A4" t="s">
        <v>11</v>
      </c>
      <c r="C4">
        <v>15278437</v>
      </c>
      <c r="D4" t="s">
        <v>12</v>
      </c>
      <c r="E4" t="s">
        <v>13</v>
      </c>
      <c r="F4">
        <v>50029905</v>
      </c>
      <c r="G4" s="1">
        <v>45658</v>
      </c>
      <c r="H4" s="1">
        <v>45702</v>
      </c>
      <c r="I4" t="s">
        <v>14</v>
      </c>
      <c r="J4" t="s">
        <v>17</v>
      </c>
      <c r="K4" s="2">
        <v>-65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B91F-DD5B-4754-AD9C-B99A0DD7C6E4}">
  <dimension ref="A1:N4"/>
  <sheetViews>
    <sheetView tabSelected="1" workbookViewId="0">
      <selection activeCell="N3" sqref="N3"/>
    </sheetView>
  </sheetViews>
  <sheetFormatPr defaultRowHeight="15" x14ac:dyDescent="0.25"/>
  <cols>
    <col min="6" max="6" width="9.7109375" bestFit="1" customWidth="1"/>
    <col min="7" max="7" width="10.85546875" bestFit="1" customWidth="1"/>
    <col min="8" max="8" width="10.85546875" customWidth="1"/>
    <col min="10" max="10" width="14.7109375" bestFit="1" customWidth="1"/>
    <col min="12" max="12" width="4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4" x14ac:dyDescent="0.25">
      <c r="A2" t="s">
        <v>19</v>
      </c>
      <c r="C2">
        <v>15278437</v>
      </c>
      <c r="D2" t="s">
        <v>12</v>
      </c>
      <c r="E2" t="s">
        <v>13</v>
      </c>
      <c r="F2" t="str">
        <f>CONCATENATE(D2, " ", E2)</f>
        <v>Eva Sakers</v>
      </c>
      <c r="G2">
        <v>50029905</v>
      </c>
      <c r="H2" t="str">
        <f>CONCATENATE(G2,1)</f>
        <v>500299051</v>
      </c>
      <c r="I2" s="1">
        <v>45658</v>
      </c>
      <c r="J2" s="1">
        <v>45702</v>
      </c>
      <c r="K2" t="s">
        <v>14</v>
      </c>
      <c r="L2" t="s">
        <v>15</v>
      </c>
      <c r="M2" s="2">
        <v>65</v>
      </c>
    </row>
    <row r="3" spans="1:14" x14ac:dyDescent="0.25">
      <c r="A3" t="s">
        <v>11</v>
      </c>
      <c r="C3">
        <v>15278437</v>
      </c>
      <c r="D3" t="s">
        <v>12</v>
      </c>
      <c r="E3" t="s">
        <v>13</v>
      </c>
      <c r="F3" t="str">
        <f t="shared" ref="F3:F4" si="0">CONCATENATE(D3, " ", E3)</f>
        <v>Eva Sakers</v>
      </c>
      <c r="G3">
        <v>50029905</v>
      </c>
      <c r="H3" t="str">
        <f>CONCATENATE(G3,11)</f>
        <v>5002990511</v>
      </c>
      <c r="I3" s="1">
        <v>45658</v>
      </c>
      <c r="J3" s="1">
        <v>45702</v>
      </c>
      <c r="K3" t="s">
        <v>14</v>
      </c>
      <c r="L3" t="s">
        <v>16</v>
      </c>
      <c r="M3" s="2">
        <v>353</v>
      </c>
      <c r="N3" t="s">
        <v>18</v>
      </c>
    </row>
    <row r="4" spans="1:14" x14ac:dyDescent="0.25">
      <c r="A4" t="s">
        <v>19</v>
      </c>
      <c r="C4">
        <v>15278437</v>
      </c>
      <c r="D4" t="s">
        <v>12</v>
      </c>
      <c r="E4" t="s">
        <v>13</v>
      </c>
      <c r="F4" t="str">
        <f t="shared" si="0"/>
        <v>Eva Sakers</v>
      </c>
      <c r="G4">
        <v>50029905</v>
      </c>
      <c r="H4" t="str">
        <f t="shared" ref="H3:H4" si="1">CONCATENATE(G4,1)</f>
        <v>500299051</v>
      </c>
      <c r="I4" s="1">
        <v>45658</v>
      </c>
      <c r="J4" s="1">
        <v>45702</v>
      </c>
      <c r="K4" t="s">
        <v>14</v>
      </c>
      <c r="L4" t="s">
        <v>17</v>
      </c>
      <c r="M4" s="2">
        <v>-65</v>
      </c>
    </row>
  </sheetData>
  <pageMargins left="0.7" right="0.7" top="0.75" bottom="0.75" header="0.3" footer="0.3"/>
  <ignoredErrors>
    <ignoredError sqref="H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2025-02-14T20:42:32Z</dcterms:created>
  <dcterms:modified xsi:type="dcterms:W3CDTF">2025-02-17T17:49:50Z</dcterms:modified>
</cp:coreProperties>
</file>