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 MAPD/2025/"/>
    </mc:Choice>
  </mc:AlternateContent>
  <xr:revisionPtr revIDLastSave="0" documentId="8_{D55394FA-9B97-614A-8BCE-045E79D30884}" xr6:coauthVersionLast="47" xr6:coauthVersionMax="47" xr10:uidLastSave="{00000000-0000-0000-0000-000000000000}"/>
  <bookViews>
    <workbookView xWindow="5180" yWindow="1800" windowWidth="28040" windowHeight="17440" activeTab="1" xr2:uid="{B7054402-E0B0-0E4F-9DE0-D988EABD9631}"/>
  </bookViews>
  <sheets>
    <sheet name="IBC Mapd FPS 1-24-25 - Policie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H21" i="2" l="1"/>
  <c r="H20" i="2"/>
  <c r="H19" i="2"/>
  <c r="H18" i="2"/>
  <c r="H17" i="2"/>
  <c r="H16" i="2"/>
  <c r="H15" i="2"/>
  <c r="H14" i="2"/>
  <c r="H13" i="2"/>
  <c r="H12" i="2"/>
  <c r="H11" i="2"/>
  <c r="H9" i="2"/>
  <c r="H8" i="2"/>
  <c r="H7" i="2"/>
  <c r="H10" i="2"/>
  <c r="H6" i="2"/>
  <c r="H5" i="2"/>
  <c r="H4" i="2"/>
  <c r="H3" i="2"/>
  <c r="H2" i="2"/>
  <c r="F11" i="2"/>
  <c r="F3" i="2"/>
  <c r="F12" i="2"/>
  <c r="F13" i="2"/>
  <c r="F4" i="2"/>
  <c r="F14" i="2"/>
  <c r="F5" i="2"/>
  <c r="F15" i="2"/>
  <c r="F6" i="2"/>
  <c r="F16" i="2"/>
  <c r="F10" i="2"/>
  <c r="F17" i="2"/>
  <c r="F7" i="2"/>
  <c r="F18" i="2"/>
  <c r="F19" i="2"/>
  <c r="F8" i="2"/>
  <c r="F20" i="2"/>
  <c r="F9" i="2"/>
  <c r="F21" i="2"/>
  <c r="F2" i="2"/>
  <c r="G26" i="2"/>
  <c r="F26" i="1"/>
</calcChain>
</file>

<file path=xl/sharedStrings.xml><?xml version="1.0" encoding="utf-8"?>
<sst xmlns="http://schemas.openxmlformats.org/spreadsheetml/2006/main" count="299" uniqueCount="58">
  <si>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</si>
  <si>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</si>
  <si>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</si>
  <si>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</si>
  <si>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</si>
  <si>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</si>
  <si>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</si>
  <si>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</si>
  <si>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</si>
  <si>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</si>
  <si>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</si>
  <si>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Peter Richter</t>
  </si>
  <si>
    <t>Angelo</t>
  </si>
  <si>
    <t>Golato</t>
  </si>
  <si>
    <t>IBC</t>
  </si>
  <si>
    <t>IBC 2025 MAPD Int/Ext Replace STREET</t>
  </si>
  <si>
    <t>$353.00</t>
  </si>
  <si>
    <t>IBC 2022-2025 Internal/Renewal OR</t>
  </si>
  <si>
    <t>$90.00</t>
  </si>
  <si>
    <t>Debra</t>
  </si>
  <si>
    <t>Pearson Davidson</t>
  </si>
  <si>
    <t>Elizabeth</t>
  </si>
  <si>
    <t>Richter</t>
  </si>
  <si>
    <t>1.35E+12</t>
  </si>
  <si>
    <t>IBC 2022-2025 Internal/Renewal OR (ProRata: -5)</t>
  </si>
  <si>
    <t>-$37.50</t>
  </si>
  <si>
    <t>Frances</t>
  </si>
  <si>
    <t>Whittington</t>
  </si>
  <si>
    <t>Jacqueline</t>
  </si>
  <si>
    <t>Stanley</t>
  </si>
  <si>
    <t>Janet</t>
  </si>
  <si>
    <t>Travaglini</t>
  </si>
  <si>
    <t>Carol Foley</t>
  </si>
  <si>
    <t>John</t>
  </si>
  <si>
    <t>Mell</t>
  </si>
  <si>
    <t>IBC - Amerihealth</t>
  </si>
  <si>
    <t>IBC - Amerihealth 2025 MAPD Int/Ext Replace STREET</t>
  </si>
  <si>
    <t>$390.00</t>
  </si>
  <si>
    <t>IBC - Amerihealth 2025 NJ Renewal Override</t>
  </si>
  <si>
    <t>Joseph</t>
  </si>
  <si>
    <t>Cotumaccio</t>
  </si>
  <si>
    <t>Karen</t>
  </si>
  <si>
    <t>Fiori</t>
  </si>
  <si>
    <t>1.29E+12</t>
  </si>
  <si>
    <t>IBC 2022-2025 Internal/Renewal OR (ProRata: -2)</t>
  </si>
  <si>
    <t>-$15.00</t>
  </si>
  <si>
    <t>Patricia Long</t>
  </si>
  <si>
    <t>Kenneth</t>
  </si>
  <si>
    <t>Webber</t>
  </si>
  <si>
    <t>Peter</t>
  </si>
  <si>
    <t>Dimattei</t>
  </si>
  <si>
    <t>IBC MAPD 2025*</t>
  </si>
  <si>
    <t>IBC MAPD OVR 2025</t>
  </si>
  <si>
    <t>IBC MAPD CA, NJ*</t>
  </si>
  <si>
    <t>[%/$=353][prorate=12/12]</t>
  </si>
  <si>
    <t>[%/$=390][prorate=12/12]</t>
  </si>
  <si>
    <t>17425766old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</si>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</sst>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quotePrefix="1"/>
    <xf numFmtId="1" fontId="0" fillId="0" borderId="0" xfId="0" quotePrefix="1" applyNumberFormat="1"/>
    <xf numFmtId="0" fontId="0" fillId="0" borderId="0" xfId="0" applyFill="1"/>
    <xf numFmtId="14" fontId="0" fillId="0" borderId="0" xfId="0" applyNumberFormat="1" applyFill="1"/>
    <xf numFmtId="1" fontId="0" fillId="0" borderId="0" xfId="0" quotePrefix="1" applyNumberFormat="1" applyFill="1"/>
    <xf numFmtId="0" fontId="0" fillId="0" borderId="0" xfId="0" quotePrefix="1" applyFill="1"/>
    <xf numFmtId="0" fontId="0" fillId="0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9AEA-FC9B-3E47-B812-A76079DE850C}">
  <dimension ref="A1:K26"/>
  <sheetViews>
    <sheetView workbookViewId="0">
      <selection sqref="A1:XFD1048576"/>
    </sheetView>
  </sheetViews>
  <sheetFormatPr baseColWidth="10" defaultRowHeight="16" x14ac:dyDescent="0.2"/>
  <cols>
    <col min="10" max="10" width="44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16509456</v>
      </c>
      <c r="C2">
        <v>16509456</v>
      </c>
      <c r="D2" t="s">
        <v>12</v>
      </c>
      <c r="E2" t="s">
        <v>13</v>
      </c>
      <c r="F2">
        <v>80049954</v>
      </c>
      <c r="G2" s="1">
        <v>45292</v>
      </c>
      <c r="H2" s="1">
        <v>45681</v>
      </c>
      <c r="I2" t="s">
        <v>14</v>
      </c>
      <c r="J2" t="s">
        <v>15</v>
      </c>
      <c r="K2" t="s">
        <v>16</v>
      </c>
    </row>
    <row r="3" spans="1:11" x14ac:dyDescent="0.2">
      <c r="A3" t="s">
        <v>11</v>
      </c>
      <c r="B3">
        <v>16509456</v>
      </c>
      <c r="C3">
        <v>16509456</v>
      </c>
      <c r="D3" t="s">
        <v>12</v>
      </c>
      <c r="E3" t="s">
        <v>13</v>
      </c>
      <c r="F3">
        <v>80049954</v>
      </c>
      <c r="G3" s="1">
        <v>45292</v>
      </c>
      <c r="H3" s="1">
        <v>45681</v>
      </c>
      <c r="I3" t="s">
        <v>14</v>
      </c>
      <c r="J3" t="s">
        <v>17</v>
      </c>
      <c r="K3" t="s">
        <v>18</v>
      </c>
    </row>
    <row r="4" spans="1:11" x14ac:dyDescent="0.2">
      <c r="A4" t="s">
        <v>11</v>
      </c>
      <c r="B4">
        <v>16509456</v>
      </c>
      <c r="C4">
        <v>16509456</v>
      </c>
      <c r="D4" t="s">
        <v>19</v>
      </c>
      <c r="E4" t="s">
        <v>20</v>
      </c>
      <c r="F4">
        <v>50025444</v>
      </c>
      <c r="G4" s="1">
        <v>45352</v>
      </c>
      <c r="H4" s="1">
        <v>45681</v>
      </c>
      <c r="I4" t="s">
        <v>14</v>
      </c>
      <c r="J4" t="s">
        <v>15</v>
      </c>
      <c r="K4" t="s">
        <v>16</v>
      </c>
    </row>
    <row r="5" spans="1:11" x14ac:dyDescent="0.2">
      <c r="A5" t="s">
        <v>11</v>
      </c>
      <c r="B5">
        <v>16509456</v>
      </c>
      <c r="C5">
        <v>16509456</v>
      </c>
      <c r="D5" t="s">
        <v>19</v>
      </c>
      <c r="E5" t="s">
        <v>20</v>
      </c>
      <c r="F5">
        <v>50025444</v>
      </c>
      <c r="G5" s="1">
        <v>45352</v>
      </c>
      <c r="H5" s="1">
        <v>45681</v>
      </c>
      <c r="I5" t="s">
        <v>14</v>
      </c>
      <c r="J5" t="s">
        <v>17</v>
      </c>
      <c r="K5" t="s">
        <v>18</v>
      </c>
    </row>
    <row r="6" spans="1:11" x14ac:dyDescent="0.2">
      <c r="A6" t="s">
        <v>11</v>
      </c>
      <c r="B6">
        <v>16509456</v>
      </c>
      <c r="C6">
        <v>16509456</v>
      </c>
      <c r="D6" t="s">
        <v>21</v>
      </c>
      <c r="E6" t="s">
        <v>22</v>
      </c>
      <c r="F6" s="3" t="s">
        <v>23</v>
      </c>
      <c r="G6" s="1">
        <v>44743</v>
      </c>
      <c r="H6" s="1">
        <v>45681</v>
      </c>
      <c r="I6" t="s">
        <v>14</v>
      </c>
      <c r="J6" t="s">
        <v>24</v>
      </c>
      <c r="K6" t="s">
        <v>25</v>
      </c>
    </row>
    <row r="7" spans="1:11" x14ac:dyDescent="0.2">
      <c r="A7" t="s">
        <v>11</v>
      </c>
      <c r="B7">
        <v>16509456</v>
      </c>
      <c r="C7">
        <v>16509456</v>
      </c>
      <c r="D7" t="s">
        <v>26</v>
      </c>
      <c r="E7" t="s">
        <v>27</v>
      </c>
      <c r="F7">
        <v>50032784</v>
      </c>
      <c r="G7" s="1">
        <v>45292</v>
      </c>
      <c r="H7" s="1">
        <v>45681</v>
      </c>
      <c r="I7" t="s">
        <v>14</v>
      </c>
      <c r="J7" t="s">
        <v>15</v>
      </c>
      <c r="K7" t="s">
        <v>16</v>
      </c>
    </row>
    <row r="8" spans="1:11" x14ac:dyDescent="0.2">
      <c r="A8" t="s">
        <v>11</v>
      </c>
      <c r="B8">
        <v>16509456</v>
      </c>
      <c r="C8">
        <v>16509456</v>
      </c>
      <c r="D8" t="s">
        <v>26</v>
      </c>
      <c r="E8" t="s">
        <v>27</v>
      </c>
      <c r="F8">
        <v>50032784</v>
      </c>
      <c r="G8" s="1">
        <v>45292</v>
      </c>
      <c r="H8" s="1">
        <v>45681</v>
      </c>
      <c r="I8" t="s">
        <v>14</v>
      </c>
      <c r="J8" t="s">
        <v>17</v>
      </c>
      <c r="K8" t="s">
        <v>18</v>
      </c>
    </row>
    <row r="9" spans="1:11" x14ac:dyDescent="0.2">
      <c r="A9" t="s">
        <v>11</v>
      </c>
      <c r="B9">
        <v>16509456</v>
      </c>
      <c r="C9">
        <v>16509456</v>
      </c>
      <c r="D9" t="s">
        <v>28</v>
      </c>
      <c r="E9" t="s">
        <v>29</v>
      </c>
      <c r="F9">
        <v>50031781</v>
      </c>
      <c r="G9" s="1">
        <v>45200</v>
      </c>
      <c r="H9" s="1">
        <v>45681</v>
      </c>
      <c r="I9" t="s">
        <v>14</v>
      </c>
      <c r="J9" t="s">
        <v>15</v>
      </c>
      <c r="K9" t="s">
        <v>16</v>
      </c>
    </row>
    <row r="10" spans="1:11" x14ac:dyDescent="0.2">
      <c r="A10" t="s">
        <v>11</v>
      </c>
      <c r="B10">
        <v>16509456</v>
      </c>
      <c r="C10">
        <v>16509456</v>
      </c>
      <c r="D10" t="s">
        <v>28</v>
      </c>
      <c r="E10" t="s">
        <v>29</v>
      </c>
      <c r="F10">
        <v>50031781</v>
      </c>
      <c r="G10" s="1">
        <v>45200</v>
      </c>
      <c r="H10" s="1">
        <v>45681</v>
      </c>
      <c r="I10" t="s">
        <v>14</v>
      </c>
      <c r="J10" t="s">
        <v>17</v>
      </c>
      <c r="K10" t="s">
        <v>18</v>
      </c>
    </row>
    <row r="11" spans="1:11" x14ac:dyDescent="0.2">
      <c r="A11" t="s">
        <v>11</v>
      </c>
      <c r="B11">
        <v>16509456</v>
      </c>
      <c r="C11">
        <v>16509456</v>
      </c>
      <c r="D11" t="s">
        <v>30</v>
      </c>
      <c r="E11" t="s">
        <v>31</v>
      </c>
      <c r="F11">
        <v>50021457</v>
      </c>
      <c r="G11" s="1">
        <v>45292</v>
      </c>
      <c r="H11" s="1">
        <v>45681</v>
      </c>
      <c r="I11" t="s">
        <v>14</v>
      </c>
      <c r="J11" t="s">
        <v>15</v>
      </c>
      <c r="K11" t="s">
        <v>16</v>
      </c>
    </row>
    <row r="12" spans="1:11" x14ac:dyDescent="0.2">
      <c r="A12" t="s">
        <v>11</v>
      </c>
      <c r="B12">
        <v>16509456</v>
      </c>
      <c r="C12">
        <v>16509456</v>
      </c>
      <c r="D12" t="s">
        <v>30</v>
      </c>
      <c r="E12" t="s">
        <v>31</v>
      </c>
      <c r="F12">
        <v>50021457</v>
      </c>
      <c r="G12" s="1">
        <v>45292</v>
      </c>
      <c r="H12" s="1">
        <v>45681</v>
      </c>
      <c r="I12" t="s">
        <v>14</v>
      </c>
      <c r="J12" t="s">
        <v>17</v>
      </c>
      <c r="K12" t="s">
        <v>18</v>
      </c>
    </row>
    <row r="13" spans="1:11" x14ac:dyDescent="0.2">
      <c r="A13" t="s">
        <v>32</v>
      </c>
      <c r="B13">
        <v>17425766</v>
      </c>
      <c r="C13">
        <v>17425766</v>
      </c>
      <c r="D13" t="s">
        <v>33</v>
      </c>
      <c r="E13" t="s">
        <v>34</v>
      </c>
      <c r="F13">
        <v>51000565</v>
      </c>
      <c r="G13" s="1">
        <v>45292</v>
      </c>
      <c r="H13" s="1">
        <v>45681</v>
      </c>
      <c r="I13" t="s">
        <v>35</v>
      </c>
      <c r="J13" t="s">
        <v>36</v>
      </c>
      <c r="K13" t="s">
        <v>37</v>
      </c>
    </row>
    <row r="14" spans="1:11" x14ac:dyDescent="0.2">
      <c r="A14" t="s">
        <v>32</v>
      </c>
      <c r="B14">
        <v>17425766</v>
      </c>
      <c r="C14">
        <v>17425766</v>
      </c>
      <c r="D14" t="s">
        <v>33</v>
      </c>
      <c r="E14" t="s">
        <v>34</v>
      </c>
      <c r="F14">
        <v>51000565</v>
      </c>
      <c r="G14" s="1">
        <v>45292</v>
      </c>
      <c r="H14" s="1">
        <v>45681</v>
      </c>
      <c r="I14" t="s">
        <v>35</v>
      </c>
      <c r="J14" t="s">
        <v>38</v>
      </c>
      <c r="K14" t="s">
        <v>18</v>
      </c>
    </row>
    <row r="15" spans="1:11" x14ac:dyDescent="0.2">
      <c r="A15" t="s">
        <v>32</v>
      </c>
      <c r="C15">
        <v>17425766</v>
      </c>
      <c r="D15" t="s">
        <v>39</v>
      </c>
      <c r="E15" t="s">
        <v>40</v>
      </c>
      <c r="F15">
        <v>80069417</v>
      </c>
      <c r="G15" s="1">
        <v>45170</v>
      </c>
      <c r="H15" s="1">
        <v>45681</v>
      </c>
      <c r="I15" t="s">
        <v>14</v>
      </c>
      <c r="J15" t="s">
        <v>15</v>
      </c>
      <c r="K15" t="s">
        <v>16</v>
      </c>
    </row>
    <row r="16" spans="1:11" x14ac:dyDescent="0.2">
      <c r="A16" t="s">
        <v>32</v>
      </c>
      <c r="C16">
        <v>17425766</v>
      </c>
      <c r="D16" t="s">
        <v>39</v>
      </c>
      <c r="E16" t="s">
        <v>40</v>
      </c>
      <c r="F16">
        <v>80069417</v>
      </c>
      <c r="G16" s="1">
        <v>45170</v>
      </c>
      <c r="H16" s="1">
        <v>45681</v>
      </c>
      <c r="I16" t="s">
        <v>14</v>
      </c>
      <c r="J16" t="s">
        <v>17</v>
      </c>
      <c r="K16" t="s">
        <v>18</v>
      </c>
    </row>
    <row r="17" spans="1:11" x14ac:dyDescent="0.2">
      <c r="A17" t="s">
        <v>11</v>
      </c>
      <c r="B17">
        <v>16509456</v>
      </c>
      <c r="C17">
        <v>16509456</v>
      </c>
      <c r="D17" t="s">
        <v>41</v>
      </c>
      <c r="E17" t="s">
        <v>42</v>
      </c>
      <c r="F17" s="2" t="s">
        <v>43</v>
      </c>
      <c r="G17" s="1">
        <v>44652</v>
      </c>
      <c r="H17" s="1">
        <v>45681</v>
      </c>
      <c r="I17" t="s">
        <v>14</v>
      </c>
      <c r="J17" t="s">
        <v>44</v>
      </c>
      <c r="K17" t="s">
        <v>45</v>
      </c>
    </row>
    <row r="18" spans="1:11" x14ac:dyDescent="0.2">
      <c r="A18" t="s">
        <v>46</v>
      </c>
      <c r="C18">
        <v>18794740</v>
      </c>
      <c r="D18" t="s">
        <v>47</v>
      </c>
      <c r="E18" t="s">
        <v>48</v>
      </c>
      <c r="F18">
        <v>50135070</v>
      </c>
      <c r="G18" s="1">
        <v>45658</v>
      </c>
      <c r="H18" s="1">
        <v>45681</v>
      </c>
      <c r="I18" t="s">
        <v>14</v>
      </c>
      <c r="J18" t="s">
        <v>15</v>
      </c>
      <c r="K18" t="s">
        <v>16</v>
      </c>
    </row>
    <row r="19" spans="1:11" x14ac:dyDescent="0.2">
      <c r="A19" t="s">
        <v>46</v>
      </c>
      <c r="C19">
        <v>18794740</v>
      </c>
      <c r="D19" t="s">
        <v>47</v>
      </c>
      <c r="E19" t="s">
        <v>48</v>
      </c>
      <c r="F19">
        <v>50135070</v>
      </c>
      <c r="G19" s="1">
        <v>45658</v>
      </c>
      <c r="H19" s="1">
        <v>45681</v>
      </c>
      <c r="I19" t="s">
        <v>14</v>
      </c>
      <c r="J19" t="s">
        <v>17</v>
      </c>
      <c r="K19" t="s">
        <v>18</v>
      </c>
    </row>
    <row r="20" spans="1:11" x14ac:dyDescent="0.2">
      <c r="A20" t="s">
        <v>11</v>
      </c>
      <c r="B20">
        <v>16509456</v>
      </c>
      <c r="C20">
        <v>16509456</v>
      </c>
      <c r="D20" t="s">
        <v>49</v>
      </c>
      <c r="E20" t="s">
        <v>50</v>
      </c>
      <c r="F20">
        <v>50008061</v>
      </c>
      <c r="G20" s="1">
        <v>44774</v>
      </c>
      <c r="H20" s="1">
        <v>45681</v>
      </c>
      <c r="I20" t="s">
        <v>14</v>
      </c>
      <c r="J20" t="s">
        <v>15</v>
      </c>
      <c r="K20" t="s">
        <v>16</v>
      </c>
    </row>
    <row r="21" spans="1:11" x14ac:dyDescent="0.2">
      <c r="A21" t="s">
        <v>11</v>
      </c>
      <c r="B21">
        <v>16509456</v>
      </c>
      <c r="C21">
        <v>16509456</v>
      </c>
      <c r="D21" t="s">
        <v>49</v>
      </c>
      <c r="E21" t="s">
        <v>50</v>
      </c>
      <c r="F21">
        <v>50008061</v>
      </c>
      <c r="G21" s="1">
        <v>44774</v>
      </c>
      <c r="H21" s="1">
        <v>45681</v>
      </c>
      <c r="I21" t="s">
        <v>14</v>
      </c>
      <c r="J21" t="s">
        <v>17</v>
      </c>
      <c r="K21" t="s">
        <v>18</v>
      </c>
    </row>
    <row r="24" spans="1:11" x14ac:dyDescent="0.2">
      <c r="F24" s="2"/>
    </row>
    <row r="26" spans="1:11" x14ac:dyDescent="0.2">
      <c r="F26" t="str">
        <f>CLEAN(F24)</f>
        <v/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D82A-4B17-8541-81AD-2A2D8D04F9C3}">
  <dimension ref="A1:O26"/>
  <sheetViews>
    <sheetView tabSelected="1" workbookViewId="0">
      <selection activeCell="H22" sqref="H22"/>
    </sheetView>
  </sheetViews>
  <sheetFormatPr baseColWidth="10" defaultRowHeight="16" x14ac:dyDescent="0.2"/>
  <cols>
    <col min="1" max="1" width="10.83203125" style="4"/>
    <col min="2" max="2" width="13.83203125" style="4" bestFit="1" customWidth="1"/>
    <col min="3" max="5" width="10.83203125" style="4"/>
    <col min="6" max="6" width="21" style="4" bestFit="1" customWidth="1"/>
    <col min="7" max="11" width="10.83203125" style="4"/>
    <col min="12" max="12" width="44.6640625" style="4" bestFit="1" customWidth="1"/>
    <col min="13" max="13" width="10.83203125" style="4"/>
    <col min="14" max="14" width="17.6640625" style="4" bestFit="1" customWidth="1"/>
    <col min="15" max="16384" width="10.83203125" style="4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G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5" x14ac:dyDescent="0.2">
      <c r="A2" s="4" t="s">
        <v>11</v>
      </c>
      <c r="B2" s="4">
        <v>16509456</v>
      </c>
      <c r="C2" s="4">
        <v>16509456</v>
      </c>
      <c r="D2" s="4" t="s">
        <v>12</v>
      </c>
      <c r="E2" s="4" t="s">
        <v>13</v>
      </c>
      <c r="F2" s="4" t="str">
        <f>CONCATENATE(D2, " ", E2)</f>
        <v>Angelo Golato</v>
      </c>
      <c r="G2" s="4">
        <v>80049954</v>
      </c>
      <c r="H2" s="4" t="str">
        <f>CONCATENATE(G2,11)</f>
        <v>8004995411</v>
      </c>
      <c r="I2" s="5">
        <v>45292</v>
      </c>
      <c r="J2" s="5">
        <v>45681</v>
      </c>
      <c r="K2" s="4" t="s">
        <v>14</v>
      </c>
      <c r="L2" s="4" t="s">
        <v>15</v>
      </c>
      <c r="M2" s="4" t="s">
        <v>16</v>
      </c>
      <c r="N2" s="4" t="s">
        <v>51</v>
      </c>
      <c r="O2" s="4" t="s">
        <v>54</v>
      </c>
    </row>
    <row r="3" spans="1:15" x14ac:dyDescent="0.2">
      <c r="A3" s="4" t="s">
        <v>11</v>
      </c>
      <c r="B3" s="4">
        <v>16509456</v>
      </c>
      <c r="C3" s="4">
        <v>16509456</v>
      </c>
      <c r="D3" s="4" t="s">
        <v>19</v>
      </c>
      <c r="E3" s="4" t="s">
        <v>20</v>
      </c>
      <c r="F3" s="4" t="str">
        <f>CONCATENATE(D3, " ", E3)</f>
        <v>Debra Pearson Davidson</v>
      </c>
      <c r="G3" s="4">
        <v>50025444</v>
      </c>
      <c r="H3" s="4" t="str">
        <f>CONCATENATE(G3,11)</f>
        <v>5002544411</v>
      </c>
      <c r="I3" s="5">
        <v>45352</v>
      </c>
      <c r="J3" s="5">
        <v>45681</v>
      </c>
      <c r="K3" s="4" t="s">
        <v>14</v>
      </c>
      <c r="L3" s="4" t="s">
        <v>15</v>
      </c>
      <c r="M3" s="4" t="s">
        <v>16</v>
      </c>
      <c r="N3" s="4" t="s">
        <v>51</v>
      </c>
      <c r="O3" s="4" t="s">
        <v>54</v>
      </c>
    </row>
    <row r="4" spans="1:15" x14ac:dyDescent="0.2">
      <c r="A4" s="4" t="s">
        <v>11</v>
      </c>
      <c r="B4" s="4">
        <v>16509456</v>
      </c>
      <c r="C4" s="4">
        <v>16509456</v>
      </c>
      <c r="D4" s="4" t="s">
        <v>26</v>
      </c>
      <c r="E4" s="4" t="s">
        <v>27</v>
      </c>
      <c r="F4" s="4" t="str">
        <f>CONCATENATE(D4, " ", E4)</f>
        <v>Frances Whittington</v>
      </c>
      <c r="G4" s="4">
        <v>50032784</v>
      </c>
      <c r="H4" s="4" t="str">
        <f>CONCATENATE(G4,11)</f>
        <v>5003278411</v>
      </c>
      <c r="I4" s="5">
        <v>45292</v>
      </c>
      <c r="J4" s="5">
        <v>45681</v>
      </c>
      <c r="K4" s="4" t="s">
        <v>14</v>
      </c>
      <c r="L4" s="4" t="s">
        <v>15</v>
      </c>
      <c r="M4" s="4" t="s">
        <v>16</v>
      </c>
      <c r="N4" s="4" t="s">
        <v>51</v>
      </c>
      <c r="O4" s="4" t="s">
        <v>54</v>
      </c>
    </row>
    <row r="5" spans="1:15" x14ac:dyDescent="0.2">
      <c r="A5" s="4" t="s">
        <v>11</v>
      </c>
      <c r="B5" s="4">
        <v>16509456</v>
      </c>
      <c r="C5" s="4">
        <v>16509456</v>
      </c>
      <c r="D5" s="4" t="s">
        <v>28</v>
      </c>
      <c r="E5" s="4" t="s">
        <v>29</v>
      </c>
      <c r="F5" s="4" t="str">
        <f>CONCATENATE(D5, " ", E5)</f>
        <v>Jacqueline Stanley</v>
      </c>
      <c r="G5" s="4">
        <v>50031781</v>
      </c>
      <c r="H5" s="4" t="str">
        <f>CONCATENATE(G5,11)</f>
        <v>5003178111</v>
      </c>
      <c r="I5" s="5">
        <v>45200</v>
      </c>
      <c r="J5" s="5">
        <v>45681</v>
      </c>
      <c r="K5" s="4" t="s">
        <v>14</v>
      </c>
      <c r="L5" s="4" t="s">
        <v>15</v>
      </c>
      <c r="M5" s="4" t="s">
        <v>16</v>
      </c>
      <c r="N5" s="4" t="s">
        <v>51</v>
      </c>
      <c r="O5" s="4" t="s">
        <v>54</v>
      </c>
    </row>
    <row r="6" spans="1:15" x14ac:dyDescent="0.2">
      <c r="A6" s="4" t="s">
        <v>11</v>
      </c>
      <c r="B6" s="4">
        <v>16509456</v>
      </c>
      <c r="C6" s="4">
        <v>16509456</v>
      </c>
      <c r="D6" s="4" t="s">
        <v>30</v>
      </c>
      <c r="E6" s="4" t="s">
        <v>31</v>
      </c>
      <c r="F6" s="4" t="str">
        <f>CONCATENATE(D6, " ", E6)</f>
        <v>Janet Travaglini</v>
      </c>
      <c r="G6" s="4">
        <v>50021457</v>
      </c>
      <c r="H6" s="4" t="str">
        <f>CONCATENATE(G6,11)</f>
        <v>5002145711</v>
      </c>
      <c r="I6" s="5">
        <v>45292</v>
      </c>
      <c r="J6" s="5">
        <v>45681</v>
      </c>
      <c r="K6" s="4" t="s">
        <v>14</v>
      </c>
      <c r="L6" s="4" t="s">
        <v>15</v>
      </c>
      <c r="M6" s="4" t="s">
        <v>16</v>
      </c>
      <c r="N6" s="4" t="s">
        <v>51</v>
      </c>
      <c r="O6" s="4" t="s">
        <v>54</v>
      </c>
    </row>
    <row r="7" spans="1:15" x14ac:dyDescent="0.2">
      <c r="A7" s="4" t="s">
        <v>32</v>
      </c>
      <c r="B7" s="8" t="s">
        <v>56</v>
      </c>
      <c r="C7" s="4" t="s">
        <v>56</v>
      </c>
      <c r="D7" s="4" t="s">
        <v>39</v>
      </c>
      <c r="E7" s="4" t="s">
        <v>40</v>
      </c>
      <c r="F7" s="4" t="str">
        <f>CONCATENATE(D7, " ", E7)</f>
        <v>Joseph Cotumaccio</v>
      </c>
      <c r="G7" s="4">
        <v>80069417</v>
      </c>
      <c r="H7" s="4" t="str">
        <f>CONCATENATE(G7,11)</f>
        <v>8006941711</v>
      </c>
      <c r="I7" s="5">
        <v>45170</v>
      </c>
      <c r="J7" s="5">
        <v>45681</v>
      </c>
      <c r="K7" s="4" t="s">
        <v>14</v>
      </c>
      <c r="L7" s="4" t="s">
        <v>15</v>
      </c>
      <c r="M7" s="4" t="s">
        <v>16</v>
      </c>
      <c r="N7" s="4" t="s">
        <v>51</v>
      </c>
      <c r="O7" s="4" t="s">
        <v>54</v>
      </c>
    </row>
    <row r="8" spans="1:15" x14ac:dyDescent="0.2">
      <c r="A8" s="4" t="s">
        <v>46</v>
      </c>
      <c r="B8" s="4">
        <v>18794740</v>
      </c>
      <c r="C8" s="4">
        <v>18794740</v>
      </c>
      <c r="D8" s="4" t="s">
        <v>47</v>
      </c>
      <c r="E8" s="4" t="s">
        <v>48</v>
      </c>
      <c r="F8" s="4" t="str">
        <f>CONCATENATE(D8, " ", E8)</f>
        <v>Kenneth Webber</v>
      </c>
      <c r="G8" s="4">
        <v>50135070</v>
      </c>
      <c r="H8" s="4" t="str">
        <f>CONCATENATE(G8,11)</f>
        <v>5013507011</v>
      </c>
      <c r="I8" s="5">
        <v>45658</v>
      </c>
      <c r="J8" s="5">
        <v>45681</v>
      </c>
      <c r="K8" s="4" t="s">
        <v>14</v>
      </c>
      <c r="L8" s="4" t="s">
        <v>15</v>
      </c>
      <c r="M8" s="4" t="s">
        <v>16</v>
      </c>
      <c r="N8" s="4" t="s">
        <v>51</v>
      </c>
      <c r="O8" s="4" t="s">
        <v>54</v>
      </c>
    </row>
    <row r="9" spans="1:15" x14ac:dyDescent="0.2">
      <c r="A9" s="4" t="s">
        <v>11</v>
      </c>
      <c r="B9" s="4">
        <v>16509456</v>
      </c>
      <c r="C9" s="4">
        <v>16509456</v>
      </c>
      <c r="D9" s="4" t="s">
        <v>49</v>
      </c>
      <c r="E9" s="4" t="s">
        <v>50</v>
      </c>
      <c r="F9" s="4" t="str">
        <f>CONCATENATE(D9, " ", E9)</f>
        <v>Peter Dimattei</v>
      </c>
      <c r="G9" s="4">
        <v>50008061</v>
      </c>
      <c r="H9" s="4" t="str">
        <f>CONCATENATE(G9,11)</f>
        <v>5000806111</v>
      </c>
      <c r="I9" s="5">
        <v>44774</v>
      </c>
      <c r="J9" s="5">
        <v>45681</v>
      </c>
      <c r="K9" s="4" t="s">
        <v>14</v>
      </c>
      <c r="L9" s="4" t="s">
        <v>15</v>
      </c>
      <c r="M9" s="4" t="s">
        <v>16</v>
      </c>
      <c r="N9" s="4" t="s">
        <v>51</v>
      </c>
      <c r="O9" s="4" t="s">
        <v>54</v>
      </c>
    </row>
    <row r="10" spans="1:15" x14ac:dyDescent="0.2">
      <c r="A10" s="4" t="s">
        <v>32</v>
      </c>
      <c r="B10" s="8" t="s">
        <v>56</v>
      </c>
      <c r="C10" s="4">
        <v>17425766</v>
      </c>
      <c r="D10" s="4" t="s">
        <v>33</v>
      </c>
      <c r="E10" s="4" t="s">
        <v>34</v>
      </c>
      <c r="F10" s="4" t="str">
        <f>CONCATENATE(D10, " ", E10)</f>
        <v>John Mell</v>
      </c>
      <c r="G10" s="4">
        <v>51000565</v>
      </c>
      <c r="H10" s="4" t="str">
        <f>CONCATENATE(G10,11)</f>
        <v>5100056511</v>
      </c>
      <c r="I10" s="5">
        <v>45292</v>
      </c>
      <c r="J10" s="5">
        <v>45681</v>
      </c>
      <c r="K10" s="4" t="s">
        <v>35</v>
      </c>
      <c r="L10" s="4" t="s">
        <v>36</v>
      </c>
      <c r="M10" s="4" t="s">
        <v>37</v>
      </c>
      <c r="N10" s="4" t="s">
        <v>53</v>
      </c>
      <c r="O10" s="4" t="s">
        <v>55</v>
      </c>
    </row>
    <row r="11" spans="1:15" x14ac:dyDescent="0.2">
      <c r="A11" s="4" t="s">
        <v>57</v>
      </c>
      <c r="B11" s="4">
        <v>20411454</v>
      </c>
      <c r="C11" s="4">
        <v>16509456</v>
      </c>
      <c r="D11" s="4" t="s">
        <v>12</v>
      </c>
      <c r="E11" s="4" t="s">
        <v>13</v>
      </c>
      <c r="F11" s="4" t="str">
        <f>CONCATENATE(D11, " ", E11)</f>
        <v>Angelo Golato</v>
      </c>
      <c r="G11" s="4">
        <v>80049954</v>
      </c>
      <c r="H11" s="4" t="str">
        <f>CONCATENATE(G11,1)</f>
        <v>800499541</v>
      </c>
      <c r="I11" s="5">
        <v>45292</v>
      </c>
      <c r="J11" s="5">
        <v>45681</v>
      </c>
      <c r="K11" s="4" t="s">
        <v>14</v>
      </c>
      <c r="L11" s="4" t="s">
        <v>17</v>
      </c>
      <c r="M11" s="4" t="s">
        <v>18</v>
      </c>
      <c r="N11" s="4" t="s">
        <v>52</v>
      </c>
    </row>
    <row r="12" spans="1:15" x14ac:dyDescent="0.2">
      <c r="A12" s="4" t="s">
        <v>57</v>
      </c>
      <c r="B12" s="4">
        <v>20411454</v>
      </c>
      <c r="C12" s="4">
        <v>16509456</v>
      </c>
      <c r="D12" s="4" t="s">
        <v>19</v>
      </c>
      <c r="E12" s="4" t="s">
        <v>20</v>
      </c>
      <c r="F12" s="4" t="str">
        <f>CONCATENATE(D12, " ", E12)</f>
        <v>Debra Pearson Davidson</v>
      </c>
      <c r="G12" s="4">
        <v>50025444</v>
      </c>
      <c r="H12" s="4" t="str">
        <f>CONCATENATE(G12,1)</f>
        <v>500254441</v>
      </c>
      <c r="I12" s="5">
        <v>45352</v>
      </c>
      <c r="J12" s="5">
        <v>45681</v>
      </c>
      <c r="K12" s="4" t="s">
        <v>14</v>
      </c>
      <c r="L12" s="4" t="s">
        <v>17</v>
      </c>
      <c r="M12" s="4" t="s">
        <v>18</v>
      </c>
      <c r="N12" s="4" t="s">
        <v>52</v>
      </c>
    </row>
    <row r="13" spans="1:15" x14ac:dyDescent="0.2">
      <c r="A13" s="4" t="s">
        <v>57</v>
      </c>
      <c r="B13" s="4">
        <v>20411454</v>
      </c>
      <c r="C13" s="4">
        <v>16509456</v>
      </c>
      <c r="D13" s="4" t="s">
        <v>21</v>
      </c>
      <c r="E13" s="4" t="s">
        <v>22</v>
      </c>
      <c r="F13" s="4" t="str">
        <f>CONCATENATE(D13, " ", E13)</f>
        <v>Elizabeth Richter</v>
      </c>
      <c r="G13" s="6" t="s">
        <v>23</v>
      </c>
      <c r="H13" s="4" t="str">
        <f>CONCATENATE(G13,1)</f>
        <v>1.35E+121</v>
      </c>
      <c r="I13" s="5">
        <v>44743</v>
      </c>
      <c r="J13" s="5">
        <v>45681</v>
      </c>
      <c r="K13" s="4" t="s">
        <v>14</v>
      </c>
      <c r="L13" s="4" t="s">
        <v>24</v>
      </c>
      <c r="M13" s="4" t="s">
        <v>25</v>
      </c>
      <c r="N13" s="4" t="s">
        <v>52</v>
      </c>
    </row>
    <row r="14" spans="1:15" x14ac:dyDescent="0.2">
      <c r="A14" s="4" t="s">
        <v>57</v>
      </c>
      <c r="B14" s="4">
        <v>20411454</v>
      </c>
      <c r="C14" s="4">
        <v>16509456</v>
      </c>
      <c r="D14" s="4" t="s">
        <v>26</v>
      </c>
      <c r="E14" s="4" t="s">
        <v>27</v>
      </c>
      <c r="F14" s="4" t="str">
        <f>CONCATENATE(D14, " ", E14)</f>
        <v>Frances Whittington</v>
      </c>
      <c r="G14" s="4">
        <v>50032784</v>
      </c>
      <c r="H14" s="4" t="str">
        <f>CONCATENATE(G14,1)</f>
        <v>500327841</v>
      </c>
      <c r="I14" s="5">
        <v>45292</v>
      </c>
      <c r="J14" s="5">
        <v>45681</v>
      </c>
      <c r="K14" s="4" t="s">
        <v>14</v>
      </c>
      <c r="L14" s="4" t="s">
        <v>17</v>
      </c>
      <c r="M14" s="4" t="s">
        <v>18</v>
      </c>
      <c r="N14" s="4" t="s">
        <v>52</v>
      </c>
    </row>
    <row r="15" spans="1:15" x14ac:dyDescent="0.2">
      <c r="A15" s="4" t="s">
        <v>57</v>
      </c>
      <c r="B15" s="4">
        <v>20411454</v>
      </c>
      <c r="C15" s="4">
        <v>16509456</v>
      </c>
      <c r="D15" s="4" t="s">
        <v>28</v>
      </c>
      <c r="E15" s="4" t="s">
        <v>29</v>
      </c>
      <c r="F15" s="4" t="str">
        <f>CONCATENATE(D15, " ", E15)</f>
        <v>Jacqueline Stanley</v>
      </c>
      <c r="G15" s="4">
        <v>50031781</v>
      </c>
      <c r="H15" s="4" t="str">
        <f>CONCATENATE(G15,1)</f>
        <v>500317811</v>
      </c>
      <c r="I15" s="5">
        <v>45200</v>
      </c>
      <c r="J15" s="5">
        <v>45681</v>
      </c>
      <c r="K15" s="4" t="s">
        <v>14</v>
      </c>
      <c r="L15" s="4" t="s">
        <v>17</v>
      </c>
      <c r="M15" s="4" t="s">
        <v>18</v>
      </c>
      <c r="N15" s="4" t="s">
        <v>52</v>
      </c>
    </row>
    <row r="16" spans="1:15" x14ac:dyDescent="0.2">
      <c r="A16" s="4" t="s">
        <v>57</v>
      </c>
      <c r="B16" s="4">
        <v>20411454</v>
      </c>
      <c r="C16" s="4">
        <v>16509456</v>
      </c>
      <c r="D16" s="4" t="s">
        <v>30</v>
      </c>
      <c r="E16" s="4" t="s">
        <v>31</v>
      </c>
      <c r="F16" s="4" t="str">
        <f>CONCATENATE(D16, " ", E16)</f>
        <v>Janet Travaglini</v>
      </c>
      <c r="G16" s="4">
        <v>50021457</v>
      </c>
      <c r="H16" s="4" t="str">
        <f>CONCATENATE(G16,1)</f>
        <v>500214571</v>
      </c>
      <c r="I16" s="5">
        <v>45292</v>
      </c>
      <c r="J16" s="5">
        <v>45681</v>
      </c>
      <c r="K16" s="4" t="s">
        <v>14</v>
      </c>
      <c r="L16" s="4" t="s">
        <v>17</v>
      </c>
      <c r="M16" s="4" t="s">
        <v>18</v>
      </c>
      <c r="N16" s="4" t="s">
        <v>52</v>
      </c>
    </row>
    <row r="17" spans="1:14" x14ac:dyDescent="0.2">
      <c r="A17" s="4" t="s">
        <v>57</v>
      </c>
      <c r="B17" s="4">
        <v>20411454</v>
      </c>
      <c r="C17" s="4">
        <v>17425766</v>
      </c>
      <c r="D17" s="4" t="s">
        <v>33</v>
      </c>
      <c r="E17" s="4" t="s">
        <v>34</v>
      </c>
      <c r="F17" s="4" t="str">
        <f>CONCATENATE(D17, " ", E17)</f>
        <v>John Mell</v>
      </c>
      <c r="G17" s="4">
        <v>51000565</v>
      </c>
      <c r="H17" s="4" t="str">
        <f>CONCATENATE(G17,1)</f>
        <v>510005651</v>
      </c>
      <c r="I17" s="5">
        <v>45292</v>
      </c>
      <c r="J17" s="5">
        <v>45681</v>
      </c>
      <c r="K17" s="4" t="s">
        <v>35</v>
      </c>
      <c r="L17" s="4" t="s">
        <v>38</v>
      </c>
      <c r="M17" s="4" t="s">
        <v>18</v>
      </c>
      <c r="N17" s="4" t="s">
        <v>52</v>
      </c>
    </row>
    <row r="18" spans="1:14" x14ac:dyDescent="0.2">
      <c r="A18" s="4" t="s">
        <v>57</v>
      </c>
      <c r="B18" s="4">
        <v>20411454</v>
      </c>
      <c r="C18" s="4" t="s">
        <v>56</v>
      </c>
      <c r="D18" s="4" t="s">
        <v>39</v>
      </c>
      <c r="E18" s="4" t="s">
        <v>40</v>
      </c>
      <c r="F18" s="4" t="str">
        <f>CONCATENATE(D18, " ", E18)</f>
        <v>Joseph Cotumaccio</v>
      </c>
      <c r="G18" s="4">
        <v>80069417</v>
      </c>
      <c r="H18" s="4" t="str">
        <f>CONCATENATE(G18,1)</f>
        <v>800694171</v>
      </c>
      <c r="I18" s="5">
        <v>45170</v>
      </c>
      <c r="J18" s="5">
        <v>45681</v>
      </c>
      <c r="K18" s="4" t="s">
        <v>14</v>
      </c>
      <c r="L18" s="4" t="s">
        <v>17</v>
      </c>
      <c r="M18" s="4" t="s">
        <v>18</v>
      </c>
      <c r="N18" s="4" t="s">
        <v>52</v>
      </c>
    </row>
    <row r="19" spans="1:14" x14ac:dyDescent="0.2">
      <c r="A19" s="4" t="s">
        <v>57</v>
      </c>
      <c r="B19" s="4">
        <v>20411454</v>
      </c>
      <c r="C19" s="4">
        <v>16509456</v>
      </c>
      <c r="D19" s="4" t="s">
        <v>41</v>
      </c>
      <c r="E19" s="4" t="s">
        <v>42</v>
      </c>
      <c r="F19" s="4" t="str">
        <f>CONCATENATE(D19, " ", E19)</f>
        <v>Karen Fiori</v>
      </c>
      <c r="G19" s="7" t="s">
        <v>43</v>
      </c>
      <c r="H19" s="4" t="str">
        <f>CONCATENATE(G19,1)</f>
        <v>1.29E+121</v>
      </c>
      <c r="I19" s="5">
        <v>44652</v>
      </c>
      <c r="J19" s="5">
        <v>45681</v>
      </c>
      <c r="K19" s="4" t="s">
        <v>14</v>
      </c>
      <c r="L19" s="4" t="s">
        <v>44</v>
      </c>
      <c r="M19" s="4" t="s">
        <v>45</v>
      </c>
      <c r="N19" s="4" t="s">
        <v>52</v>
      </c>
    </row>
    <row r="20" spans="1:14" x14ac:dyDescent="0.2">
      <c r="A20" s="4" t="s">
        <v>57</v>
      </c>
      <c r="B20" s="4">
        <v>20411454</v>
      </c>
      <c r="C20" s="4">
        <v>18794740</v>
      </c>
      <c r="D20" s="4" t="s">
        <v>47</v>
      </c>
      <c r="E20" s="4" t="s">
        <v>48</v>
      </c>
      <c r="F20" s="4" t="str">
        <f>CONCATENATE(D20, " ", E20)</f>
        <v>Kenneth Webber</v>
      </c>
      <c r="G20" s="4">
        <v>50135070</v>
      </c>
      <c r="H20" s="4" t="str">
        <f>CONCATENATE(G20,1)</f>
        <v>501350701</v>
      </c>
      <c r="I20" s="5">
        <v>45658</v>
      </c>
      <c r="J20" s="5">
        <v>45681</v>
      </c>
      <c r="K20" s="4" t="s">
        <v>14</v>
      </c>
      <c r="L20" s="4" t="s">
        <v>17</v>
      </c>
      <c r="M20" s="4" t="s">
        <v>18</v>
      </c>
      <c r="N20" s="4" t="s">
        <v>52</v>
      </c>
    </row>
    <row r="21" spans="1:14" x14ac:dyDescent="0.2">
      <c r="A21" s="4" t="s">
        <v>57</v>
      </c>
      <c r="B21" s="4">
        <v>20411454</v>
      </c>
      <c r="C21" s="4">
        <v>16509456</v>
      </c>
      <c r="D21" s="4" t="s">
        <v>49</v>
      </c>
      <c r="E21" s="4" t="s">
        <v>50</v>
      </c>
      <c r="F21" s="4" t="str">
        <f>CONCATENATE(D21, " ", E21)</f>
        <v>Peter Dimattei</v>
      </c>
      <c r="G21" s="4">
        <v>50008061</v>
      </c>
      <c r="H21" s="4" t="str">
        <f>CONCATENATE(G21,1)</f>
        <v>500080611</v>
      </c>
      <c r="I21" s="5">
        <v>44774</v>
      </c>
      <c r="J21" s="5">
        <v>45681</v>
      </c>
      <c r="K21" s="4" t="s">
        <v>14</v>
      </c>
      <c r="L21" s="4" t="s">
        <v>17</v>
      </c>
      <c r="M21" s="4" t="s">
        <v>18</v>
      </c>
      <c r="N21" s="4" t="s">
        <v>52</v>
      </c>
    </row>
    <row r="24" spans="1:14" x14ac:dyDescent="0.2">
      <c r="G24" s="7"/>
      <c r="H24" s="7"/>
    </row>
    <row r="26" spans="1:14" x14ac:dyDescent="0.2">
      <c r="G26" s="4" t="str">
        <f>CLEAN(G24)</f>
        <v/>
      </c>
    </row>
  </sheetData>
  <sortState xmlns:xlrd2="http://schemas.microsoft.com/office/spreadsheetml/2017/richdata2" ref="A2:O21">
    <sortCondition ref="N2:N2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IBC Mapd FPS 1-24-25 - Policies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2025-02-10T14:04:33Z</dcterms:created>
  <dcterms:modified xsi:type="dcterms:W3CDTF">2025-02-10T14:04:33Z</dcterms:modified>
</cp:coreProperties>
</file>