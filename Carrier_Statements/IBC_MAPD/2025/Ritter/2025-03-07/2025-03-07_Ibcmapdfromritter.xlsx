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3-7-25 from Ritter\"/>
    </mc:Choice>
  </mc:AlternateContent>
  <xr:revisionPtr revIDLastSave="0" documentId="13_ncr:1_{E1D0B7F4-DF16-4F97-8DE8-DE240CAAE14C}" xr6:coauthVersionLast="47" xr6:coauthVersionMax="47" xr10:uidLastSave="{00000000-0000-0000-0000-000000000000}"/>
  <bookViews>
    <workbookView xWindow="28680" yWindow="-120" windowWidth="29040" windowHeight="16440" activeTab="1" xr2:uid="{0304552B-7AF8-4983-B213-4320EB8D0AC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2" i="2"/>
</calcChain>
</file>

<file path=xl/sharedStrings.xml><?xml version="1.0" encoding="utf-8"?>
<sst xmlns="http://schemas.openxmlformats.org/spreadsheetml/2006/main" count="68" uniqueCount="27">
  <si>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</si>
  <si>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</si>
  <si>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</si>
  <si>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</si>
  <si>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</si>
  <si>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</si>
  <si>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</si>
  <si>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</si>
  <si>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</si>
  <si>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</si>
  <si>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</si>
  <si>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Anne Kozacheck</t>
  </si>
  <si>
    <t>Elizabeth</t>
  </si>
  <si>
    <t>Hansen</t>
  </si>
  <si>
    <t>IBC</t>
  </si>
  <si>
    <t>IBC 2022-2025 Internal/Renewal OR (ProRata: -10)</t>
  </si>
  <si>
    <t>Jason Hoffmann</t>
  </si>
  <si>
    <t>Steven</t>
  </si>
  <si>
    <t>Muscolino</t>
  </si>
  <si>
    <t>IBC 2022-2025 Internal/Renewal OR (ProRata: -9)</t>
  </si>
  <si>
    <t>IBC 2025 MAPD Int/Ext Replace STREET (ProRata: -10)</t>
  </si>
  <si>
    <t>IBC 2025 MAPD Int/Ext Replace STREET (ProRata: -9)</t>
  </si>
  <si>
    <t>Main Line Benefits</t>
  </si>
  <si>
    <t>IBC MAPD 2025*</t>
  </si>
  <si>
    <t>IBC MAPD OVR 2025</t>
  </si>
  <si>
    <t>[%/$=353][prorate=10/12]</t>
  </si>
  <si>
    <t>[%/$=353][prorate=9/12]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</si>
</sst>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F881-23BB-4A5A-8DE8-D6D3472C60EE}">
  <dimension ref="A1:K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19278370</v>
      </c>
      <c r="D2" t="s">
        <v>12</v>
      </c>
      <c r="E2" t="s">
        <v>13</v>
      </c>
      <c r="F2">
        <v>50135176</v>
      </c>
      <c r="G2" s="1">
        <v>45658</v>
      </c>
      <c r="H2" s="1">
        <v>45723</v>
      </c>
      <c r="I2" t="s">
        <v>14</v>
      </c>
      <c r="J2" t="s">
        <v>15</v>
      </c>
      <c r="K2" s="2">
        <v>-54.16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50123047</v>
      </c>
      <c r="G3" s="1">
        <v>45658</v>
      </c>
      <c r="H3" s="1">
        <v>45723</v>
      </c>
      <c r="I3" t="s">
        <v>14</v>
      </c>
      <c r="J3" t="s">
        <v>19</v>
      </c>
      <c r="K3" s="2">
        <v>-48.75</v>
      </c>
    </row>
    <row r="4" spans="1:11" x14ac:dyDescent="0.25">
      <c r="A4" t="s">
        <v>11</v>
      </c>
      <c r="C4">
        <v>19278370</v>
      </c>
      <c r="D4" t="s">
        <v>12</v>
      </c>
      <c r="E4" t="s">
        <v>13</v>
      </c>
      <c r="F4">
        <v>50135176</v>
      </c>
      <c r="G4" s="1">
        <v>45658</v>
      </c>
      <c r="H4" s="1">
        <v>45723</v>
      </c>
      <c r="I4" t="s">
        <v>14</v>
      </c>
      <c r="J4" t="s">
        <v>20</v>
      </c>
      <c r="K4" s="2">
        <v>-294.16000000000003</v>
      </c>
    </row>
    <row r="5" spans="1:11" x14ac:dyDescent="0.25">
      <c r="A5" t="s">
        <v>16</v>
      </c>
      <c r="C5">
        <v>15278437</v>
      </c>
      <c r="D5" t="s">
        <v>17</v>
      </c>
      <c r="E5" t="s">
        <v>18</v>
      </c>
      <c r="F5">
        <v>50123047</v>
      </c>
      <c r="G5" s="1">
        <v>45658</v>
      </c>
      <c r="H5" s="1">
        <v>45723</v>
      </c>
      <c r="I5" t="s">
        <v>14</v>
      </c>
      <c r="J5" t="s">
        <v>21</v>
      </c>
      <c r="K5" s="2">
        <v>-264.75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F963-2316-412E-ADFD-66A341B63684}">
  <dimension ref="A1:N5"/>
  <sheetViews>
    <sheetView tabSelected="1" workbookViewId="0">
      <selection activeCell="G9" sqref="G9"/>
    </sheetView>
  </sheetViews>
  <sheetFormatPr defaultRowHeight="15" x14ac:dyDescent="0.25"/>
  <cols>
    <col min="1" max="1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6.28515625" bestFit="1" customWidth="1"/>
    <col min="7" max="7" width="10.8554687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8.28515625" bestFit="1" customWidth="1"/>
    <col min="12" max="12" width="15.7109375" bestFit="1" customWidth="1"/>
    <col min="13" max="13" width="18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22</v>
      </c>
      <c r="C2">
        <v>20411454</v>
      </c>
      <c r="D2" t="s">
        <v>12</v>
      </c>
      <c r="E2" t="s">
        <v>13</v>
      </c>
      <c r="F2" t="str">
        <f>CONCATENATE(D2, " ",E2)</f>
        <v>Elizabeth Hansen</v>
      </c>
      <c r="G2">
        <v>501351761</v>
      </c>
      <c r="H2" s="1">
        <v>45658</v>
      </c>
      <c r="I2" s="1">
        <v>45723</v>
      </c>
      <c r="J2" t="s">
        <v>14</v>
      </c>
      <c r="K2" t="s">
        <v>15</v>
      </c>
      <c r="L2" s="2">
        <v>-54.16</v>
      </c>
      <c r="M2" t="s">
        <v>24</v>
      </c>
    </row>
    <row r="3" spans="1:14" x14ac:dyDescent="0.25">
      <c r="A3" t="s">
        <v>22</v>
      </c>
      <c r="C3">
        <v>20411454</v>
      </c>
      <c r="D3" t="s">
        <v>17</v>
      </c>
      <c r="E3" t="s">
        <v>18</v>
      </c>
      <c r="F3" t="str">
        <f t="shared" ref="F3:F5" si="0">CONCATENATE(D3, " ",E3)</f>
        <v>Steven Muscolino</v>
      </c>
      <c r="G3">
        <v>501230471</v>
      </c>
      <c r="H3" s="1">
        <v>45658</v>
      </c>
      <c r="I3" s="1">
        <v>45723</v>
      </c>
      <c r="J3" t="s">
        <v>14</v>
      </c>
      <c r="K3" t="s">
        <v>19</v>
      </c>
      <c r="L3" s="2">
        <v>-48.75</v>
      </c>
      <c r="M3" t="s">
        <v>24</v>
      </c>
    </row>
    <row r="4" spans="1:14" x14ac:dyDescent="0.25">
      <c r="A4" t="s">
        <v>11</v>
      </c>
      <c r="C4">
        <v>19278370</v>
      </c>
      <c r="D4" t="s">
        <v>12</v>
      </c>
      <c r="E4" t="s">
        <v>13</v>
      </c>
      <c r="F4" t="str">
        <f t="shared" si="0"/>
        <v>Elizabeth Hansen</v>
      </c>
      <c r="G4">
        <v>5013517611</v>
      </c>
      <c r="H4" s="1">
        <v>45658</v>
      </c>
      <c r="I4" s="1">
        <v>45723</v>
      </c>
      <c r="J4" t="s">
        <v>14</v>
      </c>
      <c r="K4" t="s">
        <v>20</v>
      </c>
      <c r="L4" s="2">
        <v>-294.16000000000003</v>
      </c>
      <c r="M4" t="s">
        <v>23</v>
      </c>
      <c r="N4" t="s">
        <v>25</v>
      </c>
    </row>
    <row r="5" spans="1:14" x14ac:dyDescent="0.25">
      <c r="A5" t="s">
        <v>16</v>
      </c>
      <c r="C5">
        <v>15278437</v>
      </c>
      <c r="D5" t="s">
        <v>17</v>
      </c>
      <c r="E5" t="s">
        <v>18</v>
      </c>
      <c r="F5" t="str">
        <f t="shared" si="0"/>
        <v>Steven Muscolino</v>
      </c>
      <c r="G5">
        <v>5012304711</v>
      </c>
      <c r="H5" s="1">
        <v>45658</v>
      </c>
      <c r="I5" s="1">
        <v>45723</v>
      </c>
      <c r="J5" t="s">
        <v>14</v>
      </c>
      <c r="K5" t="s">
        <v>21</v>
      </c>
      <c r="L5" s="2">
        <v>-264.75</v>
      </c>
      <c r="M5" t="s">
        <v>23</v>
      </c>
      <c r="N5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2025-03-07T18:49:13Z</dcterms:created>
  <dcterms:modified xsi:type="dcterms:W3CDTF">2025-03-10T20:19:57Z</dcterms:modified>
</cp:coreProperties>
</file>