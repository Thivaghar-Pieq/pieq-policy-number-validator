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IBC 4-4-25 Ritter\"/>
    </mc:Choice>
  </mc:AlternateContent>
  <xr:revisionPtr revIDLastSave="0" documentId="13_ncr:1_{8598A65D-68A6-408C-94BF-BC9477125E9D}" xr6:coauthVersionLast="47" xr6:coauthVersionMax="47" xr10:uidLastSave="{00000000-0000-0000-0000-000000000000}"/>
  <bookViews>
    <workbookView xWindow="28680" yWindow="-120" windowWidth="29040" windowHeight="16440" activeTab="1" xr2:uid="{84B5F95F-B6B2-4EE4-A8E0-274DE4CF7057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2" l="1"/>
  <c r="G3" i="2"/>
  <c r="G2" i="2"/>
  <c r="E3" i="2"/>
  <c r="E4" i="2"/>
  <c r="E5" i="2"/>
  <c r="E2" i="2"/>
</calcChain>
</file>

<file path=xl/sharedStrings.xml><?xml version="1.0" encoding="utf-8"?>
<sst xmlns="http://schemas.openxmlformats.org/spreadsheetml/2006/main" count="67" uniqueCount="23">
  <si>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</si>
  <si>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</si>
  <si>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</si>
  <si>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</si>
  <si>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</si>
  <si>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</si>
  <si>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</si>
  <si>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</si>
  <si>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</si>
  <si>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</si>
  <si>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</si>
  <si>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</si>
  <si>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Keith</t>
  </si>
  <si>
    <t>Lenhardt</t>
  </si>
  <si>
    <t>IBC</t>
  </si>
  <si>
    <t>IBC 2022-2025 Internal/Renewal OR (ProRata: -9)</t>
  </si>
  <si>
    <t>Eva</t>
  </si>
  <si>
    <t>Sakers</t>
  </si>
  <si>
    <t>IBC 2025 MAPD Int/Ext Replace STREET (ProRata: -9)</t>
  </si>
  <si>
    <t>Main Line Benefits</t>
  </si>
  <si>
    <t>[%/$=353][prorate=9/12]</t>
  </si>
  <si>
    <t>IBC MAPD 2025*</t>
  </si>
  <si>
    <t>IBC MAPD OVR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</si>
</sst>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22414-2D08-45ED-B22E-42D72BE4CF6E}">
  <dimension ref="A1:K5"/>
  <sheetViews>
    <sheetView workbookViewId="0">
      <selection sqref="A1:XFD1048576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15278437</v>
      </c>
      <c r="D2" t="s">
        <v>12</v>
      </c>
      <c r="E2" t="s">
        <v>13</v>
      </c>
      <c r="F2">
        <v>50135696</v>
      </c>
      <c r="G2" s="1">
        <v>45658</v>
      </c>
      <c r="H2" s="1">
        <v>45751</v>
      </c>
      <c r="I2" t="s">
        <v>14</v>
      </c>
      <c r="J2" t="s">
        <v>15</v>
      </c>
      <c r="K2" s="2">
        <v>-48.75</v>
      </c>
    </row>
    <row r="3" spans="1:11" x14ac:dyDescent="0.25">
      <c r="A3" t="s">
        <v>11</v>
      </c>
      <c r="C3">
        <v>15278437</v>
      </c>
      <c r="D3" t="s">
        <v>16</v>
      </c>
      <c r="E3" t="s">
        <v>17</v>
      </c>
      <c r="F3">
        <v>50029905</v>
      </c>
      <c r="G3" s="1">
        <v>45658</v>
      </c>
      <c r="H3" s="1">
        <v>45751</v>
      </c>
      <c r="I3" t="s">
        <v>14</v>
      </c>
      <c r="J3" t="s">
        <v>15</v>
      </c>
      <c r="K3" s="2">
        <v>-48.75</v>
      </c>
    </row>
    <row r="4" spans="1:11" x14ac:dyDescent="0.25">
      <c r="A4" t="s">
        <v>11</v>
      </c>
      <c r="C4">
        <v>15278437</v>
      </c>
      <c r="D4" t="s">
        <v>12</v>
      </c>
      <c r="E4" t="s">
        <v>13</v>
      </c>
      <c r="F4">
        <v>50135696</v>
      </c>
      <c r="G4" s="1">
        <v>45658</v>
      </c>
      <c r="H4" s="1">
        <v>45751</v>
      </c>
      <c r="I4" t="s">
        <v>14</v>
      </c>
      <c r="J4" t="s">
        <v>18</v>
      </c>
      <c r="K4" s="2">
        <v>-264.75</v>
      </c>
    </row>
    <row r="5" spans="1:11" x14ac:dyDescent="0.25">
      <c r="A5" t="s">
        <v>11</v>
      </c>
      <c r="C5">
        <v>15278437</v>
      </c>
      <c r="D5" t="s">
        <v>16</v>
      </c>
      <c r="E5" t="s">
        <v>17</v>
      </c>
      <c r="F5">
        <v>50029905</v>
      </c>
      <c r="G5" s="1">
        <v>45658</v>
      </c>
      <c r="H5" s="1">
        <v>45751</v>
      </c>
      <c r="I5" t="s">
        <v>14</v>
      </c>
      <c r="J5" t="s">
        <v>18</v>
      </c>
      <c r="K5" s="2">
        <v>-264.75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3D2A4-5B67-4ACB-BD74-7B7210413E87}">
  <dimension ref="A1:N5"/>
  <sheetViews>
    <sheetView tabSelected="1" workbookViewId="0">
      <selection activeCell="N2" sqref="N2:N5"/>
    </sheetView>
  </sheetViews>
  <sheetFormatPr defaultRowHeight="15" x14ac:dyDescent="0.25"/>
  <cols>
    <col min="1" max="1" width="15.28515625" bestFit="1" customWidth="1"/>
    <col min="2" max="2" width="10.7109375" bestFit="1" customWidth="1"/>
    <col min="3" max="3" width="10.5703125" bestFit="1" customWidth="1"/>
    <col min="4" max="4" width="10.140625" bestFit="1" customWidth="1"/>
    <col min="5" max="5" width="14.140625" bestFit="1" customWidth="1"/>
    <col min="6" max="6" width="10.85546875" bestFit="1" customWidth="1"/>
    <col min="7" max="7" width="10.85546875" customWidth="1"/>
    <col min="8" max="8" width="11.85546875" bestFit="1" customWidth="1"/>
    <col min="9" max="9" width="14.7109375" bestFit="1" customWidth="1"/>
    <col min="10" max="10" width="12.7109375" bestFit="1" customWidth="1"/>
    <col min="11" max="11" width="47.28515625" bestFit="1" customWidth="1"/>
    <col min="12" max="12" width="15.7109375" bestFit="1" customWidth="1"/>
    <col min="13" max="13" width="15.28515625" bestFit="1" customWidth="1"/>
  </cols>
  <sheetData>
    <row r="1" spans="1:14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4" x14ac:dyDescent="0.25">
      <c r="A2" t="s">
        <v>19</v>
      </c>
      <c r="B2">
        <v>20411454</v>
      </c>
      <c r="C2" t="s">
        <v>12</v>
      </c>
      <c r="D2" t="s">
        <v>13</v>
      </c>
      <c r="E2" t="str">
        <f>CONCATENATE(C2, " ",D2)</f>
        <v>Keith Lenhardt</v>
      </c>
      <c r="F2">
        <v>50135696</v>
      </c>
      <c r="G2" t="str">
        <f>CONCATENATE(F2,1)</f>
        <v>501356961</v>
      </c>
      <c r="H2" s="1">
        <v>45658</v>
      </c>
      <c r="I2" s="1">
        <v>45751</v>
      </c>
      <c r="J2" t="s">
        <v>14</v>
      </c>
      <c r="K2" t="s">
        <v>15</v>
      </c>
      <c r="L2" s="2">
        <v>-48.75</v>
      </c>
      <c r="M2" t="s">
        <v>22</v>
      </c>
    </row>
    <row r="3" spans="1:14" x14ac:dyDescent="0.25">
      <c r="A3" t="s">
        <v>19</v>
      </c>
      <c r="B3">
        <v>20411454</v>
      </c>
      <c r="C3" t="s">
        <v>16</v>
      </c>
      <c r="D3" t="s">
        <v>17</v>
      </c>
      <c r="E3" t="str">
        <f t="shared" ref="E3:E5" si="0">CONCATENATE(C3, " ",D3)</f>
        <v>Eva Sakers</v>
      </c>
      <c r="F3">
        <v>50029905</v>
      </c>
      <c r="G3" t="str">
        <f t="shared" ref="G3:G5" si="1">CONCATENATE(F3,1)</f>
        <v>500299051</v>
      </c>
      <c r="H3" s="1">
        <v>45658</v>
      </c>
      <c r="I3" s="1">
        <v>45751</v>
      </c>
      <c r="J3" t="s">
        <v>14</v>
      </c>
      <c r="K3" t="s">
        <v>15</v>
      </c>
      <c r="L3" s="2">
        <v>-48.75</v>
      </c>
      <c r="M3" t="s">
        <v>22</v>
      </c>
    </row>
    <row r="4" spans="1:14" x14ac:dyDescent="0.25">
      <c r="A4" t="s">
        <v>11</v>
      </c>
      <c r="B4">
        <v>15278437</v>
      </c>
      <c r="C4" t="s">
        <v>12</v>
      </c>
      <c r="D4" t="s">
        <v>13</v>
      </c>
      <c r="E4" t="str">
        <f t="shared" si="0"/>
        <v>Keith Lenhardt</v>
      </c>
      <c r="F4">
        <v>50135696</v>
      </c>
      <c r="G4" s="3">
        <v>50135696</v>
      </c>
      <c r="H4" s="1">
        <v>45658</v>
      </c>
      <c r="I4" s="1">
        <v>45751</v>
      </c>
      <c r="J4" t="s">
        <v>14</v>
      </c>
      <c r="K4" t="s">
        <v>18</v>
      </c>
      <c r="L4" s="2">
        <v>-264.75</v>
      </c>
      <c r="M4" t="s">
        <v>21</v>
      </c>
      <c r="N4" t="s">
        <v>20</v>
      </c>
    </row>
    <row r="5" spans="1:14" x14ac:dyDescent="0.25">
      <c r="A5" t="s">
        <v>11</v>
      </c>
      <c r="B5">
        <v>15278437</v>
      </c>
      <c r="C5" t="s">
        <v>16</v>
      </c>
      <c r="D5" t="s">
        <v>17</v>
      </c>
      <c r="E5" t="str">
        <f t="shared" si="0"/>
        <v>Eva Sakers</v>
      </c>
      <c r="F5">
        <v>50029905</v>
      </c>
      <c r="G5" t="str">
        <f>CONCATENATE(F5,11)</f>
        <v>5002990511</v>
      </c>
      <c r="H5" s="1">
        <v>45658</v>
      </c>
      <c r="I5" s="1">
        <v>45751</v>
      </c>
      <c r="J5" t="s">
        <v>14</v>
      </c>
      <c r="K5" t="s">
        <v>18</v>
      </c>
      <c r="L5" s="2">
        <v>-264.75</v>
      </c>
      <c r="M5" t="s">
        <v>21</v>
      </c>
      <c r="N5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2025-04-04T18:37:19Z</dcterms:created>
  <dcterms:modified xsi:type="dcterms:W3CDTF">2025-04-04T19:55:27Z</dcterms:modified>
</cp:coreProperties>
</file>