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 MAPD/2025/1-31-25/"/>
    </mc:Choice>
  </mc:AlternateContent>
  <xr:revisionPtr revIDLastSave="0" documentId="13_ncr:1_{7CA712D5-9694-C041-8414-60ACA2EC0635}" xr6:coauthVersionLast="47" xr6:coauthVersionMax="47" xr10:uidLastSave="{00000000-0000-0000-0000-000000000000}"/>
  <bookViews>
    <workbookView xWindow="0" yWindow="500" windowWidth="19200" windowHeight="19340" activeTab="1" xr2:uid="{9EEC58D0-88F6-894C-91DA-D2E3725A0F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4" i="2"/>
  <c r="H3" i="2"/>
  <c r="H2" i="2"/>
  <c r="F3" i="2"/>
  <c r="F4" i="2"/>
  <c r="F5" i="2"/>
  <c r="F6" i="2"/>
  <c r="F2" i="2"/>
</calcChain>
</file>

<file path=xl/sharedStrings.xml><?xml version="1.0" encoding="utf-8"?>
<sst xmlns="http://schemas.openxmlformats.org/spreadsheetml/2006/main" count="85" uniqueCount="28">
  <si>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</si>
  <si>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</si>
  <si>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</si>
  <si>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</si>
  <si>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</si>
  <si>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</si>
  <si>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</si>
  <si>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</si>
  <si>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</si>
  <si>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</si>
  <si>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</si>
  <si>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</si>
  <si>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Gray</t>
  </si>
  <si>
    <t>Kimberly</t>
  </si>
  <si>
    <t>IBC</t>
  </si>
  <si>
    <t>IBC 2022-2025 Internal/Renewal OR</t>
  </si>
  <si>
    <t>Jennifer</t>
  </si>
  <si>
    <t>Morrison</t>
  </si>
  <si>
    <t>IBC 2022-2025 Internal/Renewal OR (ProRata: -11)</t>
  </si>
  <si>
    <t>Linda</t>
  </si>
  <si>
    <t>Peden</t>
  </si>
  <si>
    <t>IBC 2025 MAPD Int/Ext Replace STREET</t>
  </si>
  <si>
    <t>IBC 2025 MAPD Int/Ext Replace STREET (ProRata: -11)</t>
  </si>
  <si>
    <t>IBC MAPD 2025*</t>
  </si>
  <si>
    <t>[%/$=353][prorate=12/12]</t>
  </si>
  <si>
    <t>[%/$=353][prorate=11/12]</t>
  </si>
  <si>
    <t>IBC MAPD OVR 2025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</si>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</sst>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86B6-BAB9-5E48-BAD3-53FE4D8EABC2}">
  <dimension ref="A1:K6"/>
  <sheetViews>
    <sheetView workbookViewId="0">
      <selection sqref="A1:XFD1048576"/>
    </sheetView>
  </sheetViews>
  <sheetFormatPr baseColWidth="10" defaultRowHeight="16" x14ac:dyDescent="0.2"/>
  <cols>
    <col min="10" max="10" width="45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15278437</v>
      </c>
      <c r="D2" t="s">
        <v>12</v>
      </c>
      <c r="E2" t="s">
        <v>13</v>
      </c>
      <c r="F2">
        <v>50141120</v>
      </c>
      <c r="G2" s="1">
        <v>45627</v>
      </c>
      <c r="H2" s="1">
        <v>45688</v>
      </c>
      <c r="I2" t="s">
        <v>14</v>
      </c>
      <c r="J2" t="s">
        <v>15</v>
      </c>
      <c r="K2">
        <v>65</v>
      </c>
    </row>
    <row r="3" spans="1:11" x14ac:dyDescent="0.2">
      <c r="A3" t="s">
        <v>11</v>
      </c>
      <c r="C3">
        <v>15278437</v>
      </c>
      <c r="D3" t="s">
        <v>16</v>
      </c>
      <c r="E3" t="s">
        <v>17</v>
      </c>
      <c r="F3">
        <v>50104401</v>
      </c>
      <c r="G3" s="1">
        <v>45658</v>
      </c>
      <c r="H3" s="1">
        <v>45688</v>
      </c>
      <c r="I3" t="s">
        <v>14</v>
      </c>
      <c r="J3" t="s">
        <v>18</v>
      </c>
      <c r="K3">
        <v>-59.58</v>
      </c>
    </row>
    <row r="4" spans="1:11" x14ac:dyDescent="0.2">
      <c r="A4" t="s">
        <v>11</v>
      </c>
      <c r="C4">
        <v>15278437</v>
      </c>
      <c r="D4" t="s">
        <v>19</v>
      </c>
      <c r="E4" t="s">
        <v>20</v>
      </c>
      <c r="F4">
        <v>50026756</v>
      </c>
      <c r="G4" s="1">
        <v>45658</v>
      </c>
      <c r="H4" s="1">
        <v>45688</v>
      </c>
      <c r="I4" t="s">
        <v>14</v>
      </c>
      <c r="J4" t="s">
        <v>21</v>
      </c>
      <c r="K4">
        <v>353</v>
      </c>
    </row>
    <row r="5" spans="1:11" x14ac:dyDescent="0.2">
      <c r="A5" t="s">
        <v>11</v>
      </c>
      <c r="C5">
        <v>15278437</v>
      </c>
      <c r="D5" t="s">
        <v>12</v>
      </c>
      <c r="E5" t="s">
        <v>13</v>
      </c>
      <c r="F5">
        <v>50141120</v>
      </c>
      <c r="G5" s="1">
        <v>45627</v>
      </c>
      <c r="H5" s="1">
        <v>45688</v>
      </c>
      <c r="I5" t="s">
        <v>14</v>
      </c>
      <c r="J5" t="s">
        <v>21</v>
      </c>
      <c r="K5">
        <v>353</v>
      </c>
    </row>
    <row r="6" spans="1:11" x14ac:dyDescent="0.2">
      <c r="A6" t="s">
        <v>11</v>
      </c>
      <c r="C6">
        <v>15278437</v>
      </c>
      <c r="D6" t="s">
        <v>16</v>
      </c>
      <c r="E6" t="s">
        <v>17</v>
      </c>
      <c r="F6">
        <v>50104401</v>
      </c>
      <c r="G6" s="1">
        <v>45658</v>
      </c>
      <c r="H6" s="1">
        <v>45688</v>
      </c>
      <c r="I6" t="s">
        <v>14</v>
      </c>
      <c r="J6" t="s">
        <v>22</v>
      </c>
      <c r="K6">
        <v>-323.58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91DD-C7BE-8149-BD46-5B06BC742EE2}">
  <dimension ref="A1:Q6"/>
  <sheetViews>
    <sheetView tabSelected="1" topLeftCell="H1" workbookViewId="0">
      <selection activeCell="O2" sqref="O2:O6"/>
    </sheetView>
  </sheetViews>
  <sheetFormatPr baseColWidth="10" defaultRowHeight="16" x14ac:dyDescent="0.2"/>
  <cols>
    <col min="12" max="12" width="45.1640625" bestFit="1" customWidth="1"/>
    <col min="14" max="14" width="17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7" x14ac:dyDescent="0.2">
      <c r="A2" t="s">
        <v>11</v>
      </c>
      <c r="C2">
        <v>15278437</v>
      </c>
      <c r="D2" t="s">
        <v>12</v>
      </c>
      <c r="E2" t="s">
        <v>13</v>
      </c>
      <c r="F2" t="str">
        <f>CONCATENATE(E2, " ",D2)</f>
        <v>Kimberly Gray</v>
      </c>
      <c r="G2">
        <v>50141120</v>
      </c>
      <c r="H2" t="str">
        <f>CONCATENATE(G2,1)</f>
        <v>501411201</v>
      </c>
      <c r="I2" s="1">
        <v>45627</v>
      </c>
      <c r="J2" s="1">
        <v>45688</v>
      </c>
      <c r="K2" t="s">
        <v>14</v>
      </c>
      <c r="L2" t="s">
        <v>15</v>
      </c>
      <c r="M2">
        <v>65</v>
      </c>
      <c r="N2" t="s">
        <v>26</v>
      </c>
      <c r="P2" t="s">
        <v>27</v>
      </c>
      <c r="Q2">
        <v>20411454</v>
      </c>
    </row>
    <row r="3" spans="1:17" x14ac:dyDescent="0.2">
      <c r="A3" t="s">
        <v>11</v>
      </c>
      <c r="C3">
        <v>15278437</v>
      </c>
      <c r="D3" t="s">
        <v>16</v>
      </c>
      <c r="E3" t="s">
        <v>17</v>
      </c>
      <c r="F3" t="str">
        <f t="shared" ref="F3:F6" si="0">CONCATENATE(E3, " ",D3)</f>
        <v>Morrison Jennifer</v>
      </c>
      <c r="G3">
        <v>50104401</v>
      </c>
      <c r="H3" t="str">
        <f t="shared" ref="H3:H6" si="1">CONCATENATE(G3,1)</f>
        <v>501044011</v>
      </c>
      <c r="I3" s="1">
        <v>45658</v>
      </c>
      <c r="J3" s="1">
        <v>45688</v>
      </c>
      <c r="K3" t="s">
        <v>14</v>
      </c>
      <c r="L3" t="s">
        <v>18</v>
      </c>
      <c r="M3">
        <v>-59.58</v>
      </c>
      <c r="N3" t="s">
        <v>26</v>
      </c>
      <c r="P3" t="s">
        <v>27</v>
      </c>
      <c r="Q3">
        <v>20411454</v>
      </c>
    </row>
    <row r="4" spans="1:17" x14ac:dyDescent="0.2">
      <c r="A4" t="s">
        <v>11</v>
      </c>
      <c r="C4">
        <v>15278437</v>
      </c>
      <c r="D4" t="s">
        <v>19</v>
      </c>
      <c r="E4" t="s">
        <v>20</v>
      </c>
      <c r="F4" t="str">
        <f t="shared" si="0"/>
        <v>Peden Linda</v>
      </c>
      <c r="G4">
        <v>50026756</v>
      </c>
      <c r="H4" t="str">
        <f>CONCATENATE(G4,11)</f>
        <v>5002675611</v>
      </c>
      <c r="I4" s="1">
        <v>45658</v>
      </c>
      <c r="J4" s="1">
        <v>45688</v>
      </c>
      <c r="K4" t="s">
        <v>14</v>
      </c>
      <c r="L4" t="s">
        <v>21</v>
      </c>
      <c r="M4">
        <v>353</v>
      </c>
      <c r="N4" t="s">
        <v>23</v>
      </c>
      <c r="O4" t="s">
        <v>24</v>
      </c>
      <c r="P4" t="s">
        <v>11</v>
      </c>
      <c r="Q4">
        <v>15278437</v>
      </c>
    </row>
    <row r="5" spans="1:17" x14ac:dyDescent="0.2">
      <c r="A5" t="s">
        <v>11</v>
      </c>
      <c r="C5">
        <v>15278437</v>
      </c>
      <c r="D5" t="s">
        <v>12</v>
      </c>
      <c r="E5" t="s">
        <v>13</v>
      </c>
      <c r="F5" t="str">
        <f t="shared" si="0"/>
        <v>Kimberly Gray</v>
      </c>
      <c r="G5">
        <v>50141120</v>
      </c>
      <c r="H5" t="str">
        <f t="shared" ref="H5:H6" si="2">CONCATENATE(G5,11)</f>
        <v>5014112011</v>
      </c>
      <c r="I5" s="1">
        <v>45627</v>
      </c>
      <c r="J5" s="1">
        <v>45688</v>
      </c>
      <c r="K5" t="s">
        <v>14</v>
      </c>
      <c r="L5" t="s">
        <v>21</v>
      </c>
      <c r="M5">
        <v>353</v>
      </c>
      <c r="N5" t="s">
        <v>23</v>
      </c>
      <c r="O5" t="s">
        <v>24</v>
      </c>
      <c r="P5" t="s">
        <v>11</v>
      </c>
      <c r="Q5">
        <v>15278437</v>
      </c>
    </row>
    <row r="6" spans="1:17" x14ac:dyDescent="0.2">
      <c r="A6" t="s">
        <v>11</v>
      </c>
      <c r="C6">
        <v>15278437</v>
      </c>
      <c r="D6" t="s">
        <v>16</v>
      </c>
      <c r="E6" t="s">
        <v>17</v>
      </c>
      <c r="F6" t="str">
        <f t="shared" si="0"/>
        <v>Morrison Jennifer</v>
      </c>
      <c r="G6">
        <v>50104401</v>
      </c>
      <c r="H6" t="str">
        <f t="shared" si="2"/>
        <v>5010440111</v>
      </c>
      <c r="I6" s="1">
        <v>45658</v>
      </c>
      <c r="J6" s="1">
        <v>45688</v>
      </c>
      <c r="K6" t="s">
        <v>14</v>
      </c>
      <c r="L6" t="s">
        <v>22</v>
      </c>
      <c r="M6">
        <v>-323.58</v>
      </c>
      <c r="N6" t="s">
        <v>23</v>
      </c>
      <c r="O6" t="s">
        <v>25</v>
      </c>
      <c r="P6" t="s">
        <v>11</v>
      </c>
      <c r="Q6">
        <v>15278437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2025-01-31T19:48:01Z</dcterms:created>
  <dcterms:modified xsi:type="dcterms:W3CDTF">2025-02-02T15:19:17Z</dcterms:modified>
</cp:coreProperties>
</file>