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10-31-25 Ritter\"/>
    </mc:Choice>
  </mc:AlternateContent>
  <xr:revisionPtr revIDLastSave="0" documentId="13_ncr:1_{082C9C53-CD81-4E43-BF68-B417A61A9BC8}" xr6:coauthVersionLast="47" xr6:coauthVersionMax="47" xr10:uidLastSave="{00000000-0000-0000-0000-000000000000}"/>
  <bookViews>
    <workbookView xWindow="28680" yWindow="-120" windowWidth="29040" windowHeight="16440" activeTab="1" xr2:uid="{BC2151AC-D482-4B4E-A1BB-B6AFE50ACE6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G5" i="2"/>
  <c r="G4" i="2"/>
  <c r="G3" i="2"/>
  <c r="G2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16" i="2"/>
  <c r="G15" i="2"/>
  <c r="G14" i="2"/>
  <c r="G13" i="2"/>
  <c r="G12" i="2"/>
  <c r="G11" i="2"/>
  <c r="G10" i="2"/>
  <c r="G9" i="2"/>
  <c r="G8" i="2"/>
  <c r="G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2" i="2"/>
</calcChain>
</file>

<file path=xl/sharedStrings.xml><?xml version="1.0" encoding="utf-8"?>
<sst xmlns="http://schemas.openxmlformats.org/spreadsheetml/2006/main" count="481" uniqueCount="72">
  <si>
    <t>Jason Hoffmann</t>
  </si>
  <si>
    <t>Patricia</t>
  </si>
  <si>
    <t>Roberts</t>
  </si>
  <si>
    <t>IBC</t>
  </si>
  <si>
    <t>IBC 2022-2026 Internal/Renewal OR (ProRata: -12)</t>
  </si>
  <si>
    <t>Carol Foley</t>
  </si>
  <si>
    <t>Joseph</t>
  </si>
  <si>
    <t>Cotumaccio</t>
  </si>
  <si>
    <t>Marianne</t>
  </si>
  <si>
    <t>Mitchell</t>
  </si>
  <si>
    <t>Peter Richter</t>
  </si>
  <si>
    <t>Angelo</t>
  </si>
  <si>
    <t>Golato</t>
  </si>
  <si>
    <t>John</t>
  </si>
  <si>
    <t>Giacomucci</t>
  </si>
  <si>
    <t>IBC 2025 MAPD Int/Ext Replace STREET (ProRata: -12)</t>
  </si>
  <si>
    <t>IBC 2025 MAPD Int/Ext Replace STREET</t>
  </si>
  <si>
    <t>IBC 2023 - 2025 MAPD Initial/Ext Rep OVERRIDE</t>
  </si>
  <si>
    <t>Sonia</t>
  </si>
  <si>
    <t>Creary</t>
  </si>
  <si>
    <t>IBC 2022-2026 Internal/Renewal OR</t>
  </si>
  <si>
    <t>Dorothy</t>
  </si>
  <si>
    <t>Falcone</t>
  </si>
  <si>
    <t>Carol</t>
  </si>
  <si>
    <t>Guire</t>
  </si>
  <si>
    <t>Roland</t>
  </si>
  <si>
    <t>Clogston Iii</t>
  </si>
  <si>
    <t>Ronald</t>
  </si>
  <si>
    <t>James</t>
  </si>
  <si>
    <t>Burton</t>
  </si>
  <si>
    <t>Anne Kozacheck</t>
  </si>
  <si>
    <t>David</t>
  </si>
  <si>
    <t>Heun</t>
  </si>
  <si>
    <t>Thomas</t>
  </si>
  <si>
    <t>Malone</t>
  </si>
  <si>
    <t>Mallon</t>
  </si>
  <si>
    <t>Carroll</t>
  </si>
  <si>
    <t>Shields</t>
  </si>
  <si>
    <t>Gheng</t>
  </si>
  <si>
    <t>Pham</t>
  </si>
  <si>
    <t>Vilayil</t>
  </si>
  <si>
    <t>Marilyn</t>
  </si>
  <si>
    <t>Francis</t>
  </si>
  <si>
    <t>Leitner</t>
  </si>
  <si>
    <t>Wayne</t>
  </si>
  <si>
    <t>Allen</t>
  </si>
  <si>
    <t>Karla</t>
  </si>
  <si>
    <t>Lydia</t>
  </si>
  <si>
    <t>Rissel</t>
  </si>
  <si>
    <t>Rachel</t>
  </si>
  <si>
    <t>Michael</t>
  </si>
  <si>
    <t>Brett</t>
  </si>
  <si>
    <t>Peterson</t>
  </si>
  <si>
    <t>Earl</t>
  </si>
  <si>
    <t>Rissel Jr</t>
  </si>
  <si>
    <t>Caswell</t>
  </si>
  <si>
    <t>Minhhien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</si>
  <si>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</si>
  <si>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</si>
  <si>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</si>
  <si>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</si>
  <si>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</si>
  <si>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</si>
  <si>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</si>
  <si>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</si>
  <si>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</si>
  <si>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</si>
  <si>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</si>
  <si>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</si>
  <si>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IBC MAPD 2025*</t>
  </si>
  <si>
    <t>IBC MAPD OVR 2025</t>
  </si>
  <si>
    <t>[%/$=353][prorate=12/12]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</si>
</sst>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6D20-4F81-458E-BFAB-FAB68ADE0358}">
  <dimension ref="A1:K42"/>
  <sheetViews>
    <sheetView workbookViewId="0">
      <selection activeCell="K1" sqref="K1:K1048576"/>
    </sheetView>
  </sheetViews>
  <sheetFormatPr defaultColWidth="9.28515625" defaultRowHeight="15" x14ac:dyDescent="0.25"/>
  <cols>
    <col min="1" max="1" width="15.42578125" bestFit="1" customWidth="1"/>
    <col min="3" max="3" width="9" bestFit="1" customWidth="1"/>
    <col min="4" max="4" width="9.5703125" bestFit="1" customWidth="1"/>
    <col min="5" max="5" width="11.28515625" bestFit="1" customWidth="1"/>
    <col min="6" max="6" width="9" bestFit="1" customWidth="1"/>
    <col min="7" max="7" width="9.7109375" bestFit="1" customWidth="1"/>
    <col min="8" max="8" width="10.7109375" bestFit="1" customWidth="1"/>
    <col min="9" max="9" width="3.85546875" bestFit="1" customWidth="1"/>
    <col min="10" max="10" width="48.28515625" bestFit="1" customWidth="1"/>
    <col min="11" max="11" width="9" bestFit="1" customWidth="1"/>
  </cols>
  <sheetData>
    <row r="1" spans="1:11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>
        <v>80104335</v>
      </c>
      <c r="G2" s="1">
        <v>45261</v>
      </c>
      <c r="H2" s="1">
        <v>45961</v>
      </c>
      <c r="I2" t="s">
        <v>3</v>
      </c>
      <c r="J2" t="s">
        <v>4</v>
      </c>
      <c r="K2" s="2">
        <v>-65</v>
      </c>
    </row>
    <row r="3" spans="1:11" x14ac:dyDescent="0.25">
      <c r="A3" t="s">
        <v>5</v>
      </c>
      <c r="C3">
        <v>17425766</v>
      </c>
      <c r="D3" t="s">
        <v>6</v>
      </c>
      <c r="E3" t="s">
        <v>7</v>
      </c>
      <c r="F3">
        <v>80069417</v>
      </c>
      <c r="G3" s="1">
        <v>45170</v>
      </c>
      <c r="H3" s="1">
        <v>45961</v>
      </c>
      <c r="I3" t="s">
        <v>3</v>
      </c>
      <c r="J3" t="s">
        <v>4</v>
      </c>
      <c r="K3" s="2">
        <v>-65</v>
      </c>
    </row>
    <row r="4" spans="1:11" x14ac:dyDescent="0.25">
      <c r="A4" t="s">
        <v>0</v>
      </c>
      <c r="C4">
        <v>15278437</v>
      </c>
      <c r="D4" t="s">
        <v>8</v>
      </c>
      <c r="E4" t="s">
        <v>9</v>
      </c>
      <c r="F4">
        <v>80208367</v>
      </c>
      <c r="G4" s="1">
        <v>45261</v>
      </c>
      <c r="H4" s="1">
        <v>45961</v>
      </c>
      <c r="I4" t="s">
        <v>3</v>
      </c>
      <c r="J4" t="s">
        <v>4</v>
      </c>
      <c r="K4" s="2">
        <v>-65</v>
      </c>
    </row>
    <row r="5" spans="1:11" x14ac:dyDescent="0.25">
      <c r="A5" t="s">
        <v>10</v>
      </c>
      <c r="C5">
        <v>16509456</v>
      </c>
      <c r="D5" t="s">
        <v>11</v>
      </c>
      <c r="E5" t="s">
        <v>12</v>
      </c>
      <c r="F5">
        <v>80049954</v>
      </c>
      <c r="G5" s="1">
        <v>45292</v>
      </c>
      <c r="H5" s="1">
        <v>45961</v>
      </c>
      <c r="I5" t="s">
        <v>3</v>
      </c>
      <c r="J5" t="s">
        <v>4</v>
      </c>
      <c r="K5" s="2">
        <v>-65</v>
      </c>
    </row>
    <row r="6" spans="1:11" x14ac:dyDescent="0.25">
      <c r="A6" t="s">
        <v>0</v>
      </c>
      <c r="C6">
        <v>15278437</v>
      </c>
      <c r="D6" t="s">
        <v>13</v>
      </c>
      <c r="E6" t="s">
        <v>14</v>
      </c>
      <c r="F6">
        <v>80109556</v>
      </c>
      <c r="G6" s="1">
        <v>45261</v>
      </c>
      <c r="H6" s="1">
        <v>45961</v>
      </c>
      <c r="I6" t="s">
        <v>3</v>
      </c>
      <c r="J6" t="s">
        <v>4</v>
      </c>
      <c r="K6" s="2">
        <v>-65</v>
      </c>
    </row>
    <row r="7" spans="1:11" x14ac:dyDescent="0.25">
      <c r="A7" t="s">
        <v>0</v>
      </c>
      <c r="C7">
        <v>15278437</v>
      </c>
      <c r="D7" t="s">
        <v>8</v>
      </c>
      <c r="E7" t="s">
        <v>9</v>
      </c>
      <c r="F7">
        <v>80208367</v>
      </c>
      <c r="G7" s="1">
        <v>45261</v>
      </c>
      <c r="H7" s="1">
        <v>45961</v>
      </c>
      <c r="I7" t="s">
        <v>3</v>
      </c>
      <c r="J7" t="s">
        <v>15</v>
      </c>
      <c r="K7" s="2">
        <v>-353</v>
      </c>
    </row>
    <row r="8" spans="1:11" x14ac:dyDescent="0.25">
      <c r="A8" t="s">
        <v>0</v>
      </c>
      <c r="C8">
        <v>15278437</v>
      </c>
      <c r="D8" t="s">
        <v>13</v>
      </c>
      <c r="E8" t="s">
        <v>14</v>
      </c>
      <c r="F8">
        <v>80109556</v>
      </c>
      <c r="G8" s="1">
        <v>45261</v>
      </c>
      <c r="H8" s="1">
        <v>45961</v>
      </c>
      <c r="I8" t="s">
        <v>3</v>
      </c>
      <c r="J8" t="s">
        <v>15</v>
      </c>
      <c r="K8" s="2">
        <v>-353</v>
      </c>
    </row>
    <row r="9" spans="1:11" x14ac:dyDescent="0.25">
      <c r="A9" t="s">
        <v>0</v>
      </c>
      <c r="C9">
        <v>15278437</v>
      </c>
      <c r="D9" t="s">
        <v>1</v>
      </c>
      <c r="E9" t="s">
        <v>2</v>
      </c>
      <c r="F9">
        <v>80104335</v>
      </c>
      <c r="G9" s="1">
        <v>45261</v>
      </c>
      <c r="H9" s="1">
        <v>45961</v>
      </c>
      <c r="I9" t="s">
        <v>3</v>
      </c>
      <c r="J9" t="s">
        <v>15</v>
      </c>
      <c r="K9" s="2">
        <v>-353</v>
      </c>
    </row>
    <row r="10" spans="1:11" x14ac:dyDescent="0.25">
      <c r="A10" t="s">
        <v>10</v>
      </c>
      <c r="C10">
        <v>16509456</v>
      </c>
      <c r="D10" t="s">
        <v>11</v>
      </c>
      <c r="E10" t="s">
        <v>12</v>
      </c>
      <c r="F10">
        <v>80049954</v>
      </c>
      <c r="G10" s="1">
        <v>45292</v>
      </c>
      <c r="H10" s="1">
        <v>45961</v>
      </c>
      <c r="I10" t="s">
        <v>3</v>
      </c>
      <c r="J10" t="s">
        <v>15</v>
      </c>
      <c r="K10" s="2">
        <v>-353</v>
      </c>
    </row>
    <row r="11" spans="1:11" x14ac:dyDescent="0.25">
      <c r="A11" t="s">
        <v>5</v>
      </c>
      <c r="C11">
        <v>17425766</v>
      </c>
      <c r="D11" t="s">
        <v>6</v>
      </c>
      <c r="E11" t="s">
        <v>7</v>
      </c>
      <c r="F11">
        <v>80069417</v>
      </c>
      <c r="G11" s="1">
        <v>45170</v>
      </c>
      <c r="H11" s="1">
        <v>45961</v>
      </c>
      <c r="I11" t="s">
        <v>3</v>
      </c>
      <c r="J11" t="s">
        <v>15</v>
      </c>
      <c r="K11" s="2">
        <v>-353</v>
      </c>
    </row>
    <row r="12" spans="1:11" x14ac:dyDescent="0.25">
      <c r="A12" t="s">
        <v>0</v>
      </c>
      <c r="C12">
        <v>15278437</v>
      </c>
      <c r="D12" t="s">
        <v>13</v>
      </c>
      <c r="E12" t="s">
        <v>14</v>
      </c>
      <c r="F12">
        <v>50094179</v>
      </c>
      <c r="G12" s="1">
        <v>45658</v>
      </c>
      <c r="H12" s="1">
        <v>45961</v>
      </c>
      <c r="I12" t="s">
        <v>3</v>
      </c>
      <c r="J12" t="s">
        <v>16</v>
      </c>
      <c r="K12" s="2">
        <v>353</v>
      </c>
    </row>
    <row r="13" spans="1:11" x14ac:dyDescent="0.25">
      <c r="A13" t="s">
        <v>10</v>
      </c>
      <c r="C13">
        <v>16509456</v>
      </c>
      <c r="D13" t="s">
        <v>11</v>
      </c>
      <c r="E13" t="s">
        <v>12</v>
      </c>
      <c r="F13">
        <v>50023557</v>
      </c>
      <c r="G13" s="1">
        <v>45658</v>
      </c>
      <c r="H13" s="1">
        <v>45961</v>
      </c>
      <c r="I13" t="s">
        <v>3</v>
      </c>
      <c r="J13" t="s">
        <v>16</v>
      </c>
      <c r="K13" s="2">
        <v>353</v>
      </c>
    </row>
    <row r="14" spans="1:11" x14ac:dyDescent="0.25">
      <c r="A14" t="s">
        <v>0</v>
      </c>
      <c r="C14">
        <v>15278437</v>
      </c>
      <c r="D14" t="s">
        <v>1</v>
      </c>
      <c r="E14" t="s">
        <v>2</v>
      </c>
      <c r="F14">
        <v>50092201</v>
      </c>
      <c r="G14" s="1">
        <v>45658</v>
      </c>
      <c r="H14" s="1">
        <v>45961</v>
      </c>
      <c r="I14" t="s">
        <v>3</v>
      </c>
      <c r="J14" t="s">
        <v>16</v>
      </c>
      <c r="K14" s="2">
        <v>353</v>
      </c>
    </row>
    <row r="15" spans="1:11" x14ac:dyDescent="0.25">
      <c r="A15" t="s">
        <v>0</v>
      </c>
      <c r="C15">
        <v>15278437</v>
      </c>
      <c r="D15" t="s">
        <v>8</v>
      </c>
      <c r="E15" t="s">
        <v>9</v>
      </c>
      <c r="F15">
        <v>50119470</v>
      </c>
      <c r="G15" s="1">
        <v>45658</v>
      </c>
      <c r="H15" s="1">
        <v>45961</v>
      </c>
      <c r="I15" t="s">
        <v>3</v>
      </c>
      <c r="J15" t="s">
        <v>16</v>
      </c>
      <c r="K15" s="2">
        <v>353</v>
      </c>
    </row>
    <row r="16" spans="1:11" x14ac:dyDescent="0.25">
      <c r="A16" t="s">
        <v>0</v>
      </c>
      <c r="C16">
        <v>15278437</v>
      </c>
      <c r="D16" t="s">
        <v>1</v>
      </c>
      <c r="E16" t="s">
        <v>2</v>
      </c>
      <c r="F16">
        <v>50092201</v>
      </c>
      <c r="G16" s="1">
        <v>45658</v>
      </c>
      <c r="H16" s="1">
        <v>45961</v>
      </c>
      <c r="I16" t="s">
        <v>3</v>
      </c>
      <c r="J16" t="s">
        <v>17</v>
      </c>
      <c r="K16" s="2">
        <v>145</v>
      </c>
    </row>
    <row r="17" spans="1:11" x14ac:dyDescent="0.25">
      <c r="A17" t="s">
        <v>0</v>
      </c>
      <c r="C17">
        <v>15278437</v>
      </c>
      <c r="D17" t="s">
        <v>13</v>
      </c>
      <c r="E17" t="s">
        <v>14</v>
      </c>
      <c r="F17">
        <v>50094179</v>
      </c>
      <c r="G17" s="1">
        <v>45658</v>
      </c>
      <c r="H17" s="1">
        <v>45961</v>
      </c>
      <c r="I17" t="s">
        <v>3</v>
      </c>
      <c r="J17" t="s">
        <v>17</v>
      </c>
      <c r="K17" s="2">
        <v>145</v>
      </c>
    </row>
    <row r="18" spans="1:11" x14ac:dyDescent="0.25">
      <c r="A18" t="s">
        <v>10</v>
      </c>
      <c r="C18">
        <v>16509456</v>
      </c>
      <c r="D18" t="s">
        <v>11</v>
      </c>
      <c r="E18" t="s">
        <v>12</v>
      </c>
      <c r="F18">
        <v>50023557</v>
      </c>
      <c r="G18" s="1">
        <v>45658</v>
      </c>
      <c r="H18" s="1">
        <v>45961</v>
      </c>
      <c r="I18" t="s">
        <v>3</v>
      </c>
      <c r="J18" t="s">
        <v>17</v>
      </c>
      <c r="K18" s="2">
        <v>145</v>
      </c>
    </row>
    <row r="19" spans="1:11" x14ac:dyDescent="0.25">
      <c r="A19" t="s">
        <v>0</v>
      </c>
      <c r="C19">
        <v>15278437</v>
      </c>
      <c r="D19" t="s">
        <v>8</v>
      </c>
      <c r="E19" t="s">
        <v>9</v>
      </c>
      <c r="F19">
        <v>50119470</v>
      </c>
      <c r="G19" s="1">
        <v>45658</v>
      </c>
      <c r="H19" s="1">
        <v>45961</v>
      </c>
      <c r="I19" t="s">
        <v>3</v>
      </c>
      <c r="J19" t="s">
        <v>17</v>
      </c>
      <c r="K19" s="2">
        <v>145</v>
      </c>
    </row>
    <row r="20" spans="1:11" x14ac:dyDescent="0.25">
      <c r="A20" t="s">
        <v>0</v>
      </c>
      <c r="C20">
        <v>15278437</v>
      </c>
      <c r="D20" t="s">
        <v>18</v>
      </c>
      <c r="E20" t="s">
        <v>19</v>
      </c>
      <c r="F20">
        <v>50031289</v>
      </c>
      <c r="G20" s="1">
        <v>46023</v>
      </c>
      <c r="H20" s="1">
        <v>45961</v>
      </c>
      <c r="I20" t="s">
        <v>3</v>
      </c>
      <c r="J20" t="s">
        <v>20</v>
      </c>
      <c r="K20" s="2">
        <v>65</v>
      </c>
    </row>
    <row r="21" spans="1:11" x14ac:dyDescent="0.25">
      <c r="A21" t="s">
        <v>0</v>
      </c>
      <c r="C21">
        <v>15278437</v>
      </c>
      <c r="D21" t="s">
        <v>21</v>
      </c>
      <c r="E21" t="s">
        <v>22</v>
      </c>
      <c r="F21">
        <v>50104511</v>
      </c>
      <c r="G21" s="1">
        <v>46023</v>
      </c>
      <c r="H21" s="1">
        <v>45961</v>
      </c>
      <c r="I21" t="s">
        <v>3</v>
      </c>
      <c r="J21" t="s">
        <v>20</v>
      </c>
      <c r="K21" s="2">
        <v>65</v>
      </c>
    </row>
    <row r="22" spans="1:11" x14ac:dyDescent="0.25">
      <c r="A22" t="s">
        <v>5</v>
      </c>
      <c r="C22">
        <v>17425766</v>
      </c>
      <c r="D22" t="s">
        <v>23</v>
      </c>
      <c r="E22" t="s">
        <v>24</v>
      </c>
      <c r="F22">
        <v>50012777</v>
      </c>
      <c r="G22" s="1">
        <v>46023</v>
      </c>
      <c r="H22" s="1">
        <v>45961</v>
      </c>
      <c r="I22" t="s">
        <v>3</v>
      </c>
      <c r="J22" t="s">
        <v>20</v>
      </c>
      <c r="K22" s="2">
        <v>65</v>
      </c>
    </row>
    <row r="23" spans="1:11" x14ac:dyDescent="0.25">
      <c r="A23" t="s">
        <v>0</v>
      </c>
      <c r="C23">
        <v>15278437</v>
      </c>
      <c r="D23" t="s">
        <v>25</v>
      </c>
      <c r="E23" t="s">
        <v>26</v>
      </c>
      <c r="F23">
        <v>50137152</v>
      </c>
      <c r="G23" s="1">
        <v>46023</v>
      </c>
      <c r="H23" s="1">
        <v>45961</v>
      </c>
      <c r="I23" t="s">
        <v>3</v>
      </c>
      <c r="J23" t="s">
        <v>20</v>
      </c>
      <c r="K23" s="2">
        <v>65</v>
      </c>
    </row>
    <row r="24" spans="1:11" x14ac:dyDescent="0.25">
      <c r="A24" t="s">
        <v>0</v>
      </c>
      <c r="C24">
        <v>15278437</v>
      </c>
      <c r="D24" t="s">
        <v>27</v>
      </c>
      <c r="E24" t="s">
        <v>22</v>
      </c>
      <c r="F24">
        <v>50088502</v>
      </c>
      <c r="G24" s="1">
        <v>46023</v>
      </c>
      <c r="H24" s="1">
        <v>45961</v>
      </c>
      <c r="I24" t="s">
        <v>3</v>
      </c>
      <c r="J24" t="s">
        <v>20</v>
      </c>
      <c r="K24" s="2">
        <v>65</v>
      </c>
    </row>
    <row r="25" spans="1:11" x14ac:dyDescent="0.25">
      <c r="A25" t="s">
        <v>0</v>
      </c>
      <c r="C25">
        <v>15278437</v>
      </c>
      <c r="D25" t="s">
        <v>28</v>
      </c>
      <c r="E25" t="s">
        <v>29</v>
      </c>
      <c r="F25">
        <v>50095264</v>
      </c>
      <c r="G25" s="1">
        <v>46023</v>
      </c>
      <c r="H25" s="1">
        <v>45961</v>
      </c>
      <c r="I25" t="s">
        <v>3</v>
      </c>
      <c r="J25" t="s">
        <v>20</v>
      </c>
      <c r="K25" s="2">
        <v>65</v>
      </c>
    </row>
    <row r="26" spans="1:11" x14ac:dyDescent="0.25">
      <c r="A26" t="s">
        <v>30</v>
      </c>
      <c r="C26">
        <v>19278370</v>
      </c>
      <c r="D26" t="s">
        <v>31</v>
      </c>
      <c r="E26" t="s">
        <v>32</v>
      </c>
      <c r="F26">
        <v>50139661</v>
      </c>
      <c r="G26" s="1">
        <v>46023</v>
      </c>
      <c r="H26" s="1">
        <v>45961</v>
      </c>
      <c r="I26" t="s">
        <v>3</v>
      </c>
      <c r="J26" t="s">
        <v>20</v>
      </c>
      <c r="K26" s="2">
        <v>65</v>
      </c>
    </row>
    <row r="27" spans="1:11" x14ac:dyDescent="0.25">
      <c r="A27" t="s">
        <v>0</v>
      </c>
      <c r="C27">
        <v>15278437</v>
      </c>
      <c r="D27" t="s">
        <v>33</v>
      </c>
      <c r="E27" t="s">
        <v>34</v>
      </c>
      <c r="F27">
        <v>50031687</v>
      </c>
      <c r="G27" s="1">
        <v>46023</v>
      </c>
      <c r="H27" s="1">
        <v>45961</v>
      </c>
      <c r="I27" t="s">
        <v>3</v>
      </c>
      <c r="J27" t="s">
        <v>20</v>
      </c>
      <c r="K27" s="2">
        <v>65</v>
      </c>
    </row>
    <row r="28" spans="1:11" x14ac:dyDescent="0.25">
      <c r="A28" t="s">
        <v>0</v>
      </c>
      <c r="C28">
        <v>15278437</v>
      </c>
      <c r="D28" t="s">
        <v>21</v>
      </c>
      <c r="E28" t="s">
        <v>35</v>
      </c>
      <c r="F28">
        <v>50027437</v>
      </c>
      <c r="G28" s="1">
        <v>46023</v>
      </c>
      <c r="H28" s="1">
        <v>45961</v>
      </c>
      <c r="I28" t="s">
        <v>3</v>
      </c>
      <c r="J28" t="s">
        <v>20</v>
      </c>
      <c r="K28" s="2">
        <v>65</v>
      </c>
    </row>
    <row r="29" spans="1:11" x14ac:dyDescent="0.25">
      <c r="A29" t="s">
        <v>0</v>
      </c>
      <c r="C29">
        <v>15278437</v>
      </c>
      <c r="D29" t="s">
        <v>36</v>
      </c>
      <c r="E29" t="s">
        <v>37</v>
      </c>
      <c r="F29">
        <v>50088380</v>
      </c>
      <c r="G29" s="1">
        <v>46023</v>
      </c>
      <c r="H29" s="1">
        <v>45961</v>
      </c>
      <c r="I29" t="s">
        <v>3</v>
      </c>
      <c r="J29" t="s">
        <v>20</v>
      </c>
      <c r="K29" s="2">
        <v>65</v>
      </c>
    </row>
    <row r="30" spans="1:11" x14ac:dyDescent="0.25">
      <c r="A30" t="s">
        <v>0</v>
      </c>
      <c r="C30">
        <v>15278437</v>
      </c>
      <c r="D30" t="s">
        <v>38</v>
      </c>
      <c r="E30" t="s">
        <v>39</v>
      </c>
      <c r="F30">
        <v>50063253</v>
      </c>
      <c r="G30" s="1">
        <v>46023</v>
      </c>
      <c r="H30" s="1">
        <v>45961</v>
      </c>
      <c r="I30" t="s">
        <v>3</v>
      </c>
      <c r="J30" t="s">
        <v>20</v>
      </c>
      <c r="K30" s="2">
        <v>65</v>
      </c>
    </row>
    <row r="31" spans="1:11" x14ac:dyDescent="0.25">
      <c r="A31" t="s">
        <v>0</v>
      </c>
      <c r="C31">
        <v>15278437</v>
      </c>
      <c r="D31" t="s">
        <v>40</v>
      </c>
      <c r="E31" t="s">
        <v>13</v>
      </c>
      <c r="F31">
        <v>50031876</v>
      </c>
      <c r="G31" s="1">
        <v>46023</v>
      </c>
      <c r="H31" s="1">
        <v>45961</v>
      </c>
      <c r="I31" t="s">
        <v>3</v>
      </c>
      <c r="J31" t="s">
        <v>20</v>
      </c>
      <c r="K31" s="2">
        <v>65</v>
      </c>
    </row>
    <row r="32" spans="1:11" x14ac:dyDescent="0.25">
      <c r="A32" t="s">
        <v>0</v>
      </c>
      <c r="C32">
        <v>15278437</v>
      </c>
      <c r="D32" t="s">
        <v>41</v>
      </c>
      <c r="E32" t="s">
        <v>33</v>
      </c>
      <c r="F32">
        <v>50018665</v>
      </c>
      <c r="G32" s="1">
        <v>46023</v>
      </c>
      <c r="H32" s="1">
        <v>45961</v>
      </c>
      <c r="I32" t="s">
        <v>3</v>
      </c>
      <c r="J32" t="s">
        <v>20</v>
      </c>
      <c r="K32" s="2">
        <v>65</v>
      </c>
    </row>
    <row r="33" spans="1:11" x14ac:dyDescent="0.25">
      <c r="A33" t="s">
        <v>0</v>
      </c>
      <c r="C33">
        <v>15278437</v>
      </c>
      <c r="D33" t="s">
        <v>42</v>
      </c>
      <c r="E33" t="s">
        <v>43</v>
      </c>
      <c r="F33">
        <v>50000625</v>
      </c>
      <c r="G33" s="1">
        <v>46023</v>
      </c>
      <c r="H33" s="1">
        <v>45961</v>
      </c>
      <c r="I33" t="s">
        <v>3</v>
      </c>
      <c r="J33" t="s">
        <v>20</v>
      </c>
      <c r="K33" s="2">
        <v>65</v>
      </c>
    </row>
    <row r="34" spans="1:11" x14ac:dyDescent="0.25">
      <c r="A34" t="s">
        <v>0</v>
      </c>
      <c r="C34">
        <v>15278437</v>
      </c>
      <c r="D34" t="s">
        <v>44</v>
      </c>
      <c r="E34" t="s">
        <v>45</v>
      </c>
      <c r="F34">
        <v>50027802</v>
      </c>
      <c r="G34" s="1">
        <v>46023</v>
      </c>
      <c r="H34" s="1">
        <v>45961</v>
      </c>
      <c r="I34" t="s">
        <v>3</v>
      </c>
      <c r="J34" t="s">
        <v>20</v>
      </c>
      <c r="K34" s="2">
        <v>65</v>
      </c>
    </row>
    <row r="35" spans="1:11" x14ac:dyDescent="0.25">
      <c r="A35" t="s">
        <v>0</v>
      </c>
      <c r="C35">
        <v>15278437</v>
      </c>
      <c r="D35" t="s">
        <v>46</v>
      </c>
      <c r="E35" t="s">
        <v>29</v>
      </c>
      <c r="F35">
        <v>50029932</v>
      </c>
      <c r="G35" s="1">
        <v>46023</v>
      </c>
      <c r="H35" s="1">
        <v>45961</v>
      </c>
      <c r="I35" t="s">
        <v>3</v>
      </c>
      <c r="J35" t="s">
        <v>20</v>
      </c>
      <c r="K35" s="2">
        <v>65</v>
      </c>
    </row>
    <row r="36" spans="1:11" x14ac:dyDescent="0.25">
      <c r="A36" t="s">
        <v>0</v>
      </c>
      <c r="C36">
        <v>15278437</v>
      </c>
      <c r="D36" t="s">
        <v>47</v>
      </c>
      <c r="E36" t="s">
        <v>48</v>
      </c>
      <c r="F36">
        <v>50091828</v>
      </c>
      <c r="G36" s="1">
        <v>46023</v>
      </c>
      <c r="H36" s="1">
        <v>45961</v>
      </c>
      <c r="I36" t="s">
        <v>3</v>
      </c>
      <c r="J36" t="s">
        <v>20</v>
      </c>
      <c r="K36" s="2">
        <v>65</v>
      </c>
    </row>
    <row r="37" spans="1:11" x14ac:dyDescent="0.25">
      <c r="A37" t="s">
        <v>0</v>
      </c>
      <c r="C37">
        <v>15278437</v>
      </c>
      <c r="D37" t="s">
        <v>49</v>
      </c>
      <c r="E37" t="s">
        <v>13</v>
      </c>
      <c r="F37">
        <v>50090176</v>
      </c>
      <c r="G37" s="1">
        <v>46023</v>
      </c>
      <c r="H37" s="1">
        <v>45961</v>
      </c>
      <c r="I37" t="s">
        <v>3</v>
      </c>
      <c r="J37" t="s">
        <v>20</v>
      </c>
      <c r="K37" s="2">
        <v>65</v>
      </c>
    </row>
    <row r="38" spans="1:11" x14ac:dyDescent="0.25">
      <c r="A38" t="s">
        <v>0</v>
      </c>
      <c r="C38">
        <v>15278437</v>
      </c>
      <c r="D38" t="s">
        <v>50</v>
      </c>
      <c r="E38" t="s">
        <v>35</v>
      </c>
      <c r="F38">
        <v>50113556</v>
      </c>
      <c r="G38" s="1">
        <v>46023</v>
      </c>
      <c r="H38" s="1">
        <v>45961</v>
      </c>
      <c r="I38" t="s">
        <v>3</v>
      </c>
      <c r="J38" t="s">
        <v>20</v>
      </c>
      <c r="K38" s="2">
        <v>65</v>
      </c>
    </row>
    <row r="39" spans="1:11" x14ac:dyDescent="0.25">
      <c r="A39" t="s">
        <v>0</v>
      </c>
      <c r="C39">
        <v>15278437</v>
      </c>
      <c r="D39" t="s">
        <v>51</v>
      </c>
      <c r="E39" t="s">
        <v>52</v>
      </c>
      <c r="F39">
        <v>50032412</v>
      </c>
      <c r="G39" s="1">
        <v>46023</v>
      </c>
      <c r="H39" s="1">
        <v>45961</v>
      </c>
      <c r="I39" t="s">
        <v>3</v>
      </c>
      <c r="J39" t="s">
        <v>20</v>
      </c>
      <c r="K39" s="2">
        <v>65</v>
      </c>
    </row>
    <row r="40" spans="1:11" x14ac:dyDescent="0.25">
      <c r="A40" t="s">
        <v>0</v>
      </c>
      <c r="C40">
        <v>15278437</v>
      </c>
      <c r="D40" t="s">
        <v>53</v>
      </c>
      <c r="E40" t="s">
        <v>54</v>
      </c>
      <c r="F40">
        <v>50091830</v>
      </c>
      <c r="G40" s="1">
        <v>46023</v>
      </c>
      <c r="H40" s="1">
        <v>45961</v>
      </c>
      <c r="I40" t="s">
        <v>3</v>
      </c>
      <c r="J40" t="s">
        <v>20</v>
      </c>
      <c r="K40" s="2">
        <v>65</v>
      </c>
    </row>
    <row r="41" spans="1:11" x14ac:dyDescent="0.25">
      <c r="A41" t="s">
        <v>0</v>
      </c>
      <c r="C41">
        <v>15278437</v>
      </c>
      <c r="D41" t="s">
        <v>31</v>
      </c>
      <c r="E41" t="s">
        <v>55</v>
      </c>
      <c r="F41">
        <v>50091390</v>
      </c>
      <c r="G41" s="1">
        <v>46023</v>
      </c>
      <c r="H41" s="1">
        <v>45961</v>
      </c>
      <c r="I41" t="s">
        <v>3</v>
      </c>
      <c r="J41" t="s">
        <v>20</v>
      </c>
      <c r="K41" s="2">
        <v>65</v>
      </c>
    </row>
    <row r="42" spans="1:11" x14ac:dyDescent="0.25">
      <c r="A42" t="s">
        <v>0</v>
      </c>
      <c r="C42">
        <v>15278437</v>
      </c>
      <c r="D42" t="s">
        <v>56</v>
      </c>
      <c r="E42" t="s">
        <v>39</v>
      </c>
      <c r="F42">
        <v>50046420</v>
      </c>
      <c r="G42" s="1">
        <v>46023</v>
      </c>
      <c r="H42" s="1">
        <v>45961</v>
      </c>
      <c r="I42" t="s">
        <v>3</v>
      </c>
      <c r="J42" t="s">
        <v>20</v>
      </c>
      <c r="K42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5F58-E563-4142-9345-8D82DB99EED3}">
  <dimension ref="A1:N42"/>
  <sheetViews>
    <sheetView tabSelected="1" topLeftCell="A4" workbookViewId="0">
      <selection activeCell="F21" sqref="F21"/>
    </sheetView>
  </sheetViews>
  <sheetFormatPr defaultColWidth="9.28515625" defaultRowHeight="15" x14ac:dyDescent="0.25"/>
  <cols>
    <col min="1" max="1" width="15.42578125" bestFit="1" customWidth="1"/>
    <col min="2" max="2" width="9" bestFit="1" customWidth="1"/>
    <col min="3" max="3" width="9.5703125" bestFit="1" customWidth="1"/>
    <col min="4" max="4" width="11.28515625" bestFit="1" customWidth="1"/>
    <col min="5" max="5" width="15" bestFit="1" customWidth="1"/>
    <col min="6" max="6" width="9" bestFit="1" customWidth="1"/>
    <col min="7" max="7" width="16.85546875" customWidth="1"/>
    <col min="8" max="8" width="9.7109375" bestFit="1" customWidth="1"/>
    <col min="9" max="9" width="10.7109375" bestFit="1" customWidth="1"/>
    <col min="10" max="10" width="3.85546875" bestFit="1" customWidth="1"/>
    <col min="11" max="11" width="48.28515625" bestFit="1" customWidth="1"/>
    <col min="12" max="12" width="9" bestFit="1" customWidth="1"/>
    <col min="13" max="13" width="18.7109375" bestFit="1" customWidth="1"/>
  </cols>
  <sheetData>
    <row r="1" spans="1:14" x14ac:dyDescent="0.25">
      <c r="A1" t="s">
        <v>57</v>
      </c>
      <c r="B1" t="s">
        <v>59</v>
      </c>
      <c r="C1" t="s">
        <v>60</v>
      </c>
      <c r="D1" t="s">
        <v>61</v>
      </c>
      <c r="F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</row>
    <row r="2" spans="1:14" s="3" customFormat="1" x14ac:dyDescent="0.25">
      <c r="A2" s="3" t="s">
        <v>68</v>
      </c>
      <c r="B2" s="3">
        <v>20411454</v>
      </c>
      <c r="C2" s="3" t="s">
        <v>1</v>
      </c>
      <c r="D2" s="3" t="s">
        <v>2</v>
      </c>
      <c r="E2" s="3" t="str">
        <f>CONCATENATE(C2, " ",D2)</f>
        <v>Patricia Roberts</v>
      </c>
      <c r="F2" s="3">
        <v>80104335</v>
      </c>
      <c r="G2" s="3" t="str">
        <f t="shared" ref="G2:G6" si="0">CONCATENATE(F2,"OVR")</f>
        <v>80104335OVR</v>
      </c>
      <c r="H2" s="4">
        <v>45261</v>
      </c>
      <c r="I2" s="4">
        <v>45961</v>
      </c>
      <c r="J2" s="3" t="s">
        <v>3</v>
      </c>
      <c r="K2" s="3" t="s">
        <v>4</v>
      </c>
      <c r="L2" s="5">
        <v>-65</v>
      </c>
      <c r="M2" s="3" t="s">
        <v>70</v>
      </c>
    </row>
    <row r="3" spans="1:14" s="3" customFormat="1" x14ac:dyDescent="0.25">
      <c r="A3" s="3" t="s">
        <v>68</v>
      </c>
      <c r="B3" s="3">
        <v>20411454</v>
      </c>
      <c r="C3" s="3" t="s">
        <v>6</v>
      </c>
      <c r="D3" s="3" t="s">
        <v>7</v>
      </c>
      <c r="E3" s="3" t="str">
        <f t="shared" ref="E3:E42" si="1">CONCATENATE(C3, " ",D3)</f>
        <v>Joseph Cotumaccio</v>
      </c>
      <c r="F3" s="3">
        <v>80069417</v>
      </c>
      <c r="G3" s="3" t="str">
        <f t="shared" si="0"/>
        <v>80069417OVR</v>
      </c>
      <c r="H3" s="4">
        <v>45170</v>
      </c>
      <c r="I3" s="4">
        <v>45961</v>
      </c>
      <c r="J3" s="3" t="s">
        <v>3</v>
      </c>
      <c r="K3" s="3" t="s">
        <v>4</v>
      </c>
      <c r="L3" s="5">
        <v>-65</v>
      </c>
      <c r="M3" s="3" t="s">
        <v>70</v>
      </c>
    </row>
    <row r="4" spans="1:14" s="3" customFormat="1" x14ac:dyDescent="0.25">
      <c r="A4" s="3" t="s">
        <v>68</v>
      </c>
      <c r="B4" s="3">
        <v>20411454</v>
      </c>
      <c r="C4" s="3" t="s">
        <v>8</v>
      </c>
      <c r="D4" s="3" t="s">
        <v>9</v>
      </c>
      <c r="E4" s="3" t="str">
        <f t="shared" si="1"/>
        <v>Marianne Mitchell</v>
      </c>
      <c r="F4" s="3">
        <v>80208367</v>
      </c>
      <c r="G4" s="3" t="str">
        <f t="shared" si="0"/>
        <v>80208367OVR</v>
      </c>
      <c r="H4" s="4">
        <v>45261</v>
      </c>
      <c r="I4" s="4">
        <v>45961</v>
      </c>
      <c r="J4" s="3" t="s">
        <v>3</v>
      </c>
      <c r="K4" s="3" t="s">
        <v>4</v>
      </c>
      <c r="L4" s="5">
        <v>-65</v>
      </c>
      <c r="M4" s="3" t="s">
        <v>70</v>
      </c>
    </row>
    <row r="5" spans="1:14" s="3" customFormat="1" x14ac:dyDescent="0.25">
      <c r="A5" s="3" t="s">
        <v>68</v>
      </c>
      <c r="B5" s="3">
        <v>20411454</v>
      </c>
      <c r="C5" s="3" t="s">
        <v>11</v>
      </c>
      <c r="D5" s="3" t="s">
        <v>12</v>
      </c>
      <c r="E5" s="3" t="str">
        <f t="shared" si="1"/>
        <v>Angelo Golato</v>
      </c>
      <c r="F5" s="3">
        <v>80049954</v>
      </c>
      <c r="G5" s="3" t="str">
        <f t="shared" si="0"/>
        <v>80049954OVR</v>
      </c>
      <c r="H5" s="4">
        <v>45292</v>
      </c>
      <c r="I5" s="4">
        <v>45961</v>
      </c>
      <c r="J5" s="3" t="s">
        <v>3</v>
      </c>
      <c r="K5" s="3" t="s">
        <v>4</v>
      </c>
      <c r="L5" s="5">
        <v>-65</v>
      </c>
      <c r="M5" s="3" t="s">
        <v>70</v>
      </c>
    </row>
    <row r="6" spans="1:14" s="3" customFormat="1" x14ac:dyDescent="0.25">
      <c r="A6" s="3" t="s">
        <v>68</v>
      </c>
      <c r="B6" s="3">
        <v>20411454</v>
      </c>
      <c r="C6" s="3" t="s">
        <v>13</v>
      </c>
      <c r="D6" s="3" t="s">
        <v>14</v>
      </c>
      <c r="E6" s="3" t="str">
        <f t="shared" si="1"/>
        <v>John Giacomucci</v>
      </c>
      <c r="F6" s="3">
        <v>80109556</v>
      </c>
      <c r="G6" s="3" t="str">
        <f t="shared" si="0"/>
        <v>80109556OVR</v>
      </c>
      <c r="H6" s="4">
        <v>45261</v>
      </c>
      <c r="I6" s="4">
        <v>45961</v>
      </c>
      <c r="J6" s="3" t="s">
        <v>3</v>
      </c>
      <c r="K6" s="3" t="s">
        <v>4</v>
      </c>
      <c r="L6" s="5">
        <v>-65</v>
      </c>
      <c r="M6" s="3" t="s">
        <v>70</v>
      </c>
    </row>
    <row r="7" spans="1:14" s="6" customFormat="1" x14ac:dyDescent="0.25">
      <c r="A7" s="6" t="s">
        <v>0</v>
      </c>
      <c r="B7" s="6">
        <v>15278437</v>
      </c>
      <c r="C7" s="6" t="s">
        <v>8</v>
      </c>
      <c r="D7" s="6" t="s">
        <v>9</v>
      </c>
      <c r="E7" s="6" t="str">
        <f t="shared" si="1"/>
        <v>Marianne Mitchell</v>
      </c>
      <c r="F7" s="6">
        <v>80208367</v>
      </c>
      <c r="G7" s="6" t="str">
        <f t="shared" ref="G7:G15" si="2">CONCATENATE(F7,11)</f>
        <v>8020836711</v>
      </c>
      <c r="H7" s="7">
        <v>45261</v>
      </c>
      <c r="I7" s="7">
        <v>45961</v>
      </c>
      <c r="J7" s="6" t="s">
        <v>3</v>
      </c>
      <c r="K7" s="6" t="s">
        <v>15</v>
      </c>
      <c r="L7" s="8">
        <v>-353</v>
      </c>
      <c r="M7" s="6" t="s">
        <v>69</v>
      </c>
      <c r="N7" s="6" t="s">
        <v>71</v>
      </c>
    </row>
    <row r="8" spans="1:14" s="6" customFormat="1" x14ac:dyDescent="0.25">
      <c r="A8" s="6" t="s">
        <v>0</v>
      </c>
      <c r="B8" s="6">
        <v>15278437</v>
      </c>
      <c r="C8" s="6" t="s">
        <v>13</v>
      </c>
      <c r="D8" s="6" t="s">
        <v>14</v>
      </c>
      <c r="E8" s="6" t="str">
        <f t="shared" si="1"/>
        <v>John Giacomucci</v>
      </c>
      <c r="F8" s="6">
        <v>80109556</v>
      </c>
      <c r="G8" s="6" t="str">
        <f t="shared" si="2"/>
        <v>8010955611</v>
      </c>
      <c r="H8" s="7">
        <v>45261</v>
      </c>
      <c r="I8" s="7">
        <v>45961</v>
      </c>
      <c r="J8" s="6" t="s">
        <v>3</v>
      </c>
      <c r="K8" s="6" t="s">
        <v>15</v>
      </c>
      <c r="L8" s="8">
        <v>-353</v>
      </c>
      <c r="M8" s="6" t="s">
        <v>69</v>
      </c>
      <c r="N8" s="6" t="s">
        <v>71</v>
      </c>
    </row>
    <row r="9" spans="1:14" s="6" customFormat="1" x14ac:dyDescent="0.25">
      <c r="A9" s="6" t="s">
        <v>0</v>
      </c>
      <c r="B9" s="6">
        <v>15278437</v>
      </c>
      <c r="C9" s="6" t="s">
        <v>1</v>
      </c>
      <c r="D9" s="6" t="s">
        <v>2</v>
      </c>
      <c r="E9" s="6" t="str">
        <f t="shared" si="1"/>
        <v>Patricia Roberts</v>
      </c>
      <c r="F9" s="6">
        <v>80104335</v>
      </c>
      <c r="G9" s="6" t="str">
        <f t="shared" si="2"/>
        <v>8010433511</v>
      </c>
      <c r="H9" s="7">
        <v>45261</v>
      </c>
      <c r="I9" s="7">
        <v>45961</v>
      </c>
      <c r="J9" s="6" t="s">
        <v>3</v>
      </c>
      <c r="K9" s="6" t="s">
        <v>15</v>
      </c>
      <c r="L9" s="8">
        <v>-353</v>
      </c>
      <c r="M9" s="6" t="s">
        <v>69</v>
      </c>
      <c r="N9" s="6" t="s">
        <v>71</v>
      </c>
    </row>
    <row r="10" spans="1:14" s="6" customFormat="1" x14ac:dyDescent="0.25">
      <c r="A10" s="6" t="s">
        <v>10</v>
      </c>
      <c r="B10" s="6">
        <v>16509456</v>
      </c>
      <c r="C10" s="6" t="s">
        <v>11</v>
      </c>
      <c r="D10" s="6" t="s">
        <v>12</v>
      </c>
      <c r="E10" s="6" t="str">
        <f t="shared" si="1"/>
        <v>Angelo Golato</v>
      </c>
      <c r="F10" s="6">
        <v>80049954</v>
      </c>
      <c r="G10" s="6" t="str">
        <f t="shared" si="2"/>
        <v>8004995411</v>
      </c>
      <c r="H10" s="7">
        <v>45292</v>
      </c>
      <c r="I10" s="7">
        <v>45961</v>
      </c>
      <c r="J10" s="6" t="s">
        <v>3</v>
      </c>
      <c r="K10" s="6" t="s">
        <v>15</v>
      </c>
      <c r="L10" s="8">
        <v>-353</v>
      </c>
      <c r="M10" s="6" t="s">
        <v>69</v>
      </c>
      <c r="N10" s="6" t="s">
        <v>71</v>
      </c>
    </row>
    <row r="11" spans="1:14" s="6" customFormat="1" x14ac:dyDescent="0.25">
      <c r="A11" s="6" t="s">
        <v>5</v>
      </c>
      <c r="B11" s="6">
        <v>17425766</v>
      </c>
      <c r="C11" s="6" t="s">
        <v>6</v>
      </c>
      <c r="D11" s="6" t="s">
        <v>7</v>
      </c>
      <c r="E11" s="6" t="str">
        <f t="shared" si="1"/>
        <v>Joseph Cotumaccio</v>
      </c>
      <c r="F11" s="6">
        <v>80069417</v>
      </c>
      <c r="G11" s="6" t="str">
        <f t="shared" si="2"/>
        <v>8006941711</v>
      </c>
      <c r="H11" s="7">
        <v>45170</v>
      </c>
      <c r="I11" s="7">
        <v>45961</v>
      </c>
      <c r="J11" s="6" t="s">
        <v>3</v>
      </c>
      <c r="K11" s="6" t="s">
        <v>15</v>
      </c>
      <c r="L11" s="8">
        <v>-353</v>
      </c>
      <c r="M11" s="6" t="s">
        <v>69</v>
      </c>
      <c r="N11" s="6" t="s">
        <v>71</v>
      </c>
    </row>
    <row r="12" spans="1:14" s="6" customFormat="1" x14ac:dyDescent="0.25">
      <c r="A12" s="6" t="s">
        <v>0</v>
      </c>
      <c r="B12" s="6">
        <v>15278437</v>
      </c>
      <c r="C12" s="6" t="s">
        <v>13</v>
      </c>
      <c r="D12" s="6" t="s">
        <v>14</v>
      </c>
      <c r="E12" s="6" t="str">
        <f t="shared" si="1"/>
        <v>John Giacomucci</v>
      </c>
      <c r="F12" s="6">
        <v>50094179</v>
      </c>
      <c r="G12" s="6" t="str">
        <f t="shared" si="2"/>
        <v>5009417911</v>
      </c>
      <c r="H12" s="7">
        <v>45658</v>
      </c>
      <c r="I12" s="7">
        <v>45961</v>
      </c>
      <c r="J12" s="6" t="s">
        <v>3</v>
      </c>
      <c r="K12" s="6" t="s">
        <v>16</v>
      </c>
      <c r="L12" s="8">
        <v>353</v>
      </c>
      <c r="M12" s="6" t="s">
        <v>69</v>
      </c>
      <c r="N12" s="6" t="s">
        <v>71</v>
      </c>
    </row>
    <row r="13" spans="1:14" s="6" customFormat="1" x14ac:dyDescent="0.25">
      <c r="A13" s="6" t="s">
        <v>10</v>
      </c>
      <c r="B13" s="6">
        <v>16509456</v>
      </c>
      <c r="C13" s="6" t="s">
        <v>11</v>
      </c>
      <c r="D13" s="6" t="s">
        <v>12</v>
      </c>
      <c r="E13" s="6" t="str">
        <f t="shared" si="1"/>
        <v>Angelo Golato</v>
      </c>
      <c r="F13" s="6">
        <v>50023557</v>
      </c>
      <c r="G13" s="6" t="str">
        <f t="shared" si="2"/>
        <v>5002355711</v>
      </c>
      <c r="H13" s="7">
        <v>45658</v>
      </c>
      <c r="I13" s="7">
        <v>45961</v>
      </c>
      <c r="J13" s="6" t="s">
        <v>3</v>
      </c>
      <c r="K13" s="6" t="s">
        <v>16</v>
      </c>
      <c r="L13" s="8">
        <v>353</v>
      </c>
      <c r="M13" s="6" t="s">
        <v>69</v>
      </c>
      <c r="N13" s="6" t="s">
        <v>71</v>
      </c>
    </row>
    <row r="14" spans="1:14" s="6" customFormat="1" x14ac:dyDescent="0.25">
      <c r="A14" s="6" t="s">
        <v>0</v>
      </c>
      <c r="B14" s="6">
        <v>15278437</v>
      </c>
      <c r="C14" s="6" t="s">
        <v>1</v>
      </c>
      <c r="D14" s="6" t="s">
        <v>2</v>
      </c>
      <c r="E14" s="6" t="str">
        <f t="shared" si="1"/>
        <v>Patricia Roberts</v>
      </c>
      <c r="F14" s="6">
        <v>50092201</v>
      </c>
      <c r="G14" s="6" t="str">
        <f t="shared" si="2"/>
        <v>5009220111</v>
      </c>
      <c r="H14" s="7">
        <v>45658</v>
      </c>
      <c r="I14" s="7">
        <v>45961</v>
      </c>
      <c r="J14" s="6" t="s">
        <v>3</v>
      </c>
      <c r="K14" s="6" t="s">
        <v>16</v>
      </c>
      <c r="L14" s="8">
        <v>353</v>
      </c>
      <c r="M14" s="6" t="s">
        <v>69</v>
      </c>
      <c r="N14" s="6" t="s">
        <v>71</v>
      </c>
    </row>
    <row r="15" spans="1:14" s="6" customFormat="1" x14ac:dyDescent="0.25">
      <c r="A15" s="6" t="s">
        <v>0</v>
      </c>
      <c r="B15" s="6">
        <v>15278437</v>
      </c>
      <c r="C15" s="6" t="s">
        <v>8</v>
      </c>
      <c r="D15" s="6" t="s">
        <v>9</v>
      </c>
      <c r="E15" s="6" t="str">
        <f t="shared" si="1"/>
        <v>Marianne Mitchell</v>
      </c>
      <c r="F15" s="6">
        <v>50119470</v>
      </c>
      <c r="G15" s="6" t="str">
        <f t="shared" si="2"/>
        <v>5011947011</v>
      </c>
      <c r="H15" s="7">
        <v>45658</v>
      </c>
      <c r="I15" s="7">
        <v>45961</v>
      </c>
      <c r="J15" s="6" t="s">
        <v>3</v>
      </c>
      <c r="K15" s="6" t="s">
        <v>16</v>
      </c>
      <c r="L15" s="8">
        <v>353</v>
      </c>
      <c r="M15" s="6" t="s">
        <v>69</v>
      </c>
      <c r="N15" s="6" t="s">
        <v>71</v>
      </c>
    </row>
    <row r="16" spans="1:14" s="3" customFormat="1" x14ac:dyDescent="0.25">
      <c r="A16" s="3" t="s">
        <v>68</v>
      </c>
      <c r="B16" s="3">
        <v>20411454</v>
      </c>
      <c r="C16" s="3" t="s">
        <v>1</v>
      </c>
      <c r="D16" s="3" t="s">
        <v>2</v>
      </c>
      <c r="E16" s="3" t="str">
        <f t="shared" si="1"/>
        <v>Patricia Roberts</v>
      </c>
      <c r="F16" s="3">
        <v>50092201</v>
      </c>
      <c r="G16" s="3" t="str">
        <f>CONCATENATE(F16,"OVR")</f>
        <v>50092201OVR</v>
      </c>
      <c r="H16" s="4">
        <v>45658</v>
      </c>
      <c r="I16" s="4">
        <v>45961</v>
      </c>
      <c r="J16" s="3" t="s">
        <v>3</v>
      </c>
      <c r="K16" s="3" t="s">
        <v>17</v>
      </c>
      <c r="L16" s="5">
        <v>145</v>
      </c>
      <c r="M16" s="3" t="s">
        <v>70</v>
      </c>
    </row>
    <row r="17" spans="1:13" s="3" customFormat="1" x14ac:dyDescent="0.25">
      <c r="A17" s="3" t="s">
        <v>68</v>
      </c>
      <c r="B17" s="3">
        <v>20411454</v>
      </c>
      <c r="C17" s="3" t="s">
        <v>13</v>
      </c>
      <c r="D17" s="3" t="s">
        <v>14</v>
      </c>
      <c r="E17" s="3" t="str">
        <f t="shared" si="1"/>
        <v>John Giacomucci</v>
      </c>
      <c r="F17" s="3">
        <v>50094179</v>
      </c>
      <c r="G17" s="3" t="str">
        <f t="shared" ref="G17:G42" si="3">CONCATENATE(F17,"OVR")</f>
        <v>50094179OVR</v>
      </c>
      <c r="H17" s="4">
        <v>45658</v>
      </c>
      <c r="I17" s="4">
        <v>45961</v>
      </c>
      <c r="J17" s="3" t="s">
        <v>3</v>
      </c>
      <c r="K17" s="3" t="s">
        <v>17</v>
      </c>
      <c r="L17" s="5">
        <v>145</v>
      </c>
      <c r="M17" s="3" t="s">
        <v>70</v>
      </c>
    </row>
    <row r="18" spans="1:13" s="3" customFormat="1" x14ac:dyDescent="0.25">
      <c r="A18" s="3" t="s">
        <v>68</v>
      </c>
      <c r="B18" s="3">
        <v>20411454</v>
      </c>
      <c r="C18" s="3" t="s">
        <v>11</v>
      </c>
      <c r="D18" s="3" t="s">
        <v>12</v>
      </c>
      <c r="E18" s="3" t="str">
        <f t="shared" si="1"/>
        <v>Angelo Golato</v>
      </c>
      <c r="F18" s="3">
        <v>50023557</v>
      </c>
      <c r="G18" s="3" t="str">
        <f t="shared" si="3"/>
        <v>50023557OVR</v>
      </c>
      <c r="H18" s="4">
        <v>45658</v>
      </c>
      <c r="I18" s="4">
        <v>45961</v>
      </c>
      <c r="J18" s="3" t="s">
        <v>3</v>
      </c>
      <c r="K18" s="3" t="s">
        <v>17</v>
      </c>
      <c r="L18" s="5">
        <v>145</v>
      </c>
      <c r="M18" s="3" t="s">
        <v>70</v>
      </c>
    </row>
    <row r="19" spans="1:13" s="3" customFormat="1" x14ac:dyDescent="0.25">
      <c r="A19" s="3" t="s">
        <v>68</v>
      </c>
      <c r="B19" s="3">
        <v>20411454</v>
      </c>
      <c r="C19" s="3" t="s">
        <v>8</v>
      </c>
      <c r="D19" s="3" t="s">
        <v>9</v>
      </c>
      <c r="E19" s="3" t="str">
        <f t="shared" si="1"/>
        <v>Marianne Mitchell</v>
      </c>
      <c r="F19" s="3">
        <v>50119470</v>
      </c>
      <c r="G19" s="3" t="str">
        <f t="shared" si="3"/>
        <v>50119470OVR</v>
      </c>
      <c r="H19" s="4">
        <v>45658</v>
      </c>
      <c r="I19" s="4">
        <v>45961</v>
      </c>
      <c r="J19" s="3" t="s">
        <v>3</v>
      </c>
      <c r="K19" s="3" t="s">
        <v>17</v>
      </c>
      <c r="L19" s="5">
        <v>145</v>
      </c>
      <c r="M19" s="3" t="s">
        <v>70</v>
      </c>
    </row>
    <row r="20" spans="1:13" s="3" customFormat="1" x14ac:dyDescent="0.25">
      <c r="A20" s="3" t="s">
        <v>68</v>
      </c>
      <c r="B20" s="3">
        <v>20411454</v>
      </c>
      <c r="C20" s="3" t="s">
        <v>18</v>
      </c>
      <c r="D20" s="3" t="s">
        <v>19</v>
      </c>
      <c r="E20" s="3" t="str">
        <f t="shared" si="1"/>
        <v>Sonia Creary</v>
      </c>
      <c r="F20" s="3">
        <v>50031289</v>
      </c>
      <c r="G20" s="3" t="str">
        <f t="shared" si="3"/>
        <v>50031289OVR</v>
      </c>
      <c r="H20" s="4">
        <v>46023</v>
      </c>
      <c r="I20" s="4">
        <v>45961</v>
      </c>
      <c r="J20" s="3" t="s">
        <v>3</v>
      </c>
      <c r="K20" s="3" t="s">
        <v>20</v>
      </c>
      <c r="L20" s="5">
        <v>65</v>
      </c>
      <c r="M20" s="3" t="s">
        <v>70</v>
      </c>
    </row>
    <row r="21" spans="1:13" s="3" customFormat="1" x14ac:dyDescent="0.25">
      <c r="A21" s="3" t="s">
        <v>68</v>
      </c>
      <c r="B21" s="3">
        <v>20411454</v>
      </c>
      <c r="C21" s="3" t="s">
        <v>21</v>
      </c>
      <c r="D21" s="3" t="s">
        <v>22</v>
      </c>
      <c r="E21" s="3" t="str">
        <f t="shared" si="1"/>
        <v>Dorothy Falcone</v>
      </c>
      <c r="F21" s="3">
        <v>50104511</v>
      </c>
      <c r="G21" s="3" t="str">
        <f t="shared" si="3"/>
        <v>50104511OVR</v>
      </c>
      <c r="H21" s="4">
        <v>46023</v>
      </c>
      <c r="I21" s="4">
        <v>45961</v>
      </c>
      <c r="J21" s="3" t="s">
        <v>3</v>
      </c>
      <c r="K21" s="3" t="s">
        <v>20</v>
      </c>
      <c r="L21" s="5">
        <v>65</v>
      </c>
      <c r="M21" s="3" t="s">
        <v>70</v>
      </c>
    </row>
    <row r="22" spans="1:13" s="3" customFormat="1" x14ac:dyDescent="0.25">
      <c r="A22" s="3" t="s">
        <v>68</v>
      </c>
      <c r="B22" s="3">
        <v>20411454</v>
      </c>
      <c r="C22" s="3" t="s">
        <v>23</v>
      </c>
      <c r="D22" s="3" t="s">
        <v>24</v>
      </c>
      <c r="E22" s="3" t="str">
        <f t="shared" si="1"/>
        <v>Carol Guire</v>
      </c>
      <c r="F22" s="3">
        <v>50012777</v>
      </c>
      <c r="G22" s="3" t="str">
        <f t="shared" si="3"/>
        <v>50012777OVR</v>
      </c>
      <c r="H22" s="4">
        <v>46023</v>
      </c>
      <c r="I22" s="4">
        <v>45961</v>
      </c>
      <c r="J22" s="3" t="s">
        <v>3</v>
      </c>
      <c r="K22" s="3" t="s">
        <v>20</v>
      </c>
      <c r="L22" s="5">
        <v>65</v>
      </c>
      <c r="M22" s="3" t="s">
        <v>70</v>
      </c>
    </row>
    <row r="23" spans="1:13" s="3" customFormat="1" x14ac:dyDescent="0.25">
      <c r="A23" s="3" t="s">
        <v>68</v>
      </c>
      <c r="B23" s="3">
        <v>20411454</v>
      </c>
      <c r="C23" s="3" t="s">
        <v>25</v>
      </c>
      <c r="D23" s="3" t="s">
        <v>26</v>
      </c>
      <c r="E23" s="3" t="str">
        <f t="shared" si="1"/>
        <v>Roland Clogston Iii</v>
      </c>
      <c r="F23" s="3">
        <v>50137152</v>
      </c>
      <c r="G23" s="3" t="str">
        <f t="shared" si="3"/>
        <v>50137152OVR</v>
      </c>
      <c r="H23" s="4">
        <v>46023</v>
      </c>
      <c r="I23" s="4">
        <v>45961</v>
      </c>
      <c r="J23" s="3" t="s">
        <v>3</v>
      </c>
      <c r="K23" s="3" t="s">
        <v>20</v>
      </c>
      <c r="L23" s="5">
        <v>65</v>
      </c>
      <c r="M23" s="3" t="s">
        <v>70</v>
      </c>
    </row>
    <row r="24" spans="1:13" s="3" customFormat="1" x14ac:dyDescent="0.25">
      <c r="A24" s="3" t="s">
        <v>68</v>
      </c>
      <c r="B24" s="3">
        <v>20411454</v>
      </c>
      <c r="C24" s="3" t="s">
        <v>27</v>
      </c>
      <c r="D24" s="3" t="s">
        <v>22</v>
      </c>
      <c r="E24" s="3" t="str">
        <f t="shared" si="1"/>
        <v>Ronald Falcone</v>
      </c>
      <c r="F24" s="3">
        <v>50088502</v>
      </c>
      <c r="G24" s="3" t="str">
        <f t="shared" si="3"/>
        <v>50088502OVR</v>
      </c>
      <c r="H24" s="4">
        <v>46023</v>
      </c>
      <c r="I24" s="4">
        <v>45961</v>
      </c>
      <c r="J24" s="3" t="s">
        <v>3</v>
      </c>
      <c r="K24" s="3" t="s">
        <v>20</v>
      </c>
      <c r="L24" s="5">
        <v>65</v>
      </c>
      <c r="M24" s="3" t="s">
        <v>70</v>
      </c>
    </row>
    <row r="25" spans="1:13" s="3" customFormat="1" x14ac:dyDescent="0.25">
      <c r="A25" s="3" t="s">
        <v>68</v>
      </c>
      <c r="B25" s="3">
        <v>20411454</v>
      </c>
      <c r="C25" s="3" t="s">
        <v>28</v>
      </c>
      <c r="D25" s="3" t="s">
        <v>29</v>
      </c>
      <c r="E25" s="3" t="str">
        <f t="shared" si="1"/>
        <v>James Burton</v>
      </c>
      <c r="F25" s="3">
        <v>50095264</v>
      </c>
      <c r="G25" s="3" t="str">
        <f t="shared" si="3"/>
        <v>50095264OVR</v>
      </c>
      <c r="H25" s="4">
        <v>46023</v>
      </c>
      <c r="I25" s="4">
        <v>45961</v>
      </c>
      <c r="J25" s="3" t="s">
        <v>3</v>
      </c>
      <c r="K25" s="3" t="s">
        <v>20</v>
      </c>
      <c r="L25" s="5">
        <v>65</v>
      </c>
      <c r="M25" s="3" t="s">
        <v>70</v>
      </c>
    </row>
    <row r="26" spans="1:13" s="3" customFormat="1" x14ac:dyDescent="0.25">
      <c r="A26" s="3" t="s">
        <v>68</v>
      </c>
      <c r="B26" s="3">
        <v>20411454</v>
      </c>
      <c r="C26" s="3" t="s">
        <v>31</v>
      </c>
      <c r="D26" s="3" t="s">
        <v>32</v>
      </c>
      <c r="E26" s="3" t="str">
        <f t="shared" si="1"/>
        <v>David Heun</v>
      </c>
      <c r="F26" s="3">
        <v>50139661</v>
      </c>
      <c r="G26" s="3" t="str">
        <f t="shared" si="3"/>
        <v>50139661OVR</v>
      </c>
      <c r="H26" s="4">
        <v>46023</v>
      </c>
      <c r="I26" s="4">
        <v>45961</v>
      </c>
      <c r="J26" s="3" t="s">
        <v>3</v>
      </c>
      <c r="K26" s="3" t="s">
        <v>20</v>
      </c>
      <c r="L26" s="5">
        <v>65</v>
      </c>
      <c r="M26" s="3" t="s">
        <v>70</v>
      </c>
    </row>
    <row r="27" spans="1:13" s="3" customFormat="1" x14ac:dyDescent="0.25">
      <c r="A27" s="3" t="s">
        <v>68</v>
      </c>
      <c r="B27" s="3">
        <v>20411454</v>
      </c>
      <c r="C27" s="3" t="s">
        <v>33</v>
      </c>
      <c r="D27" s="3" t="s">
        <v>34</v>
      </c>
      <c r="E27" s="3" t="str">
        <f t="shared" si="1"/>
        <v>Thomas Malone</v>
      </c>
      <c r="F27" s="3">
        <v>50031687</v>
      </c>
      <c r="G27" s="3" t="str">
        <f t="shared" si="3"/>
        <v>50031687OVR</v>
      </c>
      <c r="H27" s="4">
        <v>46023</v>
      </c>
      <c r="I27" s="4">
        <v>45961</v>
      </c>
      <c r="J27" s="3" t="s">
        <v>3</v>
      </c>
      <c r="K27" s="3" t="s">
        <v>20</v>
      </c>
      <c r="L27" s="5">
        <v>65</v>
      </c>
      <c r="M27" s="3" t="s">
        <v>70</v>
      </c>
    </row>
    <row r="28" spans="1:13" s="3" customFormat="1" x14ac:dyDescent="0.25">
      <c r="A28" s="3" t="s">
        <v>68</v>
      </c>
      <c r="B28" s="3">
        <v>20411454</v>
      </c>
      <c r="C28" s="3" t="s">
        <v>21</v>
      </c>
      <c r="D28" s="3" t="s">
        <v>35</v>
      </c>
      <c r="E28" s="3" t="str">
        <f t="shared" si="1"/>
        <v>Dorothy Mallon</v>
      </c>
      <c r="F28" s="3">
        <v>50027437</v>
      </c>
      <c r="G28" s="3" t="str">
        <f t="shared" si="3"/>
        <v>50027437OVR</v>
      </c>
      <c r="H28" s="4">
        <v>46023</v>
      </c>
      <c r="I28" s="4">
        <v>45961</v>
      </c>
      <c r="J28" s="3" t="s">
        <v>3</v>
      </c>
      <c r="K28" s="3" t="s">
        <v>20</v>
      </c>
      <c r="L28" s="5">
        <v>65</v>
      </c>
      <c r="M28" s="3" t="s">
        <v>70</v>
      </c>
    </row>
    <row r="29" spans="1:13" s="3" customFormat="1" x14ac:dyDescent="0.25">
      <c r="A29" s="3" t="s">
        <v>68</v>
      </c>
      <c r="B29" s="3">
        <v>20411454</v>
      </c>
      <c r="C29" s="3" t="s">
        <v>36</v>
      </c>
      <c r="D29" s="3" t="s">
        <v>37</v>
      </c>
      <c r="E29" s="3" t="str">
        <f t="shared" si="1"/>
        <v>Carroll Shields</v>
      </c>
      <c r="F29" s="3">
        <v>50088380</v>
      </c>
      <c r="G29" s="3" t="str">
        <f t="shared" si="3"/>
        <v>50088380OVR</v>
      </c>
      <c r="H29" s="4">
        <v>46023</v>
      </c>
      <c r="I29" s="4">
        <v>45961</v>
      </c>
      <c r="J29" s="3" t="s">
        <v>3</v>
      </c>
      <c r="K29" s="3" t="s">
        <v>20</v>
      </c>
      <c r="L29" s="5">
        <v>65</v>
      </c>
      <c r="M29" s="3" t="s">
        <v>70</v>
      </c>
    </row>
    <row r="30" spans="1:13" s="3" customFormat="1" x14ac:dyDescent="0.25">
      <c r="A30" s="3" t="s">
        <v>68</v>
      </c>
      <c r="B30" s="3">
        <v>20411454</v>
      </c>
      <c r="C30" s="3" t="s">
        <v>38</v>
      </c>
      <c r="D30" s="3" t="s">
        <v>39</v>
      </c>
      <c r="E30" s="3" t="str">
        <f t="shared" si="1"/>
        <v>Gheng Pham</v>
      </c>
      <c r="F30" s="3">
        <v>50063253</v>
      </c>
      <c r="G30" s="3" t="str">
        <f t="shared" si="3"/>
        <v>50063253OVR</v>
      </c>
      <c r="H30" s="4">
        <v>46023</v>
      </c>
      <c r="I30" s="4">
        <v>45961</v>
      </c>
      <c r="J30" s="3" t="s">
        <v>3</v>
      </c>
      <c r="K30" s="3" t="s">
        <v>20</v>
      </c>
      <c r="L30" s="5">
        <v>65</v>
      </c>
      <c r="M30" s="3" t="s">
        <v>70</v>
      </c>
    </row>
    <row r="31" spans="1:13" s="3" customFormat="1" x14ac:dyDescent="0.25">
      <c r="A31" s="3" t="s">
        <v>68</v>
      </c>
      <c r="B31" s="3">
        <v>20411454</v>
      </c>
      <c r="C31" s="3" t="s">
        <v>40</v>
      </c>
      <c r="D31" s="3" t="s">
        <v>13</v>
      </c>
      <c r="E31" s="3" t="str">
        <f t="shared" si="1"/>
        <v>Vilayil John</v>
      </c>
      <c r="F31" s="3">
        <v>50031876</v>
      </c>
      <c r="G31" s="3" t="str">
        <f t="shared" si="3"/>
        <v>50031876OVR</v>
      </c>
      <c r="H31" s="4">
        <v>46023</v>
      </c>
      <c r="I31" s="4">
        <v>45961</v>
      </c>
      <c r="J31" s="3" t="s">
        <v>3</v>
      </c>
      <c r="K31" s="3" t="s">
        <v>20</v>
      </c>
      <c r="L31" s="5">
        <v>65</v>
      </c>
      <c r="M31" s="3" t="s">
        <v>70</v>
      </c>
    </row>
    <row r="32" spans="1:13" s="3" customFormat="1" x14ac:dyDescent="0.25">
      <c r="A32" s="3" t="s">
        <v>68</v>
      </c>
      <c r="B32" s="3">
        <v>20411454</v>
      </c>
      <c r="C32" s="3" t="s">
        <v>41</v>
      </c>
      <c r="D32" s="3" t="s">
        <v>33</v>
      </c>
      <c r="E32" s="3" t="str">
        <f t="shared" si="1"/>
        <v>Marilyn Thomas</v>
      </c>
      <c r="F32" s="3">
        <v>50018665</v>
      </c>
      <c r="G32" s="3" t="str">
        <f t="shared" si="3"/>
        <v>50018665OVR</v>
      </c>
      <c r="H32" s="4">
        <v>46023</v>
      </c>
      <c r="I32" s="4">
        <v>45961</v>
      </c>
      <c r="J32" s="3" t="s">
        <v>3</v>
      </c>
      <c r="K32" s="3" t="s">
        <v>20</v>
      </c>
      <c r="L32" s="5">
        <v>65</v>
      </c>
      <c r="M32" s="3" t="s">
        <v>70</v>
      </c>
    </row>
    <row r="33" spans="1:13" s="3" customFormat="1" x14ac:dyDescent="0.25">
      <c r="A33" s="3" t="s">
        <v>68</v>
      </c>
      <c r="B33" s="3">
        <v>20411454</v>
      </c>
      <c r="C33" s="3" t="s">
        <v>42</v>
      </c>
      <c r="D33" s="3" t="s">
        <v>43</v>
      </c>
      <c r="E33" s="3" t="str">
        <f t="shared" si="1"/>
        <v>Francis Leitner</v>
      </c>
      <c r="F33" s="3">
        <v>50000625</v>
      </c>
      <c r="G33" s="3" t="str">
        <f t="shared" si="3"/>
        <v>50000625OVR</v>
      </c>
      <c r="H33" s="4">
        <v>46023</v>
      </c>
      <c r="I33" s="4">
        <v>45961</v>
      </c>
      <c r="J33" s="3" t="s">
        <v>3</v>
      </c>
      <c r="K33" s="3" t="s">
        <v>20</v>
      </c>
      <c r="L33" s="5">
        <v>65</v>
      </c>
      <c r="M33" s="3" t="s">
        <v>70</v>
      </c>
    </row>
    <row r="34" spans="1:13" s="3" customFormat="1" x14ac:dyDescent="0.25">
      <c r="A34" s="3" t="s">
        <v>68</v>
      </c>
      <c r="B34" s="3">
        <v>20411454</v>
      </c>
      <c r="C34" s="3" t="s">
        <v>44</v>
      </c>
      <c r="D34" s="3" t="s">
        <v>45</v>
      </c>
      <c r="E34" s="3" t="str">
        <f t="shared" si="1"/>
        <v>Wayne Allen</v>
      </c>
      <c r="F34" s="3">
        <v>50027802</v>
      </c>
      <c r="G34" s="3" t="str">
        <f t="shared" si="3"/>
        <v>50027802OVR</v>
      </c>
      <c r="H34" s="4">
        <v>46023</v>
      </c>
      <c r="I34" s="4">
        <v>45961</v>
      </c>
      <c r="J34" s="3" t="s">
        <v>3</v>
      </c>
      <c r="K34" s="3" t="s">
        <v>20</v>
      </c>
      <c r="L34" s="5">
        <v>65</v>
      </c>
      <c r="M34" s="3" t="s">
        <v>70</v>
      </c>
    </row>
    <row r="35" spans="1:13" s="3" customFormat="1" x14ac:dyDescent="0.25">
      <c r="A35" s="3" t="s">
        <v>68</v>
      </c>
      <c r="B35" s="3">
        <v>20411454</v>
      </c>
      <c r="C35" s="3" t="s">
        <v>46</v>
      </c>
      <c r="D35" s="3" t="s">
        <v>29</v>
      </c>
      <c r="E35" s="3" t="str">
        <f t="shared" si="1"/>
        <v>Karla Burton</v>
      </c>
      <c r="F35" s="3">
        <v>50029932</v>
      </c>
      <c r="G35" s="3" t="str">
        <f t="shared" si="3"/>
        <v>50029932OVR</v>
      </c>
      <c r="H35" s="4">
        <v>46023</v>
      </c>
      <c r="I35" s="4">
        <v>45961</v>
      </c>
      <c r="J35" s="3" t="s">
        <v>3</v>
      </c>
      <c r="K35" s="3" t="s">
        <v>20</v>
      </c>
      <c r="L35" s="5">
        <v>65</v>
      </c>
      <c r="M35" s="3" t="s">
        <v>70</v>
      </c>
    </row>
    <row r="36" spans="1:13" s="3" customFormat="1" x14ac:dyDescent="0.25">
      <c r="A36" s="3" t="s">
        <v>68</v>
      </c>
      <c r="B36" s="3">
        <v>20411454</v>
      </c>
      <c r="C36" s="3" t="s">
        <v>47</v>
      </c>
      <c r="D36" s="3" t="s">
        <v>48</v>
      </c>
      <c r="E36" s="3" t="str">
        <f t="shared" si="1"/>
        <v>Lydia Rissel</v>
      </c>
      <c r="F36" s="3">
        <v>50091828</v>
      </c>
      <c r="G36" s="3" t="str">
        <f t="shared" si="3"/>
        <v>50091828OVR</v>
      </c>
      <c r="H36" s="4">
        <v>46023</v>
      </c>
      <c r="I36" s="4">
        <v>45961</v>
      </c>
      <c r="J36" s="3" t="s">
        <v>3</v>
      </c>
      <c r="K36" s="3" t="s">
        <v>20</v>
      </c>
      <c r="L36" s="5">
        <v>65</v>
      </c>
      <c r="M36" s="3" t="s">
        <v>70</v>
      </c>
    </row>
    <row r="37" spans="1:13" s="3" customFormat="1" x14ac:dyDescent="0.25">
      <c r="A37" s="3" t="s">
        <v>68</v>
      </c>
      <c r="B37" s="3">
        <v>20411454</v>
      </c>
      <c r="C37" s="3" t="s">
        <v>49</v>
      </c>
      <c r="D37" s="3" t="s">
        <v>13</v>
      </c>
      <c r="E37" s="3" t="str">
        <f t="shared" si="1"/>
        <v>Rachel John</v>
      </c>
      <c r="F37" s="3">
        <v>50090176</v>
      </c>
      <c r="G37" s="3" t="str">
        <f t="shared" si="3"/>
        <v>50090176OVR</v>
      </c>
      <c r="H37" s="4">
        <v>46023</v>
      </c>
      <c r="I37" s="4">
        <v>45961</v>
      </c>
      <c r="J37" s="3" t="s">
        <v>3</v>
      </c>
      <c r="K37" s="3" t="s">
        <v>20</v>
      </c>
      <c r="L37" s="5">
        <v>65</v>
      </c>
      <c r="M37" s="3" t="s">
        <v>70</v>
      </c>
    </row>
    <row r="38" spans="1:13" s="3" customFormat="1" x14ac:dyDescent="0.25">
      <c r="A38" s="3" t="s">
        <v>68</v>
      </c>
      <c r="B38" s="3">
        <v>20411454</v>
      </c>
      <c r="C38" s="3" t="s">
        <v>50</v>
      </c>
      <c r="D38" s="3" t="s">
        <v>35</v>
      </c>
      <c r="E38" s="3" t="str">
        <f t="shared" si="1"/>
        <v>Michael Mallon</v>
      </c>
      <c r="F38" s="3">
        <v>50113556</v>
      </c>
      <c r="G38" s="3" t="str">
        <f t="shared" si="3"/>
        <v>50113556OVR</v>
      </c>
      <c r="H38" s="4">
        <v>46023</v>
      </c>
      <c r="I38" s="4">
        <v>45961</v>
      </c>
      <c r="J38" s="3" t="s">
        <v>3</v>
      </c>
      <c r="K38" s="3" t="s">
        <v>20</v>
      </c>
      <c r="L38" s="5">
        <v>65</v>
      </c>
      <c r="M38" s="3" t="s">
        <v>70</v>
      </c>
    </row>
    <row r="39" spans="1:13" s="3" customFormat="1" x14ac:dyDescent="0.25">
      <c r="A39" s="3" t="s">
        <v>68</v>
      </c>
      <c r="B39" s="3">
        <v>20411454</v>
      </c>
      <c r="C39" s="3" t="s">
        <v>51</v>
      </c>
      <c r="D39" s="3" t="s">
        <v>52</v>
      </c>
      <c r="E39" s="3" t="str">
        <f t="shared" si="1"/>
        <v>Brett Peterson</v>
      </c>
      <c r="F39" s="3">
        <v>50032412</v>
      </c>
      <c r="G39" s="3" t="str">
        <f t="shared" si="3"/>
        <v>50032412OVR</v>
      </c>
      <c r="H39" s="4">
        <v>46023</v>
      </c>
      <c r="I39" s="4">
        <v>45961</v>
      </c>
      <c r="J39" s="3" t="s">
        <v>3</v>
      </c>
      <c r="K39" s="3" t="s">
        <v>20</v>
      </c>
      <c r="L39" s="5">
        <v>65</v>
      </c>
      <c r="M39" s="3" t="s">
        <v>70</v>
      </c>
    </row>
    <row r="40" spans="1:13" s="3" customFormat="1" x14ac:dyDescent="0.25">
      <c r="A40" s="3" t="s">
        <v>68</v>
      </c>
      <c r="B40" s="3">
        <v>20411454</v>
      </c>
      <c r="C40" s="3" t="s">
        <v>53</v>
      </c>
      <c r="D40" s="3" t="s">
        <v>54</v>
      </c>
      <c r="E40" s="3" t="str">
        <f t="shared" si="1"/>
        <v>Earl Rissel Jr</v>
      </c>
      <c r="F40" s="3">
        <v>50091830</v>
      </c>
      <c r="G40" s="3" t="str">
        <f t="shared" si="3"/>
        <v>50091830OVR</v>
      </c>
      <c r="H40" s="4">
        <v>46023</v>
      </c>
      <c r="I40" s="4">
        <v>45961</v>
      </c>
      <c r="J40" s="3" t="s">
        <v>3</v>
      </c>
      <c r="K40" s="3" t="s">
        <v>20</v>
      </c>
      <c r="L40" s="5">
        <v>65</v>
      </c>
      <c r="M40" s="3" t="s">
        <v>70</v>
      </c>
    </row>
    <row r="41" spans="1:13" s="3" customFormat="1" x14ac:dyDescent="0.25">
      <c r="A41" s="3" t="s">
        <v>68</v>
      </c>
      <c r="B41" s="3">
        <v>20411454</v>
      </c>
      <c r="C41" s="3" t="s">
        <v>31</v>
      </c>
      <c r="D41" s="3" t="s">
        <v>55</v>
      </c>
      <c r="E41" s="3" t="str">
        <f t="shared" si="1"/>
        <v>David Caswell</v>
      </c>
      <c r="F41" s="3">
        <v>50091390</v>
      </c>
      <c r="G41" s="3" t="str">
        <f t="shared" si="3"/>
        <v>50091390OVR</v>
      </c>
      <c r="H41" s="4">
        <v>46023</v>
      </c>
      <c r="I41" s="4">
        <v>45961</v>
      </c>
      <c r="J41" s="3" t="s">
        <v>3</v>
      </c>
      <c r="K41" s="3" t="s">
        <v>20</v>
      </c>
      <c r="L41" s="5">
        <v>65</v>
      </c>
      <c r="M41" s="3" t="s">
        <v>70</v>
      </c>
    </row>
    <row r="42" spans="1:13" s="3" customFormat="1" x14ac:dyDescent="0.25">
      <c r="A42" s="3" t="s">
        <v>68</v>
      </c>
      <c r="B42" s="3">
        <v>20411454</v>
      </c>
      <c r="C42" s="3" t="s">
        <v>56</v>
      </c>
      <c r="D42" s="3" t="s">
        <v>39</v>
      </c>
      <c r="E42" s="3" t="str">
        <f t="shared" si="1"/>
        <v>Minhhien Pham</v>
      </c>
      <c r="F42" s="3">
        <v>50046420</v>
      </c>
      <c r="G42" s="3" t="str">
        <f t="shared" si="3"/>
        <v>50046420OVR</v>
      </c>
      <c r="H42" s="4">
        <v>46023</v>
      </c>
      <c r="I42" s="4">
        <v>45961</v>
      </c>
      <c r="J42" s="3" t="s">
        <v>3</v>
      </c>
      <c r="K42" s="3" t="s">
        <v>20</v>
      </c>
      <c r="L42" s="5">
        <v>65</v>
      </c>
      <c r="M42" s="3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2025-10-31T15:49:30Z</dcterms:created>
  <dcterms:modified xsi:type="dcterms:W3CDTF">2025-10-31T20:53:25Z</dcterms:modified>
</cp:coreProperties>
</file>