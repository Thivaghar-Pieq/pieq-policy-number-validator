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C84E78C8-91C8-41C5-8C00-1377FCA8F84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2" l="1"/>
  <c r="J12" i="2"/>
  <c r="J11" i="2"/>
  <c r="J10" i="2"/>
  <c r="J9" i="2"/>
  <c r="J8" i="2"/>
  <c r="J7" i="2"/>
  <c r="J6" i="2"/>
  <c r="J5" i="2"/>
  <c r="J4" i="2"/>
  <c r="J3" i="2"/>
  <c r="J2" i="2"/>
  <c r="G7" i="2"/>
  <c r="G6" i="2"/>
  <c r="G5" i="2"/>
  <c r="G4" i="2"/>
  <c r="G3" i="2"/>
  <c r="G2" i="2"/>
  <c r="U11" i="2"/>
</calcChain>
</file>

<file path=xl/sharedStrings.xml><?xml version="1.0" encoding="utf-8"?>
<sst xmlns="http://schemas.openxmlformats.org/spreadsheetml/2006/main" count="313" uniqueCount="50">
  <si>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</si>
  <si>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</si>
  <si>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</si>
  <si>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</si>
  <si>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</si>
  <si>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</si>
  <si>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</si>
  <si>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</si>
  <si>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</si>
  <si>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</si>
  <si>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</si>
  <si>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</si>
  <si>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</si>
  <si>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</si>
  <si>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</si>
  <si>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</si>
  <si>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2026-07-13</t>
  </si>
  <si>
    <t>NB</t>
  </si>
  <si>
    <t>Commission Difference</t>
  </si>
  <si>
    <t>MLB</t>
  </si>
  <si>
    <t>Roccia, Mark</t>
  </si>
  <si>
    <t>Ibc</t>
  </si>
  <si>
    <t>1DU8E46KN34</t>
  </si>
  <si>
    <t>MAPD</t>
  </si>
  <si>
    <t>Andriano, Dominick</t>
  </si>
  <si>
    <t>2026-01-01</t>
  </si>
  <si>
    <t>2026-01-31</t>
  </si>
  <si>
    <t/>
  </si>
  <si>
    <t>Foley, Carol</t>
  </si>
  <si>
    <t>8VQ1T00CJ98</t>
  </si>
  <si>
    <t>Kuddar, Kathleen</t>
  </si>
  <si>
    <t>Agency Marketing Fee</t>
  </si>
  <si>
    <t>1CQ9NH7KC42</t>
  </si>
  <si>
    <t>Canale, Steven</t>
  </si>
  <si>
    <t>Kozacheck, Anne Marie</t>
  </si>
  <si>
    <t>5Y91KQ5CG33</t>
  </si>
  <si>
    <t>Mercurio, Christine</t>
  </si>
  <si>
    <t>2026-02-28</t>
  </si>
  <si>
    <t>8J33C04QR05</t>
  </si>
  <si>
    <t>Slaughter, John</t>
  </si>
  <si>
    <t>3VE3QJ9AU77</t>
  </si>
  <si>
    <t>Newman Syrylo, Kathleen</t>
  </si>
  <si>
    <t>2026-07-01</t>
  </si>
  <si>
    <t>IBC MAPD 2026*</t>
  </si>
  <si>
    <t>[%/$=391][prorate=1/12]</t>
  </si>
  <si>
    <t>[%/$=391][prorate=2/12]</t>
  </si>
  <si>
    <t>[%/$=391][prorate=6/12]</t>
  </si>
  <si>
    <t>[%/$=391][prorate=12/12]</t>
  </si>
  <si>
    <t>19278370old</t>
  </si>
  <si>
    <t>IBC MAPD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</si>
</sst>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workbookViewId="0">
      <selection sqref="A1:XFD1048576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2.14062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1" max="11" width="13.7109375" bestFit="1" customWidth="1"/>
    <col min="12" max="12" width="9.5703125" bestFit="1" customWidth="1"/>
    <col min="13" max="13" width="24.28515625" bestFit="1" customWidth="1"/>
    <col min="14" max="14" width="13.5703125" bestFit="1" customWidth="1"/>
    <col min="15" max="15" width="10.42578125" bestFit="1" customWidth="1"/>
    <col min="16" max="16" width="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32.58</v>
      </c>
      <c r="H2">
        <v>21618313</v>
      </c>
      <c r="I2" t="s">
        <v>21</v>
      </c>
      <c r="J2">
        <v>50088536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25">
      <c r="A3" t="s">
        <v>16</v>
      </c>
      <c r="B3" t="s">
        <v>16</v>
      </c>
      <c r="C3" t="s">
        <v>17</v>
      </c>
      <c r="D3" t="s">
        <v>18</v>
      </c>
      <c r="E3" t="s">
        <v>19</v>
      </c>
      <c r="F3" t="s">
        <v>28</v>
      </c>
      <c r="G3">
        <v>32.58</v>
      </c>
      <c r="H3">
        <v>17425766</v>
      </c>
      <c r="I3" t="s">
        <v>21</v>
      </c>
      <c r="J3">
        <v>50133596</v>
      </c>
      <c r="K3" t="s">
        <v>29</v>
      </c>
      <c r="L3" t="s">
        <v>23</v>
      </c>
      <c r="M3" t="s">
        <v>30</v>
      </c>
      <c r="N3" t="s">
        <v>25</v>
      </c>
      <c r="O3" t="s">
        <v>26</v>
      </c>
      <c r="P3" t="s">
        <v>27</v>
      </c>
    </row>
    <row r="4" spans="1:16" x14ac:dyDescent="0.25">
      <c r="A4" t="s">
        <v>16</v>
      </c>
      <c r="B4" t="s">
        <v>16</v>
      </c>
      <c r="C4" t="s">
        <v>17</v>
      </c>
      <c r="D4" t="s">
        <v>31</v>
      </c>
      <c r="E4" t="s">
        <v>19</v>
      </c>
      <c r="F4" t="s">
        <v>20</v>
      </c>
      <c r="G4">
        <v>60</v>
      </c>
      <c r="H4">
        <v>21618313</v>
      </c>
      <c r="I4" t="s">
        <v>21</v>
      </c>
      <c r="J4">
        <v>50088536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</row>
    <row r="5" spans="1:16" x14ac:dyDescent="0.25">
      <c r="A5" t="s">
        <v>16</v>
      </c>
      <c r="B5" t="s">
        <v>16</v>
      </c>
      <c r="C5" t="s">
        <v>17</v>
      </c>
      <c r="D5" t="s">
        <v>31</v>
      </c>
      <c r="E5" t="s">
        <v>19</v>
      </c>
      <c r="F5" t="s">
        <v>20</v>
      </c>
      <c r="G5">
        <v>60</v>
      </c>
      <c r="H5">
        <v>21618313</v>
      </c>
      <c r="I5" t="s">
        <v>21</v>
      </c>
      <c r="J5">
        <v>50108216</v>
      </c>
      <c r="K5" t="s">
        <v>32</v>
      </c>
      <c r="L5" t="s">
        <v>23</v>
      </c>
      <c r="M5" t="s">
        <v>33</v>
      </c>
      <c r="N5" t="s">
        <v>25</v>
      </c>
      <c r="O5" t="s">
        <v>27</v>
      </c>
      <c r="P5" t="s">
        <v>27</v>
      </c>
    </row>
    <row r="6" spans="1:16" x14ac:dyDescent="0.25">
      <c r="A6" t="s">
        <v>16</v>
      </c>
      <c r="B6" t="s">
        <v>16</v>
      </c>
      <c r="C6" t="s">
        <v>17</v>
      </c>
      <c r="D6" t="s">
        <v>31</v>
      </c>
      <c r="E6" t="s">
        <v>19</v>
      </c>
      <c r="F6" t="s">
        <v>28</v>
      </c>
      <c r="G6">
        <v>60</v>
      </c>
      <c r="H6">
        <v>17425766</v>
      </c>
      <c r="I6" t="s">
        <v>21</v>
      </c>
      <c r="J6">
        <v>50133596</v>
      </c>
      <c r="K6" t="s">
        <v>29</v>
      </c>
      <c r="L6" t="s">
        <v>23</v>
      </c>
      <c r="M6" t="s">
        <v>30</v>
      </c>
      <c r="N6" t="s">
        <v>25</v>
      </c>
      <c r="O6" t="s">
        <v>26</v>
      </c>
      <c r="P6" t="s">
        <v>27</v>
      </c>
    </row>
    <row r="7" spans="1:16" x14ac:dyDescent="0.25">
      <c r="A7" t="s">
        <v>16</v>
      </c>
      <c r="B7" t="s">
        <v>16</v>
      </c>
      <c r="C7" t="s">
        <v>17</v>
      </c>
      <c r="D7" t="s">
        <v>31</v>
      </c>
      <c r="E7" t="s">
        <v>19</v>
      </c>
      <c r="F7" t="s">
        <v>34</v>
      </c>
      <c r="G7">
        <v>60</v>
      </c>
      <c r="H7">
        <v>19278370</v>
      </c>
      <c r="I7" t="s">
        <v>21</v>
      </c>
      <c r="J7">
        <v>51018881</v>
      </c>
      <c r="K7" t="s">
        <v>35</v>
      </c>
      <c r="L7" t="s">
        <v>23</v>
      </c>
      <c r="M7" t="s">
        <v>36</v>
      </c>
      <c r="N7" t="s">
        <v>25</v>
      </c>
      <c r="O7" t="s">
        <v>37</v>
      </c>
      <c r="P7" t="s">
        <v>27</v>
      </c>
    </row>
    <row r="8" spans="1:16" x14ac:dyDescent="0.25">
      <c r="A8" t="s">
        <v>16</v>
      </c>
      <c r="B8" t="s">
        <v>16</v>
      </c>
      <c r="C8" t="s">
        <v>17</v>
      </c>
      <c r="D8" t="s">
        <v>31</v>
      </c>
      <c r="E8" t="s">
        <v>19</v>
      </c>
      <c r="F8" t="s">
        <v>20</v>
      </c>
      <c r="G8">
        <v>60</v>
      </c>
      <c r="H8">
        <v>21618313</v>
      </c>
      <c r="I8" t="s">
        <v>21</v>
      </c>
      <c r="J8">
        <v>50029419</v>
      </c>
      <c r="K8" t="s">
        <v>38</v>
      </c>
      <c r="L8" t="s">
        <v>23</v>
      </c>
      <c r="M8" t="s">
        <v>39</v>
      </c>
      <c r="N8" t="s">
        <v>25</v>
      </c>
      <c r="O8" t="s">
        <v>27</v>
      </c>
      <c r="P8" t="s">
        <v>27</v>
      </c>
    </row>
    <row r="9" spans="1:16" x14ac:dyDescent="0.25">
      <c r="A9" t="s">
        <v>16</v>
      </c>
      <c r="B9" t="s">
        <v>16</v>
      </c>
      <c r="C9" t="s">
        <v>17</v>
      </c>
      <c r="D9" t="s">
        <v>18</v>
      </c>
      <c r="E9" t="s">
        <v>19</v>
      </c>
      <c r="F9" t="s">
        <v>34</v>
      </c>
      <c r="G9">
        <v>65.17</v>
      </c>
      <c r="H9">
        <v>19278370</v>
      </c>
      <c r="I9" t="s">
        <v>21</v>
      </c>
      <c r="J9">
        <v>51018881</v>
      </c>
      <c r="K9" t="s">
        <v>35</v>
      </c>
      <c r="L9" t="s">
        <v>23</v>
      </c>
      <c r="M9" t="s">
        <v>36</v>
      </c>
      <c r="N9" t="s">
        <v>25</v>
      </c>
      <c r="O9" t="s">
        <v>37</v>
      </c>
      <c r="P9" t="s">
        <v>27</v>
      </c>
    </row>
    <row r="10" spans="1:16" x14ac:dyDescent="0.25">
      <c r="A10" t="s">
        <v>16</v>
      </c>
      <c r="B10" t="s">
        <v>16</v>
      </c>
      <c r="C10" t="s">
        <v>17</v>
      </c>
      <c r="D10" t="s">
        <v>31</v>
      </c>
      <c r="E10" t="s">
        <v>19</v>
      </c>
      <c r="F10" t="s">
        <v>34</v>
      </c>
      <c r="G10">
        <v>100</v>
      </c>
      <c r="H10">
        <v>19278370</v>
      </c>
      <c r="I10" t="s">
        <v>21</v>
      </c>
      <c r="J10">
        <v>51058814</v>
      </c>
      <c r="K10" t="s">
        <v>40</v>
      </c>
      <c r="L10" t="s">
        <v>23</v>
      </c>
      <c r="M10" t="s">
        <v>41</v>
      </c>
      <c r="N10" t="s">
        <v>42</v>
      </c>
      <c r="O10" t="s">
        <v>27</v>
      </c>
      <c r="P10" t="s">
        <v>27</v>
      </c>
    </row>
    <row r="11" spans="1:16" x14ac:dyDescent="0.25">
      <c r="A11" t="s">
        <v>16</v>
      </c>
      <c r="B11" t="s">
        <v>16</v>
      </c>
      <c r="C11" t="s">
        <v>17</v>
      </c>
      <c r="D11" t="s">
        <v>18</v>
      </c>
      <c r="E11" t="s">
        <v>19</v>
      </c>
      <c r="F11" t="s">
        <v>34</v>
      </c>
      <c r="G11">
        <v>195.5</v>
      </c>
      <c r="H11">
        <v>19278370</v>
      </c>
      <c r="I11" t="s">
        <v>21</v>
      </c>
      <c r="J11">
        <v>51058814</v>
      </c>
      <c r="K11" t="s">
        <v>40</v>
      </c>
      <c r="L11" t="s">
        <v>23</v>
      </c>
      <c r="M11" t="s">
        <v>41</v>
      </c>
      <c r="N11" t="s">
        <v>42</v>
      </c>
      <c r="O11" t="s">
        <v>27</v>
      </c>
      <c r="P11" t="s">
        <v>27</v>
      </c>
    </row>
    <row r="12" spans="1:16" x14ac:dyDescent="0.25">
      <c r="A12" t="s">
        <v>16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391</v>
      </c>
      <c r="H12">
        <v>21618313</v>
      </c>
      <c r="I12" t="s">
        <v>21</v>
      </c>
      <c r="J12">
        <v>50108216</v>
      </c>
      <c r="K12" t="s">
        <v>32</v>
      </c>
      <c r="L12" t="s">
        <v>23</v>
      </c>
      <c r="M12" t="s">
        <v>33</v>
      </c>
      <c r="N12" t="s">
        <v>25</v>
      </c>
      <c r="O12" t="s">
        <v>27</v>
      </c>
      <c r="P12" t="s">
        <v>27</v>
      </c>
    </row>
    <row r="13" spans="1:16" x14ac:dyDescent="0.25">
      <c r="A13" t="s">
        <v>16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391</v>
      </c>
      <c r="H13">
        <v>21618313</v>
      </c>
      <c r="I13" t="s">
        <v>21</v>
      </c>
      <c r="J13">
        <v>50029419</v>
      </c>
      <c r="K13" t="s">
        <v>38</v>
      </c>
      <c r="L13" t="s">
        <v>23</v>
      </c>
      <c r="M13" t="s">
        <v>39</v>
      </c>
      <c r="N13" t="s">
        <v>25</v>
      </c>
      <c r="O13" t="s">
        <v>27</v>
      </c>
      <c r="P13" t="s">
        <v>27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30186-5CCA-422A-9059-DA6768CB29FA}">
  <dimension ref="A1:U13"/>
  <sheetViews>
    <sheetView tabSelected="1" workbookViewId="0">
      <selection activeCell="I10" sqref="I10"/>
    </sheetView>
  </sheetViews>
  <sheetFormatPr defaultRowHeight="15" x14ac:dyDescent="0.25"/>
  <cols>
    <col min="1" max="1" width="8.85546875" bestFit="1" customWidth="1"/>
    <col min="2" max="2" width="22.140625" bestFit="1" customWidth="1"/>
    <col min="3" max="3" width="7.42578125" bestFit="1" customWidth="1"/>
    <col min="4" max="4" width="21.85546875" bestFit="1" customWidth="1"/>
    <col min="5" max="5" width="8.140625" bestFit="1" customWidth="1"/>
    <col min="6" max="6" width="10.7109375" bestFit="1" customWidth="1"/>
    <col min="7" max="7" width="12.85546875" bestFit="1" customWidth="1"/>
    <col min="8" max="8" width="7" bestFit="1" customWidth="1"/>
    <col min="9" max="9" width="15.140625" bestFit="1" customWidth="1"/>
    <col min="10" max="10" width="15.140625" customWidth="1"/>
    <col min="11" max="11" width="13.7109375" bestFit="1" customWidth="1"/>
    <col min="12" max="12" width="9.5703125" bestFit="1" customWidth="1"/>
    <col min="13" max="13" width="24.28515625" bestFit="1" customWidth="1"/>
    <col min="14" max="14" width="13.5703125" bestFit="1" customWidth="1"/>
    <col min="15" max="15" width="10.7109375" bestFit="1" customWidth="1"/>
    <col min="16" max="16" width="6.28515625" bestFit="1" customWidth="1"/>
    <col min="17" max="17" width="15.28515625" bestFit="1" customWidth="1"/>
  </cols>
  <sheetData>
    <row r="1" spans="1:2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H1" t="s">
        <v>8</v>
      </c>
      <c r="I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21" s="1" customFormat="1" x14ac:dyDescent="0.25">
      <c r="A2" s="1" t="s">
        <v>17</v>
      </c>
      <c r="B2" s="1" t="s">
        <v>31</v>
      </c>
      <c r="C2" s="1" t="s">
        <v>19</v>
      </c>
      <c r="D2" s="1" t="s">
        <v>20</v>
      </c>
      <c r="E2" s="1">
        <v>60</v>
      </c>
      <c r="F2" s="1">
        <v>21618313</v>
      </c>
      <c r="G2" s="1" t="str">
        <f>CONCATENATE(F2,"OVR")</f>
        <v>21618313OVR</v>
      </c>
      <c r="H2" s="1" t="s">
        <v>21</v>
      </c>
      <c r="I2" s="1">
        <v>50088536</v>
      </c>
      <c r="J2" s="1" t="str">
        <f>CONCATENATE(I2,"OVR")</f>
        <v>50088536OVR</v>
      </c>
      <c r="K2" s="1" t="s">
        <v>22</v>
      </c>
      <c r="L2" s="1" t="s">
        <v>23</v>
      </c>
      <c r="M2" s="1" t="s">
        <v>24</v>
      </c>
      <c r="N2" s="2">
        <v>46023</v>
      </c>
      <c r="O2" s="2">
        <v>46387</v>
      </c>
      <c r="P2" s="1" t="s">
        <v>27</v>
      </c>
      <c r="Q2" s="1" t="s">
        <v>49</v>
      </c>
    </row>
    <row r="3" spans="1:21" s="1" customFormat="1" x14ac:dyDescent="0.25">
      <c r="A3" s="1" t="s">
        <v>17</v>
      </c>
      <c r="B3" s="1" t="s">
        <v>31</v>
      </c>
      <c r="C3" s="1" t="s">
        <v>19</v>
      </c>
      <c r="D3" s="1" t="s">
        <v>20</v>
      </c>
      <c r="E3" s="1">
        <v>60</v>
      </c>
      <c r="F3" s="1">
        <v>21618313</v>
      </c>
      <c r="G3" s="1" t="str">
        <f t="shared" ref="G3:G7" si="0">CONCATENATE(F3,"OVR")</f>
        <v>21618313OVR</v>
      </c>
      <c r="H3" s="1" t="s">
        <v>21</v>
      </c>
      <c r="I3" s="1">
        <v>50108216</v>
      </c>
      <c r="J3" s="1" t="str">
        <f t="shared" ref="J3:J7" si="1">CONCATENATE(I3,"OVR")</f>
        <v>50108216OVR</v>
      </c>
      <c r="K3" s="1" t="s">
        <v>32</v>
      </c>
      <c r="L3" s="1" t="s">
        <v>23</v>
      </c>
      <c r="M3" s="1" t="s">
        <v>33</v>
      </c>
      <c r="N3" s="2">
        <v>46023</v>
      </c>
      <c r="O3" s="2">
        <v>46387</v>
      </c>
      <c r="P3" s="1" t="s">
        <v>27</v>
      </c>
      <c r="Q3" s="1" t="s">
        <v>49</v>
      </c>
    </row>
    <row r="4" spans="1:21" s="1" customFormat="1" x14ac:dyDescent="0.25">
      <c r="A4" s="1" t="s">
        <v>17</v>
      </c>
      <c r="B4" s="1" t="s">
        <v>31</v>
      </c>
      <c r="C4" s="1" t="s">
        <v>19</v>
      </c>
      <c r="D4" s="1" t="s">
        <v>28</v>
      </c>
      <c r="E4" s="1">
        <v>60</v>
      </c>
      <c r="F4" s="1">
        <v>17425766</v>
      </c>
      <c r="G4" s="1" t="str">
        <f t="shared" si="0"/>
        <v>17425766OVR</v>
      </c>
      <c r="H4" s="1" t="s">
        <v>21</v>
      </c>
      <c r="I4" s="1">
        <v>50133596</v>
      </c>
      <c r="J4" s="1" t="str">
        <f t="shared" si="1"/>
        <v>50133596OVR</v>
      </c>
      <c r="K4" s="1" t="s">
        <v>29</v>
      </c>
      <c r="L4" s="1" t="s">
        <v>23</v>
      </c>
      <c r="M4" s="1" t="s">
        <v>30</v>
      </c>
      <c r="N4" s="2">
        <v>46023</v>
      </c>
      <c r="O4" s="2">
        <v>46387</v>
      </c>
      <c r="P4" s="1" t="s">
        <v>27</v>
      </c>
      <c r="Q4" s="1" t="s">
        <v>49</v>
      </c>
    </row>
    <row r="5" spans="1:21" s="1" customFormat="1" x14ac:dyDescent="0.25">
      <c r="A5" s="1" t="s">
        <v>17</v>
      </c>
      <c r="B5" s="1" t="s">
        <v>31</v>
      </c>
      <c r="C5" s="1" t="s">
        <v>19</v>
      </c>
      <c r="D5" s="1" t="s">
        <v>34</v>
      </c>
      <c r="E5" s="1">
        <v>60</v>
      </c>
      <c r="F5" s="1">
        <v>19278370</v>
      </c>
      <c r="G5" s="1" t="str">
        <f t="shared" si="0"/>
        <v>19278370OVR</v>
      </c>
      <c r="H5" s="1" t="s">
        <v>21</v>
      </c>
      <c r="I5" s="1">
        <v>51018881</v>
      </c>
      <c r="J5" s="1" t="str">
        <f t="shared" si="1"/>
        <v>51018881OVR</v>
      </c>
      <c r="K5" s="1" t="s">
        <v>35</v>
      </c>
      <c r="L5" s="1" t="s">
        <v>23</v>
      </c>
      <c r="M5" s="1" t="s">
        <v>36</v>
      </c>
      <c r="N5" s="2">
        <v>46023</v>
      </c>
      <c r="O5" s="2">
        <v>46387</v>
      </c>
      <c r="P5" s="1" t="s">
        <v>27</v>
      </c>
      <c r="Q5" s="1" t="s">
        <v>49</v>
      </c>
    </row>
    <row r="6" spans="1:21" s="1" customFormat="1" x14ac:dyDescent="0.25">
      <c r="A6" s="1" t="s">
        <v>17</v>
      </c>
      <c r="B6" s="1" t="s">
        <v>31</v>
      </c>
      <c r="C6" s="1" t="s">
        <v>19</v>
      </c>
      <c r="D6" s="1" t="s">
        <v>20</v>
      </c>
      <c r="E6" s="1">
        <v>60</v>
      </c>
      <c r="F6" s="1">
        <v>21618313</v>
      </c>
      <c r="G6" s="1" t="str">
        <f t="shared" si="0"/>
        <v>21618313OVR</v>
      </c>
      <c r="H6" s="1" t="s">
        <v>21</v>
      </c>
      <c r="I6" s="1">
        <v>50029419</v>
      </c>
      <c r="J6" s="1" t="str">
        <f t="shared" si="1"/>
        <v>50029419OVR</v>
      </c>
      <c r="K6" s="1" t="s">
        <v>38</v>
      </c>
      <c r="L6" s="1" t="s">
        <v>23</v>
      </c>
      <c r="M6" s="1" t="s">
        <v>39</v>
      </c>
      <c r="N6" s="2">
        <v>46023</v>
      </c>
      <c r="O6" s="2">
        <v>46387</v>
      </c>
      <c r="P6" s="1" t="s">
        <v>27</v>
      </c>
      <c r="Q6" s="1" t="s">
        <v>49</v>
      </c>
    </row>
    <row r="7" spans="1:21" s="1" customFormat="1" x14ac:dyDescent="0.25">
      <c r="A7" s="1" t="s">
        <v>17</v>
      </c>
      <c r="B7" s="1" t="s">
        <v>31</v>
      </c>
      <c r="C7" s="1" t="s">
        <v>19</v>
      </c>
      <c r="D7" s="1" t="s">
        <v>34</v>
      </c>
      <c r="E7" s="1">
        <v>100</v>
      </c>
      <c r="F7" s="1">
        <v>19278370</v>
      </c>
      <c r="G7" s="1" t="str">
        <f t="shared" si="0"/>
        <v>19278370OVR</v>
      </c>
      <c r="H7" s="1" t="s">
        <v>21</v>
      </c>
      <c r="I7" s="1">
        <v>51058814</v>
      </c>
      <c r="J7" s="1" t="str">
        <f t="shared" si="1"/>
        <v>51058814OVR</v>
      </c>
      <c r="K7" s="1" t="s">
        <v>40</v>
      </c>
      <c r="L7" s="1" t="s">
        <v>23</v>
      </c>
      <c r="M7" s="1" t="s">
        <v>41</v>
      </c>
      <c r="N7" s="2">
        <v>46204</v>
      </c>
      <c r="O7" s="2">
        <v>46387</v>
      </c>
      <c r="P7" s="1" t="s">
        <v>27</v>
      </c>
      <c r="Q7" s="1" t="s">
        <v>49</v>
      </c>
    </row>
    <row r="8" spans="1:21" s="4" customFormat="1" x14ac:dyDescent="0.25">
      <c r="A8" s="4" t="s">
        <v>17</v>
      </c>
      <c r="B8" s="4" t="s">
        <v>18</v>
      </c>
      <c r="C8" s="4" t="s">
        <v>19</v>
      </c>
      <c r="D8" s="4" t="s">
        <v>20</v>
      </c>
      <c r="E8" s="4">
        <v>32.58</v>
      </c>
      <c r="F8" s="4">
        <v>21618313</v>
      </c>
      <c r="G8" s="4">
        <v>21618313</v>
      </c>
      <c r="H8" s="4" t="s">
        <v>21</v>
      </c>
      <c r="I8" s="4">
        <v>50088536</v>
      </c>
      <c r="J8" s="4" t="str">
        <f>CONCATENATE(I8,2)</f>
        <v>500885362</v>
      </c>
      <c r="K8" s="4" t="s">
        <v>22</v>
      </c>
      <c r="L8" s="4" t="s">
        <v>23</v>
      </c>
      <c r="M8" s="4" t="s">
        <v>24</v>
      </c>
      <c r="N8" s="5">
        <v>46023</v>
      </c>
      <c r="O8" s="5">
        <v>46054</v>
      </c>
      <c r="P8" s="4" t="s">
        <v>27</v>
      </c>
      <c r="Q8" s="4" t="s">
        <v>43</v>
      </c>
      <c r="R8" s="4" t="s">
        <v>44</v>
      </c>
    </row>
    <row r="9" spans="1:21" x14ac:dyDescent="0.25">
      <c r="A9" t="s">
        <v>17</v>
      </c>
      <c r="B9" t="s">
        <v>18</v>
      </c>
      <c r="C9" t="s">
        <v>19</v>
      </c>
      <c r="D9" t="s">
        <v>28</v>
      </c>
      <c r="E9">
        <v>32.58</v>
      </c>
      <c r="F9">
        <v>17425766</v>
      </c>
      <c r="G9">
        <v>17425766</v>
      </c>
      <c r="H9" t="s">
        <v>21</v>
      </c>
      <c r="I9">
        <v>50133596</v>
      </c>
      <c r="J9" s="4" t="str">
        <f t="shared" ref="J9:J13" si="2">CONCATENATE(I9,2)</f>
        <v>501335962</v>
      </c>
      <c r="K9" t="s">
        <v>29</v>
      </c>
      <c r="L9" t="s">
        <v>23</v>
      </c>
      <c r="M9" t="s">
        <v>30</v>
      </c>
      <c r="N9" s="3">
        <v>46023</v>
      </c>
      <c r="O9" s="3">
        <v>46054</v>
      </c>
      <c r="P9" t="s">
        <v>27</v>
      </c>
      <c r="Q9" t="s">
        <v>43</v>
      </c>
      <c r="R9" t="s">
        <v>44</v>
      </c>
    </row>
    <row r="10" spans="1:21" x14ac:dyDescent="0.25">
      <c r="A10" t="s">
        <v>17</v>
      </c>
      <c r="B10" t="s">
        <v>18</v>
      </c>
      <c r="C10" t="s">
        <v>19</v>
      </c>
      <c r="D10" t="s">
        <v>34</v>
      </c>
      <c r="E10">
        <v>65.17</v>
      </c>
      <c r="F10">
        <v>19278370</v>
      </c>
      <c r="G10" t="s">
        <v>48</v>
      </c>
      <c r="H10" t="s">
        <v>21</v>
      </c>
      <c r="I10">
        <v>51018881</v>
      </c>
      <c r="J10" s="4" t="str">
        <f t="shared" si="2"/>
        <v>510188812</v>
      </c>
      <c r="K10" t="s">
        <v>35</v>
      </c>
      <c r="L10" t="s">
        <v>23</v>
      </c>
      <c r="M10" t="s">
        <v>36</v>
      </c>
      <c r="N10" s="3">
        <v>46023</v>
      </c>
      <c r="O10" s="3">
        <v>46082</v>
      </c>
      <c r="P10" t="s">
        <v>27</v>
      </c>
      <c r="Q10" t="s">
        <v>43</v>
      </c>
      <c r="R10" t="s">
        <v>45</v>
      </c>
    </row>
    <row r="11" spans="1:21" x14ac:dyDescent="0.25">
      <c r="A11" t="s">
        <v>17</v>
      </c>
      <c r="B11" t="s">
        <v>18</v>
      </c>
      <c r="C11" t="s">
        <v>19</v>
      </c>
      <c r="D11" t="s">
        <v>34</v>
      </c>
      <c r="E11">
        <v>195.5</v>
      </c>
      <c r="F11">
        <v>19278370</v>
      </c>
      <c r="G11">
        <v>19278370</v>
      </c>
      <c r="H11" t="s">
        <v>21</v>
      </c>
      <c r="I11">
        <v>51058814</v>
      </c>
      <c r="J11" s="4" t="str">
        <f t="shared" si="2"/>
        <v>510588142</v>
      </c>
      <c r="K11" t="s">
        <v>40</v>
      </c>
      <c r="L11" t="s">
        <v>23</v>
      </c>
      <c r="M11" t="s">
        <v>41</v>
      </c>
      <c r="N11" s="3">
        <v>46204</v>
      </c>
      <c r="O11" s="3">
        <v>46387</v>
      </c>
      <c r="P11" t="s">
        <v>27</v>
      </c>
      <c r="Q11" t="s">
        <v>43</v>
      </c>
      <c r="R11" t="s">
        <v>46</v>
      </c>
      <c r="U11">
        <f>391/12*6</f>
        <v>195.5</v>
      </c>
    </row>
    <row r="12" spans="1:21" x14ac:dyDescent="0.25">
      <c r="A12" t="s">
        <v>17</v>
      </c>
      <c r="B12" t="s">
        <v>18</v>
      </c>
      <c r="C12" t="s">
        <v>19</v>
      </c>
      <c r="D12" t="s">
        <v>20</v>
      </c>
      <c r="E12">
        <v>391</v>
      </c>
      <c r="F12">
        <v>21618313</v>
      </c>
      <c r="G12">
        <v>21618313</v>
      </c>
      <c r="H12" t="s">
        <v>21</v>
      </c>
      <c r="I12">
        <v>50108216</v>
      </c>
      <c r="J12" s="4" t="str">
        <f t="shared" si="2"/>
        <v>501082162</v>
      </c>
      <c r="K12" t="s">
        <v>32</v>
      </c>
      <c r="L12" t="s">
        <v>23</v>
      </c>
      <c r="M12" t="s">
        <v>33</v>
      </c>
      <c r="N12" s="3">
        <v>46023</v>
      </c>
      <c r="O12" s="3">
        <v>46387</v>
      </c>
      <c r="P12" t="s">
        <v>27</v>
      </c>
      <c r="Q12" t="s">
        <v>43</v>
      </c>
      <c r="R12" t="s">
        <v>47</v>
      </c>
    </row>
    <row r="13" spans="1:21" x14ac:dyDescent="0.25">
      <c r="A13" t="s">
        <v>17</v>
      </c>
      <c r="B13" t="s">
        <v>18</v>
      </c>
      <c r="C13" t="s">
        <v>19</v>
      </c>
      <c r="D13" t="s">
        <v>20</v>
      </c>
      <c r="E13">
        <v>391</v>
      </c>
      <c r="F13">
        <v>21618313</v>
      </c>
      <c r="G13">
        <v>21618313</v>
      </c>
      <c r="H13" t="s">
        <v>21</v>
      </c>
      <c r="I13">
        <v>50029419</v>
      </c>
      <c r="J13" s="4" t="str">
        <f t="shared" si="2"/>
        <v>500294192</v>
      </c>
      <c r="K13" t="s">
        <v>38</v>
      </c>
      <c r="L13" t="s">
        <v>23</v>
      </c>
      <c r="M13" t="s">
        <v>39</v>
      </c>
      <c r="N13" s="3">
        <v>46023</v>
      </c>
      <c r="O13" s="3">
        <v>46387</v>
      </c>
      <c r="P13" t="s">
        <v>27</v>
      </c>
      <c r="Q13" t="s">
        <v>43</v>
      </c>
      <c r="R13" t="s">
        <v>47</v>
      </c>
    </row>
  </sheetData>
  <sortState xmlns:xlrd2="http://schemas.microsoft.com/office/spreadsheetml/2017/richdata2" ref="A2:R13">
    <sortCondition ref="B2:B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2026-07-13T07:05:45Z</dcterms:created>
  <dcterms:modified xsi:type="dcterms:W3CDTF">2026-07-13T19:35:57Z</dcterms:modified>
  <cp:category/>
</cp:coreProperties>
</file>