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6CB36FF-2F76-4335-9B1D-98918D5A65F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J16" i="2" l="1"/>
  <c r="J12" i="2"/>
  <c r="J15" i="2"/>
  <c r="J11" i="2"/>
  <c r="J14" i="2"/>
  <c r="J10" i="2"/>
  <c r="J13" i="2"/>
  <c r="J17" i="2"/>
  <c r="J9" i="2"/>
  <c r="J8" i="2"/>
  <c r="J7" i="2"/>
  <c r="J6" i="2"/>
  <c r="J5" i="2"/>
  <c r="J4" i="2"/>
  <c r="J3" i="2"/>
  <c r="J2" i="2"/>
  <c r="P13" i="2"/>
  <c r="P17" i="2"/>
</calcChain>
</file>

<file path=xl/sharedStrings.xml><?xml version="1.0" encoding="utf-8"?>
<sst xmlns="http://schemas.openxmlformats.org/spreadsheetml/2006/main" count="412" uniqueCount="52">
  <si>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</si>
  <si>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</si>
  <si>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</si>
  <si>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</si>
  <si>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</si>
  <si>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</si>
  <si>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</si>
  <si>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</si>
  <si>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</si>
  <si>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</si>
  <si>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</si>
  <si>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</si>
  <si>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</si>
  <si>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</si>
  <si>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</si>
  <si>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</si>
  <si>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2026-02-23</t>
  </si>
  <si>
    <t/>
  </si>
  <si>
    <t>Agency Marketing Fee</t>
  </si>
  <si>
    <t>MLB</t>
  </si>
  <si>
    <t>Kozacheck, Anne Marie</t>
  </si>
  <si>
    <t>Ibc</t>
  </si>
  <si>
    <t>5V24VC0KF65</t>
  </si>
  <si>
    <t>MAPD</t>
  </si>
  <si>
    <t>Rider Snelson, Tracey</t>
  </si>
  <si>
    <t>2026-01-01</t>
  </si>
  <si>
    <t>7D90WR2QC38</t>
  </si>
  <si>
    <t>Cahill, Thomas</t>
  </si>
  <si>
    <t>2026-02-01</t>
  </si>
  <si>
    <t>Foley, Carol</t>
  </si>
  <si>
    <t>8JH9TV4RE47</t>
  </si>
  <si>
    <t>Debenedictis, Carol</t>
  </si>
  <si>
    <t>8F41FX6PY11</t>
  </si>
  <si>
    <t>Hulse, Carol</t>
  </si>
  <si>
    <t>Roccia, Mark</t>
  </si>
  <si>
    <t>6QJ7AV2PQ40</t>
  </si>
  <si>
    <t>Kuntz, Paul</t>
  </si>
  <si>
    <t>2026-03-01</t>
  </si>
  <si>
    <t>1VK9PC5WK25</t>
  </si>
  <si>
    <t>Miller, Herbert</t>
  </si>
  <si>
    <t>9T16GQ1TY59</t>
  </si>
  <si>
    <t>Shreiner, Charles</t>
  </si>
  <si>
    <t>4Q41JJ6JG18</t>
  </si>
  <si>
    <t>Trowery, Linette</t>
  </si>
  <si>
    <t>Commission Difference</t>
  </si>
  <si>
    <t>Main Line Benefits</t>
  </si>
  <si>
    <t>IBC MAPD 2026*</t>
  </si>
  <si>
    <t>IBC MAPD OVR</t>
  </si>
  <si>
    <t>[%/$=391][prorate=10/12]</t>
  </si>
  <si>
    <t>[%/$=391][prorate=11/12]</t>
  </si>
  <si>
    <t>[%/$=391][prorate=12/12]</t>
  </si>
  <si>
    <t>19278370old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</si>
</sst>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G1" sqref="G1:G1048576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2.14062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4" bestFit="1" customWidth="1"/>
    <col min="12" max="12" width="9.5703125" bestFit="1" customWidth="1"/>
    <col min="13" max="13" width="20.140625" bestFit="1" customWidth="1"/>
    <col min="14" max="14" width="13.5703125" bestFit="1" customWidth="1"/>
    <col min="15" max="15" width="10.1406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60</v>
      </c>
      <c r="H2">
        <v>19278370</v>
      </c>
      <c r="I2" t="s">
        <v>21</v>
      </c>
      <c r="J2">
        <v>51044362</v>
      </c>
      <c r="K2" t="s">
        <v>22</v>
      </c>
      <c r="L2" t="s">
        <v>23</v>
      </c>
      <c r="M2" t="s">
        <v>24</v>
      </c>
      <c r="N2" t="s">
        <v>25</v>
      </c>
      <c r="O2" t="s">
        <v>17</v>
      </c>
      <c r="P2" t="s">
        <v>17</v>
      </c>
    </row>
    <row r="3" spans="1:16" x14ac:dyDescent="0.25">
      <c r="A3" t="s">
        <v>16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100</v>
      </c>
      <c r="H3">
        <v>19278370</v>
      </c>
      <c r="I3" t="s">
        <v>21</v>
      </c>
      <c r="J3">
        <v>51055723</v>
      </c>
      <c r="K3" t="s">
        <v>26</v>
      </c>
      <c r="L3" t="s">
        <v>23</v>
      </c>
      <c r="M3" t="s">
        <v>27</v>
      </c>
      <c r="N3" t="s">
        <v>28</v>
      </c>
      <c r="O3" t="s">
        <v>17</v>
      </c>
      <c r="P3" t="s">
        <v>17</v>
      </c>
    </row>
    <row r="4" spans="1:16" x14ac:dyDescent="0.25">
      <c r="A4" t="s">
        <v>16</v>
      </c>
      <c r="B4" t="s">
        <v>16</v>
      </c>
      <c r="C4" t="s">
        <v>17</v>
      </c>
      <c r="D4" t="s">
        <v>18</v>
      </c>
      <c r="E4" t="s">
        <v>19</v>
      </c>
      <c r="F4" t="s">
        <v>29</v>
      </c>
      <c r="G4">
        <v>100</v>
      </c>
      <c r="H4">
        <v>17425766</v>
      </c>
      <c r="I4" t="s">
        <v>21</v>
      </c>
      <c r="J4">
        <v>50005016</v>
      </c>
      <c r="K4" t="s">
        <v>30</v>
      </c>
      <c r="L4" t="s">
        <v>23</v>
      </c>
      <c r="M4" t="s">
        <v>31</v>
      </c>
      <c r="N4" t="s">
        <v>28</v>
      </c>
      <c r="O4" t="s">
        <v>17</v>
      </c>
      <c r="P4" t="s">
        <v>17</v>
      </c>
    </row>
    <row r="5" spans="1:16" x14ac:dyDescent="0.25">
      <c r="A5" t="s">
        <v>16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100</v>
      </c>
      <c r="H5">
        <v>19278370</v>
      </c>
      <c r="I5" t="s">
        <v>21</v>
      </c>
      <c r="J5">
        <v>51055591</v>
      </c>
      <c r="K5" t="s">
        <v>32</v>
      </c>
      <c r="L5" t="s">
        <v>23</v>
      </c>
      <c r="M5" t="s">
        <v>33</v>
      </c>
      <c r="N5" t="s">
        <v>28</v>
      </c>
      <c r="O5" t="s">
        <v>17</v>
      </c>
      <c r="P5" t="s">
        <v>17</v>
      </c>
    </row>
    <row r="6" spans="1:16" x14ac:dyDescent="0.25">
      <c r="A6" t="s">
        <v>16</v>
      </c>
      <c r="B6" t="s">
        <v>16</v>
      </c>
      <c r="C6" t="s">
        <v>17</v>
      </c>
      <c r="D6" t="s">
        <v>18</v>
      </c>
      <c r="E6" t="s">
        <v>19</v>
      </c>
      <c r="F6" t="s">
        <v>34</v>
      </c>
      <c r="G6">
        <v>100</v>
      </c>
      <c r="H6">
        <v>21618313</v>
      </c>
      <c r="I6" t="s">
        <v>21</v>
      </c>
      <c r="J6">
        <v>51055814</v>
      </c>
      <c r="K6" t="s">
        <v>35</v>
      </c>
      <c r="L6" t="s">
        <v>23</v>
      </c>
      <c r="M6" t="s">
        <v>36</v>
      </c>
      <c r="N6" t="s">
        <v>37</v>
      </c>
      <c r="O6" t="s">
        <v>17</v>
      </c>
      <c r="P6" t="s">
        <v>17</v>
      </c>
    </row>
    <row r="7" spans="1:16" x14ac:dyDescent="0.25">
      <c r="A7" t="s">
        <v>16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>
        <v>100</v>
      </c>
      <c r="H7">
        <v>17425766</v>
      </c>
      <c r="I7" t="s">
        <v>21</v>
      </c>
      <c r="J7">
        <v>50123830</v>
      </c>
      <c r="K7" t="s">
        <v>38</v>
      </c>
      <c r="L7" t="s">
        <v>23</v>
      </c>
      <c r="M7" t="s">
        <v>39</v>
      </c>
      <c r="N7" t="s">
        <v>28</v>
      </c>
      <c r="O7" t="s">
        <v>17</v>
      </c>
      <c r="P7" t="s">
        <v>17</v>
      </c>
    </row>
    <row r="8" spans="1:16" x14ac:dyDescent="0.25">
      <c r="A8" t="s">
        <v>16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100</v>
      </c>
      <c r="H8">
        <v>19278370</v>
      </c>
      <c r="I8" t="s">
        <v>21</v>
      </c>
      <c r="J8">
        <v>51055584</v>
      </c>
      <c r="K8" t="s">
        <v>40</v>
      </c>
      <c r="L8" t="s">
        <v>23</v>
      </c>
      <c r="M8" t="s">
        <v>41</v>
      </c>
      <c r="N8" t="s">
        <v>28</v>
      </c>
      <c r="O8" t="s">
        <v>17</v>
      </c>
      <c r="P8" t="s">
        <v>17</v>
      </c>
    </row>
    <row r="9" spans="1:16" x14ac:dyDescent="0.25">
      <c r="A9" t="s">
        <v>16</v>
      </c>
      <c r="B9" t="s">
        <v>16</v>
      </c>
      <c r="C9" t="s">
        <v>17</v>
      </c>
      <c r="D9" t="s">
        <v>18</v>
      </c>
      <c r="E9" t="s">
        <v>19</v>
      </c>
      <c r="F9" t="s">
        <v>29</v>
      </c>
      <c r="G9">
        <v>100</v>
      </c>
      <c r="H9">
        <v>17425766</v>
      </c>
      <c r="I9" t="s">
        <v>21</v>
      </c>
      <c r="J9">
        <v>51055719</v>
      </c>
      <c r="K9" t="s">
        <v>42</v>
      </c>
      <c r="L9" t="s">
        <v>23</v>
      </c>
      <c r="M9" t="s">
        <v>43</v>
      </c>
      <c r="N9" t="s">
        <v>28</v>
      </c>
      <c r="O9" t="s">
        <v>17</v>
      </c>
      <c r="P9" t="s">
        <v>17</v>
      </c>
    </row>
    <row r="10" spans="1:16" x14ac:dyDescent="0.25">
      <c r="A10" t="s">
        <v>16</v>
      </c>
      <c r="B10" t="s">
        <v>16</v>
      </c>
      <c r="C10" t="s">
        <v>17</v>
      </c>
      <c r="D10" t="s">
        <v>44</v>
      </c>
      <c r="E10" t="s">
        <v>19</v>
      </c>
      <c r="F10" t="s">
        <v>34</v>
      </c>
      <c r="G10">
        <v>325.83</v>
      </c>
      <c r="H10">
        <v>21618313</v>
      </c>
      <c r="I10" t="s">
        <v>21</v>
      </c>
      <c r="J10">
        <v>51055814</v>
      </c>
      <c r="K10" t="s">
        <v>35</v>
      </c>
      <c r="L10" t="s">
        <v>23</v>
      </c>
      <c r="M10" t="s">
        <v>36</v>
      </c>
      <c r="N10" t="s">
        <v>37</v>
      </c>
      <c r="O10" t="s">
        <v>17</v>
      </c>
      <c r="P10" t="s">
        <v>17</v>
      </c>
    </row>
    <row r="11" spans="1:16" x14ac:dyDescent="0.25">
      <c r="A11" t="s">
        <v>16</v>
      </c>
      <c r="B11" t="s">
        <v>16</v>
      </c>
      <c r="C11" t="s">
        <v>17</v>
      </c>
      <c r="D11" t="s">
        <v>44</v>
      </c>
      <c r="E11" t="s">
        <v>19</v>
      </c>
      <c r="F11" t="s">
        <v>20</v>
      </c>
      <c r="G11">
        <v>358.42</v>
      </c>
      <c r="H11">
        <v>19278370</v>
      </c>
      <c r="I11" t="s">
        <v>21</v>
      </c>
      <c r="J11">
        <v>51055723</v>
      </c>
      <c r="K11" t="s">
        <v>26</v>
      </c>
      <c r="L11" t="s">
        <v>23</v>
      </c>
      <c r="M11" t="s">
        <v>27</v>
      </c>
      <c r="N11" t="s">
        <v>28</v>
      </c>
      <c r="O11" t="s">
        <v>17</v>
      </c>
      <c r="P11" t="s">
        <v>17</v>
      </c>
    </row>
    <row r="12" spans="1:16" x14ac:dyDescent="0.25">
      <c r="A12" t="s">
        <v>16</v>
      </c>
      <c r="B12" t="s">
        <v>16</v>
      </c>
      <c r="C12" t="s">
        <v>17</v>
      </c>
      <c r="D12" t="s">
        <v>44</v>
      </c>
      <c r="E12" t="s">
        <v>19</v>
      </c>
      <c r="F12" t="s">
        <v>29</v>
      </c>
      <c r="G12">
        <v>358.42</v>
      </c>
      <c r="H12">
        <v>17425766</v>
      </c>
      <c r="I12" t="s">
        <v>21</v>
      </c>
      <c r="J12">
        <v>50005016</v>
      </c>
      <c r="K12" t="s">
        <v>30</v>
      </c>
      <c r="L12" t="s">
        <v>23</v>
      </c>
      <c r="M12" t="s">
        <v>31</v>
      </c>
      <c r="N12" t="s">
        <v>28</v>
      </c>
      <c r="O12" t="s">
        <v>17</v>
      </c>
      <c r="P12" t="s">
        <v>17</v>
      </c>
    </row>
    <row r="13" spans="1:16" x14ac:dyDescent="0.25">
      <c r="A13" t="s">
        <v>16</v>
      </c>
      <c r="B13" t="s">
        <v>16</v>
      </c>
      <c r="C13" t="s">
        <v>17</v>
      </c>
      <c r="D13" t="s">
        <v>44</v>
      </c>
      <c r="E13" t="s">
        <v>19</v>
      </c>
      <c r="F13" t="s">
        <v>20</v>
      </c>
      <c r="G13">
        <v>358.42</v>
      </c>
      <c r="H13">
        <v>19278370</v>
      </c>
      <c r="I13" t="s">
        <v>21</v>
      </c>
      <c r="J13">
        <v>51055591</v>
      </c>
      <c r="K13" t="s">
        <v>32</v>
      </c>
      <c r="L13" t="s">
        <v>23</v>
      </c>
      <c r="M13" t="s">
        <v>33</v>
      </c>
      <c r="N13" t="s">
        <v>28</v>
      </c>
      <c r="O13" t="s">
        <v>17</v>
      </c>
      <c r="P13" t="s">
        <v>17</v>
      </c>
    </row>
    <row r="14" spans="1:16" x14ac:dyDescent="0.25">
      <c r="A14" t="s">
        <v>16</v>
      </c>
      <c r="B14" t="s">
        <v>16</v>
      </c>
      <c r="C14" t="s">
        <v>17</v>
      </c>
      <c r="D14" t="s">
        <v>44</v>
      </c>
      <c r="E14" t="s">
        <v>19</v>
      </c>
      <c r="F14" t="s">
        <v>29</v>
      </c>
      <c r="G14">
        <v>358.42</v>
      </c>
      <c r="H14">
        <v>17425766</v>
      </c>
      <c r="I14" t="s">
        <v>21</v>
      </c>
      <c r="J14">
        <v>50123830</v>
      </c>
      <c r="K14" t="s">
        <v>38</v>
      </c>
      <c r="L14" t="s">
        <v>23</v>
      </c>
      <c r="M14" t="s">
        <v>39</v>
      </c>
      <c r="N14" t="s">
        <v>28</v>
      </c>
      <c r="O14" t="s">
        <v>17</v>
      </c>
      <c r="P14" t="s">
        <v>17</v>
      </c>
    </row>
    <row r="15" spans="1:16" x14ac:dyDescent="0.25">
      <c r="A15" t="s">
        <v>16</v>
      </c>
      <c r="B15" t="s">
        <v>16</v>
      </c>
      <c r="C15" t="s">
        <v>17</v>
      </c>
      <c r="D15" t="s">
        <v>44</v>
      </c>
      <c r="E15" t="s">
        <v>19</v>
      </c>
      <c r="F15" t="s">
        <v>20</v>
      </c>
      <c r="G15">
        <v>358.42</v>
      </c>
      <c r="H15">
        <v>19278370</v>
      </c>
      <c r="I15" t="s">
        <v>21</v>
      </c>
      <c r="J15">
        <v>51055584</v>
      </c>
      <c r="K15" t="s">
        <v>40</v>
      </c>
      <c r="L15" t="s">
        <v>23</v>
      </c>
      <c r="M15" t="s">
        <v>41</v>
      </c>
      <c r="N15" t="s">
        <v>28</v>
      </c>
      <c r="O15" t="s">
        <v>17</v>
      </c>
      <c r="P15" t="s">
        <v>17</v>
      </c>
    </row>
    <row r="16" spans="1:16" x14ac:dyDescent="0.25">
      <c r="A16" t="s">
        <v>16</v>
      </c>
      <c r="B16" t="s">
        <v>16</v>
      </c>
      <c r="C16" t="s">
        <v>17</v>
      </c>
      <c r="D16" t="s">
        <v>44</v>
      </c>
      <c r="E16" t="s">
        <v>19</v>
      </c>
      <c r="F16" t="s">
        <v>29</v>
      </c>
      <c r="G16">
        <v>358.42</v>
      </c>
      <c r="H16">
        <v>17425766</v>
      </c>
      <c r="I16" t="s">
        <v>21</v>
      </c>
      <c r="J16">
        <v>51055719</v>
      </c>
      <c r="K16" t="s">
        <v>42</v>
      </c>
      <c r="L16" t="s">
        <v>23</v>
      </c>
      <c r="M16" t="s">
        <v>43</v>
      </c>
      <c r="N16" t="s">
        <v>28</v>
      </c>
      <c r="O16" t="s">
        <v>17</v>
      </c>
      <c r="P16" t="s">
        <v>17</v>
      </c>
    </row>
    <row r="17" spans="1:16" x14ac:dyDescent="0.25">
      <c r="A17" t="s">
        <v>16</v>
      </c>
      <c r="B17" t="s">
        <v>16</v>
      </c>
      <c r="C17" t="s">
        <v>17</v>
      </c>
      <c r="D17" t="s">
        <v>44</v>
      </c>
      <c r="E17" t="s">
        <v>19</v>
      </c>
      <c r="F17" t="s">
        <v>20</v>
      </c>
      <c r="G17">
        <v>391</v>
      </c>
      <c r="H17">
        <v>19278370</v>
      </c>
      <c r="I17" t="s">
        <v>21</v>
      </c>
      <c r="J17">
        <v>51044362</v>
      </c>
      <c r="K17" t="s">
        <v>22</v>
      </c>
      <c r="L17" t="s">
        <v>23</v>
      </c>
      <c r="M17" t="s">
        <v>24</v>
      </c>
      <c r="N17" t="s">
        <v>25</v>
      </c>
      <c r="O17" t="s">
        <v>17</v>
      </c>
      <c r="P17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3A3A-CAC5-49E8-914C-5D6B8A9EDB72}">
  <dimension ref="A1:Q17"/>
  <sheetViews>
    <sheetView workbookViewId="0">
      <selection activeCell="O2" sqref="O2:O17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22.140625" bestFit="1" customWidth="1"/>
    <col min="4" max="4" width="7.42578125" bestFit="1" customWidth="1"/>
    <col min="5" max="5" width="21.85546875" bestFit="1" customWidth="1"/>
    <col min="6" max="6" width="8.140625" bestFit="1" customWidth="1"/>
    <col min="7" max="7" width="10.7109375" bestFit="1" customWidth="1"/>
    <col min="8" max="8" width="7" bestFit="1" customWidth="1"/>
    <col min="9" max="9" width="15.140625" bestFit="1" customWidth="1"/>
    <col min="10" max="10" width="15.140625" customWidth="1"/>
    <col min="11" max="11" width="9.5703125" bestFit="1" customWidth="1"/>
    <col min="12" max="12" width="20.140625" bestFit="1" customWidth="1"/>
    <col min="13" max="13" width="13.5703125" bestFit="1" customWidth="1"/>
    <col min="14" max="14" width="15.28515625" bestFit="1" customWidth="1"/>
    <col min="15" max="15" width="23.140625" bestFit="1" customWidth="1"/>
  </cols>
  <sheetData>
    <row r="1" spans="1:17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7" s="1" customFormat="1" x14ac:dyDescent="0.25">
      <c r="A2" s="1" t="s">
        <v>16</v>
      </c>
      <c r="B2" s="1" t="s">
        <v>16</v>
      </c>
      <c r="C2" s="1" t="s">
        <v>18</v>
      </c>
      <c r="D2" s="1" t="s">
        <v>19</v>
      </c>
      <c r="E2" s="1" t="s">
        <v>45</v>
      </c>
      <c r="F2" s="1">
        <v>60</v>
      </c>
      <c r="G2" s="1">
        <v>20411454</v>
      </c>
      <c r="H2" s="1" t="s">
        <v>21</v>
      </c>
      <c r="I2" s="1">
        <v>51044362</v>
      </c>
      <c r="J2" s="1" t="str">
        <f>CONCATENATE(I2,"OVR")</f>
        <v>51044362OVR</v>
      </c>
      <c r="K2" s="1" t="s">
        <v>23</v>
      </c>
      <c r="L2" s="1" t="s">
        <v>24</v>
      </c>
      <c r="M2" s="2">
        <v>46023</v>
      </c>
      <c r="N2" s="1" t="s">
        <v>47</v>
      </c>
      <c r="O2" s="1" t="s">
        <v>17</v>
      </c>
    </row>
    <row r="3" spans="1:17" s="1" customFormat="1" x14ac:dyDescent="0.25">
      <c r="A3" s="1" t="s">
        <v>16</v>
      </c>
      <c r="B3" s="1" t="s">
        <v>16</v>
      </c>
      <c r="C3" s="1" t="s">
        <v>18</v>
      </c>
      <c r="D3" s="1" t="s">
        <v>19</v>
      </c>
      <c r="E3" s="1" t="s">
        <v>45</v>
      </c>
      <c r="F3" s="1">
        <v>100</v>
      </c>
      <c r="G3" s="1">
        <v>20411454</v>
      </c>
      <c r="H3" s="1" t="s">
        <v>21</v>
      </c>
      <c r="I3" s="1">
        <v>51055723</v>
      </c>
      <c r="J3" s="1" t="str">
        <f t="shared" ref="J3:J9" si="0">CONCATENATE(I3,"OVR")</f>
        <v>51055723OVR</v>
      </c>
      <c r="K3" s="1" t="s">
        <v>23</v>
      </c>
      <c r="L3" s="1" t="s">
        <v>27</v>
      </c>
      <c r="M3" s="2">
        <v>46054</v>
      </c>
      <c r="N3" s="1" t="s">
        <v>47</v>
      </c>
      <c r="O3" s="1" t="s">
        <v>17</v>
      </c>
    </row>
    <row r="4" spans="1:17" s="1" customFormat="1" x14ac:dyDescent="0.25">
      <c r="A4" s="1" t="s">
        <v>16</v>
      </c>
      <c r="B4" s="1" t="s">
        <v>16</v>
      </c>
      <c r="C4" s="1" t="s">
        <v>18</v>
      </c>
      <c r="D4" s="1" t="s">
        <v>19</v>
      </c>
      <c r="E4" s="1" t="s">
        <v>45</v>
      </c>
      <c r="F4" s="1">
        <v>100</v>
      </c>
      <c r="G4" s="1">
        <v>20411454</v>
      </c>
      <c r="H4" s="1" t="s">
        <v>21</v>
      </c>
      <c r="I4" s="1">
        <v>50005016</v>
      </c>
      <c r="J4" s="1" t="str">
        <f t="shared" si="0"/>
        <v>50005016OVR</v>
      </c>
      <c r="K4" s="1" t="s">
        <v>23</v>
      </c>
      <c r="L4" s="1" t="s">
        <v>31</v>
      </c>
      <c r="M4" s="2">
        <v>46054</v>
      </c>
      <c r="N4" s="1" t="s">
        <v>47</v>
      </c>
      <c r="O4" s="1" t="s">
        <v>17</v>
      </c>
    </row>
    <row r="5" spans="1:17" s="1" customFormat="1" x14ac:dyDescent="0.25">
      <c r="A5" s="1" t="s">
        <v>16</v>
      </c>
      <c r="B5" s="1" t="s">
        <v>16</v>
      </c>
      <c r="C5" s="1" t="s">
        <v>18</v>
      </c>
      <c r="D5" s="1" t="s">
        <v>19</v>
      </c>
      <c r="E5" s="1" t="s">
        <v>45</v>
      </c>
      <c r="F5" s="1">
        <v>100</v>
      </c>
      <c r="G5" s="1">
        <v>20411454</v>
      </c>
      <c r="H5" s="1" t="s">
        <v>21</v>
      </c>
      <c r="I5" s="1">
        <v>51055591</v>
      </c>
      <c r="J5" s="1" t="str">
        <f t="shared" si="0"/>
        <v>51055591OVR</v>
      </c>
      <c r="K5" s="1" t="s">
        <v>23</v>
      </c>
      <c r="L5" s="1" t="s">
        <v>33</v>
      </c>
      <c r="M5" s="2">
        <v>46054</v>
      </c>
      <c r="N5" s="1" t="s">
        <v>47</v>
      </c>
      <c r="O5" s="1" t="s">
        <v>17</v>
      </c>
    </row>
    <row r="6" spans="1:17" s="1" customFormat="1" x14ac:dyDescent="0.25">
      <c r="A6" s="1" t="s">
        <v>16</v>
      </c>
      <c r="B6" s="1" t="s">
        <v>16</v>
      </c>
      <c r="C6" s="1" t="s">
        <v>18</v>
      </c>
      <c r="D6" s="1" t="s">
        <v>19</v>
      </c>
      <c r="E6" s="1" t="s">
        <v>45</v>
      </c>
      <c r="F6" s="1">
        <v>100</v>
      </c>
      <c r="G6" s="1">
        <v>20411454</v>
      </c>
      <c r="H6" s="1" t="s">
        <v>21</v>
      </c>
      <c r="I6" s="1">
        <v>51055814</v>
      </c>
      <c r="J6" s="1" t="str">
        <f t="shared" si="0"/>
        <v>51055814OVR</v>
      </c>
      <c r="K6" s="1" t="s">
        <v>23</v>
      </c>
      <c r="L6" s="1" t="s">
        <v>36</v>
      </c>
      <c r="M6" s="2">
        <v>46082</v>
      </c>
      <c r="N6" s="1" t="s">
        <v>47</v>
      </c>
      <c r="O6" s="1" t="s">
        <v>17</v>
      </c>
    </row>
    <row r="7" spans="1:17" s="1" customFormat="1" x14ac:dyDescent="0.25">
      <c r="A7" s="1" t="s">
        <v>16</v>
      </c>
      <c r="B7" s="1" t="s">
        <v>16</v>
      </c>
      <c r="C7" s="1" t="s">
        <v>18</v>
      </c>
      <c r="D7" s="1" t="s">
        <v>19</v>
      </c>
      <c r="E7" s="1" t="s">
        <v>45</v>
      </c>
      <c r="F7" s="1">
        <v>100</v>
      </c>
      <c r="G7" s="1">
        <v>20411454</v>
      </c>
      <c r="H7" s="1" t="s">
        <v>21</v>
      </c>
      <c r="I7" s="1">
        <v>50123830</v>
      </c>
      <c r="J7" s="1" t="str">
        <f t="shared" si="0"/>
        <v>50123830OVR</v>
      </c>
      <c r="K7" s="1" t="s">
        <v>23</v>
      </c>
      <c r="L7" s="1" t="s">
        <v>39</v>
      </c>
      <c r="M7" s="2">
        <v>46054</v>
      </c>
      <c r="N7" s="1" t="s">
        <v>47</v>
      </c>
      <c r="O7" s="1" t="s">
        <v>17</v>
      </c>
    </row>
    <row r="8" spans="1:17" s="1" customFormat="1" x14ac:dyDescent="0.25">
      <c r="A8" s="1" t="s">
        <v>16</v>
      </c>
      <c r="B8" s="1" t="s">
        <v>16</v>
      </c>
      <c r="C8" s="1" t="s">
        <v>18</v>
      </c>
      <c r="D8" s="1" t="s">
        <v>19</v>
      </c>
      <c r="E8" s="1" t="s">
        <v>45</v>
      </c>
      <c r="F8" s="1">
        <v>100</v>
      </c>
      <c r="G8" s="1">
        <v>20411454</v>
      </c>
      <c r="H8" s="1" t="s">
        <v>21</v>
      </c>
      <c r="I8" s="1">
        <v>51055584</v>
      </c>
      <c r="J8" s="1" t="str">
        <f t="shared" si="0"/>
        <v>51055584OVR</v>
      </c>
      <c r="K8" s="1" t="s">
        <v>23</v>
      </c>
      <c r="L8" s="1" t="s">
        <v>41</v>
      </c>
      <c r="M8" s="2">
        <v>46054</v>
      </c>
      <c r="N8" s="1" t="s">
        <v>47</v>
      </c>
      <c r="O8" s="1" t="s">
        <v>17</v>
      </c>
    </row>
    <row r="9" spans="1:17" s="1" customFormat="1" x14ac:dyDescent="0.25">
      <c r="A9" s="1" t="s">
        <v>16</v>
      </c>
      <c r="B9" s="1" t="s">
        <v>16</v>
      </c>
      <c r="C9" s="1" t="s">
        <v>18</v>
      </c>
      <c r="D9" s="1" t="s">
        <v>19</v>
      </c>
      <c r="E9" s="1" t="s">
        <v>45</v>
      </c>
      <c r="F9" s="1">
        <v>100</v>
      </c>
      <c r="G9" s="1">
        <v>20411454</v>
      </c>
      <c r="H9" s="1" t="s">
        <v>21</v>
      </c>
      <c r="I9" s="1">
        <v>51055719</v>
      </c>
      <c r="J9" s="1" t="str">
        <f t="shared" si="0"/>
        <v>51055719OVR</v>
      </c>
      <c r="K9" s="1" t="s">
        <v>23</v>
      </c>
      <c r="L9" s="1" t="s">
        <v>43</v>
      </c>
      <c r="M9" s="2">
        <v>46054</v>
      </c>
      <c r="N9" s="1" t="s">
        <v>47</v>
      </c>
      <c r="O9" s="1" t="s">
        <v>17</v>
      </c>
    </row>
    <row r="10" spans="1:17" s="4" customFormat="1" x14ac:dyDescent="0.25">
      <c r="A10" t="s">
        <v>16</v>
      </c>
      <c r="B10" t="s">
        <v>16</v>
      </c>
      <c r="C10" t="s">
        <v>44</v>
      </c>
      <c r="D10" t="s">
        <v>19</v>
      </c>
      <c r="E10" t="s">
        <v>29</v>
      </c>
      <c r="F10">
        <v>358.42</v>
      </c>
      <c r="G10">
        <v>17425766</v>
      </c>
      <c r="H10" t="s">
        <v>21</v>
      </c>
      <c r="I10">
        <v>50005016</v>
      </c>
      <c r="J10" s="4" t="str">
        <f>CONCATENATE(I10,2)</f>
        <v>500050162</v>
      </c>
      <c r="K10" t="s">
        <v>23</v>
      </c>
      <c r="L10" t="s">
        <v>31</v>
      </c>
      <c r="M10" s="3">
        <v>46054</v>
      </c>
      <c r="N10" t="s">
        <v>46</v>
      </c>
      <c r="O10" t="s">
        <v>49</v>
      </c>
      <c r="P10"/>
      <c r="Q10"/>
    </row>
    <row r="11" spans="1:17" x14ac:dyDescent="0.25">
      <c r="A11" t="s">
        <v>16</v>
      </c>
      <c r="B11" t="s">
        <v>16</v>
      </c>
      <c r="C11" t="s">
        <v>44</v>
      </c>
      <c r="D11" t="s">
        <v>19</v>
      </c>
      <c r="E11" t="s">
        <v>29</v>
      </c>
      <c r="F11">
        <v>358.42</v>
      </c>
      <c r="G11">
        <v>17425766</v>
      </c>
      <c r="H11" t="s">
        <v>21</v>
      </c>
      <c r="I11">
        <v>50123830</v>
      </c>
      <c r="J11" s="4" t="str">
        <f>CONCATENATE(I11,2)</f>
        <v>501238302</v>
      </c>
      <c r="K11" t="s">
        <v>23</v>
      </c>
      <c r="L11" t="s">
        <v>39</v>
      </c>
      <c r="M11" s="3">
        <v>46054</v>
      </c>
      <c r="N11" t="s">
        <v>46</v>
      </c>
      <c r="O11" t="s">
        <v>49</v>
      </c>
    </row>
    <row r="12" spans="1:17" x14ac:dyDescent="0.25">
      <c r="A12" t="s">
        <v>16</v>
      </c>
      <c r="B12" t="s">
        <v>16</v>
      </c>
      <c r="C12" t="s">
        <v>44</v>
      </c>
      <c r="D12" t="s">
        <v>19</v>
      </c>
      <c r="E12" t="s">
        <v>29</v>
      </c>
      <c r="F12">
        <v>358.42</v>
      </c>
      <c r="G12">
        <v>17425766</v>
      </c>
      <c r="H12" t="s">
        <v>21</v>
      </c>
      <c r="I12">
        <v>51055719</v>
      </c>
      <c r="J12" s="4" t="str">
        <f>CONCATENATE(I12,2)</f>
        <v>510557192</v>
      </c>
      <c r="K12" t="s">
        <v>23</v>
      </c>
      <c r="L12" t="s">
        <v>43</v>
      </c>
      <c r="M12" s="3">
        <v>46054</v>
      </c>
      <c r="N12" t="s">
        <v>46</v>
      </c>
      <c r="O12" t="s">
        <v>49</v>
      </c>
    </row>
    <row r="13" spans="1:17" x14ac:dyDescent="0.25">
      <c r="A13" t="s">
        <v>16</v>
      </c>
      <c r="B13" t="s">
        <v>16</v>
      </c>
      <c r="C13" t="s">
        <v>44</v>
      </c>
      <c r="D13" t="s">
        <v>19</v>
      </c>
      <c r="E13" t="s">
        <v>20</v>
      </c>
      <c r="F13">
        <v>358.42</v>
      </c>
      <c r="G13">
        <v>19278370</v>
      </c>
      <c r="H13" t="s">
        <v>21</v>
      </c>
      <c r="I13">
        <v>51055723</v>
      </c>
      <c r="J13" s="4" t="str">
        <f>CONCATENATE(I13,2)</f>
        <v>510557232</v>
      </c>
      <c r="K13" t="s">
        <v>23</v>
      </c>
      <c r="L13" t="s">
        <v>27</v>
      </c>
      <c r="M13" s="3">
        <v>46054</v>
      </c>
      <c r="N13" t="s">
        <v>46</v>
      </c>
      <c r="O13" t="s">
        <v>49</v>
      </c>
      <c r="P13">
        <f>391/12*11</f>
        <v>358.41666666666669</v>
      </c>
    </row>
    <row r="14" spans="1:17" x14ac:dyDescent="0.25">
      <c r="A14" t="s">
        <v>16</v>
      </c>
      <c r="B14" t="s">
        <v>16</v>
      </c>
      <c r="C14" t="s">
        <v>44</v>
      </c>
      <c r="D14" t="s">
        <v>19</v>
      </c>
      <c r="E14" t="s">
        <v>20</v>
      </c>
      <c r="F14">
        <v>358.42</v>
      </c>
      <c r="G14">
        <v>19278370</v>
      </c>
      <c r="H14" t="s">
        <v>21</v>
      </c>
      <c r="I14">
        <v>51055591</v>
      </c>
      <c r="J14" s="4" t="str">
        <f>CONCATENATE(I14,2)</f>
        <v>510555912</v>
      </c>
      <c r="K14" t="s">
        <v>23</v>
      </c>
      <c r="L14" t="s">
        <v>33</v>
      </c>
      <c r="M14" s="3">
        <v>46054</v>
      </c>
      <c r="N14" t="s">
        <v>46</v>
      </c>
      <c r="O14" t="s">
        <v>49</v>
      </c>
    </row>
    <row r="15" spans="1:17" x14ac:dyDescent="0.25">
      <c r="A15" t="s">
        <v>16</v>
      </c>
      <c r="B15" t="s">
        <v>16</v>
      </c>
      <c r="C15" t="s">
        <v>44</v>
      </c>
      <c r="D15" t="s">
        <v>19</v>
      </c>
      <c r="E15" t="s">
        <v>20</v>
      </c>
      <c r="F15">
        <v>358.42</v>
      </c>
      <c r="G15">
        <v>19278370</v>
      </c>
      <c r="H15" t="s">
        <v>21</v>
      </c>
      <c r="I15">
        <v>51055584</v>
      </c>
      <c r="J15" s="4" t="str">
        <f>CONCATENATE(I15,2)</f>
        <v>510555842</v>
      </c>
      <c r="K15" t="s">
        <v>23</v>
      </c>
      <c r="L15" t="s">
        <v>41</v>
      </c>
      <c r="M15" s="3">
        <v>46054</v>
      </c>
      <c r="N15" t="s">
        <v>46</v>
      </c>
      <c r="O15" t="s">
        <v>49</v>
      </c>
    </row>
    <row r="16" spans="1:17" x14ac:dyDescent="0.25">
      <c r="A16" t="s">
        <v>16</v>
      </c>
      <c r="B16" t="s">
        <v>16</v>
      </c>
      <c r="C16" t="s">
        <v>44</v>
      </c>
      <c r="D16" t="s">
        <v>19</v>
      </c>
      <c r="E16" t="s">
        <v>20</v>
      </c>
      <c r="F16">
        <v>391</v>
      </c>
      <c r="G16" t="s">
        <v>51</v>
      </c>
      <c r="H16" t="s">
        <v>21</v>
      </c>
      <c r="I16">
        <v>51044362</v>
      </c>
      <c r="J16" s="4" t="str">
        <f>CONCATENATE(I16,2)</f>
        <v>510443622</v>
      </c>
      <c r="K16" t="s">
        <v>23</v>
      </c>
      <c r="L16" t="s">
        <v>24</v>
      </c>
      <c r="M16" s="3">
        <v>46023</v>
      </c>
      <c r="N16" t="s">
        <v>46</v>
      </c>
      <c r="O16" t="s">
        <v>50</v>
      </c>
    </row>
    <row r="17" spans="1:17" x14ac:dyDescent="0.25">
      <c r="A17" s="4" t="s">
        <v>16</v>
      </c>
      <c r="B17" s="4" t="s">
        <v>16</v>
      </c>
      <c r="C17" s="4" t="s">
        <v>44</v>
      </c>
      <c r="D17" s="4" t="s">
        <v>19</v>
      </c>
      <c r="E17" s="4" t="s">
        <v>34</v>
      </c>
      <c r="F17" s="4">
        <v>325.83</v>
      </c>
      <c r="G17" s="4">
        <v>21618313</v>
      </c>
      <c r="H17" s="4" t="s">
        <v>21</v>
      </c>
      <c r="I17" s="4">
        <v>51055814</v>
      </c>
      <c r="J17" s="4" t="str">
        <f>CONCATENATE(I17,2)</f>
        <v>510558142</v>
      </c>
      <c r="K17" s="4" t="s">
        <v>23</v>
      </c>
      <c r="L17" s="4" t="s">
        <v>36</v>
      </c>
      <c r="M17" s="5">
        <v>46082</v>
      </c>
      <c r="N17" s="4" t="s">
        <v>46</v>
      </c>
      <c r="O17" s="4" t="s">
        <v>48</v>
      </c>
      <c r="P17" s="4">
        <f>391/12*10</f>
        <v>325.83333333333337</v>
      </c>
      <c r="Q17" s="4"/>
    </row>
  </sheetData>
  <sortState xmlns:xlrd2="http://schemas.microsoft.com/office/spreadsheetml/2017/richdata2" ref="A10:Q17">
    <sortCondition ref="E10:E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2026-02-23T08:51:11Z</dcterms:created>
  <dcterms:modified xsi:type="dcterms:W3CDTF">2026-02-24T18:17:05Z</dcterms:modified>
  <cp:category/>
</cp:coreProperties>
</file>