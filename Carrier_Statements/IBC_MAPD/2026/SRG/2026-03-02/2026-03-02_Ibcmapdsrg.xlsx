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2E5BBBC-9651-49CF-A08B-9937C493063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17" i="2" l="1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S6" i="2"/>
  <c r="Q12" i="2"/>
  <c r="Q6" i="2"/>
  <c r="Q4" i="2"/>
</calcChain>
</file>

<file path=xl/sharedStrings.xml><?xml version="1.0" encoding="utf-8"?>
<sst xmlns="http://schemas.openxmlformats.org/spreadsheetml/2006/main" count="343" uniqueCount="50">
  <si>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</si>
  <si>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</si>
  <si>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</si>
  <si>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</si>
  <si>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</si>
  <si>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</si>
  <si>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</si>
  <si>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</si>
  <si>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</si>
  <si>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</si>
  <si>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</si>
  <si>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</si>
  <si>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</si>
  <si>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</si>
  <si>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</si>
  <si>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</si>
  <si>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2026-03-02</t>
  </si>
  <si>
    <t/>
  </si>
  <si>
    <t>Agency Marketing Fee</t>
  </si>
  <si>
    <t>MLB</t>
  </si>
  <si>
    <t>Foley, Carol</t>
  </si>
  <si>
    <t>Ibc</t>
  </si>
  <si>
    <t>8A13QW1NE73</t>
  </si>
  <si>
    <t>MAPD</t>
  </si>
  <si>
    <t>Reilly, Bonnie</t>
  </si>
  <si>
    <t>2026-03-01</t>
  </si>
  <si>
    <t>7PY4JG8YP99</t>
  </si>
  <si>
    <t>Reilly, Thomas</t>
  </si>
  <si>
    <t>Commission Difference</t>
  </si>
  <si>
    <t>Kozacheck, Anne Marie</t>
  </si>
  <si>
    <t>7D90WR2QC38</t>
  </si>
  <si>
    <t>Cahill, Thomas</t>
  </si>
  <si>
    <t>2026-02-01</t>
  </si>
  <si>
    <t>8JH9TV4RE47</t>
  </si>
  <si>
    <t>Debenedictis, Carol</t>
  </si>
  <si>
    <t>9UM2P34VE91</t>
  </si>
  <si>
    <t>Helms, Margaret</t>
  </si>
  <si>
    <t>1VK9PC5WK25</t>
  </si>
  <si>
    <t>Miller, Herbert</t>
  </si>
  <si>
    <t>9T16GQ1TY59</t>
  </si>
  <si>
    <t>Shreiner, Charles</t>
  </si>
  <si>
    <t>4Q41JJ6JG18</t>
  </si>
  <si>
    <t>Trowery, Linette</t>
  </si>
  <si>
    <t>Main Line Benefits</t>
  </si>
  <si>
    <t>IBC MAPD 2026*</t>
  </si>
  <si>
    <t>IBC MAPD OVR</t>
  </si>
  <si>
    <t>[%/$=391][prorate=11/12]</t>
  </si>
  <si>
    <t>IBC 2026 CT, PA, DC</t>
  </si>
  <si>
    <t>[%/$=391][prorate=10/12]</t>
  </si>
  <si>
    <t>[%/$=781]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</si>
</sst>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0" fontId="1" fillId="0" borderId="0" xfId="0" applyFont="1" applyFill="1"/>
    <xf numFmtId="1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selection activeCell="G17" sqref="G17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4.140625" bestFit="1" customWidth="1"/>
    <col min="12" max="12" width="9.5703125" bestFit="1" customWidth="1"/>
    <col min="13" max="13" width="18.5703125" bestFit="1" customWidth="1"/>
    <col min="14" max="14" width="13.5703125" bestFit="1" customWidth="1"/>
    <col min="15" max="15" width="10.1406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</v>
      </c>
      <c r="H2">
        <v>17425766</v>
      </c>
      <c r="I2" t="s">
        <v>21</v>
      </c>
      <c r="J2">
        <v>51036186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100</v>
      </c>
      <c r="H3">
        <v>17425766</v>
      </c>
      <c r="I3" t="s">
        <v>21</v>
      </c>
      <c r="J3">
        <v>51036041</v>
      </c>
      <c r="K3" t="s">
        <v>26</v>
      </c>
      <c r="L3" t="s">
        <v>23</v>
      </c>
      <c r="M3" t="s">
        <v>27</v>
      </c>
      <c r="N3" t="s">
        <v>25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28</v>
      </c>
      <c r="E4" t="s">
        <v>19</v>
      </c>
      <c r="F4" t="s">
        <v>20</v>
      </c>
      <c r="G4">
        <v>325.83</v>
      </c>
      <c r="H4">
        <v>17425766</v>
      </c>
      <c r="I4" t="s">
        <v>21</v>
      </c>
      <c r="J4">
        <v>51036186</v>
      </c>
      <c r="K4" t="s">
        <v>22</v>
      </c>
      <c r="L4" t="s">
        <v>23</v>
      </c>
      <c r="M4" t="s">
        <v>24</v>
      </c>
      <c r="N4" t="s">
        <v>25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28</v>
      </c>
      <c r="E5" t="s">
        <v>19</v>
      </c>
      <c r="F5" t="s">
        <v>20</v>
      </c>
      <c r="G5">
        <v>325.83</v>
      </c>
      <c r="H5">
        <v>17425766</v>
      </c>
      <c r="I5" t="s">
        <v>21</v>
      </c>
      <c r="J5">
        <v>51036041</v>
      </c>
      <c r="K5" t="s">
        <v>26</v>
      </c>
      <c r="L5" t="s">
        <v>23</v>
      </c>
      <c r="M5" t="s">
        <v>27</v>
      </c>
      <c r="N5" t="s">
        <v>25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28</v>
      </c>
      <c r="E6" t="s">
        <v>19</v>
      </c>
      <c r="F6" t="s">
        <v>29</v>
      </c>
      <c r="G6">
        <v>422.58</v>
      </c>
      <c r="H6">
        <v>19278370</v>
      </c>
      <c r="I6" t="s">
        <v>21</v>
      </c>
      <c r="J6">
        <v>51055723</v>
      </c>
      <c r="K6" t="s">
        <v>30</v>
      </c>
      <c r="L6" t="s">
        <v>23</v>
      </c>
      <c r="M6" t="s">
        <v>31</v>
      </c>
      <c r="N6" t="s">
        <v>32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28</v>
      </c>
      <c r="E7" t="s">
        <v>19</v>
      </c>
      <c r="F7" t="s">
        <v>20</v>
      </c>
      <c r="G7">
        <v>422.58</v>
      </c>
      <c r="H7">
        <v>17425766</v>
      </c>
      <c r="I7" t="s">
        <v>21</v>
      </c>
      <c r="J7">
        <v>50005016</v>
      </c>
      <c r="K7" t="s">
        <v>33</v>
      </c>
      <c r="L7" t="s">
        <v>23</v>
      </c>
      <c r="M7" t="s">
        <v>34</v>
      </c>
      <c r="N7" t="s">
        <v>32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28</v>
      </c>
      <c r="E8" t="s">
        <v>19</v>
      </c>
      <c r="F8" t="s">
        <v>29</v>
      </c>
      <c r="G8">
        <v>422.58</v>
      </c>
      <c r="H8">
        <v>19278370</v>
      </c>
      <c r="I8" t="s">
        <v>21</v>
      </c>
      <c r="J8">
        <v>50124786</v>
      </c>
      <c r="K8" t="s">
        <v>35</v>
      </c>
      <c r="L8" t="s">
        <v>23</v>
      </c>
      <c r="M8" t="s">
        <v>36</v>
      </c>
      <c r="N8" t="s">
        <v>32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28</v>
      </c>
      <c r="E9" t="s">
        <v>19</v>
      </c>
      <c r="F9" t="s">
        <v>20</v>
      </c>
      <c r="G9">
        <v>422.58</v>
      </c>
      <c r="H9">
        <v>17425766</v>
      </c>
      <c r="I9" t="s">
        <v>21</v>
      </c>
      <c r="J9">
        <v>50123830</v>
      </c>
      <c r="K9" t="s">
        <v>37</v>
      </c>
      <c r="L9" t="s">
        <v>23</v>
      </c>
      <c r="M9" t="s">
        <v>38</v>
      </c>
      <c r="N9" t="s">
        <v>32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28</v>
      </c>
      <c r="E10" t="s">
        <v>19</v>
      </c>
      <c r="F10" t="s">
        <v>29</v>
      </c>
      <c r="G10">
        <v>422.58</v>
      </c>
      <c r="H10">
        <v>19278370</v>
      </c>
      <c r="I10" t="s">
        <v>21</v>
      </c>
      <c r="J10">
        <v>51055584</v>
      </c>
      <c r="K10" t="s">
        <v>39</v>
      </c>
      <c r="L10" t="s">
        <v>23</v>
      </c>
      <c r="M10" t="s">
        <v>40</v>
      </c>
      <c r="N10" t="s">
        <v>32</v>
      </c>
      <c r="O10" t="s">
        <v>17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28</v>
      </c>
      <c r="E11" t="s">
        <v>19</v>
      </c>
      <c r="F11" t="s">
        <v>20</v>
      </c>
      <c r="G11">
        <v>422.58</v>
      </c>
      <c r="H11">
        <v>17425766</v>
      </c>
      <c r="I11" t="s">
        <v>21</v>
      </c>
      <c r="J11">
        <v>51055719</v>
      </c>
      <c r="K11" t="s">
        <v>41</v>
      </c>
      <c r="L11" t="s">
        <v>23</v>
      </c>
      <c r="M11" t="s">
        <v>42</v>
      </c>
      <c r="N11" t="s">
        <v>32</v>
      </c>
      <c r="O11" t="s">
        <v>17</v>
      </c>
      <c r="P1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06F1-1453-4406-B067-61BC7983B66F}">
  <dimension ref="A1:S17"/>
  <sheetViews>
    <sheetView tabSelected="1" topLeftCell="A17" workbookViewId="0">
      <selection activeCell="P2" sqref="P2:P17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5.140625" customWidth="1"/>
    <col min="12" max="12" width="9.5703125" bestFit="1" customWidth="1"/>
    <col min="13" max="13" width="18.5703125" bestFit="1" customWidth="1"/>
    <col min="14" max="14" width="13.5703125" bestFit="1" customWidth="1"/>
    <col min="15" max="15" width="18" bestFit="1" customWidth="1"/>
    <col min="16" max="16" width="2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 s="1" customFormat="1" x14ac:dyDescent="0.25">
      <c r="A2" s="1" t="s">
        <v>16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43</v>
      </c>
      <c r="G2" s="1">
        <v>100</v>
      </c>
      <c r="H2" s="1">
        <v>20411454</v>
      </c>
      <c r="I2" s="1" t="s">
        <v>21</v>
      </c>
      <c r="J2" s="1">
        <v>51036186</v>
      </c>
      <c r="K2" s="1" t="str">
        <f>CONCATENATE(J2,"OVR")</f>
        <v>51036186OVR</v>
      </c>
      <c r="L2" s="1" t="s">
        <v>23</v>
      </c>
      <c r="M2" s="1" t="s">
        <v>24</v>
      </c>
      <c r="N2" s="2">
        <v>46082</v>
      </c>
      <c r="O2" s="1" t="s">
        <v>45</v>
      </c>
      <c r="P2" s="1" t="s">
        <v>17</v>
      </c>
    </row>
    <row r="3" spans="1:19" s="1" customFormat="1" x14ac:dyDescent="0.25">
      <c r="A3" s="1" t="s">
        <v>16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43</v>
      </c>
      <c r="G3" s="1">
        <v>100</v>
      </c>
      <c r="H3" s="1">
        <v>20411454</v>
      </c>
      <c r="I3" s="1" t="s">
        <v>21</v>
      </c>
      <c r="J3" s="1">
        <v>51036041</v>
      </c>
      <c r="K3" s="1" t="str">
        <f>CONCATENATE(J3,"OVR")</f>
        <v>51036041OVR</v>
      </c>
      <c r="L3" s="1" t="s">
        <v>23</v>
      </c>
      <c r="M3" s="1" t="s">
        <v>27</v>
      </c>
      <c r="N3" s="2">
        <v>46082</v>
      </c>
      <c r="O3" s="1" t="s">
        <v>45</v>
      </c>
      <c r="P3" s="1" t="s">
        <v>17</v>
      </c>
    </row>
    <row r="4" spans="1:19" s="3" customFormat="1" x14ac:dyDescent="0.25">
      <c r="A4" s="3" t="s">
        <v>16</v>
      </c>
      <c r="B4" s="3" t="s">
        <v>16</v>
      </c>
      <c r="C4" s="3" t="s">
        <v>17</v>
      </c>
      <c r="D4" s="3" t="s">
        <v>28</v>
      </c>
      <c r="E4" s="3" t="s">
        <v>19</v>
      </c>
      <c r="F4" s="3" t="s">
        <v>20</v>
      </c>
      <c r="G4" s="3">
        <v>325.83</v>
      </c>
      <c r="H4" s="3">
        <v>17425766</v>
      </c>
      <c r="I4" s="3" t="s">
        <v>21</v>
      </c>
      <c r="J4" s="3">
        <v>51036186</v>
      </c>
      <c r="K4" s="3" t="str">
        <f>CONCATENATE(J4,2)</f>
        <v>510361862</v>
      </c>
      <c r="L4" s="3" t="s">
        <v>23</v>
      </c>
      <c r="M4" s="3" t="s">
        <v>24</v>
      </c>
      <c r="N4" s="4">
        <v>46082</v>
      </c>
      <c r="O4" s="3" t="s">
        <v>44</v>
      </c>
      <c r="P4" s="3" t="s">
        <v>48</v>
      </c>
      <c r="Q4" s="3">
        <f>391/12*10</f>
        <v>325.83333333333337</v>
      </c>
    </row>
    <row r="5" spans="1:19" s="3" customFormat="1" x14ac:dyDescent="0.25">
      <c r="A5" s="3" t="s">
        <v>16</v>
      </c>
      <c r="B5" s="3" t="s">
        <v>16</v>
      </c>
      <c r="C5" s="3" t="s">
        <v>17</v>
      </c>
      <c r="D5" s="3" t="s">
        <v>28</v>
      </c>
      <c r="E5" s="3" t="s">
        <v>19</v>
      </c>
      <c r="F5" s="3" t="s">
        <v>20</v>
      </c>
      <c r="G5" s="3">
        <v>325.83</v>
      </c>
      <c r="H5" s="3">
        <v>17425766</v>
      </c>
      <c r="I5" s="3" t="s">
        <v>21</v>
      </c>
      <c r="J5" s="3">
        <v>51036041</v>
      </c>
      <c r="K5" s="3" t="str">
        <f t="shared" ref="K5:K11" si="0">CONCATENATE(J5,2)</f>
        <v>510360412</v>
      </c>
      <c r="L5" s="3" t="s">
        <v>23</v>
      </c>
      <c r="M5" s="3" t="s">
        <v>27</v>
      </c>
      <c r="N5" s="4">
        <v>46082</v>
      </c>
      <c r="O5" s="3" t="s">
        <v>44</v>
      </c>
      <c r="P5" s="3" t="s">
        <v>48</v>
      </c>
    </row>
    <row r="6" spans="1:19" s="3" customFormat="1" x14ac:dyDescent="0.25">
      <c r="A6" s="3" t="s">
        <v>16</v>
      </c>
      <c r="B6" s="3" t="s">
        <v>16</v>
      </c>
      <c r="C6" s="3" t="s">
        <v>17</v>
      </c>
      <c r="D6" s="3" t="s">
        <v>28</v>
      </c>
      <c r="E6" s="3" t="s">
        <v>19</v>
      </c>
      <c r="F6" s="3" t="s">
        <v>29</v>
      </c>
      <c r="G6" s="3">
        <v>-358.42</v>
      </c>
      <c r="H6" s="3">
        <v>19278370</v>
      </c>
      <c r="I6" s="3" t="s">
        <v>21</v>
      </c>
      <c r="J6" s="3">
        <v>51055723</v>
      </c>
      <c r="K6" s="3" t="str">
        <f t="shared" si="0"/>
        <v>510557232</v>
      </c>
      <c r="L6" s="3" t="s">
        <v>23</v>
      </c>
      <c r="M6" s="3" t="s">
        <v>31</v>
      </c>
      <c r="N6" s="4">
        <v>46054</v>
      </c>
      <c r="O6" s="3" t="s">
        <v>44</v>
      </c>
      <c r="P6" s="3" t="s">
        <v>46</v>
      </c>
      <c r="Q6" s="3">
        <f>358.42</f>
        <v>358.42</v>
      </c>
      <c r="R6" s="3">
        <v>422.58</v>
      </c>
      <c r="S6" s="3">
        <f>391/12*11</f>
        <v>358.41666666666669</v>
      </c>
    </row>
    <row r="7" spans="1:19" s="3" customFormat="1" x14ac:dyDescent="0.25">
      <c r="A7" s="3" t="s">
        <v>16</v>
      </c>
      <c r="B7" s="3" t="s">
        <v>16</v>
      </c>
      <c r="C7" s="3" t="s">
        <v>17</v>
      </c>
      <c r="D7" s="3" t="s">
        <v>28</v>
      </c>
      <c r="E7" s="3" t="s">
        <v>19</v>
      </c>
      <c r="F7" s="3" t="s">
        <v>20</v>
      </c>
      <c r="G7" s="3">
        <v>-358.42</v>
      </c>
      <c r="H7" s="3">
        <v>17425766</v>
      </c>
      <c r="I7" s="3" t="s">
        <v>21</v>
      </c>
      <c r="J7" s="3">
        <v>50005016</v>
      </c>
      <c r="K7" s="3" t="str">
        <f t="shared" si="0"/>
        <v>500050162</v>
      </c>
      <c r="L7" s="3" t="s">
        <v>23</v>
      </c>
      <c r="M7" s="3" t="s">
        <v>34</v>
      </c>
      <c r="N7" s="4">
        <v>46054</v>
      </c>
      <c r="O7" s="3" t="s">
        <v>44</v>
      </c>
      <c r="P7" s="3" t="s">
        <v>46</v>
      </c>
    </row>
    <row r="8" spans="1:19" s="3" customFormat="1" x14ac:dyDescent="0.25">
      <c r="A8" s="3" t="s">
        <v>16</v>
      </c>
      <c r="B8" s="3" t="s">
        <v>16</v>
      </c>
      <c r="C8" s="3" t="s">
        <v>17</v>
      </c>
      <c r="D8" s="3" t="s">
        <v>28</v>
      </c>
      <c r="E8" s="3" t="s">
        <v>19</v>
      </c>
      <c r="F8" s="3" t="s">
        <v>29</v>
      </c>
      <c r="G8" s="3">
        <v>-358.42</v>
      </c>
      <c r="H8" s="3">
        <v>19278370</v>
      </c>
      <c r="I8" s="3" t="s">
        <v>21</v>
      </c>
      <c r="J8" s="3">
        <v>50124786</v>
      </c>
      <c r="K8" s="3" t="str">
        <f t="shared" si="0"/>
        <v>501247862</v>
      </c>
      <c r="L8" s="3" t="s">
        <v>23</v>
      </c>
      <c r="M8" s="3" t="s">
        <v>36</v>
      </c>
      <c r="N8" s="4">
        <v>46054</v>
      </c>
      <c r="O8" s="3" t="s">
        <v>44</v>
      </c>
      <c r="P8" s="3" t="s">
        <v>46</v>
      </c>
    </row>
    <row r="9" spans="1:19" s="3" customFormat="1" x14ac:dyDescent="0.25">
      <c r="A9" s="3" t="s">
        <v>16</v>
      </c>
      <c r="B9" s="3" t="s">
        <v>16</v>
      </c>
      <c r="C9" s="3" t="s">
        <v>17</v>
      </c>
      <c r="D9" s="3" t="s">
        <v>28</v>
      </c>
      <c r="E9" s="3" t="s">
        <v>19</v>
      </c>
      <c r="F9" s="3" t="s">
        <v>20</v>
      </c>
      <c r="G9" s="3">
        <v>-358.42</v>
      </c>
      <c r="H9" s="3">
        <v>17425766</v>
      </c>
      <c r="I9" s="3" t="s">
        <v>21</v>
      </c>
      <c r="J9" s="3">
        <v>50123830</v>
      </c>
      <c r="K9" s="3" t="str">
        <f t="shared" si="0"/>
        <v>501238302</v>
      </c>
      <c r="L9" s="3" t="s">
        <v>23</v>
      </c>
      <c r="M9" s="3" t="s">
        <v>38</v>
      </c>
      <c r="N9" s="4">
        <v>46054</v>
      </c>
      <c r="O9" s="3" t="s">
        <v>44</v>
      </c>
      <c r="P9" s="3" t="s">
        <v>46</v>
      </c>
    </row>
    <row r="10" spans="1:19" s="3" customFormat="1" x14ac:dyDescent="0.25">
      <c r="A10" s="3" t="s">
        <v>16</v>
      </c>
      <c r="B10" s="3" t="s">
        <v>16</v>
      </c>
      <c r="C10" s="3" t="s">
        <v>17</v>
      </c>
      <c r="D10" s="3" t="s">
        <v>28</v>
      </c>
      <c r="E10" s="3" t="s">
        <v>19</v>
      </c>
      <c r="F10" s="3" t="s">
        <v>29</v>
      </c>
      <c r="G10" s="3">
        <v>-358.42</v>
      </c>
      <c r="H10" s="3">
        <v>19278370</v>
      </c>
      <c r="I10" s="3" t="s">
        <v>21</v>
      </c>
      <c r="J10" s="3">
        <v>51055584</v>
      </c>
      <c r="K10" s="3" t="str">
        <f t="shared" si="0"/>
        <v>510555842</v>
      </c>
      <c r="L10" s="3" t="s">
        <v>23</v>
      </c>
      <c r="M10" s="3" t="s">
        <v>40</v>
      </c>
      <c r="N10" s="4">
        <v>46054</v>
      </c>
      <c r="O10" s="3" t="s">
        <v>44</v>
      </c>
      <c r="P10" s="3" t="s">
        <v>46</v>
      </c>
    </row>
    <row r="11" spans="1:19" s="3" customFormat="1" x14ac:dyDescent="0.25">
      <c r="A11" s="3" t="s">
        <v>16</v>
      </c>
      <c r="B11" s="3" t="s">
        <v>16</v>
      </c>
      <c r="C11" s="3" t="s">
        <v>17</v>
      </c>
      <c r="D11" s="3" t="s">
        <v>28</v>
      </c>
      <c r="E11" s="3" t="s">
        <v>19</v>
      </c>
      <c r="F11" s="3" t="s">
        <v>20</v>
      </c>
      <c r="G11" s="3">
        <v>-358.42</v>
      </c>
      <c r="H11" s="3">
        <v>17425766</v>
      </c>
      <c r="I11" s="3" t="s">
        <v>21</v>
      </c>
      <c r="J11" s="3">
        <v>51055719</v>
      </c>
      <c r="K11" s="3" t="str">
        <f t="shared" si="0"/>
        <v>510557192</v>
      </c>
      <c r="L11" s="3" t="s">
        <v>23</v>
      </c>
      <c r="M11" s="3" t="s">
        <v>42</v>
      </c>
      <c r="N11" s="4">
        <v>46054</v>
      </c>
      <c r="O11" s="3" t="s">
        <v>44</v>
      </c>
      <c r="P11" s="3" t="s">
        <v>46</v>
      </c>
    </row>
    <row r="12" spans="1:19" s="5" customFormat="1" x14ac:dyDescent="0.25">
      <c r="A12" s="5" t="s">
        <v>16</v>
      </c>
      <c r="B12" s="5" t="s">
        <v>16</v>
      </c>
      <c r="C12" s="5" t="s">
        <v>17</v>
      </c>
      <c r="D12" s="5" t="s">
        <v>28</v>
      </c>
      <c r="E12" s="5" t="s">
        <v>19</v>
      </c>
      <c r="F12" s="5" t="s">
        <v>29</v>
      </c>
      <c r="G12" s="5">
        <v>781</v>
      </c>
      <c r="H12" s="5">
        <v>19278370</v>
      </c>
      <c r="I12" s="5" t="s">
        <v>21</v>
      </c>
      <c r="J12" s="5">
        <v>51055723</v>
      </c>
      <c r="K12" s="5" t="str">
        <f>CONCATENATE(J12,11)</f>
        <v>5105572311</v>
      </c>
      <c r="L12" s="5" t="s">
        <v>23</v>
      </c>
      <c r="M12" s="5" t="s">
        <v>31</v>
      </c>
      <c r="N12" s="6">
        <v>46054</v>
      </c>
      <c r="O12" s="5" t="s">
        <v>47</v>
      </c>
      <c r="P12" s="5" t="s">
        <v>49</v>
      </c>
      <c r="Q12" s="5">
        <f>358.42</f>
        <v>358.42</v>
      </c>
      <c r="R12" s="5">
        <v>422.58</v>
      </c>
    </row>
    <row r="13" spans="1:19" s="5" customFormat="1" x14ac:dyDescent="0.25">
      <c r="A13" s="5" t="s">
        <v>16</v>
      </c>
      <c r="B13" s="5" t="s">
        <v>16</v>
      </c>
      <c r="C13" s="5" t="s">
        <v>17</v>
      </c>
      <c r="D13" s="5" t="s">
        <v>28</v>
      </c>
      <c r="E13" s="5" t="s">
        <v>19</v>
      </c>
      <c r="F13" s="5" t="s">
        <v>20</v>
      </c>
      <c r="G13" s="5">
        <v>781</v>
      </c>
      <c r="H13" s="5">
        <v>17425766</v>
      </c>
      <c r="I13" s="5" t="s">
        <v>21</v>
      </c>
      <c r="J13" s="5">
        <v>50005016</v>
      </c>
      <c r="K13" s="5" t="str">
        <f t="shared" ref="K13:K17" si="1">CONCATENATE(J13,11)</f>
        <v>5000501611</v>
      </c>
      <c r="L13" s="5" t="s">
        <v>23</v>
      </c>
      <c r="M13" s="5" t="s">
        <v>34</v>
      </c>
      <c r="N13" s="6">
        <v>46054</v>
      </c>
      <c r="O13" s="5" t="s">
        <v>47</v>
      </c>
      <c r="P13" s="5" t="s">
        <v>49</v>
      </c>
    </row>
    <row r="14" spans="1:19" s="5" customFormat="1" x14ac:dyDescent="0.25">
      <c r="A14" s="5" t="s">
        <v>16</v>
      </c>
      <c r="B14" s="5" t="s">
        <v>16</v>
      </c>
      <c r="C14" s="5" t="s">
        <v>17</v>
      </c>
      <c r="D14" s="5" t="s">
        <v>28</v>
      </c>
      <c r="E14" s="5" t="s">
        <v>19</v>
      </c>
      <c r="F14" s="5" t="s">
        <v>29</v>
      </c>
      <c r="G14" s="5">
        <v>781</v>
      </c>
      <c r="H14" s="5">
        <v>19278370</v>
      </c>
      <c r="I14" s="5" t="s">
        <v>21</v>
      </c>
      <c r="J14" s="5">
        <v>50124786</v>
      </c>
      <c r="K14" s="5" t="str">
        <f t="shared" si="1"/>
        <v>5012478611</v>
      </c>
      <c r="L14" s="5" t="s">
        <v>23</v>
      </c>
      <c r="M14" s="5" t="s">
        <v>36</v>
      </c>
      <c r="N14" s="6">
        <v>46054</v>
      </c>
      <c r="O14" s="5" t="s">
        <v>47</v>
      </c>
      <c r="P14" s="5" t="s">
        <v>49</v>
      </c>
    </row>
    <row r="15" spans="1:19" s="5" customFormat="1" x14ac:dyDescent="0.25">
      <c r="A15" s="5" t="s">
        <v>16</v>
      </c>
      <c r="B15" s="5" t="s">
        <v>16</v>
      </c>
      <c r="C15" s="5" t="s">
        <v>17</v>
      </c>
      <c r="D15" s="5" t="s">
        <v>28</v>
      </c>
      <c r="E15" s="5" t="s">
        <v>19</v>
      </c>
      <c r="F15" s="5" t="s">
        <v>20</v>
      </c>
      <c r="G15" s="5">
        <v>781</v>
      </c>
      <c r="H15" s="5">
        <v>17425766</v>
      </c>
      <c r="I15" s="5" t="s">
        <v>21</v>
      </c>
      <c r="J15" s="5">
        <v>50123830</v>
      </c>
      <c r="K15" s="5" t="str">
        <f t="shared" si="1"/>
        <v>5012383011</v>
      </c>
      <c r="L15" s="5" t="s">
        <v>23</v>
      </c>
      <c r="M15" s="5" t="s">
        <v>38</v>
      </c>
      <c r="N15" s="6">
        <v>46054</v>
      </c>
      <c r="O15" s="5" t="s">
        <v>47</v>
      </c>
      <c r="P15" s="5" t="s">
        <v>49</v>
      </c>
    </row>
    <row r="16" spans="1:19" s="5" customFormat="1" x14ac:dyDescent="0.25">
      <c r="A16" s="5" t="s">
        <v>16</v>
      </c>
      <c r="B16" s="5" t="s">
        <v>16</v>
      </c>
      <c r="C16" s="5" t="s">
        <v>17</v>
      </c>
      <c r="D16" s="5" t="s">
        <v>28</v>
      </c>
      <c r="E16" s="5" t="s">
        <v>19</v>
      </c>
      <c r="F16" s="5" t="s">
        <v>29</v>
      </c>
      <c r="G16" s="5">
        <v>781</v>
      </c>
      <c r="H16" s="5">
        <v>19278370</v>
      </c>
      <c r="I16" s="5" t="s">
        <v>21</v>
      </c>
      <c r="J16" s="5">
        <v>51055584</v>
      </c>
      <c r="K16" s="5" t="str">
        <f t="shared" si="1"/>
        <v>5105558411</v>
      </c>
      <c r="L16" s="5" t="s">
        <v>23</v>
      </c>
      <c r="M16" s="5" t="s">
        <v>40</v>
      </c>
      <c r="N16" s="6">
        <v>46054</v>
      </c>
      <c r="O16" s="5" t="s">
        <v>47</v>
      </c>
      <c r="P16" s="5" t="s">
        <v>49</v>
      </c>
    </row>
    <row r="17" spans="1:16" s="5" customFormat="1" x14ac:dyDescent="0.25">
      <c r="A17" s="5" t="s">
        <v>16</v>
      </c>
      <c r="B17" s="5" t="s">
        <v>16</v>
      </c>
      <c r="C17" s="5" t="s">
        <v>17</v>
      </c>
      <c r="D17" s="5" t="s">
        <v>28</v>
      </c>
      <c r="E17" s="5" t="s">
        <v>19</v>
      </c>
      <c r="F17" s="5" t="s">
        <v>20</v>
      </c>
      <c r="G17" s="5">
        <v>781</v>
      </c>
      <c r="H17" s="5">
        <v>17425766</v>
      </c>
      <c r="I17" s="5" t="s">
        <v>21</v>
      </c>
      <c r="J17" s="5">
        <v>51055719</v>
      </c>
      <c r="K17" s="5" t="str">
        <f t="shared" si="1"/>
        <v>5105571911</v>
      </c>
      <c r="L17" s="5" t="s">
        <v>23</v>
      </c>
      <c r="M17" s="5" t="s">
        <v>42</v>
      </c>
      <c r="N17" s="6">
        <v>46054</v>
      </c>
      <c r="O17" s="5" t="s">
        <v>47</v>
      </c>
      <c r="P17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2026-03-02T13:18:41Z</dcterms:created>
  <dcterms:modified xsi:type="dcterms:W3CDTF">2026-03-02T21:03:29Z</dcterms:modified>
  <cp:category/>
</cp:coreProperties>
</file>