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8E89534E-1C43-4247-A8C4-E358050455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H67" i="2"/>
  <c r="H81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<sst xmlns="http://schemas.openxmlformats.org/spreadsheetml/2006/main" count="2226" uniqueCount="213">
  <si>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</si>
  <si>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</si>
  <si>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</si>
  <si>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</si>
  <si>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</si>
  <si>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</si>
  <si>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</si>
  <si>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</si>
  <si>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</si>
  <si>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</si>
  <si>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</si>
  <si>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</si>
  <si>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</si>
  <si>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</si>
  <si>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</si>
  <si>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</si>
  <si>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2026-01-26</t>
  </si>
  <si>
    <t/>
  </si>
  <si>
    <t>Agent Pay</t>
  </si>
  <si>
    <t>MLB</t>
  </si>
  <si>
    <t>Foley, Carol</t>
  </si>
  <si>
    <t>Ibc</t>
  </si>
  <si>
    <t>8UD5VK5WD53</t>
  </si>
  <si>
    <t>MAPD</t>
  </si>
  <si>
    <t>Gobbo, Linda</t>
  </si>
  <si>
    <t>2026-01-01</t>
  </si>
  <si>
    <t>Kozacheck, Anne Marie</t>
  </si>
  <si>
    <t>6N01JX2FA20</t>
  </si>
  <si>
    <t>Hepburn, Hannah</t>
  </si>
  <si>
    <t>3QM2YG2JN88</t>
  </si>
  <si>
    <t>Xing, Yinong</t>
  </si>
  <si>
    <t>Agency Marketing Fee</t>
  </si>
  <si>
    <t>Sterner, Murray</t>
  </si>
  <si>
    <t>Epelbaum, Yelena</t>
  </si>
  <si>
    <t>2025-01-01</t>
  </si>
  <si>
    <t>Roccia, Mark</t>
  </si>
  <si>
    <t>2Q79JY5YU11</t>
  </si>
  <si>
    <t>Fay, Anthony</t>
  </si>
  <si>
    <t>Richter, Peter</t>
  </si>
  <si>
    <t>2HJ8FC0AQ40</t>
  </si>
  <si>
    <t>Lawson, Conchita</t>
  </si>
  <si>
    <t>2025-11-01</t>
  </si>
  <si>
    <t>8GU9AP2CT00</t>
  </si>
  <si>
    <t>Lawson, Nile</t>
  </si>
  <si>
    <t>9EH1PT4UJ32</t>
  </si>
  <si>
    <t>Masci, Elena</t>
  </si>
  <si>
    <t>Moulton, Timothy</t>
  </si>
  <si>
    <t>9XW6FK7GC66</t>
  </si>
  <si>
    <t>Rupert, Catherine</t>
  </si>
  <si>
    <t>2025-10-01</t>
  </si>
  <si>
    <t>2NE7PG1NV38</t>
  </si>
  <si>
    <t>Scott, Patti</t>
  </si>
  <si>
    <t>9WJ5Y20GY84</t>
  </si>
  <si>
    <t>Smith, Carol</t>
  </si>
  <si>
    <t>5V23FH8YG76</t>
  </si>
  <si>
    <t>Troffo, Frank</t>
  </si>
  <si>
    <t>5ER5EV2UA52</t>
  </si>
  <si>
    <t>Weiler, Ellen</t>
  </si>
  <si>
    <t>Wolf, David</t>
  </si>
  <si>
    <t>7UJ5AF2JD40</t>
  </si>
  <si>
    <t>Wolff, Douglas</t>
  </si>
  <si>
    <t>2025-12-01</t>
  </si>
  <si>
    <t>7X38N06NY51</t>
  </si>
  <si>
    <t>Laker, Victoria</t>
  </si>
  <si>
    <t>2026-03-01</t>
  </si>
  <si>
    <t>2QQ5EV3RG75</t>
  </si>
  <si>
    <t>Fili Jr, William</t>
  </si>
  <si>
    <t>2026-02-01</t>
  </si>
  <si>
    <t>1HD4KQ6TU76</t>
  </si>
  <si>
    <t>Phillips, Shannon</t>
  </si>
  <si>
    <t>4F92F56DU12</t>
  </si>
  <si>
    <t>Figueroa Sanchez, Evelyn</t>
  </si>
  <si>
    <t>4JU5M76QQ86</t>
  </si>
  <si>
    <t>Miller Jr, John</t>
  </si>
  <si>
    <t>4VU0FQ2HM03</t>
  </si>
  <si>
    <t>Sirleaf Davis, Ethel</t>
  </si>
  <si>
    <t>7FG0CJ2QW21</t>
  </si>
  <si>
    <t>Antonelli, Roseann</t>
  </si>
  <si>
    <t>8EX5GW4TU82</t>
  </si>
  <si>
    <t>Antrim, Mary</t>
  </si>
  <si>
    <t>4Y39UM3VH28</t>
  </si>
  <si>
    <t>Arai, Yoko</t>
  </si>
  <si>
    <t>1FT4FR7WF97</t>
  </si>
  <si>
    <t>Balcer, Eileen</t>
  </si>
  <si>
    <t>6Q54MT5WU09</t>
  </si>
  <si>
    <t>Balcer, James</t>
  </si>
  <si>
    <t>Hoffmann, Jason</t>
  </si>
  <si>
    <t>6UH1CX0NC96</t>
  </si>
  <si>
    <t>Bhakta, Arvind</t>
  </si>
  <si>
    <t>2G86XC4HN86</t>
  </si>
  <si>
    <t>Bhakta, Hemlata</t>
  </si>
  <si>
    <t>2Q28NC7DD63</t>
  </si>
  <si>
    <t>Brander, Christopher</t>
  </si>
  <si>
    <t>8D37W18NG76</t>
  </si>
  <si>
    <t>Carter, Leslie</t>
  </si>
  <si>
    <t>9RW6WA9EA75</t>
  </si>
  <si>
    <t>Case, David</t>
  </si>
  <si>
    <t>4E85E90UH73</t>
  </si>
  <si>
    <t>Castle, Marjorie</t>
  </si>
  <si>
    <t>9AN9UE8VN19</t>
  </si>
  <si>
    <t>Delong, Ruta</t>
  </si>
  <si>
    <t>4WF2RQ6YG08</t>
  </si>
  <si>
    <t>Di Stefano, Richard</t>
  </si>
  <si>
    <t>5X35A47AY51</t>
  </si>
  <si>
    <t>Diaz, Curtis</t>
  </si>
  <si>
    <t>1HY0F20QH34</t>
  </si>
  <si>
    <t>Dulin, Dona</t>
  </si>
  <si>
    <t>7WK8N55FC50</t>
  </si>
  <si>
    <t>Durante, Jim</t>
  </si>
  <si>
    <t>3NU9K50YF28</t>
  </si>
  <si>
    <t>Facciolo, Cindy</t>
  </si>
  <si>
    <t>6GH4XG8DY03</t>
  </si>
  <si>
    <t>Facciolo, Francis</t>
  </si>
  <si>
    <t>3P91G37QF32</t>
  </si>
  <si>
    <t>Feulner, Keith</t>
  </si>
  <si>
    <t>6XP7JE0DQ42</t>
  </si>
  <si>
    <t>Feulner, Phyllis</t>
  </si>
  <si>
    <t>1TY1EF3DY07</t>
  </si>
  <si>
    <t>Foresta, Deborah</t>
  </si>
  <si>
    <t>8J53N89UT08</t>
  </si>
  <si>
    <t>Fowler, Kenneth</t>
  </si>
  <si>
    <t>2PF4PG1VE06</t>
  </si>
  <si>
    <t>Ganster, Roxane</t>
  </si>
  <si>
    <t>3HA3QU4VY18</t>
  </si>
  <si>
    <t>Gaugler, Ronald</t>
  </si>
  <si>
    <t>2NF9Q96EM32</t>
  </si>
  <si>
    <t>Gow, Grace</t>
  </si>
  <si>
    <t>8RH1J35RC26</t>
  </si>
  <si>
    <t>Hagerty, Dana</t>
  </si>
  <si>
    <t>7NP9P07JH46</t>
  </si>
  <si>
    <t>Harwick, Donna</t>
  </si>
  <si>
    <t>6VR4W03HQ83</t>
  </si>
  <si>
    <t>Harwick, Ella</t>
  </si>
  <si>
    <t>7T31T35HY91</t>
  </si>
  <si>
    <t>Heffernan, Cheryl</t>
  </si>
  <si>
    <t>8PJ1JK6UY25</t>
  </si>
  <si>
    <t>Hemmer Jr, Lewis</t>
  </si>
  <si>
    <t>9CE0MW6PF16</t>
  </si>
  <si>
    <t>Hurwitz White, Laurie</t>
  </si>
  <si>
    <t>4HY4EF5CH93</t>
  </si>
  <si>
    <t>Jones, Mark</t>
  </si>
  <si>
    <t>1D23MD1JE93</t>
  </si>
  <si>
    <t>Kaiser, Thomas</t>
  </si>
  <si>
    <t>3JF4V82VH09</t>
  </si>
  <si>
    <t>Kelly, Ann</t>
  </si>
  <si>
    <t>7Y38HY6NN32</t>
  </si>
  <si>
    <t>Kolb, Daniel</t>
  </si>
  <si>
    <t>3WR2HK2NW99</t>
  </si>
  <si>
    <t>Leeson, Gregory</t>
  </si>
  <si>
    <t>5TP1N20NG95</t>
  </si>
  <si>
    <t>Leeson, Janice</t>
  </si>
  <si>
    <t>9YM8PT7CA10</t>
  </si>
  <si>
    <t>Leibowitz, Steven</t>
  </si>
  <si>
    <t>3C52AF5NP85</t>
  </si>
  <si>
    <t>Lippolis, Jean</t>
  </si>
  <si>
    <t>9EQ7QW3VD33</t>
  </si>
  <si>
    <t>Mcclave, Christopher</t>
  </si>
  <si>
    <t>2XH5R21XR88</t>
  </si>
  <si>
    <t>Menkins, John</t>
  </si>
  <si>
    <t>6X93D20PT72</t>
  </si>
  <si>
    <t>Miller, Frances</t>
  </si>
  <si>
    <t>5NV7C74RH71</t>
  </si>
  <si>
    <t>Miller, Jesse</t>
  </si>
  <si>
    <t>9J81QU5KG22</t>
  </si>
  <si>
    <t>Murray, Christopher</t>
  </si>
  <si>
    <t>6G58N09HR56</t>
  </si>
  <si>
    <t>Murray, Donna</t>
  </si>
  <si>
    <t>8NW7J86HK54</t>
  </si>
  <si>
    <t>Prescott, Douglas</t>
  </si>
  <si>
    <t>7C06FT3HQ61</t>
  </si>
  <si>
    <t>Raynor, Sharon</t>
  </si>
  <si>
    <t>9JV0Q98TT48</t>
  </si>
  <si>
    <t>Renda, Ellen</t>
  </si>
  <si>
    <t>6FP5XX3FR63</t>
  </si>
  <si>
    <t>Ryan, James</t>
  </si>
  <si>
    <t>4KC2NY7QW17</t>
  </si>
  <si>
    <t>Schneider, Antoinette</t>
  </si>
  <si>
    <t>3EV5N13HY83</t>
  </si>
  <si>
    <t>Schwab, David</t>
  </si>
  <si>
    <t>7FV7NX4UM44</t>
  </si>
  <si>
    <t>Smith, Lynn</t>
  </si>
  <si>
    <t>2UE7EE3XD54</t>
  </si>
  <si>
    <t>Smith, Roger</t>
  </si>
  <si>
    <t>1CD5UF3KJ40</t>
  </si>
  <si>
    <t>Stanley, Jacqueline</t>
  </si>
  <si>
    <t>4Y07P67VM68</t>
  </si>
  <si>
    <t>Thompson, Gregory</t>
  </si>
  <si>
    <t>2TF5G83DR76</t>
  </si>
  <si>
    <t>Townsend, Mary</t>
  </si>
  <si>
    <t>3PF7CC4AH49</t>
  </si>
  <si>
    <t>Udinski, John</t>
  </si>
  <si>
    <t>5VG7KA4UM73</t>
  </si>
  <si>
    <t>Venutolo, Albert</t>
  </si>
  <si>
    <t>7KQ7F13CJ47</t>
  </si>
  <si>
    <t>Venutolo, Margaret</t>
  </si>
  <si>
    <t>1U39JG8DJ38</t>
  </si>
  <si>
    <t>Vita, Michael</t>
  </si>
  <si>
    <t>9FG4TR6AU99</t>
  </si>
  <si>
    <t>Weits, Robert</t>
  </si>
  <si>
    <t>1W27VF1MW67</t>
  </si>
  <si>
    <t>Whelan Sr, Michael</t>
  </si>
  <si>
    <t>7J85X57WF51</t>
  </si>
  <si>
    <t>White, Donald</t>
  </si>
  <si>
    <t>8K59YW4GW11</t>
  </si>
  <si>
    <t>Whittington, Frances</t>
  </si>
  <si>
    <t>IBC MAPD OVR</t>
  </si>
  <si>
    <t>IBC MAPD 2026*</t>
  </si>
  <si>
    <t>IBC 2026 CT, PA, DC</t>
  </si>
  <si>
    <t>[%/$=391][prorate=12/12]</t>
  </si>
  <si>
    <t>[%/$=391][prorate=11/12]</t>
  </si>
  <si>
    <t>[%/$=391][prorate=10/12]</t>
  </si>
  <si>
    <t>[%/$=781]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</si>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</sst>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workbookViewId="0">
      <pane ySplit="1" topLeftCell="A104" activePane="bottomLeft" state="frozen"/>
      <selection pane="bottomLeft" activeCell="J118" sqref="J118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3" width="8.28515625" bestFit="1" customWidth="1"/>
    <col min="4" max="4" width="19" bestFit="1" customWidth="1"/>
    <col min="5" max="5" width="6.7109375" bestFit="1" customWidth="1"/>
    <col min="6" max="6" width="20" bestFit="1" customWidth="1"/>
    <col min="7" max="7" width="7.42578125" bestFit="1" customWidth="1"/>
    <col min="8" max="8" width="9.7109375" bestFit="1" customWidth="1"/>
    <col min="9" max="9" width="6.5703125" bestFit="1" customWidth="1"/>
    <col min="10" max="10" width="14.140625" bestFit="1" customWidth="1"/>
    <col min="11" max="11" width="14.28515625" bestFit="1" customWidth="1"/>
    <col min="12" max="12" width="8.7109375" bestFit="1" customWidth="1"/>
    <col min="13" max="13" width="21.42578125" bestFit="1" customWidth="1"/>
    <col min="14" max="14" width="12.5703125" bestFit="1" customWidth="1"/>
    <col min="15" max="15" width="10.28515625" bestFit="1" customWidth="1"/>
    <col min="16" max="16" width="5.85546875" bestFit="1" customWidth="1"/>
  </cols>
  <sheetData>
    <row r="1" spans="1:16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-391</v>
      </c>
      <c r="H2">
        <v>17425766</v>
      </c>
      <c r="I2" t="s">
        <v>21</v>
      </c>
      <c r="J2">
        <v>51044944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>
        <v>-391</v>
      </c>
      <c r="H3">
        <v>19278370</v>
      </c>
      <c r="I3" t="s">
        <v>21</v>
      </c>
      <c r="J3">
        <v>51042382</v>
      </c>
      <c r="K3" t="s">
        <v>27</v>
      </c>
      <c r="L3" t="s">
        <v>23</v>
      </c>
      <c r="M3" t="s">
        <v>28</v>
      </c>
      <c r="N3" t="s">
        <v>25</v>
      </c>
      <c r="O3" t="s">
        <v>25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26</v>
      </c>
      <c r="G4">
        <v>-391</v>
      </c>
      <c r="H4">
        <v>19278370</v>
      </c>
      <c r="I4" t="s">
        <v>21</v>
      </c>
      <c r="J4">
        <v>51054475</v>
      </c>
      <c r="K4" t="s">
        <v>29</v>
      </c>
      <c r="L4" t="s">
        <v>23</v>
      </c>
      <c r="M4" t="s">
        <v>30</v>
      </c>
      <c r="N4" t="s">
        <v>25</v>
      </c>
      <c r="O4" t="s">
        <v>25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31</v>
      </c>
      <c r="E5" t="s">
        <v>19</v>
      </c>
      <c r="F5" t="s">
        <v>32</v>
      </c>
      <c r="G5">
        <v>60</v>
      </c>
      <c r="H5">
        <v>16212649</v>
      </c>
      <c r="I5" t="s">
        <v>21</v>
      </c>
      <c r="J5">
        <v>51016337</v>
      </c>
      <c r="K5" t="s">
        <v>17</v>
      </c>
      <c r="L5" t="s">
        <v>23</v>
      </c>
      <c r="M5" t="s">
        <v>33</v>
      </c>
      <c r="N5" t="s">
        <v>34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31</v>
      </c>
      <c r="E6" t="s">
        <v>19</v>
      </c>
      <c r="F6" t="s">
        <v>35</v>
      </c>
      <c r="G6">
        <v>60</v>
      </c>
      <c r="H6">
        <v>21618313</v>
      </c>
      <c r="I6" t="s">
        <v>21</v>
      </c>
      <c r="J6">
        <v>51049192</v>
      </c>
      <c r="K6" t="s">
        <v>36</v>
      </c>
      <c r="L6" t="s">
        <v>23</v>
      </c>
      <c r="M6" t="s">
        <v>37</v>
      </c>
      <c r="N6" t="s">
        <v>25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31</v>
      </c>
      <c r="E7" t="s">
        <v>19</v>
      </c>
      <c r="F7" t="s">
        <v>38</v>
      </c>
      <c r="G7">
        <v>60</v>
      </c>
      <c r="H7">
        <v>16509456</v>
      </c>
      <c r="I7" t="s">
        <v>21</v>
      </c>
      <c r="J7">
        <v>51044290</v>
      </c>
      <c r="K7" t="s">
        <v>39</v>
      </c>
      <c r="L7" t="s">
        <v>23</v>
      </c>
      <c r="M7" t="s">
        <v>40</v>
      </c>
      <c r="N7" t="s">
        <v>41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31</v>
      </c>
      <c r="E8" t="s">
        <v>19</v>
      </c>
      <c r="F8" t="s">
        <v>38</v>
      </c>
      <c r="G8">
        <v>60</v>
      </c>
      <c r="H8">
        <v>16509456</v>
      </c>
      <c r="I8" t="s">
        <v>21</v>
      </c>
      <c r="J8">
        <v>51044307</v>
      </c>
      <c r="K8" t="s">
        <v>42</v>
      </c>
      <c r="L8" t="s">
        <v>23</v>
      </c>
      <c r="M8" t="s">
        <v>43</v>
      </c>
      <c r="N8" t="s">
        <v>41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31</v>
      </c>
      <c r="E9" t="s">
        <v>19</v>
      </c>
      <c r="F9" t="s">
        <v>20</v>
      </c>
      <c r="G9">
        <v>60</v>
      </c>
      <c r="H9">
        <v>17425766</v>
      </c>
      <c r="I9" t="s">
        <v>21</v>
      </c>
      <c r="J9">
        <v>50004521</v>
      </c>
      <c r="K9" t="s">
        <v>44</v>
      </c>
      <c r="L9" t="s">
        <v>23</v>
      </c>
      <c r="M9" t="s">
        <v>45</v>
      </c>
      <c r="N9" t="s">
        <v>25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31</v>
      </c>
      <c r="E10" t="s">
        <v>19</v>
      </c>
      <c r="F10" t="s">
        <v>32</v>
      </c>
      <c r="G10">
        <v>60</v>
      </c>
      <c r="H10">
        <v>16212649</v>
      </c>
      <c r="I10" t="s">
        <v>21</v>
      </c>
      <c r="J10">
        <v>51013917</v>
      </c>
      <c r="K10" t="s">
        <v>17</v>
      </c>
      <c r="L10" t="s">
        <v>23</v>
      </c>
      <c r="M10" t="s">
        <v>46</v>
      </c>
      <c r="N10" t="s">
        <v>34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31</v>
      </c>
      <c r="E11" t="s">
        <v>19</v>
      </c>
      <c r="F11" t="s">
        <v>20</v>
      </c>
      <c r="G11">
        <v>60</v>
      </c>
      <c r="H11">
        <v>17425766</v>
      </c>
      <c r="I11" t="s">
        <v>21</v>
      </c>
      <c r="J11">
        <v>51042831</v>
      </c>
      <c r="K11" t="s">
        <v>47</v>
      </c>
      <c r="L11" t="s">
        <v>23</v>
      </c>
      <c r="M11" t="s">
        <v>48</v>
      </c>
      <c r="N11" t="s">
        <v>49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31</v>
      </c>
      <c r="E12" t="s">
        <v>19</v>
      </c>
      <c r="F12" t="s">
        <v>26</v>
      </c>
      <c r="G12">
        <v>60</v>
      </c>
      <c r="H12">
        <v>19278370</v>
      </c>
      <c r="I12" t="s">
        <v>21</v>
      </c>
      <c r="J12">
        <v>51045742</v>
      </c>
      <c r="K12" t="s">
        <v>50</v>
      </c>
      <c r="L12" t="s">
        <v>23</v>
      </c>
      <c r="M12" t="s">
        <v>51</v>
      </c>
      <c r="N12" t="s">
        <v>25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31</v>
      </c>
      <c r="E13" t="s">
        <v>19</v>
      </c>
      <c r="F13" t="s">
        <v>20</v>
      </c>
      <c r="G13">
        <v>60</v>
      </c>
      <c r="H13">
        <v>17425766</v>
      </c>
      <c r="I13" t="s">
        <v>21</v>
      </c>
      <c r="J13">
        <v>51048263</v>
      </c>
      <c r="K13" t="s">
        <v>52</v>
      </c>
      <c r="L13" t="s">
        <v>23</v>
      </c>
      <c r="M13" t="s">
        <v>53</v>
      </c>
      <c r="N13" t="s">
        <v>25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31</v>
      </c>
      <c r="E14" t="s">
        <v>19</v>
      </c>
      <c r="F14" t="s">
        <v>38</v>
      </c>
      <c r="G14">
        <v>60</v>
      </c>
      <c r="H14">
        <v>16509456</v>
      </c>
      <c r="I14" t="s">
        <v>21</v>
      </c>
      <c r="J14">
        <v>51043568</v>
      </c>
      <c r="K14" t="s">
        <v>54</v>
      </c>
      <c r="L14" t="s">
        <v>23</v>
      </c>
      <c r="M14" t="s">
        <v>55</v>
      </c>
      <c r="N14" t="s">
        <v>49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31</v>
      </c>
      <c r="E15" t="s">
        <v>19</v>
      </c>
      <c r="F15" t="s">
        <v>35</v>
      </c>
      <c r="G15">
        <v>60</v>
      </c>
      <c r="H15">
        <v>21618313</v>
      </c>
      <c r="I15" t="s">
        <v>21</v>
      </c>
      <c r="J15">
        <v>51046848</v>
      </c>
      <c r="K15" t="s">
        <v>56</v>
      </c>
      <c r="L15" t="s">
        <v>23</v>
      </c>
      <c r="M15" t="s">
        <v>57</v>
      </c>
      <c r="N15" t="s">
        <v>25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31</v>
      </c>
      <c r="E16" t="s">
        <v>19</v>
      </c>
      <c r="F16" t="s">
        <v>20</v>
      </c>
      <c r="G16">
        <v>60</v>
      </c>
      <c r="H16">
        <v>17425766</v>
      </c>
      <c r="I16" t="s">
        <v>21</v>
      </c>
      <c r="J16">
        <v>51026578</v>
      </c>
      <c r="K16" t="s">
        <v>17</v>
      </c>
      <c r="L16" t="s">
        <v>23</v>
      </c>
      <c r="M16" t="s">
        <v>58</v>
      </c>
      <c r="N16" t="s">
        <v>34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31</v>
      </c>
      <c r="E17" t="s">
        <v>19</v>
      </c>
      <c r="F17" t="s">
        <v>35</v>
      </c>
      <c r="G17">
        <v>60</v>
      </c>
      <c r="H17">
        <v>21618313</v>
      </c>
      <c r="I17" t="s">
        <v>21</v>
      </c>
      <c r="J17">
        <v>51043796</v>
      </c>
      <c r="K17" t="s">
        <v>59</v>
      </c>
      <c r="L17" t="s">
        <v>23</v>
      </c>
      <c r="M17" t="s">
        <v>60</v>
      </c>
      <c r="N17" t="s">
        <v>61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18</v>
      </c>
      <c r="E18" t="s">
        <v>19</v>
      </c>
      <c r="F18" t="s">
        <v>35</v>
      </c>
      <c r="G18">
        <v>325.83</v>
      </c>
      <c r="H18">
        <v>21618313</v>
      </c>
      <c r="I18" t="s">
        <v>21</v>
      </c>
      <c r="J18">
        <v>51052716</v>
      </c>
      <c r="K18" t="s">
        <v>62</v>
      </c>
      <c r="L18" t="s">
        <v>23</v>
      </c>
      <c r="M18" t="s">
        <v>63</v>
      </c>
      <c r="N18" t="s">
        <v>64</v>
      </c>
      <c r="O18" t="s">
        <v>17</v>
      </c>
      <c r="P18" t="s">
        <v>17</v>
      </c>
    </row>
    <row r="19" spans="1:16" x14ac:dyDescent="0.25">
      <c r="A19" t="s">
        <v>16</v>
      </c>
      <c r="B19" t="s">
        <v>16</v>
      </c>
      <c r="C19" t="s">
        <v>17</v>
      </c>
      <c r="D19" t="s">
        <v>18</v>
      </c>
      <c r="E19" t="s">
        <v>19</v>
      </c>
      <c r="F19" t="s">
        <v>35</v>
      </c>
      <c r="G19">
        <v>358.42</v>
      </c>
      <c r="H19">
        <v>21618313</v>
      </c>
      <c r="I19" t="s">
        <v>21</v>
      </c>
      <c r="J19">
        <v>51052718</v>
      </c>
      <c r="K19" t="s">
        <v>65</v>
      </c>
      <c r="L19" t="s">
        <v>23</v>
      </c>
      <c r="M19" t="s">
        <v>66</v>
      </c>
      <c r="N19" t="s">
        <v>67</v>
      </c>
      <c r="O19" t="s">
        <v>17</v>
      </c>
      <c r="P19" t="s">
        <v>17</v>
      </c>
    </row>
    <row r="20" spans="1:16" x14ac:dyDescent="0.25">
      <c r="A20" t="s">
        <v>16</v>
      </c>
      <c r="B20" t="s">
        <v>16</v>
      </c>
      <c r="C20" t="s">
        <v>17</v>
      </c>
      <c r="D20" t="s">
        <v>18</v>
      </c>
      <c r="E20" t="s">
        <v>19</v>
      </c>
      <c r="F20" t="s">
        <v>35</v>
      </c>
      <c r="G20">
        <v>358.42</v>
      </c>
      <c r="H20">
        <v>21618313</v>
      </c>
      <c r="I20" t="s">
        <v>21</v>
      </c>
      <c r="J20">
        <v>51054503</v>
      </c>
      <c r="K20" t="s">
        <v>68</v>
      </c>
      <c r="L20" t="s">
        <v>23</v>
      </c>
      <c r="M20" t="s">
        <v>69</v>
      </c>
      <c r="N20" t="s">
        <v>67</v>
      </c>
      <c r="O20" t="s">
        <v>17</v>
      </c>
      <c r="P20" t="s">
        <v>17</v>
      </c>
    </row>
    <row r="21" spans="1:16" x14ac:dyDescent="0.25">
      <c r="A21" t="s">
        <v>16</v>
      </c>
      <c r="B21" t="s">
        <v>16</v>
      </c>
      <c r="C21" t="s">
        <v>17</v>
      </c>
      <c r="D21" t="s">
        <v>18</v>
      </c>
      <c r="E21" t="s">
        <v>19</v>
      </c>
      <c r="F21" t="s">
        <v>26</v>
      </c>
      <c r="G21">
        <v>390</v>
      </c>
      <c r="H21">
        <v>19278370</v>
      </c>
      <c r="I21" t="s">
        <v>21</v>
      </c>
      <c r="J21">
        <v>51045482</v>
      </c>
      <c r="K21" t="s">
        <v>70</v>
      </c>
      <c r="L21" t="s">
        <v>23</v>
      </c>
      <c r="M21" t="s">
        <v>71</v>
      </c>
      <c r="N21" t="s">
        <v>25</v>
      </c>
      <c r="O21" t="s">
        <v>17</v>
      </c>
      <c r="P21" t="s">
        <v>17</v>
      </c>
    </row>
    <row r="22" spans="1:16" x14ac:dyDescent="0.25">
      <c r="A22" t="s">
        <v>16</v>
      </c>
      <c r="B22" t="s">
        <v>16</v>
      </c>
      <c r="C22" t="s">
        <v>17</v>
      </c>
      <c r="D22" t="s">
        <v>18</v>
      </c>
      <c r="E22" t="s">
        <v>19</v>
      </c>
      <c r="F22" t="s">
        <v>38</v>
      </c>
      <c r="G22">
        <v>390</v>
      </c>
      <c r="H22">
        <v>16509456</v>
      </c>
      <c r="I22" t="s">
        <v>21</v>
      </c>
      <c r="J22">
        <v>51044739</v>
      </c>
      <c r="K22" t="s">
        <v>72</v>
      </c>
      <c r="L22" t="s">
        <v>23</v>
      </c>
      <c r="M22" t="s">
        <v>73</v>
      </c>
      <c r="N22" t="s">
        <v>25</v>
      </c>
      <c r="O22" t="s">
        <v>17</v>
      </c>
      <c r="P22" t="s">
        <v>17</v>
      </c>
    </row>
    <row r="23" spans="1:16" x14ac:dyDescent="0.25">
      <c r="A23" t="s">
        <v>16</v>
      </c>
      <c r="B23" t="s">
        <v>16</v>
      </c>
      <c r="C23" t="s">
        <v>17</v>
      </c>
      <c r="D23" t="s">
        <v>18</v>
      </c>
      <c r="E23" t="s">
        <v>19</v>
      </c>
      <c r="F23" t="s">
        <v>35</v>
      </c>
      <c r="G23">
        <v>390</v>
      </c>
      <c r="H23">
        <v>21618313</v>
      </c>
      <c r="I23" t="s">
        <v>21</v>
      </c>
      <c r="J23">
        <v>51049085</v>
      </c>
      <c r="K23" t="s">
        <v>74</v>
      </c>
      <c r="L23" t="s">
        <v>23</v>
      </c>
      <c r="M23" t="s">
        <v>75</v>
      </c>
      <c r="N23" t="s">
        <v>25</v>
      </c>
      <c r="O23" t="s">
        <v>17</v>
      </c>
      <c r="P23" t="s">
        <v>17</v>
      </c>
    </row>
    <row r="24" spans="1:16" x14ac:dyDescent="0.25">
      <c r="A24" t="s">
        <v>16</v>
      </c>
      <c r="B24" t="s">
        <v>16</v>
      </c>
      <c r="C24" t="s">
        <v>17</v>
      </c>
      <c r="D24" t="s">
        <v>18</v>
      </c>
      <c r="E24" t="s">
        <v>19</v>
      </c>
      <c r="F24" t="s">
        <v>38</v>
      </c>
      <c r="G24">
        <v>391</v>
      </c>
      <c r="H24">
        <v>16509456</v>
      </c>
      <c r="I24" t="s">
        <v>21</v>
      </c>
      <c r="J24">
        <v>51026996</v>
      </c>
      <c r="K24" t="s">
        <v>76</v>
      </c>
      <c r="L24" t="s">
        <v>23</v>
      </c>
      <c r="M24" t="s">
        <v>77</v>
      </c>
      <c r="N24" t="s">
        <v>25</v>
      </c>
      <c r="O24" t="s">
        <v>17</v>
      </c>
      <c r="P24" t="s">
        <v>17</v>
      </c>
    </row>
    <row r="25" spans="1:16" x14ac:dyDescent="0.25">
      <c r="A25" t="s">
        <v>16</v>
      </c>
      <c r="B25" t="s">
        <v>16</v>
      </c>
      <c r="C25" t="s">
        <v>17</v>
      </c>
      <c r="D25" t="s">
        <v>18</v>
      </c>
      <c r="E25" t="s">
        <v>19</v>
      </c>
      <c r="F25" t="s">
        <v>35</v>
      </c>
      <c r="G25">
        <v>391</v>
      </c>
      <c r="H25">
        <v>21618313</v>
      </c>
      <c r="I25" t="s">
        <v>21</v>
      </c>
      <c r="J25">
        <v>51054600</v>
      </c>
      <c r="K25" t="s">
        <v>78</v>
      </c>
      <c r="L25" t="s">
        <v>23</v>
      </c>
      <c r="M25" t="s">
        <v>79</v>
      </c>
      <c r="N25" t="s">
        <v>25</v>
      </c>
      <c r="O25" t="s">
        <v>17</v>
      </c>
      <c r="P25" t="s">
        <v>17</v>
      </c>
    </row>
    <row r="26" spans="1:16" x14ac:dyDescent="0.25">
      <c r="A26" t="s">
        <v>16</v>
      </c>
      <c r="B26" t="s">
        <v>16</v>
      </c>
      <c r="C26" t="s">
        <v>17</v>
      </c>
      <c r="D26" t="s">
        <v>18</v>
      </c>
      <c r="E26" t="s">
        <v>19</v>
      </c>
      <c r="F26" t="s">
        <v>35</v>
      </c>
      <c r="G26">
        <v>391</v>
      </c>
      <c r="H26">
        <v>21618313</v>
      </c>
      <c r="I26" t="s">
        <v>21</v>
      </c>
      <c r="J26">
        <v>50062444</v>
      </c>
      <c r="K26" t="s">
        <v>80</v>
      </c>
      <c r="L26" t="s">
        <v>23</v>
      </c>
      <c r="M26" t="s">
        <v>81</v>
      </c>
      <c r="N26" t="s">
        <v>25</v>
      </c>
      <c r="O26" t="s">
        <v>17</v>
      </c>
      <c r="P26" t="s">
        <v>17</v>
      </c>
    </row>
    <row r="27" spans="1:16" x14ac:dyDescent="0.25">
      <c r="A27" t="s">
        <v>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391</v>
      </c>
      <c r="H27">
        <v>17425766</v>
      </c>
      <c r="I27" t="s">
        <v>21</v>
      </c>
      <c r="J27">
        <v>51040586</v>
      </c>
      <c r="K27" t="s">
        <v>82</v>
      </c>
      <c r="L27" t="s">
        <v>23</v>
      </c>
      <c r="M27" t="s">
        <v>83</v>
      </c>
      <c r="N27" t="s">
        <v>25</v>
      </c>
      <c r="O27" t="s">
        <v>17</v>
      </c>
      <c r="P27" t="s">
        <v>17</v>
      </c>
    </row>
    <row r="28" spans="1:16" x14ac:dyDescent="0.25">
      <c r="A28" t="s">
        <v>16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391</v>
      </c>
      <c r="H28">
        <v>17425766</v>
      </c>
      <c r="I28" t="s">
        <v>21</v>
      </c>
      <c r="J28">
        <v>51040579</v>
      </c>
      <c r="K28" t="s">
        <v>84</v>
      </c>
      <c r="L28" t="s">
        <v>23</v>
      </c>
      <c r="M28" t="s">
        <v>85</v>
      </c>
      <c r="N28" t="s">
        <v>25</v>
      </c>
      <c r="O28" t="s">
        <v>17</v>
      </c>
      <c r="P28" t="s">
        <v>17</v>
      </c>
    </row>
    <row r="29" spans="1:16" x14ac:dyDescent="0.25">
      <c r="A29" t="s">
        <v>16</v>
      </c>
      <c r="B29" t="s">
        <v>16</v>
      </c>
      <c r="C29" t="s">
        <v>17</v>
      </c>
      <c r="D29" t="s">
        <v>18</v>
      </c>
      <c r="E29" t="s">
        <v>19</v>
      </c>
      <c r="F29" t="s">
        <v>86</v>
      </c>
      <c r="G29">
        <v>391</v>
      </c>
      <c r="H29">
        <v>15278437</v>
      </c>
      <c r="I29" t="s">
        <v>21</v>
      </c>
      <c r="J29">
        <v>51022721</v>
      </c>
      <c r="K29" t="s">
        <v>87</v>
      </c>
      <c r="L29" t="s">
        <v>23</v>
      </c>
      <c r="M29" t="s">
        <v>88</v>
      </c>
      <c r="N29" t="s">
        <v>25</v>
      </c>
      <c r="O29" t="s">
        <v>17</v>
      </c>
      <c r="P29" t="s">
        <v>17</v>
      </c>
    </row>
    <row r="30" spans="1:16" x14ac:dyDescent="0.25">
      <c r="A30" t="s">
        <v>16</v>
      </c>
      <c r="B30" t="s">
        <v>16</v>
      </c>
      <c r="C30" t="s">
        <v>17</v>
      </c>
      <c r="D30" t="s">
        <v>18</v>
      </c>
      <c r="E30" t="s">
        <v>19</v>
      </c>
      <c r="F30" t="s">
        <v>86</v>
      </c>
      <c r="G30">
        <v>391</v>
      </c>
      <c r="H30">
        <v>15278437</v>
      </c>
      <c r="I30" t="s">
        <v>21</v>
      </c>
      <c r="J30">
        <v>51022734</v>
      </c>
      <c r="K30" t="s">
        <v>89</v>
      </c>
      <c r="L30" t="s">
        <v>23</v>
      </c>
      <c r="M30" t="s">
        <v>90</v>
      </c>
      <c r="N30" t="s">
        <v>25</v>
      </c>
      <c r="O30" t="s">
        <v>17</v>
      </c>
      <c r="P30" t="s">
        <v>17</v>
      </c>
    </row>
    <row r="31" spans="1:16" x14ac:dyDescent="0.25">
      <c r="A31" t="s">
        <v>16</v>
      </c>
      <c r="B31" t="s">
        <v>16</v>
      </c>
      <c r="C31" t="s">
        <v>17</v>
      </c>
      <c r="D31" t="s">
        <v>18</v>
      </c>
      <c r="E31" t="s">
        <v>19</v>
      </c>
      <c r="F31" t="s">
        <v>26</v>
      </c>
      <c r="G31">
        <v>391</v>
      </c>
      <c r="H31">
        <v>19278370</v>
      </c>
      <c r="I31" t="s">
        <v>21</v>
      </c>
      <c r="J31">
        <v>51054647</v>
      </c>
      <c r="K31" t="s">
        <v>91</v>
      </c>
      <c r="L31" t="s">
        <v>23</v>
      </c>
      <c r="M31" t="s">
        <v>92</v>
      </c>
      <c r="N31" t="s">
        <v>25</v>
      </c>
      <c r="O31" t="s">
        <v>17</v>
      </c>
      <c r="P31" t="s">
        <v>17</v>
      </c>
    </row>
    <row r="32" spans="1:16" x14ac:dyDescent="0.25">
      <c r="A32" t="s">
        <v>16</v>
      </c>
      <c r="B32" t="s">
        <v>16</v>
      </c>
      <c r="C32" t="s">
        <v>17</v>
      </c>
      <c r="D32" t="s">
        <v>18</v>
      </c>
      <c r="E32" t="s">
        <v>19</v>
      </c>
      <c r="F32" t="s">
        <v>86</v>
      </c>
      <c r="G32">
        <v>391</v>
      </c>
      <c r="H32">
        <v>15278437</v>
      </c>
      <c r="I32" t="s">
        <v>21</v>
      </c>
      <c r="J32">
        <v>50091715</v>
      </c>
      <c r="K32" t="s">
        <v>93</v>
      </c>
      <c r="L32" t="s">
        <v>23</v>
      </c>
      <c r="M32" t="s">
        <v>94</v>
      </c>
      <c r="N32" t="s">
        <v>25</v>
      </c>
      <c r="O32" t="s">
        <v>17</v>
      </c>
      <c r="P32" t="s">
        <v>17</v>
      </c>
    </row>
    <row r="33" spans="1:16" x14ac:dyDescent="0.25">
      <c r="A33" t="s">
        <v>16</v>
      </c>
      <c r="B33" t="s">
        <v>16</v>
      </c>
      <c r="C33" t="s">
        <v>17</v>
      </c>
      <c r="D33" t="s">
        <v>18</v>
      </c>
      <c r="E33" t="s">
        <v>19</v>
      </c>
      <c r="F33" t="s">
        <v>38</v>
      </c>
      <c r="G33">
        <v>391</v>
      </c>
      <c r="H33">
        <v>16509456</v>
      </c>
      <c r="I33" t="s">
        <v>21</v>
      </c>
      <c r="J33">
        <v>50110456</v>
      </c>
      <c r="K33" t="s">
        <v>95</v>
      </c>
      <c r="L33" t="s">
        <v>23</v>
      </c>
      <c r="M33" t="s">
        <v>96</v>
      </c>
      <c r="N33" t="s">
        <v>25</v>
      </c>
      <c r="O33" t="s">
        <v>17</v>
      </c>
      <c r="P33" t="s">
        <v>17</v>
      </c>
    </row>
    <row r="34" spans="1:16" x14ac:dyDescent="0.25">
      <c r="A34" t="s">
        <v>16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391</v>
      </c>
      <c r="H34">
        <v>17425766</v>
      </c>
      <c r="I34" t="s">
        <v>21</v>
      </c>
      <c r="J34">
        <v>50034043</v>
      </c>
      <c r="K34" t="s">
        <v>97</v>
      </c>
      <c r="L34" t="s">
        <v>23</v>
      </c>
      <c r="M34" t="s">
        <v>98</v>
      </c>
      <c r="N34" t="s">
        <v>25</v>
      </c>
      <c r="O34" t="s">
        <v>17</v>
      </c>
      <c r="P34" t="s">
        <v>17</v>
      </c>
    </row>
    <row r="35" spans="1:16" x14ac:dyDescent="0.25">
      <c r="A35" t="s">
        <v>16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391</v>
      </c>
      <c r="H35">
        <v>17425766</v>
      </c>
      <c r="I35" t="s">
        <v>21</v>
      </c>
      <c r="J35">
        <v>50130972</v>
      </c>
      <c r="K35" t="s">
        <v>99</v>
      </c>
      <c r="L35" t="s">
        <v>23</v>
      </c>
      <c r="M35" t="s">
        <v>100</v>
      </c>
      <c r="N35" t="s">
        <v>25</v>
      </c>
      <c r="O35" t="s">
        <v>17</v>
      </c>
      <c r="P35" t="s">
        <v>17</v>
      </c>
    </row>
    <row r="36" spans="1:16" x14ac:dyDescent="0.25">
      <c r="A36" t="s">
        <v>16</v>
      </c>
      <c r="B36" t="s">
        <v>16</v>
      </c>
      <c r="C36" t="s">
        <v>17</v>
      </c>
      <c r="D36" t="s">
        <v>18</v>
      </c>
      <c r="E36" t="s">
        <v>19</v>
      </c>
      <c r="F36" t="s">
        <v>86</v>
      </c>
      <c r="G36">
        <v>391</v>
      </c>
      <c r="H36">
        <v>15278437</v>
      </c>
      <c r="I36" t="s">
        <v>21</v>
      </c>
      <c r="J36">
        <v>51037053</v>
      </c>
      <c r="K36" t="s">
        <v>101</v>
      </c>
      <c r="L36" t="s">
        <v>23</v>
      </c>
      <c r="M36" t="s">
        <v>102</v>
      </c>
      <c r="N36" t="s">
        <v>25</v>
      </c>
      <c r="O36" t="s">
        <v>17</v>
      </c>
      <c r="P36" t="s">
        <v>17</v>
      </c>
    </row>
    <row r="37" spans="1:16" x14ac:dyDescent="0.25">
      <c r="A37" t="s">
        <v>16</v>
      </c>
      <c r="B37" t="s">
        <v>16</v>
      </c>
      <c r="C37" t="s">
        <v>17</v>
      </c>
      <c r="D37" t="s">
        <v>18</v>
      </c>
      <c r="E37" t="s">
        <v>19</v>
      </c>
      <c r="F37" t="s">
        <v>38</v>
      </c>
      <c r="G37">
        <v>391</v>
      </c>
      <c r="H37">
        <v>16509456</v>
      </c>
      <c r="I37" t="s">
        <v>21</v>
      </c>
      <c r="J37">
        <v>50011367</v>
      </c>
      <c r="K37" t="s">
        <v>103</v>
      </c>
      <c r="L37" t="s">
        <v>23</v>
      </c>
      <c r="M37" t="s">
        <v>104</v>
      </c>
      <c r="N37" t="s">
        <v>25</v>
      </c>
      <c r="O37" t="s">
        <v>17</v>
      </c>
      <c r="P37" t="s">
        <v>17</v>
      </c>
    </row>
    <row r="38" spans="1:16" x14ac:dyDescent="0.25">
      <c r="A38" t="s">
        <v>16</v>
      </c>
      <c r="B38" t="s">
        <v>16</v>
      </c>
      <c r="C38" t="s">
        <v>17</v>
      </c>
      <c r="D38" t="s">
        <v>18</v>
      </c>
      <c r="E38" t="s">
        <v>19</v>
      </c>
      <c r="F38" t="s">
        <v>35</v>
      </c>
      <c r="G38">
        <v>391</v>
      </c>
      <c r="H38">
        <v>21618313</v>
      </c>
      <c r="I38" t="s">
        <v>21</v>
      </c>
      <c r="J38">
        <v>51050008</v>
      </c>
      <c r="K38" t="s">
        <v>105</v>
      </c>
      <c r="L38" t="s">
        <v>23</v>
      </c>
      <c r="M38" t="s">
        <v>106</v>
      </c>
      <c r="N38" t="s">
        <v>25</v>
      </c>
      <c r="O38" t="s">
        <v>17</v>
      </c>
      <c r="P38" t="s">
        <v>17</v>
      </c>
    </row>
    <row r="39" spans="1:16" x14ac:dyDescent="0.25">
      <c r="A39" t="s">
        <v>16</v>
      </c>
      <c r="B39" t="s">
        <v>16</v>
      </c>
      <c r="C39" t="s">
        <v>17</v>
      </c>
      <c r="D39" t="s">
        <v>18</v>
      </c>
      <c r="E39" t="s">
        <v>19</v>
      </c>
      <c r="F39" t="s">
        <v>26</v>
      </c>
      <c r="G39">
        <v>391</v>
      </c>
      <c r="H39">
        <v>19278370</v>
      </c>
      <c r="I39" t="s">
        <v>21</v>
      </c>
      <c r="J39">
        <v>51040325</v>
      </c>
      <c r="K39" t="s">
        <v>107</v>
      </c>
      <c r="L39" t="s">
        <v>23</v>
      </c>
      <c r="M39" t="s">
        <v>108</v>
      </c>
      <c r="N39" t="s">
        <v>25</v>
      </c>
      <c r="O39" t="s">
        <v>17</v>
      </c>
      <c r="P39" t="s">
        <v>17</v>
      </c>
    </row>
    <row r="40" spans="1:16" x14ac:dyDescent="0.25">
      <c r="A40" t="s">
        <v>16</v>
      </c>
      <c r="B40" t="s">
        <v>16</v>
      </c>
      <c r="C40" t="s">
        <v>17</v>
      </c>
      <c r="D40" t="s">
        <v>18</v>
      </c>
      <c r="E40" t="s">
        <v>19</v>
      </c>
      <c r="F40" t="s">
        <v>38</v>
      </c>
      <c r="G40">
        <v>391</v>
      </c>
      <c r="H40">
        <v>16509456</v>
      </c>
      <c r="I40" t="s">
        <v>21</v>
      </c>
      <c r="J40">
        <v>51040690</v>
      </c>
      <c r="K40" t="s">
        <v>109</v>
      </c>
      <c r="L40" t="s">
        <v>23</v>
      </c>
      <c r="M40" t="s">
        <v>110</v>
      </c>
      <c r="N40" t="s">
        <v>25</v>
      </c>
      <c r="O40" t="s">
        <v>17</v>
      </c>
      <c r="P40" t="s">
        <v>17</v>
      </c>
    </row>
    <row r="41" spans="1:16" x14ac:dyDescent="0.25">
      <c r="A41" t="s">
        <v>16</v>
      </c>
      <c r="B41" t="s">
        <v>16</v>
      </c>
      <c r="C41" t="s">
        <v>17</v>
      </c>
      <c r="D41" t="s">
        <v>18</v>
      </c>
      <c r="E41" t="s">
        <v>19</v>
      </c>
      <c r="F41" t="s">
        <v>38</v>
      </c>
      <c r="G41">
        <v>391</v>
      </c>
      <c r="H41">
        <v>16509456</v>
      </c>
      <c r="I41" t="s">
        <v>21</v>
      </c>
      <c r="J41">
        <v>50013881</v>
      </c>
      <c r="K41" t="s">
        <v>111</v>
      </c>
      <c r="L41" t="s">
        <v>23</v>
      </c>
      <c r="M41" t="s">
        <v>112</v>
      </c>
      <c r="N41" t="s">
        <v>25</v>
      </c>
      <c r="O41" t="s">
        <v>17</v>
      </c>
      <c r="P41" t="s">
        <v>17</v>
      </c>
    </row>
    <row r="42" spans="1:16" x14ac:dyDescent="0.25">
      <c r="A42" t="s">
        <v>16</v>
      </c>
      <c r="B42" t="s">
        <v>16</v>
      </c>
      <c r="C42" t="s">
        <v>17</v>
      </c>
      <c r="D42" t="s">
        <v>18</v>
      </c>
      <c r="E42" t="s">
        <v>19</v>
      </c>
      <c r="F42" t="s">
        <v>35</v>
      </c>
      <c r="G42">
        <v>391</v>
      </c>
      <c r="H42">
        <v>21618313</v>
      </c>
      <c r="I42" t="s">
        <v>21</v>
      </c>
      <c r="J42">
        <v>51049192</v>
      </c>
      <c r="K42" t="s">
        <v>36</v>
      </c>
      <c r="L42" t="s">
        <v>23</v>
      </c>
      <c r="M42" t="s">
        <v>37</v>
      </c>
      <c r="N42" t="s">
        <v>25</v>
      </c>
      <c r="O42" t="s">
        <v>17</v>
      </c>
      <c r="P42" t="s">
        <v>17</v>
      </c>
    </row>
    <row r="43" spans="1:16" x14ac:dyDescent="0.25">
      <c r="A43" t="s">
        <v>16</v>
      </c>
      <c r="B43" t="s">
        <v>16</v>
      </c>
      <c r="C43" t="s">
        <v>17</v>
      </c>
      <c r="D43" t="s">
        <v>18</v>
      </c>
      <c r="E43" t="s">
        <v>19</v>
      </c>
      <c r="F43" t="s">
        <v>86</v>
      </c>
      <c r="G43">
        <v>391</v>
      </c>
      <c r="H43">
        <v>15278437</v>
      </c>
      <c r="I43" t="s">
        <v>21</v>
      </c>
      <c r="J43">
        <v>50033063</v>
      </c>
      <c r="K43" t="s">
        <v>113</v>
      </c>
      <c r="L43" t="s">
        <v>23</v>
      </c>
      <c r="M43" t="s">
        <v>114</v>
      </c>
      <c r="N43" t="s">
        <v>25</v>
      </c>
      <c r="O43" t="s">
        <v>17</v>
      </c>
      <c r="P43" t="s">
        <v>17</v>
      </c>
    </row>
    <row r="44" spans="1:16" x14ac:dyDescent="0.25">
      <c r="A44" t="s">
        <v>16</v>
      </c>
      <c r="B44" t="s">
        <v>16</v>
      </c>
      <c r="C44" t="s">
        <v>17</v>
      </c>
      <c r="D44" t="s">
        <v>18</v>
      </c>
      <c r="E44" t="s">
        <v>19</v>
      </c>
      <c r="F44" t="s">
        <v>86</v>
      </c>
      <c r="G44">
        <v>391</v>
      </c>
      <c r="H44">
        <v>15278437</v>
      </c>
      <c r="I44" t="s">
        <v>21</v>
      </c>
      <c r="J44">
        <v>51054860</v>
      </c>
      <c r="K44" t="s">
        <v>115</v>
      </c>
      <c r="L44" t="s">
        <v>23</v>
      </c>
      <c r="M44" t="s">
        <v>116</v>
      </c>
      <c r="N44" t="s">
        <v>25</v>
      </c>
      <c r="O44" t="s">
        <v>17</v>
      </c>
      <c r="P44" t="s">
        <v>17</v>
      </c>
    </row>
    <row r="45" spans="1:16" x14ac:dyDescent="0.25">
      <c r="A45" t="s">
        <v>16</v>
      </c>
      <c r="B45" t="s">
        <v>16</v>
      </c>
      <c r="C45" t="s">
        <v>17</v>
      </c>
      <c r="D45" t="s">
        <v>18</v>
      </c>
      <c r="E45" t="s">
        <v>19</v>
      </c>
      <c r="F45" t="s">
        <v>26</v>
      </c>
      <c r="G45">
        <v>391</v>
      </c>
      <c r="H45">
        <v>19278370</v>
      </c>
      <c r="I45" t="s">
        <v>21</v>
      </c>
      <c r="J45">
        <v>51045482</v>
      </c>
      <c r="K45" t="s">
        <v>70</v>
      </c>
      <c r="L45" t="s">
        <v>23</v>
      </c>
      <c r="M45" t="s">
        <v>71</v>
      </c>
      <c r="N45" t="s">
        <v>25</v>
      </c>
      <c r="O45" t="s">
        <v>17</v>
      </c>
      <c r="P45" t="s">
        <v>17</v>
      </c>
    </row>
    <row r="46" spans="1:16" x14ac:dyDescent="0.25">
      <c r="A46" t="s">
        <v>16</v>
      </c>
      <c r="B46" t="s">
        <v>16</v>
      </c>
      <c r="C46" t="s">
        <v>17</v>
      </c>
      <c r="D46" t="s">
        <v>18</v>
      </c>
      <c r="E46" t="s">
        <v>19</v>
      </c>
      <c r="F46" t="s">
        <v>26</v>
      </c>
      <c r="G46">
        <v>391</v>
      </c>
      <c r="H46">
        <v>19278370</v>
      </c>
      <c r="I46" t="s">
        <v>21</v>
      </c>
      <c r="J46">
        <v>50118614</v>
      </c>
      <c r="K46" t="s">
        <v>117</v>
      </c>
      <c r="L46" t="s">
        <v>23</v>
      </c>
      <c r="M46" t="s">
        <v>118</v>
      </c>
      <c r="N46" t="s">
        <v>25</v>
      </c>
      <c r="O46" t="s">
        <v>17</v>
      </c>
      <c r="P46" t="s">
        <v>17</v>
      </c>
    </row>
    <row r="47" spans="1:16" x14ac:dyDescent="0.25">
      <c r="A47" t="s">
        <v>16</v>
      </c>
      <c r="B47" t="s">
        <v>16</v>
      </c>
      <c r="C47" t="s">
        <v>17</v>
      </c>
      <c r="D47" t="s">
        <v>18</v>
      </c>
      <c r="E47" t="s">
        <v>19</v>
      </c>
      <c r="F47" t="s">
        <v>26</v>
      </c>
      <c r="G47">
        <v>391</v>
      </c>
      <c r="H47">
        <v>19278370</v>
      </c>
      <c r="I47" t="s">
        <v>21</v>
      </c>
      <c r="J47">
        <v>51028359</v>
      </c>
      <c r="K47" t="s">
        <v>119</v>
      </c>
      <c r="L47" t="s">
        <v>23</v>
      </c>
      <c r="M47" t="s">
        <v>120</v>
      </c>
      <c r="N47" t="s">
        <v>25</v>
      </c>
      <c r="O47" t="s">
        <v>17</v>
      </c>
      <c r="P47" t="s">
        <v>17</v>
      </c>
    </row>
    <row r="48" spans="1:16" x14ac:dyDescent="0.25">
      <c r="A48" t="s">
        <v>16</v>
      </c>
      <c r="B48" t="s">
        <v>16</v>
      </c>
      <c r="C48" t="s">
        <v>17</v>
      </c>
      <c r="D48" t="s">
        <v>18</v>
      </c>
      <c r="E48" t="s">
        <v>19</v>
      </c>
      <c r="F48" t="s">
        <v>26</v>
      </c>
      <c r="G48">
        <v>391</v>
      </c>
      <c r="H48">
        <v>19278370</v>
      </c>
      <c r="I48" t="s">
        <v>21</v>
      </c>
      <c r="J48">
        <v>51041084</v>
      </c>
      <c r="K48" t="s">
        <v>121</v>
      </c>
      <c r="L48" t="s">
        <v>23</v>
      </c>
      <c r="M48" t="s">
        <v>122</v>
      </c>
      <c r="N48" t="s">
        <v>25</v>
      </c>
      <c r="O48" t="s">
        <v>17</v>
      </c>
      <c r="P48" t="s">
        <v>17</v>
      </c>
    </row>
    <row r="49" spans="1:16" x14ac:dyDescent="0.25">
      <c r="A49" t="s">
        <v>16</v>
      </c>
      <c r="B49" t="s">
        <v>16</v>
      </c>
      <c r="C49" t="s">
        <v>17</v>
      </c>
      <c r="D49" t="s">
        <v>18</v>
      </c>
      <c r="E49" t="s">
        <v>19</v>
      </c>
      <c r="F49" t="s">
        <v>26</v>
      </c>
      <c r="G49">
        <v>391</v>
      </c>
      <c r="H49">
        <v>19278370</v>
      </c>
      <c r="I49" t="s">
        <v>21</v>
      </c>
      <c r="J49">
        <v>51041982</v>
      </c>
      <c r="K49" t="s">
        <v>123</v>
      </c>
      <c r="L49" t="s">
        <v>23</v>
      </c>
      <c r="M49" t="s">
        <v>124</v>
      </c>
      <c r="N49" t="s">
        <v>25</v>
      </c>
      <c r="O49" t="s">
        <v>17</v>
      </c>
      <c r="P49" t="s">
        <v>17</v>
      </c>
    </row>
    <row r="50" spans="1:16" x14ac:dyDescent="0.25">
      <c r="A50" t="s">
        <v>16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391</v>
      </c>
      <c r="H50">
        <v>17425766</v>
      </c>
      <c r="I50" t="s">
        <v>21</v>
      </c>
      <c r="J50">
        <v>51044944</v>
      </c>
      <c r="K50" t="s">
        <v>22</v>
      </c>
      <c r="L50" t="s">
        <v>23</v>
      </c>
      <c r="M50" t="s">
        <v>24</v>
      </c>
      <c r="N50" t="s">
        <v>25</v>
      </c>
      <c r="O50" t="s">
        <v>25</v>
      </c>
      <c r="P50" t="s">
        <v>17</v>
      </c>
    </row>
    <row r="51" spans="1:16" x14ac:dyDescent="0.25">
      <c r="A51" t="s">
        <v>16</v>
      </c>
      <c r="B51" t="s">
        <v>16</v>
      </c>
      <c r="C51" t="s">
        <v>17</v>
      </c>
      <c r="D51" t="s">
        <v>18</v>
      </c>
      <c r="E51" t="s">
        <v>19</v>
      </c>
      <c r="F51" t="s">
        <v>26</v>
      </c>
      <c r="G51">
        <v>391</v>
      </c>
      <c r="H51">
        <v>19278370</v>
      </c>
      <c r="I51" t="s">
        <v>21</v>
      </c>
      <c r="J51">
        <v>50010651</v>
      </c>
      <c r="K51" t="s">
        <v>125</v>
      </c>
      <c r="L51" t="s">
        <v>23</v>
      </c>
      <c r="M51" t="s">
        <v>126</v>
      </c>
      <c r="N51" t="s">
        <v>25</v>
      </c>
      <c r="O51" t="s">
        <v>17</v>
      </c>
      <c r="P51" t="s">
        <v>17</v>
      </c>
    </row>
    <row r="52" spans="1:16" x14ac:dyDescent="0.25">
      <c r="A52" t="s">
        <v>16</v>
      </c>
      <c r="B52" t="s">
        <v>16</v>
      </c>
      <c r="C52" t="s">
        <v>17</v>
      </c>
      <c r="D52" t="s">
        <v>18</v>
      </c>
      <c r="E52" t="s">
        <v>19</v>
      </c>
      <c r="F52" t="s">
        <v>86</v>
      </c>
      <c r="G52">
        <v>391</v>
      </c>
      <c r="H52">
        <v>15278437</v>
      </c>
      <c r="I52" t="s">
        <v>21</v>
      </c>
      <c r="J52">
        <v>51025766</v>
      </c>
      <c r="K52" t="s">
        <v>127</v>
      </c>
      <c r="L52" t="s">
        <v>23</v>
      </c>
      <c r="M52" t="s">
        <v>128</v>
      </c>
      <c r="N52" t="s">
        <v>25</v>
      </c>
      <c r="O52" t="s">
        <v>17</v>
      </c>
      <c r="P52" t="s">
        <v>17</v>
      </c>
    </row>
    <row r="53" spans="1:16" x14ac:dyDescent="0.25">
      <c r="A53" t="s">
        <v>16</v>
      </c>
      <c r="B53" t="s">
        <v>16</v>
      </c>
      <c r="C53" t="s">
        <v>17</v>
      </c>
      <c r="D53" t="s">
        <v>18</v>
      </c>
      <c r="E53" t="s">
        <v>19</v>
      </c>
      <c r="F53" t="s">
        <v>86</v>
      </c>
      <c r="G53">
        <v>391</v>
      </c>
      <c r="H53">
        <v>15278437</v>
      </c>
      <c r="I53" t="s">
        <v>21</v>
      </c>
      <c r="J53">
        <v>50027542</v>
      </c>
      <c r="K53" t="s">
        <v>129</v>
      </c>
      <c r="L53" t="s">
        <v>23</v>
      </c>
      <c r="M53" t="s">
        <v>130</v>
      </c>
      <c r="N53" t="s">
        <v>25</v>
      </c>
      <c r="O53" t="s">
        <v>17</v>
      </c>
      <c r="P53" t="s">
        <v>17</v>
      </c>
    </row>
    <row r="54" spans="1:16" x14ac:dyDescent="0.25">
      <c r="A54" t="s">
        <v>16</v>
      </c>
      <c r="B54" t="s">
        <v>16</v>
      </c>
      <c r="C54" t="s">
        <v>17</v>
      </c>
      <c r="D54" t="s">
        <v>18</v>
      </c>
      <c r="E54" t="s">
        <v>19</v>
      </c>
      <c r="F54" t="s">
        <v>86</v>
      </c>
      <c r="G54">
        <v>391</v>
      </c>
      <c r="H54">
        <v>15278437</v>
      </c>
      <c r="I54" t="s">
        <v>21</v>
      </c>
      <c r="J54">
        <v>50074203</v>
      </c>
      <c r="K54" t="s">
        <v>131</v>
      </c>
      <c r="L54" t="s">
        <v>23</v>
      </c>
      <c r="M54" t="s">
        <v>132</v>
      </c>
      <c r="N54" t="s">
        <v>25</v>
      </c>
      <c r="O54" t="s">
        <v>17</v>
      </c>
      <c r="P54" t="s">
        <v>17</v>
      </c>
    </row>
    <row r="55" spans="1:16" x14ac:dyDescent="0.25">
      <c r="A55" t="s">
        <v>16</v>
      </c>
      <c r="B55" t="s">
        <v>16</v>
      </c>
      <c r="C55" t="s">
        <v>17</v>
      </c>
      <c r="D55" t="s">
        <v>18</v>
      </c>
      <c r="E55" t="s">
        <v>19</v>
      </c>
      <c r="F55" t="s">
        <v>26</v>
      </c>
      <c r="G55">
        <v>391</v>
      </c>
      <c r="H55">
        <v>19278370</v>
      </c>
      <c r="I55" t="s">
        <v>21</v>
      </c>
      <c r="J55">
        <v>51040180</v>
      </c>
      <c r="K55" t="s">
        <v>133</v>
      </c>
      <c r="L55" t="s">
        <v>23</v>
      </c>
      <c r="M55" t="s">
        <v>134</v>
      </c>
      <c r="N55" t="s">
        <v>25</v>
      </c>
      <c r="O55" t="s">
        <v>17</v>
      </c>
      <c r="P55" t="s">
        <v>17</v>
      </c>
    </row>
    <row r="56" spans="1:16" x14ac:dyDescent="0.25">
      <c r="A56" t="s">
        <v>16</v>
      </c>
      <c r="B56" t="s">
        <v>16</v>
      </c>
      <c r="C56" t="s">
        <v>17</v>
      </c>
      <c r="D56" t="s">
        <v>18</v>
      </c>
      <c r="E56" t="s">
        <v>19</v>
      </c>
      <c r="F56" t="s">
        <v>86</v>
      </c>
      <c r="G56">
        <v>391</v>
      </c>
      <c r="H56">
        <v>15278437</v>
      </c>
      <c r="I56" t="s">
        <v>21</v>
      </c>
      <c r="J56">
        <v>50129045</v>
      </c>
      <c r="K56" t="s">
        <v>135</v>
      </c>
      <c r="L56" t="s">
        <v>23</v>
      </c>
      <c r="M56" t="s">
        <v>136</v>
      </c>
      <c r="N56" t="s">
        <v>25</v>
      </c>
      <c r="O56" t="s">
        <v>17</v>
      </c>
      <c r="P56" t="s">
        <v>17</v>
      </c>
    </row>
    <row r="57" spans="1:16" x14ac:dyDescent="0.25">
      <c r="A57" t="s">
        <v>16</v>
      </c>
      <c r="B57" t="s">
        <v>16</v>
      </c>
      <c r="C57" t="s">
        <v>17</v>
      </c>
      <c r="D57" t="s">
        <v>18</v>
      </c>
      <c r="E57" t="s">
        <v>19</v>
      </c>
      <c r="F57" t="s">
        <v>26</v>
      </c>
      <c r="G57">
        <v>391</v>
      </c>
      <c r="H57">
        <v>19278370</v>
      </c>
      <c r="I57" t="s">
        <v>21</v>
      </c>
      <c r="J57">
        <v>51042382</v>
      </c>
      <c r="K57" t="s">
        <v>27</v>
      </c>
      <c r="L57" t="s">
        <v>23</v>
      </c>
      <c r="M57" t="s">
        <v>28</v>
      </c>
      <c r="N57" t="s">
        <v>25</v>
      </c>
      <c r="O57" t="s">
        <v>25</v>
      </c>
      <c r="P57" t="s">
        <v>17</v>
      </c>
    </row>
    <row r="58" spans="1:16" x14ac:dyDescent="0.25">
      <c r="A58" t="s">
        <v>16</v>
      </c>
      <c r="B58" t="s">
        <v>16</v>
      </c>
      <c r="C58" t="s">
        <v>17</v>
      </c>
      <c r="D58" t="s">
        <v>18</v>
      </c>
      <c r="E58" t="s">
        <v>19</v>
      </c>
      <c r="F58" t="s">
        <v>86</v>
      </c>
      <c r="G58">
        <v>391</v>
      </c>
      <c r="H58">
        <v>15278437</v>
      </c>
      <c r="I58" t="s">
        <v>21</v>
      </c>
      <c r="J58">
        <v>51047255</v>
      </c>
      <c r="K58" t="s">
        <v>137</v>
      </c>
      <c r="L58" t="s">
        <v>23</v>
      </c>
      <c r="M58" t="s">
        <v>138</v>
      </c>
      <c r="N58" t="s">
        <v>25</v>
      </c>
      <c r="O58" t="s">
        <v>17</v>
      </c>
      <c r="P58" t="s">
        <v>17</v>
      </c>
    </row>
    <row r="59" spans="1:16" x14ac:dyDescent="0.25">
      <c r="A59" t="s">
        <v>16</v>
      </c>
      <c r="B59" t="s">
        <v>16</v>
      </c>
      <c r="C59" t="s">
        <v>17</v>
      </c>
      <c r="D59" t="s">
        <v>18</v>
      </c>
      <c r="E59" t="s">
        <v>19</v>
      </c>
      <c r="F59" t="s">
        <v>38</v>
      </c>
      <c r="G59">
        <v>391</v>
      </c>
      <c r="H59">
        <v>16509456</v>
      </c>
      <c r="I59" t="s">
        <v>21</v>
      </c>
      <c r="J59">
        <v>51043111</v>
      </c>
      <c r="K59" t="s">
        <v>139</v>
      </c>
      <c r="L59" t="s">
        <v>23</v>
      </c>
      <c r="M59" t="s">
        <v>140</v>
      </c>
      <c r="N59" t="s">
        <v>25</v>
      </c>
      <c r="O59" t="s">
        <v>17</v>
      </c>
      <c r="P59" t="s">
        <v>17</v>
      </c>
    </row>
    <row r="60" spans="1:16" x14ac:dyDescent="0.25">
      <c r="A60" t="s">
        <v>16</v>
      </c>
      <c r="B60" t="s">
        <v>16</v>
      </c>
      <c r="C60" t="s">
        <v>17</v>
      </c>
      <c r="D60" t="s">
        <v>18</v>
      </c>
      <c r="E60" t="s">
        <v>19</v>
      </c>
      <c r="F60" t="s">
        <v>38</v>
      </c>
      <c r="G60">
        <v>391</v>
      </c>
      <c r="H60">
        <v>16509456</v>
      </c>
      <c r="I60" t="s">
        <v>21</v>
      </c>
      <c r="J60">
        <v>51050965</v>
      </c>
      <c r="K60" t="s">
        <v>141</v>
      </c>
      <c r="L60" t="s">
        <v>23</v>
      </c>
      <c r="M60" t="s">
        <v>142</v>
      </c>
      <c r="N60" t="s">
        <v>25</v>
      </c>
      <c r="O60" t="s">
        <v>17</v>
      </c>
      <c r="P60" t="s">
        <v>17</v>
      </c>
    </row>
    <row r="61" spans="1:16" x14ac:dyDescent="0.25">
      <c r="A61" t="s">
        <v>16</v>
      </c>
      <c r="B61" t="s">
        <v>16</v>
      </c>
      <c r="C61" t="s">
        <v>17</v>
      </c>
      <c r="D61" t="s">
        <v>18</v>
      </c>
      <c r="E61" t="s">
        <v>19</v>
      </c>
      <c r="F61" t="s">
        <v>26</v>
      </c>
      <c r="G61">
        <v>391</v>
      </c>
      <c r="H61">
        <v>19278370</v>
      </c>
      <c r="I61" t="s">
        <v>21</v>
      </c>
      <c r="J61">
        <v>51038138</v>
      </c>
      <c r="K61" t="s">
        <v>143</v>
      </c>
      <c r="L61" t="s">
        <v>23</v>
      </c>
      <c r="M61" t="s">
        <v>144</v>
      </c>
      <c r="N61" t="s">
        <v>25</v>
      </c>
      <c r="O61" t="s">
        <v>17</v>
      </c>
      <c r="P61" t="s">
        <v>17</v>
      </c>
    </row>
    <row r="62" spans="1:16" x14ac:dyDescent="0.25">
      <c r="A62" t="s">
        <v>16</v>
      </c>
      <c r="B62" t="s">
        <v>16</v>
      </c>
      <c r="C62" t="s">
        <v>17</v>
      </c>
      <c r="D62" t="s">
        <v>18</v>
      </c>
      <c r="E62" t="s">
        <v>19</v>
      </c>
      <c r="F62" t="s">
        <v>26</v>
      </c>
      <c r="G62">
        <v>391</v>
      </c>
      <c r="H62">
        <v>19278370</v>
      </c>
      <c r="I62" t="s">
        <v>21</v>
      </c>
      <c r="J62">
        <v>51043170</v>
      </c>
      <c r="K62" t="s">
        <v>145</v>
      </c>
      <c r="L62" t="s">
        <v>23</v>
      </c>
      <c r="M62" t="s">
        <v>146</v>
      </c>
      <c r="N62" t="s">
        <v>25</v>
      </c>
      <c r="O62" t="s">
        <v>17</v>
      </c>
      <c r="P62" t="s">
        <v>17</v>
      </c>
    </row>
    <row r="63" spans="1:16" x14ac:dyDescent="0.25">
      <c r="A63" t="s">
        <v>16</v>
      </c>
      <c r="B63" t="s">
        <v>16</v>
      </c>
      <c r="C63" t="s">
        <v>17</v>
      </c>
      <c r="D63" t="s">
        <v>18</v>
      </c>
      <c r="E63" t="s">
        <v>19</v>
      </c>
      <c r="F63" t="s">
        <v>38</v>
      </c>
      <c r="G63">
        <v>391</v>
      </c>
      <c r="H63">
        <v>16509456</v>
      </c>
      <c r="I63" t="s">
        <v>21</v>
      </c>
      <c r="J63">
        <v>51044290</v>
      </c>
      <c r="K63" t="s">
        <v>39</v>
      </c>
      <c r="L63" t="s">
        <v>23</v>
      </c>
      <c r="M63" t="s">
        <v>40</v>
      </c>
      <c r="N63" t="s">
        <v>41</v>
      </c>
      <c r="O63" t="s">
        <v>17</v>
      </c>
      <c r="P63" t="s">
        <v>17</v>
      </c>
    </row>
    <row r="64" spans="1:16" x14ac:dyDescent="0.25">
      <c r="A64" t="s">
        <v>16</v>
      </c>
      <c r="B64" t="s">
        <v>16</v>
      </c>
      <c r="C64" t="s">
        <v>17</v>
      </c>
      <c r="D64" t="s">
        <v>18</v>
      </c>
      <c r="E64" t="s">
        <v>19</v>
      </c>
      <c r="F64" t="s">
        <v>38</v>
      </c>
      <c r="G64">
        <v>391</v>
      </c>
      <c r="H64">
        <v>16509456</v>
      </c>
      <c r="I64" t="s">
        <v>21</v>
      </c>
      <c r="J64">
        <v>51044307</v>
      </c>
      <c r="K64" t="s">
        <v>42</v>
      </c>
      <c r="L64" t="s">
        <v>23</v>
      </c>
      <c r="M64" t="s">
        <v>43</v>
      </c>
      <c r="N64" t="s">
        <v>41</v>
      </c>
      <c r="O64" t="s">
        <v>17</v>
      </c>
      <c r="P64" t="s">
        <v>17</v>
      </c>
    </row>
    <row r="65" spans="1:16" x14ac:dyDescent="0.25">
      <c r="A65" t="s">
        <v>16</v>
      </c>
      <c r="B65" t="s">
        <v>16</v>
      </c>
      <c r="C65" t="s">
        <v>17</v>
      </c>
      <c r="D65" t="s">
        <v>18</v>
      </c>
      <c r="E65" t="s">
        <v>19</v>
      </c>
      <c r="F65" t="s">
        <v>38</v>
      </c>
      <c r="G65">
        <v>391</v>
      </c>
      <c r="H65">
        <v>16509456</v>
      </c>
      <c r="I65" t="s">
        <v>21</v>
      </c>
      <c r="J65">
        <v>50119987</v>
      </c>
      <c r="K65" t="s">
        <v>147</v>
      </c>
      <c r="L65" t="s">
        <v>23</v>
      </c>
      <c r="M65" t="s">
        <v>148</v>
      </c>
      <c r="N65" t="s">
        <v>25</v>
      </c>
      <c r="O65" t="s">
        <v>17</v>
      </c>
      <c r="P65" t="s">
        <v>17</v>
      </c>
    </row>
    <row r="66" spans="1:16" x14ac:dyDescent="0.25">
      <c r="A66" t="s">
        <v>16</v>
      </c>
      <c r="B66" t="s">
        <v>16</v>
      </c>
      <c r="C66" t="s">
        <v>17</v>
      </c>
      <c r="D66" t="s">
        <v>18</v>
      </c>
      <c r="E66" t="s">
        <v>19</v>
      </c>
      <c r="F66" t="s">
        <v>38</v>
      </c>
      <c r="G66">
        <v>391</v>
      </c>
      <c r="H66">
        <v>16509456</v>
      </c>
      <c r="I66" t="s">
        <v>21</v>
      </c>
      <c r="J66">
        <v>50120035</v>
      </c>
      <c r="K66" t="s">
        <v>149</v>
      </c>
      <c r="L66" t="s">
        <v>23</v>
      </c>
      <c r="M66" t="s">
        <v>150</v>
      </c>
      <c r="N66" t="s">
        <v>25</v>
      </c>
      <c r="O66" t="s">
        <v>17</v>
      </c>
      <c r="P66" t="s">
        <v>17</v>
      </c>
    </row>
    <row r="67" spans="1:16" x14ac:dyDescent="0.25">
      <c r="A67" t="s">
        <v>16</v>
      </c>
      <c r="B67" t="s">
        <v>16</v>
      </c>
      <c r="C67" t="s">
        <v>17</v>
      </c>
      <c r="D67" t="s">
        <v>18</v>
      </c>
      <c r="E67" t="s">
        <v>19</v>
      </c>
      <c r="F67" t="s">
        <v>86</v>
      </c>
      <c r="G67">
        <v>391</v>
      </c>
      <c r="H67">
        <v>15278437</v>
      </c>
      <c r="I67" t="s">
        <v>21</v>
      </c>
      <c r="J67">
        <v>51017846</v>
      </c>
      <c r="K67" t="s">
        <v>151</v>
      </c>
      <c r="L67" t="s">
        <v>23</v>
      </c>
      <c r="M67" t="s">
        <v>152</v>
      </c>
      <c r="N67" t="s">
        <v>25</v>
      </c>
      <c r="O67" t="s">
        <v>17</v>
      </c>
      <c r="P67" t="s">
        <v>17</v>
      </c>
    </row>
    <row r="68" spans="1:16" x14ac:dyDescent="0.25">
      <c r="A68" t="s">
        <v>16</v>
      </c>
      <c r="B68" t="s">
        <v>16</v>
      </c>
      <c r="C68" t="s">
        <v>17</v>
      </c>
      <c r="D68" t="s">
        <v>18</v>
      </c>
      <c r="E68" t="s">
        <v>19</v>
      </c>
      <c r="F68" t="s">
        <v>38</v>
      </c>
      <c r="G68">
        <v>391</v>
      </c>
      <c r="H68">
        <v>16509456</v>
      </c>
      <c r="I68" t="s">
        <v>21</v>
      </c>
      <c r="J68">
        <v>50125835</v>
      </c>
      <c r="K68" t="s">
        <v>153</v>
      </c>
      <c r="L68" t="s">
        <v>23</v>
      </c>
      <c r="M68" t="s">
        <v>154</v>
      </c>
      <c r="N68" t="s">
        <v>25</v>
      </c>
      <c r="O68" t="s">
        <v>17</v>
      </c>
      <c r="P68" t="s">
        <v>17</v>
      </c>
    </row>
    <row r="69" spans="1:16" x14ac:dyDescent="0.25">
      <c r="A69" t="s">
        <v>16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391</v>
      </c>
      <c r="H69">
        <v>17425766</v>
      </c>
      <c r="I69" t="s">
        <v>21</v>
      </c>
      <c r="J69">
        <v>50004521</v>
      </c>
      <c r="K69" t="s">
        <v>44</v>
      </c>
      <c r="L69" t="s">
        <v>23</v>
      </c>
      <c r="M69" t="s">
        <v>45</v>
      </c>
      <c r="N69" t="s">
        <v>25</v>
      </c>
      <c r="O69" t="s">
        <v>17</v>
      </c>
      <c r="P69" t="s">
        <v>17</v>
      </c>
    </row>
    <row r="70" spans="1:16" x14ac:dyDescent="0.25">
      <c r="A70" t="s">
        <v>16</v>
      </c>
      <c r="B70" t="s">
        <v>16</v>
      </c>
      <c r="C70" t="s">
        <v>17</v>
      </c>
      <c r="D70" t="s">
        <v>18</v>
      </c>
      <c r="E70" t="s">
        <v>19</v>
      </c>
      <c r="F70" t="s">
        <v>86</v>
      </c>
      <c r="G70">
        <v>391</v>
      </c>
      <c r="H70">
        <v>15278437</v>
      </c>
      <c r="I70" t="s">
        <v>21</v>
      </c>
      <c r="J70">
        <v>51037946</v>
      </c>
      <c r="K70" t="s">
        <v>155</v>
      </c>
      <c r="L70" t="s">
        <v>23</v>
      </c>
      <c r="M70" t="s">
        <v>156</v>
      </c>
      <c r="N70" t="s">
        <v>25</v>
      </c>
      <c r="O70" t="s">
        <v>17</v>
      </c>
      <c r="P70" t="s">
        <v>17</v>
      </c>
    </row>
    <row r="71" spans="1:16" x14ac:dyDescent="0.25">
      <c r="A71" t="s">
        <v>16</v>
      </c>
      <c r="B71" t="s">
        <v>16</v>
      </c>
      <c r="C71" t="s">
        <v>17</v>
      </c>
      <c r="D71" t="s">
        <v>18</v>
      </c>
      <c r="E71" t="s">
        <v>19</v>
      </c>
      <c r="F71" t="s">
        <v>86</v>
      </c>
      <c r="G71">
        <v>391</v>
      </c>
      <c r="H71">
        <v>15278437</v>
      </c>
      <c r="I71" t="s">
        <v>21</v>
      </c>
      <c r="J71">
        <v>51037754</v>
      </c>
      <c r="K71" t="s">
        <v>157</v>
      </c>
      <c r="L71" t="s">
        <v>23</v>
      </c>
      <c r="M71" t="s">
        <v>158</v>
      </c>
      <c r="N71" t="s">
        <v>25</v>
      </c>
      <c r="O71" t="s">
        <v>17</v>
      </c>
      <c r="P71" t="s">
        <v>17</v>
      </c>
    </row>
    <row r="72" spans="1:16" x14ac:dyDescent="0.25">
      <c r="A72" t="s">
        <v>16</v>
      </c>
      <c r="B72" t="s">
        <v>16</v>
      </c>
      <c r="C72" t="s">
        <v>17</v>
      </c>
      <c r="D72" t="s">
        <v>18</v>
      </c>
      <c r="E72" t="s">
        <v>19</v>
      </c>
      <c r="F72" t="s">
        <v>38</v>
      </c>
      <c r="G72">
        <v>391</v>
      </c>
      <c r="H72">
        <v>16509456</v>
      </c>
      <c r="I72" t="s">
        <v>21</v>
      </c>
      <c r="J72">
        <v>51044739</v>
      </c>
      <c r="K72" t="s">
        <v>72</v>
      </c>
      <c r="L72" t="s">
        <v>23</v>
      </c>
      <c r="M72" t="s">
        <v>73</v>
      </c>
      <c r="N72" t="s">
        <v>25</v>
      </c>
      <c r="O72" t="s">
        <v>17</v>
      </c>
      <c r="P72" t="s">
        <v>17</v>
      </c>
    </row>
    <row r="73" spans="1:16" x14ac:dyDescent="0.25">
      <c r="A73" t="s">
        <v>16</v>
      </c>
      <c r="B73" t="s">
        <v>16</v>
      </c>
      <c r="C73" t="s">
        <v>17</v>
      </c>
      <c r="D73" t="s">
        <v>18</v>
      </c>
      <c r="E73" t="s">
        <v>19</v>
      </c>
      <c r="F73" t="s">
        <v>26</v>
      </c>
      <c r="G73">
        <v>391</v>
      </c>
      <c r="H73">
        <v>19278370</v>
      </c>
      <c r="I73" t="s">
        <v>21</v>
      </c>
      <c r="J73">
        <v>51041979</v>
      </c>
      <c r="K73" t="s">
        <v>159</v>
      </c>
      <c r="L73" t="s">
        <v>23</v>
      </c>
      <c r="M73" t="s">
        <v>160</v>
      </c>
      <c r="N73" t="s">
        <v>25</v>
      </c>
      <c r="O73" t="s">
        <v>17</v>
      </c>
      <c r="P73" t="s">
        <v>17</v>
      </c>
    </row>
    <row r="74" spans="1:16" x14ac:dyDescent="0.25">
      <c r="A74" t="s">
        <v>16</v>
      </c>
      <c r="B74" t="s">
        <v>16</v>
      </c>
      <c r="C74" t="s">
        <v>17</v>
      </c>
      <c r="D74" t="s">
        <v>18</v>
      </c>
      <c r="E74" t="s">
        <v>19</v>
      </c>
      <c r="F74" t="s">
        <v>26</v>
      </c>
      <c r="G74">
        <v>391</v>
      </c>
      <c r="H74">
        <v>19278370</v>
      </c>
      <c r="I74" t="s">
        <v>21</v>
      </c>
      <c r="J74">
        <v>50140998</v>
      </c>
      <c r="K74" t="s">
        <v>161</v>
      </c>
      <c r="L74" t="s">
        <v>23</v>
      </c>
      <c r="M74" t="s">
        <v>162</v>
      </c>
      <c r="N74" t="s">
        <v>25</v>
      </c>
      <c r="O74" t="s">
        <v>17</v>
      </c>
      <c r="P74" t="s">
        <v>17</v>
      </c>
    </row>
    <row r="75" spans="1:16" x14ac:dyDescent="0.25">
      <c r="A75" t="s">
        <v>16</v>
      </c>
      <c r="B75" t="s">
        <v>16</v>
      </c>
      <c r="C75" t="s">
        <v>17</v>
      </c>
      <c r="D75" t="s">
        <v>18</v>
      </c>
      <c r="E75" t="s">
        <v>19</v>
      </c>
      <c r="F75" t="s">
        <v>38</v>
      </c>
      <c r="G75">
        <v>391</v>
      </c>
      <c r="H75">
        <v>16509456</v>
      </c>
      <c r="I75" t="s">
        <v>21</v>
      </c>
      <c r="J75">
        <v>50092045</v>
      </c>
      <c r="K75" t="s">
        <v>163</v>
      </c>
      <c r="L75" t="s">
        <v>23</v>
      </c>
      <c r="M75" t="s">
        <v>164</v>
      </c>
      <c r="N75" t="s">
        <v>25</v>
      </c>
      <c r="O75" t="s">
        <v>17</v>
      </c>
      <c r="P75" t="s">
        <v>17</v>
      </c>
    </row>
    <row r="76" spans="1:16" x14ac:dyDescent="0.25">
      <c r="A76" t="s">
        <v>16</v>
      </c>
      <c r="B76" t="s">
        <v>16</v>
      </c>
      <c r="C76" t="s">
        <v>17</v>
      </c>
      <c r="D76" t="s">
        <v>18</v>
      </c>
      <c r="E76" t="s">
        <v>19</v>
      </c>
      <c r="F76" t="s">
        <v>38</v>
      </c>
      <c r="G76">
        <v>391</v>
      </c>
      <c r="H76">
        <v>16509456</v>
      </c>
      <c r="I76" t="s">
        <v>21</v>
      </c>
      <c r="J76">
        <v>51026418</v>
      </c>
      <c r="K76" t="s">
        <v>165</v>
      </c>
      <c r="L76" t="s">
        <v>23</v>
      </c>
      <c r="M76" t="s">
        <v>166</v>
      </c>
      <c r="N76" t="s">
        <v>25</v>
      </c>
      <c r="O76" t="s">
        <v>17</v>
      </c>
      <c r="P76" t="s">
        <v>17</v>
      </c>
    </row>
    <row r="77" spans="1:16" x14ac:dyDescent="0.25">
      <c r="A77" t="s">
        <v>16</v>
      </c>
      <c r="B77" t="s">
        <v>16</v>
      </c>
      <c r="C77" t="s">
        <v>17</v>
      </c>
      <c r="D77" t="s">
        <v>18</v>
      </c>
      <c r="E77" t="s">
        <v>19</v>
      </c>
      <c r="F77" t="s">
        <v>86</v>
      </c>
      <c r="G77">
        <v>391</v>
      </c>
      <c r="H77">
        <v>15278437</v>
      </c>
      <c r="I77" t="s">
        <v>21</v>
      </c>
      <c r="J77">
        <v>50018692</v>
      </c>
      <c r="K77" t="s">
        <v>167</v>
      </c>
      <c r="L77" t="s">
        <v>23</v>
      </c>
      <c r="M77" t="s">
        <v>168</v>
      </c>
      <c r="N77" t="s">
        <v>25</v>
      </c>
      <c r="O77" t="s">
        <v>17</v>
      </c>
      <c r="P77" t="s">
        <v>17</v>
      </c>
    </row>
    <row r="78" spans="1:16" x14ac:dyDescent="0.25">
      <c r="A78" t="s">
        <v>16</v>
      </c>
      <c r="B78" t="s">
        <v>16</v>
      </c>
      <c r="C78" t="s">
        <v>17</v>
      </c>
      <c r="D78" t="s">
        <v>18</v>
      </c>
      <c r="E78" t="s">
        <v>19</v>
      </c>
      <c r="F78" t="s">
        <v>26</v>
      </c>
      <c r="G78">
        <v>391</v>
      </c>
      <c r="H78">
        <v>19278370</v>
      </c>
      <c r="I78" t="s">
        <v>21</v>
      </c>
      <c r="J78">
        <v>51034947</v>
      </c>
      <c r="K78" t="s">
        <v>169</v>
      </c>
      <c r="L78" t="s">
        <v>23</v>
      </c>
      <c r="M78" t="s">
        <v>170</v>
      </c>
      <c r="N78" t="s">
        <v>25</v>
      </c>
      <c r="O78" t="s">
        <v>17</v>
      </c>
      <c r="P78" t="s">
        <v>17</v>
      </c>
    </row>
    <row r="79" spans="1:16" x14ac:dyDescent="0.25">
      <c r="A79" t="s">
        <v>16</v>
      </c>
      <c r="B79" t="s">
        <v>16</v>
      </c>
      <c r="C79" t="s">
        <v>17</v>
      </c>
      <c r="D79" t="s">
        <v>18</v>
      </c>
      <c r="E79" t="s">
        <v>19</v>
      </c>
      <c r="F79" t="s">
        <v>38</v>
      </c>
      <c r="G79">
        <v>391</v>
      </c>
      <c r="H79">
        <v>16509456</v>
      </c>
      <c r="I79" t="s">
        <v>21</v>
      </c>
      <c r="J79">
        <v>51022238</v>
      </c>
      <c r="K79" t="s">
        <v>171</v>
      </c>
      <c r="L79" t="s">
        <v>23</v>
      </c>
      <c r="M79" t="s">
        <v>172</v>
      </c>
      <c r="N79" t="s">
        <v>25</v>
      </c>
      <c r="O79" t="s">
        <v>17</v>
      </c>
      <c r="P79" t="s">
        <v>17</v>
      </c>
    </row>
    <row r="80" spans="1:16" x14ac:dyDescent="0.25">
      <c r="A80" t="s">
        <v>16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391</v>
      </c>
      <c r="H80">
        <v>17425766</v>
      </c>
      <c r="I80" t="s">
        <v>21</v>
      </c>
      <c r="J80">
        <v>51042831</v>
      </c>
      <c r="K80" t="s">
        <v>47</v>
      </c>
      <c r="L80" t="s">
        <v>23</v>
      </c>
      <c r="M80" t="s">
        <v>48</v>
      </c>
      <c r="N80" t="s">
        <v>49</v>
      </c>
      <c r="O80" t="s">
        <v>17</v>
      </c>
      <c r="P80" t="s">
        <v>17</v>
      </c>
    </row>
    <row r="81" spans="1:16" x14ac:dyDescent="0.25">
      <c r="A81" t="s">
        <v>16</v>
      </c>
      <c r="B81" t="s">
        <v>16</v>
      </c>
      <c r="C81" t="s">
        <v>17</v>
      </c>
      <c r="D81" t="s">
        <v>18</v>
      </c>
      <c r="E81" t="s">
        <v>19</v>
      </c>
      <c r="F81" t="s">
        <v>26</v>
      </c>
      <c r="G81">
        <v>391</v>
      </c>
      <c r="H81">
        <v>19278370</v>
      </c>
      <c r="I81" t="s">
        <v>21</v>
      </c>
      <c r="J81">
        <v>50141052</v>
      </c>
      <c r="K81" t="s">
        <v>173</v>
      </c>
      <c r="L81" t="s">
        <v>23</v>
      </c>
      <c r="M81" t="s">
        <v>174</v>
      </c>
      <c r="N81" t="s">
        <v>25</v>
      </c>
      <c r="O81" t="s">
        <v>17</v>
      </c>
      <c r="P81" t="s">
        <v>17</v>
      </c>
    </row>
    <row r="82" spans="1:16" x14ac:dyDescent="0.25">
      <c r="A82" t="s">
        <v>16</v>
      </c>
      <c r="B82" t="s">
        <v>16</v>
      </c>
      <c r="C82" t="s">
        <v>17</v>
      </c>
      <c r="D82" t="s">
        <v>18</v>
      </c>
      <c r="E82" t="s">
        <v>19</v>
      </c>
      <c r="F82" t="s">
        <v>26</v>
      </c>
      <c r="G82">
        <v>391</v>
      </c>
      <c r="H82">
        <v>19278370</v>
      </c>
      <c r="I82" t="s">
        <v>21</v>
      </c>
      <c r="J82">
        <v>51042008</v>
      </c>
      <c r="K82" t="s">
        <v>175</v>
      </c>
      <c r="L82" t="s">
        <v>23</v>
      </c>
      <c r="M82" t="s">
        <v>176</v>
      </c>
      <c r="N82" t="s">
        <v>25</v>
      </c>
      <c r="O82" t="s">
        <v>17</v>
      </c>
      <c r="P82" t="s">
        <v>17</v>
      </c>
    </row>
    <row r="83" spans="1:16" x14ac:dyDescent="0.25">
      <c r="A83" t="s">
        <v>16</v>
      </c>
      <c r="B83" t="s">
        <v>16</v>
      </c>
      <c r="C83" t="s">
        <v>17</v>
      </c>
      <c r="D83" t="s">
        <v>18</v>
      </c>
      <c r="E83" t="s">
        <v>19</v>
      </c>
      <c r="F83" t="s">
        <v>38</v>
      </c>
      <c r="G83">
        <v>391</v>
      </c>
      <c r="H83">
        <v>16509456</v>
      </c>
      <c r="I83" t="s">
        <v>21</v>
      </c>
      <c r="J83">
        <v>51042757</v>
      </c>
      <c r="K83" t="s">
        <v>177</v>
      </c>
      <c r="L83" t="s">
        <v>23</v>
      </c>
      <c r="M83" t="s">
        <v>178</v>
      </c>
      <c r="N83" t="s">
        <v>25</v>
      </c>
      <c r="O83" t="s">
        <v>17</v>
      </c>
      <c r="P83" t="s">
        <v>17</v>
      </c>
    </row>
    <row r="84" spans="1:16" x14ac:dyDescent="0.25">
      <c r="A84" t="s">
        <v>16</v>
      </c>
      <c r="B84" t="s">
        <v>16</v>
      </c>
      <c r="C84" t="s">
        <v>17</v>
      </c>
      <c r="D84" t="s">
        <v>18</v>
      </c>
      <c r="E84" t="s">
        <v>19</v>
      </c>
      <c r="F84" t="s">
        <v>26</v>
      </c>
      <c r="G84">
        <v>391</v>
      </c>
      <c r="H84">
        <v>19278370</v>
      </c>
      <c r="I84" t="s">
        <v>21</v>
      </c>
      <c r="J84">
        <v>51045742</v>
      </c>
      <c r="K84" t="s">
        <v>50</v>
      </c>
      <c r="L84" t="s">
        <v>23</v>
      </c>
      <c r="M84" t="s">
        <v>51</v>
      </c>
      <c r="N84" t="s">
        <v>25</v>
      </c>
      <c r="O84" t="s">
        <v>17</v>
      </c>
      <c r="P84" t="s">
        <v>17</v>
      </c>
    </row>
    <row r="85" spans="1:16" x14ac:dyDescent="0.25">
      <c r="A85" t="s">
        <v>16</v>
      </c>
      <c r="B85" t="s">
        <v>16</v>
      </c>
      <c r="C85" t="s">
        <v>17</v>
      </c>
      <c r="D85" t="s">
        <v>18</v>
      </c>
      <c r="E85" t="s">
        <v>19</v>
      </c>
      <c r="F85" t="s">
        <v>35</v>
      </c>
      <c r="G85">
        <v>391</v>
      </c>
      <c r="H85">
        <v>21618313</v>
      </c>
      <c r="I85" t="s">
        <v>21</v>
      </c>
      <c r="J85">
        <v>51049085</v>
      </c>
      <c r="K85" t="s">
        <v>74</v>
      </c>
      <c r="L85" t="s">
        <v>23</v>
      </c>
      <c r="M85" t="s">
        <v>75</v>
      </c>
      <c r="N85" t="s">
        <v>25</v>
      </c>
      <c r="O85" t="s">
        <v>17</v>
      </c>
      <c r="P85" t="s">
        <v>17</v>
      </c>
    </row>
    <row r="86" spans="1:16" x14ac:dyDescent="0.25">
      <c r="A86" t="s">
        <v>16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391</v>
      </c>
      <c r="H86">
        <v>17425766</v>
      </c>
      <c r="I86" t="s">
        <v>21</v>
      </c>
      <c r="J86">
        <v>51048263</v>
      </c>
      <c r="K86" t="s">
        <v>52</v>
      </c>
      <c r="L86" t="s">
        <v>23</v>
      </c>
      <c r="M86" t="s">
        <v>53</v>
      </c>
      <c r="N86" t="s">
        <v>25</v>
      </c>
      <c r="O86" t="s">
        <v>17</v>
      </c>
      <c r="P86" t="s">
        <v>17</v>
      </c>
    </row>
    <row r="87" spans="1:16" x14ac:dyDescent="0.25">
      <c r="A87" t="s">
        <v>16</v>
      </c>
      <c r="B87" t="s">
        <v>16</v>
      </c>
      <c r="C87" t="s">
        <v>17</v>
      </c>
      <c r="D87" t="s">
        <v>18</v>
      </c>
      <c r="E87" t="s">
        <v>19</v>
      </c>
      <c r="F87" t="s">
        <v>86</v>
      </c>
      <c r="G87">
        <v>391</v>
      </c>
      <c r="H87">
        <v>15278437</v>
      </c>
      <c r="I87" t="s">
        <v>21</v>
      </c>
      <c r="J87">
        <v>51040079</v>
      </c>
      <c r="K87" t="s">
        <v>179</v>
      </c>
      <c r="L87" t="s">
        <v>23</v>
      </c>
      <c r="M87" t="s">
        <v>180</v>
      </c>
      <c r="N87" t="s">
        <v>25</v>
      </c>
      <c r="O87" t="s">
        <v>17</v>
      </c>
      <c r="P87" t="s">
        <v>17</v>
      </c>
    </row>
    <row r="88" spans="1:16" x14ac:dyDescent="0.25">
      <c r="A88" t="s">
        <v>16</v>
      </c>
      <c r="B88" t="s">
        <v>16</v>
      </c>
      <c r="C88" t="s">
        <v>17</v>
      </c>
      <c r="D88" t="s">
        <v>18</v>
      </c>
      <c r="E88" t="s">
        <v>19</v>
      </c>
      <c r="F88" t="s">
        <v>26</v>
      </c>
      <c r="G88">
        <v>391</v>
      </c>
      <c r="H88">
        <v>19278370</v>
      </c>
      <c r="I88" t="s">
        <v>21</v>
      </c>
      <c r="J88">
        <v>50141664</v>
      </c>
      <c r="K88" t="s">
        <v>181</v>
      </c>
      <c r="L88" t="s">
        <v>23</v>
      </c>
      <c r="M88" t="s">
        <v>182</v>
      </c>
      <c r="N88" t="s">
        <v>25</v>
      </c>
      <c r="O88" t="s">
        <v>17</v>
      </c>
      <c r="P88" t="s">
        <v>17</v>
      </c>
    </row>
    <row r="89" spans="1:16" x14ac:dyDescent="0.25">
      <c r="A89" t="s">
        <v>16</v>
      </c>
      <c r="B89" t="s">
        <v>16</v>
      </c>
      <c r="C89" t="s">
        <v>17</v>
      </c>
      <c r="D89" t="s">
        <v>18</v>
      </c>
      <c r="E89" t="s">
        <v>19</v>
      </c>
      <c r="F89" t="s">
        <v>38</v>
      </c>
      <c r="G89">
        <v>391</v>
      </c>
      <c r="H89">
        <v>16509456</v>
      </c>
      <c r="I89" t="s">
        <v>21</v>
      </c>
      <c r="J89">
        <v>50031781</v>
      </c>
      <c r="K89" t="s">
        <v>183</v>
      </c>
      <c r="L89" t="s">
        <v>23</v>
      </c>
      <c r="M89" t="s">
        <v>184</v>
      </c>
      <c r="N89" t="s">
        <v>25</v>
      </c>
      <c r="O89" t="s">
        <v>17</v>
      </c>
      <c r="P89" t="s">
        <v>17</v>
      </c>
    </row>
    <row r="90" spans="1:16" x14ac:dyDescent="0.25">
      <c r="A90" t="s">
        <v>16</v>
      </c>
      <c r="B90" t="s">
        <v>16</v>
      </c>
      <c r="C90" t="s">
        <v>17</v>
      </c>
      <c r="D90" t="s">
        <v>18</v>
      </c>
      <c r="E90" t="s">
        <v>19</v>
      </c>
      <c r="F90" t="s">
        <v>26</v>
      </c>
      <c r="G90">
        <v>391</v>
      </c>
      <c r="H90">
        <v>19278370</v>
      </c>
      <c r="I90" t="s">
        <v>21</v>
      </c>
      <c r="J90">
        <v>51043203</v>
      </c>
      <c r="K90" t="s">
        <v>185</v>
      </c>
      <c r="L90" t="s">
        <v>23</v>
      </c>
      <c r="M90" t="s">
        <v>186</v>
      </c>
      <c r="N90" t="s">
        <v>25</v>
      </c>
      <c r="O90" t="s">
        <v>17</v>
      </c>
      <c r="P90" t="s">
        <v>17</v>
      </c>
    </row>
    <row r="91" spans="1:16" x14ac:dyDescent="0.25">
      <c r="A91" t="s">
        <v>16</v>
      </c>
      <c r="B91" t="s">
        <v>16</v>
      </c>
      <c r="C91" t="s">
        <v>17</v>
      </c>
      <c r="D91" t="s">
        <v>18</v>
      </c>
      <c r="E91" t="s">
        <v>19</v>
      </c>
      <c r="F91" t="s">
        <v>38</v>
      </c>
      <c r="G91">
        <v>391</v>
      </c>
      <c r="H91">
        <v>16509456</v>
      </c>
      <c r="I91" t="s">
        <v>21</v>
      </c>
      <c r="J91">
        <v>51045074</v>
      </c>
      <c r="K91" t="s">
        <v>187</v>
      </c>
      <c r="L91" t="s">
        <v>23</v>
      </c>
      <c r="M91" t="s">
        <v>188</v>
      </c>
      <c r="N91" t="s">
        <v>25</v>
      </c>
      <c r="O91" t="s">
        <v>17</v>
      </c>
      <c r="P91" t="s">
        <v>17</v>
      </c>
    </row>
    <row r="92" spans="1:16" x14ac:dyDescent="0.25">
      <c r="A92" t="s">
        <v>16</v>
      </c>
      <c r="B92" t="s">
        <v>16</v>
      </c>
      <c r="C92" t="s">
        <v>17</v>
      </c>
      <c r="D92" t="s">
        <v>18</v>
      </c>
      <c r="E92" t="s">
        <v>19</v>
      </c>
      <c r="F92" t="s">
        <v>38</v>
      </c>
      <c r="G92">
        <v>391</v>
      </c>
      <c r="H92">
        <v>16509456</v>
      </c>
      <c r="I92" t="s">
        <v>21</v>
      </c>
      <c r="J92">
        <v>51043568</v>
      </c>
      <c r="K92" t="s">
        <v>54</v>
      </c>
      <c r="L92" t="s">
        <v>23</v>
      </c>
      <c r="M92" t="s">
        <v>55</v>
      </c>
      <c r="N92" t="s">
        <v>49</v>
      </c>
      <c r="O92" t="s">
        <v>17</v>
      </c>
      <c r="P92" t="s">
        <v>17</v>
      </c>
    </row>
    <row r="93" spans="1:16" x14ac:dyDescent="0.25">
      <c r="A93" t="s">
        <v>16</v>
      </c>
      <c r="B93" t="s">
        <v>16</v>
      </c>
      <c r="C93" t="s">
        <v>17</v>
      </c>
      <c r="D93" t="s">
        <v>18</v>
      </c>
      <c r="E93" t="s">
        <v>19</v>
      </c>
      <c r="F93" t="s">
        <v>26</v>
      </c>
      <c r="G93">
        <v>391</v>
      </c>
      <c r="H93">
        <v>19278370</v>
      </c>
      <c r="I93" t="s">
        <v>21</v>
      </c>
      <c r="J93">
        <v>51034937</v>
      </c>
      <c r="K93" t="s">
        <v>189</v>
      </c>
      <c r="L93" t="s">
        <v>23</v>
      </c>
      <c r="M93" t="s">
        <v>190</v>
      </c>
      <c r="N93" t="s">
        <v>25</v>
      </c>
      <c r="O93" t="s">
        <v>17</v>
      </c>
      <c r="P93" t="s">
        <v>17</v>
      </c>
    </row>
    <row r="94" spans="1:16" x14ac:dyDescent="0.25">
      <c r="A94" t="s">
        <v>16</v>
      </c>
      <c r="B94" t="s">
        <v>16</v>
      </c>
      <c r="C94" t="s">
        <v>17</v>
      </c>
      <c r="D94" t="s">
        <v>18</v>
      </c>
      <c r="E94" t="s">
        <v>19</v>
      </c>
      <c r="F94" t="s">
        <v>26</v>
      </c>
      <c r="G94">
        <v>391</v>
      </c>
      <c r="H94">
        <v>19278370</v>
      </c>
      <c r="I94" t="s">
        <v>21</v>
      </c>
      <c r="J94">
        <v>51046544</v>
      </c>
      <c r="K94" t="s">
        <v>191</v>
      </c>
      <c r="L94" t="s">
        <v>23</v>
      </c>
      <c r="M94" t="s">
        <v>192</v>
      </c>
      <c r="N94" t="s">
        <v>25</v>
      </c>
      <c r="O94" t="s">
        <v>17</v>
      </c>
      <c r="P94" t="s">
        <v>17</v>
      </c>
    </row>
    <row r="95" spans="1:16" x14ac:dyDescent="0.25">
      <c r="A95" t="s">
        <v>16</v>
      </c>
      <c r="B95" t="s">
        <v>16</v>
      </c>
      <c r="C95" t="s">
        <v>17</v>
      </c>
      <c r="D95" t="s">
        <v>18</v>
      </c>
      <c r="E95" t="s">
        <v>19</v>
      </c>
      <c r="F95" t="s">
        <v>26</v>
      </c>
      <c r="G95">
        <v>391</v>
      </c>
      <c r="H95">
        <v>19278370</v>
      </c>
      <c r="I95" t="s">
        <v>21</v>
      </c>
      <c r="J95">
        <v>51046547</v>
      </c>
      <c r="K95" t="s">
        <v>193</v>
      </c>
      <c r="L95" t="s">
        <v>23</v>
      </c>
      <c r="M95" t="s">
        <v>194</v>
      </c>
      <c r="N95" t="s">
        <v>25</v>
      </c>
      <c r="O95" t="s">
        <v>17</v>
      </c>
      <c r="P95" t="s">
        <v>17</v>
      </c>
    </row>
    <row r="96" spans="1:16" x14ac:dyDescent="0.25">
      <c r="A96" t="s">
        <v>16</v>
      </c>
      <c r="B96" t="s">
        <v>16</v>
      </c>
      <c r="C96" t="s">
        <v>17</v>
      </c>
      <c r="D96" t="s">
        <v>18</v>
      </c>
      <c r="E96" t="s">
        <v>19</v>
      </c>
      <c r="F96" t="s">
        <v>86</v>
      </c>
      <c r="G96">
        <v>391</v>
      </c>
      <c r="H96">
        <v>15278437</v>
      </c>
      <c r="I96" t="s">
        <v>21</v>
      </c>
      <c r="J96">
        <v>50065597</v>
      </c>
      <c r="K96" t="s">
        <v>195</v>
      </c>
      <c r="L96" t="s">
        <v>23</v>
      </c>
      <c r="M96" t="s">
        <v>196</v>
      </c>
      <c r="N96" t="s">
        <v>25</v>
      </c>
      <c r="O96" t="s">
        <v>17</v>
      </c>
      <c r="P96" t="s">
        <v>17</v>
      </c>
    </row>
    <row r="97" spans="1:16" x14ac:dyDescent="0.25">
      <c r="A97" t="s">
        <v>16</v>
      </c>
      <c r="B97" t="s">
        <v>16</v>
      </c>
      <c r="C97" t="s">
        <v>17</v>
      </c>
      <c r="D97" t="s">
        <v>18</v>
      </c>
      <c r="E97" t="s">
        <v>19</v>
      </c>
      <c r="F97" t="s">
        <v>35</v>
      </c>
      <c r="G97">
        <v>391</v>
      </c>
      <c r="H97">
        <v>21618313</v>
      </c>
      <c r="I97" t="s">
        <v>21</v>
      </c>
      <c r="J97">
        <v>51046848</v>
      </c>
      <c r="K97" t="s">
        <v>56</v>
      </c>
      <c r="L97" t="s">
        <v>23</v>
      </c>
      <c r="M97" t="s">
        <v>57</v>
      </c>
      <c r="N97" t="s">
        <v>25</v>
      </c>
      <c r="O97" t="s">
        <v>17</v>
      </c>
      <c r="P97" t="s">
        <v>17</v>
      </c>
    </row>
    <row r="98" spans="1:16" x14ac:dyDescent="0.25">
      <c r="A98" t="s">
        <v>16</v>
      </c>
      <c r="B98" t="s">
        <v>16</v>
      </c>
      <c r="C98" t="s">
        <v>17</v>
      </c>
      <c r="D98" t="s">
        <v>18</v>
      </c>
      <c r="E98" t="s">
        <v>19</v>
      </c>
      <c r="F98" t="s">
        <v>26</v>
      </c>
      <c r="G98">
        <v>391</v>
      </c>
      <c r="H98">
        <v>19278370</v>
      </c>
      <c r="I98" t="s">
        <v>21</v>
      </c>
      <c r="J98">
        <v>50089492</v>
      </c>
      <c r="K98" t="s">
        <v>197</v>
      </c>
      <c r="L98" t="s">
        <v>23</v>
      </c>
      <c r="M98" t="s">
        <v>198</v>
      </c>
      <c r="N98" t="s">
        <v>25</v>
      </c>
      <c r="O98" t="s">
        <v>17</v>
      </c>
      <c r="P98" t="s">
        <v>17</v>
      </c>
    </row>
    <row r="99" spans="1:16" x14ac:dyDescent="0.25">
      <c r="A99" t="s">
        <v>16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391</v>
      </c>
      <c r="H99">
        <v>17425766</v>
      </c>
      <c r="I99" t="s">
        <v>21</v>
      </c>
      <c r="J99">
        <v>51041938</v>
      </c>
      <c r="K99" t="s">
        <v>199</v>
      </c>
      <c r="L99" t="s">
        <v>23</v>
      </c>
      <c r="M99" t="s">
        <v>200</v>
      </c>
      <c r="N99" t="s">
        <v>25</v>
      </c>
      <c r="O99" t="s">
        <v>17</v>
      </c>
      <c r="P99" t="s">
        <v>17</v>
      </c>
    </row>
    <row r="100" spans="1:16" x14ac:dyDescent="0.25">
      <c r="A100" t="s">
        <v>16</v>
      </c>
      <c r="B100" t="s">
        <v>16</v>
      </c>
      <c r="C100" t="s">
        <v>17</v>
      </c>
      <c r="D100" t="s">
        <v>18</v>
      </c>
      <c r="E100" t="s">
        <v>19</v>
      </c>
      <c r="F100" t="s">
        <v>86</v>
      </c>
      <c r="G100">
        <v>391</v>
      </c>
      <c r="H100">
        <v>15278437</v>
      </c>
      <c r="I100" t="s">
        <v>21</v>
      </c>
      <c r="J100">
        <v>50016536</v>
      </c>
      <c r="K100" t="s">
        <v>201</v>
      </c>
      <c r="L100" t="s">
        <v>23</v>
      </c>
      <c r="M100" t="s">
        <v>202</v>
      </c>
      <c r="N100" t="s">
        <v>25</v>
      </c>
      <c r="O100" t="s">
        <v>17</v>
      </c>
      <c r="P100" t="s">
        <v>17</v>
      </c>
    </row>
    <row r="101" spans="1:16" x14ac:dyDescent="0.25">
      <c r="A101" t="s">
        <v>16</v>
      </c>
      <c r="B101" t="s">
        <v>16</v>
      </c>
      <c r="C101" t="s">
        <v>17</v>
      </c>
      <c r="D101" t="s">
        <v>18</v>
      </c>
      <c r="E101" t="s">
        <v>19</v>
      </c>
      <c r="F101" t="s">
        <v>38</v>
      </c>
      <c r="G101">
        <v>391</v>
      </c>
      <c r="H101">
        <v>16509456</v>
      </c>
      <c r="I101" t="s">
        <v>21</v>
      </c>
      <c r="J101">
        <v>50032784</v>
      </c>
      <c r="K101" t="s">
        <v>203</v>
      </c>
      <c r="L101" t="s">
        <v>23</v>
      </c>
      <c r="M101" t="s">
        <v>204</v>
      </c>
      <c r="N101" t="s">
        <v>25</v>
      </c>
      <c r="O101" t="s">
        <v>17</v>
      </c>
      <c r="P101" t="s">
        <v>17</v>
      </c>
    </row>
    <row r="102" spans="1:16" x14ac:dyDescent="0.25">
      <c r="A102" t="s">
        <v>16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391</v>
      </c>
      <c r="H102">
        <v>17425766</v>
      </c>
      <c r="I102" t="s">
        <v>21</v>
      </c>
      <c r="J102">
        <v>51026578</v>
      </c>
      <c r="K102" t="s">
        <v>17</v>
      </c>
      <c r="L102" t="s">
        <v>23</v>
      </c>
      <c r="M102" t="s">
        <v>58</v>
      </c>
      <c r="N102" t="s">
        <v>34</v>
      </c>
      <c r="O102" t="s">
        <v>17</v>
      </c>
      <c r="P102" t="s">
        <v>17</v>
      </c>
    </row>
    <row r="103" spans="1:16" x14ac:dyDescent="0.25">
      <c r="A103" t="s">
        <v>16</v>
      </c>
      <c r="B103" t="s">
        <v>16</v>
      </c>
      <c r="C103" t="s">
        <v>17</v>
      </c>
      <c r="D103" t="s">
        <v>18</v>
      </c>
      <c r="E103" t="s">
        <v>19</v>
      </c>
      <c r="F103" t="s">
        <v>35</v>
      </c>
      <c r="G103">
        <v>391</v>
      </c>
      <c r="H103">
        <v>21618313</v>
      </c>
      <c r="I103" t="s">
        <v>21</v>
      </c>
      <c r="J103">
        <v>51043796</v>
      </c>
      <c r="K103" t="s">
        <v>59</v>
      </c>
      <c r="L103" t="s">
        <v>23</v>
      </c>
      <c r="M103" t="s">
        <v>60</v>
      </c>
      <c r="N103" t="s">
        <v>61</v>
      </c>
      <c r="O103" t="s">
        <v>17</v>
      </c>
      <c r="P103" t="s">
        <v>17</v>
      </c>
    </row>
    <row r="104" spans="1:16" x14ac:dyDescent="0.25">
      <c r="A104" t="s">
        <v>16</v>
      </c>
      <c r="B104" t="s">
        <v>16</v>
      </c>
      <c r="C104" t="s">
        <v>17</v>
      </c>
      <c r="D104" t="s">
        <v>18</v>
      </c>
      <c r="E104" t="s">
        <v>19</v>
      </c>
      <c r="F104" t="s">
        <v>26</v>
      </c>
      <c r="G104">
        <v>391</v>
      </c>
      <c r="H104">
        <v>19278370</v>
      </c>
      <c r="I104" t="s">
        <v>21</v>
      </c>
      <c r="J104">
        <v>51054475</v>
      </c>
      <c r="K104" t="s">
        <v>29</v>
      </c>
      <c r="L104" t="s">
        <v>23</v>
      </c>
      <c r="M104" t="s">
        <v>30</v>
      </c>
      <c r="N104" t="s">
        <v>25</v>
      </c>
      <c r="O104" t="s">
        <v>25</v>
      </c>
      <c r="P104" t="s">
        <v>17</v>
      </c>
    </row>
    <row r="105" spans="1:16" x14ac:dyDescent="0.25">
      <c r="A105" t="s">
        <v>16</v>
      </c>
      <c r="B105" t="s">
        <v>16</v>
      </c>
      <c r="C105" t="s">
        <v>17</v>
      </c>
      <c r="D105" t="s">
        <v>18</v>
      </c>
      <c r="E105" t="s">
        <v>19</v>
      </c>
      <c r="F105" t="s">
        <v>26</v>
      </c>
      <c r="G105">
        <v>391</v>
      </c>
      <c r="H105">
        <v>19278370</v>
      </c>
      <c r="I105" t="s">
        <v>21</v>
      </c>
      <c r="J105">
        <v>51054475</v>
      </c>
      <c r="K105" t="s">
        <v>29</v>
      </c>
      <c r="L105" t="s">
        <v>23</v>
      </c>
      <c r="M105" t="s">
        <v>30</v>
      </c>
      <c r="N105" t="s">
        <v>25</v>
      </c>
      <c r="O105" t="s">
        <v>25</v>
      </c>
      <c r="P105" t="s">
        <v>17</v>
      </c>
    </row>
    <row r="106" spans="1:16" x14ac:dyDescent="0.25">
      <c r="A106" t="s">
        <v>16</v>
      </c>
      <c r="B106" t="s">
        <v>16</v>
      </c>
      <c r="C106" t="s">
        <v>17</v>
      </c>
      <c r="D106" t="s">
        <v>18</v>
      </c>
      <c r="E106" t="s">
        <v>19</v>
      </c>
      <c r="F106" t="s">
        <v>32</v>
      </c>
      <c r="G106">
        <v>432</v>
      </c>
      <c r="H106">
        <v>16212649</v>
      </c>
      <c r="I106" t="s">
        <v>21</v>
      </c>
      <c r="J106">
        <v>51016337</v>
      </c>
      <c r="K106" t="s">
        <v>17</v>
      </c>
      <c r="L106" t="s">
        <v>23</v>
      </c>
      <c r="M106" t="s">
        <v>33</v>
      </c>
      <c r="N106" t="s">
        <v>34</v>
      </c>
      <c r="O106" t="s">
        <v>17</v>
      </c>
      <c r="P106" t="s">
        <v>17</v>
      </c>
    </row>
    <row r="107" spans="1:16" x14ac:dyDescent="0.25">
      <c r="A107" t="s">
        <v>16</v>
      </c>
      <c r="B107" t="s">
        <v>16</v>
      </c>
      <c r="C107" t="s">
        <v>17</v>
      </c>
      <c r="D107" t="s">
        <v>18</v>
      </c>
      <c r="E107" t="s">
        <v>19</v>
      </c>
      <c r="F107" t="s">
        <v>32</v>
      </c>
      <c r="G107">
        <v>432</v>
      </c>
      <c r="H107">
        <v>16212649</v>
      </c>
      <c r="I107" t="s">
        <v>21</v>
      </c>
      <c r="J107">
        <v>51013917</v>
      </c>
      <c r="K107" t="s">
        <v>17</v>
      </c>
      <c r="L107" t="s">
        <v>23</v>
      </c>
      <c r="M107" t="s">
        <v>46</v>
      </c>
      <c r="N107" t="s">
        <v>34</v>
      </c>
      <c r="O107" t="s">
        <v>17</v>
      </c>
      <c r="P107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B5B-BA3E-48CB-BD25-D51591740488}">
  <dimension ref="A1:P102"/>
  <sheetViews>
    <sheetView topLeftCell="A79" zoomScaleNormal="100" workbookViewId="0">
      <selection activeCell="M2" sqref="M2:M102"/>
    </sheetView>
  </sheetViews>
  <sheetFormatPr defaultRowHeight="15" x14ac:dyDescent="0.25"/>
  <cols>
    <col min="1" max="1" width="19" bestFit="1" customWidth="1"/>
    <col min="2" max="2" width="6.7109375" bestFit="1" customWidth="1"/>
    <col min="3" max="3" width="20" bestFit="1" customWidth="1"/>
    <col min="4" max="4" width="7.42578125" bestFit="1" customWidth="1"/>
    <col min="5" max="5" width="9.7109375" bestFit="1" customWidth="1"/>
    <col min="6" max="6" width="6.5703125" bestFit="1" customWidth="1"/>
    <col min="7" max="7" width="14.140625" bestFit="1" customWidth="1"/>
    <col min="8" max="8" width="14.140625" customWidth="1"/>
    <col min="9" max="9" width="8.7109375" bestFit="1" customWidth="1"/>
    <col min="10" max="10" width="21.42578125" bestFit="1" customWidth="1"/>
    <col min="11" max="11" width="13.5703125" style="3" bestFit="1" customWidth="1"/>
    <col min="12" max="12" width="14.140625" bestFit="1" customWidth="1"/>
  </cols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I1" t="s">
        <v>11</v>
      </c>
      <c r="J1" t="s">
        <v>12</v>
      </c>
      <c r="K1" s="3" t="s">
        <v>13</v>
      </c>
    </row>
    <row r="2" spans="1:13" s="1" customFormat="1" x14ac:dyDescent="0.25">
      <c r="A2" s="1" t="s">
        <v>31</v>
      </c>
      <c r="B2" s="1" t="s">
        <v>19</v>
      </c>
      <c r="C2" s="1" t="s">
        <v>212</v>
      </c>
      <c r="D2" s="1">
        <v>60</v>
      </c>
      <c r="E2" s="1">
        <v>20411454</v>
      </c>
      <c r="F2" s="1" t="s">
        <v>21</v>
      </c>
      <c r="G2" s="1">
        <v>51016337</v>
      </c>
      <c r="H2" s="1" t="str">
        <f>CONCATENATE(G2,"OVR")</f>
        <v>51016337OVR</v>
      </c>
      <c r="I2" s="1" t="s">
        <v>23</v>
      </c>
      <c r="J2" s="1" t="s">
        <v>33</v>
      </c>
      <c r="K2" s="4">
        <v>45658</v>
      </c>
      <c r="L2" s="1" t="s">
        <v>205</v>
      </c>
    </row>
    <row r="3" spans="1:13" s="1" customFormat="1" x14ac:dyDescent="0.25">
      <c r="A3" s="1" t="s">
        <v>31</v>
      </c>
      <c r="B3" s="1" t="s">
        <v>19</v>
      </c>
      <c r="C3" s="1" t="s">
        <v>212</v>
      </c>
      <c r="D3" s="1">
        <v>60</v>
      </c>
      <c r="E3" s="1">
        <v>20411454</v>
      </c>
      <c r="F3" s="1" t="s">
        <v>21</v>
      </c>
      <c r="G3" s="1">
        <v>51049192</v>
      </c>
      <c r="H3" s="1" t="str">
        <f t="shared" ref="H3:H14" si="0">CONCATENATE(G3,"OVR")</f>
        <v>51049192OVR</v>
      </c>
      <c r="I3" s="1" t="s">
        <v>23</v>
      </c>
      <c r="J3" s="1" t="s">
        <v>37</v>
      </c>
      <c r="K3" s="4">
        <v>46023</v>
      </c>
      <c r="L3" s="1" t="s">
        <v>205</v>
      </c>
    </row>
    <row r="4" spans="1:13" s="1" customFormat="1" x14ac:dyDescent="0.25">
      <c r="A4" s="1" t="s">
        <v>31</v>
      </c>
      <c r="B4" s="1" t="s">
        <v>19</v>
      </c>
      <c r="C4" s="1" t="s">
        <v>212</v>
      </c>
      <c r="D4" s="1">
        <v>60</v>
      </c>
      <c r="E4" s="1">
        <v>20411454</v>
      </c>
      <c r="F4" s="1" t="s">
        <v>21</v>
      </c>
      <c r="G4" s="1">
        <v>51044290</v>
      </c>
      <c r="H4" s="1" t="str">
        <f t="shared" si="0"/>
        <v>51044290OVR</v>
      </c>
      <c r="I4" s="1" t="s">
        <v>23</v>
      </c>
      <c r="J4" s="1" t="s">
        <v>40</v>
      </c>
      <c r="K4" s="4">
        <v>45962</v>
      </c>
      <c r="L4" s="1" t="s">
        <v>205</v>
      </c>
    </row>
    <row r="5" spans="1:13" s="1" customFormat="1" x14ac:dyDescent="0.25">
      <c r="A5" s="1" t="s">
        <v>31</v>
      </c>
      <c r="B5" s="1" t="s">
        <v>19</v>
      </c>
      <c r="C5" s="1" t="s">
        <v>212</v>
      </c>
      <c r="D5" s="1">
        <v>60</v>
      </c>
      <c r="E5" s="1">
        <v>20411454</v>
      </c>
      <c r="F5" s="1" t="s">
        <v>21</v>
      </c>
      <c r="G5" s="1">
        <v>51044307</v>
      </c>
      <c r="H5" s="1" t="str">
        <f t="shared" si="0"/>
        <v>51044307OVR</v>
      </c>
      <c r="I5" s="1" t="s">
        <v>23</v>
      </c>
      <c r="J5" s="1" t="s">
        <v>43</v>
      </c>
      <c r="K5" s="4">
        <v>45962</v>
      </c>
      <c r="L5" s="1" t="s">
        <v>205</v>
      </c>
    </row>
    <row r="6" spans="1:13" s="1" customFormat="1" x14ac:dyDescent="0.25">
      <c r="A6" s="1" t="s">
        <v>31</v>
      </c>
      <c r="B6" s="1" t="s">
        <v>19</v>
      </c>
      <c r="C6" s="1" t="s">
        <v>212</v>
      </c>
      <c r="D6" s="1">
        <v>60</v>
      </c>
      <c r="E6" s="1">
        <v>20411454</v>
      </c>
      <c r="F6" s="1" t="s">
        <v>21</v>
      </c>
      <c r="G6" s="1">
        <v>50004521</v>
      </c>
      <c r="H6" s="1" t="str">
        <f t="shared" si="0"/>
        <v>50004521OVR</v>
      </c>
      <c r="I6" s="1" t="s">
        <v>23</v>
      </c>
      <c r="J6" s="1" t="s">
        <v>45</v>
      </c>
      <c r="K6" s="4">
        <v>46023</v>
      </c>
      <c r="L6" s="1" t="s">
        <v>205</v>
      </c>
    </row>
    <row r="7" spans="1:13" s="1" customFormat="1" x14ac:dyDescent="0.25">
      <c r="A7" s="1" t="s">
        <v>31</v>
      </c>
      <c r="B7" s="1" t="s">
        <v>19</v>
      </c>
      <c r="C7" s="1" t="s">
        <v>212</v>
      </c>
      <c r="D7" s="1">
        <v>60</v>
      </c>
      <c r="E7" s="1">
        <v>20411454</v>
      </c>
      <c r="F7" s="1" t="s">
        <v>21</v>
      </c>
      <c r="G7" s="1">
        <v>51013917</v>
      </c>
      <c r="H7" s="1" t="str">
        <f t="shared" si="0"/>
        <v>51013917OVR</v>
      </c>
      <c r="I7" s="1" t="s">
        <v>23</v>
      </c>
      <c r="J7" s="1" t="s">
        <v>46</v>
      </c>
      <c r="K7" s="4">
        <v>45658</v>
      </c>
      <c r="L7" s="1" t="s">
        <v>205</v>
      </c>
    </row>
    <row r="8" spans="1:13" s="1" customFormat="1" x14ac:dyDescent="0.25">
      <c r="A8" s="1" t="s">
        <v>31</v>
      </c>
      <c r="B8" s="1" t="s">
        <v>19</v>
      </c>
      <c r="C8" s="1" t="s">
        <v>212</v>
      </c>
      <c r="D8" s="1">
        <v>60</v>
      </c>
      <c r="E8" s="1">
        <v>20411454</v>
      </c>
      <c r="F8" s="1" t="s">
        <v>21</v>
      </c>
      <c r="G8" s="1">
        <v>51042831</v>
      </c>
      <c r="H8" s="1" t="str">
        <f t="shared" si="0"/>
        <v>51042831OVR</v>
      </c>
      <c r="I8" s="1" t="s">
        <v>23</v>
      </c>
      <c r="J8" s="1" t="s">
        <v>48</v>
      </c>
      <c r="K8" s="4">
        <v>45931</v>
      </c>
      <c r="L8" s="1" t="s">
        <v>205</v>
      </c>
    </row>
    <row r="9" spans="1:13" s="1" customFormat="1" x14ac:dyDescent="0.25">
      <c r="A9" s="1" t="s">
        <v>31</v>
      </c>
      <c r="B9" s="1" t="s">
        <v>19</v>
      </c>
      <c r="C9" s="1" t="s">
        <v>212</v>
      </c>
      <c r="D9" s="1">
        <v>60</v>
      </c>
      <c r="E9" s="1">
        <v>20411454</v>
      </c>
      <c r="F9" s="1" t="s">
        <v>21</v>
      </c>
      <c r="G9" s="1">
        <v>51045742</v>
      </c>
      <c r="H9" s="1" t="str">
        <f t="shared" si="0"/>
        <v>51045742OVR</v>
      </c>
      <c r="I9" s="1" t="s">
        <v>23</v>
      </c>
      <c r="J9" s="1" t="s">
        <v>51</v>
      </c>
      <c r="K9" s="4">
        <v>46023</v>
      </c>
      <c r="L9" s="1" t="s">
        <v>205</v>
      </c>
    </row>
    <row r="10" spans="1:13" s="1" customFormat="1" x14ac:dyDescent="0.25">
      <c r="A10" s="1" t="s">
        <v>31</v>
      </c>
      <c r="B10" s="1" t="s">
        <v>19</v>
      </c>
      <c r="C10" s="1" t="s">
        <v>212</v>
      </c>
      <c r="D10" s="1">
        <v>60</v>
      </c>
      <c r="E10" s="1">
        <v>20411454</v>
      </c>
      <c r="F10" s="1" t="s">
        <v>21</v>
      </c>
      <c r="G10" s="1">
        <v>51048263</v>
      </c>
      <c r="H10" s="1" t="str">
        <f t="shared" si="0"/>
        <v>51048263OVR</v>
      </c>
      <c r="I10" s="1" t="s">
        <v>23</v>
      </c>
      <c r="J10" s="1" t="s">
        <v>53</v>
      </c>
      <c r="K10" s="4">
        <v>46023</v>
      </c>
      <c r="L10" s="1" t="s">
        <v>205</v>
      </c>
    </row>
    <row r="11" spans="1:13" s="1" customFormat="1" x14ac:dyDescent="0.25">
      <c r="A11" s="1" t="s">
        <v>31</v>
      </c>
      <c r="B11" s="1" t="s">
        <v>19</v>
      </c>
      <c r="C11" s="1" t="s">
        <v>212</v>
      </c>
      <c r="D11" s="1">
        <v>60</v>
      </c>
      <c r="E11" s="1">
        <v>20411454</v>
      </c>
      <c r="F11" s="1" t="s">
        <v>21</v>
      </c>
      <c r="G11" s="1">
        <v>51043568</v>
      </c>
      <c r="H11" s="1" t="str">
        <f t="shared" si="0"/>
        <v>51043568OVR</v>
      </c>
      <c r="I11" s="1" t="s">
        <v>23</v>
      </c>
      <c r="J11" s="1" t="s">
        <v>55</v>
      </c>
      <c r="K11" s="4">
        <v>45931</v>
      </c>
      <c r="L11" s="1" t="s">
        <v>205</v>
      </c>
    </row>
    <row r="12" spans="1:13" s="1" customFormat="1" x14ac:dyDescent="0.25">
      <c r="A12" s="1" t="s">
        <v>31</v>
      </c>
      <c r="B12" s="1" t="s">
        <v>19</v>
      </c>
      <c r="C12" s="1" t="s">
        <v>212</v>
      </c>
      <c r="D12" s="1">
        <v>60</v>
      </c>
      <c r="E12" s="1">
        <v>20411454</v>
      </c>
      <c r="F12" s="1" t="s">
        <v>21</v>
      </c>
      <c r="G12" s="1">
        <v>51046848</v>
      </c>
      <c r="H12" s="1" t="str">
        <f t="shared" si="0"/>
        <v>51046848OVR</v>
      </c>
      <c r="I12" s="1" t="s">
        <v>23</v>
      </c>
      <c r="J12" s="1" t="s">
        <v>57</v>
      </c>
      <c r="K12" s="4">
        <v>46023</v>
      </c>
      <c r="L12" s="1" t="s">
        <v>205</v>
      </c>
    </row>
    <row r="13" spans="1:13" s="1" customFormat="1" x14ac:dyDescent="0.25">
      <c r="A13" s="1" t="s">
        <v>31</v>
      </c>
      <c r="B13" s="1" t="s">
        <v>19</v>
      </c>
      <c r="C13" s="1" t="s">
        <v>212</v>
      </c>
      <c r="D13" s="1">
        <v>60</v>
      </c>
      <c r="E13" s="1">
        <v>20411454</v>
      </c>
      <c r="F13" s="1" t="s">
        <v>21</v>
      </c>
      <c r="G13" s="1">
        <v>51026578</v>
      </c>
      <c r="H13" s="1" t="str">
        <f t="shared" si="0"/>
        <v>51026578OVR</v>
      </c>
      <c r="I13" s="1" t="s">
        <v>23</v>
      </c>
      <c r="J13" s="1" t="s">
        <v>58</v>
      </c>
      <c r="K13" s="4">
        <v>45658</v>
      </c>
      <c r="L13" s="1" t="s">
        <v>205</v>
      </c>
    </row>
    <row r="14" spans="1:13" s="1" customFormat="1" x14ac:dyDescent="0.25">
      <c r="A14" s="1" t="s">
        <v>31</v>
      </c>
      <c r="B14" s="1" t="s">
        <v>19</v>
      </c>
      <c r="C14" s="1" t="s">
        <v>212</v>
      </c>
      <c r="D14" s="1">
        <v>60</v>
      </c>
      <c r="E14" s="1">
        <v>20411454</v>
      </c>
      <c r="F14" s="1" t="s">
        <v>21</v>
      </c>
      <c r="G14" s="1">
        <v>51043796</v>
      </c>
      <c r="H14" s="1" t="str">
        <f t="shared" si="0"/>
        <v>51043796OVR</v>
      </c>
      <c r="I14" s="1" t="s">
        <v>23</v>
      </c>
      <c r="J14" s="1" t="s">
        <v>60</v>
      </c>
      <c r="K14" s="4">
        <v>45992</v>
      </c>
      <c r="L14" s="1" t="s">
        <v>205</v>
      </c>
    </row>
    <row r="15" spans="1:13" x14ac:dyDescent="0.25">
      <c r="A15" t="s">
        <v>18</v>
      </c>
      <c r="B15" t="s">
        <v>19</v>
      </c>
      <c r="C15" t="s">
        <v>38</v>
      </c>
      <c r="D15">
        <v>391</v>
      </c>
      <c r="E15">
        <v>16509456</v>
      </c>
      <c r="F15" t="s">
        <v>21</v>
      </c>
      <c r="G15">
        <v>51026996</v>
      </c>
      <c r="H15" s="1" t="str">
        <f>CONCATENATE(G15,2)</f>
        <v>510269962</v>
      </c>
      <c r="I15" t="s">
        <v>23</v>
      </c>
      <c r="J15" t="s">
        <v>77</v>
      </c>
      <c r="K15" s="3">
        <v>46023</v>
      </c>
      <c r="L15" t="s">
        <v>206</v>
      </c>
      <c r="M15" t="s">
        <v>208</v>
      </c>
    </row>
    <row r="16" spans="1:13" x14ac:dyDescent="0.25">
      <c r="A16" t="s">
        <v>18</v>
      </c>
      <c r="B16" t="s">
        <v>19</v>
      </c>
      <c r="C16" t="s">
        <v>35</v>
      </c>
      <c r="D16">
        <v>391</v>
      </c>
      <c r="E16">
        <v>21618313</v>
      </c>
      <c r="F16" t="s">
        <v>21</v>
      </c>
      <c r="G16">
        <v>51054600</v>
      </c>
      <c r="H16" s="1" t="str">
        <f t="shared" ref="H16:H35" si="1">CONCATENATE(G16,2)</f>
        <v>510546002</v>
      </c>
      <c r="I16" t="s">
        <v>23</v>
      </c>
      <c r="J16" t="s">
        <v>79</v>
      </c>
      <c r="K16" s="3">
        <v>46023</v>
      </c>
      <c r="L16" t="s">
        <v>206</v>
      </c>
      <c r="M16" t="s">
        <v>208</v>
      </c>
    </row>
    <row r="17" spans="1:16" x14ac:dyDescent="0.25">
      <c r="A17" t="s">
        <v>18</v>
      </c>
      <c r="B17" t="s">
        <v>19</v>
      </c>
      <c r="C17" t="s">
        <v>35</v>
      </c>
      <c r="D17">
        <v>391</v>
      </c>
      <c r="E17">
        <v>21618313</v>
      </c>
      <c r="F17" t="s">
        <v>21</v>
      </c>
      <c r="G17">
        <v>50062444</v>
      </c>
      <c r="H17" s="1" t="str">
        <f t="shared" si="1"/>
        <v>500624442</v>
      </c>
      <c r="I17" t="s">
        <v>23</v>
      </c>
      <c r="J17" t="s">
        <v>81</v>
      </c>
      <c r="K17" s="3">
        <v>46023</v>
      </c>
      <c r="L17" t="s">
        <v>206</v>
      </c>
      <c r="M17" t="s">
        <v>208</v>
      </c>
    </row>
    <row r="18" spans="1:16" x14ac:dyDescent="0.25">
      <c r="A18" t="s">
        <v>18</v>
      </c>
      <c r="B18" t="s">
        <v>19</v>
      </c>
      <c r="C18" t="s">
        <v>20</v>
      </c>
      <c r="D18">
        <v>391</v>
      </c>
      <c r="E18">
        <v>17425766</v>
      </c>
      <c r="F18" t="s">
        <v>21</v>
      </c>
      <c r="G18">
        <v>51040586</v>
      </c>
      <c r="H18" s="1" t="str">
        <f t="shared" si="1"/>
        <v>510405862</v>
      </c>
      <c r="I18" t="s">
        <v>23</v>
      </c>
      <c r="J18" t="s">
        <v>83</v>
      </c>
      <c r="K18" s="3">
        <v>46023</v>
      </c>
      <c r="L18" t="s">
        <v>206</v>
      </c>
      <c r="M18" t="s">
        <v>208</v>
      </c>
    </row>
    <row r="19" spans="1:16" x14ac:dyDescent="0.25">
      <c r="A19" t="s">
        <v>18</v>
      </c>
      <c r="B19" t="s">
        <v>19</v>
      </c>
      <c r="C19" t="s">
        <v>20</v>
      </c>
      <c r="D19">
        <v>391</v>
      </c>
      <c r="E19">
        <v>17425766</v>
      </c>
      <c r="F19" t="s">
        <v>21</v>
      </c>
      <c r="G19">
        <v>51040579</v>
      </c>
      <c r="H19" s="1" t="str">
        <f t="shared" si="1"/>
        <v>510405792</v>
      </c>
      <c r="I19" t="s">
        <v>23</v>
      </c>
      <c r="J19" t="s">
        <v>85</v>
      </c>
      <c r="K19" s="3">
        <v>46023</v>
      </c>
      <c r="L19" t="s">
        <v>206</v>
      </c>
      <c r="M19" t="s">
        <v>208</v>
      </c>
    </row>
    <row r="20" spans="1:16" x14ac:dyDescent="0.25">
      <c r="A20" t="s">
        <v>18</v>
      </c>
      <c r="B20" t="s">
        <v>19</v>
      </c>
      <c r="C20" t="s">
        <v>86</v>
      </c>
      <c r="D20">
        <v>391</v>
      </c>
      <c r="E20">
        <v>15278437</v>
      </c>
      <c r="F20" t="s">
        <v>21</v>
      </c>
      <c r="G20">
        <v>51022721</v>
      </c>
      <c r="H20" s="1" t="str">
        <f t="shared" si="1"/>
        <v>510227212</v>
      </c>
      <c r="I20" t="s">
        <v>23</v>
      </c>
      <c r="J20" t="s">
        <v>88</v>
      </c>
      <c r="K20" s="3">
        <v>46023</v>
      </c>
      <c r="L20" t="s">
        <v>206</v>
      </c>
      <c r="M20" t="s">
        <v>208</v>
      </c>
    </row>
    <row r="21" spans="1:16" s="2" customFormat="1" x14ac:dyDescent="0.25">
      <c r="A21" t="s">
        <v>18</v>
      </c>
      <c r="B21" t="s">
        <v>19</v>
      </c>
      <c r="C21" t="s">
        <v>86</v>
      </c>
      <c r="D21">
        <v>391</v>
      </c>
      <c r="E21">
        <v>15278437</v>
      </c>
      <c r="F21" t="s">
        <v>21</v>
      </c>
      <c r="G21">
        <v>51022734</v>
      </c>
      <c r="H21" s="1" t="str">
        <f t="shared" si="1"/>
        <v>510227342</v>
      </c>
      <c r="I21" t="s">
        <v>23</v>
      </c>
      <c r="J21" t="s">
        <v>90</v>
      </c>
      <c r="K21" s="3">
        <v>46023</v>
      </c>
      <c r="L21" t="s">
        <v>206</v>
      </c>
      <c r="M21" t="s">
        <v>208</v>
      </c>
      <c r="N21"/>
      <c r="O21"/>
      <c r="P21"/>
    </row>
    <row r="22" spans="1:16" s="2" customFormat="1" x14ac:dyDescent="0.25">
      <c r="A22" t="s">
        <v>18</v>
      </c>
      <c r="B22" t="s">
        <v>19</v>
      </c>
      <c r="C22" t="s">
        <v>26</v>
      </c>
      <c r="D22">
        <v>391</v>
      </c>
      <c r="E22">
        <v>19278370</v>
      </c>
      <c r="F22" t="s">
        <v>21</v>
      </c>
      <c r="G22">
        <v>51054647</v>
      </c>
      <c r="H22" s="1" t="str">
        <f t="shared" si="1"/>
        <v>510546472</v>
      </c>
      <c r="I22" t="s">
        <v>23</v>
      </c>
      <c r="J22" t="s">
        <v>92</v>
      </c>
      <c r="K22" s="3">
        <v>46023</v>
      </c>
      <c r="L22" t="s">
        <v>206</v>
      </c>
      <c r="M22" t="s">
        <v>208</v>
      </c>
      <c r="N22"/>
      <c r="O22"/>
      <c r="P22"/>
    </row>
    <row r="23" spans="1:16" s="2" customFormat="1" x14ac:dyDescent="0.25">
      <c r="A23" t="s">
        <v>18</v>
      </c>
      <c r="B23" t="s">
        <v>19</v>
      </c>
      <c r="C23" t="s">
        <v>86</v>
      </c>
      <c r="D23">
        <v>391</v>
      </c>
      <c r="E23">
        <v>15278437</v>
      </c>
      <c r="F23" t="s">
        <v>21</v>
      </c>
      <c r="G23">
        <v>50091715</v>
      </c>
      <c r="H23" s="1" t="str">
        <f t="shared" si="1"/>
        <v>500917152</v>
      </c>
      <c r="I23" t="s">
        <v>23</v>
      </c>
      <c r="J23" t="s">
        <v>94</v>
      </c>
      <c r="K23" s="3">
        <v>46023</v>
      </c>
      <c r="L23" t="s">
        <v>206</v>
      </c>
      <c r="M23" t="s">
        <v>208</v>
      </c>
      <c r="N23"/>
      <c r="O23"/>
      <c r="P23"/>
    </row>
    <row r="24" spans="1:16" x14ac:dyDescent="0.25">
      <c r="A24" t="s">
        <v>18</v>
      </c>
      <c r="B24" t="s">
        <v>19</v>
      </c>
      <c r="C24" t="s">
        <v>38</v>
      </c>
      <c r="D24">
        <v>391</v>
      </c>
      <c r="E24">
        <v>16509456</v>
      </c>
      <c r="F24" t="s">
        <v>21</v>
      </c>
      <c r="G24">
        <v>50110456</v>
      </c>
      <c r="H24" s="1" t="str">
        <f t="shared" si="1"/>
        <v>501104562</v>
      </c>
      <c r="I24" t="s">
        <v>23</v>
      </c>
      <c r="J24" t="s">
        <v>96</v>
      </c>
      <c r="K24" s="3">
        <v>46023</v>
      </c>
      <c r="L24" t="s">
        <v>206</v>
      </c>
      <c r="M24" t="s">
        <v>208</v>
      </c>
    </row>
    <row r="25" spans="1:16" x14ac:dyDescent="0.25">
      <c r="A25" t="s">
        <v>18</v>
      </c>
      <c r="B25" t="s">
        <v>19</v>
      </c>
      <c r="C25" t="s">
        <v>20</v>
      </c>
      <c r="D25">
        <v>391</v>
      </c>
      <c r="E25">
        <v>17425766</v>
      </c>
      <c r="F25" t="s">
        <v>21</v>
      </c>
      <c r="G25">
        <v>50034043</v>
      </c>
      <c r="H25" s="1" t="str">
        <f t="shared" si="1"/>
        <v>500340432</v>
      </c>
      <c r="I25" t="s">
        <v>23</v>
      </c>
      <c r="J25" t="s">
        <v>98</v>
      </c>
      <c r="K25" s="3">
        <v>46023</v>
      </c>
      <c r="L25" t="s">
        <v>206</v>
      </c>
      <c r="M25" t="s">
        <v>208</v>
      </c>
    </row>
    <row r="26" spans="1:16" x14ac:dyDescent="0.25">
      <c r="A26" t="s">
        <v>18</v>
      </c>
      <c r="B26" t="s">
        <v>19</v>
      </c>
      <c r="C26" t="s">
        <v>20</v>
      </c>
      <c r="D26">
        <v>391</v>
      </c>
      <c r="E26">
        <v>17425766</v>
      </c>
      <c r="F26" t="s">
        <v>21</v>
      </c>
      <c r="G26">
        <v>50130972</v>
      </c>
      <c r="H26" s="1" t="str">
        <f t="shared" si="1"/>
        <v>501309722</v>
      </c>
      <c r="I26" t="s">
        <v>23</v>
      </c>
      <c r="J26" t="s">
        <v>100</v>
      </c>
      <c r="K26" s="3">
        <v>46023</v>
      </c>
      <c r="L26" t="s">
        <v>206</v>
      </c>
      <c r="M26" t="s">
        <v>208</v>
      </c>
    </row>
    <row r="27" spans="1:16" x14ac:dyDescent="0.25">
      <c r="A27" t="s">
        <v>18</v>
      </c>
      <c r="B27" t="s">
        <v>19</v>
      </c>
      <c r="C27" t="s">
        <v>86</v>
      </c>
      <c r="D27">
        <v>391</v>
      </c>
      <c r="E27">
        <v>15278437</v>
      </c>
      <c r="F27" t="s">
        <v>21</v>
      </c>
      <c r="G27">
        <v>51037053</v>
      </c>
      <c r="H27" s="1" t="str">
        <f t="shared" si="1"/>
        <v>510370532</v>
      </c>
      <c r="I27" t="s">
        <v>23</v>
      </c>
      <c r="J27" t="s">
        <v>102</v>
      </c>
      <c r="K27" s="3">
        <v>46023</v>
      </c>
      <c r="L27" t="s">
        <v>206</v>
      </c>
      <c r="M27" t="s">
        <v>208</v>
      </c>
    </row>
    <row r="28" spans="1:16" x14ac:dyDescent="0.25">
      <c r="A28" t="s">
        <v>18</v>
      </c>
      <c r="B28" t="s">
        <v>19</v>
      </c>
      <c r="C28" t="s">
        <v>38</v>
      </c>
      <c r="D28">
        <v>391</v>
      </c>
      <c r="E28">
        <v>16509456</v>
      </c>
      <c r="F28" t="s">
        <v>21</v>
      </c>
      <c r="G28">
        <v>50011367</v>
      </c>
      <c r="H28" s="1" t="str">
        <f t="shared" si="1"/>
        <v>500113672</v>
      </c>
      <c r="I28" t="s">
        <v>23</v>
      </c>
      <c r="J28" t="s">
        <v>104</v>
      </c>
      <c r="K28" s="3">
        <v>46023</v>
      </c>
      <c r="L28" t="s">
        <v>206</v>
      </c>
      <c r="M28" t="s">
        <v>208</v>
      </c>
    </row>
    <row r="29" spans="1:16" x14ac:dyDescent="0.25">
      <c r="A29" t="s">
        <v>18</v>
      </c>
      <c r="B29" t="s">
        <v>19</v>
      </c>
      <c r="C29" t="s">
        <v>35</v>
      </c>
      <c r="D29">
        <v>391</v>
      </c>
      <c r="E29">
        <v>21618313</v>
      </c>
      <c r="F29" t="s">
        <v>21</v>
      </c>
      <c r="G29">
        <v>51050008</v>
      </c>
      <c r="H29" s="1" t="str">
        <f t="shared" si="1"/>
        <v>510500082</v>
      </c>
      <c r="I29" t="s">
        <v>23</v>
      </c>
      <c r="J29" t="s">
        <v>106</v>
      </c>
      <c r="K29" s="3">
        <v>46023</v>
      </c>
      <c r="L29" t="s">
        <v>206</v>
      </c>
      <c r="M29" t="s">
        <v>208</v>
      </c>
    </row>
    <row r="30" spans="1:16" x14ac:dyDescent="0.25">
      <c r="A30" t="s">
        <v>18</v>
      </c>
      <c r="B30" t="s">
        <v>19</v>
      </c>
      <c r="C30" t="s">
        <v>26</v>
      </c>
      <c r="D30">
        <v>391</v>
      </c>
      <c r="E30">
        <v>19278370</v>
      </c>
      <c r="F30" t="s">
        <v>21</v>
      </c>
      <c r="G30">
        <v>51040325</v>
      </c>
      <c r="H30" s="1" t="str">
        <f t="shared" si="1"/>
        <v>510403252</v>
      </c>
      <c r="I30" t="s">
        <v>23</v>
      </c>
      <c r="J30" t="s">
        <v>108</v>
      </c>
      <c r="K30" s="3">
        <v>46023</v>
      </c>
      <c r="L30" t="s">
        <v>206</v>
      </c>
      <c r="M30" t="s">
        <v>208</v>
      </c>
    </row>
    <row r="31" spans="1:16" x14ac:dyDescent="0.25">
      <c r="A31" t="s">
        <v>18</v>
      </c>
      <c r="B31" t="s">
        <v>19</v>
      </c>
      <c r="C31" t="s">
        <v>38</v>
      </c>
      <c r="D31">
        <v>391</v>
      </c>
      <c r="E31">
        <v>16509456</v>
      </c>
      <c r="F31" t="s">
        <v>21</v>
      </c>
      <c r="G31">
        <v>51040690</v>
      </c>
      <c r="H31" s="1" t="str">
        <f t="shared" si="1"/>
        <v>510406902</v>
      </c>
      <c r="I31" t="s">
        <v>23</v>
      </c>
      <c r="J31" t="s">
        <v>110</v>
      </c>
      <c r="K31" s="3">
        <v>46023</v>
      </c>
      <c r="L31" t="s">
        <v>206</v>
      </c>
      <c r="M31" t="s">
        <v>208</v>
      </c>
    </row>
    <row r="32" spans="1:16" x14ac:dyDescent="0.25">
      <c r="A32" t="s">
        <v>18</v>
      </c>
      <c r="B32" t="s">
        <v>19</v>
      </c>
      <c r="C32" t="s">
        <v>38</v>
      </c>
      <c r="D32">
        <v>391</v>
      </c>
      <c r="E32">
        <v>16509456</v>
      </c>
      <c r="F32" t="s">
        <v>21</v>
      </c>
      <c r="G32">
        <v>50013881</v>
      </c>
      <c r="H32" s="1" t="str">
        <f t="shared" si="1"/>
        <v>500138812</v>
      </c>
      <c r="I32" t="s">
        <v>23</v>
      </c>
      <c r="J32" t="s">
        <v>112</v>
      </c>
      <c r="K32" s="3">
        <v>46023</v>
      </c>
      <c r="L32" t="s">
        <v>206</v>
      </c>
      <c r="M32" t="s">
        <v>208</v>
      </c>
    </row>
    <row r="33" spans="1:13" x14ac:dyDescent="0.25">
      <c r="A33" t="s">
        <v>18</v>
      </c>
      <c r="B33" t="s">
        <v>19</v>
      </c>
      <c r="C33" t="s">
        <v>35</v>
      </c>
      <c r="D33">
        <v>391</v>
      </c>
      <c r="E33">
        <v>21618313</v>
      </c>
      <c r="F33" t="s">
        <v>21</v>
      </c>
      <c r="G33">
        <v>51049192</v>
      </c>
      <c r="H33" s="1" t="str">
        <f t="shared" si="1"/>
        <v>510491922</v>
      </c>
      <c r="I33" t="s">
        <v>23</v>
      </c>
      <c r="J33" t="s">
        <v>37</v>
      </c>
      <c r="K33" s="3">
        <v>46023</v>
      </c>
      <c r="L33" t="s">
        <v>206</v>
      </c>
      <c r="M33" t="s">
        <v>208</v>
      </c>
    </row>
    <row r="34" spans="1:13" x14ac:dyDescent="0.25">
      <c r="A34" t="s">
        <v>18</v>
      </c>
      <c r="B34" t="s">
        <v>19</v>
      </c>
      <c r="C34" t="s">
        <v>86</v>
      </c>
      <c r="D34">
        <v>391</v>
      </c>
      <c r="E34">
        <v>15278437</v>
      </c>
      <c r="F34" t="s">
        <v>21</v>
      </c>
      <c r="G34">
        <v>50033063</v>
      </c>
      <c r="H34" s="1" t="str">
        <f t="shared" si="1"/>
        <v>500330632</v>
      </c>
      <c r="I34" t="s">
        <v>23</v>
      </c>
      <c r="J34" t="s">
        <v>114</v>
      </c>
      <c r="K34" s="3">
        <v>46023</v>
      </c>
      <c r="L34" t="s">
        <v>206</v>
      </c>
      <c r="M34" t="s">
        <v>208</v>
      </c>
    </row>
    <row r="35" spans="1:13" x14ac:dyDescent="0.25">
      <c r="A35" t="s">
        <v>18</v>
      </c>
      <c r="B35" t="s">
        <v>19</v>
      </c>
      <c r="C35" t="s">
        <v>86</v>
      </c>
      <c r="D35">
        <v>391</v>
      </c>
      <c r="E35">
        <v>15278437</v>
      </c>
      <c r="F35" t="s">
        <v>21</v>
      </c>
      <c r="G35">
        <v>51054860</v>
      </c>
      <c r="H35" s="1" t="str">
        <f t="shared" si="1"/>
        <v>510548602</v>
      </c>
      <c r="I35" t="s">
        <v>23</v>
      </c>
      <c r="J35" t="s">
        <v>116</v>
      </c>
      <c r="K35" s="3">
        <v>46023</v>
      </c>
      <c r="L35" t="s">
        <v>206</v>
      </c>
      <c r="M35" t="s">
        <v>208</v>
      </c>
    </row>
    <row r="36" spans="1:13" s="2" customFormat="1" x14ac:dyDescent="0.25">
      <c r="A36" s="2" t="s">
        <v>18</v>
      </c>
      <c r="B36" s="2" t="s">
        <v>19</v>
      </c>
      <c r="C36" s="2" t="s">
        <v>26</v>
      </c>
      <c r="D36" s="2">
        <v>781</v>
      </c>
      <c r="E36" s="2">
        <v>19278370</v>
      </c>
      <c r="F36" s="2" t="s">
        <v>21</v>
      </c>
      <c r="G36" s="2">
        <v>51045482</v>
      </c>
      <c r="H36" s="1" t="str">
        <f>CONCATENATE(G36,11)</f>
        <v>5104548211</v>
      </c>
      <c r="I36" s="2" t="s">
        <v>23</v>
      </c>
      <c r="J36" s="2" t="s">
        <v>71</v>
      </c>
      <c r="K36" s="5">
        <v>46023</v>
      </c>
      <c r="L36" s="2" t="s">
        <v>207</v>
      </c>
      <c r="M36" s="2" t="s">
        <v>211</v>
      </c>
    </row>
    <row r="37" spans="1:13" x14ac:dyDescent="0.25">
      <c r="A37" t="s">
        <v>18</v>
      </c>
      <c r="B37" t="s">
        <v>19</v>
      </c>
      <c r="C37" t="s">
        <v>35</v>
      </c>
      <c r="D37">
        <v>358.42</v>
      </c>
      <c r="E37">
        <v>21618313</v>
      </c>
      <c r="F37" t="s">
        <v>21</v>
      </c>
      <c r="G37">
        <v>51052718</v>
      </c>
      <c r="H37" s="1" t="str">
        <f t="shared" ref="H37:H66" si="2">CONCATENATE(G37,2)</f>
        <v>510527182</v>
      </c>
      <c r="I37" t="s">
        <v>23</v>
      </c>
      <c r="J37" t="s">
        <v>66</v>
      </c>
      <c r="K37" s="3">
        <v>46054</v>
      </c>
      <c r="L37" t="s">
        <v>206</v>
      </c>
      <c r="M37" t="s">
        <v>209</v>
      </c>
    </row>
    <row r="38" spans="1:13" x14ac:dyDescent="0.25">
      <c r="A38" t="s">
        <v>18</v>
      </c>
      <c r="B38" t="s">
        <v>19</v>
      </c>
      <c r="C38" t="s">
        <v>26</v>
      </c>
      <c r="D38">
        <v>391</v>
      </c>
      <c r="E38">
        <v>19278370</v>
      </c>
      <c r="F38" t="s">
        <v>21</v>
      </c>
      <c r="G38">
        <v>50118614</v>
      </c>
      <c r="H38" s="1" t="str">
        <f t="shared" si="2"/>
        <v>501186142</v>
      </c>
      <c r="I38" t="s">
        <v>23</v>
      </c>
      <c r="J38" t="s">
        <v>118</v>
      </c>
      <c r="K38" s="3">
        <v>46023</v>
      </c>
      <c r="L38" t="s">
        <v>206</v>
      </c>
      <c r="M38" t="s">
        <v>208</v>
      </c>
    </row>
    <row r="39" spans="1:13" x14ac:dyDescent="0.25">
      <c r="A39" t="s">
        <v>18</v>
      </c>
      <c r="B39" t="s">
        <v>19</v>
      </c>
      <c r="C39" t="s">
        <v>26</v>
      </c>
      <c r="D39">
        <v>391</v>
      </c>
      <c r="E39">
        <v>19278370</v>
      </c>
      <c r="F39" t="s">
        <v>21</v>
      </c>
      <c r="G39">
        <v>51028359</v>
      </c>
      <c r="H39" s="1" t="str">
        <f t="shared" si="2"/>
        <v>510283592</v>
      </c>
      <c r="I39" t="s">
        <v>23</v>
      </c>
      <c r="J39" t="s">
        <v>120</v>
      </c>
      <c r="K39" s="3">
        <v>46023</v>
      </c>
      <c r="L39" t="s">
        <v>206</v>
      </c>
      <c r="M39" t="s">
        <v>208</v>
      </c>
    </row>
    <row r="40" spans="1:13" x14ac:dyDescent="0.25">
      <c r="A40" t="s">
        <v>18</v>
      </c>
      <c r="B40" t="s">
        <v>19</v>
      </c>
      <c r="C40" t="s">
        <v>26</v>
      </c>
      <c r="D40">
        <v>391</v>
      </c>
      <c r="E40">
        <v>19278370</v>
      </c>
      <c r="F40" t="s">
        <v>21</v>
      </c>
      <c r="G40">
        <v>51041084</v>
      </c>
      <c r="H40" s="1" t="str">
        <f t="shared" si="2"/>
        <v>510410842</v>
      </c>
      <c r="I40" t="s">
        <v>23</v>
      </c>
      <c r="J40" t="s">
        <v>122</v>
      </c>
      <c r="K40" s="3">
        <v>46023</v>
      </c>
      <c r="L40" t="s">
        <v>206</v>
      </c>
      <c r="M40" t="s">
        <v>208</v>
      </c>
    </row>
    <row r="41" spans="1:13" x14ac:dyDescent="0.25">
      <c r="A41" t="s">
        <v>18</v>
      </c>
      <c r="B41" t="s">
        <v>19</v>
      </c>
      <c r="C41" t="s">
        <v>26</v>
      </c>
      <c r="D41">
        <v>391</v>
      </c>
      <c r="E41">
        <v>19278370</v>
      </c>
      <c r="F41" t="s">
        <v>21</v>
      </c>
      <c r="G41">
        <v>51041982</v>
      </c>
      <c r="H41" s="1" t="str">
        <f t="shared" si="2"/>
        <v>510419822</v>
      </c>
      <c r="I41" t="s">
        <v>23</v>
      </c>
      <c r="J41" t="s">
        <v>124</v>
      </c>
      <c r="K41" s="3">
        <v>46023</v>
      </c>
      <c r="L41" t="s">
        <v>206</v>
      </c>
      <c r="M41" t="s">
        <v>208</v>
      </c>
    </row>
    <row r="42" spans="1:13" x14ac:dyDescent="0.25">
      <c r="A42" t="s">
        <v>18</v>
      </c>
      <c r="B42" t="s">
        <v>19</v>
      </c>
      <c r="C42" t="s">
        <v>20</v>
      </c>
      <c r="D42">
        <v>-391</v>
      </c>
      <c r="E42">
        <v>17425766</v>
      </c>
      <c r="F42" t="s">
        <v>21</v>
      </c>
      <c r="G42">
        <v>51044944</v>
      </c>
      <c r="H42" s="1" t="str">
        <f t="shared" si="2"/>
        <v>510449442</v>
      </c>
      <c r="I42" t="s">
        <v>23</v>
      </c>
      <c r="J42" t="s">
        <v>24</v>
      </c>
      <c r="K42" s="3">
        <v>46023</v>
      </c>
      <c r="L42" t="s">
        <v>206</v>
      </c>
      <c r="M42" t="s">
        <v>208</v>
      </c>
    </row>
    <row r="43" spans="1:13" x14ac:dyDescent="0.25">
      <c r="A43" t="s">
        <v>18</v>
      </c>
      <c r="B43" t="s">
        <v>19</v>
      </c>
      <c r="C43" t="s">
        <v>20</v>
      </c>
      <c r="D43">
        <v>391</v>
      </c>
      <c r="E43">
        <v>17425766</v>
      </c>
      <c r="F43" t="s">
        <v>21</v>
      </c>
      <c r="G43">
        <v>51044944</v>
      </c>
      <c r="H43" s="1" t="str">
        <f t="shared" si="2"/>
        <v>510449442</v>
      </c>
      <c r="I43" t="s">
        <v>23</v>
      </c>
      <c r="J43" t="s">
        <v>24</v>
      </c>
      <c r="K43" s="3">
        <v>46023</v>
      </c>
      <c r="L43" t="s">
        <v>206</v>
      </c>
      <c r="M43" t="s">
        <v>208</v>
      </c>
    </row>
    <row r="44" spans="1:13" x14ac:dyDescent="0.25">
      <c r="A44" t="s">
        <v>18</v>
      </c>
      <c r="B44" t="s">
        <v>19</v>
      </c>
      <c r="C44" t="s">
        <v>26</v>
      </c>
      <c r="D44">
        <v>391</v>
      </c>
      <c r="E44">
        <v>19278370</v>
      </c>
      <c r="F44" t="s">
        <v>21</v>
      </c>
      <c r="G44">
        <v>50010651</v>
      </c>
      <c r="H44" s="1" t="str">
        <f t="shared" si="2"/>
        <v>500106512</v>
      </c>
      <c r="I44" t="s">
        <v>23</v>
      </c>
      <c r="J44" t="s">
        <v>126</v>
      </c>
      <c r="K44" s="3">
        <v>46023</v>
      </c>
      <c r="L44" t="s">
        <v>206</v>
      </c>
      <c r="M44" t="s">
        <v>208</v>
      </c>
    </row>
    <row r="45" spans="1:13" x14ac:dyDescent="0.25">
      <c r="A45" t="s">
        <v>18</v>
      </c>
      <c r="B45" t="s">
        <v>19</v>
      </c>
      <c r="C45" t="s">
        <v>86</v>
      </c>
      <c r="D45">
        <v>391</v>
      </c>
      <c r="E45">
        <v>15278437</v>
      </c>
      <c r="F45" t="s">
        <v>21</v>
      </c>
      <c r="G45">
        <v>51025766</v>
      </c>
      <c r="H45" s="1" t="str">
        <f t="shared" si="2"/>
        <v>510257662</v>
      </c>
      <c r="I45" t="s">
        <v>23</v>
      </c>
      <c r="J45" t="s">
        <v>128</v>
      </c>
      <c r="K45" s="3">
        <v>46023</v>
      </c>
      <c r="L45" t="s">
        <v>206</v>
      </c>
      <c r="M45" t="s">
        <v>208</v>
      </c>
    </row>
    <row r="46" spans="1:13" x14ac:dyDescent="0.25">
      <c r="A46" t="s">
        <v>18</v>
      </c>
      <c r="B46" t="s">
        <v>19</v>
      </c>
      <c r="C46" t="s">
        <v>86</v>
      </c>
      <c r="D46">
        <v>391</v>
      </c>
      <c r="E46">
        <v>15278437</v>
      </c>
      <c r="F46" t="s">
        <v>21</v>
      </c>
      <c r="G46">
        <v>50027542</v>
      </c>
      <c r="H46" s="1" t="str">
        <f t="shared" si="2"/>
        <v>500275422</v>
      </c>
      <c r="I46" t="s">
        <v>23</v>
      </c>
      <c r="J46" t="s">
        <v>130</v>
      </c>
      <c r="K46" s="3">
        <v>46023</v>
      </c>
      <c r="L46" t="s">
        <v>206</v>
      </c>
      <c r="M46" t="s">
        <v>208</v>
      </c>
    </row>
    <row r="47" spans="1:13" x14ac:dyDescent="0.25">
      <c r="A47" t="s">
        <v>18</v>
      </c>
      <c r="B47" t="s">
        <v>19</v>
      </c>
      <c r="C47" t="s">
        <v>86</v>
      </c>
      <c r="D47">
        <v>391</v>
      </c>
      <c r="E47">
        <v>15278437</v>
      </c>
      <c r="F47" t="s">
        <v>21</v>
      </c>
      <c r="G47">
        <v>50074203</v>
      </c>
      <c r="H47" s="1" t="str">
        <f t="shared" si="2"/>
        <v>500742032</v>
      </c>
      <c r="I47" t="s">
        <v>23</v>
      </c>
      <c r="J47" t="s">
        <v>132</v>
      </c>
      <c r="K47" s="3">
        <v>46023</v>
      </c>
      <c r="L47" t="s">
        <v>206</v>
      </c>
      <c r="M47" t="s">
        <v>208</v>
      </c>
    </row>
    <row r="48" spans="1:13" x14ac:dyDescent="0.25">
      <c r="A48" t="s">
        <v>18</v>
      </c>
      <c r="B48" t="s">
        <v>19</v>
      </c>
      <c r="C48" t="s">
        <v>26</v>
      </c>
      <c r="D48">
        <v>391</v>
      </c>
      <c r="E48">
        <v>19278370</v>
      </c>
      <c r="F48" t="s">
        <v>21</v>
      </c>
      <c r="G48">
        <v>51040180</v>
      </c>
      <c r="H48" s="1" t="str">
        <f t="shared" si="2"/>
        <v>510401802</v>
      </c>
      <c r="I48" t="s">
        <v>23</v>
      </c>
      <c r="J48" t="s">
        <v>134</v>
      </c>
      <c r="K48" s="3">
        <v>46023</v>
      </c>
      <c r="L48" t="s">
        <v>206</v>
      </c>
      <c r="M48" t="s">
        <v>208</v>
      </c>
    </row>
    <row r="49" spans="1:13" x14ac:dyDescent="0.25">
      <c r="A49" t="s">
        <v>18</v>
      </c>
      <c r="B49" t="s">
        <v>19</v>
      </c>
      <c r="C49" t="s">
        <v>86</v>
      </c>
      <c r="D49">
        <v>391</v>
      </c>
      <c r="E49">
        <v>15278437</v>
      </c>
      <c r="F49" t="s">
        <v>21</v>
      </c>
      <c r="G49">
        <v>50129045</v>
      </c>
      <c r="H49" s="1" t="str">
        <f t="shared" si="2"/>
        <v>501290452</v>
      </c>
      <c r="I49" t="s">
        <v>23</v>
      </c>
      <c r="J49" t="s">
        <v>136</v>
      </c>
      <c r="K49" s="3">
        <v>46023</v>
      </c>
      <c r="L49" t="s">
        <v>206</v>
      </c>
      <c r="M49" t="s">
        <v>208</v>
      </c>
    </row>
    <row r="50" spans="1:13" x14ac:dyDescent="0.25">
      <c r="A50" t="s">
        <v>18</v>
      </c>
      <c r="B50" t="s">
        <v>19</v>
      </c>
      <c r="C50" t="s">
        <v>26</v>
      </c>
      <c r="D50">
        <v>-391</v>
      </c>
      <c r="E50">
        <v>19278370</v>
      </c>
      <c r="F50" t="s">
        <v>21</v>
      </c>
      <c r="G50">
        <v>51042382</v>
      </c>
      <c r="H50" s="1" t="str">
        <f t="shared" si="2"/>
        <v>510423822</v>
      </c>
      <c r="I50" t="s">
        <v>23</v>
      </c>
      <c r="J50" t="s">
        <v>28</v>
      </c>
      <c r="K50" s="3">
        <v>46023</v>
      </c>
      <c r="L50" t="s">
        <v>206</v>
      </c>
      <c r="M50" t="s">
        <v>208</v>
      </c>
    </row>
    <row r="51" spans="1:13" x14ac:dyDescent="0.25">
      <c r="A51" t="s">
        <v>18</v>
      </c>
      <c r="B51" t="s">
        <v>19</v>
      </c>
      <c r="C51" t="s">
        <v>26</v>
      </c>
      <c r="D51">
        <v>391</v>
      </c>
      <c r="E51">
        <v>19278370</v>
      </c>
      <c r="F51" t="s">
        <v>21</v>
      </c>
      <c r="G51">
        <v>51042382</v>
      </c>
      <c r="H51" s="1" t="str">
        <f t="shared" si="2"/>
        <v>510423822</v>
      </c>
      <c r="I51" t="s">
        <v>23</v>
      </c>
      <c r="J51" t="s">
        <v>28</v>
      </c>
      <c r="K51" s="3">
        <v>46023</v>
      </c>
      <c r="L51" t="s">
        <v>206</v>
      </c>
      <c r="M51" t="s">
        <v>208</v>
      </c>
    </row>
    <row r="52" spans="1:13" x14ac:dyDescent="0.25">
      <c r="A52" t="s">
        <v>18</v>
      </c>
      <c r="B52" t="s">
        <v>19</v>
      </c>
      <c r="C52" t="s">
        <v>86</v>
      </c>
      <c r="D52">
        <v>391</v>
      </c>
      <c r="E52">
        <v>15278437</v>
      </c>
      <c r="F52" t="s">
        <v>21</v>
      </c>
      <c r="G52">
        <v>51047255</v>
      </c>
      <c r="H52" s="1" t="str">
        <f t="shared" si="2"/>
        <v>510472552</v>
      </c>
      <c r="I52" t="s">
        <v>23</v>
      </c>
      <c r="J52" t="s">
        <v>138</v>
      </c>
      <c r="K52" s="3">
        <v>46023</v>
      </c>
      <c r="L52" t="s">
        <v>206</v>
      </c>
      <c r="M52" t="s">
        <v>208</v>
      </c>
    </row>
    <row r="53" spans="1:13" x14ac:dyDescent="0.25">
      <c r="A53" t="s">
        <v>18</v>
      </c>
      <c r="B53" t="s">
        <v>19</v>
      </c>
      <c r="C53" t="s">
        <v>38</v>
      </c>
      <c r="D53">
        <v>391</v>
      </c>
      <c r="E53">
        <v>16509456</v>
      </c>
      <c r="F53" t="s">
        <v>21</v>
      </c>
      <c r="G53">
        <v>51043111</v>
      </c>
      <c r="H53" s="1" t="str">
        <f t="shared" si="2"/>
        <v>510431112</v>
      </c>
      <c r="I53" t="s">
        <v>23</v>
      </c>
      <c r="J53" t="s">
        <v>140</v>
      </c>
      <c r="K53" s="3">
        <v>46023</v>
      </c>
      <c r="L53" t="s">
        <v>206</v>
      </c>
      <c r="M53" t="s">
        <v>208</v>
      </c>
    </row>
    <row r="54" spans="1:13" x14ac:dyDescent="0.25">
      <c r="A54" t="s">
        <v>18</v>
      </c>
      <c r="B54" t="s">
        <v>19</v>
      </c>
      <c r="C54" t="s">
        <v>38</v>
      </c>
      <c r="D54">
        <v>391</v>
      </c>
      <c r="E54">
        <v>16509456</v>
      </c>
      <c r="F54" t="s">
        <v>21</v>
      </c>
      <c r="G54">
        <v>51050965</v>
      </c>
      <c r="H54" s="1" t="str">
        <f t="shared" si="2"/>
        <v>510509652</v>
      </c>
      <c r="I54" t="s">
        <v>23</v>
      </c>
      <c r="J54" t="s">
        <v>142</v>
      </c>
      <c r="K54" s="3">
        <v>46023</v>
      </c>
      <c r="L54" t="s">
        <v>206</v>
      </c>
      <c r="M54" t="s">
        <v>208</v>
      </c>
    </row>
    <row r="55" spans="1:13" x14ac:dyDescent="0.25">
      <c r="A55" t="s">
        <v>18</v>
      </c>
      <c r="B55" t="s">
        <v>19</v>
      </c>
      <c r="C55" t="s">
        <v>26</v>
      </c>
      <c r="D55">
        <v>391</v>
      </c>
      <c r="E55">
        <v>19278370</v>
      </c>
      <c r="F55" t="s">
        <v>21</v>
      </c>
      <c r="G55">
        <v>51038138</v>
      </c>
      <c r="H55" s="1" t="str">
        <f t="shared" si="2"/>
        <v>510381382</v>
      </c>
      <c r="I55" t="s">
        <v>23</v>
      </c>
      <c r="J55" t="s">
        <v>144</v>
      </c>
      <c r="K55" s="3">
        <v>46023</v>
      </c>
      <c r="L55" t="s">
        <v>206</v>
      </c>
      <c r="M55" t="s">
        <v>208</v>
      </c>
    </row>
    <row r="56" spans="1:13" x14ac:dyDescent="0.25">
      <c r="A56" t="s">
        <v>18</v>
      </c>
      <c r="B56" t="s">
        <v>19</v>
      </c>
      <c r="C56" t="s">
        <v>26</v>
      </c>
      <c r="D56">
        <v>391</v>
      </c>
      <c r="E56">
        <v>19278370</v>
      </c>
      <c r="F56" t="s">
        <v>21</v>
      </c>
      <c r="G56">
        <v>51043170</v>
      </c>
      <c r="H56" s="1" t="str">
        <f t="shared" si="2"/>
        <v>510431702</v>
      </c>
      <c r="I56" t="s">
        <v>23</v>
      </c>
      <c r="J56" t="s">
        <v>146</v>
      </c>
      <c r="K56" s="3">
        <v>46023</v>
      </c>
      <c r="L56" t="s">
        <v>206</v>
      </c>
      <c r="M56" t="s">
        <v>208</v>
      </c>
    </row>
    <row r="57" spans="1:13" x14ac:dyDescent="0.25">
      <c r="A57" t="s">
        <v>18</v>
      </c>
      <c r="B57" t="s">
        <v>19</v>
      </c>
      <c r="C57" t="s">
        <v>35</v>
      </c>
      <c r="D57">
        <v>325.83</v>
      </c>
      <c r="E57">
        <v>21618313</v>
      </c>
      <c r="F57" t="s">
        <v>21</v>
      </c>
      <c r="G57">
        <v>51052716</v>
      </c>
      <c r="H57" s="1" t="str">
        <f t="shared" si="2"/>
        <v>510527162</v>
      </c>
      <c r="I57" t="s">
        <v>23</v>
      </c>
      <c r="J57" t="s">
        <v>63</v>
      </c>
      <c r="K57" s="3">
        <v>46082</v>
      </c>
      <c r="L57" t="s">
        <v>206</v>
      </c>
      <c r="M57" t="s">
        <v>210</v>
      </c>
    </row>
    <row r="58" spans="1:13" x14ac:dyDescent="0.25">
      <c r="A58" t="s">
        <v>18</v>
      </c>
      <c r="B58" t="s">
        <v>19</v>
      </c>
      <c r="C58" t="s">
        <v>38</v>
      </c>
      <c r="D58">
        <v>391</v>
      </c>
      <c r="E58">
        <v>16509456</v>
      </c>
      <c r="F58" t="s">
        <v>21</v>
      </c>
      <c r="G58">
        <v>51044290</v>
      </c>
      <c r="H58" s="1" t="str">
        <f t="shared" si="2"/>
        <v>510442902</v>
      </c>
      <c r="I58" t="s">
        <v>23</v>
      </c>
      <c r="J58" t="s">
        <v>40</v>
      </c>
      <c r="K58" s="3">
        <v>45962</v>
      </c>
      <c r="L58" t="s">
        <v>206</v>
      </c>
      <c r="M58" t="s">
        <v>208</v>
      </c>
    </row>
    <row r="59" spans="1:13" x14ac:dyDescent="0.25">
      <c r="A59" t="s">
        <v>18</v>
      </c>
      <c r="B59" t="s">
        <v>19</v>
      </c>
      <c r="C59" t="s">
        <v>38</v>
      </c>
      <c r="D59">
        <v>391</v>
      </c>
      <c r="E59">
        <v>16509456</v>
      </c>
      <c r="F59" t="s">
        <v>21</v>
      </c>
      <c r="G59">
        <v>51044307</v>
      </c>
      <c r="H59" s="1" t="str">
        <f t="shared" si="2"/>
        <v>510443072</v>
      </c>
      <c r="I59" t="s">
        <v>23</v>
      </c>
      <c r="J59" t="s">
        <v>43</v>
      </c>
      <c r="K59" s="3">
        <v>45962</v>
      </c>
      <c r="L59" t="s">
        <v>206</v>
      </c>
      <c r="M59" t="s">
        <v>208</v>
      </c>
    </row>
    <row r="60" spans="1:13" x14ac:dyDescent="0.25">
      <c r="A60" t="s">
        <v>18</v>
      </c>
      <c r="B60" t="s">
        <v>19</v>
      </c>
      <c r="C60" t="s">
        <v>38</v>
      </c>
      <c r="D60">
        <v>391</v>
      </c>
      <c r="E60">
        <v>16509456</v>
      </c>
      <c r="F60" t="s">
        <v>21</v>
      </c>
      <c r="G60">
        <v>50119987</v>
      </c>
      <c r="H60" s="1" t="str">
        <f t="shared" si="2"/>
        <v>501199872</v>
      </c>
      <c r="I60" t="s">
        <v>23</v>
      </c>
      <c r="J60" t="s">
        <v>148</v>
      </c>
      <c r="K60" s="3">
        <v>46023</v>
      </c>
      <c r="L60" t="s">
        <v>206</v>
      </c>
      <c r="M60" t="s">
        <v>208</v>
      </c>
    </row>
    <row r="61" spans="1:13" x14ac:dyDescent="0.25">
      <c r="A61" t="s">
        <v>18</v>
      </c>
      <c r="B61" t="s">
        <v>19</v>
      </c>
      <c r="C61" t="s">
        <v>38</v>
      </c>
      <c r="D61">
        <v>391</v>
      </c>
      <c r="E61">
        <v>16509456</v>
      </c>
      <c r="F61" t="s">
        <v>21</v>
      </c>
      <c r="G61">
        <v>50120035</v>
      </c>
      <c r="H61" s="1" t="str">
        <f t="shared" si="2"/>
        <v>501200352</v>
      </c>
      <c r="I61" t="s">
        <v>23</v>
      </c>
      <c r="J61" t="s">
        <v>150</v>
      </c>
      <c r="K61" s="3">
        <v>46023</v>
      </c>
      <c r="L61" t="s">
        <v>206</v>
      </c>
      <c r="M61" t="s">
        <v>208</v>
      </c>
    </row>
    <row r="62" spans="1:13" x14ac:dyDescent="0.25">
      <c r="A62" t="s">
        <v>18</v>
      </c>
      <c r="B62" t="s">
        <v>19</v>
      </c>
      <c r="C62" t="s">
        <v>86</v>
      </c>
      <c r="D62">
        <v>391</v>
      </c>
      <c r="E62">
        <v>15278437</v>
      </c>
      <c r="F62" t="s">
        <v>21</v>
      </c>
      <c r="G62">
        <v>51017846</v>
      </c>
      <c r="H62" s="1" t="str">
        <f t="shared" si="2"/>
        <v>510178462</v>
      </c>
      <c r="I62" t="s">
        <v>23</v>
      </c>
      <c r="J62" t="s">
        <v>152</v>
      </c>
      <c r="K62" s="3">
        <v>46023</v>
      </c>
      <c r="L62" t="s">
        <v>206</v>
      </c>
      <c r="M62" t="s">
        <v>208</v>
      </c>
    </row>
    <row r="63" spans="1:13" x14ac:dyDescent="0.25">
      <c r="A63" t="s">
        <v>18</v>
      </c>
      <c r="B63" t="s">
        <v>19</v>
      </c>
      <c r="C63" t="s">
        <v>38</v>
      </c>
      <c r="D63">
        <v>391</v>
      </c>
      <c r="E63">
        <v>16509456</v>
      </c>
      <c r="F63" t="s">
        <v>21</v>
      </c>
      <c r="G63">
        <v>50125835</v>
      </c>
      <c r="H63" s="1" t="str">
        <f t="shared" si="2"/>
        <v>501258352</v>
      </c>
      <c r="I63" t="s">
        <v>23</v>
      </c>
      <c r="J63" t="s">
        <v>154</v>
      </c>
      <c r="K63" s="3">
        <v>46023</v>
      </c>
      <c r="L63" t="s">
        <v>206</v>
      </c>
      <c r="M63" t="s">
        <v>208</v>
      </c>
    </row>
    <row r="64" spans="1:13" x14ac:dyDescent="0.25">
      <c r="A64" t="s">
        <v>18</v>
      </c>
      <c r="B64" t="s">
        <v>19</v>
      </c>
      <c r="C64" t="s">
        <v>20</v>
      </c>
      <c r="D64">
        <v>391</v>
      </c>
      <c r="E64">
        <v>17425766</v>
      </c>
      <c r="F64" t="s">
        <v>21</v>
      </c>
      <c r="G64">
        <v>50004521</v>
      </c>
      <c r="H64" s="1" t="str">
        <f t="shared" si="2"/>
        <v>500045212</v>
      </c>
      <c r="I64" t="s">
        <v>23</v>
      </c>
      <c r="J64" t="s">
        <v>45</v>
      </c>
      <c r="K64" s="3">
        <v>46023</v>
      </c>
      <c r="L64" t="s">
        <v>206</v>
      </c>
      <c r="M64" t="s">
        <v>208</v>
      </c>
    </row>
    <row r="65" spans="1:13" x14ac:dyDescent="0.25">
      <c r="A65" t="s">
        <v>18</v>
      </c>
      <c r="B65" t="s">
        <v>19</v>
      </c>
      <c r="C65" t="s">
        <v>86</v>
      </c>
      <c r="D65">
        <v>391</v>
      </c>
      <c r="E65">
        <v>15278437</v>
      </c>
      <c r="F65" t="s">
        <v>21</v>
      </c>
      <c r="G65">
        <v>51037946</v>
      </c>
      <c r="H65" s="1" t="str">
        <f t="shared" si="2"/>
        <v>510379462</v>
      </c>
      <c r="I65" t="s">
        <v>23</v>
      </c>
      <c r="J65" t="s">
        <v>156</v>
      </c>
      <c r="K65" s="3">
        <v>46023</v>
      </c>
      <c r="L65" t="s">
        <v>206</v>
      </c>
      <c r="M65" t="s">
        <v>208</v>
      </c>
    </row>
    <row r="66" spans="1:13" x14ac:dyDescent="0.25">
      <c r="A66" t="s">
        <v>18</v>
      </c>
      <c r="B66" t="s">
        <v>19</v>
      </c>
      <c r="C66" t="s">
        <v>86</v>
      </c>
      <c r="D66">
        <v>391</v>
      </c>
      <c r="E66">
        <v>15278437</v>
      </c>
      <c r="F66" t="s">
        <v>21</v>
      </c>
      <c r="G66">
        <v>51037754</v>
      </c>
      <c r="H66" s="1" t="str">
        <f t="shared" si="2"/>
        <v>510377542</v>
      </c>
      <c r="I66" t="s">
        <v>23</v>
      </c>
      <c r="J66" t="s">
        <v>158</v>
      </c>
      <c r="K66" s="3">
        <v>46023</v>
      </c>
      <c r="L66" t="s">
        <v>206</v>
      </c>
      <c r="M66" t="s">
        <v>208</v>
      </c>
    </row>
    <row r="67" spans="1:13" s="2" customFormat="1" x14ac:dyDescent="0.25">
      <c r="A67" s="2" t="s">
        <v>18</v>
      </c>
      <c r="B67" s="2" t="s">
        <v>19</v>
      </c>
      <c r="C67" s="2" t="s">
        <v>38</v>
      </c>
      <c r="D67" s="2">
        <v>781</v>
      </c>
      <c r="E67" s="2">
        <v>16509456</v>
      </c>
      <c r="F67" s="2" t="s">
        <v>21</v>
      </c>
      <c r="G67" s="2">
        <v>51044739</v>
      </c>
      <c r="H67" s="1" t="str">
        <f>CONCATENATE(G67,11)</f>
        <v>5104473911</v>
      </c>
      <c r="I67" s="2" t="s">
        <v>23</v>
      </c>
      <c r="J67" s="2" t="s">
        <v>73</v>
      </c>
      <c r="K67" s="5">
        <v>46023</v>
      </c>
      <c r="L67" s="2" t="s">
        <v>207</v>
      </c>
      <c r="M67" s="2" t="s">
        <v>211</v>
      </c>
    </row>
    <row r="68" spans="1:13" x14ac:dyDescent="0.25">
      <c r="A68" t="s">
        <v>18</v>
      </c>
      <c r="B68" t="s">
        <v>19</v>
      </c>
      <c r="C68" t="s">
        <v>26</v>
      </c>
      <c r="D68">
        <v>391</v>
      </c>
      <c r="E68">
        <v>19278370</v>
      </c>
      <c r="F68" t="s">
        <v>21</v>
      </c>
      <c r="G68">
        <v>51041979</v>
      </c>
      <c r="H68" s="1" t="str">
        <f t="shared" ref="H68:H80" si="3">CONCATENATE(G68,2)</f>
        <v>510419792</v>
      </c>
      <c r="I68" t="s">
        <v>23</v>
      </c>
      <c r="J68" t="s">
        <v>160</v>
      </c>
      <c r="K68" s="3">
        <v>46023</v>
      </c>
      <c r="L68" t="s">
        <v>206</v>
      </c>
      <c r="M68" t="s">
        <v>208</v>
      </c>
    </row>
    <row r="69" spans="1:13" x14ac:dyDescent="0.25">
      <c r="A69" t="s">
        <v>18</v>
      </c>
      <c r="B69" t="s">
        <v>19</v>
      </c>
      <c r="C69" t="s">
        <v>26</v>
      </c>
      <c r="D69">
        <v>391</v>
      </c>
      <c r="E69">
        <v>19278370</v>
      </c>
      <c r="F69" t="s">
        <v>21</v>
      </c>
      <c r="G69">
        <v>50140998</v>
      </c>
      <c r="H69" s="1" t="str">
        <f t="shared" si="3"/>
        <v>501409982</v>
      </c>
      <c r="I69" t="s">
        <v>23</v>
      </c>
      <c r="J69" t="s">
        <v>162</v>
      </c>
      <c r="K69" s="3">
        <v>46023</v>
      </c>
      <c r="L69" t="s">
        <v>206</v>
      </c>
      <c r="M69" t="s">
        <v>208</v>
      </c>
    </row>
    <row r="70" spans="1:13" x14ac:dyDescent="0.25">
      <c r="A70" t="s">
        <v>18</v>
      </c>
      <c r="B70" t="s">
        <v>19</v>
      </c>
      <c r="C70" t="s">
        <v>38</v>
      </c>
      <c r="D70">
        <v>391</v>
      </c>
      <c r="E70">
        <v>16509456</v>
      </c>
      <c r="F70" t="s">
        <v>21</v>
      </c>
      <c r="G70">
        <v>50092045</v>
      </c>
      <c r="H70" s="1" t="str">
        <f t="shared" si="3"/>
        <v>500920452</v>
      </c>
      <c r="I70" t="s">
        <v>23</v>
      </c>
      <c r="J70" t="s">
        <v>164</v>
      </c>
      <c r="K70" s="3">
        <v>46023</v>
      </c>
      <c r="L70" t="s">
        <v>206</v>
      </c>
      <c r="M70" t="s">
        <v>208</v>
      </c>
    </row>
    <row r="71" spans="1:13" x14ac:dyDescent="0.25">
      <c r="A71" t="s">
        <v>18</v>
      </c>
      <c r="B71" t="s">
        <v>19</v>
      </c>
      <c r="C71" t="s">
        <v>38</v>
      </c>
      <c r="D71">
        <v>391</v>
      </c>
      <c r="E71">
        <v>16509456</v>
      </c>
      <c r="F71" t="s">
        <v>21</v>
      </c>
      <c r="G71">
        <v>51026418</v>
      </c>
      <c r="H71" s="1" t="str">
        <f t="shared" si="3"/>
        <v>510264182</v>
      </c>
      <c r="I71" t="s">
        <v>23</v>
      </c>
      <c r="J71" t="s">
        <v>166</v>
      </c>
      <c r="K71" s="3">
        <v>46023</v>
      </c>
      <c r="L71" t="s">
        <v>206</v>
      </c>
      <c r="M71" t="s">
        <v>208</v>
      </c>
    </row>
    <row r="72" spans="1:13" x14ac:dyDescent="0.25">
      <c r="A72" t="s">
        <v>18</v>
      </c>
      <c r="B72" t="s">
        <v>19</v>
      </c>
      <c r="C72" t="s">
        <v>35</v>
      </c>
      <c r="D72">
        <v>358.42</v>
      </c>
      <c r="E72">
        <v>21618313</v>
      </c>
      <c r="F72" t="s">
        <v>21</v>
      </c>
      <c r="G72">
        <v>51054503</v>
      </c>
      <c r="H72" s="1" t="str">
        <f t="shared" si="3"/>
        <v>510545032</v>
      </c>
      <c r="I72" t="s">
        <v>23</v>
      </c>
      <c r="J72" t="s">
        <v>69</v>
      </c>
      <c r="K72" s="3">
        <v>46054</v>
      </c>
      <c r="L72" t="s">
        <v>206</v>
      </c>
      <c r="M72" t="s">
        <v>209</v>
      </c>
    </row>
    <row r="73" spans="1:13" x14ac:dyDescent="0.25">
      <c r="A73" t="s">
        <v>18</v>
      </c>
      <c r="B73" t="s">
        <v>19</v>
      </c>
      <c r="C73" t="s">
        <v>86</v>
      </c>
      <c r="D73">
        <v>391</v>
      </c>
      <c r="E73">
        <v>15278437</v>
      </c>
      <c r="F73" t="s">
        <v>21</v>
      </c>
      <c r="G73">
        <v>50018692</v>
      </c>
      <c r="H73" s="1" t="str">
        <f t="shared" si="3"/>
        <v>500186922</v>
      </c>
      <c r="I73" t="s">
        <v>23</v>
      </c>
      <c r="J73" t="s">
        <v>168</v>
      </c>
      <c r="K73" s="3">
        <v>46023</v>
      </c>
      <c r="L73" t="s">
        <v>206</v>
      </c>
      <c r="M73" t="s">
        <v>208</v>
      </c>
    </row>
    <row r="74" spans="1:13" x14ac:dyDescent="0.25">
      <c r="A74" t="s">
        <v>18</v>
      </c>
      <c r="B74" t="s">
        <v>19</v>
      </c>
      <c r="C74" t="s">
        <v>26</v>
      </c>
      <c r="D74">
        <v>391</v>
      </c>
      <c r="E74">
        <v>19278370</v>
      </c>
      <c r="F74" t="s">
        <v>21</v>
      </c>
      <c r="G74">
        <v>51034947</v>
      </c>
      <c r="H74" s="1" t="str">
        <f t="shared" si="3"/>
        <v>510349472</v>
      </c>
      <c r="I74" t="s">
        <v>23</v>
      </c>
      <c r="J74" t="s">
        <v>170</v>
      </c>
      <c r="K74" s="3">
        <v>46023</v>
      </c>
      <c r="L74" t="s">
        <v>206</v>
      </c>
      <c r="M74" t="s">
        <v>208</v>
      </c>
    </row>
    <row r="75" spans="1:13" x14ac:dyDescent="0.25">
      <c r="A75" t="s">
        <v>18</v>
      </c>
      <c r="B75" t="s">
        <v>19</v>
      </c>
      <c r="C75" t="s">
        <v>38</v>
      </c>
      <c r="D75">
        <v>391</v>
      </c>
      <c r="E75">
        <v>16509456</v>
      </c>
      <c r="F75" t="s">
        <v>21</v>
      </c>
      <c r="G75">
        <v>51022238</v>
      </c>
      <c r="H75" s="1" t="str">
        <f t="shared" si="3"/>
        <v>510222382</v>
      </c>
      <c r="I75" t="s">
        <v>23</v>
      </c>
      <c r="J75" t="s">
        <v>172</v>
      </c>
      <c r="K75" s="3">
        <v>46023</v>
      </c>
      <c r="L75" t="s">
        <v>206</v>
      </c>
      <c r="M75" t="s">
        <v>208</v>
      </c>
    </row>
    <row r="76" spans="1:13" x14ac:dyDescent="0.25">
      <c r="A76" t="s">
        <v>18</v>
      </c>
      <c r="B76" t="s">
        <v>19</v>
      </c>
      <c r="C76" t="s">
        <v>20</v>
      </c>
      <c r="D76">
        <v>391</v>
      </c>
      <c r="E76">
        <v>17425766</v>
      </c>
      <c r="F76" t="s">
        <v>21</v>
      </c>
      <c r="G76">
        <v>51042831</v>
      </c>
      <c r="H76" s="1" t="str">
        <f t="shared" si="3"/>
        <v>510428312</v>
      </c>
      <c r="I76" t="s">
        <v>23</v>
      </c>
      <c r="J76" t="s">
        <v>48</v>
      </c>
      <c r="K76" s="3">
        <v>45931</v>
      </c>
      <c r="L76" t="s">
        <v>206</v>
      </c>
      <c r="M76" t="s">
        <v>208</v>
      </c>
    </row>
    <row r="77" spans="1:13" x14ac:dyDescent="0.25">
      <c r="A77" t="s">
        <v>18</v>
      </c>
      <c r="B77" t="s">
        <v>19</v>
      </c>
      <c r="C77" t="s">
        <v>26</v>
      </c>
      <c r="D77">
        <v>391</v>
      </c>
      <c r="E77">
        <v>19278370</v>
      </c>
      <c r="F77" t="s">
        <v>21</v>
      </c>
      <c r="G77">
        <v>50141052</v>
      </c>
      <c r="H77" s="1" t="str">
        <f t="shared" si="3"/>
        <v>501410522</v>
      </c>
      <c r="I77" t="s">
        <v>23</v>
      </c>
      <c r="J77" t="s">
        <v>174</v>
      </c>
      <c r="K77" s="3">
        <v>46023</v>
      </c>
      <c r="L77" t="s">
        <v>206</v>
      </c>
      <c r="M77" t="s">
        <v>208</v>
      </c>
    </row>
    <row r="78" spans="1:13" x14ac:dyDescent="0.25">
      <c r="A78" t="s">
        <v>18</v>
      </c>
      <c r="B78" t="s">
        <v>19</v>
      </c>
      <c r="C78" t="s">
        <v>26</v>
      </c>
      <c r="D78">
        <v>391</v>
      </c>
      <c r="E78">
        <v>19278370</v>
      </c>
      <c r="F78" t="s">
        <v>21</v>
      </c>
      <c r="G78">
        <v>51042008</v>
      </c>
      <c r="H78" s="1" t="str">
        <f t="shared" si="3"/>
        <v>510420082</v>
      </c>
      <c r="I78" t="s">
        <v>23</v>
      </c>
      <c r="J78" t="s">
        <v>176</v>
      </c>
      <c r="K78" s="3">
        <v>46023</v>
      </c>
      <c r="L78" t="s">
        <v>206</v>
      </c>
      <c r="M78" t="s">
        <v>208</v>
      </c>
    </row>
    <row r="79" spans="1:13" x14ac:dyDescent="0.25">
      <c r="A79" t="s">
        <v>18</v>
      </c>
      <c r="B79" t="s">
        <v>19</v>
      </c>
      <c r="C79" t="s">
        <v>38</v>
      </c>
      <c r="D79">
        <v>391</v>
      </c>
      <c r="E79">
        <v>16509456</v>
      </c>
      <c r="F79" t="s">
        <v>21</v>
      </c>
      <c r="G79">
        <v>51042757</v>
      </c>
      <c r="H79" s="1" t="str">
        <f t="shared" si="3"/>
        <v>510427572</v>
      </c>
      <c r="I79" t="s">
        <v>23</v>
      </c>
      <c r="J79" t="s">
        <v>178</v>
      </c>
      <c r="K79" s="3">
        <v>46023</v>
      </c>
      <c r="L79" t="s">
        <v>206</v>
      </c>
      <c r="M79" t="s">
        <v>208</v>
      </c>
    </row>
    <row r="80" spans="1:13" x14ac:dyDescent="0.25">
      <c r="A80" t="s">
        <v>18</v>
      </c>
      <c r="B80" t="s">
        <v>19</v>
      </c>
      <c r="C80" t="s">
        <v>26</v>
      </c>
      <c r="D80">
        <v>391</v>
      </c>
      <c r="E80">
        <v>19278370</v>
      </c>
      <c r="F80" t="s">
        <v>21</v>
      </c>
      <c r="G80">
        <v>51045742</v>
      </c>
      <c r="H80" s="1" t="str">
        <f t="shared" si="3"/>
        <v>510457422</v>
      </c>
      <c r="I80" t="s">
        <v>23</v>
      </c>
      <c r="J80" t="s">
        <v>51</v>
      </c>
      <c r="K80" s="3">
        <v>46023</v>
      </c>
      <c r="L80" t="s">
        <v>206</v>
      </c>
      <c r="M80" t="s">
        <v>208</v>
      </c>
    </row>
    <row r="81" spans="1:13" s="2" customFormat="1" x14ac:dyDescent="0.25">
      <c r="A81" s="2" t="s">
        <v>18</v>
      </c>
      <c r="B81" s="2" t="s">
        <v>19</v>
      </c>
      <c r="C81" s="2" t="s">
        <v>35</v>
      </c>
      <c r="D81" s="2">
        <v>781</v>
      </c>
      <c r="E81" s="2">
        <v>21618313</v>
      </c>
      <c r="F81" s="2" t="s">
        <v>21</v>
      </c>
      <c r="G81" s="2">
        <v>51049085</v>
      </c>
      <c r="H81" s="1" t="str">
        <f>CONCATENATE(G81,11)</f>
        <v>5104908511</v>
      </c>
      <c r="I81" s="2" t="s">
        <v>23</v>
      </c>
      <c r="J81" s="2" t="s">
        <v>75</v>
      </c>
      <c r="K81" s="5">
        <v>46023</v>
      </c>
      <c r="L81" s="2" t="s">
        <v>207</v>
      </c>
      <c r="M81" s="2" t="s">
        <v>211</v>
      </c>
    </row>
    <row r="82" spans="1:13" x14ac:dyDescent="0.25">
      <c r="A82" t="s">
        <v>18</v>
      </c>
      <c r="B82" t="s">
        <v>19</v>
      </c>
      <c r="C82" t="s">
        <v>20</v>
      </c>
      <c r="D82">
        <v>391</v>
      </c>
      <c r="E82">
        <v>17425766</v>
      </c>
      <c r="F82" t="s">
        <v>21</v>
      </c>
      <c r="G82">
        <v>51048263</v>
      </c>
      <c r="H82" s="1" t="str">
        <f t="shared" ref="H82:H102" si="4">CONCATENATE(G82,2)</f>
        <v>510482632</v>
      </c>
      <c r="I82" t="s">
        <v>23</v>
      </c>
      <c r="J82" t="s">
        <v>53</v>
      </c>
      <c r="K82" s="3">
        <v>46023</v>
      </c>
      <c r="L82" t="s">
        <v>206</v>
      </c>
      <c r="M82" t="s">
        <v>208</v>
      </c>
    </row>
    <row r="83" spans="1:13" x14ac:dyDescent="0.25">
      <c r="A83" t="s">
        <v>18</v>
      </c>
      <c r="B83" t="s">
        <v>19</v>
      </c>
      <c r="C83" t="s">
        <v>86</v>
      </c>
      <c r="D83">
        <v>391</v>
      </c>
      <c r="E83">
        <v>15278437</v>
      </c>
      <c r="F83" t="s">
        <v>21</v>
      </c>
      <c r="G83">
        <v>51040079</v>
      </c>
      <c r="H83" s="1" t="str">
        <f t="shared" si="4"/>
        <v>510400792</v>
      </c>
      <c r="I83" t="s">
        <v>23</v>
      </c>
      <c r="J83" t="s">
        <v>180</v>
      </c>
      <c r="K83" s="3">
        <v>46023</v>
      </c>
      <c r="L83" t="s">
        <v>206</v>
      </c>
      <c r="M83" t="s">
        <v>208</v>
      </c>
    </row>
    <row r="84" spans="1:13" x14ac:dyDescent="0.25">
      <c r="A84" t="s">
        <v>18</v>
      </c>
      <c r="B84" t="s">
        <v>19</v>
      </c>
      <c r="C84" t="s">
        <v>26</v>
      </c>
      <c r="D84">
        <v>391</v>
      </c>
      <c r="E84">
        <v>19278370</v>
      </c>
      <c r="F84" t="s">
        <v>21</v>
      </c>
      <c r="G84">
        <v>50141664</v>
      </c>
      <c r="H84" s="1" t="str">
        <f t="shared" si="4"/>
        <v>501416642</v>
      </c>
      <c r="I84" t="s">
        <v>23</v>
      </c>
      <c r="J84" t="s">
        <v>182</v>
      </c>
      <c r="K84" s="3">
        <v>46023</v>
      </c>
      <c r="L84" t="s">
        <v>206</v>
      </c>
      <c r="M84" t="s">
        <v>208</v>
      </c>
    </row>
    <row r="85" spans="1:13" x14ac:dyDescent="0.25">
      <c r="A85" t="s">
        <v>18</v>
      </c>
      <c r="B85" t="s">
        <v>19</v>
      </c>
      <c r="C85" t="s">
        <v>38</v>
      </c>
      <c r="D85">
        <v>391</v>
      </c>
      <c r="E85">
        <v>16509456</v>
      </c>
      <c r="F85" t="s">
        <v>21</v>
      </c>
      <c r="G85">
        <v>50031781</v>
      </c>
      <c r="H85" s="1" t="str">
        <f t="shared" si="4"/>
        <v>500317812</v>
      </c>
      <c r="I85" t="s">
        <v>23</v>
      </c>
      <c r="J85" t="s">
        <v>184</v>
      </c>
      <c r="K85" s="3">
        <v>46023</v>
      </c>
      <c r="L85" t="s">
        <v>206</v>
      </c>
      <c r="M85" t="s">
        <v>208</v>
      </c>
    </row>
    <row r="86" spans="1:13" x14ac:dyDescent="0.25">
      <c r="A86" t="s">
        <v>18</v>
      </c>
      <c r="B86" t="s">
        <v>19</v>
      </c>
      <c r="C86" t="s">
        <v>26</v>
      </c>
      <c r="D86">
        <v>391</v>
      </c>
      <c r="E86">
        <v>19278370</v>
      </c>
      <c r="F86" t="s">
        <v>21</v>
      </c>
      <c r="G86">
        <v>51043203</v>
      </c>
      <c r="H86" s="1" t="str">
        <f t="shared" si="4"/>
        <v>510432032</v>
      </c>
      <c r="I86" t="s">
        <v>23</v>
      </c>
      <c r="J86" t="s">
        <v>186</v>
      </c>
      <c r="K86" s="3">
        <v>46023</v>
      </c>
      <c r="L86" t="s">
        <v>206</v>
      </c>
      <c r="M86" t="s">
        <v>208</v>
      </c>
    </row>
    <row r="87" spans="1:13" x14ac:dyDescent="0.25">
      <c r="A87" t="s">
        <v>18</v>
      </c>
      <c r="B87" t="s">
        <v>19</v>
      </c>
      <c r="C87" t="s">
        <v>38</v>
      </c>
      <c r="D87">
        <v>391</v>
      </c>
      <c r="E87">
        <v>16509456</v>
      </c>
      <c r="F87" t="s">
        <v>21</v>
      </c>
      <c r="G87">
        <v>51045074</v>
      </c>
      <c r="H87" s="1" t="str">
        <f t="shared" si="4"/>
        <v>510450742</v>
      </c>
      <c r="I87" t="s">
        <v>23</v>
      </c>
      <c r="J87" t="s">
        <v>188</v>
      </c>
      <c r="K87" s="3">
        <v>46023</v>
      </c>
      <c r="L87" t="s">
        <v>206</v>
      </c>
      <c r="M87" t="s">
        <v>208</v>
      </c>
    </row>
    <row r="88" spans="1:13" x14ac:dyDescent="0.25">
      <c r="A88" t="s">
        <v>18</v>
      </c>
      <c r="B88" t="s">
        <v>19</v>
      </c>
      <c r="C88" t="s">
        <v>38</v>
      </c>
      <c r="D88">
        <v>391</v>
      </c>
      <c r="E88">
        <v>16509456</v>
      </c>
      <c r="F88" t="s">
        <v>21</v>
      </c>
      <c r="G88">
        <v>51043568</v>
      </c>
      <c r="H88" s="1" t="str">
        <f t="shared" si="4"/>
        <v>510435682</v>
      </c>
      <c r="I88" t="s">
        <v>23</v>
      </c>
      <c r="J88" t="s">
        <v>55</v>
      </c>
      <c r="K88" s="3">
        <v>45931</v>
      </c>
      <c r="L88" t="s">
        <v>206</v>
      </c>
      <c r="M88" t="s">
        <v>208</v>
      </c>
    </row>
    <row r="89" spans="1:13" x14ac:dyDescent="0.25">
      <c r="A89" t="s">
        <v>18</v>
      </c>
      <c r="B89" t="s">
        <v>19</v>
      </c>
      <c r="C89" t="s">
        <v>26</v>
      </c>
      <c r="D89">
        <v>391</v>
      </c>
      <c r="E89">
        <v>19278370</v>
      </c>
      <c r="F89" t="s">
        <v>21</v>
      </c>
      <c r="G89">
        <v>51034937</v>
      </c>
      <c r="H89" s="1" t="str">
        <f t="shared" si="4"/>
        <v>510349372</v>
      </c>
      <c r="I89" t="s">
        <v>23</v>
      </c>
      <c r="J89" t="s">
        <v>190</v>
      </c>
      <c r="K89" s="3">
        <v>46023</v>
      </c>
      <c r="L89" t="s">
        <v>206</v>
      </c>
      <c r="M89" t="s">
        <v>208</v>
      </c>
    </row>
    <row r="90" spans="1:13" x14ac:dyDescent="0.25">
      <c r="A90" t="s">
        <v>18</v>
      </c>
      <c r="B90" t="s">
        <v>19</v>
      </c>
      <c r="C90" t="s">
        <v>26</v>
      </c>
      <c r="D90">
        <v>391</v>
      </c>
      <c r="E90">
        <v>19278370</v>
      </c>
      <c r="F90" t="s">
        <v>21</v>
      </c>
      <c r="G90">
        <v>51046544</v>
      </c>
      <c r="H90" s="1" t="str">
        <f t="shared" si="4"/>
        <v>510465442</v>
      </c>
      <c r="I90" t="s">
        <v>23</v>
      </c>
      <c r="J90" t="s">
        <v>192</v>
      </c>
      <c r="K90" s="3">
        <v>46023</v>
      </c>
      <c r="L90" t="s">
        <v>206</v>
      </c>
      <c r="M90" t="s">
        <v>208</v>
      </c>
    </row>
    <row r="91" spans="1:13" x14ac:dyDescent="0.25">
      <c r="A91" t="s">
        <v>18</v>
      </c>
      <c r="B91" t="s">
        <v>19</v>
      </c>
      <c r="C91" t="s">
        <v>26</v>
      </c>
      <c r="D91">
        <v>391</v>
      </c>
      <c r="E91">
        <v>19278370</v>
      </c>
      <c r="F91" t="s">
        <v>21</v>
      </c>
      <c r="G91">
        <v>51046547</v>
      </c>
      <c r="H91" s="1" t="str">
        <f t="shared" si="4"/>
        <v>510465472</v>
      </c>
      <c r="I91" t="s">
        <v>23</v>
      </c>
      <c r="J91" t="s">
        <v>194</v>
      </c>
      <c r="K91" s="3">
        <v>46023</v>
      </c>
      <c r="L91" t="s">
        <v>206</v>
      </c>
      <c r="M91" t="s">
        <v>208</v>
      </c>
    </row>
    <row r="92" spans="1:13" x14ac:dyDescent="0.25">
      <c r="A92" t="s">
        <v>18</v>
      </c>
      <c r="B92" t="s">
        <v>19</v>
      </c>
      <c r="C92" t="s">
        <v>86</v>
      </c>
      <c r="D92">
        <v>391</v>
      </c>
      <c r="E92">
        <v>15278437</v>
      </c>
      <c r="F92" t="s">
        <v>21</v>
      </c>
      <c r="G92">
        <v>50065597</v>
      </c>
      <c r="H92" s="1" t="str">
        <f t="shared" si="4"/>
        <v>500655972</v>
      </c>
      <c r="I92" t="s">
        <v>23</v>
      </c>
      <c r="J92" t="s">
        <v>196</v>
      </c>
      <c r="K92" s="3">
        <v>46023</v>
      </c>
      <c r="L92" t="s">
        <v>206</v>
      </c>
      <c r="M92" t="s">
        <v>208</v>
      </c>
    </row>
    <row r="93" spans="1:13" x14ac:dyDescent="0.25">
      <c r="A93" t="s">
        <v>18</v>
      </c>
      <c r="B93" t="s">
        <v>19</v>
      </c>
      <c r="C93" t="s">
        <v>35</v>
      </c>
      <c r="D93">
        <v>391</v>
      </c>
      <c r="E93">
        <v>21618313</v>
      </c>
      <c r="F93" t="s">
        <v>21</v>
      </c>
      <c r="G93">
        <v>51046848</v>
      </c>
      <c r="H93" s="1" t="str">
        <f t="shared" si="4"/>
        <v>510468482</v>
      </c>
      <c r="I93" t="s">
        <v>23</v>
      </c>
      <c r="J93" t="s">
        <v>57</v>
      </c>
      <c r="K93" s="3">
        <v>46023</v>
      </c>
      <c r="L93" t="s">
        <v>206</v>
      </c>
      <c r="M93" t="s">
        <v>208</v>
      </c>
    </row>
    <row r="94" spans="1:13" x14ac:dyDescent="0.25">
      <c r="A94" t="s">
        <v>18</v>
      </c>
      <c r="B94" t="s">
        <v>19</v>
      </c>
      <c r="C94" t="s">
        <v>26</v>
      </c>
      <c r="D94">
        <v>391</v>
      </c>
      <c r="E94">
        <v>19278370</v>
      </c>
      <c r="F94" t="s">
        <v>21</v>
      </c>
      <c r="G94">
        <v>50089492</v>
      </c>
      <c r="H94" s="1" t="str">
        <f t="shared" si="4"/>
        <v>500894922</v>
      </c>
      <c r="I94" t="s">
        <v>23</v>
      </c>
      <c r="J94" t="s">
        <v>198</v>
      </c>
      <c r="K94" s="3">
        <v>46023</v>
      </c>
      <c r="L94" t="s">
        <v>206</v>
      </c>
      <c r="M94" t="s">
        <v>208</v>
      </c>
    </row>
    <row r="95" spans="1:13" x14ac:dyDescent="0.25">
      <c r="A95" t="s">
        <v>18</v>
      </c>
      <c r="B95" t="s">
        <v>19</v>
      </c>
      <c r="C95" t="s">
        <v>20</v>
      </c>
      <c r="D95">
        <v>391</v>
      </c>
      <c r="E95">
        <v>17425766</v>
      </c>
      <c r="F95" t="s">
        <v>21</v>
      </c>
      <c r="G95">
        <v>51041938</v>
      </c>
      <c r="H95" s="1" t="str">
        <f t="shared" si="4"/>
        <v>510419382</v>
      </c>
      <c r="I95" t="s">
        <v>23</v>
      </c>
      <c r="J95" t="s">
        <v>200</v>
      </c>
      <c r="K95" s="3">
        <v>46023</v>
      </c>
      <c r="L95" t="s">
        <v>206</v>
      </c>
      <c r="M95" t="s">
        <v>208</v>
      </c>
    </row>
    <row r="96" spans="1:13" x14ac:dyDescent="0.25">
      <c r="A96" t="s">
        <v>18</v>
      </c>
      <c r="B96" t="s">
        <v>19</v>
      </c>
      <c r="C96" t="s">
        <v>86</v>
      </c>
      <c r="D96">
        <v>391</v>
      </c>
      <c r="E96">
        <v>15278437</v>
      </c>
      <c r="F96" t="s">
        <v>21</v>
      </c>
      <c r="G96">
        <v>50016536</v>
      </c>
      <c r="H96" s="1" t="str">
        <f t="shared" si="4"/>
        <v>500165362</v>
      </c>
      <c r="I96" t="s">
        <v>23</v>
      </c>
      <c r="J96" t="s">
        <v>202</v>
      </c>
      <c r="K96" s="3">
        <v>46023</v>
      </c>
      <c r="L96" t="s">
        <v>206</v>
      </c>
      <c r="M96" t="s">
        <v>208</v>
      </c>
    </row>
    <row r="97" spans="1:13" x14ac:dyDescent="0.25">
      <c r="A97" t="s">
        <v>18</v>
      </c>
      <c r="B97" t="s">
        <v>19</v>
      </c>
      <c r="C97" t="s">
        <v>38</v>
      </c>
      <c r="D97">
        <v>391</v>
      </c>
      <c r="E97">
        <v>16509456</v>
      </c>
      <c r="F97" t="s">
        <v>21</v>
      </c>
      <c r="G97">
        <v>50032784</v>
      </c>
      <c r="H97" s="1" t="str">
        <f t="shared" si="4"/>
        <v>500327842</v>
      </c>
      <c r="I97" t="s">
        <v>23</v>
      </c>
      <c r="J97" t="s">
        <v>204</v>
      </c>
      <c r="K97" s="3">
        <v>46023</v>
      </c>
      <c r="L97" t="s">
        <v>206</v>
      </c>
      <c r="M97" t="s">
        <v>208</v>
      </c>
    </row>
    <row r="98" spans="1:13" x14ac:dyDescent="0.25">
      <c r="A98" t="s">
        <v>18</v>
      </c>
      <c r="B98" t="s">
        <v>19</v>
      </c>
      <c r="C98" t="s">
        <v>20</v>
      </c>
      <c r="D98">
        <v>391</v>
      </c>
      <c r="E98">
        <v>17425766</v>
      </c>
      <c r="F98" t="s">
        <v>21</v>
      </c>
      <c r="G98">
        <v>51026578</v>
      </c>
      <c r="H98" s="1" t="str">
        <f t="shared" si="4"/>
        <v>510265782</v>
      </c>
      <c r="I98" t="s">
        <v>23</v>
      </c>
      <c r="J98" t="s">
        <v>58</v>
      </c>
      <c r="K98" s="3">
        <v>45658</v>
      </c>
      <c r="L98" t="s">
        <v>206</v>
      </c>
      <c r="M98" t="s">
        <v>208</v>
      </c>
    </row>
    <row r="99" spans="1:13" x14ac:dyDescent="0.25">
      <c r="A99" t="s">
        <v>18</v>
      </c>
      <c r="B99" t="s">
        <v>19</v>
      </c>
      <c r="C99" t="s">
        <v>35</v>
      </c>
      <c r="D99">
        <v>391</v>
      </c>
      <c r="E99">
        <v>21618313</v>
      </c>
      <c r="F99" t="s">
        <v>21</v>
      </c>
      <c r="G99">
        <v>51043796</v>
      </c>
      <c r="H99" s="1" t="str">
        <f t="shared" si="4"/>
        <v>510437962</v>
      </c>
      <c r="I99" t="s">
        <v>23</v>
      </c>
      <c r="J99" t="s">
        <v>60</v>
      </c>
      <c r="K99" s="3">
        <v>45992</v>
      </c>
      <c r="L99" t="s">
        <v>206</v>
      </c>
      <c r="M99" t="s">
        <v>208</v>
      </c>
    </row>
    <row r="100" spans="1:13" x14ac:dyDescent="0.25">
      <c r="A100" t="s">
        <v>18</v>
      </c>
      <c r="B100" t="s">
        <v>19</v>
      </c>
      <c r="C100" t="s">
        <v>26</v>
      </c>
      <c r="D100">
        <v>-391</v>
      </c>
      <c r="E100">
        <v>19278370</v>
      </c>
      <c r="F100" t="s">
        <v>21</v>
      </c>
      <c r="G100">
        <v>51054475</v>
      </c>
      <c r="H100" s="1" t="str">
        <f t="shared" si="4"/>
        <v>510544752</v>
      </c>
      <c r="I100" t="s">
        <v>23</v>
      </c>
      <c r="J100" t="s">
        <v>30</v>
      </c>
      <c r="K100" s="3">
        <v>46023</v>
      </c>
      <c r="L100" t="s">
        <v>206</v>
      </c>
      <c r="M100" t="s">
        <v>208</v>
      </c>
    </row>
    <row r="101" spans="1:13" x14ac:dyDescent="0.25">
      <c r="A101" t="s">
        <v>18</v>
      </c>
      <c r="B101" t="s">
        <v>19</v>
      </c>
      <c r="C101" t="s">
        <v>26</v>
      </c>
      <c r="D101">
        <v>391</v>
      </c>
      <c r="E101">
        <v>19278370</v>
      </c>
      <c r="F101" t="s">
        <v>21</v>
      </c>
      <c r="G101">
        <v>51054475</v>
      </c>
      <c r="H101" s="1" t="str">
        <f t="shared" si="4"/>
        <v>510544752</v>
      </c>
      <c r="I101" t="s">
        <v>23</v>
      </c>
      <c r="J101" t="s">
        <v>30</v>
      </c>
      <c r="K101" s="3">
        <v>46023</v>
      </c>
      <c r="L101" t="s">
        <v>206</v>
      </c>
      <c r="M101" t="s">
        <v>208</v>
      </c>
    </row>
    <row r="102" spans="1:13" x14ac:dyDescent="0.25">
      <c r="A102" t="s">
        <v>18</v>
      </c>
      <c r="B102" t="s">
        <v>19</v>
      </c>
      <c r="C102" t="s">
        <v>26</v>
      </c>
      <c r="D102">
        <v>391</v>
      </c>
      <c r="E102">
        <v>19278370</v>
      </c>
      <c r="F102" t="s">
        <v>21</v>
      </c>
      <c r="G102">
        <v>51054475</v>
      </c>
      <c r="H102" s="1" t="str">
        <f t="shared" si="4"/>
        <v>510544752</v>
      </c>
      <c r="I102" t="s">
        <v>23</v>
      </c>
      <c r="J102" t="s">
        <v>30</v>
      </c>
      <c r="K102" s="3">
        <v>46023</v>
      </c>
      <c r="L102" t="s">
        <v>206</v>
      </c>
      <c r="M102" t="s">
        <v>208</v>
      </c>
    </row>
  </sheetData>
  <sortState xmlns:xlrd2="http://schemas.microsoft.com/office/spreadsheetml/2017/richdata2" ref="A15:P102">
    <sortCondition ref="J15:J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8C40-5145-4E06-A9AE-BA955CE1F11D}">
  <dimension ref="A1:K3"/>
  <sheetViews>
    <sheetView workbookViewId="0">
      <selection activeCell="G2" sqref="G2"/>
    </sheetView>
  </sheetViews>
  <sheetFormatPr defaultRowHeight="15" x14ac:dyDescent="0.25"/>
  <cols>
    <col min="1" max="1" width="9.85546875" bestFit="1" customWidth="1"/>
    <col min="2" max="2" width="7.42578125" bestFit="1" customWidth="1"/>
    <col min="3" max="3" width="15" bestFit="1" customWidth="1"/>
    <col min="4" max="4" width="8.140625" bestFit="1" customWidth="1"/>
    <col min="5" max="5" width="10.7109375" bestFit="1" customWidth="1"/>
    <col min="6" max="6" width="7" bestFit="1" customWidth="1"/>
    <col min="7" max="7" width="15.140625" bestFit="1" customWidth="1"/>
    <col min="8" max="8" width="4.42578125" bestFit="1" customWidth="1"/>
    <col min="9" max="9" width="9.5703125" bestFit="1" customWidth="1"/>
    <col min="10" max="10" width="17" bestFit="1" customWidth="1"/>
    <col min="11" max="11" width="13.5703125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 t="s">
        <v>18</v>
      </c>
      <c r="B2" t="s">
        <v>19</v>
      </c>
      <c r="C2" t="s">
        <v>32</v>
      </c>
      <c r="D2">
        <v>432</v>
      </c>
      <c r="E2">
        <v>16212649</v>
      </c>
      <c r="F2" t="s">
        <v>21</v>
      </c>
      <c r="G2">
        <v>51016337</v>
      </c>
      <c r="H2" t="s">
        <v>17</v>
      </c>
      <c r="I2" t="s">
        <v>23</v>
      </c>
      <c r="J2" t="s">
        <v>33</v>
      </c>
      <c r="K2" t="s">
        <v>34</v>
      </c>
    </row>
    <row r="3" spans="1:11" x14ac:dyDescent="0.25">
      <c r="A3" t="s">
        <v>18</v>
      </c>
      <c r="B3" t="s">
        <v>19</v>
      </c>
      <c r="C3" t="s">
        <v>32</v>
      </c>
      <c r="D3">
        <v>432</v>
      </c>
      <c r="E3">
        <v>16212649</v>
      </c>
      <c r="F3" t="s">
        <v>21</v>
      </c>
      <c r="G3">
        <v>51013917</v>
      </c>
      <c r="H3" t="s">
        <v>17</v>
      </c>
      <c r="I3" t="s">
        <v>23</v>
      </c>
      <c r="J3" t="s">
        <v>46</v>
      </c>
      <c r="K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On hold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2026-01-27T08:33:44Z</dcterms:created>
  <dcterms:modified xsi:type="dcterms:W3CDTF">2026-01-29T16:12:01Z</dcterms:modified>
  <cp:category/>
</cp:coreProperties>
</file>