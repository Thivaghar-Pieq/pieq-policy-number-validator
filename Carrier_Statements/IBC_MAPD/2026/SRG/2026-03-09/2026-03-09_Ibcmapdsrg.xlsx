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51A79E2-520C-4E75-AA85-A22887ED1FC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H10" i="2" l="1"/>
  <c r="H9" i="2"/>
  <c r="H8" i="2"/>
  <c r="H7" i="2"/>
  <c r="H6" i="2"/>
  <c r="H5" i="2"/>
  <c r="H4" i="2"/>
  <c r="H3" i="2"/>
  <c r="H18" i="2"/>
  <c r="H17" i="2"/>
  <c r="H16" i="2"/>
  <c r="H15" i="2"/>
  <c r="H14" i="2"/>
  <c r="H13" i="2"/>
  <c r="H12" i="2"/>
  <c r="H11" i="2"/>
  <c r="H2" i="2"/>
  <c r="Q12" i="2"/>
  <c r="Q11" i="2"/>
</calcChain>
</file>

<file path=xl/sharedStrings.xml><?xml version="1.0" encoding="utf-8"?>
<sst xmlns="http://schemas.openxmlformats.org/spreadsheetml/2006/main" count="394" uniqueCount="57">
  <si>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</si>
  <si>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</si>
  <si>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</si>
  <si>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</si>
  <si>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</si>
  <si>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</si>
  <si>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</si>
  <si>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</si>
  <si>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</si>
  <si>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</si>
  <si>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</si>
  <si>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</si>
  <si>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</si>
  <si>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</si>
  <si>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</si>
  <si>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</si>
  <si>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2026-03-09</t>
  </si>
  <si>
    <t/>
  </si>
  <si>
    <t>Commission Difference</t>
  </si>
  <si>
    <t>MLB</t>
  </si>
  <si>
    <t>Richter, Peter</t>
  </si>
  <si>
    <t>Ibc</t>
  </si>
  <si>
    <t>5GV7UU0UC65</t>
  </si>
  <si>
    <t>MAPD</t>
  </si>
  <si>
    <t>Fox, Christine</t>
  </si>
  <si>
    <t>2026-01-01</t>
  </si>
  <si>
    <t>2026-02-28</t>
  </si>
  <si>
    <t>Agency Marketing Fee</t>
  </si>
  <si>
    <t>Foley, Carol</t>
  </si>
  <si>
    <t>1RJ7UP9EC56</t>
  </si>
  <si>
    <t>Calfapietra, Theresa</t>
  </si>
  <si>
    <t>Hoffmann, Jason</t>
  </si>
  <si>
    <t>8V15A88HE63</t>
  </si>
  <si>
    <t>Kassouf, Mitchell</t>
  </si>
  <si>
    <t>8WF8H78RY42</t>
  </si>
  <si>
    <t>Lorenzon, John</t>
  </si>
  <si>
    <t>Kozacheck, Anne Marie</t>
  </si>
  <si>
    <t>8XV9JX4QE30</t>
  </si>
  <si>
    <t>Mercurio, Joseph</t>
  </si>
  <si>
    <t>8E13A17XU95</t>
  </si>
  <si>
    <t>Pitts, Darrell</t>
  </si>
  <si>
    <t>5H52D84UE97</t>
  </si>
  <si>
    <t>Woods, William</t>
  </si>
  <si>
    <t>Roccia, Mark</t>
  </si>
  <si>
    <t>8CT0MH2NQ05</t>
  </si>
  <si>
    <t>Feimster, Cynthia</t>
  </si>
  <si>
    <t>2026-02-01</t>
  </si>
  <si>
    <t>8A59RK2RD16</t>
  </si>
  <si>
    <t>James, Amy</t>
  </si>
  <si>
    <t>2026-03-01</t>
  </si>
  <si>
    <t>IBC MAPD OVR</t>
  </si>
  <si>
    <t>IBC MAPD 2026*</t>
  </si>
  <si>
    <t>[%/$=391][prorate=12/12]</t>
  </si>
  <si>
    <t>[%/$=391][prorate=10/12]</t>
  </si>
  <si>
    <t>[%/$=391][prorate=11/12]</t>
  </si>
  <si>
    <t>Main Line Benefits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</si>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</sst>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140625" bestFit="1" customWidth="1"/>
    <col min="12" max="12" width="9.5703125" bestFit="1" customWidth="1"/>
    <col min="13" max="13" width="19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-391</v>
      </c>
      <c r="H2">
        <v>16509456</v>
      </c>
      <c r="I2" t="s">
        <v>21</v>
      </c>
      <c r="J2">
        <v>50101374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28</v>
      </c>
      <c r="G3">
        <v>60</v>
      </c>
      <c r="H3">
        <v>17425766</v>
      </c>
      <c r="I3" t="s">
        <v>21</v>
      </c>
      <c r="J3">
        <v>50115791</v>
      </c>
      <c r="K3" t="s">
        <v>29</v>
      </c>
      <c r="L3" t="s">
        <v>23</v>
      </c>
      <c r="M3" t="s">
        <v>30</v>
      </c>
      <c r="N3" t="s">
        <v>25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27</v>
      </c>
      <c r="E4" t="s">
        <v>19</v>
      </c>
      <c r="F4" t="s">
        <v>31</v>
      </c>
      <c r="G4">
        <v>60</v>
      </c>
      <c r="H4">
        <v>15278437</v>
      </c>
      <c r="I4" t="s">
        <v>21</v>
      </c>
      <c r="J4">
        <v>50010000</v>
      </c>
      <c r="K4" t="s">
        <v>32</v>
      </c>
      <c r="L4" t="s">
        <v>23</v>
      </c>
      <c r="M4" t="s">
        <v>33</v>
      </c>
      <c r="N4" t="s">
        <v>25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20</v>
      </c>
      <c r="G5">
        <v>60</v>
      </c>
      <c r="H5">
        <v>16509456</v>
      </c>
      <c r="I5" t="s">
        <v>21</v>
      </c>
      <c r="J5">
        <v>50138837</v>
      </c>
      <c r="K5" t="s">
        <v>34</v>
      </c>
      <c r="L5" t="s">
        <v>23</v>
      </c>
      <c r="M5" t="s">
        <v>35</v>
      </c>
      <c r="N5" t="s">
        <v>25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27</v>
      </c>
      <c r="E6" t="s">
        <v>19</v>
      </c>
      <c r="F6" t="s">
        <v>36</v>
      </c>
      <c r="G6">
        <v>60</v>
      </c>
      <c r="H6">
        <v>19278370</v>
      </c>
      <c r="I6" t="s">
        <v>21</v>
      </c>
      <c r="J6">
        <v>51018576</v>
      </c>
      <c r="K6" t="s">
        <v>37</v>
      </c>
      <c r="L6" t="s">
        <v>23</v>
      </c>
      <c r="M6" t="s">
        <v>38</v>
      </c>
      <c r="N6" t="s">
        <v>25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27</v>
      </c>
      <c r="E7" t="s">
        <v>19</v>
      </c>
      <c r="F7" t="s">
        <v>28</v>
      </c>
      <c r="G7">
        <v>60</v>
      </c>
      <c r="H7">
        <v>17425766</v>
      </c>
      <c r="I7" t="s">
        <v>21</v>
      </c>
      <c r="J7">
        <v>50118608</v>
      </c>
      <c r="K7" t="s">
        <v>39</v>
      </c>
      <c r="L7" t="s">
        <v>23</v>
      </c>
      <c r="M7" t="s">
        <v>40</v>
      </c>
      <c r="N7" t="s">
        <v>25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27</v>
      </c>
      <c r="E8" t="s">
        <v>19</v>
      </c>
      <c r="F8" t="s">
        <v>31</v>
      </c>
      <c r="G8">
        <v>60</v>
      </c>
      <c r="H8">
        <v>15278437</v>
      </c>
      <c r="I8" t="s">
        <v>21</v>
      </c>
      <c r="J8">
        <v>50106276</v>
      </c>
      <c r="K8" t="s">
        <v>41</v>
      </c>
      <c r="L8" t="s">
        <v>23</v>
      </c>
      <c r="M8" t="s">
        <v>42</v>
      </c>
      <c r="N8" t="s">
        <v>25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27</v>
      </c>
      <c r="E9" t="s">
        <v>19</v>
      </c>
      <c r="F9" t="s">
        <v>43</v>
      </c>
      <c r="G9">
        <v>100</v>
      </c>
      <c r="H9">
        <v>21618313</v>
      </c>
      <c r="I9" t="s">
        <v>21</v>
      </c>
      <c r="J9">
        <v>51055915</v>
      </c>
      <c r="K9" t="s">
        <v>44</v>
      </c>
      <c r="L9" t="s">
        <v>23</v>
      </c>
      <c r="M9" t="s">
        <v>45</v>
      </c>
      <c r="N9" t="s">
        <v>46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27</v>
      </c>
      <c r="E10" t="s">
        <v>19</v>
      </c>
      <c r="F10" t="s">
        <v>43</v>
      </c>
      <c r="G10">
        <v>100</v>
      </c>
      <c r="H10">
        <v>21618313</v>
      </c>
      <c r="I10" t="s">
        <v>21</v>
      </c>
      <c r="J10">
        <v>51055971</v>
      </c>
      <c r="K10" t="s">
        <v>47</v>
      </c>
      <c r="L10" t="s">
        <v>23</v>
      </c>
      <c r="M10" t="s">
        <v>48</v>
      </c>
      <c r="N10" t="s">
        <v>49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18</v>
      </c>
      <c r="E11" t="s">
        <v>19</v>
      </c>
      <c r="F11" t="s">
        <v>43</v>
      </c>
      <c r="G11">
        <v>325.83</v>
      </c>
      <c r="H11">
        <v>21618313</v>
      </c>
      <c r="I11" t="s">
        <v>21</v>
      </c>
      <c r="J11">
        <v>51055971</v>
      </c>
      <c r="K11" t="s">
        <v>47</v>
      </c>
      <c r="L11" t="s">
        <v>23</v>
      </c>
      <c r="M11" t="s">
        <v>48</v>
      </c>
      <c r="N11" t="s">
        <v>49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18</v>
      </c>
      <c r="E12" t="s">
        <v>19</v>
      </c>
      <c r="F12" t="s">
        <v>43</v>
      </c>
      <c r="G12">
        <v>358.42</v>
      </c>
      <c r="H12">
        <v>21618313</v>
      </c>
      <c r="I12" t="s">
        <v>21</v>
      </c>
      <c r="J12">
        <v>51055915</v>
      </c>
      <c r="K12" t="s">
        <v>44</v>
      </c>
      <c r="L12" t="s">
        <v>23</v>
      </c>
      <c r="M12" t="s">
        <v>45</v>
      </c>
      <c r="N12" t="s">
        <v>46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18</v>
      </c>
      <c r="E13" t="s">
        <v>19</v>
      </c>
      <c r="F13" t="s">
        <v>28</v>
      </c>
      <c r="G13">
        <v>391</v>
      </c>
      <c r="H13">
        <v>17425766</v>
      </c>
      <c r="I13" t="s">
        <v>21</v>
      </c>
      <c r="J13">
        <v>50115791</v>
      </c>
      <c r="K13" t="s">
        <v>29</v>
      </c>
      <c r="L13" t="s">
        <v>23</v>
      </c>
      <c r="M13" t="s">
        <v>30</v>
      </c>
      <c r="N13" t="s">
        <v>25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18</v>
      </c>
      <c r="E14" t="s">
        <v>19</v>
      </c>
      <c r="F14" t="s">
        <v>31</v>
      </c>
      <c r="G14">
        <v>391</v>
      </c>
      <c r="H14">
        <v>15278437</v>
      </c>
      <c r="I14" t="s">
        <v>21</v>
      </c>
      <c r="J14">
        <v>50010000</v>
      </c>
      <c r="K14" t="s">
        <v>32</v>
      </c>
      <c r="L14" t="s">
        <v>23</v>
      </c>
      <c r="M14" t="s">
        <v>33</v>
      </c>
      <c r="N14" t="s">
        <v>25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391</v>
      </c>
      <c r="H15">
        <v>16509456</v>
      </c>
      <c r="I15" t="s">
        <v>21</v>
      </c>
      <c r="J15">
        <v>50138837</v>
      </c>
      <c r="K15" t="s">
        <v>34</v>
      </c>
      <c r="L15" t="s">
        <v>23</v>
      </c>
      <c r="M15" t="s">
        <v>35</v>
      </c>
      <c r="N15" t="s">
        <v>25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18</v>
      </c>
      <c r="E16" t="s">
        <v>19</v>
      </c>
      <c r="F16" t="s">
        <v>36</v>
      </c>
      <c r="G16">
        <v>391</v>
      </c>
      <c r="H16">
        <v>19278370</v>
      </c>
      <c r="I16" t="s">
        <v>21</v>
      </c>
      <c r="J16">
        <v>51018576</v>
      </c>
      <c r="K16" t="s">
        <v>37</v>
      </c>
      <c r="L16" t="s">
        <v>23</v>
      </c>
      <c r="M16" t="s">
        <v>38</v>
      </c>
      <c r="N16" t="s">
        <v>25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18</v>
      </c>
      <c r="E17" t="s">
        <v>19</v>
      </c>
      <c r="F17" t="s">
        <v>28</v>
      </c>
      <c r="G17">
        <v>391</v>
      </c>
      <c r="H17">
        <v>17425766</v>
      </c>
      <c r="I17" t="s">
        <v>21</v>
      </c>
      <c r="J17">
        <v>50118608</v>
      </c>
      <c r="K17" t="s">
        <v>39</v>
      </c>
      <c r="L17" t="s">
        <v>23</v>
      </c>
      <c r="M17" t="s">
        <v>40</v>
      </c>
      <c r="N17" t="s">
        <v>25</v>
      </c>
      <c r="O17" t="s">
        <v>17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18</v>
      </c>
      <c r="E18" t="s">
        <v>19</v>
      </c>
      <c r="F18" t="s">
        <v>31</v>
      </c>
      <c r="G18">
        <v>391</v>
      </c>
      <c r="H18">
        <v>15278437</v>
      </c>
      <c r="I18" t="s">
        <v>21</v>
      </c>
      <c r="J18">
        <v>50106276</v>
      </c>
      <c r="K18" t="s">
        <v>41</v>
      </c>
      <c r="L18" t="s">
        <v>23</v>
      </c>
      <c r="M18" t="s">
        <v>42</v>
      </c>
      <c r="N18" t="s">
        <v>25</v>
      </c>
      <c r="O18" t="s">
        <v>17</v>
      </c>
      <c r="P18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B2C0-AC01-4E93-80FC-DC08E632DD66}">
  <dimension ref="A1:Q18"/>
  <sheetViews>
    <sheetView tabSelected="1" workbookViewId="0">
      <selection activeCell="N2" sqref="N2:N18"/>
    </sheetView>
  </sheetViews>
  <sheetFormatPr defaultRowHeight="15" x14ac:dyDescent="0.25"/>
  <cols>
    <col min="1" max="1" width="22.140625" bestFit="1" customWidth="1"/>
    <col min="2" max="2" width="7.42578125" bestFit="1" customWidth="1"/>
    <col min="3" max="3" width="21.85546875" bestFit="1" customWidth="1"/>
    <col min="4" max="4" width="8.140625" bestFit="1" customWidth="1"/>
    <col min="5" max="5" width="11.85546875" bestFit="1" customWidth="1"/>
    <col min="6" max="6" width="7" bestFit="1" customWidth="1"/>
    <col min="7" max="7" width="15.140625" bestFit="1" customWidth="1"/>
    <col min="8" max="8" width="15.140625" customWidth="1"/>
    <col min="9" max="9" width="14.140625" bestFit="1" customWidth="1"/>
    <col min="10" max="10" width="9.5703125" bestFit="1" customWidth="1"/>
    <col min="11" max="11" width="19" bestFit="1" customWidth="1"/>
    <col min="12" max="12" width="13.5703125" bestFit="1" customWidth="1"/>
    <col min="13" max="13" width="15.28515625" bestFit="1" customWidth="1"/>
    <col min="14" max="14" width="6.28515625" bestFit="1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7" x14ac:dyDescent="0.25">
      <c r="A2" t="s">
        <v>18</v>
      </c>
      <c r="B2" t="s">
        <v>19</v>
      </c>
      <c r="C2" t="s">
        <v>20</v>
      </c>
      <c r="D2">
        <v>-391</v>
      </c>
      <c r="E2">
        <v>16509456</v>
      </c>
      <c r="F2" t="s">
        <v>21</v>
      </c>
      <c r="G2">
        <v>50101374</v>
      </c>
      <c r="H2" t="str">
        <f>CONCATENATE(G2,2)</f>
        <v>501013742</v>
      </c>
      <c r="I2" t="s">
        <v>22</v>
      </c>
      <c r="J2" t="s">
        <v>23</v>
      </c>
      <c r="K2" t="s">
        <v>24</v>
      </c>
      <c r="L2" s="2">
        <v>46023</v>
      </c>
      <c r="M2" t="s">
        <v>51</v>
      </c>
      <c r="N2" t="s">
        <v>52</v>
      </c>
    </row>
    <row r="3" spans="1:17" s="1" customFormat="1" x14ac:dyDescent="0.25">
      <c r="A3" s="1" t="s">
        <v>27</v>
      </c>
      <c r="B3" s="1" t="s">
        <v>19</v>
      </c>
      <c r="C3" s="1" t="s">
        <v>55</v>
      </c>
      <c r="D3" s="1">
        <v>60</v>
      </c>
      <c r="E3" s="1">
        <v>20411454</v>
      </c>
      <c r="F3" s="1" t="s">
        <v>21</v>
      </c>
      <c r="G3" s="1">
        <v>50115791</v>
      </c>
      <c r="H3" s="1" t="str">
        <f>CONCATENATE(G3,"OVR")</f>
        <v>50115791OVR</v>
      </c>
      <c r="I3" s="1" t="s">
        <v>29</v>
      </c>
      <c r="J3" s="1" t="s">
        <v>23</v>
      </c>
      <c r="K3" s="1" t="s">
        <v>30</v>
      </c>
      <c r="L3" s="3">
        <v>46023</v>
      </c>
      <c r="M3" s="1" t="s">
        <v>50</v>
      </c>
    </row>
    <row r="4" spans="1:17" s="1" customFormat="1" x14ac:dyDescent="0.25">
      <c r="A4" s="1" t="s">
        <v>27</v>
      </c>
      <c r="B4" s="1" t="s">
        <v>19</v>
      </c>
      <c r="C4" s="1" t="s">
        <v>55</v>
      </c>
      <c r="D4" s="1">
        <v>60</v>
      </c>
      <c r="E4" s="1">
        <v>20411454</v>
      </c>
      <c r="F4" s="1" t="s">
        <v>21</v>
      </c>
      <c r="G4" s="1">
        <v>50010000</v>
      </c>
      <c r="H4" s="1" t="str">
        <f t="shared" ref="H4:H10" si="0">CONCATENATE(G4,"OVR")</f>
        <v>50010000OVR</v>
      </c>
      <c r="I4" s="1" t="s">
        <v>32</v>
      </c>
      <c r="J4" s="1" t="s">
        <v>23</v>
      </c>
      <c r="K4" s="1" t="s">
        <v>33</v>
      </c>
      <c r="L4" s="3">
        <v>46023</v>
      </c>
      <c r="M4" s="1" t="s">
        <v>50</v>
      </c>
    </row>
    <row r="5" spans="1:17" s="1" customFormat="1" x14ac:dyDescent="0.25">
      <c r="A5" s="1" t="s">
        <v>27</v>
      </c>
      <c r="B5" s="1" t="s">
        <v>19</v>
      </c>
      <c r="C5" s="1" t="s">
        <v>55</v>
      </c>
      <c r="D5" s="1">
        <v>60</v>
      </c>
      <c r="E5" s="1">
        <v>20411454</v>
      </c>
      <c r="F5" s="1" t="s">
        <v>21</v>
      </c>
      <c r="G5" s="1">
        <v>50138837</v>
      </c>
      <c r="H5" s="1" t="str">
        <f t="shared" si="0"/>
        <v>50138837OVR</v>
      </c>
      <c r="I5" s="1" t="s">
        <v>34</v>
      </c>
      <c r="J5" s="1" t="s">
        <v>23</v>
      </c>
      <c r="K5" s="1" t="s">
        <v>35</v>
      </c>
      <c r="L5" s="3">
        <v>46023</v>
      </c>
      <c r="M5" s="1" t="s">
        <v>50</v>
      </c>
    </row>
    <row r="6" spans="1:17" s="1" customFormat="1" x14ac:dyDescent="0.25">
      <c r="A6" s="1" t="s">
        <v>27</v>
      </c>
      <c r="B6" s="1" t="s">
        <v>19</v>
      </c>
      <c r="C6" s="1" t="s">
        <v>55</v>
      </c>
      <c r="D6" s="1">
        <v>60</v>
      </c>
      <c r="E6" s="1">
        <v>20411454</v>
      </c>
      <c r="F6" s="1" t="s">
        <v>21</v>
      </c>
      <c r="G6" s="1">
        <v>51018576</v>
      </c>
      <c r="H6" s="1" t="str">
        <f t="shared" si="0"/>
        <v>51018576OVR</v>
      </c>
      <c r="I6" s="1" t="s">
        <v>37</v>
      </c>
      <c r="J6" s="1" t="s">
        <v>23</v>
      </c>
      <c r="K6" s="1" t="s">
        <v>38</v>
      </c>
      <c r="L6" s="3">
        <v>46023</v>
      </c>
      <c r="M6" s="1" t="s">
        <v>50</v>
      </c>
    </row>
    <row r="7" spans="1:17" s="1" customFormat="1" x14ac:dyDescent="0.25">
      <c r="A7" s="1" t="s">
        <v>27</v>
      </c>
      <c r="B7" s="1" t="s">
        <v>19</v>
      </c>
      <c r="C7" s="1" t="s">
        <v>55</v>
      </c>
      <c r="D7" s="1">
        <v>60</v>
      </c>
      <c r="E7" s="1">
        <v>20411454</v>
      </c>
      <c r="F7" s="1" t="s">
        <v>21</v>
      </c>
      <c r="G7" s="1">
        <v>50118608</v>
      </c>
      <c r="H7" s="1" t="str">
        <f t="shared" si="0"/>
        <v>50118608OVR</v>
      </c>
      <c r="I7" s="1" t="s">
        <v>39</v>
      </c>
      <c r="J7" s="1" t="s">
        <v>23</v>
      </c>
      <c r="K7" s="1" t="s">
        <v>40</v>
      </c>
      <c r="L7" s="3">
        <v>46023</v>
      </c>
      <c r="M7" s="1" t="s">
        <v>50</v>
      </c>
    </row>
    <row r="8" spans="1:17" s="1" customFormat="1" x14ac:dyDescent="0.25">
      <c r="A8" s="1" t="s">
        <v>27</v>
      </c>
      <c r="B8" s="1" t="s">
        <v>19</v>
      </c>
      <c r="C8" s="1" t="s">
        <v>55</v>
      </c>
      <c r="D8" s="1">
        <v>60</v>
      </c>
      <c r="E8" s="1">
        <v>20411454</v>
      </c>
      <c r="F8" s="1" t="s">
        <v>21</v>
      </c>
      <c r="G8" s="1">
        <v>50106276</v>
      </c>
      <c r="H8" s="1" t="str">
        <f t="shared" si="0"/>
        <v>50106276OVR</v>
      </c>
      <c r="I8" s="1" t="s">
        <v>41</v>
      </c>
      <c r="J8" s="1" t="s">
        <v>23</v>
      </c>
      <c r="K8" s="1" t="s">
        <v>42</v>
      </c>
      <c r="L8" s="3">
        <v>46023</v>
      </c>
      <c r="M8" s="1" t="s">
        <v>50</v>
      </c>
    </row>
    <row r="9" spans="1:17" s="1" customFormat="1" x14ac:dyDescent="0.25">
      <c r="A9" s="1" t="s">
        <v>27</v>
      </c>
      <c r="B9" s="1" t="s">
        <v>19</v>
      </c>
      <c r="C9" s="1" t="s">
        <v>55</v>
      </c>
      <c r="D9" s="1">
        <v>100</v>
      </c>
      <c r="E9" s="1">
        <v>20411454</v>
      </c>
      <c r="F9" s="1" t="s">
        <v>21</v>
      </c>
      <c r="G9" s="1">
        <v>51055915</v>
      </c>
      <c r="H9" s="1" t="str">
        <f t="shared" si="0"/>
        <v>51055915OVR</v>
      </c>
      <c r="I9" s="1" t="s">
        <v>44</v>
      </c>
      <c r="J9" s="1" t="s">
        <v>23</v>
      </c>
      <c r="K9" s="1" t="s">
        <v>45</v>
      </c>
      <c r="L9" s="3">
        <v>46054</v>
      </c>
      <c r="M9" s="1" t="s">
        <v>50</v>
      </c>
    </row>
    <row r="10" spans="1:17" s="1" customFormat="1" x14ac:dyDescent="0.25">
      <c r="A10" s="1" t="s">
        <v>27</v>
      </c>
      <c r="B10" s="1" t="s">
        <v>19</v>
      </c>
      <c r="C10" s="1" t="s">
        <v>55</v>
      </c>
      <c r="D10" s="1">
        <v>100</v>
      </c>
      <c r="E10" s="1">
        <v>20411454</v>
      </c>
      <c r="F10" s="1" t="s">
        <v>21</v>
      </c>
      <c r="G10" s="1">
        <v>51055971</v>
      </c>
      <c r="H10" s="1" t="str">
        <f t="shared" si="0"/>
        <v>51055971OVR</v>
      </c>
      <c r="I10" s="1" t="s">
        <v>47</v>
      </c>
      <c r="J10" s="1" t="s">
        <v>23</v>
      </c>
      <c r="K10" s="1" t="s">
        <v>48</v>
      </c>
      <c r="L10" s="3">
        <v>46082</v>
      </c>
      <c r="M10" s="1" t="s">
        <v>50</v>
      </c>
    </row>
    <row r="11" spans="1:17" x14ac:dyDescent="0.25">
      <c r="A11" t="s">
        <v>18</v>
      </c>
      <c r="B11" t="s">
        <v>19</v>
      </c>
      <c r="C11" t="s">
        <v>43</v>
      </c>
      <c r="D11">
        <v>325.83</v>
      </c>
      <c r="E11">
        <v>21618313</v>
      </c>
      <c r="F11" t="s">
        <v>21</v>
      </c>
      <c r="G11">
        <v>51055971</v>
      </c>
      <c r="H11" t="str">
        <f t="shared" ref="H11:H18" si="1">CONCATENATE(G11,2)</f>
        <v>510559712</v>
      </c>
      <c r="I11" t="s">
        <v>47</v>
      </c>
      <c r="J11" t="s">
        <v>23</v>
      </c>
      <c r="K11" t="s">
        <v>48</v>
      </c>
      <c r="L11" s="2">
        <v>46082</v>
      </c>
      <c r="M11" t="s">
        <v>51</v>
      </c>
      <c r="N11" t="s">
        <v>53</v>
      </c>
      <c r="Q11">
        <f>391/12*10</f>
        <v>325.83333333333337</v>
      </c>
    </row>
    <row r="12" spans="1:17" x14ac:dyDescent="0.25">
      <c r="A12" t="s">
        <v>18</v>
      </c>
      <c r="B12" t="s">
        <v>19</v>
      </c>
      <c r="C12" t="s">
        <v>43</v>
      </c>
      <c r="D12">
        <v>358.42</v>
      </c>
      <c r="E12">
        <v>21618313</v>
      </c>
      <c r="F12" t="s">
        <v>21</v>
      </c>
      <c r="G12">
        <v>51055915</v>
      </c>
      <c r="H12" t="str">
        <f t="shared" si="1"/>
        <v>510559152</v>
      </c>
      <c r="I12" t="s">
        <v>44</v>
      </c>
      <c r="J12" t="s">
        <v>23</v>
      </c>
      <c r="K12" t="s">
        <v>45</v>
      </c>
      <c r="L12" s="2">
        <v>46054</v>
      </c>
      <c r="M12" t="s">
        <v>51</v>
      </c>
      <c r="N12" t="s">
        <v>54</v>
      </c>
      <c r="Q12">
        <f>391/12*11</f>
        <v>358.41666666666669</v>
      </c>
    </row>
    <row r="13" spans="1:17" x14ac:dyDescent="0.25">
      <c r="A13" t="s">
        <v>18</v>
      </c>
      <c r="B13" t="s">
        <v>19</v>
      </c>
      <c r="C13" t="s">
        <v>28</v>
      </c>
      <c r="D13">
        <v>391</v>
      </c>
      <c r="E13">
        <v>17425766</v>
      </c>
      <c r="F13" t="s">
        <v>21</v>
      </c>
      <c r="G13">
        <v>50115791</v>
      </c>
      <c r="H13" t="str">
        <f t="shared" si="1"/>
        <v>501157912</v>
      </c>
      <c r="I13" t="s">
        <v>29</v>
      </c>
      <c r="J13" t="s">
        <v>23</v>
      </c>
      <c r="K13" t="s">
        <v>30</v>
      </c>
      <c r="L13" s="2">
        <v>46023</v>
      </c>
      <c r="M13" t="s">
        <v>51</v>
      </c>
      <c r="N13" t="s">
        <v>52</v>
      </c>
    </row>
    <row r="14" spans="1:17" x14ac:dyDescent="0.25">
      <c r="A14" t="s">
        <v>18</v>
      </c>
      <c r="B14" t="s">
        <v>19</v>
      </c>
      <c r="C14" t="s">
        <v>31</v>
      </c>
      <c r="D14">
        <v>391</v>
      </c>
      <c r="E14">
        <v>15278437</v>
      </c>
      <c r="F14" t="s">
        <v>21</v>
      </c>
      <c r="G14">
        <v>50010000</v>
      </c>
      <c r="H14" t="str">
        <f t="shared" si="1"/>
        <v>500100002</v>
      </c>
      <c r="I14" t="s">
        <v>32</v>
      </c>
      <c r="J14" t="s">
        <v>23</v>
      </c>
      <c r="K14" t="s">
        <v>33</v>
      </c>
      <c r="L14" s="2">
        <v>46023</v>
      </c>
      <c r="M14" t="s">
        <v>51</v>
      </c>
      <c r="N14" t="s">
        <v>52</v>
      </c>
    </row>
    <row r="15" spans="1:17" x14ac:dyDescent="0.25">
      <c r="A15" t="s">
        <v>18</v>
      </c>
      <c r="B15" t="s">
        <v>19</v>
      </c>
      <c r="C15" t="s">
        <v>20</v>
      </c>
      <c r="D15">
        <v>391</v>
      </c>
      <c r="E15">
        <v>16509456</v>
      </c>
      <c r="F15" t="s">
        <v>21</v>
      </c>
      <c r="G15">
        <v>50138837</v>
      </c>
      <c r="H15" t="str">
        <f t="shared" si="1"/>
        <v>501388372</v>
      </c>
      <c r="I15" t="s">
        <v>34</v>
      </c>
      <c r="J15" t="s">
        <v>23</v>
      </c>
      <c r="K15" t="s">
        <v>35</v>
      </c>
      <c r="L15" s="2">
        <v>46023</v>
      </c>
      <c r="M15" t="s">
        <v>51</v>
      </c>
      <c r="N15" t="s">
        <v>52</v>
      </c>
    </row>
    <row r="16" spans="1:17" x14ac:dyDescent="0.25">
      <c r="A16" t="s">
        <v>18</v>
      </c>
      <c r="B16" t="s">
        <v>19</v>
      </c>
      <c r="C16" t="s">
        <v>36</v>
      </c>
      <c r="D16">
        <v>391</v>
      </c>
      <c r="E16" t="s">
        <v>56</v>
      </c>
      <c r="F16" t="s">
        <v>21</v>
      </c>
      <c r="G16">
        <v>51018576</v>
      </c>
      <c r="H16" t="str">
        <f t="shared" si="1"/>
        <v>510185762</v>
      </c>
      <c r="I16" t="s">
        <v>37</v>
      </c>
      <c r="J16" t="s">
        <v>23</v>
      </c>
      <c r="K16" t="s">
        <v>38</v>
      </c>
      <c r="L16" s="2">
        <v>46023</v>
      </c>
      <c r="M16" t="s">
        <v>51</v>
      </c>
      <c r="N16" t="s">
        <v>52</v>
      </c>
    </row>
    <row r="17" spans="1:14" x14ac:dyDescent="0.25">
      <c r="A17" t="s">
        <v>18</v>
      </c>
      <c r="B17" t="s">
        <v>19</v>
      </c>
      <c r="C17" t="s">
        <v>28</v>
      </c>
      <c r="D17">
        <v>391</v>
      </c>
      <c r="E17">
        <v>17425766</v>
      </c>
      <c r="F17" t="s">
        <v>21</v>
      </c>
      <c r="G17">
        <v>50118608</v>
      </c>
      <c r="H17" t="str">
        <f t="shared" si="1"/>
        <v>501186082</v>
      </c>
      <c r="I17" t="s">
        <v>39</v>
      </c>
      <c r="J17" t="s">
        <v>23</v>
      </c>
      <c r="K17" t="s">
        <v>40</v>
      </c>
      <c r="L17" s="2">
        <v>46023</v>
      </c>
      <c r="M17" t="s">
        <v>51</v>
      </c>
      <c r="N17" t="s">
        <v>52</v>
      </c>
    </row>
    <row r="18" spans="1:14" x14ac:dyDescent="0.25">
      <c r="A18" t="s">
        <v>18</v>
      </c>
      <c r="B18" t="s">
        <v>19</v>
      </c>
      <c r="C18" t="s">
        <v>31</v>
      </c>
      <c r="D18">
        <v>391</v>
      </c>
      <c r="E18">
        <v>15278437</v>
      </c>
      <c r="F18" t="s">
        <v>21</v>
      </c>
      <c r="G18">
        <v>50106276</v>
      </c>
      <c r="H18" t="str">
        <f t="shared" si="1"/>
        <v>501062762</v>
      </c>
      <c r="I18" t="s">
        <v>41</v>
      </c>
      <c r="J18" t="s">
        <v>23</v>
      </c>
      <c r="K18" t="s">
        <v>42</v>
      </c>
      <c r="L18" s="2">
        <v>46023</v>
      </c>
      <c r="M18" t="s">
        <v>51</v>
      </c>
      <c r="N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2026-03-13T07:58:54Z</dcterms:created>
  <dcterms:modified xsi:type="dcterms:W3CDTF">2026-03-16T18:12:50Z</dcterms:modified>
  <cp:category/>
</cp:coreProperties>
</file>