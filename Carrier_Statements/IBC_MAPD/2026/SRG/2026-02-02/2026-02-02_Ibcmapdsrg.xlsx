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82F8190-4DD0-496B-85C9-4DC0ACB79A9D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40" i="2" l="1"/>
  <c r="K39" i="2"/>
  <c r="K38" i="2"/>
  <c r="K37" i="2"/>
  <c r="K32" i="2"/>
  <c r="K43" i="2"/>
  <c r="K25" i="2"/>
  <c r="K18" i="2"/>
  <c r="K31" i="2"/>
  <c r="K14" i="2"/>
  <c r="K24" i="2"/>
  <c r="K30" i="2"/>
  <c r="K23" i="2"/>
  <c r="K29" i="2"/>
  <c r="K36" i="2"/>
  <c r="K13" i="2"/>
  <c r="K42" i="2"/>
  <c r="K12" i="2"/>
  <c r="K28" i="2"/>
  <c r="K22" i="2"/>
  <c r="K21" i="2"/>
  <c r="K27" i="2"/>
  <c r="K35" i="2"/>
  <c r="K17" i="2"/>
  <c r="K41" i="2"/>
  <c r="K26" i="2"/>
  <c r="K16" i="2"/>
  <c r="K11" i="2"/>
  <c r="K20" i="2"/>
  <c r="K15" i="2"/>
  <c r="K34" i="2"/>
  <c r="K19" i="2"/>
  <c r="K33" i="2"/>
  <c r="K10" i="2"/>
  <c r="K9" i="2"/>
  <c r="K8" i="2"/>
  <c r="K7" i="2"/>
  <c r="K4" i="2"/>
  <c r="K2" i="2"/>
  <c r="K6" i="2"/>
  <c r="K3" i="2"/>
  <c r="K5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</calcChain>
</file>

<file path=xl/sharedStrings.xml><?xml version="1.0" encoding="utf-8"?>
<sst xmlns="http://schemas.openxmlformats.org/spreadsheetml/2006/main" count="1568" uniqueCount="107">
  <si>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</si>
  <si>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</si>
  <si>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</si>
  <si>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</si>
  <si>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</si>
  <si>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</si>
  <si>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</si>
  <si>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</si>
  <si>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</si>
  <si>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</si>
  <si>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</si>
  <si>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</si>
  <si>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</si>
  <si>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</si>
  <si>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</si>
  <si>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</si>
  <si>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2026-02-02</t>
  </si>
  <si>
    <t/>
  </si>
  <si>
    <t>Agency Marketing Fee</t>
  </si>
  <si>
    <t>MLB</t>
  </si>
  <si>
    <t>Foley, Carol</t>
  </si>
  <si>
    <t>Ibc</t>
  </si>
  <si>
    <t>7QK5KP7QK74</t>
  </si>
  <si>
    <t>MAPD</t>
  </si>
  <si>
    <t>Adami, Patricia</t>
  </si>
  <si>
    <t>2026-01-01</t>
  </si>
  <si>
    <t>Hoffmann, Jason</t>
  </si>
  <si>
    <t>2XF7CM9XU48</t>
  </si>
  <si>
    <t>Czajka, Karen</t>
  </si>
  <si>
    <t>Richter, Peter</t>
  </si>
  <si>
    <t>9D26UT3MG85</t>
  </si>
  <si>
    <t>Davidson, Daniel</t>
  </si>
  <si>
    <t>Sterner, Murray</t>
  </si>
  <si>
    <t>3WT4GW2UC83</t>
  </si>
  <si>
    <t>Dittus, Dana</t>
  </si>
  <si>
    <t>7U15AF7UP71</t>
  </si>
  <si>
    <t>Engle, Robert</t>
  </si>
  <si>
    <t>Roccia, Mark</t>
  </si>
  <si>
    <t>6W61K81QJ01</t>
  </si>
  <si>
    <t>Faust, Kerri</t>
  </si>
  <si>
    <t>8HJ9YD0HR48</t>
  </si>
  <si>
    <t>Fiori, Robert</t>
  </si>
  <si>
    <t>Kozacheck, Anne Marie</t>
  </si>
  <si>
    <t>8EH0RE8GJ12</t>
  </si>
  <si>
    <t>Fowler, Roseann</t>
  </si>
  <si>
    <t>6H66T12MW62</t>
  </si>
  <si>
    <t>Fuller, Michael</t>
  </si>
  <si>
    <t>2F26JV4TE83</t>
  </si>
  <si>
    <t>Grogan, Catherine</t>
  </si>
  <si>
    <t>1RQ5HU0VX99</t>
  </si>
  <si>
    <t>Hayes, Patricia</t>
  </si>
  <si>
    <t>Kidd, Marva</t>
  </si>
  <si>
    <t>1CM8C11WE61</t>
  </si>
  <si>
    <t>Kosinski, Nancy</t>
  </si>
  <si>
    <t>4U55PU3XP84</t>
  </si>
  <si>
    <t>Lin, Ishen</t>
  </si>
  <si>
    <t>3UT1PW3YQ25</t>
  </si>
  <si>
    <t>Maynard, Norman</t>
  </si>
  <si>
    <t>9R07HF3GM68</t>
  </si>
  <si>
    <t>Mcfadden, Regina</t>
  </si>
  <si>
    <t>1NW2QE9JM95</t>
  </si>
  <si>
    <t>Meehan, Kelly</t>
  </si>
  <si>
    <t>1HX5T75TA67</t>
  </si>
  <si>
    <t>Miller Jr, Edward</t>
  </si>
  <si>
    <t>Mooney, Celia</t>
  </si>
  <si>
    <t>1RW4VC8XV01</t>
  </si>
  <si>
    <t>Pearson Davidson, Debra</t>
  </si>
  <si>
    <t>3JP8X91DW56</t>
  </si>
  <si>
    <t>Peifer, George</t>
  </si>
  <si>
    <t>9EX2C68TV12</t>
  </si>
  <si>
    <t>Shuler, Patricia</t>
  </si>
  <si>
    <t>4VV2ME9TJ21</t>
  </si>
  <si>
    <t>Sprenker, John</t>
  </si>
  <si>
    <t>9V62PD5JY04</t>
  </si>
  <si>
    <t>Stuart, Michael</t>
  </si>
  <si>
    <t>8H75H56GC77</t>
  </si>
  <si>
    <t>Weissgerber, Sandra</t>
  </si>
  <si>
    <t>1XN2MY2RG84</t>
  </si>
  <si>
    <t>Hemmer, Mary</t>
  </si>
  <si>
    <t>Agent Pay</t>
  </si>
  <si>
    <t>8EX5GW4TU82</t>
  </si>
  <si>
    <t>Antrim, Mary</t>
  </si>
  <si>
    <t>2Q28NC7DD63</t>
  </si>
  <si>
    <t>Brander, Christopher</t>
  </si>
  <si>
    <t>1HY0F20QH34</t>
  </si>
  <si>
    <t>Dulin, Dona</t>
  </si>
  <si>
    <t>6XP7JE0DQ42</t>
  </si>
  <si>
    <t>Feulner, Phyllis</t>
  </si>
  <si>
    <t>3QM2YG2JN88</t>
  </si>
  <si>
    <t>Xing, Yinong</t>
  </si>
  <si>
    <t>2QQ5EV3RG75</t>
  </si>
  <si>
    <t>Fili Jr, William</t>
  </si>
  <si>
    <t>2026-02-01</t>
  </si>
  <si>
    <t>1HD4KQ6TU76</t>
  </si>
  <si>
    <t>Phillips, Shannon</t>
  </si>
  <si>
    <t>7X38N06NY51</t>
  </si>
  <si>
    <t>Laker, Victoria</t>
  </si>
  <si>
    <t>2026-03-01</t>
  </si>
  <si>
    <t>Main Line Benefits</t>
  </si>
  <si>
    <t>IBC MAPD 2026*</t>
  </si>
  <si>
    <t>IBC 2026 CT, PA, DC</t>
  </si>
  <si>
    <t>[%/$=391][prorate=12/12]</t>
  </si>
  <si>
    <t>[%/$=781]</t>
  </si>
  <si>
    <t>[%/$=391][prorate=11/12]</t>
  </si>
  <si>
    <t>[%/$=391][prorate=10/12]</t>
  </si>
  <si>
    <t>IBC MAPD OVR</t>
  </si>
  <si>
    <t>19278370old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</si>
</sst>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1" fillId="3" borderId="0" xfId="0" applyFont="1" applyFill="1"/>
    <xf numFmtId="14" fontId="1" fillId="3" borderId="0" xfId="0" applyNumberFormat="1" applyFont="1" applyFill="1"/>
    <xf numFmtId="0" fontId="0" fillId="0" borderId="0" xfId="0" applyFill="1"/>
    <xf numFmtId="14" fontId="0" fillId="0" borderId="0" xfId="0" applyNumberFormat="1" applyFill="1"/>
    <xf numFmtId="0" fontId="1" fillId="0" borderId="0" xfId="0" applyFont="1" applyFill="1"/>
    <xf numFmtId="0" fontId="2" fillId="0" borderId="0" xfId="0" applyFont="1" applyFill="1"/>
    <xf numFmtId="14" fontId="2" fillId="0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workbookViewId="0">
      <selection activeCell="G1" sqref="G1:G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60</v>
      </c>
      <c r="H2">
        <v>17425766</v>
      </c>
      <c r="I2" t="s">
        <v>21</v>
      </c>
      <c r="J2">
        <v>50019511</v>
      </c>
      <c r="K2" t="s">
        <v>22</v>
      </c>
      <c r="L2" t="s">
        <v>23</v>
      </c>
      <c r="M2" t="s">
        <v>24</v>
      </c>
      <c r="N2" t="s">
        <v>25</v>
      </c>
      <c r="O2" t="s">
        <v>17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>
        <v>60</v>
      </c>
      <c r="H3">
        <v>15278437</v>
      </c>
      <c r="I3" t="s">
        <v>21</v>
      </c>
      <c r="J3">
        <v>51044314</v>
      </c>
      <c r="K3" t="s">
        <v>27</v>
      </c>
      <c r="L3" t="s">
        <v>23</v>
      </c>
      <c r="M3" t="s">
        <v>28</v>
      </c>
      <c r="N3" t="s">
        <v>25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29</v>
      </c>
      <c r="G4">
        <v>60</v>
      </c>
      <c r="H4">
        <v>16509456</v>
      </c>
      <c r="I4" t="s">
        <v>21</v>
      </c>
      <c r="J4">
        <v>51020482</v>
      </c>
      <c r="K4" t="s">
        <v>30</v>
      </c>
      <c r="L4" t="s">
        <v>23</v>
      </c>
      <c r="M4" t="s">
        <v>31</v>
      </c>
      <c r="N4" t="s">
        <v>25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18</v>
      </c>
      <c r="E5" t="s">
        <v>19</v>
      </c>
      <c r="F5" t="s">
        <v>32</v>
      </c>
      <c r="G5">
        <v>60</v>
      </c>
      <c r="H5">
        <v>16212649</v>
      </c>
      <c r="I5" t="s">
        <v>21</v>
      </c>
      <c r="J5">
        <v>50135671</v>
      </c>
      <c r="K5" t="s">
        <v>33</v>
      </c>
      <c r="L5" t="s">
        <v>23</v>
      </c>
      <c r="M5" t="s">
        <v>34</v>
      </c>
      <c r="N5" t="s">
        <v>25</v>
      </c>
      <c r="O5" t="s">
        <v>17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18</v>
      </c>
      <c r="E6" t="s">
        <v>19</v>
      </c>
      <c r="F6" t="s">
        <v>26</v>
      </c>
      <c r="G6">
        <v>60</v>
      </c>
      <c r="H6">
        <v>15278437</v>
      </c>
      <c r="I6" t="s">
        <v>21</v>
      </c>
      <c r="J6">
        <v>51046503</v>
      </c>
      <c r="K6" t="s">
        <v>35</v>
      </c>
      <c r="L6" t="s">
        <v>23</v>
      </c>
      <c r="M6" t="s">
        <v>36</v>
      </c>
      <c r="N6" t="s">
        <v>25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18</v>
      </c>
      <c r="E7" t="s">
        <v>19</v>
      </c>
      <c r="F7" t="s">
        <v>37</v>
      </c>
      <c r="G7">
        <v>60</v>
      </c>
      <c r="H7">
        <v>21618313</v>
      </c>
      <c r="I7" t="s">
        <v>21</v>
      </c>
      <c r="J7">
        <v>50115625</v>
      </c>
      <c r="K7" t="s">
        <v>38</v>
      </c>
      <c r="L7" t="s">
        <v>23</v>
      </c>
      <c r="M7" t="s">
        <v>39</v>
      </c>
      <c r="N7" t="s">
        <v>25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>
        <v>60</v>
      </c>
      <c r="H8">
        <v>16509456</v>
      </c>
      <c r="I8" t="s">
        <v>21</v>
      </c>
      <c r="J8">
        <v>50117902</v>
      </c>
      <c r="K8" t="s">
        <v>40</v>
      </c>
      <c r="L8" t="s">
        <v>23</v>
      </c>
      <c r="M8" t="s">
        <v>41</v>
      </c>
      <c r="N8" t="s">
        <v>25</v>
      </c>
      <c r="O8" t="s">
        <v>17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18</v>
      </c>
      <c r="E9" t="s">
        <v>19</v>
      </c>
      <c r="F9" t="s">
        <v>42</v>
      </c>
      <c r="G9">
        <v>60</v>
      </c>
      <c r="H9">
        <v>19278370</v>
      </c>
      <c r="I9" t="s">
        <v>21</v>
      </c>
      <c r="J9">
        <v>51045632</v>
      </c>
      <c r="K9" t="s">
        <v>43</v>
      </c>
      <c r="L9" t="s">
        <v>23</v>
      </c>
      <c r="M9" t="s">
        <v>44</v>
      </c>
      <c r="N9" t="s">
        <v>25</v>
      </c>
      <c r="O9" t="s">
        <v>17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18</v>
      </c>
      <c r="E10" t="s">
        <v>19</v>
      </c>
      <c r="F10" t="s">
        <v>42</v>
      </c>
      <c r="G10">
        <v>60</v>
      </c>
      <c r="H10">
        <v>19278370</v>
      </c>
      <c r="I10" t="s">
        <v>21</v>
      </c>
      <c r="J10">
        <v>51038860</v>
      </c>
      <c r="K10" t="s">
        <v>45</v>
      </c>
      <c r="L10" t="s">
        <v>23</v>
      </c>
      <c r="M10" t="s">
        <v>46</v>
      </c>
      <c r="N10" t="s">
        <v>25</v>
      </c>
      <c r="O10" t="s">
        <v>17</v>
      </c>
      <c r="P10" t="s">
        <v>17</v>
      </c>
    </row>
    <row r="11" spans="1:16" x14ac:dyDescent="0.25">
      <c r="A11" t="s">
        <v>16</v>
      </c>
      <c r="B11" t="s">
        <v>16</v>
      </c>
      <c r="C11" t="s">
        <v>17</v>
      </c>
      <c r="D11" t="s">
        <v>18</v>
      </c>
      <c r="E11" t="s">
        <v>19</v>
      </c>
      <c r="F11" t="s">
        <v>29</v>
      </c>
      <c r="G11">
        <v>60</v>
      </c>
      <c r="H11">
        <v>16509456</v>
      </c>
      <c r="I11" t="s">
        <v>21</v>
      </c>
      <c r="J11">
        <v>51044864</v>
      </c>
      <c r="K11" t="s">
        <v>47</v>
      </c>
      <c r="L11" t="s">
        <v>23</v>
      </c>
      <c r="M11" t="s">
        <v>48</v>
      </c>
      <c r="N11" t="s">
        <v>25</v>
      </c>
      <c r="O11" t="s">
        <v>17</v>
      </c>
      <c r="P11" t="s">
        <v>17</v>
      </c>
    </row>
    <row r="12" spans="1:16" x14ac:dyDescent="0.25">
      <c r="A12" t="s">
        <v>16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60</v>
      </c>
      <c r="H12">
        <v>17425766</v>
      </c>
      <c r="I12" t="s">
        <v>21</v>
      </c>
      <c r="J12">
        <v>50109997</v>
      </c>
      <c r="K12" t="s">
        <v>49</v>
      </c>
      <c r="L12" t="s">
        <v>23</v>
      </c>
      <c r="M12" t="s">
        <v>50</v>
      </c>
      <c r="N12" t="s">
        <v>25</v>
      </c>
      <c r="O12" t="s">
        <v>17</v>
      </c>
      <c r="P12" t="s">
        <v>17</v>
      </c>
    </row>
    <row r="13" spans="1:16" x14ac:dyDescent="0.25">
      <c r="A13" t="s">
        <v>16</v>
      </c>
      <c r="B13" t="s">
        <v>16</v>
      </c>
      <c r="C13" t="s">
        <v>17</v>
      </c>
      <c r="D13" t="s">
        <v>18</v>
      </c>
      <c r="E13" t="s">
        <v>19</v>
      </c>
      <c r="F13" t="s">
        <v>32</v>
      </c>
      <c r="G13">
        <v>60</v>
      </c>
      <c r="H13">
        <v>16212649</v>
      </c>
      <c r="I13" t="s">
        <v>21</v>
      </c>
      <c r="J13">
        <v>50141164</v>
      </c>
      <c r="K13" t="s">
        <v>17</v>
      </c>
      <c r="L13" t="s">
        <v>23</v>
      </c>
      <c r="M13" t="s">
        <v>51</v>
      </c>
      <c r="N13" t="s">
        <v>25</v>
      </c>
      <c r="O13" t="s">
        <v>17</v>
      </c>
      <c r="P13" t="s">
        <v>17</v>
      </c>
    </row>
    <row r="14" spans="1:16" x14ac:dyDescent="0.25">
      <c r="A14" t="s">
        <v>16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60</v>
      </c>
      <c r="H14">
        <v>17425766</v>
      </c>
      <c r="I14" t="s">
        <v>21</v>
      </c>
      <c r="J14">
        <v>51040362</v>
      </c>
      <c r="K14" t="s">
        <v>52</v>
      </c>
      <c r="L14" t="s">
        <v>23</v>
      </c>
      <c r="M14" t="s">
        <v>53</v>
      </c>
      <c r="N14" t="s">
        <v>25</v>
      </c>
      <c r="O14" t="s">
        <v>17</v>
      </c>
      <c r="P14" t="s">
        <v>17</v>
      </c>
    </row>
    <row r="15" spans="1:16" x14ac:dyDescent="0.25">
      <c r="A15" t="s">
        <v>16</v>
      </c>
      <c r="B15" t="s">
        <v>16</v>
      </c>
      <c r="C15" t="s">
        <v>17</v>
      </c>
      <c r="D15" t="s">
        <v>18</v>
      </c>
      <c r="E15" t="s">
        <v>19</v>
      </c>
      <c r="F15" t="s">
        <v>37</v>
      </c>
      <c r="G15">
        <v>60</v>
      </c>
      <c r="H15">
        <v>21618313</v>
      </c>
      <c r="I15" t="s">
        <v>21</v>
      </c>
      <c r="J15">
        <v>51045900</v>
      </c>
      <c r="K15" t="s">
        <v>54</v>
      </c>
      <c r="L15" t="s">
        <v>23</v>
      </c>
      <c r="M15" t="s">
        <v>55</v>
      </c>
      <c r="N15" t="s">
        <v>25</v>
      </c>
      <c r="O15" t="s">
        <v>17</v>
      </c>
      <c r="P15" t="s">
        <v>17</v>
      </c>
    </row>
    <row r="16" spans="1:16" x14ac:dyDescent="0.25">
      <c r="A16" t="s">
        <v>16</v>
      </c>
      <c r="B16" t="s">
        <v>16</v>
      </c>
      <c r="C16" t="s">
        <v>17</v>
      </c>
      <c r="D16" t="s">
        <v>18</v>
      </c>
      <c r="E16" t="s">
        <v>19</v>
      </c>
      <c r="F16" t="s">
        <v>29</v>
      </c>
      <c r="G16">
        <v>60</v>
      </c>
      <c r="H16">
        <v>16509456</v>
      </c>
      <c r="I16" t="s">
        <v>21</v>
      </c>
      <c r="J16">
        <v>50112078</v>
      </c>
      <c r="K16" t="s">
        <v>56</v>
      </c>
      <c r="L16" t="s">
        <v>23</v>
      </c>
      <c r="M16" t="s">
        <v>57</v>
      </c>
      <c r="N16" t="s">
        <v>25</v>
      </c>
      <c r="O16" t="s">
        <v>17</v>
      </c>
      <c r="P16" t="s">
        <v>17</v>
      </c>
    </row>
    <row r="17" spans="1:16" x14ac:dyDescent="0.25">
      <c r="A17" t="s">
        <v>16</v>
      </c>
      <c r="B17" t="s">
        <v>16</v>
      </c>
      <c r="C17" t="s">
        <v>17</v>
      </c>
      <c r="D17" t="s">
        <v>18</v>
      </c>
      <c r="E17" t="s">
        <v>19</v>
      </c>
      <c r="F17" t="s">
        <v>42</v>
      </c>
      <c r="G17">
        <v>60</v>
      </c>
      <c r="H17">
        <v>19278370</v>
      </c>
      <c r="I17" t="s">
        <v>21</v>
      </c>
      <c r="J17">
        <v>50136255</v>
      </c>
      <c r="K17" t="s">
        <v>58</v>
      </c>
      <c r="L17" t="s">
        <v>23</v>
      </c>
      <c r="M17" t="s">
        <v>59</v>
      </c>
      <c r="N17" t="s">
        <v>25</v>
      </c>
      <c r="O17" t="s">
        <v>17</v>
      </c>
      <c r="P17" t="s">
        <v>17</v>
      </c>
    </row>
    <row r="18" spans="1:16" x14ac:dyDescent="0.25">
      <c r="A18" t="s">
        <v>16</v>
      </c>
      <c r="B18" t="s">
        <v>16</v>
      </c>
      <c r="C18" t="s">
        <v>17</v>
      </c>
      <c r="D18" t="s">
        <v>18</v>
      </c>
      <c r="E18" t="s">
        <v>19</v>
      </c>
      <c r="F18" t="s">
        <v>29</v>
      </c>
      <c r="G18">
        <v>60</v>
      </c>
      <c r="H18">
        <v>16509456</v>
      </c>
      <c r="I18" t="s">
        <v>21</v>
      </c>
      <c r="J18">
        <v>51045906</v>
      </c>
      <c r="K18" t="s">
        <v>60</v>
      </c>
      <c r="L18" t="s">
        <v>23</v>
      </c>
      <c r="M18" t="s">
        <v>61</v>
      </c>
      <c r="N18" t="s">
        <v>25</v>
      </c>
      <c r="O18" t="s">
        <v>17</v>
      </c>
      <c r="P18" t="s">
        <v>17</v>
      </c>
    </row>
    <row r="19" spans="1:16" x14ac:dyDescent="0.25">
      <c r="A19" t="s">
        <v>16</v>
      </c>
      <c r="B19" t="s">
        <v>16</v>
      </c>
      <c r="C19" t="s">
        <v>17</v>
      </c>
      <c r="D19" t="s">
        <v>18</v>
      </c>
      <c r="E19" t="s">
        <v>19</v>
      </c>
      <c r="F19" t="s">
        <v>42</v>
      </c>
      <c r="G19">
        <v>60</v>
      </c>
      <c r="H19">
        <v>19278370</v>
      </c>
      <c r="I19" t="s">
        <v>21</v>
      </c>
      <c r="J19">
        <v>51045893</v>
      </c>
      <c r="K19" t="s">
        <v>62</v>
      </c>
      <c r="L19" t="s">
        <v>23</v>
      </c>
      <c r="M19" t="s">
        <v>63</v>
      </c>
      <c r="N19" t="s">
        <v>25</v>
      </c>
      <c r="O19" t="s">
        <v>17</v>
      </c>
      <c r="P19" t="s">
        <v>17</v>
      </c>
    </row>
    <row r="20" spans="1:16" x14ac:dyDescent="0.25">
      <c r="A20" t="s">
        <v>16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>
        <v>60</v>
      </c>
      <c r="H20">
        <v>17425766</v>
      </c>
      <c r="I20" t="s">
        <v>21</v>
      </c>
      <c r="J20">
        <v>50062555</v>
      </c>
      <c r="K20" t="s">
        <v>17</v>
      </c>
      <c r="L20" t="s">
        <v>23</v>
      </c>
      <c r="M20" t="s">
        <v>64</v>
      </c>
      <c r="N20" t="s">
        <v>25</v>
      </c>
      <c r="O20" t="s">
        <v>17</v>
      </c>
      <c r="P20" t="s">
        <v>17</v>
      </c>
    </row>
    <row r="21" spans="1:16" x14ac:dyDescent="0.25">
      <c r="A21" t="s">
        <v>16</v>
      </c>
      <c r="B21" t="s">
        <v>16</v>
      </c>
      <c r="C21" t="s">
        <v>17</v>
      </c>
      <c r="D21" t="s">
        <v>18</v>
      </c>
      <c r="E21" t="s">
        <v>19</v>
      </c>
      <c r="F21" t="s">
        <v>29</v>
      </c>
      <c r="G21">
        <v>60</v>
      </c>
      <c r="H21">
        <v>16509456</v>
      </c>
      <c r="I21" t="s">
        <v>21</v>
      </c>
      <c r="J21">
        <v>50025444</v>
      </c>
      <c r="K21" t="s">
        <v>65</v>
      </c>
      <c r="L21" t="s">
        <v>23</v>
      </c>
      <c r="M21" t="s">
        <v>66</v>
      </c>
      <c r="N21" t="s">
        <v>25</v>
      </c>
      <c r="O21" t="s">
        <v>17</v>
      </c>
      <c r="P21" t="s">
        <v>17</v>
      </c>
    </row>
    <row r="22" spans="1:16" x14ac:dyDescent="0.25">
      <c r="A22" t="s">
        <v>16</v>
      </c>
      <c r="B22" t="s">
        <v>16</v>
      </c>
      <c r="C22" t="s">
        <v>17</v>
      </c>
      <c r="D22" t="s">
        <v>18</v>
      </c>
      <c r="E22" t="s">
        <v>19</v>
      </c>
      <c r="F22" t="s">
        <v>26</v>
      </c>
      <c r="G22">
        <v>60</v>
      </c>
      <c r="H22">
        <v>15278437</v>
      </c>
      <c r="I22" t="s">
        <v>21</v>
      </c>
      <c r="J22">
        <v>51019754</v>
      </c>
      <c r="K22" t="s">
        <v>67</v>
      </c>
      <c r="L22" t="s">
        <v>23</v>
      </c>
      <c r="M22" t="s">
        <v>68</v>
      </c>
      <c r="N22" t="s">
        <v>25</v>
      </c>
      <c r="O22" t="s">
        <v>17</v>
      </c>
      <c r="P22" t="s">
        <v>17</v>
      </c>
    </row>
    <row r="23" spans="1:16" x14ac:dyDescent="0.25">
      <c r="A23" t="s">
        <v>16</v>
      </c>
      <c r="B23" t="s">
        <v>16</v>
      </c>
      <c r="C23" t="s">
        <v>17</v>
      </c>
      <c r="D23" t="s">
        <v>18</v>
      </c>
      <c r="E23" t="s">
        <v>19</v>
      </c>
      <c r="F23" t="s">
        <v>42</v>
      </c>
      <c r="G23">
        <v>60</v>
      </c>
      <c r="H23">
        <v>19278370</v>
      </c>
      <c r="I23" t="s">
        <v>21</v>
      </c>
      <c r="J23">
        <v>51042974</v>
      </c>
      <c r="K23" t="s">
        <v>69</v>
      </c>
      <c r="L23" t="s">
        <v>23</v>
      </c>
      <c r="M23" t="s">
        <v>70</v>
      </c>
      <c r="N23" t="s">
        <v>25</v>
      </c>
      <c r="O23" t="s">
        <v>17</v>
      </c>
      <c r="P23" t="s">
        <v>17</v>
      </c>
    </row>
    <row r="24" spans="1:16" x14ac:dyDescent="0.25">
      <c r="A24" t="s">
        <v>16</v>
      </c>
      <c r="B24" t="s">
        <v>16</v>
      </c>
      <c r="C24" t="s">
        <v>17</v>
      </c>
      <c r="D24" t="s">
        <v>18</v>
      </c>
      <c r="E24" t="s">
        <v>19</v>
      </c>
      <c r="F24" t="s">
        <v>32</v>
      </c>
      <c r="G24">
        <v>60</v>
      </c>
      <c r="H24">
        <v>16212649</v>
      </c>
      <c r="I24" t="s">
        <v>21</v>
      </c>
      <c r="J24">
        <v>50090833</v>
      </c>
      <c r="K24" t="s">
        <v>71</v>
      </c>
      <c r="L24" t="s">
        <v>23</v>
      </c>
      <c r="M24" t="s">
        <v>72</v>
      </c>
      <c r="N24" t="s">
        <v>25</v>
      </c>
      <c r="O24" t="s">
        <v>17</v>
      </c>
      <c r="P24" t="s">
        <v>17</v>
      </c>
    </row>
    <row r="25" spans="1:16" x14ac:dyDescent="0.25">
      <c r="A25" t="s">
        <v>16</v>
      </c>
      <c r="B25" t="s">
        <v>16</v>
      </c>
      <c r="C25" t="s">
        <v>17</v>
      </c>
      <c r="D25" t="s">
        <v>18</v>
      </c>
      <c r="E25" t="s">
        <v>19</v>
      </c>
      <c r="F25" t="s">
        <v>29</v>
      </c>
      <c r="G25">
        <v>60</v>
      </c>
      <c r="H25">
        <v>16509456</v>
      </c>
      <c r="I25" t="s">
        <v>21</v>
      </c>
      <c r="J25">
        <v>50140907</v>
      </c>
      <c r="K25" t="s">
        <v>73</v>
      </c>
      <c r="L25" t="s">
        <v>23</v>
      </c>
      <c r="M25" t="s">
        <v>74</v>
      </c>
      <c r="N25" t="s">
        <v>25</v>
      </c>
      <c r="O25" t="s">
        <v>17</v>
      </c>
      <c r="P25" t="s">
        <v>17</v>
      </c>
    </row>
    <row r="26" spans="1:16" x14ac:dyDescent="0.25">
      <c r="A26" t="s">
        <v>16</v>
      </c>
      <c r="B26" t="s">
        <v>16</v>
      </c>
      <c r="C26" t="s">
        <v>17</v>
      </c>
      <c r="D26" t="s">
        <v>18</v>
      </c>
      <c r="E26" t="s">
        <v>19</v>
      </c>
      <c r="F26" t="s">
        <v>37</v>
      </c>
      <c r="G26">
        <v>60</v>
      </c>
      <c r="H26">
        <v>21618313</v>
      </c>
      <c r="I26" t="s">
        <v>21</v>
      </c>
      <c r="J26">
        <v>50083100</v>
      </c>
      <c r="K26" t="s">
        <v>75</v>
      </c>
      <c r="L26" t="s">
        <v>23</v>
      </c>
      <c r="M26" t="s">
        <v>76</v>
      </c>
      <c r="N26" t="s">
        <v>25</v>
      </c>
      <c r="O26" t="s">
        <v>17</v>
      </c>
      <c r="P26" t="s">
        <v>17</v>
      </c>
    </row>
    <row r="27" spans="1:16" x14ac:dyDescent="0.25">
      <c r="A27" t="s">
        <v>16</v>
      </c>
      <c r="B27" t="s">
        <v>16</v>
      </c>
      <c r="C27" t="s">
        <v>17</v>
      </c>
      <c r="D27" t="s">
        <v>18</v>
      </c>
      <c r="E27" t="s">
        <v>19</v>
      </c>
      <c r="F27" t="s">
        <v>37</v>
      </c>
      <c r="G27">
        <v>100</v>
      </c>
      <c r="H27">
        <v>21618313</v>
      </c>
      <c r="I27" t="s">
        <v>21</v>
      </c>
      <c r="J27">
        <v>51050716</v>
      </c>
      <c r="K27" t="s">
        <v>77</v>
      </c>
      <c r="L27" t="s">
        <v>23</v>
      </c>
      <c r="M27" t="s">
        <v>78</v>
      </c>
      <c r="N27" t="s">
        <v>25</v>
      </c>
      <c r="O27" t="s">
        <v>17</v>
      </c>
      <c r="P27" t="s">
        <v>17</v>
      </c>
    </row>
    <row r="28" spans="1:16" x14ac:dyDescent="0.25">
      <c r="A28" t="s">
        <v>16</v>
      </c>
      <c r="B28" t="s">
        <v>16</v>
      </c>
      <c r="C28" t="s">
        <v>17</v>
      </c>
      <c r="D28" t="s">
        <v>79</v>
      </c>
      <c r="E28" t="s">
        <v>19</v>
      </c>
      <c r="F28" t="s">
        <v>37</v>
      </c>
      <c r="G28">
        <v>390</v>
      </c>
      <c r="H28">
        <v>21618313</v>
      </c>
      <c r="I28" t="s">
        <v>21</v>
      </c>
      <c r="J28">
        <v>51054600</v>
      </c>
      <c r="K28" t="s">
        <v>80</v>
      </c>
      <c r="L28" t="s">
        <v>23</v>
      </c>
      <c r="M28" t="s">
        <v>81</v>
      </c>
      <c r="N28" t="s">
        <v>25</v>
      </c>
      <c r="O28" t="s">
        <v>17</v>
      </c>
      <c r="P28" t="s">
        <v>17</v>
      </c>
    </row>
    <row r="29" spans="1:16" x14ac:dyDescent="0.25">
      <c r="A29" t="s">
        <v>16</v>
      </c>
      <c r="B29" t="s">
        <v>16</v>
      </c>
      <c r="C29" t="s">
        <v>17</v>
      </c>
      <c r="D29" t="s">
        <v>79</v>
      </c>
      <c r="E29" t="s">
        <v>19</v>
      </c>
      <c r="F29" t="s">
        <v>42</v>
      </c>
      <c r="G29">
        <v>390</v>
      </c>
      <c r="H29">
        <v>19278370</v>
      </c>
      <c r="I29" t="s">
        <v>21</v>
      </c>
      <c r="J29">
        <v>51054647</v>
      </c>
      <c r="K29" t="s">
        <v>82</v>
      </c>
      <c r="L29" t="s">
        <v>23</v>
      </c>
      <c r="M29" t="s">
        <v>83</v>
      </c>
      <c r="N29" t="s">
        <v>25</v>
      </c>
      <c r="O29" t="s">
        <v>17</v>
      </c>
      <c r="P29" t="s">
        <v>17</v>
      </c>
    </row>
    <row r="30" spans="1:16" x14ac:dyDescent="0.25">
      <c r="A30" t="s">
        <v>16</v>
      </c>
      <c r="B30" t="s">
        <v>16</v>
      </c>
      <c r="C30" t="s">
        <v>17</v>
      </c>
      <c r="D30" t="s">
        <v>79</v>
      </c>
      <c r="E30" t="s">
        <v>19</v>
      </c>
      <c r="F30" t="s">
        <v>37</v>
      </c>
      <c r="G30">
        <v>390</v>
      </c>
      <c r="H30">
        <v>21618313</v>
      </c>
      <c r="I30" t="s">
        <v>21</v>
      </c>
      <c r="J30">
        <v>51050008</v>
      </c>
      <c r="K30" t="s">
        <v>84</v>
      </c>
      <c r="L30" t="s">
        <v>23</v>
      </c>
      <c r="M30" t="s">
        <v>85</v>
      </c>
      <c r="N30" t="s">
        <v>25</v>
      </c>
      <c r="O30" t="s">
        <v>17</v>
      </c>
      <c r="P30" t="s">
        <v>17</v>
      </c>
    </row>
    <row r="31" spans="1:16" x14ac:dyDescent="0.25">
      <c r="A31" t="s">
        <v>16</v>
      </c>
      <c r="B31" t="s">
        <v>16</v>
      </c>
      <c r="C31" t="s">
        <v>17</v>
      </c>
      <c r="D31" t="s">
        <v>79</v>
      </c>
      <c r="E31" t="s">
        <v>19</v>
      </c>
      <c r="F31" t="s">
        <v>26</v>
      </c>
      <c r="G31">
        <v>390</v>
      </c>
      <c r="H31">
        <v>15278437</v>
      </c>
      <c r="I31" t="s">
        <v>21</v>
      </c>
      <c r="J31">
        <v>51054860</v>
      </c>
      <c r="K31" t="s">
        <v>86</v>
      </c>
      <c r="L31" t="s">
        <v>23</v>
      </c>
      <c r="M31" t="s">
        <v>87</v>
      </c>
      <c r="N31" t="s">
        <v>25</v>
      </c>
      <c r="O31" t="s">
        <v>17</v>
      </c>
      <c r="P31" t="s">
        <v>17</v>
      </c>
    </row>
    <row r="32" spans="1:16" x14ac:dyDescent="0.25">
      <c r="A32" t="s">
        <v>16</v>
      </c>
      <c r="B32" t="s">
        <v>16</v>
      </c>
      <c r="C32" t="s">
        <v>17</v>
      </c>
      <c r="D32" t="s">
        <v>79</v>
      </c>
      <c r="E32" t="s">
        <v>19</v>
      </c>
      <c r="F32" t="s">
        <v>42</v>
      </c>
      <c r="G32">
        <v>390</v>
      </c>
      <c r="H32">
        <v>19278370</v>
      </c>
      <c r="I32" t="s">
        <v>21</v>
      </c>
      <c r="J32">
        <v>51054475</v>
      </c>
      <c r="K32" t="s">
        <v>88</v>
      </c>
      <c r="L32" t="s">
        <v>23</v>
      </c>
      <c r="M32" t="s">
        <v>89</v>
      </c>
      <c r="N32" t="s">
        <v>25</v>
      </c>
      <c r="O32" t="s">
        <v>25</v>
      </c>
      <c r="P32" t="s">
        <v>17</v>
      </c>
    </row>
    <row r="33" spans="1:16" x14ac:dyDescent="0.25">
      <c r="A33" t="s">
        <v>16</v>
      </c>
      <c r="B33" t="s">
        <v>16</v>
      </c>
      <c r="C33" t="s">
        <v>17</v>
      </c>
      <c r="D33" t="s">
        <v>79</v>
      </c>
      <c r="E33" t="s">
        <v>19</v>
      </c>
      <c r="F33" t="s">
        <v>20</v>
      </c>
      <c r="G33">
        <v>391</v>
      </c>
      <c r="H33">
        <v>17425766</v>
      </c>
      <c r="I33" t="s">
        <v>21</v>
      </c>
      <c r="J33">
        <v>50019511</v>
      </c>
      <c r="K33" t="s">
        <v>22</v>
      </c>
      <c r="L33" t="s">
        <v>23</v>
      </c>
      <c r="M33" t="s">
        <v>24</v>
      </c>
      <c r="N33" t="s">
        <v>25</v>
      </c>
      <c r="O33" t="s">
        <v>17</v>
      </c>
      <c r="P33" t="s">
        <v>17</v>
      </c>
    </row>
    <row r="34" spans="1:16" x14ac:dyDescent="0.25">
      <c r="A34" t="s">
        <v>16</v>
      </c>
      <c r="B34" t="s">
        <v>16</v>
      </c>
      <c r="C34" t="s">
        <v>17</v>
      </c>
      <c r="D34" t="s">
        <v>79</v>
      </c>
      <c r="E34" t="s">
        <v>19</v>
      </c>
      <c r="F34" t="s">
        <v>26</v>
      </c>
      <c r="G34">
        <v>391</v>
      </c>
      <c r="H34">
        <v>15278437</v>
      </c>
      <c r="I34" t="s">
        <v>21</v>
      </c>
      <c r="J34">
        <v>51044314</v>
      </c>
      <c r="K34" t="s">
        <v>27</v>
      </c>
      <c r="L34" t="s">
        <v>23</v>
      </c>
      <c r="M34" t="s">
        <v>28</v>
      </c>
      <c r="N34" t="s">
        <v>25</v>
      </c>
      <c r="O34" t="s">
        <v>17</v>
      </c>
      <c r="P34" t="s">
        <v>17</v>
      </c>
    </row>
    <row r="35" spans="1:16" x14ac:dyDescent="0.25">
      <c r="A35" t="s">
        <v>16</v>
      </c>
      <c r="B35" t="s">
        <v>16</v>
      </c>
      <c r="C35" t="s">
        <v>17</v>
      </c>
      <c r="D35" t="s">
        <v>79</v>
      </c>
      <c r="E35" t="s">
        <v>19</v>
      </c>
      <c r="F35" t="s">
        <v>29</v>
      </c>
      <c r="G35">
        <v>391</v>
      </c>
      <c r="H35">
        <v>16509456</v>
      </c>
      <c r="I35" t="s">
        <v>21</v>
      </c>
      <c r="J35">
        <v>51020482</v>
      </c>
      <c r="K35" t="s">
        <v>30</v>
      </c>
      <c r="L35" t="s">
        <v>23</v>
      </c>
      <c r="M35" t="s">
        <v>31</v>
      </c>
      <c r="N35" t="s">
        <v>25</v>
      </c>
      <c r="O35" t="s">
        <v>17</v>
      </c>
      <c r="P35" t="s">
        <v>17</v>
      </c>
    </row>
    <row r="36" spans="1:16" x14ac:dyDescent="0.25">
      <c r="A36" t="s">
        <v>16</v>
      </c>
      <c r="B36" t="s">
        <v>16</v>
      </c>
      <c r="C36" t="s">
        <v>17</v>
      </c>
      <c r="D36" t="s">
        <v>79</v>
      </c>
      <c r="E36" t="s">
        <v>19</v>
      </c>
      <c r="F36" t="s">
        <v>32</v>
      </c>
      <c r="G36">
        <v>391</v>
      </c>
      <c r="H36">
        <v>16212649</v>
      </c>
      <c r="I36" t="s">
        <v>21</v>
      </c>
      <c r="J36">
        <v>50135671</v>
      </c>
      <c r="K36" t="s">
        <v>33</v>
      </c>
      <c r="L36" t="s">
        <v>23</v>
      </c>
      <c r="M36" t="s">
        <v>34</v>
      </c>
      <c r="N36" t="s">
        <v>25</v>
      </c>
      <c r="O36" t="s">
        <v>17</v>
      </c>
      <c r="P36" t="s">
        <v>17</v>
      </c>
    </row>
    <row r="37" spans="1:16" x14ac:dyDescent="0.25">
      <c r="A37" t="s">
        <v>16</v>
      </c>
      <c r="B37" t="s">
        <v>16</v>
      </c>
      <c r="C37" t="s">
        <v>17</v>
      </c>
      <c r="D37" t="s">
        <v>79</v>
      </c>
      <c r="E37" t="s">
        <v>19</v>
      </c>
      <c r="F37" t="s">
        <v>26</v>
      </c>
      <c r="G37">
        <v>391</v>
      </c>
      <c r="H37">
        <v>15278437</v>
      </c>
      <c r="I37" t="s">
        <v>21</v>
      </c>
      <c r="J37">
        <v>51046503</v>
      </c>
      <c r="K37" t="s">
        <v>35</v>
      </c>
      <c r="L37" t="s">
        <v>23</v>
      </c>
      <c r="M37" t="s">
        <v>36</v>
      </c>
      <c r="N37" t="s">
        <v>25</v>
      </c>
      <c r="O37" t="s">
        <v>17</v>
      </c>
      <c r="P37" t="s">
        <v>17</v>
      </c>
    </row>
    <row r="38" spans="1:16" x14ac:dyDescent="0.25">
      <c r="A38" t="s">
        <v>16</v>
      </c>
      <c r="B38" t="s">
        <v>16</v>
      </c>
      <c r="C38" t="s">
        <v>17</v>
      </c>
      <c r="D38" t="s">
        <v>79</v>
      </c>
      <c r="E38" t="s">
        <v>19</v>
      </c>
      <c r="F38" t="s">
        <v>37</v>
      </c>
      <c r="G38">
        <v>391</v>
      </c>
      <c r="H38">
        <v>21618313</v>
      </c>
      <c r="I38" t="s">
        <v>21</v>
      </c>
      <c r="J38">
        <v>50115625</v>
      </c>
      <c r="K38" t="s">
        <v>38</v>
      </c>
      <c r="L38" t="s">
        <v>23</v>
      </c>
      <c r="M38" t="s">
        <v>39</v>
      </c>
      <c r="N38" t="s">
        <v>25</v>
      </c>
      <c r="O38" t="s">
        <v>17</v>
      </c>
      <c r="P38" t="s">
        <v>17</v>
      </c>
    </row>
    <row r="39" spans="1:16" x14ac:dyDescent="0.25">
      <c r="A39" t="s">
        <v>16</v>
      </c>
      <c r="B39" t="s">
        <v>16</v>
      </c>
      <c r="C39" t="s">
        <v>17</v>
      </c>
      <c r="D39" t="s">
        <v>79</v>
      </c>
      <c r="E39" t="s">
        <v>19</v>
      </c>
      <c r="F39" t="s">
        <v>29</v>
      </c>
      <c r="G39">
        <v>391</v>
      </c>
      <c r="H39">
        <v>16509456</v>
      </c>
      <c r="I39" t="s">
        <v>21</v>
      </c>
      <c r="J39">
        <v>50117902</v>
      </c>
      <c r="K39" t="s">
        <v>40</v>
      </c>
      <c r="L39" t="s">
        <v>23</v>
      </c>
      <c r="M39" t="s">
        <v>41</v>
      </c>
      <c r="N39" t="s">
        <v>25</v>
      </c>
      <c r="O39" t="s">
        <v>17</v>
      </c>
      <c r="P39" t="s">
        <v>17</v>
      </c>
    </row>
    <row r="40" spans="1:16" x14ac:dyDescent="0.25">
      <c r="A40" t="s">
        <v>16</v>
      </c>
      <c r="B40" t="s">
        <v>16</v>
      </c>
      <c r="C40" t="s">
        <v>17</v>
      </c>
      <c r="D40" t="s">
        <v>79</v>
      </c>
      <c r="E40" t="s">
        <v>19</v>
      </c>
      <c r="F40" t="s">
        <v>42</v>
      </c>
      <c r="G40">
        <v>391</v>
      </c>
      <c r="H40">
        <v>19278370</v>
      </c>
      <c r="I40" t="s">
        <v>21</v>
      </c>
      <c r="J40">
        <v>51045632</v>
      </c>
      <c r="K40" t="s">
        <v>43</v>
      </c>
      <c r="L40" t="s">
        <v>23</v>
      </c>
      <c r="M40" t="s">
        <v>44</v>
      </c>
      <c r="N40" t="s">
        <v>25</v>
      </c>
      <c r="O40" t="s">
        <v>17</v>
      </c>
      <c r="P40" t="s">
        <v>17</v>
      </c>
    </row>
    <row r="41" spans="1:16" x14ac:dyDescent="0.25">
      <c r="A41" t="s">
        <v>16</v>
      </c>
      <c r="B41" t="s">
        <v>16</v>
      </c>
      <c r="C41" t="s">
        <v>17</v>
      </c>
      <c r="D41" t="s">
        <v>79</v>
      </c>
      <c r="E41" t="s">
        <v>19</v>
      </c>
      <c r="F41" t="s">
        <v>42</v>
      </c>
      <c r="G41">
        <v>391</v>
      </c>
      <c r="H41">
        <v>19278370</v>
      </c>
      <c r="I41" t="s">
        <v>21</v>
      </c>
      <c r="J41">
        <v>51038860</v>
      </c>
      <c r="K41" t="s">
        <v>45</v>
      </c>
      <c r="L41" t="s">
        <v>23</v>
      </c>
      <c r="M41" t="s">
        <v>46</v>
      </c>
      <c r="N41" t="s">
        <v>25</v>
      </c>
      <c r="O41" t="s">
        <v>17</v>
      </c>
      <c r="P41" t="s">
        <v>17</v>
      </c>
    </row>
    <row r="42" spans="1:16" x14ac:dyDescent="0.25">
      <c r="A42" t="s">
        <v>16</v>
      </c>
      <c r="B42" t="s">
        <v>16</v>
      </c>
      <c r="C42" t="s">
        <v>17</v>
      </c>
      <c r="D42" t="s">
        <v>79</v>
      </c>
      <c r="E42" t="s">
        <v>19</v>
      </c>
      <c r="F42" t="s">
        <v>29</v>
      </c>
      <c r="G42">
        <v>391</v>
      </c>
      <c r="H42">
        <v>16509456</v>
      </c>
      <c r="I42" t="s">
        <v>21</v>
      </c>
      <c r="J42">
        <v>51044864</v>
      </c>
      <c r="K42" t="s">
        <v>47</v>
      </c>
      <c r="L42" t="s">
        <v>23</v>
      </c>
      <c r="M42" t="s">
        <v>48</v>
      </c>
      <c r="N42" t="s">
        <v>25</v>
      </c>
      <c r="O42" t="s">
        <v>17</v>
      </c>
      <c r="P42" t="s">
        <v>17</v>
      </c>
    </row>
    <row r="43" spans="1:16" x14ac:dyDescent="0.25">
      <c r="A43" t="s">
        <v>16</v>
      </c>
      <c r="B43" t="s">
        <v>16</v>
      </c>
      <c r="C43" t="s">
        <v>17</v>
      </c>
      <c r="D43" t="s">
        <v>79</v>
      </c>
      <c r="E43" t="s">
        <v>19</v>
      </c>
      <c r="F43" t="s">
        <v>20</v>
      </c>
      <c r="G43">
        <v>391</v>
      </c>
      <c r="H43">
        <v>17425766</v>
      </c>
      <c r="I43" t="s">
        <v>21</v>
      </c>
      <c r="J43">
        <v>50109997</v>
      </c>
      <c r="K43" t="s">
        <v>49</v>
      </c>
      <c r="L43" t="s">
        <v>23</v>
      </c>
      <c r="M43" t="s">
        <v>50</v>
      </c>
      <c r="N43" t="s">
        <v>25</v>
      </c>
      <c r="O43" t="s">
        <v>17</v>
      </c>
      <c r="P43" t="s">
        <v>17</v>
      </c>
    </row>
    <row r="44" spans="1:16" x14ac:dyDescent="0.25">
      <c r="A44" t="s">
        <v>16</v>
      </c>
      <c r="B44" t="s">
        <v>16</v>
      </c>
      <c r="C44" t="s">
        <v>17</v>
      </c>
      <c r="D44" t="s">
        <v>79</v>
      </c>
      <c r="E44" t="s">
        <v>19</v>
      </c>
      <c r="F44" t="s">
        <v>32</v>
      </c>
      <c r="G44">
        <v>391</v>
      </c>
      <c r="H44">
        <v>16212649</v>
      </c>
      <c r="I44" t="s">
        <v>21</v>
      </c>
      <c r="J44">
        <v>50141164</v>
      </c>
      <c r="K44" t="s">
        <v>17</v>
      </c>
      <c r="L44" t="s">
        <v>23</v>
      </c>
      <c r="M44" t="s">
        <v>51</v>
      </c>
      <c r="N44" t="s">
        <v>25</v>
      </c>
      <c r="O44" t="s">
        <v>17</v>
      </c>
      <c r="P44" t="s">
        <v>17</v>
      </c>
    </row>
    <row r="45" spans="1:16" x14ac:dyDescent="0.25">
      <c r="A45" t="s">
        <v>16</v>
      </c>
      <c r="B45" t="s">
        <v>16</v>
      </c>
      <c r="C45" t="s">
        <v>17</v>
      </c>
      <c r="D45" t="s">
        <v>79</v>
      </c>
      <c r="E45" t="s">
        <v>19</v>
      </c>
      <c r="F45" t="s">
        <v>20</v>
      </c>
      <c r="G45">
        <v>391</v>
      </c>
      <c r="H45">
        <v>17425766</v>
      </c>
      <c r="I45" t="s">
        <v>21</v>
      </c>
      <c r="J45">
        <v>51040362</v>
      </c>
      <c r="K45" t="s">
        <v>52</v>
      </c>
      <c r="L45" t="s">
        <v>23</v>
      </c>
      <c r="M45" t="s">
        <v>53</v>
      </c>
      <c r="N45" t="s">
        <v>25</v>
      </c>
      <c r="O45" t="s">
        <v>17</v>
      </c>
      <c r="P45" t="s">
        <v>17</v>
      </c>
    </row>
    <row r="46" spans="1:16" x14ac:dyDescent="0.25">
      <c r="A46" t="s">
        <v>16</v>
      </c>
      <c r="B46" t="s">
        <v>16</v>
      </c>
      <c r="C46" t="s">
        <v>17</v>
      </c>
      <c r="D46" t="s">
        <v>79</v>
      </c>
      <c r="E46" t="s">
        <v>19</v>
      </c>
      <c r="F46" t="s">
        <v>37</v>
      </c>
      <c r="G46">
        <v>391</v>
      </c>
      <c r="H46">
        <v>21618313</v>
      </c>
      <c r="I46" t="s">
        <v>21</v>
      </c>
      <c r="J46">
        <v>51045900</v>
      </c>
      <c r="K46" t="s">
        <v>54</v>
      </c>
      <c r="L46" t="s">
        <v>23</v>
      </c>
      <c r="M46" t="s">
        <v>55</v>
      </c>
      <c r="N46" t="s">
        <v>25</v>
      </c>
      <c r="O46" t="s">
        <v>17</v>
      </c>
      <c r="P46" t="s">
        <v>17</v>
      </c>
    </row>
    <row r="47" spans="1:16" x14ac:dyDescent="0.25">
      <c r="A47" t="s">
        <v>16</v>
      </c>
      <c r="B47" t="s">
        <v>16</v>
      </c>
      <c r="C47" t="s">
        <v>17</v>
      </c>
      <c r="D47" t="s">
        <v>79</v>
      </c>
      <c r="E47" t="s">
        <v>19</v>
      </c>
      <c r="F47" t="s">
        <v>29</v>
      </c>
      <c r="G47">
        <v>391</v>
      </c>
      <c r="H47">
        <v>16509456</v>
      </c>
      <c r="I47" t="s">
        <v>21</v>
      </c>
      <c r="J47">
        <v>50112078</v>
      </c>
      <c r="K47" t="s">
        <v>56</v>
      </c>
      <c r="L47" t="s">
        <v>23</v>
      </c>
      <c r="M47" t="s">
        <v>57</v>
      </c>
      <c r="N47" t="s">
        <v>25</v>
      </c>
      <c r="O47" t="s">
        <v>17</v>
      </c>
      <c r="P47" t="s">
        <v>17</v>
      </c>
    </row>
    <row r="48" spans="1:16" x14ac:dyDescent="0.25">
      <c r="A48" t="s">
        <v>16</v>
      </c>
      <c r="B48" t="s">
        <v>16</v>
      </c>
      <c r="C48" t="s">
        <v>17</v>
      </c>
      <c r="D48" t="s">
        <v>79</v>
      </c>
      <c r="E48" t="s">
        <v>19</v>
      </c>
      <c r="F48" t="s">
        <v>42</v>
      </c>
      <c r="G48">
        <v>391</v>
      </c>
      <c r="H48">
        <v>19278370</v>
      </c>
      <c r="I48" t="s">
        <v>21</v>
      </c>
      <c r="J48">
        <v>50136255</v>
      </c>
      <c r="K48" t="s">
        <v>58</v>
      </c>
      <c r="L48" t="s">
        <v>23</v>
      </c>
      <c r="M48" t="s">
        <v>59</v>
      </c>
      <c r="N48" t="s">
        <v>25</v>
      </c>
      <c r="O48" t="s">
        <v>17</v>
      </c>
      <c r="P48" t="s">
        <v>17</v>
      </c>
    </row>
    <row r="49" spans="1:16" x14ac:dyDescent="0.25">
      <c r="A49" t="s">
        <v>16</v>
      </c>
      <c r="B49" t="s">
        <v>16</v>
      </c>
      <c r="C49" t="s">
        <v>17</v>
      </c>
      <c r="D49" t="s">
        <v>79</v>
      </c>
      <c r="E49" t="s">
        <v>19</v>
      </c>
      <c r="F49" t="s">
        <v>29</v>
      </c>
      <c r="G49">
        <v>391</v>
      </c>
      <c r="H49">
        <v>16509456</v>
      </c>
      <c r="I49" t="s">
        <v>21</v>
      </c>
      <c r="J49">
        <v>51045906</v>
      </c>
      <c r="K49" t="s">
        <v>60</v>
      </c>
      <c r="L49" t="s">
        <v>23</v>
      </c>
      <c r="M49" t="s">
        <v>61</v>
      </c>
      <c r="N49" t="s">
        <v>25</v>
      </c>
      <c r="O49" t="s">
        <v>17</v>
      </c>
      <c r="P49" t="s">
        <v>17</v>
      </c>
    </row>
    <row r="50" spans="1:16" x14ac:dyDescent="0.25">
      <c r="A50" t="s">
        <v>16</v>
      </c>
      <c r="B50" t="s">
        <v>16</v>
      </c>
      <c r="C50" t="s">
        <v>17</v>
      </c>
      <c r="D50" t="s">
        <v>79</v>
      </c>
      <c r="E50" t="s">
        <v>19</v>
      </c>
      <c r="F50" t="s">
        <v>42</v>
      </c>
      <c r="G50">
        <v>391</v>
      </c>
      <c r="H50">
        <v>19278370</v>
      </c>
      <c r="I50" t="s">
        <v>21</v>
      </c>
      <c r="J50">
        <v>51045893</v>
      </c>
      <c r="K50" t="s">
        <v>62</v>
      </c>
      <c r="L50" t="s">
        <v>23</v>
      </c>
      <c r="M50" t="s">
        <v>63</v>
      </c>
      <c r="N50" t="s">
        <v>25</v>
      </c>
      <c r="O50" t="s">
        <v>17</v>
      </c>
      <c r="P50" t="s">
        <v>17</v>
      </c>
    </row>
    <row r="51" spans="1:16" x14ac:dyDescent="0.25">
      <c r="A51" t="s">
        <v>16</v>
      </c>
      <c r="B51" t="s">
        <v>16</v>
      </c>
      <c r="C51" t="s">
        <v>17</v>
      </c>
      <c r="D51" t="s">
        <v>79</v>
      </c>
      <c r="E51" t="s">
        <v>19</v>
      </c>
      <c r="F51" t="s">
        <v>20</v>
      </c>
      <c r="G51">
        <v>391</v>
      </c>
      <c r="H51">
        <v>17425766</v>
      </c>
      <c r="I51" t="s">
        <v>21</v>
      </c>
      <c r="J51">
        <v>50062555</v>
      </c>
      <c r="K51" t="s">
        <v>17</v>
      </c>
      <c r="L51" t="s">
        <v>23</v>
      </c>
      <c r="M51" t="s">
        <v>64</v>
      </c>
      <c r="N51" t="s">
        <v>25</v>
      </c>
      <c r="O51" t="s">
        <v>17</v>
      </c>
      <c r="P51" t="s">
        <v>17</v>
      </c>
    </row>
    <row r="52" spans="1:16" x14ac:dyDescent="0.25">
      <c r="A52" t="s">
        <v>16</v>
      </c>
      <c r="B52" t="s">
        <v>16</v>
      </c>
      <c r="C52" t="s">
        <v>17</v>
      </c>
      <c r="D52" t="s">
        <v>79</v>
      </c>
      <c r="E52" t="s">
        <v>19</v>
      </c>
      <c r="F52" t="s">
        <v>29</v>
      </c>
      <c r="G52">
        <v>391</v>
      </c>
      <c r="H52">
        <v>16509456</v>
      </c>
      <c r="I52" t="s">
        <v>21</v>
      </c>
      <c r="J52">
        <v>50025444</v>
      </c>
      <c r="K52" t="s">
        <v>65</v>
      </c>
      <c r="L52" t="s">
        <v>23</v>
      </c>
      <c r="M52" t="s">
        <v>66</v>
      </c>
      <c r="N52" t="s">
        <v>25</v>
      </c>
      <c r="O52" t="s">
        <v>17</v>
      </c>
      <c r="P52" t="s">
        <v>17</v>
      </c>
    </row>
    <row r="53" spans="1:16" x14ac:dyDescent="0.25">
      <c r="A53" t="s">
        <v>16</v>
      </c>
      <c r="B53" t="s">
        <v>16</v>
      </c>
      <c r="C53" t="s">
        <v>17</v>
      </c>
      <c r="D53" t="s">
        <v>79</v>
      </c>
      <c r="E53" t="s">
        <v>19</v>
      </c>
      <c r="F53" t="s">
        <v>26</v>
      </c>
      <c r="G53">
        <v>391</v>
      </c>
      <c r="H53">
        <v>15278437</v>
      </c>
      <c r="I53" t="s">
        <v>21</v>
      </c>
      <c r="J53">
        <v>51019754</v>
      </c>
      <c r="K53" t="s">
        <v>67</v>
      </c>
      <c r="L53" t="s">
        <v>23</v>
      </c>
      <c r="M53" t="s">
        <v>68</v>
      </c>
      <c r="N53" t="s">
        <v>25</v>
      </c>
      <c r="O53" t="s">
        <v>17</v>
      </c>
      <c r="P53" t="s">
        <v>17</v>
      </c>
    </row>
    <row r="54" spans="1:16" x14ac:dyDescent="0.25">
      <c r="A54" t="s">
        <v>16</v>
      </c>
      <c r="B54" t="s">
        <v>16</v>
      </c>
      <c r="C54" t="s">
        <v>17</v>
      </c>
      <c r="D54" t="s">
        <v>79</v>
      </c>
      <c r="E54" t="s">
        <v>19</v>
      </c>
      <c r="F54" t="s">
        <v>42</v>
      </c>
      <c r="G54">
        <v>391</v>
      </c>
      <c r="H54">
        <v>19278370</v>
      </c>
      <c r="I54" t="s">
        <v>21</v>
      </c>
      <c r="J54">
        <v>51042974</v>
      </c>
      <c r="K54" t="s">
        <v>69</v>
      </c>
      <c r="L54" t="s">
        <v>23</v>
      </c>
      <c r="M54" t="s">
        <v>70</v>
      </c>
      <c r="N54" t="s">
        <v>25</v>
      </c>
      <c r="O54" t="s">
        <v>17</v>
      </c>
      <c r="P54" t="s">
        <v>17</v>
      </c>
    </row>
    <row r="55" spans="1:16" x14ac:dyDescent="0.25">
      <c r="A55" t="s">
        <v>16</v>
      </c>
      <c r="B55" t="s">
        <v>16</v>
      </c>
      <c r="C55" t="s">
        <v>17</v>
      </c>
      <c r="D55" t="s">
        <v>79</v>
      </c>
      <c r="E55" t="s">
        <v>19</v>
      </c>
      <c r="F55" t="s">
        <v>32</v>
      </c>
      <c r="G55">
        <v>391</v>
      </c>
      <c r="H55">
        <v>16212649</v>
      </c>
      <c r="I55" t="s">
        <v>21</v>
      </c>
      <c r="J55">
        <v>50090833</v>
      </c>
      <c r="K55" t="s">
        <v>71</v>
      </c>
      <c r="L55" t="s">
        <v>23</v>
      </c>
      <c r="M55" t="s">
        <v>72</v>
      </c>
      <c r="N55" t="s">
        <v>25</v>
      </c>
      <c r="O55" t="s">
        <v>17</v>
      </c>
      <c r="P55" t="s">
        <v>17</v>
      </c>
    </row>
    <row r="56" spans="1:16" x14ac:dyDescent="0.25">
      <c r="A56" t="s">
        <v>16</v>
      </c>
      <c r="B56" t="s">
        <v>16</v>
      </c>
      <c r="C56" t="s">
        <v>17</v>
      </c>
      <c r="D56" t="s">
        <v>79</v>
      </c>
      <c r="E56" t="s">
        <v>19</v>
      </c>
      <c r="F56" t="s">
        <v>29</v>
      </c>
      <c r="G56">
        <v>391</v>
      </c>
      <c r="H56">
        <v>16509456</v>
      </c>
      <c r="I56" t="s">
        <v>21</v>
      </c>
      <c r="J56">
        <v>50140907</v>
      </c>
      <c r="K56" t="s">
        <v>73</v>
      </c>
      <c r="L56" t="s">
        <v>23</v>
      </c>
      <c r="M56" t="s">
        <v>74</v>
      </c>
      <c r="N56" t="s">
        <v>25</v>
      </c>
      <c r="O56" t="s">
        <v>17</v>
      </c>
      <c r="P56" t="s">
        <v>17</v>
      </c>
    </row>
    <row r="57" spans="1:16" x14ac:dyDescent="0.25">
      <c r="A57" t="s">
        <v>16</v>
      </c>
      <c r="B57" t="s">
        <v>16</v>
      </c>
      <c r="C57" t="s">
        <v>17</v>
      </c>
      <c r="D57" t="s">
        <v>79</v>
      </c>
      <c r="E57" t="s">
        <v>19</v>
      </c>
      <c r="F57" t="s">
        <v>37</v>
      </c>
      <c r="G57">
        <v>391</v>
      </c>
      <c r="H57">
        <v>21618313</v>
      </c>
      <c r="I57" t="s">
        <v>21</v>
      </c>
      <c r="J57">
        <v>50083100</v>
      </c>
      <c r="K57" t="s">
        <v>75</v>
      </c>
      <c r="L57" t="s">
        <v>23</v>
      </c>
      <c r="M57" t="s">
        <v>76</v>
      </c>
      <c r="N57" t="s">
        <v>25</v>
      </c>
      <c r="O57" t="s">
        <v>17</v>
      </c>
      <c r="P57" t="s">
        <v>17</v>
      </c>
    </row>
    <row r="58" spans="1:16" x14ac:dyDescent="0.25">
      <c r="A58" t="s">
        <v>16</v>
      </c>
      <c r="B58" t="s">
        <v>16</v>
      </c>
      <c r="C58" t="s">
        <v>17</v>
      </c>
      <c r="D58" t="s">
        <v>79</v>
      </c>
      <c r="E58" t="s">
        <v>19</v>
      </c>
      <c r="F58" t="s">
        <v>37</v>
      </c>
      <c r="G58">
        <v>422.58</v>
      </c>
      <c r="H58">
        <v>21618313</v>
      </c>
      <c r="I58" t="s">
        <v>21</v>
      </c>
      <c r="J58">
        <v>51052718</v>
      </c>
      <c r="K58" t="s">
        <v>90</v>
      </c>
      <c r="L58" t="s">
        <v>23</v>
      </c>
      <c r="M58" t="s">
        <v>91</v>
      </c>
      <c r="N58" t="s">
        <v>92</v>
      </c>
      <c r="O58" t="s">
        <v>17</v>
      </c>
      <c r="P58" t="s">
        <v>17</v>
      </c>
    </row>
    <row r="59" spans="1:16" x14ac:dyDescent="0.25">
      <c r="A59" t="s">
        <v>16</v>
      </c>
      <c r="B59" t="s">
        <v>16</v>
      </c>
      <c r="C59" t="s">
        <v>17</v>
      </c>
      <c r="D59" t="s">
        <v>79</v>
      </c>
      <c r="E59" t="s">
        <v>19</v>
      </c>
      <c r="F59" t="s">
        <v>37</v>
      </c>
      <c r="G59">
        <v>422.58</v>
      </c>
      <c r="H59">
        <v>21618313</v>
      </c>
      <c r="I59" t="s">
        <v>21</v>
      </c>
      <c r="J59">
        <v>51054503</v>
      </c>
      <c r="K59" t="s">
        <v>93</v>
      </c>
      <c r="L59" t="s">
        <v>23</v>
      </c>
      <c r="M59" t="s">
        <v>94</v>
      </c>
      <c r="N59" t="s">
        <v>92</v>
      </c>
      <c r="O59" t="s">
        <v>17</v>
      </c>
      <c r="P59" t="s">
        <v>17</v>
      </c>
    </row>
    <row r="60" spans="1:16" x14ac:dyDescent="0.25">
      <c r="A60" t="s">
        <v>16</v>
      </c>
      <c r="B60" t="s">
        <v>16</v>
      </c>
      <c r="C60" t="s">
        <v>17</v>
      </c>
      <c r="D60" t="s">
        <v>79</v>
      </c>
      <c r="E60" t="s">
        <v>19</v>
      </c>
      <c r="F60" t="s">
        <v>37</v>
      </c>
      <c r="G60">
        <v>455.17</v>
      </c>
      <c r="H60">
        <v>21618313</v>
      </c>
      <c r="I60" t="s">
        <v>21</v>
      </c>
      <c r="J60">
        <v>51052716</v>
      </c>
      <c r="K60" t="s">
        <v>95</v>
      </c>
      <c r="L60" t="s">
        <v>23</v>
      </c>
      <c r="M60" t="s">
        <v>96</v>
      </c>
      <c r="N60" t="s">
        <v>97</v>
      </c>
      <c r="O60" t="s">
        <v>17</v>
      </c>
      <c r="P60" t="s">
        <v>17</v>
      </c>
    </row>
    <row r="61" spans="1:16" x14ac:dyDescent="0.25">
      <c r="A61" t="s">
        <v>16</v>
      </c>
      <c r="B61" t="s">
        <v>16</v>
      </c>
      <c r="C61" t="s">
        <v>17</v>
      </c>
      <c r="D61" t="s">
        <v>79</v>
      </c>
      <c r="E61" t="s">
        <v>19</v>
      </c>
      <c r="F61" t="s">
        <v>37</v>
      </c>
      <c r="G61">
        <v>781</v>
      </c>
      <c r="H61">
        <v>21618313</v>
      </c>
      <c r="I61" t="s">
        <v>21</v>
      </c>
      <c r="J61">
        <v>51050716</v>
      </c>
      <c r="K61" t="s">
        <v>77</v>
      </c>
      <c r="L61" t="s">
        <v>23</v>
      </c>
      <c r="M61" t="s">
        <v>78</v>
      </c>
      <c r="N61" t="s">
        <v>25</v>
      </c>
      <c r="O61" t="s">
        <v>17</v>
      </c>
      <c r="P6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44D8-FE63-4D88-8226-6DEDD4121B89}">
  <dimension ref="A1:T69"/>
  <sheetViews>
    <sheetView tabSelected="1" topLeftCell="A43" workbookViewId="0">
      <selection activeCell="F56" sqref="F56"/>
    </sheetView>
  </sheetViews>
  <sheetFormatPr defaultRowHeight="15" x14ac:dyDescent="0.25"/>
  <cols>
    <col min="4" max="4" width="20.85546875" bestFit="1" customWidth="1"/>
    <col min="6" max="6" width="21.85546875" bestFit="1" customWidth="1"/>
    <col min="7" max="7" width="8.140625" bestFit="1" customWidth="1"/>
    <col min="8" max="8" width="10.7109375" bestFit="1" customWidth="1"/>
    <col min="10" max="10" width="15.140625" bestFit="1" customWidth="1"/>
    <col min="11" max="11" width="15.140625" customWidth="1"/>
    <col min="13" max="13" width="23.42578125" bestFit="1" customWidth="1"/>
    <col min="14" max="14" width="13.5703125" bestFit="1" customWidth="1"/>
    <col min="15" max="15" width="18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0" s="3" customFormat="1" x14ac:dyDescent="0.25">
      <c r="A2" s="4" t="s">
        <v>16</v>
      </c>
      <c r="B2" s="4" t="s">
        <v>16</v>
      </c>
      <c r="C2" s="4" t="s">
        <v>17</v>
      </c>
      <c r="D2" s="4" t="s">
        <v>79</v>
      </c>
      <c r="E2" s="4" t="s">
        <v>19</v>
      </c>
      <c r="F2" s="4" t="s">
        <v>26</v>
      </c>
      <c r="G2" s="4">
        <v>781</v>
      </c>
      <c r="H2" s="4">
        <v>15278437</v>
      </c>
      <c r="I2" s="4" t="s">
        <v>21</v>
      </c>
      <c r="J2" s="4">
        <v>51054860</v>
      </c>
      <c r="K2" s="4" t="str">
        <f>CONCATENATE(J2,11)</f>
        <v>5105486011</v>
      </c>
      <c r="L2" s="4" t="s">
        <v>23</v>
      </c>
      <c r="M2" s="4" t="s">
        <v>87</v>
      </c>
      <c r="N2" s="5">
        <v>46023</v>
      </c>
      <c r="O2" s="4" t="s">
        <v>100</v>
      </c>
      <c r="P2" s="4" t="s">
        <v>102</v>
      </c>
      <c r="Q2" s="4"/>
      <c r="R2" s="4"/>
      <c r="S2" s="4"/>
    </row>
    <row r="3" spans="1:20" s="3" customFormat="1" x14ac:dyDescent="0.25">
      <c r="A3" s="4" t="s">
        <v>16</v>
      </c>
      <c r="B3" s="4" t="s">
        <v>16</v>
      </c>
      <c r="C3" s="4" t="s">
        <v>17</v>
      </c>
      <c r="D3" s="4" t="s">
        <v>79</v>
      </c>
      <c r="E3" s="4" t="s">
        <v>19</v>
      </c>
      <c r="F3" s="4" t="s">
        <v>42</v>
      </c>
      <c r="G3" s="4">
        <v>781</v>
      </c>
      <c r="H3" s="4" t="s">
        <v>106</v>
      </c>
      <c r="I3" s="4" t="s">
        <v>21</v>
      </c>
      <c r="J3" s="4">
        <v>51054647</v>
      </c>
      <c r="K3" s="4" t="str">
        <f>CONCATENATE(J3,11)</f>
        <v>5105464711</v>
      </c>
      <c r="L3" s="4" t="s">
        <v>23</v>
      </c>
      <c r="M3" s="4" t="s">
        <v>83</v>
      </c>
      <c r="N3" s="5">
        <v>46023</v>
      </c>
      <c r="O3" s="4" t="s">
        <v>100</v>
      </c>
      <c r="P3" s="4" t="s">
        <v>102</v>
      </c>
      <c r="Q3" s="4"/>
      <c r="R3" s="4"/>
      <c r="S3" s="4"/>
    </row>
    <row r="4" spans="1:20" s="3" customFormat="1" x14ac:dyDescent="0.25">
      <c r="A4" s="4" t="s">
        <v>16</v>
      </c>
      <c r="B4" s="4" t="s">
        <v>16</v>
      </c>
      <c r="C4" s="4" t="s">
        <v>17</v>
      </c>
      <c r="D4" s="4" t="s">
        <v>79</v>
      </c>
      <c r="E4" s="4" t="s">
        <v>19</v>
      </c>
      <c r="F4" s="4" t="s">
        <v>42</v>
      </c>
      <c r="G4" s="4">
        <v>781</v>
      </c>
      <c r="H4" s="4" t="s">
        <v>106</v>
      </c>
      <c r="I4" s="4" t="s">
        <v>21</v>
      </c>
      <c r="J4" s="4">
        <v>51054475</v>
      </c>
      <c r="K4" s="4" t="str">
        <f>CONCATENATE(J4,11)</f>
        <v>5105447511</v>
      </c>
      <c r="L4" s="4" t="s">
        <v>23</v>
      </c>
      <c r="M4" s="4" t="s">
        <v>89</v>
      </c>
      <c r="N4" s="5">
        <v>46023</v>
      </c>
      <c r="O4" s="4" t="s">
        <v>100</v>
      </c>
      <c r="P4" s="4" t="s">
        <v>102</v>
      </c>
      <c r="Q4" s="4"/>
      <c r="R4" s="4"/>
      <c r="S4" s="4"/>
    </row>
    <row r="5" spans="1:20" s="3" customFormat="1" x14ac:dyDescent="0.25">
      <c r="A5" s="4" t="s">
        <v>16</v>
      </c>
      <c r="B5" s="4" t="s">
        <v>16</v>
      </c>
      <c r="C5" s="4" t="s">
        <v>17</v>
      </c>
      <c r="D5" s="4" t="s">
        <v>79</v>
      </c>
      <c r="E5" s="4" t="s">
        <v>19</v>
      </c>
      <c r="F5" s="4" t="s">
        <v>37</v>
      </c>
      <c r="G5" s="4">
        <v>781</v>
      </c>
      <c r="H5" s="4">
        <v>21618313</v>
      </c>
      <c r="I5" s="4" t="s">
        <v>21</v>
      </c>
      <c r="J5" s="4">
        <v>51054600</v>
      </c>
      <c r="K5" s="4" t="str">
        <f>CONCATENATE(J5,11)</f>
        <v>5105460011</v>
      </c>
      <c r="L5" s="4" t="s">
        <v>23</v>
      </c>
      <c r="M5" s="4" t="s">
        <v>81</v>
      </c>
      <c r="N5" s="5">
        <v>46023</v>
      </c>
      <c r="O5" s="4" t="s">
        <v>100</v>
      </c>
      <c r="P5" s="4" t="s">
        <v>102</v>
      </c>
      <c r="Q5" s="4"/>
      <c r="R5" s="4"/>
      <c r="S5" s="4"/>
    </row>
    <row r="6" spans="1:20" s="3" customFormat="1" x14ac:dyDescent="0.25">
      <c r="A6" s="4" t="s">
        <v>16</v>
      </c>
      <c r="B6" s="4" t="s">
        <v>16</v>
      </c>
      <c r="C6" s="4" t="s">
        <v>17</v>
      </c>
      <c r="D6" s="4" t="s">
        <v>79</v>
      </c>
      <c r="E6" s="4" t="s">
        <v>19</v>
      </c>
      <c r="F6" s="4" t="s">
        <v>37</v>
      </c>
      <c r="G6" s="4">
        <v>781</v>
      </c>
      <c r="H6" s="4">
        <v>21618313</v>
      </c>
      <c r="I6" s="4" t="s">
        <v>21</v>
      </c>
      <c r="J6" s="4">
        <v>51050008</v>
      </c>
      <c r="K6" s="4" t="str">
        <f>CONCATENATE(J6,11)</f>
        <v>5105000811</v>
      </c>
      <c r="L6" s="4" t="s">
        <v>23</v>
      </c>
      <c r="M6" s="4" t="s">
        <v>85</v>
      </c>
      <c r="N6" s="5">
        <v>46023</v>
      </c>
      <c r="O6" s="4" t="s">
        <v>100</v>
      </c>
      <c r="P6" s="4" t="s">
        <v>102</v>
      </c>
      <c r="Q6" s="4"/>
      <c r="R6" s="4"/>
      <c r="S6" s="4"/>
    </row>
    <row r="7" spans="1:20" s="3" customFormat="1" x14ac:dyDescent="0.25">
      <c r="A7" s="4" t="s">
        <v>16</v>
      </c>
      <c r="B7" s="4" t="s">
        <v>16</v>
      </c>
      <c r="C7" s="4" t="s">
        <v>17</v>
      </c>
      <c r="D7" s="4" t="s">
        <v>79</v>
      </c>
      <c r="E7" s="4" t="s">
        <v>19</v>
      </c>
      <c r="F7" s="4" t="s">
        <v>37</v>
      </c>
      <c r="G7" s="4">
        <v>781</v>
      </c>
      <c r="H7" s="4">
        <v>21618313</v>
      </c>
      <c r="I7" s="4" t="s">
        <v>21</v>
      </c>
      <c r="J7" s="4">
        <v>51052718</v>
      </c>
      <c r="K7" s="4" t="str">
        <f>CONCATENATE(J7,11)</f>
        <v>5105271811</v>
      </c>
      <c r="L7" s="4" t="s">
        <v>23</v>
      </c>
      <c r="M7" s="4" t="s">
        <v>91</v>
      </c>
      <c r="N7" s="5">
        <v>46054</v>
      </c>
      <c r="O7" s="4" t="s">
        <v>100</v>
      </c>
      <c r="P7" s="4" t="s">
        <v>102</v>
      </c>
      <c r="Q7" s="4"/>
      <c r="R7" s="4"/>
      <c r="S7" s="4"/>
    </row>
    <row r="8" spans="1:20" s="3" customFormat="1" x14ac:dyDescent="0.25">
      <c r="A8" s="4" t="s">
        <v>16</v>
      </c>
      <c r="B8" s="4" t="s">
        <v>16</v>
      </c>
      <c r="C8" s="4" t="s">
        <v>17</v>
      </c>
      <c r="D8" s="4" t="s">
        <v>79</v>
      </c>
      <c r="E8" s="4" t="s">
        <v>19</v>
      </c>
      <c r="F8" s="4" t="s">
        <v>37</v>
      </c>
      <c r="G8" s="4">
        <v>781</v>
      </c>
      <c r="H8" s="4">
        <v>21618313</v>
      </c>
      <c r="I8" s="4" t="s">
        <v>21</v>
      </c>
      <c r="J8" s="4">
        <v>51054503</v>
      </c>
      <c r="K8" s="4" t="str">
        <f>CONCATENATE(J8,11)</f>
        <v>5105450311</v>
      </c>
      <c r="L8" s="4" t="s">
        <v>23</v>
      </c>
      <c r="M8" s="4" t="s">
        <v>94</v>
      </c>
      <c r="N8" s="5">
        <v>46054</v>
      </c>
      <c r="O8" s="4" t="s">
        <v>100</v>
      </c>
      <c r="P8" s="4" t="s">
        <v>102</v>
      </c>
      <c r="Q8" s="4"/>
      <c r="R8" s="4"/>
      <c r="S8" s="4"/>
    </row>
    <row r="9" spans="1:20" s="3" customFormat="1" x14ac:dyDescent="0.25">
      <c r="A9" s="4" t="s">
        <v>16</v>
      </c>
      <c r="B9" s="4" t="s">
        <v>16</v>
      </c>
      <c r="C9" s="4" t="s">
        <v>17</v>
      </c>
      <c r="D9" s="4" t="s">
        <v>79</v>
      </c>
      <c r="E9" s="4" t="s">
        <v>19</v>
      </c>
      <c r="F9" s="4" t="s">
        <v>37</v>
      </c>
      <c r="G9" s="4">
        <v>781</v>
      </c>
      <c r="H9" s="4">
        <v>21618313</v>
      </c>
      <c r="I9" s="4" t="s">
        <v>21</v>
      </c>
      <c r="J9" s="4">
        <v>51052716</v>
      </c>
      <c r="K9" s="4" t="str">
        <f>CONCATENATE(J9,11)</f>
        <v>5105271611</v>
      </c>
      <c r="L9" s="4" t="s">
        <v>23</v>
      </c>
      <c r="M9" s="4" t="s">
        <v>96</v>
      </c>
      <c r="N9" s="5">
        <v>46082</v>
      </c>
      <c r="O9" s="4" t="s">
        <v>100</v>
      </c>
      <c r="P9" s="4" t="s">
        <v>102</v>
      </c>
      <c r="Q9" s="4"/>
      <c r="R9" s="4"/>
      <c r="S9" s="4"/>
    </row>
    <row r="10" spans="1:20" s="3" customFormat="1" x14ac:dyDescent="0.25">
      <c r="A10" s="4" t="s">
        <v>16</v>
      </c>
      <c r="B10" s="4" t="s">
        <v>16</v>
      </c>
      <c r="C10" s="4" t="s">
        <v>17</v>
      </c>
      <c r="D10" s="4" t="s">
        <v>79</v>
      </c>
      <c r="E10" s="4" t="s">
        <v>19</v>
      </c>
      <c r="F10" s="4" t="s">
        <v>37</v>
      </c>
      <c r="G10" s="4">
        <v>781</v>
      </c>
      <c r="H10" s="4">
        <v>21618313</v>
      </c>
      <c r="I10" s="4" t="s">
        <v>21</v>
      </c>
      <c r="J10" s="4">
        <v>51050716</v>
      </c>
      <c r="K10" s="4" t="str">
        <f>CONCATENATE(J10,11)</f>
        <v>5105071611</v>
      </c>
      <c r="L10" s="4" t="s">
        <v>23</v>
      </c>
      <c r="M10" s="4" t="s">
        <v>78</v>
      </c>
      <c r="N10" s="5">
        <v>46023</v>
      </c>
      <c r="O10" s="4" t="s">
        <v>100</v>
      </c>
      <c r="P10" s="4" t="s">
        <v>102</v>
      </c>
      <c r="Q10" s="4"/>
      <c r="R10" s="4"/>
      <c r="S10" s="4"/>
    </row>
    <row r="11" spans="1:20" s="9" customFormat="1" x14ac:dyDescent="0.25">
      <c r="A11" s="6" t="s">
        <v>16</v>
      </c>
      <c r="B11" s="6" t="s">
        <v>16</v>
      </c>
      <c r="C11" s="6" t="s">
        <v>17</v>
      </c>
      <c r="D11" s="6" t="s">
        <v>79</v>
      </c>
      <c r="E11" s="6" t="s">
        <v>19</v>
      </c>
      <c r="F11" s="6" t="s">
        <v>20</v>
      </c>
      <c r="G11" s="6">
        <v>391</v>
      </c>
      <c r="H11" s="6">
        <v>17425766</v>
      </c>
      <c r="I11" s="6" t="s">
        <v>21</v>
      </c>
      <c r="J11" s="6">
        <v>50019511</v>
      </c>
      <c r="K11" s="9" t="str">
        <f>CONCATENATE(J11,2)</f>
        <v>500195112</v>
      </c>
      <c r="L11" s="6" t="s">
        <v>23</v>
      </c>
      <c r="M11" s="6" t="s">
        <v>24</v>
      </c>
      <c r="N11" s="7">
        <v>46023</v>
      </c>
      <c r="O11" s="6" t="s">
        <v>99</v>
      </c>
      <c r="P11" s="6" t="s">
        <v>101</v>
      </c>
      <c r="Q11" s="6"/>
      <c r="R11" s="6"/>
      <c r="S11" s="6"/>
      <c r="T11" s="6"/>
    </row>
    <row r="12" spans="1:20" s="6" customFormat="1" x14ac:dyDescent="0.25">
      <c r="A12" s="6" t="s">
        <v>16</v>
      </c>
      <c r="B12" s="6" t="s">
        <v>16</v>
      </c>
      <c r="C12" s="6" t="s">
        <v>17</v>
      </c>
      <c r="D12" s="6" t="s">
        <v>79</v>
      </c>
      <c r="E12" s="6" t="s">
        <v>19</v>
      </c>
      <c r="F12" s="6" t="s">
        <v>20</v>
      </c>
      <c r="G12" s="6">
        <v>391</v>
      </c>
      <c r="H12" s="6">
        <v>17425766</v>
      </c>
      <c r="I12" s="6" t="s">
        <v>21</v>
      </c>
      <c r="J12" s="6">
        <v>50109997</v>
      </c>
      <c r="K12" s="9" t="str">
        <f>CONCATENATE(J12,2)</f>
        <v>501099972</v>
      </c>
      <c r="L12" s="6" t="s">
        <v>23</v>
      </c>
      <c r="M12" s="6" t="s">
        <v>50</v>
      </c>
      <c r="N12" s="7">
        <v>46023</v>
      </c>
      <c r="O12" s="6" t="s">
        <v>99</v>
      </c>
      <c r="P12" s="6" t="s">
        <v>101</v>
      </c>
    </row>
    <row r="13" spans="1:20" s="6" customFormat="1" x14ac:dyDescent="0.25">
      <c r="A13" s="6" t="s">
        <v>16</v>
      </c>
      <c r="B13" s="6" t="s">
        <v>16</v>
      </c>
      <c r="C13" s="6" t="s">
        <v>17</v>
      </c>
      <c r="D13" s="6" t="s">
        <v>79</v>
      </c>
      <c r="E13" s="6" t="s">
        <v>19</v>
      </c>
      <c r="F13" s="6" t="s">
        <v>20</v>
      </c>
      <c r="G13" s="6">
        <v>391</v>
      </c>
      <c r="H13" s="6">
        <v>17425766</v>
      </c>
      <c r="I13" s="6" t="s">
        <v>21</v>
      </c>
      <c r="J13" s="6">
        <v>51040362</v>
      </c>
      <c r="K13" s="9" t="str">
        <f>CONCATENATE(J13,2)</f>
        <v>510403622</v>
      </c>
      <c r="L13" s="6" t="s">
        <v>23</v>
      </c>
      <c r="M13" s="6" t="s">
        <v>53</v>
      </c>
      <c r="N13" s="7">
        <v>46023</v>
      </c>
      <c r="O13" s="6" t="s">
        <v>99</v>
      </c>
      <c r="P13" s="6" t="s">
        <v>101</v>
      </c>
    </row>
    <row r="14" spans="1:20" s="6" customFormat="1" x14ac:dyDescent="0.25">
      <c r="A14" s="6" t="s">
        <v>16</v>
      </c>
      <c r="B14" s="6" t="s">
        <v>16</v>
      </c>
      <c r="C14" s="6" t="s">
        <v>17</v>
      </c>
      <c r="D14" s="6" t="s">
        <v>79</v>
      </c>
      <c r="E14" s="6" t="s">
        <v>19</v>
      </c>
      <c r="F14" s="6" t="s">
        <v>20</v>
      </c>
      <c r="G14" s="6">
        <v>391</v>
      </c>
      <c r="H14" s="6">
        <v>17425766</v>
      </c>
      <c r="I14" s="6" t="s">
        <v>21</v>
      </c>
      <c r="J14" s="6">
        <v>50062555</v>
      </c>
      <c r="K14" s="9" t="str">
        <f>CONCATENATE(J14,2)</f>
        <v>500625552</v>
      </c>
      <c r="L14" s="6" t="s">
        <v>23</v>
      </c>
      <c r="M14" s="6" t="s">
        <v>64</v>
      </c>
      <c r="N14" s="7">
        <v>46023</v>
      </c>
      <c r="O14" s="6" t="s">
        <v>99</v>
      </c>
      <c r="P14" s="6" t="s">
        <v>101</v>
      </c>
      <c r="T14" s="8"/>
    </row>
    <row r="15" spans="1:20" s="6" customFormat="1" x14ac:dyDescent="0.25">
      <c r="A15" s="6" t="s">
        <v>16</v>
      </c>
      <c r="B15" s="6" t="s">
        <v>16</v>
      </c>
      <c r="C15" s="6" t="s">
        <v>17</v>
      </c>
      <c r="D15" s="6" t="s">
        <v>79</v>
      </c>
      <c r="E15" s="6" t="s">
        <v>19</v>
      </c>
      <c r="F15" s="6" t="s">
        <v>26</v>
      </c>
      <c r="G15" s="6">
        <v>-391</v>
      </c>
      <c r="H15" s="6">
        <v>15278437</v>
      </c>
      <c r="I15" s="6" t="s">
        <v>21</v>
      </c>
      <c r="J15" s="6">
        <v>51054860</v>
      </c>
      <c r="K15" s="9" t="str">
        <f>CONCATENATE(J15,2)</f>
        <v>510548602</v>
      </c>
      <c r="L15" s="6" t="s">
        <v>23</v>
      </c>
      <c r="M15" s="6" t="s">
        <v>87</v>
      </c>
      <c r="N15" s="7">
        <v>46023</v>
      </c>
      <c r="O15" s="6" t="s">
        <v>99</v>
      </c>
      <c r="P15" s="6" t="s">
        <v>101</v>
      </c>
    </row>
    <row r="16" spans="1:20" s="6" customFormat="1" x14ac:dyDescent="0.25">
      <c r="A16" s="6" t="s">
        <v>16</v>
      </c>
      <c r="B16" s="6" t="s">
        <v>16</v>
      </c>
      <c r="C16" s="6" t="s">
        <v>17</v>
      </c>
      <c r="D16" s="6" t="s">
        <v>79</v>
      </c>
      <c r="E16" s="6" t="s">
        <v>19</v>
      </c>
      <c r="F16" s="6" t="s">
        <v>26</v>
      </c>
      <c r="G16" s="6">
        <v>391</v>
      </c>
      <c r="H16" s="6">
        <v>15278437</v>
      </c>
      <c r="I16" s="6" t="s">
        <v>21</v>
      </c>
      <c r="J16" s="6">
        <v>51044314</v>
      </c>
      <c r="K16" s="9" t="str">
        <f>CONCATENATE(J16,2)</f>
        <v>510443142</v>
      </c>
      <c r="L16" s="6" t="s">
        <v>23</v>
      </c>
      <c r="M16" s="6" t="s">
        <v>28</v>
      </c>
      <c r="N16" s="7">
        <v>46023</v>
      </c>
      <c r="O16" s="6" t="s">
        <v>99</v>
      </c>
      <c r="P16" s="6" t="s">
        <v>101</v>
      </c>
    </row>
    <row r="17" spans="1:20" s="6" customFormat="1" x14ac:dyDescent="0.25">
      <c r="A17" s="6" t="s">
        <v>16</v>
      </c>
      <c r="B17" s="6" t="s">
        <v>16</v>
      </c>
      <c r="C17" s="6" t="s">
        <v>17</v>
      </c>
      <c r="D17" s="6" t="s">
        <v>79</v>
      </c>
      <c r="E17" s="6" t="s">
        <v>19</v>
      </c>
      <c r="F17" s="6" t="s">
        <v>26</v>
      </c>
      <c r="G17" s="6">
        <v>391</v>
      </c>
      <c r="H17" s="6">
        <v>15278437</v>
      </c>
      <c r="I17" s="6" t="s">
        <v>21</v>
      </c>
      <c r="J17" s="6">
        <v>51046503</v>
      </c>
      <c r="K17" s="9" t="str">
        <f>CONCATENATE(J17,2)</f>
        <v>510465032</v>
      </c>
      <c r="L17" s="6" t="s">
        <v>23</v>
      </c>
      <c r="M17" s="6" t="s">
        <v>36</v>
      </c>
      <c r="N17" s="7">
        <v>46023</v>
      </c>
      <c r="O17" s="6" t="s">
        <v>99</v>
      </c>
      <c r="P17" s="6" t="s">
        <v>101</v>
      </c>
    </row>
    <row r="18" spans="1:20" s="6" customFormat="1" x14ac:dyDescent="0.25">
      <c r="A18" s="6" t="s">
        <v>16</v>
      </c>
      <c r="B18" s="6" t="s">
        <v>16</v>
      </c>
      <c r="C18" s="6" t="s">
        <v>17</v>
      </c>
      <c r="D18" s="6" t="s">
        <v>79</v>
      </c>
      <c r="E18" s="6" t="s">
        <v>19</v>
      </c>
      <c r="F18" s="6" t="s">
        <v>26</v>
      </c>
      <c r="G18" s="6">
        <v>391</v>
      </c>
      <c r="H18" s="6">
        <v>15278437</v>
      </c>
      <c r="I18" s="6" t="s">
        <v>21</v>
      </c>
      <c r="J18" s="6">
        <v>51019754</v>
      </c>
      <c r="K18" s="9" t="str">
        <f>CONCATENATE(J18,2)</f>
        <v>510197542</v>
      </c>
      <c r="L18" s="6" t="s">
        <v>23</v>
      </c>
      <c r="M18" s="6" t="s">
        <v>68</v>
      </c>
      <c r="N18" s="7">
        <v>46023</v>
      </c>
      <c r="O18" s="6" t="s">
        <v>99</v>
      </c>
      <c r="P18" s="6" t="s">
        <v>101</v>
      </c>
      <c r="T18" s="8"/>
    </row>
    <row r="19" spans="1:20" s="6" customFormat="1" x14ac:dyDescent="0.25">
      <c r="A19" s="6" t="s">
        <v>16</v>
      </c>
      <c r="B19" s="6" t="s">
        <v>16</v>
      </c>
      <c r="C19" s="6" t="s">
        <v>17</v>
      </c>
      <c r="D19" s="6" t="s">
        <v>79</v>
      </c>
      <c r="E19" s="6" t="s">
        <v>19</v>
      </c>
      <c r="F19" s="6" t="s">
        <v>42</v>
      </c>
      <c r="G19" s="6">
        <v>-391</v>
      </c>
      <c r="H19" s="6" t="s">
        <v>106</v>
      </c>
      <c r="I19" s="6" t="s">
        <v>21</v>
      </c>
      <c r="J19" s="6">
        <v>51054647</v>
      </c>
      <c r="K19" s="9" t="str">
        <f>CONCATENATE(J19,2)</f>
        <v>510546472</v>
      </c>
      <c r="L19" s="6" t="s">
        <v>23</v>
      </c>
      <c r="M19" s="6" t="s">
        <v>83</v>
      </c>
      <c r="N19" s="7">
        <v>46023</v>
      </c>
      <c r="O19" s="6" t="s">
        <v>99</v>
      </c>
      <c r="P19" s="6" t="s">
        <v>101</v>
      </c>
    </row>
    <row r="20" spans="1:20" s="6" customFormat="1" x14ac:dyDescent="0.25">
      <c r="A20" s="6" t="s">
        <v>16</v>
      </c>
      <c r="B20" s="6" t="s">
        <v>16</v>
      </c>
      <c r="C20" s="6" t="s">
        <v>17</v>
      </c>
      <c r="D20" s="6" t="s">
        <v>79</v>
      </c>
      <c r="E20" s="6" t="s">
        <v>19</v>
      </c>
      <c r="F20" s="6" t="s">
        <v>42</v>
      </c>
      <c r="G20" s="6">
        <v>-391</v>
      </c>
      <c r="H20" s="6" t="s">
        <v>106</v>
      </c>
      <c r="I20" s="6" t="s">
        <v>21</v>
      </c>
      <c r="J20" s="6">
        <v>51054475</v>
      </c>
      <c r="K20" s="9" t="str">
        <f>CONCATENATE(J20,2)</f>
        <v>510544752</v>
      </c>
      <c r="L20" s="6" t="s">
        <v>23</v>
      </c>
      <c r="M20" s="6" t="s">
        <v>89</v>
      </c>
      <c r="N20" s="7">
        <v>46023</v>
      </c>
      <c r="O20" s="6" t="s">
        <v>99</v>
      </c>
      <c r="P20" s="6" t="s">
        <v>101</v>
      </c>
    </row>
    <row r="21" spans="1:20" s="6" customFormat="1" x14ac:dyDescent="0.25">
      <c r="A21" s="6" t="s">
        <v>16</v>
      </c>
      <c r="B21" s="6" t="s">
        <v>16</v>
      </c>
      <c r="C21" s="6" t="s">
        <v>17</v>
      </c>
      <c r="D21" s="6" t="s">
        <v>79</v>
      </c>
      <c r="E21" s="6" t="s">
        <v>19</v>
      </c>
      <c r="F21" s="6" t="s">
        <v>42</v>
      </c>
      <c r="G21" s="6">
        <v>391</v>
      </c>
      <c r="H21" s="6" t="s">
        <v>106</v>
      </c>
      <c r="I21" s="6" t="s">
        <v>21</v>
      </c>
      <c r="J21" s="6">
        <v>51045632</v>
      </c>
      <c r="K21" s="9" t="str">
        <f>CONCATENATE(J21,2)</f>
        <v>510456322</v>
      </c>
      <c r="L21" s="6" t="s">
        <v>23</v>
      </c>
      <c r="M21" s="6" t="s">
        <v>44</v>
      </c>
      <c r="N21" s="7">
        <v>46023</v>
      </c>
      <c r="O21" s="6" t="s">
        <v>99</v>
      </c>
      <c r="P21" s="6" t="s">
        <v>101</v>
      </c>
    </row>
    <row r="22" spans="1:20" s="6" customFormat="1" x14ac:dyDescent="0.25">
      <c r="A22" s="6" t="s">
        <v>16</v>
      </c>
      <c r="B22" s="6" t="s">
        <v>16</v>
      </c>
      <c r="C22" s="6" t="s">
        <v>17</v>
      </c>
      <c r="D22" s="6" t="s">
        <v>79</v>
      </c>
      <c r="E22" s="6" t="s">
        <v>19</v>
      </c>
      <c r="F22" s="6" t="s">
        <v>42</v>
      </c>
      <c r="G22" s="6">
        <v>391</v>
      </c>
      <c r="H22" s="6" t="s">
        <v>106</v>
      </c>
      <c r="I22" s="6" t="s">
        <v>21</v>
      </c>
      <c r="J22" s="6">
        <v>51038860</v>
      </c>
      <c r="K22" s="9" t="str">
        <f>CONCATENATE(J22,2)</f>
        <v>510388602</v>
      </c>
      <c r="L22" s="6" t="s">
        <v>23</v>
      </c>
      <c r="M22" s="6" t="s">
        <v>46</v>
      </c>
      <c r="N22" s="7">
        <v>46023</v>
      </c>
      <c r="O22" s="6" t="s">
        <v>99</v>
      </c>
      <c r="P22" s="6" t="s">
        <v>101</v>
      </c>
    </row>
    <row r="23" spans="1:20" s="6" customFormat="1" x14ac:dyDescent="0.25">
      <c r="A23" s="6" t="s">
        <v>16</v>
      </c>
      <c r="B23" s="6" t="s">
        <v>16</v>
      </c>
      <c r="C23" s="6" t="s">
        <v>17</v>
      </c>
      <c r="D23" s="6" t="s">
        <v>79</v>
      </c>
      <c r="E23" s="6" t="s">
        <v>19</v>
      </c>
      <c r="F23" s="6" t="s">
        <v>42</v>
      </c>
      <c r="G23" s="6">
        <v>391</v>
      </c>
      <c r="H23" s="6" t="s">
        <v>106</v>
      </c>
      <c r="I23" s="6" t="s">
        <v>21</v>
      </c>
      <c r="J23" s="6">
        <v>50136255</v>
      </c>
      <c r="K23" s="9" t="str">
        <f>CONCATENATE(J23,2)</f>
        <v>501362552</v>
      </c>
      <c r="L23" s="6" t="s">
        <v>23</v>
      </c>
      <c r="M23" s="6" t="s">
        <v>59</v>
      </c>
      <c r="N23" s="7">
        <v>46023</v>
      </c>
      <c r="O23" s="6" t="s">
        <v>99</v>
      </c>
      <c r="P23" s="6" t="s">
        <v>101</v>
      </c>
    </row>
    <row r="24" spans="1:20" s="6" customFormat="1" x14ac:dyDescent="0.25">
      <c r="A24" s="6" t="s">
        <v>16</v>
      </c>
      <c r="B24" s="6" t="s">
        <v>16</v>
      </c>
      <c r="C24" s="6" t="s">
        <v>17</v>
      </c>
      <c r="D24" s="6" t="s">
        <v>79</v>
      </c>
      <c r="E24" s="6" t="s">
        <v>19</v>
      </c>
      <c r="F24" s="6" t="s">
        <v>42</v>
      </c>
      <c r="G24" s="6">
        <v>391</v>
      </c>
      <c r="H24" s="6" t="s">
        <v>106</v>
      </c>
      <c r="I24" s="6" t="s">
        <v>21</v>
      </c>
      <c r="J24" s="6">
        <v>51045893</v>
      </c>
      <c r="K24" s="9" t="str">
        <f>CONCATENATE(J24,2)</f>
        <v>510458932</v>
      </c>
      <c r="L24" s="6" t="s">
        <v>23</v>
      </c>
      <c r="M24" s="6" t="s">
        <v>63</v>
      </c>
      <c r="N24" s="7">
        <v>46023</v>
      </c>
      <c r="O24" s="6" t="s">
        <v>99</v>
      </c>
      <c r="P24" s="6" t="s">
        <v>101</v>
      </c>
      <c r="T24" s="8"/>
    </row>
    <row r="25" spans="1:20" s="6" customFormat="1" x14ac:dyDescent="0.25">
      <c r="A25" s="6" t="s">
        <v>16</v>
      </c>
      <c r="B25" s="6" t="s">
        <v>16</v>
      </c>
      <c r="C25" s="6" t="s">
        <v>17</v>
      </c>
      <c r="D25" s="6" t="s">
        <v>79</v>
      </c>
      <c r="E25" s="6" t="s">
        <v>19</v>
      </c>
      <c r="F25" s="6" t="s">
        <v>42</v>
      </c>
      <c r="G25" s="6">
        <v>391</v>
      </c>
      <c r="H25" s="6" t="s">
        <v>106</v>
      </c>
      <c r="I25" s="6" t="s">
        <v>21</v>
      </c>
      <c r="J25" s="6">
        <v>51042974</v>
      </c>
      <c r="K25" s="9" t="str">
        <f>CONCATENATE(J25,2)</f>
        <v>510429742</v>
      </c>
      <c r="L25" s="6" t="s">
        <v>23</v>
      </c>
      <c r="M25" s="6" t="s">
        <v>70</v>
      </c>
      <c r="N25" s="7">
        <v>46023</v>
      </c>
      <c r="O25" s="6" t="s">
        <v>99</v>
      </c>
      <c r="P25" s="6" t="s">
        <v>101</v>
      </c>
      <c r="T25" s="8"/>
    </row>
    <row r="26" spans="1:20" s="6" customFormat="1" x14ac:dyDescent="0.25">
      <c r="A26" s="6" t="s">
        <v>16</v>
      </c>
      <c r="B26" s="6" t="s">
        <v>16</v>
      </c>
      <c r="C26" s="6" t="s">
        <v>17</v>
      </c>
      <c r="D26" s="6" t="s">
        <v>79</v>
      </c>
      <c r="E26" s="6" t="s">
        <v>19</v>
      </c>
      <c r="F26" s="6" t="s">
        <v>29</v>
      </c>
      <c r="G26" s="6">
        <v>391</v>
      </c>
      <c r="H26" s="6">
        <v>16509456</v>
      </c>
      <c r="I26" s="6" t="s">
        <v>21</v>
      </c>
      <c r="J26" s="6">
        <v>51020482</v>
      </c>
      <c r="K26" s="9" t="str">
        <f>CONCATENATE(J26,2)</f>
        <v>510204822</v>
      </c>
      <c r="L26" s="6" t="s">
        <v>23</v>
      </c>
      <c r="M26" s="6" t="s">
        <v>31</v>
      </c>
      <c r="N26" s="7">
        <v>46023</v>
      </c>
      <c r="O26" s="6" t="s">
        <v>99</v>
      </c>
      <c r="P26" s="6" t="s">
        <v>101</v>
      </c>
    </row>
    <row r="27" spans="1:20" s="6" customFormat="1" x14ac:dyDescent="0.25">
      <c r="A27" s="6" t="s">
        <v>16</v>
      </c>
      <c r="B27" s="6" t="s">
        <v>16</v>
      </c>
      <c r="C27" s="6" t="s">
        <v>17</v>
      </c>
      <c r="D27" s="6" t="s">
        <v>79</v>
      </c>
      <c r="E27" s="6" t="s">
        <v>19</v>
      </c>
      <c r="F27" s="6" t="s">
        <v>29</v>
      </c>
      <c r="G27" s="6">
        <v>391</v>
      </c>
      <c r="H27" s="6">
        <v>16509456</v>
      </c>
      <c r="I27" s="6" t="s">
        <v>21</v>
      </c>
      <c r="J27" s="6">
        <v>50117902</v>
      </c>
      <c r="K27" s="9" t="str">
        <f>CONCATENATE(J27,2)</f>
        <v>501179022</v>
      </c>
      <c r="L27" s="6" t="s">
        <v>23</v>
      </c>
      <c r="M27" s="6" t="s">
        <v>41</v>
      </c>
      <c r="N27" s="7">
        <v>46023</v>
      </c>
      <c r="O27" s="6" t="s">
        <v>99</v>
      </c>
      <c r="P27" s="6" t="s">
        <v>101</v>
      </c>
    </row>
    <row r="28" spans="1:20" s="6" customFormat="1" x14ac:dyDescent="0.25">
      <c r="A28" s="6" t="s">
        <v>16</v>
      </c>
      <c r="B28" s="6" t="s">
        <v>16</v>
      </c>
      <c r="C28" s="6" t="s">
        <v>17</v>
      </c>
      <c r="D28" s="6" t="s">
        <v>79</v>
      </c>
      <c r="E28" s="6" t="s">
        <v>19</v>
      </c>
      <c r="F28" s="6" t="s">
        <v>29</v>
      </c>
      <c r="G28" s="6">
        <v>391</v>
      </c>
      <c r="H28" s="6">
        <v>16509456</v>
      </c>
      <c r="I28" s="6" t="s">
        <v>21</v>
      </c>
      <c r="J28" s="6">
        <v>51044864</v>
      </c>
      <c r="K28" s="9" t="str">
        <f>CONCATENATE(J28,2)</f>
        <v>510448642</v>
      </c>
      <c r="L28" s="6" t="s">
        <v>23</v>
      </c>
      <c r="M28" s="6" t="s">
        <v>48</v>
      </c>
      <c r="N28" s="7">
        <v>46023</v>
      </c>
      <c r="O28" s="6" t="s">
        <v>99</v>
      </c>
      <c r="P28" s="6" t="s">
        <v>101</v>
      </c>
    </row>
    <row r="29" spans="1:20" s="6" customFormat="1" x14ac:dyDescent="0.25">
      <c r="A29" s="6" t="s">
        <v>16</v>
      </c>
      <c r="B29" s="6" t="s">
        <v>16</v>
      </c>
      <c r="C29" s="6" t="s">
        <v>17</v>
      </c>
      <c r="D29" s="6" t="s">
        <v>79</v>
      </c>
      <c r="E29" s="6" t="s">
        <v>19</v>
      </c>
      <c r="F29" s="6" t="s">
        <v>29</v>
      </c>
      <c r="G29" s="6">
        <v>391</v>
      </c>
      <c r="H29" s="6">
        <v>16509456</v>
      </c>
      <c r="I29" s="6" t="s">
        <v>21</v>
      </c>
      <c r="J29" s="6">
        <v>50112078</v>
      </c>
      <c r="K29" s="9" t="str">
        <f>CONCATENATE(J29,2)</f>
        <v>501120782</v>
      </c>
      <c r="L29" s="6" t="s">
        <v>23</v>
      </c>
      <c r="M29" s="6" t="s">
        <v>57</v>
      </c>
      <c r="N29" s="7">
        <v>46023</v>
      </c>
      <c r="O29" s="6" t="s">
        <v>99</v>
      </c>
      <c r="P29" s="6" t="s">
        <v>101</v>
      </c>
    </row>
    <row r="30" spans="1:20" s="6" customFormat="1" x14ac:dyDescent="0.25">
      <c r="A30" s="6" t="s">
        <v>16</v>
      </c>
      <c r="B30" s="6" t="s">
        <v>16</v>
      </c>
      <c r="C30" s="6" t="s">
        <v>17</v>
      </c>
      <c r="D30" s="6" t="s">
        <v>79</v>
      </c>
      <c r="E30" s="6" t="s">
        <v>19</v>
      </c>
      <c r="F30" s="6" t="s">
        <v>29</v>
      </c>
      <c r="G30" s="6">
        <v>391</v>
      </c>
      <c r="H30" s="6">
        <v>16509456</v>
      </c>
      <c r="I30" s="6" t="s">
        <v>21</v>
      </c>
      <c r="J30" s="6">
        <v>51045906</v>
      </c>
      <c r="K30" s="9" t="str">
        <f>CONCATENATE(J30,2)</f>
        <v>510459062</v>
      </c>
      <c r="L30" s="6" t="s">
        <v>23</v>
      </c>
      <c r="M30" s="6" t="s">
        <v>61</v>
      </c>
      <c r="N30" s="7">
        <v>46023</v>
      </c>
      <c r="O30" s="6" t="s">
        <v>99</v>
      </c>
      <c r="P30" s="6" t="s">
        <v>101</v>
      </c>
    </row>
    <row r="31" spans="1:20" s="6" customFormat="1" x14ac:dyDescent="0.25">
      <c r="A31" s="6" t="s">
        <v>16</v>
      </c>
      <c r="B31" s="6" t="s">
        <v>16</v>
      </c>
      <c r="C31" s="6" t="s">
        <v>17</v>
      </c>
      <c r="D31" s="6" t="s">
        <v>79</v>
      </c>
      <c r="E31" s="6" t="s">
        <v>19</v>
      </c>
      <c r="F31" s="6" t="s">
        <v>29</v>
      </c>
      <c r="G31" s="6">
        <v>391</v>
      </c>
      <c r="H31" s="6">
        <v>16509456</v>
      </c>
      <c r="I31" s="6" t="s">
        <v>21</v>
      </c>
      <c r="J31" s="6">
        <v>50025444</v>
      </c>
      <c r="K31" s="9" t="str">
        <f>CONCATENATE(J31,2)</f>
        <v>500254442</v>
      </c>
      <c r="L31" s="6" t="s">
        <v>23</v>
      </c>
      <c r="M31" s="6" t="s">
        <v>66</v>
      </c>
      <c r="N31" s="7">
        <v>46023</v>
      </c>
      <c r="O31" s="6" t="s">
        <v>99</v>
      </c>
      <c r="P31" s="6" t="s">
        <v>101</v>
      </c>
      <c r="T31" s="8"/>
    </row>
    <row r="32" spans="1:20" s="6" customFormat="1" x14ac:dyDescent="0.25">
      <c r="A32" s="6" t="s">
        <v>16</v>
      </c>
      <c r="B32" s="6" t="s">
        <v>16</v>
      </c>
      <c r="C32" s="6" t="s">
        <v>17</v>
      </c>
      <c r="D32" s="6" t="s">
        <v>79</v>
      </c>
      <c r="E32" s="6" t="s">
        <v>19</v>
      </c>
      <c r="F32" s="6" t="s">
        <v>29</v>
      </c>
      <c r="G32" s="6">
        <v>391</v>
      </c>
      <c r="H32" s="6">
        <v>16509456</v>
      </c>
      <c r="I32" s="6" t="s">
        <v>21</v>
      </c>
      <c r="J32" s="6">
        <v>50140907</v>
      </c>
      <c r="K32" s="9" t="str">
        <f>CONCATENATE(J32,2)</f>
        <v>501409072</v>
      </c>
      <c r="L32" s="6" t="s">
        <v>23</v>
      </c>
      <c r="M32" s="6" t="s">
        <v>74</v>
      </c>
      <c r="N32" s="7">
        <v>46023</v>
      </c>
      <c r="O32" s="6" t="s">
        <v>99</v>
      </c>
      <c r="P32" s="6" t="s">
        <v>101</v>
      </c>
    </row>
    <row r="33" spans="1:20" s="8" customFormat="1" x14ac:dyDescent="0.25">
      <c r="A33" s="9" t="s">
        <v>16</v>
      </c>
      <c r="B33" s="9" t="s">
        <v>16</v>
      </c>
      <c r="C33" s="9" t="s">
        <v>17</v>
      </c>
      <c r="D33" s="9" t="s">
        <v>79</v>
      </c>
      <c r="E33" s="9" t="s">
        <v>19</v>
      </c>
      <c r="F33" s="9" t="s">
        <v>37</v>
      </c>
      <c r="G33" s="9">
        <v>-391</v>
      </c>
      <c r="H33" s="9">
        <v>21618313</v>
      </c>
      <c r="I33" s="9" t="s">
        <v>21</v>
      </c>
      <c r="J33" s="9">
        <v>51054600</v>
      </c>
      <c r="K33" s="9" t="str">
        <f>CONCATENATE(J33,2)</f>
        <v>510546002</v>
      </c>
      <c r="L33" s="9" t="s">
        <v>23</v>
      </c>
      <c r="M33" s="9" t="s">
        <v>81</v>
      </c>
      <c r="N33" s="10">
        <v>46023</v>
      </c>
      <c r="O33" s="9" t="s">
        <v>99</v>
      </c>
      <c r="P33" s="9" t="s">
        <v>101</v>
      </c>
      <c r="Q33" s="9"/>
      <c r="R33" s="9"/>
      <c r="S33" s="9"/>
      <c r="T33" s="9"/>
    </row>
    <row r="34" spans="1:20" s="8" customFormat="1" x14ac:dyDescent="0.25">
      <c r="A34" s="6" t="s">
        <v>16</v>
      </c>
      <c r="B34" s="6" t="s">
        <v>16</v>
      </c>
      <c r="C34" s="6" t="s">
        <v>17</v>
      </c>
      <c r="D34" s="6" t="s">
        <v>79</v>
      </c>
      <c r="E34" s="6" t="s">
        <v>19</v>
      </c>
      <c r="F34" s="6" t="s">
        <v>37</v>
      </c>
      <c r="G34" s="6">
        <v>-391</v>
      </c>
      <c r="H34" s="6">
        <v>21618313</v>
      </c>
      <c r="I34" s="6" t="s">
        <v>21</v>
      </c>
      <c r="J34" s="6">
        <v>51050008</v>
      </c>
      <c r="K34" s="9" t="str">
        <f>CONCATENATE(J34,2)</f>
        <v>510500082</v>
      </c>
      <c r="L34" s="6" t="s">
        <v>23</v>
      </c>
      <c r="M34" s="6" t="s">
        <v>85</v>
      </c>
      <c r="N34" s="7">
        <v>46023</v>
      </c>
      <c r="O34" s="6" t="s">
        <v>99</v>
      </c>
      <c r="P34" s="6" t="s">
        <v>101</v>
      </c>
      <c r="Q34" s="6"/>
      <c r="R34" s="6"/>
      <c r="S34" s="6"/>
      <c r="T34" s="6"/>
    </row>
    <row r="35" spans="1:20" s="8" customFormat="1" x14ac:dyDescent="0.25">
      <c r="A35" s="6" t="s">
        <v>16</v>
      </c>
      <c r="B35" s="6" t="s">
        <v>16</v>
      </c>
      <c r="C35" s="6" t="s">
        <v>17</v>
      </c>
      <c r="D35" s="6" t="s">
        <v>79</v>
      </c>
      <c r="E35" s="6" t="s">
        <v>19</v>
      </c>
      <c r="F35" s="6" t="s">
        <v>37</v>
      </c>
      <c r="G35" s="6">
        <v>391</v>
      </c>
      <c r="H35" s="6">
        <v>21618313</v>
      </c>
      <c r="I35" s="6" t="s">
        <v>21</v>
      </c>
      <c r="J35" s="6">
        <v>50115625</v>
      </c>
      <c r="K35" s="9" t="str">
        <f>CONCATENATE(J35,2)</f>
        <v>501156252</v>
      </c>
      <c r="L35" s="6" t="s">
        <v>23</v>
      </c>
      <c r="M35" s="6" t="s">
        <v>39</v>
      </c>
      <c r="N35" s="7">
        <v>46023</v>
      </c>
      <c r="O35" s="6" t="s">
        <v>99</v>
      </c>
      <c r="P35" s="6" t="s">
        <v>101</v>
      </c>
      <c r="Q35" s="6"/>
      <c r="R35" s="6"/>
      <c r="S35" s="6"/>
      <c r="T35" s="6"/>
    </row>
    <row r="36" spans="1:20" s="8" customFormat="1" x14ac:dyDescent="0.25">
      <c r="A36" s="6" t="s">
        <v>16</v>
      </c>
      <c r="B36" s="6" t="s">
        <v>16</v>
      </c>
      <c r="C36" s="6" t="s">
        <v>17</v>
      </c>
      <c r="D36" s="6" t="s">
        <v>79</v>
      </c>
      <c r="E36" s="6" t="s">
        <v>19</v>
      </c>
      <c r="F36" s="6" t="s">
        <v>37</v>
      </c>
      <c r="G36" s="6">
        <v>391</v>
      </c>
      <c r="H36" s="6">
        <v>21618313</v>
      </c>
      <c r="I36" s="6" t="s">
        <v>21</v>
      </c>
      <c r="J36" s="6">
        <v>51045900</v>
      </c>
      <c r="K36" s="9" t="str">
        <f>CONCATENATE(J36,2)</f>
        <v>510459002</v>
      </c>
      <c r="L36" s="6" t="s">
        <v>23</v>
      </c>
      <c r="M36" s="6" t="s">
        <v>55</v>
      </c>
      <c r="N36" s="7">
        <v>46023</v>
      </c>
      <c r="O36" s="6" t="s">
        <v>99</v>
      </c>
      <c r="P36" s="6" t="s">
        <v>101</v>
      </c>
      <c r="Q36" s="6"/>
      <c r="R36" s="6"/>
      <c r="S36" s="6"/>
      <c r="T36" s="6"/>
    </row>
    <row r="37" spans="1:20" s="8" customFormat="1" x14ac:dyDescent="0.25">
      <c r="A37" s="6" t="s">
        <v>16</v>
      </c>
      <c r="B37" s="6" t="s">
        <v>16</v>
      </c>
      <c r="C37" s="6" t="s">
        <v>17</v>
      </c>
      <c r="D37" s="6" t="s">
        <v>79</v>
      </c>
      <c r="E37" s="6" t="s">
        <v>19</v>
      </c>
      <c r="F37" s="6" t="s">
        <v>37</v>
      </c>
      <c r="G37" s="6">
        <v>391</v>
      </c>
      <c r="H37" s="6">
        <v>21618313</v>
      </c>
      <c r="I37" s="6" t="s">
        <v>21</v>
      </c>
      <c r="J37" s="6">
        <v>50083100</v>
      </c>
      <c r="K37" s="9" t="str">
        <f>CONCATENATE(J37,2)</f>
        <v>500831002</v>
      </c>
      <c r="L37" s="6" t="s">
        <v>23</v>
      </c>
      <c r="M37" s="6" t="s">
        <v>76</v>
      </c>
      <c r="N37" s="7">
        <v>46023</v>
      </c>
      <c r="O37" s="6" t="s">
        <v>99</v>
      </c>
      <c r="P37" s="6" t="s">
        <v>101</v>
      </c>
      <c r="Q37" s="6"/>
      <c r="R37" s="6"/>
      <c r="S37" s="6"/>
      <c r="T37" s="6"/>
    </row>
    <row r="38" spans="1:20" s="6" customFormat="1" x14ac:dyDescent="0.25">
      <c r="A38" s="6" t="s">
        <v>16</v>
      </c>
      <c r="B38" s="6" t="s">
        <v>16</v>
      </c>
      <c r="C38" s="6" t="s">
        <v>17</v>
      </c>
      <c r="D38" s="6" t="s">
        <v>79</v>
      </c>
      <c r="E38" s="6" t="s">
        <v>19</v>
      </c>
      <c r="F38" s="6" t="s">
        <v>37</v>
      </c>
      <c r="G38" s="6">
        <v>-358.42</v>
      </c>
      <c r="H38" s="6">
        <v>21618313</v>
      </c>
      <c r="I38" s="6" t="s">
        <v>21</v>
      </c>
      <c r="J38" s="6">
        <v>51052718</v>
      </c>
      <c r="K38" s="9" t="str">
        <f>CONCATENATE(J38,2)</f>
        <v>510527182</v>
      </c>
      <c r="L38" s="6" t="s">
        <v>23</v>
      </c>
      <c r="M38" s="6" t="s">
        <v>91</v>
      </c>
      <c r="N38" s="7">
        <v>46054</v>
      </c>
      <c r="O38" s="6" t="s">
        <v>99</v>
      </c>
      <c r="P38" s="6" t="s">
        <v>103</v>
      </c>
    </row>
    <row r="39" spans="1:20" s="6" customFormat="1" x14ac:dyDescent="0.25">
      <c r="A39" s="6" t="s">
        <v>16</v>
      </c>
      <c r="B39" s="6" t="s">
        <v>16</v>
      </c>
      <c r="C39" s="6" t="s">
        <v>17</v>
      </c>
      <c r="D39" s="6" t="s">
        <v>79</v>
      </c>
      <c r="E39" s="6" t="s">
        <v>19</v>
      </c>
      <c r="F39" s="6" t="s">
        <v>37</v>
      </c>
      <c r="G39" s="6">
        <v>-358.42</v>
      </c>
      <c r="H39" s="6">
        <v>21618313</v>
      </c>
      <c r="I39" s="6" t="s">
        <v>21</v>
      </c>
      <c r="J39" s="6">
        <v>51054503</v>
      </c>
      <c r="K39" s="9" t="str">
        <f>CONCATENATE(J39,2)</f>
        <v>510545032</v>
      </c>
      <c r="L39" s="6" t="s">
        <v>23</v>
      </c>
      <c r="M39" s="6" t="s">
        <v>94</v>
      </c>
      <c r="N39" s="7">
        <v>46054</v>
      </c>
      <c r="O39" s="6" t="s">
        <v>99</v>
      </c>
      <c r="P39" s="6" t="s">
        <v>103</v>
      </c>
    </row>
    <row r="40" spans="1:20" s="6" customFormat="1" x14ac:dyDescent="0.25">
      <c r="A40" s="6" t="s">
        <v>16</v>
      </c>
      <c r="B40" s="6" t="s">
        <v>16</v>
      </c>
      <c r="C40" s="6" t="s">
        <v>17</v>
      </c>
      <c r="D40" s="6" t="s">
        <v>79</v>
      </c>
      <c r="E40" s="6" t="s">
        <v>19</v>
      </c>
      <c r="F40" s="6" t="s">
        <v>37</v>
      </c>
      <c r="G40" s="6">
        <v>-325.83</v>
      </c>
      <c r="H40" s="6">
        <v>21618313</v>
      </c>
      <c r="I40" s="6" t="s">
        <v>21</v>
      </c>
      <c r="J40" s="6">
        <v>51052716</v>
      </c>
      <c r="K40" s="9" t="str">
        <f>CONCATENATE(J40,2)</f>
        <v>510527162</v>
      </c>
      <c r="L40" s="6" t="s">
        <v>23</v>
      </c>
      <c r="M40" s="6" t="s">
        <v>96</v>
      </c>
      <c r="N40" s="7">
        <v>46082</v>
      </c>
      <c r="O40" s="6" t="s">
        <v>99</v>
      </c>
      <c r="P40" s="6" t="s">
        <v>104</v>
      </c>
    </row>
    <row r="41" spans="1:20" s="6" customFormat="1" x14ac:dyDescent="0.25">
      <c r="A41" s="6" t="s">
        <v>16</v>
      </c>
      <c r="B41" s="6" t="s">
        <v>16</v>
      </c>
      <c r="C41" s="6" t="s">
        <v>17</v>
      </c>
      <c r="D41" s="6" t="s">
        <v>79</v>
      </c>
      <c r="E41" s="6" t="s">
        <v>19</v>
      </c>
      <c r="F41" s="6" t="s">
        <v>32</v>
      </c>
      <c r="G41" s="6">
        <v>391</v>
      </c>
      <c r="H41" s="6">
        <v>16212649</v>
      </c>
      <c r="I41" s="6" t="s">
        <v>21</v>
      </c>
      <c r="J41" s="6">
        <v>50135671</v>
      </c>
      <c r="K41" s="9" t="str">
        <f>CONCATENATE(J41,2)</f>
        <v>501356712</v>
      </c>
      <c r="L41" s="6" t="s">
        <v>23</v>
      </c>
      <c r="M41" s="6" t="s">
        <v>34</v>
      </c>
      <c r="N41" s="7">
        <v>46023</v>
      </c>
      <c r="O41" s="6" t="s">
        <v>99</v>
      </c>
      <c r="P41" s="6" t="s">
        <v>101</v>
      </c>
    </row>
    <row r="42" spans="1:20" s="6" customFormat="1" x14ac:dyDescent="0.25">
      <c r="A42" s="6" t="s">
        <v>16</v>
      </c>
      <c r="B42" s="6" t="s">
        <v>16</v>
      </c>
      <c r="C42" s="6" t="s">
        <v>17</v>
      </c>
      <c r="D42" s="6" t="s">
        <v>79</v>
      </c>
      <c r="E42" s="6" t="s">
        <v>19</v>
      </c>
      <c r="F42" s="6" t="s">
        <v>32</v>
      </c>
      <c r="G42" s="6">
        <v>391</v>
      </c>
      <c r="H42" s="6">
        <v>16212649</v>
      </c>
      <c r="I42" s="6" t="s">
        <v>21</v>
      </c>
      <c r="J42" s="6">
        <v>50141164</v>
      </c>
      <c r="K42" s="9" t="str">
        <f>CONCATENATE(J42,2)</f>
        <v>501411642</v>
      </c>
      <c r="L42" s="6" t="s">
        <v>23</v>
      </c>
      <c r="M42" s="6" t="s">
        <v>51</v>
      </c>
      <c r="N42" s="7">
        <v>46023</v>
      </c>
      <c r="O42" s="6" t="s">
        <v>99</v>
      </c>
      <c r="P42" s="6" t="s">
        <v>101</v>
      </c>
    </row>
    <row r="43" spans="1:20" s="6" customFormat="1" x14ac:dyDescent="0.25">
      <c r="A43" s="6" t="s">
        <v>16</v>
      </c>
      <c r="B43" s="6" t="s">
        <v>16</v>
      </c>
      <c r="C43" s="6" t="s">
        <v>17</v>
      </c>
      <c r="D43" s="6" t="s">
        <v>79</v>
      </c>
      <c r="E43" s="6" t="s">
        <v>19</v>
      </c>
      <c r="F43" s="6" t="s">
        <v>32</v>
      </c>
      <c r="G43" s="6">
        <v>391</v>
      </c>
      <c r="H43" s="6">
        <v>16212649</v>
      </c>
      <c r="I43" s="6" t="s">
        <v>21</v>
      </c>
      <c r="J43" s="6">
        <v>50090833</v>
      </c>
      <c r="K43" s="9" t="str">
        <f>CONCATENATE(J43,2)</f>
        <v>500908332</v>
      </c>
      <c r="L43" s="6" t="s">
        <v>23</v>
      </c>
      <c r="M43" s="6" t="s">
        <v>72</v>
      </c>
      <c r="N43" s="7">
        <v>46023</v>
      </c>
      <c r="O43" s="6" t="s">
        <v>99</v>
      </c>
      <c r="P43" s="6" t="s">
        <v>101</v>
      </c>
    </row>
    <row r="44" spans="1:20" s="1" customFormat="1" x14ac:dyDescent="0.25">
      <c r="A44" s="1" t="s">
        <v>16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98</v>
      </c>
      <c r="G44" s="1">
        <v>60</v>
      </c>
      <c r="H44" s="1">
        <v>20411454</v>
      </c>
      <c r="I44" s="1" t="s">
        <v>21</v>
      </c>
      <c r="J44" s="1">
        <v>50019511</v>
      </c>
      <c r="K44" s="1" t="str">
        <f>CONCATENATE(J44,"OVR")</f>
        <v>50019511OVR</v>
      </c>
      <c r="L44" s="1" t="s">
        <v>23</v>
      </c>
      <c r="M44" s="1" t="s">
        <v>24</v>
      </c>
      <c r="N44" s="2">
        <v>46023</v>
      </c>
      <c r="O44" s="1" t="s">
        <v>105</v>
      </c>
      <c r="P44" s="1" t="s">
        <v>17</v>
      </c>
    </row>
    <row r="45" spans="1:20" s="1" customFormat="1" x14ac:dyDescent="0.25">
      <c r="A45" s="1" t="s">
        <v>16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98</v>
      </c>
      <c r="G45" s="1">
        <v>60</v>
      </c>
      <c r="H45" s="1">
        <v>20411454</v>
      </c>
      <c r="I45" s="1" t="s">
        <v>21</v>
      </c>
      <c r="J45" s="1">
        <v>51044314</v>
      </c>
      <c r="K45" s="1" t="str">
        <f>CONCATENATE(J45,"OVR")</f>
        <v>51044314OVR</v>
      </c>
      <c r="L45" s="1" t="s">
        <v>23</v>
      </c>
      <c r="M45" s="1" t="s">
        <v>28</v>
      </c>
      <c r="N45" s="2">
        <v>46023</v>
      </c>
      <c r="O45" s="1" t="s">
        <v>105</v>
      </c>
      <c r="P45" s="1" t="s">
        <v>17</v>
      </c>
    </row>
    <row r="46" spans="1:20" s="1" customFormat="1" x14ac:dyDescent="0.25">
      <c r="A46" s="1" t="s">
        <v>16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98</v>
      </c>
      <c r="G46" s="1">
        <v>60</v>
      </c>
      <c r="H46" s="1">
        <v>20411454</v>
      </c>
      <c r="I46" s="1" t="s">
        <v>21</v>
      </c>
      <c r="J46" s="1">
        <v>51020482</v>
      </c>
      <c r="K46" s="1" t="str">
        <f>CONCATENATE(J46,"OVR")</f>
        <v>51020482OVR</v>
      </c>
      <c r="L46" s="1" t="s">
        <v>23</v>
      </c>
      <c r="M46" s="1" t="s">
        <v>31</v>
      </c>
      <c r="N46" s="2">
        <v>46023</v>
      </c>
      <c r="O46" s="1" t="s">
        <v>105</v>
      </c>
      <c r="P46" s="1" t="s">
        <v>17</v>
      </c>
    </row>
    <row r="47" spans="1:20" s="1" customFormat="1" x14ac:dyDescent="0.25">
      <c r="A47" s="1" t="s">
        <v>16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98</v>
      </c>
      <c r="G47" s="1">
        <v>60</v>
      </c>
      <c r="H47" s="1">
        <v>20411454</v>
      </c>
      <c r="I47" s="1" t="s">
        <v>21</v>
      </c>
      <c r="J47" s="1">
        <v>50135671</v>
      </c>
      <c r="K47" s="1" t="str">
        <f>CONCATENATE(J47,"OVR")</f>
        <v>50135671OVR</v>
      </c>
      <c r="L47" s="1" t="s">
        <v>23</v>
      </c>
      <c r="M47" s="1" t="s">
        <v>34</v>
      </c>
      <c r="N47" s="2">
        <v>46023</v>
      </c>
      <c r="O47" s="1" t="s">
        <v>105</v>
      </c>
      <c r="P47" s="1" t="s">
        <v>17</v>
      </c>
    </row>
    <row r="48" spans="1:20" s="1" customFormat="1" x14ac:dyDescent="0.25">
      <c r="A48" s="1" t="s">
        <v>16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98</v>
      </c>
      <c r="G48" s="1">
        <v>60</v>
      </c>
      <c r="H48" s="1">
        <v>20411454</v>
      </c>
      <c r="I48" s="1" t="s">
        <v>21</v>
      </c>
      <c r="J48" s="1">
        <v>51046503</v>
      </c>
      <c r="K48" s="1" t="str">
        <f>CONCATENATE(J48,"OVR")</f>
        <v>51046503OVR</v>
      </c>
      <c r="L48" s="1" t="s">
        <v>23</v>
      </c>
      <c r="M48" s="1" t="s">
        <v>36</v>
      </c>
      <c r="N48" s="2">
        <v>46023</v>
      </c>
      <c r="O48" s="1" t="s">
        <v>105</v>
      </c>
      <c r="P48" s="1" t="s">
        <v>17</v>
      </c>
    </row>
    <row r="49" spans="1:16" s="1" customFormat="1" x14ac:dyDescent="0.25">
      <c r="A49" s="1" t="s">
        <v>16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98</v>
      </c>
      <c r="G49" s="1">
        <v>60</v>
      </c>
      <c r="H49" s="1">
        <v>20411454</v>
      </c>
      <c r="I49" s="1" t="s">
        <v>21</v>
      </c>
      <c r="J49" s="1">
        <v>50115625</v>
      </c>
      <c r="K49" s="1" t="str">
        <f>CONCATENATE(J49,"OVR")</f>
        <v>50115625OVR</v>
      </c>
      <c r="L49" s="1" t="s">
        <v>23</v>
      </c>
      <c r="M49" s="1" t="s">
        <v>39</v>
      </c>
      <c r="N49" s="2">
        <v>46023</v>
      </c>
      <c r="O49" s="1" t="s">
        <v>105</v>
      </c>
      <c r="P49" s="1" t="s">
        <v>17</v>
      </c>
    </row>
    <row r="50" spans="1:16" s="1" customFormat="1" x14ac:dyDescent="0.25">
      <c r="A50" s="1" t="s">
        <v>16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98</v>
      </c>
      <c r="G50" s="1">
        <v>60</v>
      </c>
      <c r="H50" s="1">
        <v>20411454</v>
      </c>
      <c r="I50" s="1" t="s">
        <v>21</v>
      </c>
      <c r="J50" s="1">
        <v>50117902</v>
      </c>
      <c r="K50" s="1" t="str">
        <f>CONCATENATE(J50,"OVR")</f>
        <v>50117902OVR</v>
      </c>
      <c r="L50" s="1" t="s">
        <v>23</v>
      </c>
      <c r="M50" s="1" t="s">
        <v>41</v>
      </c>
      <c r="N50" s="2">
        <v>46023</v>
      </c>
      <c r="O50" s="1" t="s">
        <v>105</v>
      </c>
      <c r="P50" s="1" t="s">
        <v>17</v>
      </c>
    </row>
    <row r="51" spans="1:16" s="1" customFormat="1" x14ac:dyDescent="0.25">
      <c r="A51" s="1" t="s">
        <v>16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98</v>
      </c>
      <c r="G51" s="1">
        <v>60</v>
      </c>
      <c r="H51" s="1">
        <v>20411454</v>
      </c>
      <c r="I51" s="1" t="s">
        <v>21</v>
      </c>
      <c r="J51" s="1">
        <v>51045632</v>
      </c>
      <c r="K51" s="1" t="str">
        <f>CONCATENATE(J51,"OVR")</f>
        <v>51045632OVR</v>
      </c>
      <c r="L51" s="1" t="s">
        <v>23</v>
      </c>
      <c r="M51" s="1" t="s">
        <v>44</v>
      </c>
      <c r="N51" s="2">
        <v>46023</v>
      </c>
      <c r="O51" s="1" t="s">
        <v>105</v>
      </c>
      <c r="P51" s="1" t="s">
        <v>17</v>
      </c>
    </row>
    <row r="52" spans="1:16" s="1" customFormat="1" x14ac:dyDescent="0.25">
      <c r="A52" s="1" t="s">
        <v>16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98</v>
      </c>
      <c r="G52" s="1">
        <v>60</v>
      </c>
      <c r="H52" s="1">
        <v>20411454</v>
      </c>
      <c r="I52" s="1" t="s">
        <v>21</v>
      </c>
      <c r="J52" s="1">
        <v>51038860</v>
      </c>
      <c r="K52" s="1" t="str">
        <f>CONCATENATE(J52,"OVR")</f>
        <v>51038860OVR</v>
      </c>
      <c r="L52" s="1" t="s">
        <v>23</v>
      </c>
      <c r="M52" s="1" t="s">
        <v>46</v>
      </c>
      <c r="N52" s="2">
        <v>46023</v>
      </c>
      <c r="O52" s="1" t="s">
        <v>105</v>
      </c>
      <c r="P52" s="1" t="s">
        <v>17</v>
      </c>
    </row>
    <row r="53" spans="1:16" s="1" customFormat="1" x14ac:dyDescent="0.25">
      <c r="A53" s="1" t="s">
        <v>16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98</v>
      </c>
      <c r="G53" s="1">
        <v>60</v>
      </c>
      <c r="H53" s="1">
        <v>20411454</v>
      </c>
      <c r="I53" s="1" t="s">
        <v>21</v>
      </c>
      <c r="J53" s="1">
        <v>51044864</v>
      </c>
      <c r="K53" s="1" t="str">
        <f>CONCATENATE(J53,"OVR")</f>
        <v>51044864OVR</v>
      </c>
      <c r="L53" s="1" t="s">
        <v>23</v>
      </c>
      <c r="M53" s="1" t="s">
        <v>48</v>
      </c>
      <c r="N53" s="2">
        <v>46023</v>
      </c>
      <c r="O53" s="1" t="s">
        <v>105</v>
      </c>
      <c r="P53" s="1" t="s">
        <v>17</v>
      </c>
    </row>
    <row r="54" spans="1:16" s="1" customFormat="1" x14ac:dyDescent="0.25">
      <c r="A54" s="1" t="s">
        <v>16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98</v>
      </c>
      <c r="G54" s="1">
        <v>60</v>
      </c>
      <c r="H54" s="1">
        <v>20411454</v>
      </c>
      <c r="I54" s="1" t="s">
        <v>21</v>
      </c>
      <c r="J54" s="1">
        <v>50109997</v>
      </c>
      <c r="K54" s="1" t="str">
        <f>CONCATENATE(J54,"OVR")</f>
        <v>50109997OVR</v>
      </c>
      <c r="L54" s="1" t="s">
        <v>23</v>
      </c>
      <c r="M54" s="1" t="s">
        <v>50</v>
      </c>
      <c r="N54" s="2">
        <v>46023</v>
      </c>
      <c r="O54" s="1" t="s">
        <v>105</v>
      </c>
      <c r="P54" s="1" t="s">
        <v>17</v>
      </c>
    </row>
    <row r="55" spans="1:16" s="1" customFormat="1" x14ac:dyDescent="0.25">
      <c r="A55" s="1" t="s">
        <v>16</v>
      </c>
      <c r="B55" s="1" t="s">
        <v>16</v>
      </c>
      <c r="C55" s="1" t="s">
        <v>17</v>
      </c>
      <c r="D55" s="1" t="s">
        <v>18</v>
      </c>
      <c r="E55" s="1" t="s">
        <v>19</v>
      </c>
      <c r="F55" s="1" t="s">
        <v>98</v>
      </c>
      <c r="G55" s="1">
        <v>60</v>
      </c>
      <c r="H55" s="1">
        <v>20411454</v>
      </c>
      <c r="I55" s="1" t="s">
        <v>21</v>
      </c>
      <c r="J55" s="1">
        <v>50141164</v>
      </c>
      <c r="K55" s="1" t="str">
        <f>CONCATENATE(J55,"OVR")</f>
        <v>50141164OVR</v>
      </c>
      <c r="L55" s="1" t="s">
        <v>23</v>
      </c>
      <c r="M55" s="1" t="s">
        <v>51</v>
      </c>
      <c r="N55" s="2">
        <v>46023</v>
      </c>
      <c r="O55" s="1" t="s">
        <v>105</v>
      </c>
      <c r="P55" s="1" t="s">
        <v>17</v>
      </c>
    </row>
    <row r="56" spans="1:16" s="1" customFormat="1" x14ac:dyDescent="0.25">
      <c r="A56" s="1" t="s">
        <v>16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98</v>
      </c>
      <c r="G56" s="1">
        <v>60</v>
      </c>
      <c r="H56" s="1">
        <v>20411454</v>
      </c>
      <c r="I56" s="1" t="s">
        <v>21</v>
      </c>
      <c r="J56" s="1">
        <v>51040362</v>
      </c>
      <c r="K56" s="1" t="str">
        <f>CONCATENATE(J56,"OVR")</f>
        <v>51040362OVR</v>
      </c>
      <c r="L56" s="1" t="s">
        <v>23</v>
      </c>
      <c r="M56" s="1" t="s">
        <v>53</v>
      </c>
      <c r="N56" s="2">
        <v>46023</v>
      </c>
      <c r="O56" s="1" t="s">
        <v>105</v>
      </c>
      <c r="P56" s="1" t="s">
        <v>17</v>
      </c>
    </row>
    <row r="57" spans="1:16" s="1" customFormat="1" x14ac:dyDescent="0.25">
      <c r="A57" s="1" t="s">
        <v>16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98</v>
      </c>
      <c r="G57" s="1">
        <v>60</v>
      </c>
      <c r="H57" s="1">
        <v>20411454</v>
      </c>
      <c r="I57" s="1" t="s">
        <v>21</v>
      </c>
      <c r="J57" s="1">
        <v>51045900</v>
      </c>
      <c r="K57" s="1" t="str">
        <f>CONCATENATE(J57,"OVR")</f>
        <v>51045900OVR</v>
      </c>
      <c r="L57" s="1" t="s">
        <v>23</v>
      </c>
      <c r="M57" s="1" t="s">
        <v>55</v>
      </c>
      <c r="N57" s="2">
        <v>46023</v>
      </c>
      <c r="O57" s="1" t="s">
        <v>105</v>
      </c>
      <c r="P57" s="1" t="s">
        <v>17</v>
      </c>
    </row>
    <row r="58" spans="1:16" s="1" customFormat="1" x14ac:dyDescent="0.25">
      <c r="A58" s="1" t="s">
        <v>16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98</v>
      </c>
      <c r="G58" s="1">
        <v>60</v>
      </c>
      <c r="H58" s="1">
        <v>20411454</v>
      </c>
      <c r="I58" s="1" t="s">
        <v>21</v>
      </c>
      <c r="J58" s="1">
        <v>50112078</v>
      </c>
      <c r="K58" s="1" t="str">
        <f>CONCATENATE(J58,"OVR")</f>
        <v>50112078OVR</v>
      </c>
      <c r="L58" s="1" t="s">
        <v>23</v>
      </c>
      <c r="M58" s="1" t="s">
        <v>57</v>
      </c>
      <c r="N58" s="2">
        <v>46023</v>
      </c>
      <c r="O58" s="1" t="s">
        <v>105</v>
      </c>
      <c r="P58" s="1" t="s">
        <v>17</v>
      </c>
    </row>
    <row r="59" spans="1:16" s="1" customFormat="1" x14ac:dyDescent="0.25">
      <c r="A59" s="1" t="s">
        <v>16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98</v>
      </c>
      <c r="G59" s="1">
        <v>60</v>
      </c>
      <c r="H59" s="1">
        <v>20411454</v>
      </c>
      <c r="I59" s="1" t="s">
        <v>21</v>
      </c>
      <c r="J59" s="1">
        <v>50136255</v>
      </c>
      <c r="K59" s="1" t="str">
        <f>CONCATENATE(J59,"OVR")</f>
        <v>50136255OVR</v>
      </c>
      <c r="L59" s="1" t="s">
        <v>23</v>
      </c>
      <c r="M59" s="1" t="s">
        <v>59</v>
      </c>
      <c r="N59" s="2">
        <v>46023</v>
      </c>
      <c r="O59" s="1" t="s">
        <v>105</v>
      </c>
      <c r="P59" s="1" t="s">
        <v>17</v>
      </c>
    </row>
    <row r="60" spans="1:16" s="1" customFormat="1" x14ac:dyDescent="0.25">
      <c r="A60" s="1" t="s">
        <v>16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98</v>
      </c>
      <c r="G60" s="1">
        <v>60</v>
      </c>
      <c r="H60" s="1">
        <v>20411454</v>
      </c>
      <c r="I60" s="1" t="s">
        <v>21</v>
      </c>
      <c r="J60" s="1">
        <v>51045906</v>
      </c>
      <c r="K60" s="1" t="str">
        <f>CONCATENATE(J60,"OVR")</f>
        <v>51045906OVR</v>
      </c>
      <c r="L60" s="1" t="s">
        <v>23</v>
      </c>
      <c r="M60" s="1" t="s">
        <v>61</v>
      </c>
      <c r="N60" s="2">
        <v>46023</v>
      </c>
      <c r="O60" s="1" t="s">
        <v>105</v>
      </c>
      <c r="P60" s="1" t="s">
        <v>17</v>
      </c>
    </row>
    <row r="61" spans="1:16" s="1" customFormat="1" x14ac:dyDescent="0.25">
      <c r="A61" s="1" t="s">
        <v>16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98</v>
      </c>
      <c r="G61" s="1">
        <v>60</v>
      </c>
      <c r="H61" s="1">
        <v>20411454</v>
      </c>
      <c r="I61" s="1" t="s">
        <v>21</v>
      </c>
      <c r="J61" s="1">
        <v>51045893</v>
      </c>
      <c r="K61" s="1" t="str">
        <f>CONCATENATE(J61,"OVR")</f>
        <v>51045893OVR</v>
      </c>
      <c r="L61" s="1" t="s">
        <v>23</v>
      </c>
      <c r="M61" s="1" t="s">
        <v>63</v>
      </c>
      <c r="N61" s="2">
        <v>46023</v>
      </c>
      <c r="O61" s="1" t="s">
        <v>105</v>
      </c>
      <c r="P61" s="1" t="s">
        <v>17</v>
      </c>
    </row>
    <row r="62" spans="1:16" s="1" customFormat="1" x14ac:dyDescent="0.25">
      <c r="A62" s="1" t="s">
        <v>16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98</v>
      </c>
      <c r="G62" s="1">
        <v>60</v>
      </c>
      <c r="H62" s="1">
        <v>20411454</v>
      </c>
      <c r="I62" s="1" t="s">
        <v>21</v>
      </c>
      <c r="J62" s="1">
        <v>50062555</v>
      </c>
      <c r="K62" s="1" t="str">
        <f>CONCATENATE(J62,"OVR")</f>
        <v>50062555OVR</v>
      </c>
      <c r="L62" s="1" t="s">
        <v>23</v>
      </c>
      <c r="M62" s="1" t="s">
        <v>64</v>
      </c>
      <c r="N62" s="2">
        <v>46023</v>
      </c>
      <c r="O62" s="1" t="s">
        <v>105</v>
      </c>
      <c r="P62" s="1" t="s">
        <v>17</v>
      </c>
    </row>
    <row r="63" spans="1:16" s="1" customFormat="1" x14ac:dyDescent="0.25">
      <c r="A63" s="1" t="s">
        <v>16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98</v>
      </c>
      <c r="G63" s="1">
        <v>60</v>
      </c>
      <c r="H63" s="1">
        <v>20411454</v>
      </c>
      <c r="I63" s="1" t="s">
        <v>21</v>
      </c>
      <c r="J63" s="1">
        <v>50025444</v>
      </c>
      <c r="K63" s="1" t="str">
        <f>CONCATENATE(J63,"OVR")</f>
        <v>50025444OVR</v>
      </c>
      <c r="L63" s="1" t="s">
        <v>23</v>
      </c>
      <c r="M63" s="1" t="s">
        <v>66</v>
      </c>
      <c r="N63" s="2">
        <v>46023</v>
      </c>
      <c r="O63" s="1" t="s">
        <v>105</v>
      </c>
      <c r="P63" s="1" t="s">
        <v>17</v>
      </c>
    </row>
    <row r="64" spans="1:16" s="1" customFormat="1" x14ac:dyDescent="0.25">
      <c r="A64" s="1" t="s">
        <v>16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98</v>
      </c>
      <c r="G64" s="1">
        <v>60</v>
      </c>
      <c r="H64" s="1">
        <v>20411454</v>
      </c>
      <c r="I64" s="1" t="s">
        <v>21</v>
      </c>
      <c r="J64" s="1">
        <v>51019754</v>
      </c>
      <c r="K64" s="1" t="str">
        <f>CONCATENATE(J64,"OVR")</f>
        <v>51019754OVR</v>
      </c>
      <c r="L64" s="1" t="s">
        <v>23</v>
      </c>
      <c r="M64" s="1" t="s">
        <v>68</v>
      </c>
      <c r="N64" s="2">
        <v>46023</v>
      </c>
      <c r="O64" s="1" t="s">
        <v>105</v>
      </c>
      <c r="P64" s="1" t="s">
        <v>17</v>
      </c>
    </row>
    <row r="65" spans="1:19" s="1" customFormat="1" x14ac:dyDescent="0.25">
      <c r="A65" s="1" t="s">
        <v>16</v>
      </c>
      <c r="B65" s="1" t="s">
        <v>16</v>
      </c>
      <c r="C65" s="1" t="s">
        <v>17</v>
      </c>
      <c r="D65" s="1" t="s">
        <v>18</v>
      </c>
      <c r="E65" s="1" t="s">
        <v>19</v>
      </c>
      <c r="F65" s="1" t="s">
        <v>98</v>
      </c>
      <c r="G65" s="1">
        <v>60</v>
      </c>
      <c r="H65" s="1">
        <v>20411454</v>
      </c>
      <c r="I65" s="1" t="s">
        <v>21</v>
      </c>
      <c r="J65" s="1">
        <v>51042974</v>
      </c>
      <c r="K65" s="1" t="str">
        <f>CONCATENATE(J65,"OVR")</f>
        <v>51042974OVR</v>
      </c>
      <c r="L65" s="1" t="s">
        <v>23</v>
      </c>
      <c r="M65" s="1" t="s">
        <v>70</v>
      </c>
      <c r="N65" s="2">
        <v>46023</v>
      </c>
      <c r="O65" s="1" t="s">
        <v>105</v>
      </c>
      <c r="P65" s="1" t="s">
        <v>17</v>
      </c>
    </row>
    <row r="66" spans="1:19" s="11" customFormat="1" x14ac:dyDescent="0.25">
      <c r="A66" s="1" t="s">
        <v>16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98</v>
      </c>
      <c r="G66" s="1">
        <v>60</v>
      </c>
      <c r="H66" s="1">
        <v>20411454</v>
      </c>
      <c r="I66" s="1" t="s">
        <v>21</v>
      </c>
      <c r="J66" s="1">
        <v>50090833</v>
      </c>
      <c r="K66" s="1" t="str">
        <f>CONCATENATE(J66,"OVR")</f>
        <v>50090833OVR</v>
      </c>
      <c r="L66" s="1" t="s">
        <v>23</v>
      </c>
      <c r="M66" s="1" t="s">
        <v>72</v>
      </c>
      <c r="N66" s="2">
        <v>46023</v>
      </c>
      <c r="O66" s="1" t="s">
        <v>105</v>
      </c>
      <c r="P66" s="1" t="s">
        <v>17</v>
      </c>
      <c r="Q66" s="1"/>
      <c r="R66" s="1"/>
      <c r="S66" s="1"/>
    </row>
    <row r="67" spans="1:19" s="11" customFormat="1" x14ac:dyDescent="0.25">
      <c r="A67" s="1" t="s">
        <v>16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98</v>
      </c>
      <c r="G67" s="1">
        <v>60</v>
      </c>
      <c r="H67" s="1">
        <v>20411454</v>
      </c>
      <c r="I67" s="1" t="s">
        <v>21</v>
      </c>
      <c r="J67" s="1">
        <v>50140907</v>
      </c>
      <c r="K67" s="1" t="str">
        <f>CONCATENATE(J67,"OVR")</f>
        <v>50140907OVR</v>
      </c>
      <c r="L67" s="1" t="s">
        <v>23</v>
      </c>
      <c r="M67" s="1" t="s">
        <v>74</v>
      </c>
      <c r="N67" s="2">
        <v>46023</v>
      </c>
      <c r="O67" s="1" t="s">
        <v>105</v>
      </c>
      <c r="P67" s="1" t="s">
        <v>17</v>
      </c>
      <c r="Q67" s="1"/>
      <c r="R67" s="1"/>
      <c r="S67" s="1"/>
    </row>
    <row r="68" spans="1:19" s="11" customFormat="1" x14ac:dyDescent="0.25">
      <c r="A68" s="1" t="s">
        <v>16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98</v>
      </c>
      <c r="G68" s="1">
        <v>60</v>
      </c>
      <c r="H68" s="1">
        <v>20411454</v>
      </c>
      <c r="I68" s="1" t="s">
        <v>21</v>
      </c>
      <c r="J68" s="1">
        <v>50083100</v>
      </c>
      <c r="K68" s="1" t="str">
        <f>CONCATENATE(J68,"OVR")</f>
        <v>50083100OVR</v>
      </c>
      <c r="L68" s="1" t="s">
        <v>23</v>
      </c>
      <c r="M68" s="1" t="s">
        <v>76</v>
      </c>
      <c r="N68" s="2">
        <v>46023</v>
      </c>
      <c r="O68" s="1" t="s">
        <v>105</v>
      </c>
      <c r="P68" s="1" t="s">
        <v>17</v>
      </c>
      <c r="Q68" s="1"/>
      <c r="R68" s="1"/>
      <c r="S68" s="1"/>
    </row>
    <row r="69" spans="1:19" s="11" customFormat="1" x14ac:dyDescent="0.25">
      <c r="A69" s="1" t="s">
        <v>16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98</v>
      </c>
      <c r="G69" s="1">
        <v>100</v>
      </c>
      <c r="H69" s="1">
        <v>20411454</v>
      </c>
      <c r="I69" s="1" t="s">
        <v>21</v>
      </c>
      <c r="J69" s="1">
        <v>51050716</v>
      </c>
      <c r="K69" s="1" t="str">
        <f>CONCATENATE(J69,"OVR")</f>
        <v>51050716OVR</v>
      </c>
      <c r="L69" s="1" t="s">
        <v>23</v>
      </c>
      <c r="M69" s="1" t="s">
        <v>78</v>
      </c>
      <c r="N69" s="2">
        <v>46023</v>
      </c>
      <c r="O69" s="1" t="s">
        <v>105</v>
      </c>
      <c r="P69" s="1" t="s">
        <v>17</v>
      </c>
      <c r="Q69" s="1"/>
      <c r="R69" s="1"/>
      <c r="S69" s="1"/>
    </row>
  </sheetData>
  <sortState xmlns:xlrd2="http://schemas.microsoft.com/office/spreadsheetml/2017/richdata2" ref="A2:T69">
    <sortCondition ref="O2:O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2026-02-02T12:20:10Z</dcterms:created>
  <dcterms:modified xsi:type="dcterms:W3CDTF">2026-02-03T19:09:58Z</dcterms:modified>
  <cp:category/>
</cp:coreProperties>
</file>