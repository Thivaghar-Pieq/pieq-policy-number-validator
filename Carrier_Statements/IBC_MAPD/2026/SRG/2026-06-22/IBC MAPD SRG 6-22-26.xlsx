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BBC22F44-8D6F-49AE-8C45-1F250ED5C5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2" l="1"/>
  <c r="L3" i="2"/>
  <c r="L17" i="2"/>
  <c r="L9" i="2"/>
  <c r="L15" i="2"/>
  <c r="L11" i="2"/>
  <c r="L13" i="2"/>
  <c r="L5" i="2"/>
  <c r="L8" i="2"/>
  <c r="L4" i="2"/>
  <c r="L18" i="2"/>
  <c r="L10" i="2"/>
  <c r="L16" i="2"/>
  <c r="L12" i="2"/>
  <c r="L14" i="2"/>
  <c r="L6" i="2"/>
  <c r="L2" i="2"/>
  <c r="I7" i="2"/>
  <c r="I3" i="2"/>
  <c r="I17" i="2"/>
  <c r="I9" i="2"/>
  <c r="I15" i="2"/>
  <c r="I11" i="2"/>
  <c r="I13" i="2"/>
  <c r="I5" i="2"/>
  <c r="U2" i="2"/>
</calcChain>
</file>

<file path=xl/sharedStrings.xml><?xml version="1.0" encoding="utf-8"?>
<sst xmlns="http://schemas.openxmlformats.org/spreadsheetml/2006/main" count="459" uniqueCount="61">
  <si>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</si>
  <si>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</si>
  <si>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</si>
  <si>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</si>
  <si>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</si>
  <si>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</si>
  <si>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</si>
  <si>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</si>
  <si>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</si>
  <si>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</si>
  <si>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</si>
  <si>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</si>
  <si>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</si>
  <si>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</si>
  <si>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</si>
  <si>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</si>
  <si>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2026-06-08</t>
  </si>
  <si>
    <t>2026-06-22</t>
  </si>
  <si>
    <t>NB</t>
  </si>
  <si>
    <t>Commission Difference</t>
  </si>
  <si>
    <t>MLB</t>
  </si>
  <si>
    <t>Roccia, Mark</t>
  </si>
  <si>
    <t>Ibc</t>
  </si>
  <si>
    <t>4Y39UM3VH28</t>
  </si>
  <si>
    <t>MAPD</t>
  </si>
  <si>
    <t>Arai, Yoko</t>
  </si>
  <si>
    <t>2026-01-01</t>
  </si>
  <si>
    <t>2026-05-31</t>
  </si>
  <si>
    <t/>
  </si>
  <si>
    <t>2026-06-15</t>
  </si>
  <si>
    <t>8ME2Y01YF86</t>
  </si>
  <si>
    <t>Kunkel, Deborah</t>
  </si>
  <si>
    <t>Kozacheck, Anne Marie</t>
  </si>
  <si>
    <t>4H38Q15NA62</t>
  </si>
  <si>
    <t>Hansen, Nestor</t>
  </si>
  <si>
    <t>2026-06-30</t>
  </si>
  <si>
    <t>Agency Marketing Fee</t>
  </si>
  <si>
    <t>5MW4DV6UV82</t>
  </si>
  <si>
    <t>Elvin, Roger</t>
  </si>
  <si>
    <t>1YC1TM0EG25</t>
  </si>
  <si>
    <t>Gehron, Alberta</t>
  </si>
  <si>
    <t>9NE7UW6FV20</t>
  </si>
  <si>
    <t>Gottbrecht, Bertram</t>
  </si>
  <si>
    <t>6MV8N54GW62</t>
  </si>
  <si>
    <t>Hunsinger, Richard</t>
  </si>
  <si>
    <t>2F01KN3EE32</t>
  </si>
  <si>
    <t>Mcmichael, Elizabeth</t>
  </si>
  <si>
    <t>3HF4CF0PQ94</t>
  </si>
  <si>
    <t>Milne Jr, Jack</t>
  </si>
  <si>
    <t>Hoffmann, Jason</t>
  </si>
  <si>
    <t>6R47P15RQ35</t>
  </si>
  <si>
    <t>Sama, Donna</t>
  </si>
  <si>
    <t>4U22PW7EK19</t>
  </si>
  <si>
    <t>Schneider, Sarah</t>
  </si>
  <si>
    <t>Effective</t>
  </si>
  <si>
    <t>Date</t>
  </si>
  <si>
    <t>[%/$=391][prorate=12/12]</t>
  </si>
  <si>
    <t>IBC MAPD 2026*</t>
  </si>
  <si>
    <t>[%/$=391][prorate=6/12]</t>
  </si>
  <si>
    <t>IBC MAPD OVR</t>
  </si>
  <si>
    <t>19278370old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</si>
</sst>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workbookViewId="0">
      <selection activeCell="J2" sqref="J2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2.14062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4.85546875" bestFit="1" customWidth="1"/>
    <col min="12" max="12" width="9.5703125" bestFit="1" customWidth="1"/>
    <col min="13" max="13" width="20" bestFit="1" customWidth="1"/>
    <col min="14" max="14" width="13.5703125" bestFit="1" customWidth="1"/>
    <col min="15" max="15" width="10.42578125" bestFit="1" customWidth="1"/>
    <col min="16" max="16" width="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-228.08</v>
      </c>
      <c r="H2">
        <v>21618313</v>
      </c>
      <c r="I2" t="s">
        <v>22</v>
      </c>
      <c r="J2">
        <v>50062444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-228.08</v>
      </c>
      <c r="H3">
        <v>21618313</v>
      </c>
      <c r="I3" t="s">
        <v>22</v>
      </c>
      <c r="J3">
        <v>50102934</v>
      </c>
      <c r="K3" t="s">
        <v>30</v>
      </c>
      <c r="L3" t="s">
        <v>24</v>
      </c>
      <c r="M3" t="s">
        <v>31</v>
      </c>
      <c r="N3" t="s">
        <v>26</v>
      </c>
      <c r="O3" t="s">
        <v>27</v>
      </c>
      <c r="P3" t="s">
        <v>28</v>
      </c>
    </row>
    <row r="4" spans="1:16" x14ac:dyDescent="0.25">
      <c r="A4" t="s">
        <v>17</v>
      </c>
      <c r="B4" t="s">
        <v>17</v>
      </c>
      <c r="C4" t="s">
        <v>18</v>
      </c>
      <c r="D4" t="s">
        <v>19</v>
      </c>
      <c r="E4" t="s">
        <v>20</v>
      </c>
      <c r="F4" t="s">
        <v>32</v>
      </c>
      <c r="G4">
        <v>-195.5</v>
      </c>
      <c r="H4">
        <v>19278370</v>
      </c>
      <c r="I4" t="s">
        <v>22</v>
      </c>
      <c r="J4">
        <v>50135169</v>
      </c>
      <c r="K4" t="s">
        <v>33</v>
      </c>
      <c r="L4" t="s">
        <v>24</v>
      </c>
      <c r="M4" t="s">
        <v>34</v>
      </c>
      <c r="N4" t="s">
        <v>26</v>
      </c>
      <c r="O4" t="s">
        <v>35</v>
      </c>
      <c r="P4" t="s">
        <v>28</v>
      </c>
    </row>
    <row r="5" spans="1:16" x14ac:dyDescent="0.25">
      <c r="A5" t="s">
        <v>17</v>
      </c>
      <c r="B5" t="s">
        <v>17</v>
      </c>
      <c r="C5" t="s">
        <v>18</v>
      </c>
      <c r="D5" t="s">
        <v>36</v>
      </c>
      <c r="E5" t="s">
        <v>20</v>
      </c>
      <c r="F5" t="s">
        <v>21</v>
      </c>
      <c r="G5">
        <v>60</v>
      </c>
      <c r="H5">
        <v>21618313</v>
      </c>
      <c r="I5" t="s">
        <v>22</v>
      </c>
      <c r="J5">
        <v>50017550</v>
      </c>
      <c r="K5" t="s">
        <v>37</v>
      </c>
      <c r="L5" t="s">
        <v>24</v>
      </c>
      <c r="M5" t="s">
        <v>38</v>
      </c>
      <c r="N5" t="s">
        <v>26</v>
      </c>
      <c r="O5" t="s">
        <v>28</v>
      </c>
      <c r="P5" t="s">
        <v>28</v>
      </c>
    </row>
    <row r="6" spans="1:16" x14ac:dyDescent="0.25">
      <c r="A6" t="s">
        <v>17</v>
      </c>
      <c r="B6" t="s">
        <v>17</v>
      </c>
      <c r="C6" t="s">
        <v>18</v>
      </c>
      <c r="D6" t="s">
        <v>36</v>
      </c>
      <c r="E6" t="s">
        <v>20</v>
      </c>
      <c r="F6" t="s">
        <v>21</v>
      </c>
      <c r="G6">
        <v>60</v>
      </c>
      <c r="H6">
        <v>21618313</v>
      </c>
      <c r="I6" t="s">
        <v>22</v>
      </c>
      <c r="J6">
        <v>50119233</v>
      </c>
      <c r="K6" t="s">
        <v>39</v>
      </c>
      <c r="L6" t="s">
        <v>24</v>
      </c>
      <c r="M6" t="s">
        <v>40</v>
      </c>
      <c r="N6" t="s">
        <v>26</v>
      </c>
      <c r="O6" t="s">
        <v>28</v>
      </c>
      <c r="P6" t="s">
        <v>28</v>
      </c>
    </row>
    <row r="7" spans="1:16" x14ac:dyDescent="0.25">
      <c r="A7" t="s">
        <v>17</v>
      </c>
      <c r="B7" t="s">
        <v>17</v>
      </c>
      <c r="C7" t="s">
        <v>18</v>
      </c>
      <c r="D7" t="s">
        <v>36</v>
      </c>
      <c r="E7" t="s">
        <v>20</v>
      </c>
      <c r="F7" t="s">
        <v>21</v>
      </c>
      <c r="G7">
        <v>60</v>
      </c>
      <c r="H7">
        <v>21618313</v>
      </c>
      <c r="I7" t="s">
        <v>22</v>
      </c>
      <c r="J7">
        <v>50095438</v>
      </c>
      <c r="K7" t="s">
        <v>41</v>
      </c>
      <c r="L7" t="s">
        <v>24</v>
      </c>
      <c r="M7" t="s">
        <v>42</v>
      </c>
      <c r="N7" t="s">
        <v>26</v>
      </c>
      <c r="O7" t="s">
        <v>28</v>
      </c>
      <c r="P7" t="s">
        <v>28</v>
      </c>
    </row>
    <row r="8" spans="1:16" x14ac:dyDescent="0.25">
      <c r="A8" t="s">
        <v>17</v>
      </c>
      <c r="B8" t="s">
        <v>17</v>
      </c>
      <c r="C8" t="s">
        <v>18</v>
      </c>
      <c r="D8" t="s">
        <v>36</v>
      </c>
      <c r="E8" t="s">
        <v>20</v>
      </c>
      <c r="F8" t="s">
        <v>32</v>
      </c>
      <c r="G8">
        <v>60</v>
      </c>
      <c r="H8">
        <v>19278370</v>
      </c>
      <c r="I8" t="s">
        <v>22</v>
      </c>
      <c r="J8">
        <v>50130686</v>
      </c>
      <c r="K8" t="s">
        <v>43</v>
      </c>
      <c r="L8" t="s">
        <v>24</v>
      </c>
      <c r="M8" t="s">
        <v>44</v>
      </c>
      <c r="N8" t="s">
        <v>26</v>
      </c>
      <c r="O8" t="s">
        <v>28</v>
      </c>
      <c r="P8" t="s">
        <v>28</v>
      </c>
    </row>
    <row r="9" spans="1:16" x14ac:dyDescent="0.25">
      <c r="A9" t="s">
        <v>17</v>
      </c>
      <c r="B9" t="s">
        <v>17</v>
      </c>
      <c r="C9" t="s">
        <v>18</v>
      </c>
      <c r="D9" t="s">
        <v>36</v>
      </c>
      <c r="E9" t="s">
        <v>20</v>
      </c>
      <c r="F9" t="s">
        <v>21</v>
      </c>
      <c r="G9">
        <v>60</v>
      </c>
      <c r="H9">
        <v>21618313</v>
      </c>
      <c r="I9" t="s">
        <v>22</v>
      </c>
      <c r="J9">
        <v>50092047</v>
      </c>
      <c r="K9" t="s">
        <v>45</v>
      </c>
      <c r="L9" t="s">
        <v>24</v>
      </c>
      <c r="M9" t="s">
        <v>46</v>
      </c>
      <c r="N9" t="s">
        <v>26</v>
      </c>
      <c r="O9" t="s">
        <v>28</v>
      </c>
      <c r="P9" t="s">
        <v>28</v>
      </c>
    </row>
    <row r="10" spans="1:16" x14ac:dyDescent="0.25">
      <c r="A10" t="s">
        <v>17</v>
      </c>
      <c r="B10" t="s">
        <v>17</v>
      </c>
      <c r="C10" t="s">
        <v>18</v>
      </c>
      <c r="D10" t="s">
        <v>36</v>
      </c>
      <c r="E10" t="s">
        <v>20</v>
      </c>
      <c r="F10" t="s">
        <v>21</v>
      </c>
      <c r="G10">
        <v>60</v>
      </c>
      <c r="H10">
        <v>21618313</v>
      </c>
      <c r="I10" t="s">
        <v>22</v>
      </c>
      <c r="J10">
        <v>50137100</v>
      </c>
      <c r="K10" t="s">
        <v>47</v>
      </c>
      <c r="L10" t="s">
        <v>24</v>
      </c>
      <c r="M10" t="s">
        <v>48</v>
      </c>
      <c r="N10" t="s">
        <v>26</v>
      </c>
      <c r="O10" t="s">
        <v>28</v>
      </c>
      <c r="P10" t="s">
        <v>28</v>
      </c>
    </row>
    <row r="11" spans="1:16" x14ac:dyDescent="0.25">
      <c r="A11" t="s">
        <v>17</v>
      </c>
      <c r="B11" t="s">
        <v>17</v>
      </c>
      <c r="C11" t="s">
        <v>18</v>
      </c>
      <c r="D11" t="s">
        <v>36</v>
      </c>
      <c r="E11" t="s">
        <v>20</v>
      </c>
      <c r="F11" t="s">
        <v>49</v>
      </c>
      <c r="G11">
        <v>60</v>
      </c>
      <c r="H11">
        <v>15278437</v>
      </c>
      <c r="I11" t="s">
        <v>22</v>
      </c>
      <c r="J11">
        <v>50011968</v>
      </c>
      <c r="K11" t="s">
        <v>50</v>
      </c>
      <c r="L11" t="s">
        <v>24</v>
      </c>
      <c r="M11" t="s">
        <v>51</v>
      </c>
      <c r="N11" t="s">
        <v>26</v>
      </c>
      <c r="O11" t="s">
        <v>28</v>
      </c>
      <c r="P11" t="s">
        <v>28</v>
      </c>
    </row>
    <row r="12" spans="1:16" x14ac:dyDescent="0.25">
      <c r="A12" t="s">
        <v>17</v>
      </c>
      <c r="B12" t="s">
        <v>17</v>
      </c>
      <c r="C12" t="s">
        <v>18</v>
      </c>
      <c r="D12" t="s">
        <v>36</v>
      </c>
      <c r="E12" t="s">
        <v>20</v>
      </c>
      <c r="F12" t="s">
        <v>21</v>
      </c>
      <c r="G12">
        <v>60</v>
      </c>
      <c r="H12">
        <v>21618313</v>
      </c>
      <c r="I12" t="s">
        <v>22</v>
      </c>
      <c r="J12">
        <v>50087425</v>
      </c>
      <c r="K12" t="s">
        <v>52</v>
      </c>
      <c r="L12" t="s">
        <v>24</v>
      </c>
      <c r="M12" t="s">
        <v>53</v>
      </c>
      <c r="N12" t="s">
        <v>26</v>
      </c>
      <c r="O12" t="s">
        <v>28</v>
      </c>
      <c r="P12" t="s">
        <v>28</v>
      </c>
    </row>
    <row r="13" spans="1:16" x14ac:dyDescent="0.25">
      <c r="A13" t="s">
        <v>17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>
        <v>391</v>
      </c>
      <c r="H13">
        <v>21618313</v>
      </c>
      <c r="I13" t="s">
        <v>22</v>
      </c>
      <c r="J13">
        <v>50017550</v>
      </c>
      <c r="K13" t="s">
        <v>37</v>
      </c>
      <c r="L13" t="s">
        <v>24</v>
      </c>
      <c r="M13" t="s">
        <v>38</v>
      </c>
      <c r="N13" t="s">
        <v>26</v>
      </c>
      <c r="O13" t="s">
        <v>28</v>
      </c>
      <c r="P13" t="s">
        <v>28</v>
      </c>
    </row>
    <row r="14" spans="1:16" x14ac:dyDescent="0.25">
      <c r="A14" t="s">
        <v>17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>
        <v>391</v>
      </c>
      <c r="H14">
        <v>21618313</v>
      </c>
      <c r="I14" t="s">
        <v>22</v>
      </c>
      <c r="J14">
        <v>50119233</v>
      </c>
      <c r="K14" t="s">
        <v>39</v>
      </c>
      <c r="L14" t="s">
        <v>24</v>
      </c>
      <c r="M14" t="s">
        <v>40</v>
      </c>
      <c r="N14" t="s">
        <v>26</v>
      </c>
      <c r="O14" t="s">
        <v>28</v>
      </c>
      <c r="P14" t="s">
        <v>28</v>
      </c>
    </row>
    <row r="15" spans="1:16" x14ac:dyDescent="0.25">
      <c r="A15" t="s">
        <v>17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>
        <v>391</v>
      </c>
      <c r="H15">
        <v>21618313</v>
      </c>
      <c r="I15" t="s">
        <v>22</v>
      </c>
      <c r="J15">
        <v>50095438</v>
      </c>
      <c r="K15" t="s">
        <v>41</v>
      </c>
      <c r="L15" t="s">
        <v>24</v>
      </c>
      <c r="M15" t="s">
        <v>42</v>
      </c>
      <c r="N15" t="s">
        <v>26</v>
      </c>
      <c r="O15" t="s">
        <v>28</v>
      </c>
      <c r="P15" t="s">
        <v>28</v>
      </c>
    </row>
    <row r="16" spans="1:16" x14ac:dyDescent="0.25">
      <c r="A16" t="s">
        <v>17</v>
      </c>
      <c r="B16" t="s">
        <v>17</v>
      </c>
      <c r="C16" t="s">
        <v>18</v>
      </c>
      <c r="D16" t="s">
        <v>19</v>
      </c>
      <c r="E16" t="s">
        <v>20</v>
      </c>
      <c r="F16" t="s">
        <v>32</v>
      </c>
      <c r="G16">
        <v>391</v>
      </c>
      <c r="H16">
        <v>19278370</v>
      </c>
      <c r="I16" t="s">
        <v>22</v>
      </c>
      <c r="J16">
        <v>50130686</v>
      </c>
      <c r="K16" t="s">
        <v>43</v>
      </c>
      <c r="L16" t="s">
        <v>24</v>
      </c>
      <c r="M16" t="s">
        <v>44</v>
      </c>
      <c r="N16" t="s">
        <v>26</v>
      </c>
      <c r="O16" t="s">
        <v>28</v>
      </c>
      <c r="P16" t="s">
        <v>28</v>
      </c>
    </row>
    <row r="17" spans="1:16" x14ac:dyDescent="0.25">
      <c r="A17" t="s">
        <v>17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>
        <v>391</v>
      </c>
      <c r="H17">
        <v>21618313</v>
      </c>
      <c r="I17" t="s">
        <v>22</v>
      </c>
      <c r="J17">
        <v>50092047</v>
      </c>
      <c r="K17" t="s">
        <v>45</v>
      </c>
      <c r="L17" t="s">
        <v>24</v>
      </c>
      <c r="M17" t="s">
        <v>46</v>
      </c>
      <c r="N17" t="s">
        <v>26</v>
      </c>
      <c r="O17" t="s">
        <v>28</v>
      </c>
      <c r="P17" t="s">
        <v>28</v>
      </c>
    </row>
    <row r="18" spans="1:16" x14ac:dyDescent="0.25">
      <c r="A18" t="s">
        <v>17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>
        <v>391</v>
      </c>
      <c r="H18">
        <v>21618313</v>
      </c>
      <c r="I18" t="s">
        <v>22</v>
      </c>
      <c r="J18">
        <v>50137100</v>
      </c>
      <c r="K18" t="s">
        <v>47</v>
      </c>
      <c r="L18" t="s">
        <v>24</v>
      </c>
      <c r="M18" t="s">
        <v>48</v>
      </c>
      <c r="N18" t="s">
        <v>26</v>
      </c>
      <c r="O18" t="s">
        <v>28</v>
      </c>
      <c r="P18" t="s">
        <v>28</v>
      </c>
    </row>
    <row r="19" spans="1:16" x14ac:dyDescent="0.25">
      <c r="A19" t="s">
        <v>17</v>
      </c>
      <c r="B19" t="s">
        <v>17</v>
      </c>
      <c r="C19" t="s">
        <v>18</v>
      </c>
      <c r="D19" t="s">
        <v>19</v>
      </c>
      <c r="E19" t="s">
        <v>20</v>
      </c>
      <c r="F19" t="s">
        <v>49</v>
      </c>
      <c r="G19">
        <v>391</v>
      </c>
      <c r="H19">
        <v>15278437</v>
      </c>
      <c r="I19" t="s">
        <v>22</v>
      </c>
      <c r="J19">
        <v>50011968</v>
      </c>
      <c r="K19" t="s">
        <v>50</v>
      </c>
      <c r="L19" t="s">
        <v>24</v>
      </c>
      <c r="M19" t="s">
        <v>51</v>
      </c>
      <c r="N19" t="s">
        <v>26</v>
      </c>
      <c r="O19" t="s">
        <v>28</v>
      </c>
      <c r="P19" t="s">
        <v>28</v>
      </c>
    </row>
    <row r="20" spans="1:16" x14ac:dyDescent="0.25">
      <c r="A20" t="s">
        <v>17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>
        <v>391</v>
      </c>
      <c r="H20">
        <v>21618313</v>
      </c>
      <c r="I20" t="s">
        <v>22</v>
      </c>
      <c r="J20">
        <v>50087425</v>
      </c>
      <c r="K20" t="s">
        <v>52</v>
      </c>
      <c r="L20" t="s">
        <v>24</v>
      </c>
      <c r="M20" t="s">
        <v>53</v>
      </c>
      <c r="N20" t="s">
        <v>26</v>
      </c>
      <c r="O20" t="s">
        <v>28</v>
      </c>
      <c r="P20" t="s">
        <v>28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A4E4-633E-440A-8736-D959C530FFE8}">
  <dimension ref="A1:U18"/>
  <sheetViews>
    <sheetView workbookViewId="0">
      <selection activeCell="K20" sqref="K20"/>
    </sheetView>
  </sheetViews>
  <sheetFormatPr defaultRowHeight="15" x14ac:dyDescent="0.25"/>
  <cols>
    <col min="1" max="1" width="10.42578125" bestFit="1" customWidth="1"/>
    <col min="4" max="4" width="22.140625" bestFit="1" customWidth="1"/>
    <col min="6" max="6" width="21.85546875" bestFit="1" customWidth="1"/>
    <col min="9" max="9" width="12.85546875" bestFit="1" customWidth="1"/>
    <col min="12" max="12" width="12.85546875" bestFit="1" customWidth="1"/>
    <col min="14" max="14" width="20" bestFit="1" customWidth="1"/>
    <col min="15" max="15" width="13.5703125" style="2" bestFit="1" customWidth="1"/>
    <col min="16" max="16" width="10.7109375" bestFit="1" customWidth="1"/>
    <col min="17" max="17" width="15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  <c r="M1" t="s">
        <v>11</v>
      </c>
      <c r="N1" t="s">
        <v>12</v>
      </c>
      <c r="O1" s="2" t="s">
        <v>54</v>
      </c>
      <c r="P1" t="s">
        <v>55</v>
      </c>
      <c r="Q1" t="s">
        <v>15</v>
      </c>
    </row>
    <row r="2" spans="1:21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32</v>
      </c>
      <c r="G2">
        <v>-195.5</v>
      </c>
      <c r="H2">
        <v>19278370</v>
      </c>
      <c r="I2" t="s">
        <v>60</v>
      </c>
      <c r="J2" t="s">
        <v>22</v>
      </c>
      <c r="K2">
        <v>50135169</v>
      </c>
      <c r="L2" t="str">
        <f>CONCATENATE(K2,2)</f>
        <v>501351692</v>
      </c>
      <c r="M2" t="s">
        <v>24</v>
      </c>
      <c r="N2" t="s">
        <v>34</v>
      </c>
      <c r="O2" s="2">
        <v>46023</v>
      </c>
      <c r="P2" s="2">
        <v>46203</v>
      </c>
      <c r="Q2" s="4" t="s">
        <v>57</v>
      </c>
      <c r="R2" s="4" t="s">
        <v>58</v>
      </c>
      <c r="U2">
        <f>391/12*6</f>
        <v>195.5</v>
      </c>
    </row>
    <row r="3" spans="1:21" s="1" customFormat="1" x14ac:dyDescent="0.25">
      <c r="A3" s="1" t="s">
        <v>17</v>
      </c>
      <c r="B3" s="1" t="s">
        <v>17</v>
      </c>
      <c r="C3" s="1" t="s">
        <v>18</v>
      </c>
      <c r="D3" s="1" t="s">
        <v>36</v>
      </c>
      <c r="E3" s="1" t="s">
        <v>20</v>
      </c>
      <c r="F3" s="1" t="s">
        <v>49</v>
      </c>
      <c r="G3" s="1">
        <v>60</v>
      </c>
      <c r="H3" s="1">
        <v>15278437</v>
      </c>
      <c r="I3" s="1" t="str">
        <f>CONCATENATE(H3,"OVR")</f>
        <v>15278437OVR</v>
      </c>
      <c r="J3" s="1" t="s">
        <v>22</v>
      </c>
      <c r="K3" s="1">
        <v>50011968</v>
      </c>
      <c r="L3" s="1" t="str">
        <f>CONCATENATE(K3,"OVR")</f>
        <v>50011968OVR</v>
      </c>
      <c r="M3" s="1" t="s">
        <v>24</v>
      </c>
      <c r="N3" s="1" t="s">
        <v>51</v>
      </c>
      <c r="O3" s="3">
        <v>46023</v>
      </c>
      <c r="P3" s="3">
        <v>46387</v>
      </c>
      <c r="Q3" s="1" t="s">
        <v>59</v>
      </c>
    </row>
    <row r="4" spans="1:21" s="1" customFormat="1" x14ac:dyDescent="0.25">
      <c r="A4" s="4" t="s">
        <v>17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49</v>
      </c>
      <c r="G4" s="4">
        <v>391</v>
      </c>
      <c r="H4" s="4">
        <v>15278437</v>
      </c>
      <c r="I4" s="4">
        <v>15278437</v>
      </c>
      <c r="J4" s="4" t="s">
        <v>22</v>
      </c>
      <c r="K4" s="4">
        <v>50011968</v>
      </c>
      <c r="L4" t="str">
        <f>CONCATENATE(K4,2)</f>
        <v>500119682</v>
      </c>
      <c r="M4" s="4" t="s">
        <v>24</v>
      </c>
      <c r="N4" s="4" t="s">
        <v>51</v>
      </c>
      <c r="O4" s="5">
        <v>46023</v>
      </c>
      <c r="P4" s="5">
        <v>46387</v>
      </c>
      <c r="Q4" s="4" t="s">
        <v>57</v>
      </c>
      <c r="R4" s="4" t="s">
        <v>56</v>
      </c>
      <c r="S4" s="4"/>
      <c r="T4" s="4"/>
      <c r="U4" s="4"/>
    </row>
    <row r="5" spans="1:21" s="1" customFormat="1" x14ac:dyDescent="0.25">
      <c r="A5" s="1" t="s">
        <v>17</v>
      </c>
      <c r="B5" s="1" t="s">
        <v>17</v>
      </c>
      <c r="C5" s="1" t="s">
        <v>18</v>
      </c>
      <c r="D5" s="1" t="s">
        <v>36</v>
      </c>
      <c r="E5" s="1" t="s">
        <v>20</v>
      </c>
      <c r="F5" s="1" t="s">
        <v>21</v>
      </c>
      <c r="G5" s="1">
        <v>60</v>
      </c>
      <c r="H5" s="1">
        <v>21618313</v>
      </c>
      <c r="I5" s="1" t="str">
        <f>CONCATENATE(H5,"OVR")</f>
        <v>21618313OVR</v>
      </c>
      <c r="J5" s="1" t="s">
        <v>22</v>
      </c>
      <c r="K5" s="1">
        <v>50017550</v>
      </c>
      <c r="L5" s="1" t="str">
        <f>CONCATENATE(K5,"OVR")</f>
        <v>50017550OVR</v>
      </c>
      <c r="M5" s="1" t="s">
        <v>24</v>
      </c>
      <c r="N5" s="1" t="s">
        <v>38</v>
      </c>
      <c r="O5" s="3">
        <v>46023</v>
      </c>
      <c r="P5" s="3">
        <v>46387</v>
      </c>
      <c r="Q5" s="1" t="s">
        <v>59</v>
      </c>
    </row>
    <row r="6" spans="1:21" s="1" customFormat="1" x14ac:dyDescent="0.25">
      <c r="A6" s="4" t="s">
        <v>17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>
        <v>391</v>
      </c>
      <c r="H6" s="4">
        <v>21618313</v>
      </c>
      <c r="I6" s="4">
        <v>21618313</v>
      </c>
      <c r="J6" s="4" t="s">
        <v>22</v>
      </c>
      <c r="K6" s="4">
        <v>50017550</v>
      </c>
      <c r="L6" t="str">
        <f>CONCATENATE(K6,2)</f>
        <v>500175502</v>
      </c>
      <c r="M6" s="4" t="s">
        <v>24</v>
      </c>
      <c r="N6" s="4" t="s">
        <v>38</v>
      </c>
      <c r="O6" s="5">
        <v>46023</v>
      </c>
      <c r="P6" s="5">
        <v>46387</v>
      </c>
      <c r="Q6" s="4" t="s">
        <v>57</v>
      </c>
      <c r="R6" s="4" t="s">
        <v>56</v>
      </c>
      <c r="S6" s="4"/>
      <c r="T6" s="4"/>
      <c r="U6" s="4"/>
    </row>
    <row r="7" spans="1:21" s="1" customFormat="1" x14ac:dyDescent="0.25">
      <c r="A7" s="1" t="s">
        <v>17</v>
      </c>
      <c r="B7" s="1" t="s">
        <v>17</v>
      </c>
      <c r="C7" s="1" t="s">
        <v>18</v>
      </c>
      <c r="D7" s="1" t="s">
        <v>36</v>
      </c>
      <c r="E7" s="1" t="s">
        <v>20</v>
      </c>
      <c r="F7" s="1" t="s">
        <v>21</v>
      </c>
      <c r="G7" s="1">
        <v>60</v>
      </c>
      <c r="H7" s="1">
        <v>21618313</v>
      </c>
      <c r="I7" s="1" t="str">
        <f>CONCATENATE(H7,"OVR")</f>
        <v>21618313OVR</v>
      </c>
      <c r="J7" s="1" t="s">
        <v>22</v>
      </c>
      <c r="K7" s="1">
        <v>50087425</v>
      </c>
      <c r="L7" s="1" t="str">
        <f>CONCATENATE(K7,"OVR")</f>
        <v>50087425OVR</v>
      </c>
      <c r="M7" s="1" t="s">
        <v>24</v>
      </c>
      <c r="N7" s="1" t="s">
        <v>53</v>
      </c>
      <c r="O7" s="3">
        <v>46023</v>
      </c>
      <c r="P7" s="3">
        <v>46387</v>
      </c>
      <c r="Q7" s="1" t="s">
        <v>59</v>
      </c>
    </row>
    <row r="8" spans="1:21" s="1" customFormat="1" x14ac:dyDescent="0.25">
      <c r="A8" s="4" t="s">
        <v>17</v>
      </c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  <c r="G8" s="4">
        <v>391</v>
      </c>
      <c r="H8" s="4">
        <v>21618313</v>
      </c>
      <c r="I8" s="4">
        <v>21618313</v>
      </c>
      <c r="J8" s="4" t="s">
        <v>22</v>
      </c>
      <c r="K8" s="4">
        <v>50087425</v>
      </c>
      <c r="L8" t="str">
        <f>CONCATENATE(K8,2)</f>
        <v>500874252</v>
      </c>
      <c r="M8" s="4" t="s">
        <v>24</v>
      </c>
      <c r="N8" s="4" t="s">
        <v>53</v>
      </c>
      <c r="O8" s="5">
        <v>46023</v>
      </c>
      <c r="P8" s="5">
        <v>46387</v>
      </c>
      <c r="Q8" s="4" t="s">
        <v>57</v>
      </c>
      <c r="R8" s="4" t="s">
        <v>56</v>
      </c>
      <c r="S8" s="4"/>
      <c r="T8" s="4"/>
      <c r="U8" s="4"/>
    </row>
    <row r="9" spans="1:21" s="1" customFormat="1" x14ac:dyDescent="0.25">
      <c r="A9" s="1" t="s">
        <v>17</v>
      </c>
      <c r="B9" s="1" t="s">
        <v>17</v>
      </c>
      <c r="C9" s="1" t="s">
        <v>18</v>
      </c>
      <c r="D9" s="1" t="s">
        <v>36</v>
      </c>
      <c r="E9" s="1" t="s">
        <v>20</v>
      </c>
      <c r="F9" s="1" t="s">
        <v>21</v>
      </c>
      <c r="G9" s="1">
        <v>60</v>
      </c>
      <c r="H9" s="1">
        <v>21618313</v>
      </c>
      <c r="I9" s="1" t="str">
        <f>CONCATENATE(H9,"OVR")</f>
        <v>21618313OVR</v>
      </c>
      <c r="J9" s="1" t="s">
        <v>22</v>
      </c>
      <c r="K9" s="1">
        <v>50092047</v>
      </c>
      <c r="L9" s="1" t="str">
        <f>CONCATENATE(K9,"OVR")</f>
        <v>50092047OVR</v>
      </c>
      <c r="M9" s="1" t="s">
        <v>24</v>
      </c>
      <c r="N9" s="1" t="s">
        <v>46</v>
      </c>
      <c r="O9" s="3">
        <v>46023</v>
      </c>
      <c r="P9" s="3">
        <v>46387</v>
      </c>
      <c r="Q9" s="1" t="s">
        <v>59</v>
      </c>
    </row>
    <row r="10" spans="1:21" s="1" customFormat="1" x14ac:dyDescent="0.25">
      <c r="A10" s="4" t="s">
        <v>17</v>
      </c>
      <c r="B10" s="4" t="s">
        <v>17</v>
      </c>
      <c r="C10" s="4" t="s">
        <v>18</v>
      </c>
      <c r="D10" s="4" t="s">
        <v>19</v>
      </c>
      <c r="E10" s="4" t="s">
        <v>20</v>
      </c>
      <c r="F10" s="4" t="s">
        <v>21</v>
      </c>
      <c r="G10" s="4">
        <v>391</v>
      </c>
      <c r="H10" s="4">
        <v>21618313</v>
      </c>
      <c r="I10" s="4">
        <v>21618313</v>
      </c>
      <c r="J10" s="4" t="s">
        <v>22</v>
      </c>
      <c r="K10" s="4">
        <v>50092047</v>
      </c>
      <c r="L10" t="str">
        <f>CONCATENATE(K10,2)</f>
        <v>500920472</v>
      </c>
      <c r="M10" s="4" t="s">
        <v>24</v>
      </c>
      <c r="N10" s="4" t="s">
        <v>46</v>
      </c>
      <c r="O10" s="5">
        <v>46023</v>
      </c>
      <c r="P10" s="5">
        <v>46387</v>
      </c>
      <c r="Q10" s="4" t="s">
        <v>57</v>
      </c>
      <c r="R10" s="4" t="s">
        <v>56</v>
      </c>
      <c r="S10" s="4"/>
      <c r="T10" s="4"/>
      <c r="U10" s="4"/>
    </row>
    <row r="11" spans="1:21" s="4" customFormat="1" x14ac:dyDescent="0.25">
      <c r="A11" s="1" t="s">
        <v>17</v>
      </c>
      <c r="B11" s="1" t="s">
        <v>17</v>
      </c>
      <c r="C11" s="1" t="s">
        <v>18</v>
      </c>
      <c r="D11" s="1" t="s">
        <v>36</v>
      </c>
      <c r="E11" s="1" t="s">
        <v>20</v>
      </c>
      <c r="F11" s="1" t="s">
        <v>21</v>
      </c>
      <c r="G11" s="1">
        <v>60</v>
      </c>
      <c r="H11" s="1">
        <v>21618313</v>
      </c>
      <c r="I11" s="1" t="str">
        <f>CONCATENATE(H11,"OVR")</f>
        <v>21618313OVR</v>
      </c>
      <c r="J11" s="1" t="s">
        <v>22</v>
      </c>
      <c r="K11" s="1">
        <v>50095438</v>
      </c>
      <c r="L11" s="1" t="str">
        <f>CONCATENATE(K11,"OVR")</f>
        <v>50095438OVR</v>
      </c>
      <c r="M11" s="1" t="s">
        <v>24</v>
      </c>
      <c r="N11" s="1" t="s">
        <v>42</v>
      </c>
      <c r="O11" s="3">
        <v>46023</v>
      </c>
      <c r="P11" s="3">
        <v>46387</v>
      </c>
      <c r="Q11" s="1" t="s">
        <v>59</v>
      </c>
      <c r="R11" s="1"/>
      <c r="S11" s="1"/>
      <c r="T11" s="1"/>
      <c r="U11" s="1"/>
    </row>
    <row r="12" spans="1:21" s="4" customFormat="1" x14ac:dyDescent="0.25">
      <c r="A12" s="4" t="s">
        <v>17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>
        <v>391</v>
      </c>
      <c r="H12" s="4">
        <v>21618313</v>
      </c>
      <c r="I12" s="4">
        <v>21618313</v>
      </c>
      <c r="J12" s="4" t="s">
        <v>22</v>
      </c>
      <c r="K12" s="4">
        <v>50095438</v>
      </c>
      <c r="L12" t="str">
        <f>CONCATENATE(K12,2)</f>
        <v>500954382</v>
      </c>
      <c r="M12" s="4" t="s">
        <v>24</v>
      </c>
      <c r="N12" s="4" t="s">
        <v>42</v>
      </c>
      <c r="O12" s="5">
        <v>46023</v>
      </c>
      <c r="P12" s="5">
        <v>46387</v>
      </c>
      <c r="Q12" s="4" t="s">
        <v>57</v>
      </c>
      <c r="R12" s="4" t="s">
        <v>56</v>
      </c>
    </row>
    <row r="13" spans="1:21" s="4" customFormat="1" x14ac:dyDescent="0.25">
      <c r="A13" s="1" t="s">
        <v>17</v>
      </c>
      <c r="B13" s="1" t="s">
        <v>17</v>
      </c>
      <c r="C13" s="1" t="s">
        <v>18</v>
      </c>
      <c r="D13" s="1" t="s">
        <v>36</v>
      </c>
      <c r="E13" s="1" t="s">
        <v>20</v>
      </c>
      <c r="F13" s="1" t="s">
        <v>21</v>
      </c>
      <c r="G13" s="1">
        <v>60</v>
      </c>
      <c r="H13" s="1">
        <v>21618313</v>
      </c>
      <c r="I13" s="1" t="str">
        <f>CONCATENATE(H13,"OVR")</f>
        <v>21618313OVR</v>
      </c>
      <c r="J13" s="1" t="s">
        <v>22</v>
      </c>
      <c r="K13" s="1">
        <v>50119233</v>
      </c>
      <c r="L13" s="1" t="str">
        <f>CONCATENATE(K13,"OVR")</f>
        <v>50119233OVR</v>
      </c>
      <c r="M13" s="1" t="s">
        <v>24</v>
      </c>
      <c r="N13" s="1" t="s">
        <v>40</v>
      </c>
      <c r="O13" s="3">
        <v>46023</v>
      </c>
      <c r="P13" s="3">
        <v>46387</v>
      </c>
      <c r="Q13" s="1" t="s">
        <v>59</v>
      </c>
      <c r="R13" s="1"/>
      <c r="S13" s="1"/>
      <c r="T13" s="1"/>
      <c r="U13" s="1"/>
    </row>
    <row r="14" spans="1:21" s="4" customFormat="1" x14ac:dyDescent="0.25">
      <c r="A14" s="4" t="s">
        <v>17</v>
      </c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  <c r="G14" s="4">
        <v>391</v>
      </c>
      <c r="H14" s="4">
        <v>21618313</v>
      </c>
      <c r="I14" s="4">
        <v>21618313</v>
      </c>
      <c r="J14" s="4" t="s">
        <v>22</v>
      </c>
      <c r="K14" s="4">
        <v>50119233</v>
      </c>
      <c r="L14" t="str">
        <f>CONCATENATE(K14,2)</f>
        <v>501192332</v>
      </c>
      <c r="M14" s="4" t="s">
        <v>24</v>
      </c>
      <c r="N14" s="4" t="s">
        <v>40</v>
      </c>
      <c r="O14" s="5">
        <v>46023</v>
      </c>
      <c r="P14" s="5">
        <v>46387</v>
      </c>
      <c r="Q14" s="4" t="s">
        <v>57</v>
      </c>
      <c r="R14" s="4" t="s">
        <v>56</v>
      </c>
    </row>
    <row r="15" spans="1:21" s="4" customFormat="1" x14ac:dyDescent="0.25">
      <c r="A15" s="1" t="s">
        <v>17</v>
      </c>
      <c r="B15" s="1" t="s">
        <v>17</v>
      </c>
      <c r="C15" s="1" t="s">
        <v>18</v>
      </c>
      <c r="D15" s="1" t="s">
        <v>36</v>
      </c>
      <c r="E15" s="1" t="s">
        <v>20</v>
      </c>
      <c r="F15" s="1" t="s">
        <v>32</v>
      </c>
      <c r="G15" s="1">
        <v>60</v>
      </c>
      <c r="H15" s="1">
        <v>19278370</v>
      </c>
      <c r="I15" s="1" t="str">
        <f>CONCATENATE(H15,"OVR")</f>
        <v>19278370OVR</v>
      </c>
      <c r="J15" s="1" t="s">
        <v>22</v>
      </c>
      <c r="K15" s="1">
        <v>50130686</v>
      </c>
      <c r="L15" s="1" t="str">
        <f>CONCATENATE(K15,"OVR")</f>
        <v>50130686OVR</v>
      </c>
      <c r="M15" s="1" t="s">
        <v>24</v>
      </c>
      <c r="N15" s="1" t="s">
        <v>44</v>
      </c>
      <c r="O15" s="3">
        <v>46023</v>
      </c>
      <c r="P15" s="3">
        <v>46387</v>
      </c>
      <c r="Q15" s="1" t="s">
        <v>59</v>
      </c>
      <c r="R15" s="1"/>
      <c r="S15" s="1"/>
      <c r="T15" s="1"/>
      <c r="U15" s="1"/>
    </row>
    <row r="16" spans="1:21" s="4" customFormat="1" x14ac:dyDescent="0.25">
      <c r="A16" s="4" t="s">
        <v>17</v>
      </c>
      <c r="B16" s="4" t="s">
        <v>17</v>
      </c>
      <c r="C16" s="4" t="s">
        <v>18</v>
      </c>
      <c r="D16" s="4" t="s">
        <v>19</v>
      </c>
      <c r="E16" s="4" t="s">
        <v>20</v>
      </c>
      <c r="F16" s="4" t="s">
        <v>32</v>
      </c>
      <c r="G16" s="4">
        <v>391</v>
      </c>
      <c r="H16" s="4">
        <v>19278370</v>
      </c>
      <c r="I16" t="s">
        <v>60</v>
      </c>
      <c r="J16" s="4" t="s">
        <v>22</v>
      </c>
      <c r="K16" s="4">
        <v>50130686</v>
      </c>
      <c r="L16" t="str">
        <f>CONCATENATE(K16,2)</f>
        <v>501306862</v>
      </c>
      <c r="M16" s="4" t="s">
        <v>24</v>
      </c>
      <c r="N16" s="4" t="s">
        <v>44</v>
      </c>
      <c r="O16" s="5">
        <v>46023</v>
      </c>
      <c r="P16" s="5">
        <v>46387</v>
      </c>
      <c r="Q16" s="4" t="s">
        <v>57</v>
      </c>
      <c r="R16" s="4" t="s">
        <v>56</v>
      </c>
    </row>
    <row r="17" spans="1:21" s="4" customFormat="1" x14ac:dyDescent="0.25">
      <c r="A17" s="1" t="s">
        <v>17</v>
      </c>
      <c r="B17" s="1" t="s">
        <v>17</v>
      </c>
      <c r="C17" s="1" t="s">
        <v>18</v>
      </c>
      <c r="D17" s="1" t="s">
        <v>36</v>
      </c>
      <c r="E17" s="1" t="s">
        <v>20</v>
      </c>
      <c r="F17" s="1" t="s">
        <v>21</v>
      </c>
      <c r="G17" s="1">
        <v>60</v>
      </c>
      <c r="H17" s="1">
        <v>21618313</v>
      </c>
      <c r="I17" s="1" t="str">
        <f>CONCATENATE(H17,"OVR")</f>
        <v>21618313OVR</v>
      </c>
      <c r="J17" s="1" t="s">
        <v>22</v>
      </c>
      <c r="K17" s="1">
        <v>50137100</v>
      </c>
      <c r="L17" s="1" t="str">
        <f>CONCATENATE(K17,"OVR")</f>
        <v>50137100OVR</v>
      </c>
      <c r="M17" s="1" t="s">
        <v>24</v>
      </c>
      <c r="N17" s="1" t="s">
        <v>48</v>
      </c>
      <c r="O17" s="3">
        <v>46023</v>
      </c>
      <c r="P17" s="3">
        <v>46387</v>
      </c>
      <c r="Q17" s="1" t="s">
        <v>59</v>
      </c>
      <c r="R17" s="1"/>
      <c r="S17" s="1"/>
      <c r="T17" s="1"/>
      <c r="U17" s="1"/>
    </row>
    <row r="18" spans="1:21" s="4" customFormat="1" x14ac:dyDescent="0.25">
      <c r="A18" s="4" t="s">
        <v>17</v>
      </c>
      <c r="B18" s="4" t="s">
        <v>17</v>
      </c>
      <c r="C18" s="4" t="s">
        <v>18</v>
      </c>
      <c r="D18" s="4" t="s">
        <v>19</v>
      </c>
      <c r="E18" s="4" t="s">
        <v>20</v>
      </c>
      <c r="F18" s="4" t="s">
        <v>21</v>
      </c>
      <c r="G18" s="4">
        <v>391</v>
      </c>
      <c r="H18" s="4">
        <v>21618313</v>
      </c>
      <c r="I18" s="4">
        <v>21618313</v>
      </c>
      <c r="J18" s="4" t="s">
        <v>22</v>
      </c>
      <c r="K18" s="4">
        <v>50137100</v>
      </c>
      <c r="L18" t="str">
        <f>CONCATENATE(K18,2)</f>
        <v>501371002</v>
      </c>
      <c r="M18" s="4" t="s">
        <v>24</v>
      </c>
      <c r="N18" s="4" t="s">
        <v>48</v>
      </c>
      <c r="O18" s="5">
        <v>46023</v>
      </c>
      <c r="P18" s="5">
        <v>46387</v>
      </c>
      <c r="Q18" s="4" t="s">
        <v>57</v>
      </c>
      <c r="R18" s="4" t="s">
        <v>56</v>
      </c>
    </row>
  </sheetData>
  <sortState xmlns:xlrd2="http://schemas.microsoft.com/office/spreadsheetml/2017/richdata2" ref="A3:U18">
    <sortCondition ref="K3:K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2026-06-19T06:31:49Z</dcterms:created>
  <dcterms:modified xsi:type="dcterms:W3CDTF">2026-06-19T19:24:56Z</dcterms:modified>
  <cp:category/>
</cp:coreProperties>
</file>