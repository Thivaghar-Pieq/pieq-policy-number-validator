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AACF82F-FA81-4FA7-8284-DF2B715551E1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R16" i="2" l="1"/>
  <c r="K7" i="2"/>
  <c r="K6" i="2"/>
  <c r="K21" i="2"/>
  <c r="K20" i="2"/>
  <c r="K19" i="2"/>
  <c r="K18" i="2"/>
  <c r="K17" i="2"/>
  <c r="K16" i="2"/>
  <c r="K15" i="2"/>
  <c r="K5" i="2"/>
  <c r="K4" i="2"/>
  <c r="K14" i="2"/>
  <c r="K3" i="2"/>
  <c r="K13" i="2"/>
  <c r="K12" i="2"/>
  <c r="K11" i="2"/>
  <c r="K10" i="2"/>
  <c r="K9" i="2"/>
  <c r="K8" i="2"/>
  <c r="K2" i="2"/>
  <c r="S15" i="2"/>
  <c r="P3" i="2"/>
  <c r="Q8" i="2"/>
  <c r="Q15" i="2"/>
  <c r="P14" i="2"/>
</calcChain>
</file>

<file path=xl/sharedStrings.xml><?xml version="1.0" encoding="utf-8"?>
<sst xmlns="http://schemas.openxmlformats.org/spreadsheetml/2006/main" count="407" uniqueCount="62">
  <si>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</si>
  <si>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</si>
  <si>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</si>
  <si>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</si>
  <si>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</si>
  <si>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</si>
  <si>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</si>
  <si>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</si>
  <si>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</si>
  <si>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</si>
  <si>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</si>
  <si>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</si>
  <si>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</si>
  <si>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</si>
  <si>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</si>
  <si>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</si>
  <si>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2026-03-23</t>
  </si>
  <si>
    <t>2026-03-30</t>
  </si>
  <si>
    <t/>
  </si>
  <si>
    <t>Commission Difference</t>
  </si>
  <si>
    <t>MLB</t>
  </si>
  <si>
    <t>Roccia, Mark</t>
  </si>
  <si>
    <t>Ibc</t>
  </si>
  <si>
    <t>2QQ5EV3RG75</t>
  </si>
  <si>
    <t>MAPD</t>
  </si>
  <si>
    <t>Fili Jr, William</t>
  </si>
  <si>
    <t>2026-02-01</t>
  </si>
  <si>
    <t>2026-02-28</t>
  </si>
  <si>
    <t>Richter, Peter</t>
  </si>
  <si>
    <t>9D26UT3MG85</t>
  </si>
  <si>
    <t>Davidson, Daniel</t>
  </si>
  <si>
    <t>2026-01-01</t>
  </si>
  <si>
    <t>Agency Marketing Fee</t>
  </si>
  <si>
    <t>1CT9WE0MA33</t>
  </si>
  <si>
    <t>Balick, Jennifer</t>
  </si>
  <si>
    <t>2026-03-01</t>
  </si>
  <si>
    <t>Kozacheck, Anne Marie</t>
  </si>
  <si>
    <t>7TW4PK2JG81</t>
  </si>
  <si>
    <t>Koukos, Celeste</t>
  </si>
  <si>
    <t>2026-04-01</t>
  </si>
  <si>
    <t>4U55PU3XP84</t>
  </si>
  <si>
    <t>Lin, Ishen</t>
  </si>
  <si>
    <t>2026-03-31</t>
  </si>
  <si>
    <t>8CT0MH2NQ05</t>
  </si>
  <si>
    <t>Feimster, Cynthia</t>
  </si>
  <si>
    <t>8A59RK2RD16</t>
  </si>
  <si>
    <t>James, Amy</t>
  </si>
  <si>
    <t>6QJ7AV2PQ40</t>
  </si>
  <si>
    <t>Kuntz, Paul</t>
  </si>
  <si>
    <t>Foley, Carol</t>
  </si>
  <si>
    <t>8A13QW1NE73</t>
  </si>
  <si>
    <t>Reilly, Bonnie</t>
  </si>
  <si>
    <t>7PY4JG8YP99</t>
  </si>
  <si>
    <t>Reilly, Thomas</t>
  </si>
  <si>
    <t>IBC MAPD OVR</t>
  </si>
  <si>
    <t>[%/$=391][prorate=10/12]</t>
  </si>
  <si>
    <t>IBC MAPD 2026*</t>
  </si>
  <si>
    <t>IBC 2026 CT, PA, DC</t>
  </si>
  <si>
    <t>[%/$=781]</t>
  </si>
  <si>
    <t>[%/$=391][prorate=9/12]</t>
  </si>
  <si>
    <t>[%/$=391][prorate=11/12]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</si>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</sst>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G11" sqref="G11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2.14062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4.140625" bestFit="1" customWidth="1"/>
    <col min="12" max="12" width="9.5703125" bestFit="1" customWidth="1"/>
    <col min="13" max="13" width="16.7109375" bestFit="1" customWidth="1"/>
    <col min="14" max="14" width="13.5703125" bestFit="1" customWidth="1"/>
    <col min="15" max="15" width="10.425781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-781</v>
      </c>
      <c r="H2">
        <v>21618313</v>
      </c>
      <c r="I2" t="s">
        <v>22</v>
      </c>
      <c r="J2">
        <v>51052718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18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>
        <v>-325.83</v>
      </c>
      <c r="H3">
        <v>16509456</v>
      </c>
      <c r="I3" t="s">
        <v>22</v>
      </c>
      <c r="J3">
        <v>51020482</v>
      </c>
      <c r="K3" t="s">
        <v>29</v>
      </c>
      <c r="L3" t="s">
        <v>24</v>
      </c>
      <c r="M3" t="s">
        <v>30</v>
      </c>
      <c r="N3" t="s">
        <v>31</v>
      </c>
      <c r="O3" t="s">
        <v>27</v>
      </c>
      <c r="P3" t="s">
        <v>18</v>
      </c>
    </row>
    <row r="4" spans="1:16" x14ac:dyDescent="0.25">
      <c r="A4" t="s">
        <v>16</v>
      </c>
      <c r="B4" t="s">
        <v>17</v>
      </c>
      <c r="C4" t="s">
        <v>18</v>
      </c>
      <c r="D4" t="s">
        <v>32</v>
      </c>
      <c r="E4" t="s">
        <v>20</v>
      </c>
      <c r="F4" t="s">
        <v>21</v>
      </c>
      <c r="G4">
        <v>100</v>
      </c>
      <c r="H4">
        <v>21618313</v>
      </c>
      <c r="I4" t="s">
        <v>22</v>
      </c>
      <c r="J4">
        <v>51056266</v>
      </c>
      <c r="K4" t="s">
        <v>33</v>
      </c>
      <c r="L4" t="s">
        <v>24</v>
      </c>
      <c r="M4" t="s">
        <v>34</v>
      </c>
      <c r="N4" t="s">
        <v>35</v>
      </c>
      <c r="O4" t="s">
        <v>18</v>
      </c>
      <c r="P4" t="s">
        <v>18</v>
      </c>
    </row>
    <row r="5" spans="1:16" x14ac:dyDescent="0.25">
      <c r="A5" t="s">
        <v>16</v>
      </c>
      <c r="B5" t="s">
        <v>17</v>
      </c>
      <c r="C5" t="s">
        <v>18</v>
      </c>
      <c r="D5" t="s">
        <v>32</v>
      </c>
      <c r="E5" t="s">
        <v>20</v>
      </c>
      <c r="F5" t="s">
        <v>36</v>
      </c>
      <c r="G5">
        <v>100</v>
      </c>
      <c r="H5">
        <v>19278370</v>
      </c>
      <c r="I5" t="s">
        <v>22</v>
      </c>
      <c r="J5">
        <v>51056460</v>
      </c>
      <c r="K5" t="s">
        <v>37</v>
      </c>
      <c r="L5" t="s">
        <v>24</v>
      </c>
      <c r="M5" t="s">
        <v>38</v>
      </c>
      <c r="N5" t="s">
        <v>39</v>
      </c>
      <c r="O5" t="s">
        <v>18</v>
      </c>
      <c r="P5" t="s">
        <v>18</v>
      </c>
    </row>
    <row r="6" spans="1:16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36</v>
      </c>
      <c r="G6">
        <v>293.25</v>
      </c>
      <c r="H6">
        <v>19278370</v>
      </c>
      <c r="I6" t="s">
        <v>22</v>
      </c>
      <c r="J6">
        <v>51056460</v>
      </c>
      <c r="K6" t="s">
        <v>37</v>
      </c>
      <c r="L6" t="s">
        <v>24</v>
      </c>
      <c r="M6" t="s">
        <v>38</v>
      </c>
      <c r="N6" t="s">
        <v>39</v>
      </c>
      <c r="O6" t="s">
        <v>18</v>
      </c>
      <c r="P6" t="s">
        <v>18</v>
      </c>
    </row>
    <row r="7" spans="1:16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>
        <v>325.83</v>
      </c>
      <c r="H7">
        <v>21618313</v>
      </c>
      <c r="I7" t="s">
        <v>22</v>
      </c>
      <c r="J7">
        <v>51056266</v>
      </c>
      <c r="K7" t="s">
        <v>33</v>
      </c>
      <c r="L7" t="s">
        <v>24</v>
      </c>
      <c r="M7" t="s">
        <v>34</v>
      </c>
      <c r="N7" t="s">
        <v>35</v>
      </c>
      <c r="O7" t="s">
        <v>18</v>
      </c>
      <c r="P7" t="s">
        <v>18</v>
      </c>
    </row>
    <row r="8" spans="1:16" s="2" customFormat="1" x14ac:dyDescent="0.25">
      <c r="A8" s="2" t="s">
        <v>17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>
        <v>-293.25</v>
      </c>
      <c r="H8" s="2">
        <v>21618313</v>
      </c>
      <c r="I8" s="2" t="s">
        <v>22</v>
      </c>
      <c r="J8" s="2">
        <v>51045900</v>
      </c>
      <c r="K8" s="2" t="s">
        <v>40</v>
      </c>
      <c r="L8" s="2" t="s">
        <v>24</v>
      </c>
      <c r="M8" s="2" t="s">
        <v>41</v>
      </c>
      <c r="N8" s="2" t="s">
        <v>31</v>
      </c>
      <c r="O8" s="2" t="s">
        <v>42</v>
      </c>
      <c r="P8" s="2" t="s">
        <v>18</v>
      </c>
    </row>
    <row r="9" spans="1:16" s="2" customFormat="1" x14ac:dyDescent="0.25">
      <c r="A9" s="2" t="s">
        <v>17</v>
      </c>
      <c r="B9" s="2" t="s">
        <v>17</v>
      </c>
      <c r="C9" s="2" t="s">
        <v>18</v>
      </c>
      <c r="D9" s="2" t="s">
        <v>32</v>
      </c>
      <c r="E9" s="2" t="s">
        <v>20</v>
      </c>
      <c r="F9" s="2" t="s">
        <v>21</v>
      </c>
      <c r="G9" s="2">
        <v>-45</v>
      </c>
      <c r="H9" s="2">
        <v>21618313</v>
      </c>
      <c r="I9" s="2" t="s">
        <v>22</v>
      </c>
      <c r="J9" s="2">
        <v>51045900</v>
      </c>
      <c r="K9" s="2" t="s">
        <v>40</v>
      </c>
      <c r="L9" s="2" t="s">
        <v>24</v>
      </c>
      <c r="M9" s="2" t="s">
        <v>41</v>
      </c>
      <c r="N9" s="2" t="s">
        <v>31</v>
      </c>
      <c r="O9" s="2" t="s">
        <v>42</v>
      </c>
      <c r="P9" s="2" t="s">
        <v>18</v>
      </c>
    </row>
    <row r="10" spans="1:16" s="2" customFormat="1" x14ac:dyDescent="0.25">
      <c r="A10" s="2" t="s">
        <v>17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>
        <v>422.58</v>
      </c>
      <c r="H10" s="2">
        <v>21618313</v>
      </c>
      <c r="I10" s="2" t="s">
        <v>22</v>
      </c>
      <c r="J10" s="2">
        <v>51055915</v>
      </c>
      <c r="K10" s="2" t="s">
        <v>43</v>
      </c>
      <c r="L10" s="2" t="s">
        <v>24</v>
      </c>
      <c r="M10" s="2" t="s">
        <v>44</v>
      </c>
      <c r="N10" s="2" t="s">
        <v>26</v>
      </c>
      <c r="O10" s="2" t="s">
        <v>18</v>
      </c>
      <c r="P10" s="2" t="s">
        <v>18</v>
      </c>
    </row>
    <row r="11" spans="1:16" s="2" customFormat="1" x14ac:dyDescent="0.25">
      <c r="A11" s="2" t="s">
        <v>17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>
        <v>455.17</v>
      </c>
      <c r="H11" s="2">
        <v>21618313</v>
      </c>
      <c r="I11" s="2" t="s">
        <v>22</v>
      </c>
      <c r="J11" s="2">
        <v>51056266</v>
      </c>
      <c r="K11" s="2" t="s">
        <v>33</v>
      </c>
      <c r="L11" s="2" t="s">
        <v>24</v>
      </c>
      <c r="M11" s="2" t="s">
        <v>34</v>
      </c>
      <c r="N11" s="2" t="s">
        <v>35</v>
      </c>
      <c r="O11" s="2" t="s">
        <v>18</v>
      </c>
      <c r="P11" s="2" t="s">
        <v>18</v>
      </c>
    </row>
    <row r="12" spans="1:16" s="2" customFormat="1" x14ac:dyDescent="0.25">
      <c r="A12" s="2" t="s">
        <v>17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>
        <v>455.17</v>
      </c>
      <c r="H12" s="2">
        <v>21618313</v>
      </c>
      <c r="I12" s="2" t="s">
        <v>22</v>
      </c>
      <c r="J12" s="2">
        <v>51055971</v>
      </c>
      <c r="K12" s="2" t="s">
        <v>45</v>
      </c>
      <c r="L12" s="2" t="s">
        <v>24</v>
      </c>
      <c r="M12" s="2" t="s">
        <v>46</v>
      </c>
      <c r="N12" s="2" t="s">
        <v>35</v>
      </c>
      <c r="O12" s="2" t="s">
        <v>18</v>
      </c>
      <c r="P12" s="2" t="s">
        <v>18</v>
      </c>
    </row>
    <row r="13" spans="1:16" s="2" customFormat="1" x14ac:dyDescent="0.25">
      <c r="A13" s="2" t="s">
        <v>17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>
        <v>455.17</v>
      </c>
      <c r="H13" s="2">
        <v>21618313</v>
      </c>
      <c r="I13" s="2" t="s">
        <v>22</v>
      </c>
      <c r="J13" s="2">
        <v>51055814</v>
      </c>
      <c r="K13" s="2" t="s">
        <v>47</v>
      </c>
      <c r="L13" s="2" t="s">
        <v>24</v>
      </c>
      <c r="M13" s="2" t="s">
        <v>48</v>
      </c>
      <c r="N13" s="2" t="s">
        <v>35</v>
      </c>
      <c r="O13" s="2" t="s">
        <v>18</v>
      </c>
      <c r="P13" s="2" t="s">
        <v>18</v>
      </c>
    </row>
    <row r="14" spans="1:16" s="2" customFormat="1" x14ac:dyDescent="0.25">
      <c r="A14" s="2" t="s">
        <v>17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49</v>
      </c>
      <c r="G14" s="2">
        <v>455.17</v>
      </c>
      <c r="H14" s="2">
        <v>17425766</v>
      </c>
      <c r="I14" s="2" t="s">
        <v>22</v>
      </c>
      <c r="J14" s="2">
        <v>51036186</v>
      </c>
      <c r="K14" s="2" t="s">
        <v>50</v>
      </c>
      <c r="L14" s="2" t="s">
        <v>24</v>
      </c>
      <c r="M14" s="2" t="s">
        <v>51</v>
      </c>
      <c r="N14" s="2" t="s">
        <v>35</v>
      </c>
      <c r="O14" s="2" t="s">
        <v>18</v>
      </c>
      <c r="P14" s="2" t="s">
        <v>18</v>
      </c>
    </row>
    <row r="15" spans="1:16" s="2" customFormat="1" x14ac:dyDescent="0.25">
      <c r="A15" s="2" t="s">
        <v>17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49</v>
      </c>
      <c r="G15" s="2">
        <v>455.17</v>
      </c>
      <c r="H15" s="2">
        <v>17425766</v>
      </c>
      <c r="I15" s="2" t="s">
        <v>22</v>
      </c>
      <c r="J15" s="2">
        <v>51036041</v>
      </c>
      <c r="K15" s="2" t="s">
        <v>52</v>
      </c>
      <c r="L15" s="2" t="s">
        <v>24</v>
      </c>
      <c r="M15" s="2" t="s">
        <v>53</v>
      </c>
      <c r="N15" s="2" t="s">
        <v>35</v>
      </c>
      <c r="O15" s="2" t="s">
        <v>18</v>
      </c>
      <c r="P15" s="2" t="s">
        <v>18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769C-B3BE-4957-9EC8-20350B7987E7}">
  <dimension ref="A1:S21"/>
  <sheetViews>
    <sheetView tabSelected="1" workbookViewId="0">
      <selection activeCell="J8" sqref="J8:J21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2.14062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5.140625" customWidth="1"/>
    <col min="12" max="12" width="16.7109375" bestFit="1" customWidth="1"/>
    <col min="13" max="13" width="13.5703125" bestFit="1" customWidth="1"/>
    <col min="14" max="14" width="18" bestFit="1" customWidth="1"/>
    <col min="15" max="15" width="2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12</v>
      </c>
      <c r="M1" t="s">
        <v>13</v>
      </c>
    </row>
    <row r="2" spans="1:19" s="8" customFormat="1" x14ac:dyDescent="0.25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>
        <v>-781</v>
      </c>
      <c r="H2" s="8">
        <v>21618313</v>
      </c>
      <c r="I2" s="8" t="s">
        <v>22</v>
      </c>
      <c r="J2" s="8">
        <v>51052718</v>
      </c>
      <c r="K2" s="8" t="str">
        <f>CONCATENATE(J2,11)</f>
        <v>5105271811</v>
      </c>
      <c r="L2" s="8" t="s">
        <v>25</v>
      </c>
      <c r="M2" s="9">
        <v>46054</v>
      </c>
      <c r="N2" s="8" t="s">
        <v>57</v>
      </c>
      <c r="O2" s="8" t="s">
        <v>58</v>
      </c>
    </row>
    <row r="3" spans="1:19" s="8" customFormat="1" x14ac:dyDescent="0.25">
      <c r="A3" s="8" t="s">
        <v>16</v>
      </c>
      <c r="B3" s="8" t="s">
        <v>17</v>
      </c>
      <c r="C3" s="8" t="s">
        <v>18</v>
      </c>
      <c r="D3" s="8" t="s">
        <v>19</v>
      </c>
      <c r="E3" s="8" t="s">
        <v>20</v>
      </c>
      <c r="F3" s="8" t="s">
        <v>28</v>
      </c>
      <c r="G3" s="8">
        <v>-325.83</v>
      </c>
      <c r="H3" s="8">
        <v>16509456</v>
      </c>
      <c r="I3" s="8" t="s">
        <v>22</v>
      </c>
      <c r="J3" s="8">
        <v>51020482</v>
      </c>
      <c r="K3" s="8" t="str">
        <f>CONCATENATE(J3,2)</f>
        <v>510204822</v>
      </c>
      <c r="L3" s="8" t="s">
        <v>30</v>
      </c>
      <c r="M3" s="9">
        <v>46023</v>
      </c>
      <c r="N3" s="8" t="s">
        <v>56</v>
      </c>
      <c r="O3" s="8" t="s">
        <v>55</v>
      </c>
      <c r="P3" s="8">
        <f>391/12*10</f>
        <v>325.83333333333337</v>
      </c>
    </row>
    <row r="4" spans="1:19" s="8" customFormat="1" x14ac:dyDescent="0.25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36</v>
      </c>
      <c r="G4" s="8">
        <v>293.25</v>
      </c>
      <c r="H4" s="8">
        <v>19278370</v>
      </c>
      <c r="I4" s="8" t="s">
        <v>22</v>
      </c>
      <c r="J4" s="8">
        <v>51056460</v>
      </c>
      <c r="K4" s="8" t="str">
        <f>CONCATENATE(J4,2)</f>
        <v>510564602</v>
      </c>
      <c r="L4" s="8" t="s">
        <v>38</v>
      </c>
      <c r="M4" s="9">
        <v>46113</v>
      </c>
      <c r="N4" s="8" t="s">
        <v>56</v>
      </c>
      <c r="O4" s="8" t="s">
        <v>59</v>
      </c>
    </row>
    <row r="5" spans="1:19" s="8" customFormat="1" x14ac:dyDescent="0.25">
      <c r="A5" s="8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>
        <v>325.83</v>
      </c>
      <c r="H5" s="8">
        <v>21618313</v>
      </c>
      <c r="I5" s="8" t="s">
        <v>22</v>
      </c>
      <c r="J5" s="8">
        <v>51056266</v>
      </c>
      <c r="K5" s="8" t="str">
        <f>CONCATENATE(J5,2)</f>
        <v>510562662</v>
      </c>
      <c r="L5" s="8" t="s">
        <v>34</v>
      </c>
      <c r="M5" s="9">
        <v>46082</v>
      </c>
      <c r="N5" s="8" t="s">
        <v>56</v>
      </c>
      <c r="O5" s="8" t="s">
        <v>55</v>
      </c>
    </row>
    <row r="6" spans="1:19" s="8" customFormat="1" x14ac:dyDescent="0.25">
      <c r="A6" s="8" t="s">
        <v>16</v>
      </c>
      <c r="B6" s="8" t="s">
        <v>17</v>
      </c>
      <c r="C6" s="8" t="s">
        <v>18</v>
      </c>
      <c r="D6" s="8" t="s">
        <v>32</v>
      </c>
      <c r="E6" s="8" t="s">
        <v>20</v>
      </c>
      <c r="F6" s="8" t="s">
        <v>61</v>
      </c>
      <c r="G6" s="8">
        <v>100</v>
      </c>
      <c r="H6" s="8">
        <v>20411454</v>
      </c>
      <c r="I6" s="8" t="s">
        <v>22</v>
      </c>
      <c r="J6" s="8">
        <v>51056266</v>
      </c>
      <c r="K6" s="8" t="str">
        <f>CONCATENATE(J6,"OVR")</f>
        <v>51056266OVR</v>
      </c>
      <c r="L6" s="8" t="s">
        <v>34</v>
      </c>
      <c r="M6" s="9">
        <v>46082</v>
      </c>
      <c r="N6" s="8" t="s">
        <v>54</v>
      </c>
    </row>
    <row r="7" spans="1:19" s="8" customFormat="1" x14ac:dyDescent="0.25">
      <c r="A7" s="8" t="s">
        <v>16</v>
      </c>
      <c r="B7" s="8" t="s">
        <v>17</v>
      </c>
      <c r="C7" s="8" t="s">
        <v>18</v>
      </c>
      <c r="D7" s="8" t="s">
        <v>32</v>
      </c>
      <c r="E7" s="8" t="s">
        <v>20</v>
      </c>
      <c r="F7" s="8" t="s">
        <v>61</v>
      </c>
      <c r="G7" s="8">
        <v>100</v>
      </c>
      <c r="H7" s="8">
        <v>20411454</v>
      </c>
      <c r="I7" s="8" t="s">
        <v>22</v>
      </c>
      <c r="J7" s="8">
        <v>51056460</v>
      </c>
      <c r="K7" s="8" t="str">
        <f>CONCATENATE(J7,"OVR")</f>
        <v>51056460OVR</v>
      </c>
      <c r="L7" s="8" t="s">
        <v>38</v>
      </c>
      <c r="M7" s="9">
        <v>46113</v>
      </c>
      <c r="N7" s="8" t="s">
        <v>54</v>
      </c>
    </row>
    <row r="8" spans="1:19" x14ac:dyDescent="0.25">
      <c r="A8" s="2" t="s">
        <v>17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>
        <v>781</v>
      </c>
      <c r="H8" s="2">
        <v>21618313</v>
      </c>
      <c r="I8" s="2" t="s">
        <v>22</v>
      </c>
      <c r="J8" s="2">
        <v>51055915</v>
      </c>
      <c r="K8" s="2" t="str">
        <f>CONCATENATE(J8,11)</f>
        <v>5105591511</v>
      </c>
      <c r="L8" s="2" t="s">
        <v>44</v>
      </c>
      <c r="M8" s="3">
        <v>46054</v>
      </c>
      <c r="N8" s="2" t="s">
        <v>57</v>
      </c>
      <c r="O8" s="2" t="s">
        <v>58</v>
      </c>
      <c r="P8" s="2">
        <v>358.42</v>
      </c>
      <c r="Q8" s="2">
        <f>P8+G8</f>
        <v>1139.42</v>
      </c>
      <c r="R8" s="2">
        <v>422.58</v>
      </c>
      <c r="S8" s="2"/>
    </row>
    <row r="9" spans="1:19" s="4" customFormat="1" x14ac:dyDescent="0.25">
      <c r="A9" s="2" t="s">
        <v>17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>
        <v>781</v>
      </c>
      <c r="H9" s="2">
        <v>21618313</v>
      </c>
      <c r="I9" s="2" t="s">
        <v>22</v>
      </c>
      <c r="J9" s="2">
        <v>51056266</v>
      </c>
      <c r="K9" s="2" t="str">
        <f>CONCATENATE(J9,11)</f>
        <v>5105626611</v>
      </c>
      <c r="L9" s="2" t="s">
        <v>34</v>
      </c>
      <c r="M9" s="3">
        <v>46082</v>
      </c>
      <c r="N9" s="2" t="s">
        <v>57</v>
      </c>
      <c r="O9" s="2" t="s">
        <v>58</v>
      </c>
      <c r="P9" s="2">
        <v>325.83</v>
      </c>
      <c r="Q9" s="2">
        <v>455.17</v>
      </c>
      <c r="R9" s="2"/>
      <c r="S9" s="2"/>
    </row>
    <row r="10" spans="1:19" s="4" customFormat="1" x14ac:dyDescent="0.25">
      <c r="A10" s="2" t="s">
        <v>17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>
        <v>781</v>
      </c>
      <c r="H10" s="2">
        <v>21618313</v>
      </c>
      <c r="I10" s="2" t="s">
        <v>22</v>
      </c>
      <c r="J10" s="2">
        <v>51055971</v>
      </c>
      <c r="K10" s="2" t="str">
        <f>CONCATENATE(J10,11)</f>
        <v>5105597111</v>
      </c>
      <c r="L10" s="2" t="s">
        <v>46</v>
      </c>
      <c r="M10" s="3">
        <v>46082</v>
      </c>
      <c r="N10" s="2" t="s">
        <v>57</v>
      </c>
      <c r="O10" s="2" t="s">
        <v>58</v>
      </c>
      <c r="P10" s="2"/>
      <c r="Q10" s="2"/>
      <c r="R10" s="2"/>
      <c r="S10" s="2"/>
    </row>
    <row r="11" spans="1:19" s="2" customFormat="1" x14ac:dyDescent="0.25">
      <c r="A11" s="2" t="s">
        <v>17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>
        <v>781</v>
      </c>
      <c r="H11" s="2">
        <v>21618313</v>
      </c>
      <c r="I11" s="2" t="s">
        <v>22</v>
      </c>
      <c r="J11" s="2">
        <v>51055814</v>
      </c>
      <c r="K11" s="2" t="str">
        <f>CONCATENATE(J11,11)</f>
        <v>5105581411</v>
      </c>
      <c r="L11" s="2" t="s">
        <v>48</v>
      </c>
      <c r="M11" s="3">
        <v>46082</v>
      </c>
      <c r="N11" s="2" t="s">
        <v>57</v>
      </c>
      <c r="O11" s="2" t="s">
        <v>58</v>
      </c>
    </row>
    <row r="12" spans="1:19" x14ac:dyDescent="0.25">
      <c r="A12" s="2" t="s">
        <v>17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49</v>
      </c>
      <c r="G12" s="2">
        <v>781</v>
      </c>
      <c r="H12" s="2">
        <v>17425766</v>
      </c>
      <c r="I12" s="2" t="s">
        <v>22</v>
      </c>
      <c r="J12" s="2">
        <v>51036186</v>
      </c>
      <c r="K12" s="2" t="str">
        <f>CONCATENATE(J12,11)</f>
        <v>5103618611</v>
      </c>
      <c r="L12" s="2" t="s">
        <v>51</v>
      </c>
      <c r="M12" s="3">
        <v>46082</v>
      </c>
      <c r="N12" s="2" t="s">
        <v>57</v>
      </c>
      <c r="O12" s="2" t="s">
        <v>58</v>
      </c>
      <c r="P12" s="2"/>
      <c r="Q12" s="2"/>
      <c r="R12" s="2"/>
      <c r="S12" s="2"/>
    </row>
    <row r="13" spans="1:19" x14ac:dyDescent="0.25">
      <c r="A13" s="2" t="s">
        <v>17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49</v>
      </c>
      <c r="G13" s="2">
        <v>781</v>
      </c>
      <c r="H13" s="2">
        <v>17425766</v>
      </c>
      <c r="I13" s="2" t="s">
        <v>22</v>
      </c>
      <c r="J13" s="2">
        <v>51036041</v>
      </c>
      <c r="K13" s="2" t="str">
        <f>CONCATENATE(J13,11)</f>
        <v>5103604111</v>
      </c>
      <c r="L13" s="2" t="s">
        <v>53</v>
      </c>
      <c r="M13" s="3">
        <v>46082</v>
      </c>
      <c r="N13" s="2" t="s">
        <v>57</v>
      </c>
      <c r="O13" s="2" t="s">
        <v>58</v>
      </c>
      <c r="P13" s="2"/>
      <c r="Q13" s="2"/>
      <c r="R13" s="2"/>
      <c r="S13" s="2"/>
    </row>
    <row r="14" spans="1:19" x14ac:dyDescent="0.25">
      <c r="A14" t="s">
        <v>17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>
        <v>-293.25</v>
      </c>
      <c r="H14">
        <v>21618313</v>
      </c>
      <c r="I14" t="s">
        <v>22</v>
      </c>
      <c r="J14">
        <v>51045900</v>
      </c>
      <c r="K14" s="4" t="str">
        <f>CONCATENATE(J14,2)</f>
        <v>510459002</v>
      </c>
      <c r="L14" t="s">
        <v>41</v>
      </c>
      <c r="M14" s="1">
        <v>46023</v>
      </c>
      <c r="N14" t="s">
        <v>56</v>
      </c>
      <c r="O14" t="s">
        <v>59</v>
      </c>
      <c r="P14">
        <f>391/12*9</f>
        <v>293.25</v>
      </c>
      <c r="R14" s="2"/>
      <c r="S14" s="2"/>
    </row>
    <row r="15" spans="1:19" x14ac:dyDescent="0.25">
      <c r="A15" s="4" t="s">
        <v>17</v>
      </c>
      <c r="B15" s="4" t="s">
        <v>17</v>
      </c>
      <c r="C15" s="4" t="s">
        <v>18</v>
      </c>
      <c r="D15" s="4" t="s">
        <v>19</v>
      </c>
      <c r="E15" s="4" t="s">
        <v>20</v>
      </c>
      <c r="F15" s="4" t="s">
        <v>21</v>
      </c>
      <c r="G15" s="4">
        <v>-358.42</v>
      </c>
      <c r="H15" s="4">
        <v>21618313</v>
      </c>
      <c r="I15" s="4" t="s">
        <v>22</v>
      </c>
      <c r="J15" s="4">
        <v>51055915</v>
      </c>
      <c r="K15" s="4" t="str">
        <f>CONCATENATE(J15,2)</f>
        <v>510559152</v>
      </c>
      <c r="L15" s="4" t="s">
        <v>44</v>
      </c>
      <c r="M15" s="5">
        <v>46054</v>
      </c>
      <c r="N15" s="4" t="s">
        <v>56</v>
      </c>
      <c r="O15" s="4" t="s">
        <v>60</v>
      </c>
      <c r="P15" s="4">
        <v>358.42</v>
      </c>
      <c r="Q15" s="4">
        <f>P15+G15</f>
        <v>0</v>
      </c>
      <c r="R15" s="4">
        <v>422.58</v>
      </c>
      <c r="S15" s="4">
        <f>391/12*11</f>
        <v>358.41666666666669</v>
      </c>
    </row>
    <row r="16" spans="1:19" x14ac:dyDescent="0.25">
      <c r="A16" t="s">
        <v>17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>
        <v>-325.83</v>
      </c>
      <c r="H16">
        <v>21618313</v>
      </c>
      <c r="I16" t="s">
        <v>22</v>
      </c>
      <c r="J16">
        <v>51056266</v>
      </c>
      <c r="K16" s="4" t="str">
        <f>CONCATENATE(J16,2)</f>
        <v>510562662</v>
      </c>
      <c r="L16" t="s">
        <v>34</v>
      </c>
      <c r="M16" s="1">
        <v>46082</v>
      </c>
      <c r="N16" t="s">
        <v>56</v>
      </c>
      <c r="O16" t="s">
        <v>55</v>
      </c>
      <c r="P16">
        <v>325.83</v>
      </c>
      <c r="Q16">
        <v>455.17</v>
      </c>
      <c r="R16">
        <f>391/12*10</f>
        <v>325.83333333333337</v>
      </c>
    </row>
    <row r="17" spans="1:19" s="2" customFormat="1" x14ac:dyDescent="0.25">
      <c r="A17" t="s">
        <v>17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>
        <v>-325.83</v>
      </c>
      <c r="H17">
        <v>21618313</v>
      </c>
      <c r="I17" t="s">
        <v>22</v>
      </c>
      <c r="J17">
        <v>51055971</v>
      </c>
      <c r="K17" s="4" t="str">
        <f>CONCATENATE(J17,2)</f>
        <v>510559712</v>
      </c>
      <c r="L17" t="s">
        <v>46</v>
      </c>
      <c r="M17" s="1">
        <v>46082</v>
      </c>
      <c r="N17" t="s">
        <v>56</v>
      </c>
      <c r="O17" t="s">
        <v>55</v>
      </c>
      <c r="P17"/>
      <c r="Q17"/>
      <c r="R17"/>
      <c r="S17"/>
    </row>
    <row r="18" spans="1:19" s="2" customFormat="1" x14ac:dyDescent="0.25">
      <c r="A18" t="s">
        <v>17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>
        <v>-325.83</v>
      </c>
      <c r="H18">
        <v>21618313</v>
      </c>
      <c r="I18" t="s">
        <v>22</v>
      </c>
      <c r="J18">
        <v>51055814</v>
      </c>
      <c r="K18" s="4" t="str">
        <f>CONCATENATE(J18,2)</f>
        <v>510558142</v>
      </c>
      <c r="L18" t="s">
        <v>48</v>
      </c>
      <c r="M18" s="1">
        <v>46082</v>
      </c>
      <c r="N18" t="s">
        <v>56</v>
      </c>
      <c r="O18" t="s">
        <v>55</v>
      </c>
      <c r="P18"/>
      <c r="Q18"/>
      <c r="R18"/>
      <c r="S18"/>
    </row>
    <row r="19" spans="1:19" s="2" customFormat="1" x14ac:dyDescent="0.25">
      <c r="A19" t="s">
        <v>17</v>
      </c>
      <c r="B19" t="s">
        <v>17</v>
      </c>
      <c r="C19" t="s">
        <v>18</v>
      </c>
      <c r="D19" t="s">
        <v>19</v>
      </c>
      <c r="E19" t="s">
        <v>20</v>
      </c>
      <c r="F19" t="s">
        <v>49</v>
      </c>
      <c r="G19">
        <v>-325.83</v>
      </c>
      <c r="H19">
        <v>17425766</v>
      </c>
      <c r="I19" t="s">
        <v>22</v>
      </c>
      <c r="J19">
        <v>51036186</v>
      </c>
      <c r="K19" s="4" t="str">
        <f>CONCATENATE(J19,2)</f>
        <v>510361862</v>
      </c>
      <c r="L19" t="s">
        <v>51</v>
      </c>
      <c r="M19" s="1">
        <v>46082</v>
      </c>
      <c r="N19" t="s">
        <v>56</v>
      </c>
      <c r="O19" t="s">
        <v>55</v>
      </c>
      <c r="P19"/>
      <c r="Q19"/>
      <c r="R19"/>
      <c r="S19"/>
    </row>
    <row r="20" spans="1:19" s="2" customFormat="1" x14ac:dyDescent="0.25">
      <c r="A20" t="s">
        <v>17</v>
      </c>
      <c r="B20" t="s">
        <v>17</v>
      </c>
      <c r="C20" t="s">
        <v>18</v>
      </c>
      <c r="D20" t="s">
        <v>19</v>
      </c>
      <c r="E20" t="s">
        <v>20</v>
      </c>
      <c r="F20" t="s">
        <v>49</v>
      </c>
      <c r="G20">
        <v>-325.83</v>
      </c>
      <c r="H20">
        <v>17425766</v>
      </c>
      <c r="I20" t="s">
        <v>22</v>
      </c>
      <c r="J20">
        <v>51036041</v>
      </c>
      <c r="K20" s="4" t="str">
        <f>CONCATENATE(J20,2)</f>
        <v>510360412</v>
      </c>
      <c r="L20" t="s">
        <v>53</v>
      </c>
      <c r="M20" s="1">
        <v>46082</v>
      </c>
      <c r="N20" t="s">
        <v>56</v>
      </c>
      <c r="O20" t="s">
        <v>55</v>
      </c>
      <c r="P20"/>
      <c r="Q20"/>
      <c r="R20"/>
      <c r="S20"/>
    </row>
    <row r="21" spans="1:19" s="2" customFormat="1" x14ac:dyDescent="0.25">
      <c r="A21" s="6" t="s">
        <v>17</v>
      </c>
      <c r="B21" s="6" t="s">
        <v>17</v>
      </c>
      <c r="C21" s="6" t="s">
        <v>18</v>
      </c>
      <c r="D21" s="6" t="s">
        <v>32</v>
      </c>
      <c r="E21" s="6" t="s">
        <v>20</v>
      </c>
      <c r="F21" s="6" t="s">
        <v>61</v>
      </c>
      <c r="G21" s="6">
        <v>-45</v>
      </c>
      <c r="H21" s="6">
        <v>20411454</v>
      </c>
      <c r="I21" s="6" t="s">
        <v>22</v>
      </c>
      <c r="J21" s="6">
        <v>51045900</v>
      </c>
      <c r="K21" s="6" t="str">
        <f>CONCATENATE(J21,"OVR")</f>
        <v>51045900OVR</v>
      </c>
      <c r="L21" s="6" t="s">
        <v>41</v>
      </c>
      <c r="M21" s="7">
        <v>46023</v>
      </c>
      <c r="N21" s="6" t="s">
        <v>54</v>
      </c>
      <c r="O21" s="6"/>
      <c r="P21" s="6"/>
      <c r="Q21" s="6"/>
      <c r="R21" s="6"/>
      <c r="S21" s="6"/>
    </row>
  </sheetData>
  <sortState xmlns:xlrd2="http://schemas.microsoft.com/office/spreadsheetml/2017/richdata2" ref="A2:S21">
    <sortCondition ref="A2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2026-04-03T07:16:26Z</dcterms:created>
  <dcterms:modified xsi:type="dcterms:W3CDTF">2026-04-06T19:51:49Z</dcterms:modified>
  <cp:category/>
</cp:coreProperties>
</file>