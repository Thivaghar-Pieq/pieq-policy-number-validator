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Ritter\IBC MAPD 1-26-26 Ritter\"/>
    </mc:Choice>
  </mc:AlternateContent>
  <xr:revisionPtr revIDLastSave="0" documentId="13_ncr:1_{FEA38FA3-B833-4BF1-A221-BE9875921956}" xr6:coauthVersionLast="47" xr6:coauthVersionMax="47" xr10:uidLastSave="{00000000-0000-0000-0000-000000000000}"/>
  <bookViews>
    <workbookView xWindow="28680" yWindow="-120" windowWidth="29040" windowHeight="16440" activeTab="1" xr2:uid="{7BA5CF42-D14C-463E-A495-584EB5D40AD4}"/>
  </bookViews>
  <sheets>
    <sheet name="Commissions_Main Line Benefits,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246" i="2" l="1"/>
  <c r="G38" i="2"/>
  <c r="G154" i="2"/>
  <c r="G177" i="2"/>
  <c r="G40" i="2"/>
  <c r="G24" i="2"/>
  <c r="G277" i="2"/>
  <c r="G169" i="2"/>
  <c r="G209" i="2"/>
  <c r="G72" i="2"/>
  <c r="G119" i="2"/>
  <c r="G93" i="2"/>
  <c r="G96" i="2"/>
  <c r="G296" i="2"/>
  <c r="G299" i="2"/>
  <c r="G243" i="2"/>
  <c r="G86" i="2"/>
  <c r="G161" i="2"/>
  <c r="G89" i="2"/>
  <c r="G235" i="2"/>
  <c r="G138" i="2"/>
  <c r="G67" i="2"/>
  <c r="G241" i="2"/>
  <c r="G91" i="2"/>
  <c r="G58" i="2"/>
  <c r="G98" i="2"/>
  <c r="G122" i="2"/>
  <c r="G110" i="2"/>
  <c r="G222" i="2"/>
  <c r="G147" i="2"/>
  <c r="G64" i="2"/>
  <c r="G258" i="2"/>
  <c r="G309" i="2"/>
  <c r="G117" i="2"/>
  <c r="G171" i="2"/>
  <c r="G56" i="2"/>
  <c r="G217" i="2"/>
  <c r="G6" i="2"/>
  <c r="G167" i="2"/>
  <c r="G108" i="2"/>
  <c r="G218" i="2"/>
  <c r="G187" i="2"/>
  <c r="G185" i="2"/>
  <c r="G163" i="2"/>
  <c r="G21" i="2"/>
  <c r="G2" i="2"/>
  <c r="G36" i="2"/>
  <c r="G289" i="2"/>
  <c r="G53" i="2"/>
  <c r="G192" i="2"/>
  <c r="G195" i="2"/>
  <c r="G203" i="2"/>
  <c r="G27" i="2"/>
  <c r="G205" i="2"/>
  <c r="G252" i="2"/>
  <c r="G213" i="2"/>
  <c r="G284" i="2"/>
  <c r="G30" i="2"/>
  <c r="G206" i="2"/>
  <c r="G45" i="2"/>
  <c r="G133" i="2"/>
  <c r="G157" i="2"/>
  <c r="G269" i="2"/>
  <c r="G230" i="2"/>
  <c r="G69" i="2"/>
  <c r="G130" i="2"/>
  <c r="G189" i="2"/>
  <c r="G293" i="2"/>
  <c r="G227" i="2"/>
  <c r="G279" i="2"/>
  <c r="G267" i="2"/>
  <c r="G159" i="2"/>
  <c r="G32" i="2"/>
  <c r="G232" i="2"/>
  <c r="G144" i="2"/>
  <c r="G174" i="2"/>
  <c r="G311" i="2"/>
  <c r="G151" i="2"/>
  <c r="G285" i="2"/>
  <c r="G224" i="2"/>
  <c r="G255" i="2"/>
  <c r="G115" i="2"/>
  <c r="G182" i="2"/>
  <c r="G287" i="2"/>
  <c r="G43" i="2"/>
  <c r="G99" i="2"/>
  <c r="G294" i="2"/>
  <c r="G291" i="2"/>
  <c r="G179" i="2"/>
  <c r="G65" i="2"/>
  <c r="G140" i="2"/>
  <c r="G304" i="2"/>
  <c r="G126" i="2"/>
  <c r="G301" i="2"/>
  <c r="G214" i="2"/>
  <c r="G199" i="2"/>
  <c r="G82" i="2"/>
  <c r="G3" i="2"/>
  <c r="G143" i="2"/>
  <c r="G237" i="2"/>
  <c r="G250" i="2"/>
  <c r="G236" i="2"/>
  <c r="G242" i="2"/>
  <c r="G54" i="2"/>
  <c r="G123" i="2"/>
  <c r="G201" i="2"/>
  <c r="G16" i="2"/>
  <c r="G165" i="2"/>
  <c r="G193" i="2"/>
  <c r="G103" i="2"/>
  <c r="G101" i="2"/>
  <c r="G274" i="2"/>
  <c r="G77" i="2"/>
  <c r="G228" i="2"/>
  <c r="G34" i="2"/>
  <c r="G155" i="2"/>
  <c r="G13" i="2"/>
  <c r="G48" i="2"/>
  <c r="G265" i="2"/>
  <c r="G262" i="2"/>
  <c r="G272" i="2"/>
  <c r="G197" i="2"/>
  <c r="G136" i="2"/>
  <c r="G73" i="2"/>
  <c r="G87" i="2"/>
  <c r="G18" i="2"/>
  <c r="G260" i="2"/>
  <c r="G282" i="2"/>
  <c r="G131" i="2"/>
  <c r="G210" i="2"/>
  <c r="G308" i="2"/>
  <c r="G75" i="2"/>
  <c r="G22" i="2"/>
  <c r="G127" i="2"/>
  <c r="G150" i="2"/>
  <c r="G183" i="2"/>
  <c r="G141" i="2"/>
  <c r="G111" i="2"/>
  <c r="G145" i="2"/>
  <c r="G148" i="2"/>
  <c r="G211" i="2"/>
  <c r="G7" i="2"/>
  <c r="G106" i="2"/>
  <c r="G80" i="2"/>
  <c r="G78" i="2"/>
  <c r="G244" i="2"/>
  <c r="G50" i="2"/>
  <c r="G11" i="2"/>
  <c r="G220" i="2"/>
  <c r="G49" i="2"/>
  <c r="G35" i="2"/>
  <c r="G306" i="2"/>
  <c r="G81" i="2"/>
  <c r="G175" i="2"/>
  <c r="G139" i="2"/>
  <c r="G292" i="2"/>
  <c r="G46" i="2"/>
  <c r="G270" i="2"/>
  <c r="G39" i="2"/>
  <c r="G310" i="2"/>
  <c r="G28" i="2"/>
  <c r="G112" i="2"/>
  <c r="G41" i="2"/>
  <c r="G286" i="2"/>
  <c r="G79" i="2"/>
  <c r="G297" i="2"/>
  <c r="G105" i="2"/>
  <c r="G172" i="2"/>
  <c r="G256" i="2"/>
  <c r="G305" i="2"/>
  <c r="G302" i="2"/>
  <c r="G25" i="2"/>
  <c r="G238" i="2"/>
  <c r="G247" i="2"/>
  <c r="G288" i="2"/>
  <c r="G59" i="2"/>
  <c r="G113" i="2"/>
  <c r="G9" i="2"/>
  <c r="G26" i="2"/>
  <c r="G215" i="2"/>
  <c r="G10" i="2"/>
  <c r="G248" i="2"/>
  <c r="G8" i="2"/>
  <c r="G118" i="2"/>
  <c r="G83" i="2"/>
  <c r="G4" i="2"/>
  <c r="G14" i="2"/>
  <c r="G275" i="2"/>
  <c r="G94" i="2"/>
  <c r="G219" i="2"/>
  <c r="G61" i="2"/>
  <c r="G216" i="2"/>
  <c r="G229" i="2"/>
  <c r="G142" i="2"/>
  <c r="G173" i="2"/>
  <c r="G202" i="2"/>
  <c r="G251" i="2"/>
  <c r="G188" i="2"/>
  <c r="G221" i="2"/>
  <c r="G290" i="2"/>
  <c r="G116" i="2"/>
  <c r="G298" i="2"/>
  <c r="G198" i="2"/>
  <c r="G92" i="2"/>
  <c r="G254" i="2"/>
  <c r="G181" i="2"/>
  <c r="G271" i="2"/>
  <c r="G85" i="2"/>
  <c r="G307" i="2"/>
  <c r="G135" i="2"/>
  <c r="G261" i="2"/>
  <c r="G149" i="2"/>
  <c r="G196" i="2"/>
  <c r="G125" i="2"/>
  <c r="G71" i="2"/>
  <c r="G129" i="2"/>
  <c r="G74" i="2"/>
  <c r="G281" i="2"/>
  <c r="G17" i="2"/>
  <c r="G264" i="2"/>
  <c r="G259" i="2"/>
  <c r="G20" i="2"/>
  <c r="G208" i="2"/>
  <c r="G249" i="2"/>
  <c r="G95" i="2"/>
  <c r="G70" i="2"/>
  <c r="G223" i="2"/>
  <c r="G268" i="2"/>
  <c r="G107" i="2"/>
  <c r="G280" i="2"/>
  <c r="G5" i="2"/>
  <c r="G186" i="2"/>
  <c r="G180" i="2"/>
  <c r="G212" i="2"/>
  <c r="G19" i="2"/>
  <c r="G124" i="2"/>
  <c r="G253" i="2"/>
  <c r="G128" i="2"/>
  <c r="G278" i="2"/>
  <c r="G109" i="2"/>
  <c r="G114" i="2"/>
  <c r="G23" i="2"/>
  <c r="G283" i="2"/>
  <c r="G84" i="2"/>
  <c r="G170" i="2"/>
  <c r="G137" i="2"/>
  <c r="G204" i="2"/>
  <c r="G104" i="2"/>
  <c r="G132" i="2"/>
  <c r="G257" i="2"/>
  <c r="G90" i="2"/>
  <c r="G231" i="2"/>
  <c r="G42" i="2"/>
  <c r="G1" i="2"/>
  <c r="G29" i="2"/>
  <c r="G207" i="2"/>
  <c r="G97" i="2"/>
  <c r="G134" i="2"/>
  <c r="G194" i="2"/>
  <c r="G295" i="2"/>
  <c r="G162" i="2"/>
  <c r="G300" i="2"/>
  <c r="G31" i="2"/>
  <c r="G303" i="2"/>
  <c r="G178" i="2"/>
  <c r="G156" i="2"/>
  <c r="G263" i="2"/>
  <c r="G166" i="2"/>
  <c r="G158" i="2"/>
  <c r="G88" i="2"/>
  <c r="G266" i="2"/>
  <c r="G276" i="2"/>
  <c r="G66" i="2"/>
  <c r="G146" i="2"/>
  <c r="G168" i="2"/>
  <c r="G55" i="2"/>
  <c r="G68" i="2"/>
  <c r="G44" i="2"/>
  <c r="G60" i="2"/>
  <c r="G191" i="2"/>
  <c r="G12" i="2"/>
  <c r="G102" i="2"/>
  <c r="G33" i="2"/>
  <c r="G47" i="2"/>
  <c r="G153" i="2"/>
  <c r="G273" i="2"/>
  <c r="G76" i="2"/>
  <c r="G164" i="2"/>
  <c r="G15" i="2"/>
  <c r="G100" i="2"/>
  <c r="G226" i="2"/>
  <c r="G200" i="2"/>
  <c r="G160" i="2"/>
  <c r="G245" i="2"/>
  <c r="G37" i="2"/>
  <c r="G190" i="2"/>
  <c r="G152" i="2"/>
  <c r="G225" i="2"/>
  <c r="G234" i="2"/>
  <c r="G52" i="2"/>
  <c r="G240" i="2"/>
  <c r="G121" i="2"/>
  <c r="G63" i="2"/>
  <c r="G239" i="2"/>
  <c r="G57" i="2"/>
  <c r="G176" i="2"/>
  <c r="G233" i="2"/>
  <c r="G184" i="2"/>
  <c r="G51" i="2"/>
  <c r="G120" i="2"/>
  <c r="G62" i="2"/>
  <c r="E51" i="2"/>
  <c r="E184" i="2"/>
  <c r="E233" i="2"/>
  <c r="E176" i="2"/>
  <c r="E57" i="2"/>
  <c r="E239" i="2"/>
  <c r="E63" i="2"/>
  <c r="E121" i="2"/>
  <c r="E240" i="2"/>
  <c r="E52" i="2"/>
  <c r="E234" i="2"/>
  <c r="E225" i="2"/>
  <c r="E152" i="2"/>
  <c r="E190" i="2"/>
  <c r="E37" i="2"/>
  <c r="E245" i="2"/>
  <c r="E160" i="2"/>
  <c r="E200" i="2"/>
  <c r="E226" i="2"/>
  <c r="E100" i="2"/>
  <c r="E15" i="2"/>
  <c r="E164" i="2"/>
  <c r="E76" i="2"/>
  <c r="E273" i="2"/>
  <c r="E153" i="2"/>
  <c r="E47" i="2"/>
  <c r="E33" i="2"/>
  <c r="E102" i="2"/>
  <c r="E12" i="2"/>
  <c r="E191" i="2"/>
  <c r="E60" i="2"/>
  <c r="E44" i="2"/>
  <c r="E68" i="2"/>
  <c r="E55" i="2"/>
  <c r="E168" i="2"/>
  <c r="E146" i="2"/>
  <c r="E66" i="2"/>
  <c r="E276" i="2"/>
  <c r="E266" i="2"/>
  <c r="E88" i="2"/>
  <c r="E158" i="2"/>
  <c r="E166" i="2"/>
  <c r="E263" i="2"/>
  <c r="E156" i="2"/>
  <c r="E178" i="2"/>
  <c r="E303" i="2"/>
  <c r="E31" i="2"/>
  <c r="E300" i="2"/>
  <c r="E162" i="2"/>
  <c r="E295" i="2"/>
  <c r="E194" i="2"/>
  <c r="E134" i="2"/>
  <c r="E97" i="2"/>
  <c r="E207" i="2"/>
  <c r="E29" i="2"/>
  <c r="E1" i="2"/>
  <c r="E42" i="2"/>
  <c r="E231" i="2"/>
  <c r="E90" i="2"/>
  <c r="E257" i="2"/>
  <c r="E132" i="2"/>
  <c r="E104" i="2"/>
  <c r="E204" i="2"/>
  <c r="E137" i="2"/>
  <c r="E170" i="2"/>
  <c r="E84" i="2"/>
  <c r="E283" i="2"/>
  <c r="E23" i="2"/>
  <c r="E114" i="2"/>
  <c r="E109" i="2"/>
  <c r="E278" i="2"/>
  <c r="E128" i="2"/>
  <c r="E253" i="2"/>
  <c r="E124" i="2"/>
  <c r="E19" i="2"/>
  <c r="E212" i="2"/>
  <c r="E180" i="2"/>
  <c r="E186" i="2"/>
  <c r="E5" i="2"/>
  <c r="E280" i="2"/>
  <c r="E107" i="2"/>
  <c r="E268" i="2"/>
  <c r="E223" i="2"/>
  <c r="E70" i="2"/>
  <c r="E95" i="2"/>
  <c r="E249" i="2"/>
  <c r="E208" i="2"/>
  <c r="E20" i="2"/>
  <c r="E259" i="2"/>
  <c r="E264" i="2"/>
  <c r="E17" i="2"/>
  <c r="E281" i="2"/>
  <c r="E74" i="2"/>
  <c r="E129" i="2"/>
  <c r="E71" i="2"/>
  <c r="E125" i="2"/>
  <c r="E196" i="2"/>
  <c r="E149" i="2"/>
  <c r="E261" i="2"/>
  <c r="E135" i="2"/>
  <c r="E307" i="2"/>
  <c r="E85" i="2"/>
  <c r="E271" i="2"/>
  <c r="E181" i="2"/>
  <c r="E254" i="2"/>
  <c r="E92" i="2"/>
  <c r="E198" i="2"/>
  <c r="E298" i="2"/>
  <c r="E116" i="2"/>
  <c r="E290" i="2"/>
  <c r="E221" i="2"/>
  <c r="E188" i="2"/>
  <c r="E251" i="2"/>
  <c r="E202" i="2"/>
  <c r="E173" i="2"/>
  <c r="E142" i="2"/>
  <c r="E229" i="2"/>
  <c r="E216" i="2"/>
  <c r="E61" i="2"/>
  <c r="E246" i="2"/>
  <c r="E38" i="2"/>
  <c r="E154" i="2"/>
  <c r="E177" i="2"/>
  <c r="E40" i="2"/>
  <c r="E24" i="2"/>
  <c r="E277" i="2"/>
  <c r="E169" i="2"/>
  <c r="E209" i="2"/>
  <c r="E72" i="2"/>
  <c r="E119" i="2"/>
  <c r="E93" i="2"/>
  <c r="E96" i="2"/>
  <c r="E296" i="2"/>
  <c r="E299" i="2"/>
  <c r="E243" i="2"/>
  <c r="E86" i="2"/>
  <c r="E161" i="2"/>
  <c r="E89" i="2"/>
  <c r="E235" i="2"/>
  <c r="E138" i="2"/>
  <c r="E67" i="2"/>
  <c r="E241" i="2"/>
  <c r="E91" i="2"/>
  <c r="E58" i="2"/>
  <c r="E98" i="2"/>
  <c r="E122" i="2"/>
  <c r="E110" i="2"/>
  <c r="E222" i="2"/>
  <c r="E147" i="2"/>
  <c r="E64" i="2"/>
  <c r="E258" i="2"/>
  <c r="E309" i="2"/>
  <c r="E117" i="2"/>
  <c r="E171" i="2"/>
  <c r="E56" i="2"/>
  <c r="E217" i="2"/>
  <c r="E6" i="2"/>
  <c r="E167" i="2"/>
  <c r="E108" i="2"/>
  <c r="E218" i="2"/>
  <c r="E187" i="2"/>
  <c r="E185" i="2"/>
  <c r="E163" i="2"/>
  <c r="E21" i="2"/>
  <c r="E2" i="2"/>
  <c r="E36" i="2"/>
  <c r="E289" i="2"/>
  <c r="E53" i="2"/>
  <c r="E192" i="2"/>
  <c r="E195" i="2"/>
  <c r="E203" i="2"/>
  <c r="E27" i="2"/>
  <c r="E205" i="2"/>
  <c r="E252" i="2"/>
  <c r="E213" i="2"/>
  <c r="E284" i="2"/>
  <c r="E30" i="2"/>
  <c r="E206" i="2"/>
  <c r="E45" i="2"/>
  <c r="E133" i="2"/>
  <c r="E157" i="2"/>
  <c r="E269" i="2"/>
  <c r="E230" i="2"/>
  <c r="E69" i="2"/>
  <c r="E130" i="2"/>
  <c r="E189" i="2"/>
  <c r="E293" i="2"/>
  <c r="E227" i="2"/>
  <c r="E279" i="2"/>
  <c r="E267" i="2"/>
  <c r="E159" i="2"/>
  <c r="E32" i="2"/>
  <c r="E232" i="2"/>
  <c r="E144" i="2"/>
  <c r="E174" i="2"/>
  <c r="E311" i="2"/>
  <c r="E151" i="2"/>
  <c r="E285" i="2"/>
  <c r="E224" i="2"/>
  <c r="E255" i="2"/>
  <c r="E115" i="2"/>
  <c r="E182" i="2"/>
  <c r="E287" i="2"/>
  <c r="E43" i="2"/>
  <c r="E99" i="2"/>
  <c r="E294" i="2"/>
  <c r="E291" i="2"/>
  <c r="E179" i="2"/>
  <c r="E65" i="2"/>
  <c r="E140" i="2"/>
  <c r="E304" i="2"/>
  <c r="E126" i="2"/>
  <c r="E301" i="2"/>
  <c r="E214" i="2"/>
  <c r="E199" i="2"/>
  <c r="E82" i="2"/>
  <c r="E3" i="2"/>
  <c r="E143" i="2"/>
  <c r="E237" i="2"/>
  <c r="E250" i="2"/>
  <c r="E236" i="2"/>
  <c r="E242" i="2"/>
  <c r="E54" i="2"/>
  <c r="E123" i="2"/>
  <c r="E201" i="2"/>
  <c r="E16" i="2"/>
  <c r="E165" i="2"/>
  <c r="E193" i="2"/>
  <c r="E103" i="2"/>
  <c r="E101" i="2"/>
  <c r="E274" i="2"/>
  <c r="E77" i="2"/>
  <c r="E228" i="2"/>
  <c r="E34" i="2"/>
  <c r="E155" i="2"/>
  <c r="E13" i="2"/>
  <c r="E48" i="2"/>
  <c r="E265" i="2"/>
  <c r="E262" i="2"/>
  <c r="E272" i="2"/>
  <c r="E197" i="2"/>
  <c r="E136" i="2"/>
  <c r="E73" i="2"/>
  <c r="E87" i="2"/>
  <c r="E18" i="2"/>
  <c r="E260" i="2"/>
  <c r="E282" i="2"/>
  <c r="E131" i="2"/>
  <c r="E210" i="2"/>
  <c r="E308" i="2"/>
  <c r="E75" i="2"/>
  <c r="E22" i="2"/>
  <c r="E127" i="2"/>
  <c r="E150" i="2"/>
  <c r="E183" i="2"/>
  <c r="E141" i="2"/>
  <c r="E111" i="2"/>
  <c r="E145" i="2"/>
  <c r="E148" i="2"/>
  <c r="E211" i="2"/>
  <c r="E7" i="2"/>
  <c r="E106" i="2"/>
  <c r="E80" i="2"/>
  <c r="E78" i="2"/>
  <c r="E244" i="2"/>
  <c r="E50" i="2"/>
  <c r="E11" i="2"/>
  <c r="E220" i="2"/>
  <c r="E49" i="2"/>
  <c r="E35" i="2"/>
  <c r="E306" i="2"/>
  <c r="E81" i="2"/>
  <c r="E175" i="2"/>
  <c r="E139" i="2"/>
  <c r="E292" i="2"/>
  <c r="E46" i="2"/>
  <c r="E270" i="2"/>
  <c r="E39" i="2"/>
  <c r="E310" i="2"/>
  <c r="E28" i="2"/>
  <c r="E112" i="2"/>
  <c r="E41" i="2"/>
  <c r="E286" i="2"/>
  <c r="E79" i="2"/>
  <c r="E297" i="2"/>
  <c r="E105" i="2"/>
  <c r="E172" i="2"/>
  <c r="E256" i="2"/>
  <c r="E305" i="2"/>
  <c r="E302" i="2"/>
  <c r="E25" i="2"/>
  <c r="E238" i="2"/>
  <c r="E247" i="2"/>
  <c r="E288" i="2"/>
  <c r="E59" i="2"/>
  <c r="E113" i="2"/>
  <c r="E9" i="2"/>
  <c r="E26" i="2"/>
  <c r="E215" i="2"/>
  <c r="E10" i="2"/>
  <c r="E248" i="2"/>
  <c r="E8" i="2"/>
  <c r="E118" i="2"/>
  <c r="E83" i="2"/>
  <c r="E4" i="2"/>
  <c r="E14" i="2"/>
  <c r="E275" i="2"/>
  <c r="E94" i="2"/>
  <c r="E219" i="2"/>
  <c r="E120" i="2"/>
  <c r="E62" i="2"/>
</calcChain>
</file>

<file path=xl/sharedStrings.xml><?xml version="1.0" encoding="utf-8"?>
<sst xmlns="http://schemas.openxmlformats.org/spreadsheetml/2006/main" count="2660" uniqueCount="302">
  <si>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</si>
  <si>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</si>
  <si>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</si>
  <si>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</si>
  <si>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</si>
  <si>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</si>
  <si>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</si>
  <si>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</si>
  <si>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</si>
  <si>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</si>
  <si>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</si>
  <si>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Anne Kozacheck</t>
  </si>
  <si>
    <t>Nestor</t>
  </si>
  <si>
    <t>Hansen</t>
  </si>
  <si>
    <t>IBC</t>
  </si>
  <si>
    <t>IBC 2022-2026 Internal/Renewal OR</t>
  </si>
  <si>
    <t>Nicolina</t>
  </si>
  <si>
    <t>Chicosky</t>
  </si>
  <si>
    <t>Harry</t>
  </si>
  <si>
    <t>Chicosky Jr</t>
  </si>
  <si>
    <t>IBC 2026 MAPD Int/Ext Replace STREET</t>
  </si>
  <si>
    <t>David</t>
  </si>
  <si>
    <t>Bennett</t>
  </si>
  <si>
    <t>Carol Foley</t>
  </si>
  <si>
    <t>Louis</t>
  </si>
  <si>
    <t>Iatarola</t>
  </si>
  <si>
    <t>Barbara</t>
  </si>
  <si>
    <t>Dunbar</t>
  </si>
  <si>
    <t>Judith</t>
  </si>
  <si>
    <t>Solt</t>
  </si>
  <si>
    <t>Lionel</t>
  </si>
  <si>
    <t>Carreon</t>
  </si>
  <si>
    <t>Elaine</t>
  </si>
  <si>
    <t>Dicolli</t>
  </si>
  <si>
    <t>Eileen</t>
  </si>
  <si>
    <t>Dougherty</t>
  </si>
  <si>
    <t>Roselinda</t>
  </si>
  <si>
    <t>Menta</t>
  </si>
  <si>
    <t>Dennis</t>
  </si>
  <si>
    <t>Spiker</t>
  </si>
  <si>
    <t>Michele</t>
  </si>
  <si>
    <t>Baltaian</t>
  </si>
  <si>
    <t>Caral</t>
  </si>
  <si>
    <t>Birch</t>
  </si>
  <si>
    <t>Jolanta</t>
  </si>
  <si>
    <t>Bronstein</t>
  </si>
  <si>
    <t>Christine</t>
  </si>
  <si>
    <t>Piscitelli</t>
  </si>
  <si>
    <t>Antoinette</t>
  </si>
  <si>
    <t>Jason Hoffmann</t>
  </si>
  <si>
    <t>Margaret</t>
  </si>
  <si>
    <t>Perla</t>
  </si>
  <si>
    <t>Peterson</t>
  </si>
  <si>
    <t>Roger</t>
  </si>
  <si>
    <t>Elvin</t>
  </si>
  <si>
    <t>Robin</t>
  </si>
  <si>
    <t>Trainor</t>
  </si>
  <si>
    <t>Fisher</t>
  </si>
  <si>
    <t>Rose Marie</t>
  </si>
  <si>
    <t>Adamo</t>
  </si>
  <si>
    <t>Fabiano</t>
  </si>
  <si>
    <t>Lorraine</t>
  </si>
  <si>
    <t>Ramos</t>
  </si>
  <si>
    <t>Jack</t>
  </si>
  <si>
    <t>Milne Jr</t>
  </si>
  <si>
    <t>Sarah</t>
  </si>
  <si>
    <t>Schneider</t>
  </si>
  <si>
    <t>Penny</t>
  </si>
  <si>
    <t>Snider</t>
  </si>
  <si>
    <t>IBC 2022-2026 Internal/Renewal OR (ProRata: 1)</t>
  </si>
  <si>
    <t>Deborah</t>
  </si>
  <si>
    <t>Zavorski</t>
  </si>
  <si>
    <t>Mathews</t>
  </si>
  <si>
    <t>Dorothy</t>
  </si>
  <si>
    <t>Carbo</t>
  </si>
  <si>
    <t>Howard</t>
  </si>
  <si>
    <t>Helene</t>
  </si>
  <si>
    <t>Hoffsommer</t>
  </si>
  <si>
    <t>John</t>
  </si>
  <si>
    <t>Sehi</t>
  </si>
  <si>
    <t>William</t>
  </si>
  <si>
    <t>Lenora</t>
  </si>
  <si>
    <t>Mazurek</t>
  </si>
  <si>
    <t>IBC 2026 MAPD Int/Ext Replace STREET (ProRata: 1)</t>
  </si>
  <si>
    <t>Klaus Herchenroder</t>
  </si>
  <si>
    <t>Janet</t>
  </si>
  <si>
    <t>Ryan</t>
  </si>
  <si>
    <t>Fred</t>
  </si>
  <si>
    <t>Wollner</t>
  </si>
  <si>
    <t>Joan</t>
  </si>
  <si>
    <t>Obrien</t>
  </si>
  <si>
    <t>Przepioski</t>
  </si>
  <si>
    <t>Marie</t>
  </si>
  <si>
    <t>Caliman</t>
  </si>
  <si>
    <t>Ann</t>
  </si>
  <si>
    <t>Sansom</t>
  </si>
  <si>
    <t>Francis</t>
  </si>
  <si>
    <t>Kealey Sr</t>
  </si>
  <si>
    <t>Diane</t>
  </si>
  <si>
    <t>Martino</t>
  </si>
  <si>
    <t>Hurst</t>
  </si>
  <si>
    <t>Patricia</t>
  </si>
  <si>
    <t>Jacoby</t>
  </si>
  <si>
    <t>Cynthia</t>
  </si>
  <si>
    <t>Anderson</t>
  </si>
  <si>
    <t>Anthony</t>
  </si>
  <si>
    <t>Santello</t>
  </si>
  <si>
    <t>Mary</t>
  </si>
  <si>
    <t>Lattanzi</t>
  </si>
  <si>
    <t>Claudia</t>
  </si>
  <si>
    <t>Bordo</t>
  </si>
  <si>
    <t>Carmina</t>
  </si>
  <si>
    <t>Dillow</t>
  </si>
  <si>
    <t>Tangradi</t>
  </si>
  <si>
    <t>Donna</t>
  </si>
  <si>
    <t>Kealey</t>
  </si>
  <si>
    <t>Klaus</t>
  </si>
  <si>
    <t>Herchenroder</t>
  </si>
  <si>
    <t>James</t>
  </si>
  <si>
    <t>Clemenson</t>
  </si>
  <si>
    <t>Susan</t>
  </si>
  <si>
    <t>Rhoades</t>
  </si>
  <si>
    <t>Cherylanne</t>
  </si>
  <si>
    <t>Castro</t>
  </si>
  <si>
    <t>Rosa</t>
  </si>
  <si>
    <t>Brock</t>
  </si>
  <si>
    <t>Carol</t>
  </si>
  <si>
    <t>O'Connor</t>
  </si>
  <si>
    <t>Zelda</t>
  </si>
  <si>
    <t>Topkis</t>
  </si>
  <si>
    <t>Brad</t>
  </si>
  <si>
    <t>Bernstein</t>
  </si>
  <si>
    <t>George</t>
  </si>
  <si>
    <t>Green</t>
  </si>
  <si>
    <t>Carolyn</t>
  </si>
  <si>
    <t>Zakarija</t>
  </si>
  <si>
    <t>Steven</t>
  </si>
  <si>
    <t>Kazan</t>
  </si>
  <si>
    <t>Thomas</t>
  </si>
  <si>
    <t>Mcdonnell</t>
  </si>
  <si>
    <t>Ellen</t>
  </si>
  <si>
    <t>Brown</t>
  </si>
  <si>
    <t>Kathleen</t>
  </si>
  <si>
    <t>Robert</t>
  </si>
  <si>
    <t>Finsterbusch</t>
  </si>
  <si>
    <t>Walter</t>
  </si>
  <si>
    <t>Obrien Jr</t>
  </si>
  <si>
    <t>Betty Lou</t>
  </si>
  <si>
    <t>Nick</t>
  </si>
  <si>
    <t>Schilk</t>
  </si>
  <si>
    <t>Paul</t>
  </si>
  <si>
    <t>Stuart</t>
  </si>
  <si>
    <t>Georgianna</t>
  </si>
  <si>
    <t>Logan</t>
  </si>
  <si>
    <t>Beverly</t>
  </si>
  <si>
    <t>Bagby</t>
  </si>
  <si>
    <t>Mark</t>
  </si>
  <si>
    <t>Ratner</t>
  </si>
  <si>
    <t>Milburn</t>
  </si>
  <si>
    <t>Annemarie</t>
  </si>
  <si>
    <t>Bratton</t>
  </si>
  <si>
    <t>Gwendolyn</t>
  </si>
  <si>
    <t>Marina O'Brien</t>
  </si>
  <si>
    <t>Doris</t>
  </si>
  <si>
    <t>Shankle</t>
  </si>
  <si>
    <t>Andrea</t>
  </si>
  <si>
    <t>Jordan</t>
  </si>
  <si>
    <t>Audrey</t>
  </si>
  <si>
    <t>Bevilacqua</t>
  </si>
  <si>
    <t>Rosemarie</t>
  </si>
  <si>
    <t>Montanaro</t>
  </si>
  <si>
    <t>Earl</t>
  </si>
  <si>
    <t>Mccollum</t>
  </si>
  <si>
    <t>Connor</t>
  </si>
  <si>
    <t>Kirn</t>
  </si>
  <si>
    <t>IBC - Amerihealth</t>
  </si>
  <si>
    <t>IBC - Amerihealth 2026 MAPD Int/Ext Replace STREET / True up (ProRata: -12)</t>
  </si>
  <si>
    <t>IBC - Amerihealth 2025-2026 NJ Renewal Override (ProRata: -12)</t>
  </si>
  <si>
    <t>Rotondi</t>
  </si>
  <si>
    <t>IBC 2022-2026 Internal/Renewal OR (ProRata: -12)</t>
  </si>
  <si>
    <t>Guire</t>
  </si>
  <si>
    <t>Kristine</t>
  </si>
  <si>
    <t>Harvey Stinson</t>
  </si>
  <si>
    <t>Bertram</t>
  </si>
  <si>
    <t>Gottbrecht</t>
  </si>
  <si>
    <t>Rudolph</t>
  </si>
  <si>
    <t>Thies</t>
  </si>
  <si>
    <t>Donnelly</t>
  </si>
  <si>
    <t>Harriet</t>
  </si>
  <si>
    <t>Robinson</t>
  </si>
  <si>
    <t>Peter Richter</t>
  </si>
  <si>
    <t>Mckinney</t>
  </si>
  <si>
    <t>Rissel Jr</t>
  </si>
  <si>
    <t>Malone</t>
  </si>
  <si>
    <t>Victoria</t>
  </si>
  <si>
    <t>Moat</t>
  </si>
  <si>
    <t>Cassidy</t>
  </si>
  <si>
    <t>Joseph</t>
  </si>
  <si>
    <t>Falcone</t>
  </si>
  <si>
    <t>Burton</t>
  </si>
  <si>
    <t>Mallon</t>
  </si>
  <si>
    <t>Heun</t>
  </si>
  <si>
    <t>Edmund</t>
  </si>
  <si>
    <t>Szeliga</t>
  </si>
  <si>
    <t>Frank</t>
  </si>
  <si>
    <t>Liberi Jr</t>
  </si>
  <si>
    <t>Michael</t>
  </si>
  <si>
    <t>Graff</t>
  </si>
  <si>
    <t>Nelson Jr</t>
  </si>
  <si>
    <t>Luce Sr</t>
  </si>
  <si>
    <t>Shannon</t>
  </si>
  <si>
    <t>Gina</t>
  </si>
  <si>
    <t>Ginsiorsky</t>
  </si>
  <si>
    <t>Ruger</t>
  </si>
  <si>
    <t>Caswell</t>
  </si>
  <si>
    <t>Callan</t>
  </si>
  <si>
    <t>Anita</t>
  </si>
  <si>
    <t>Papadopoulos</t>
  </si>
  <si>
    <t>Karla</t>
  </si>
  <si>
    <t>Leitner</t>
  </si>
  <si>
    <t>Linda</t>
  </si>
  <si>
    <t>Peden</t>
  </si>
  <si>
    <t>Edwards</t>
  </si>
  <si>
    <t>Stinson</t>
  </si>
  <si>
    <t>Alberta</t>
  </si>
  <si>
    <t>Gehron</t>
  </si>
  <si>
    <t>Bonsted</t>
  </si>
  <si>
    <t>Sunil</t>
  </si>
  <si>
    <t>Bijlani</t>
  </si>
  <si>
    <t>Lisa</t>
  </si>
  <si>
    <t>Fox</t>
  </si>
  <si>
    <t>Louise</t>
  </si>
  <si>
    <t>Bateman</t>
  </si>
  <si>
    <t>Lydia</t>
  </si>
  <si>
    <t>Rissel</t>
  </si>
  <si>
    <t>Peter</t>
  </si>
  <si>
    <t>Dimattei</t>
  </si>
  <si>
    <t>Marilyn</t>
  </si>
  <si>
    <t>Sonia</t>
  </si>
  <si>
    <t>Creary</t>
  </si>
  <si>
    <t>Brett</t>
  </si>
  <si>
    <t>Lynnette</t>
  </si>
  <si>
    <t>Brennan</t>
  </si>
  <si>
    <t>Cheryl</t>
  </si>
  <si>
    <t>Hristos</t>
  </si>
  <si>
    <t>Odonnell</t>
  </si>
  <si>
    <t>Ronald</t>
  </si>
  <si>
    <t>Milton</t>
  </si>
  <si>
    <t>Greco</t>
  </si>
  <si>
    <t>Sanders</t>
  </si>
  <si>
    <t>Syna</t>
  </si>
  <si>
    <t>La</t>
  </si>
  <si>
    <t>Samira</t>
  </si>
  <si>
    <t>Abi Richa</t>
  </si>
  <si>
    <t>Roland</t>
  </si>
  <si>
    <t>Clogston Iii</t>
  </si>
  <si>
    <t>Robus Iv</t>
  </si>
  <si>
    <t>Caleb</t>
  </si>
  <si>
    <t>Minhhien</t>
  </si>
  <si>
    <t>Pham</t>
  </si>
  <si>
    <t>Jerome</t>
  </si>
  <si>
    <t>Zager</t>
  </si>
  <si>
    <t>Keith</t>
  </si>
  <si>
    <t>Digregorio</t>
  </si>
  <si>
    <t>Zhi Hua</t>
  </si>
  <si>
    <t>Gan</t>
  </si>
  <si>
    <t>Sheff</t>
  </si>
  <si>
    <t>Richard</t>
  </si>
  <si>
    <t>Gheng</t>
  </si>
  <si>
    <t>Carroll</t>
  </si>
  <si>
    <t>Shields</t>
  </si>
  <si>
    <t>Edward</t>
  </si>
  <si>
    <t>Stolarski Jr</t>
  </si>
  <si>
    <t>Tatyana</t>
  </si>
  <si>
    <t>Kochergina</t>
  </si>
  <si>
    <t>Hitchner</t>
  </si>
  <si>
    <t>L</t>
  </si>
  <si>
    <t>Lapointe</t>
  </si>
  <si>
    <t>Tidwell</t>
  </si>
  <si>
    <t>Wayne</t>
  </si>
  <si>
    <t>Allen</t>
  </si>
  <si>
    <t>Vilayil</t>
  </si>
  <si>
    <t>Morris</t>
  </si>
  <si>
    <t>Rosko</t>
  </si>
  <si>
    <t>Alice</t>
  </si>
  <si>
    <t>Cabot-West</t>
  </si>
  <si>
    <t>Travaglini</t>
  </si>
  <si>
    <t>IBC 2025 MAPD Int/Ext Replace STREET (ProRata: -12)</t>
  </si>
  <si>
    <t>IBC 2026 MAPD Int/Ext Replace STREET (ProRata: -12)</t>
  </si>
  <si>
    <t>Elizabeth</t>
  </si>
  <si>
    <t>Mcmichael</t>
  </si>
  <si>
    <t>Hunsinger</t>
  </si>
  <si>
    <t>IBC MAPD OVR</t>
  </si>
  <si>
    <t>IBC MAPD 2026*</t>
  </si>
  <si>
    <t>IBC MAPD 2025*</t>
  </si>
  <si>
    <t>AmeriHealth 2026 MAPD*</t>
  </si>
  <si>
    <t>[%/$=391][prorate=12/12]</t>
  </si>
  <si>
    <t>[%/$=391][prorate=1/12]</t>
  </si>
  <si>
    <t>[%/$=353][prorate=12/12]</t>
  </si>
  <si>
    <t>[%/$=432][prorate=12/12]</t>
  </si>
  <si>
    <t>Main Line Benefits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</si>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</sst>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73F0-C2C9-4784-A65D-31F94C34EF07}">
  <dimension ref="A1:K129"/>
  <sheetViews>
    <sheetView workbookViewId="0">
      <selection activeCell="K1" sqref="K1:K1048576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1.140625" bestFit="1" customWidth="1"/>
    <col min="5" max="5" width="13.42578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6.7109375" bestFit="1" customWidth="1"/>
    <col min="10" max="10" width="70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19278370</v>
      </c>
      <c r="D2" t="s">
        <v>12</v>
      </c>
      <c r="E2" t="s">
        <v>13</v>
      </c>
      <c r="F2">
        <v>50135169</v>
      </c>
      <c r="G2" s="1">
        <v>46023</v>
      </c>
      <c r="H2" s="1">
        <v>46048</v>
      </c>
      <c r="I2" t="s">
        <v>14</v>
      </c>
      <c r="J2" t="s">
        <v>15</v>
      </c>
      <c r="K2" s="2">
        <v>65</v>
      </c>
    </row>
    <row r="3" spans="1:11" x14ac:dyDescent="0.25">
      <c r="A3" t="s">
        <v>11</v>
      </c>
      <c r="C3">
        <v>19278370</v>
      </c>
      <c r="D3" t="s">
        <v>16</v>
      </c>
      <c r="E3" t="s">
        <v>17</v>
      </c>
      <c r="F3">
        <v>50133157</v>
      </c>
      <c r="G3" s="1">
        <v>46023</v>
      </c>
      <c r="H3" s="1">
        <v>46048</v>
      </c>
      <c r="I3" t="s">
        <v>14</v>
      </c>
      <c r="J3" t="s">
        <v>15</v>
      </c>
      <c r="K3" s="2">
        <v>65</v>
      </c>
    </row>
    <row r="4" spans="1:11" x14ac:dyDescent="0.25">
      <c r="A4" t="s">
        <v>11</v>
      </c>
      <c r="C4">
        <v>19278370</v>
      </c>
      <c r="D4" t="s">
        <v>18</v>
      </c>
      <c r="E4" t="s">
        <v>19</v>
      </c>
      <c r="F4">
        <v>50133152</v>
      </c>
      <c r="G4" s="1">
        <v>46023</v>
      </c>
      <c r="H4" s="1">
        <v>46048</v>
      </c>
      <c r="I4" t="s">
        <v>14</v>
      </c>
      <c r="J4" t="s">
        <v>20</v>
      </c>
      <c r="K4" s="2">
        <v>391</v>
      </c>
    </row>
    <row r="5" spans="1:11" x14ac:dyDescent="0.25">
      <c r="A5" t="s">
        <v>11</v>
      </c>
      <c r="C5">
        <v>19278370</v>
      </c>
      <c r="D5" t="s">
        <v>16</v>
      </c>
      <c r="E5" t="s">
        <v>17</v>
      </c>
      <c r="F5">
        <v>50133157</v>
      </c>
      <c r="G5" s="1">
        <v>46023</v>
      </c>
      <c r="H5" s="1">
        <v>46048</v>
      </c>
      <c r="I5" t="s">
        <v>14</v>
      </c>
      <c r="J5" t="s">
        <v>20</v>
      </c>
      <c r="K5" s="2">
        <v>391</v>
      </c>
    </row>
    <row r="6" spans="1:11" x14ac:dyDescent="0.25">
      <c r="A6" t="s">
        <v>11</v>
      </c>
      <c r="C6">
        <v>19278370</v>
      </c>
      <c r="D6" t="s">
        <v>21</v>
      </c>
      <c r="E6" t="s">
        <v>22</v>
      </c>
      <c r="F6">
        <v>50138835</v>
      </c>
      <c r="G6" s="1">
        <v>46023</v>
      </c>
      <c r="H6" s="1">
        <v>46048</v>
      </c>
      <c r="I6" t="s">
        <v>14</v>
      </c>
      <c r="J6" t="s">
        <v>15</v>
      </c>
      <c r="K6" s="2">
        <v>65</v>
      </c>
    </row>
    <row r="7" spans="1:11" x14ac:dyDescent="0.25">
      <c r="A7" t="s">
        <v>11</v>
      </c>
      <c r="C7">
        <v>19278370</v>
      </c>
      <c r="D7" t="s">
        <v>21</v>
      </c>
      <c r="E7" t="s">
        <v>22</v>
      </c>
      <c r="F7">
        <v>50138835</v>
      </c>
      <c r="G7" s="1">
        <v>46023</v>
      </c>
      <c r="H7" s="1">
        <v>46048</v>
      </c>
      <c r="I7" t="s">
        <v>14</v>
      </c>
      <c r="J7" t="s">
        <v>20</v>
      </c>
      <c r="K7" s="2">
        <v>391</v>
      </c>
    </row>
    <row r="8" spans="1:11" x14ac:dyDescent="0.25">
      <c r="A8" t="s">
        <v>11</v>
      </c>
      <c r="C8">
        <v>19278370</v>
      </c>
      <c r="D8" t="s">
        <v>12</v>
      </c>
      <c r="E8" t="s">
        <v>13</v>
      </c>
      <c r="F8">
        <v>50135169</v>
      </c>
      <c r="G8" s="1">
        <v>46023</v>
      </c>
      <c r="H8" s="1">
        <v>46048</v>
      </c>
      <c r="I8" t="s">
        <v>14</v>
      </c>
      <c r="J8" t="s">
        <v>20</v>
      </c>
      <c r="K8" s="2">
        <v>391</v>
      </c>
    </row>
    <row r="9" spans="1:11" x14ac:dyDescent="0.25">
      <c r="A9" t="s">
        <v>11</v>
      </c>
      <c r="C9">
        <v>19278370</v>
      </c>
      <c r="D9" t="s">
        <v>18</v>
      </c>
      <c r="E9" t="s">
        <v>19</v>
      </c>
      <c r="F9">
        <v>50133152</v>
      </c>
      <c r="G9" s="1">
        <v>46023</v>
      </c>
      <c r="H9" s="1">
        <v>46048</v>
      </c>
      <c r="I9" t="s">
        <v>14</v>
      </c>
      <c r="J9" t="s">
        <v>15</v>
      </c>
      <c r="K9" s="2">
        <v>65</v>
      </c>
    </row>
    <row r="10" spans="1:11" x14ac:dyDescent="0.25">
      <c r="A10" t="s">
        <v>23</v>
      </c>
      <c r="C10">
        <v>17425766</v>
      </c>
      <c r="D10" t="s">
        <v>24</v>
      </c>
      <c r="E10" t="s">
        <v>25</v>
      </c>
      <c r="F10">
        <v>50004560</v>
      </c>
      <c r="G10" s="1">
        <v>46023</v>
      </c>
      <c r="H10" s="1">
        <v>46048</v>
      </c>
      <c r="I10" t="s">
        <v>14</v>
      </c>
      <c r="J10" t="s">
        <v>15</v>
      </c>
      <c r="K10" s="2">
        <v>65</v>
      </c>
    </row>
    <row r="11" spans="1:11" x14ac:dyDescent="0.25">
      <c r="A11" t="s">
        <v>23</v>
      </c>
      <c r="C11">
        <v>17425766</v>
      </c>
      <c r="D11" t="s">
        <v>26</v>
      </c>
      <c r="E11" t="s">
        <v>27</v>
      </c>
      <c r="F11">
        <v>50096471</v>
      </c>
      <c r="G11" s="1">
        <v>46023</v>
      </c>
      <c r="H11" s="1">
        <v>46048</v>
      </c>
      <c r="I11" t="s">
        <v>14</v>
      </c>
      <c r="J11" t="s">
        <v>15</v>
      </c>
      <c r="K11" s="2">
        <v>65</v>
      </c>
    </row>
    <row r="12" spans="1:11" x14ac:dyDescent="0.25">
      <c r="A12" t="s">
        <v>23</v>
      </c>
      <c r="C12">
        <v>17425766</v>
      </c>
      <c r="D12" t="s">
        <v>24</v>
      </c>
      <c r="E12" t="s">
        <v>25</v>
      </c>
      <c r="F12">
        <v>50004560</v>
      </c>
      <c r="G12" s="1">
        <v>46023</v>
      </c>
      <c r="H12" s="1">
        <v>46048</v>
      </c>
      <c r="I12" t="s">
        <v>14</v>
      </c>
      <c r="J12" t="s">
        <v>20</v>
      </c>
      <c r="K12" s="2">
        <v>391</v>
      </c>
    </row>
    <row r="13" spans="1:11" x14ac:dyDescent="0.25">
      <c r="A13" t="s">
        <v>23</v>
      </c>
      <c r="C13">
        <v>17425766</v>
      </c>
      <c r="D13" t="s">
        <v>28</v>
      </c>
      <c r="E13" t="s">
        <v>29</v>
      </c>
      <c r="F13">
        <v>50033963</v>
      </c>
      <c r="G13" s="1">
        <v>46023</v>
      </c>
      <c r="H13" s="1">
        <v>46048</v>
      </c>
      <c r="I13" t="s">
        <v>14</v>
      </c>
      <c r="J13" t="s">
        <v>15</v>
      </c>
      <c r="K13" s="2">
        <v>65</v>
      </c>
    </row>
    <row r="14" spans="1:11" x14ac:dyDescent="0.25">
      <c r="A14" t="s">
        <v>23</v>
      </c>
      <c r="C14">
        <v>17425766</v>
      </c>
      <c r="D14" t="s">
        <v>30</v>
      </c>
      <c r="E14" t="s">
        <v>31</v>
      </c>
      <c r="F14">
        <v>50122208</v>
      </c>
      <c r="G14" s="1">
        <v>46023</v>
      </c>
      <c r="H14" s="1">
        <v>46048</v>
      </c>
      <c r="I14" t="s">
        <v>14</v>
      </c>
      <c r="J14" t="s">
        <v>15</v>
      </c>
      <c r="K14" s="2">
        <v>65</v>
      </c>
    </row>
    <row r="15" spans="1:11" x14ac:dyDescent="0.25">
      <c r="A15" t="s">
        <v>23</v>
      </c>
      <c r="C15">
        <v>17425766</v>
      </c>
      <c r="D15" t="s">
        <v>32</v>
      </c>
      <c r="E15" t="s">
        <v>33</v>
      </c>
      <c r="F15">
        <v>50041928</v>
      </c>
      <c r="G15" s="1">
        <v>46023</v>
      </c>
      <c r="H15" s="1">
        <v>46048</v>
      </c>
      <c r="I15" t="s">
        <v>14</v>
      </c>
      <c r="J15" t="s">
        <v>15</v>
      </c>
      <c r="K15" s="2">
        <v>65</v>
      </c>
    </row>
    <row r="16" spans="1:11" x14ac:dyDescent="0.25">
      <c r="A16" t="s">
        <v>23</v>
      </c>
      <c r="C16">
        <v>17425766</v>
      </c>
      <c r="D16" t="s">
        <v>34</v>
      </c>
      <c r="E16" t="s">
        <v>35</v>
      </c>
      <c r="F16">
        <v>50100668</v>
      </c>
      <c r="G16" s="1">
        <v>46023</v>
      </c>
      <c r="H16" s="1">
        <v>46048</v>
      </c>
      <c r="I16" t="s">
        <v>14</v>
      </c>
      <c r="J16" t="s">
        <v>15</v>
      </c>
      <c r="K16" s="2">
        <v>65</v>
      </c>
    </row>
    <row r="17" spans="1:11" x14ac:dyDescent="0.25">
      <c r="A17" t="s">
        <v>23</v>
      </c>
      <c r="C17">
        <v>17425766</v>
      </c>
      <c r="D17" t="s">
        <v>36</v>
      </c>
      <c r="E17" t="s">
        <v>37</v>
      </c>
      <c r="F17">
        <v>50015151</v>
      </c>
      <c r="G17" s="1">
        <v>46023</v>
      </c>
      <c r="H17" s="1">
        <v>46048</v>
      </c>
      <c r="I17" t="s">
        <v>14</v>
      </c>
      <c r="J17" t="s">
        <v>15</v>
      </c>
      <c r="K17" s="2">
        <v>65</v>
      </c>
    </row>
    <row r="18" spans="1:11" x14ac:dyDescent="0.25">
      <c r="A18" t="s">
        <v>23</v>
      </c>
      <c r="C18">
        <v>17425766</v>
      </c>
      <c r="D18" t="s">
        <v>38</v>
      </c>
      <c r="E18" t="s">
        <v>39</v>
      </c>
      <c r="F18">
        <v>50109863</v>
      </c>
      <c r="G18" s="1">
        <v>46023</v>
      </c>
      <c r="H18" s="1">
        <v>46048</v>
      </c>
      <c r="I18" t="s">
        <v>14</v>
      </c>
      <c r="J18" t="s">
        <v>15</v>
      </c>
      <c r="K18" s="2">
        <v>65</v>
      </c>
    </row>
    <row r="19" spans="1:11" x14ac:dyDescent="0.25">
      <c r="A19" t="s">
        <v>23</v>
      </c>
      <c r="C19">
        <v>17425766</v>
      </c>
      <c r="D19" t="s">
        <v>40</v>
      </c>
      <c r="E19" t="s">
        <v>41</v>
      </c>
      <c r="F19">
        <v>50092726</v>
      </c>
      <c r="G19" s="1">
        <v>46023</v>
      </c>
      <c r="H19" s="1">
        <v>46048</v>
      </c>
      <c r="I19" t="s">
        <v>14</v>
      </c>
      <c r="J19" t="s">
        <v>20</v>
      </c>
      <c r="K19" s="2">
        <v>391</v>
      </c>
    </row>
    <row r="20" spans="1:11" x14ac:dyDescent="0.25">
      <c r="A20" t="s">
        <v>23</v>
      </c>
      <c r="C20">
        <v>17425766</v>
      </c>
      <c r="D20" t="s">
        <v>34</v>
      </c>
      <c r="E20" t="s">
        <v>35</v>
      </c>
      <c r="F20">
        <v>50100668</v>
      </c>
      <c r="G20" s="1">
        <v>46023</v>
      </c>
      <c r="H20" s="1">
        <v>46048</v>
      </c>
      <c r="I20" t="s">
        <v>14</v>
      </c>
      <c r="J20" t="s">
        <v>20</v>
      </c>
      <c r="K20" s="2">
        <v>391</v>
      </c>
    </row>
    <row r="21" spans="1:11" x14ac:dyDescent="0.25">
      <c r="A21" t="s">
        <v>23</v>
      </c>
      <c r="C21">
        <v>17425766</v>
      </c>
      <c r="D21" t="s">
        <v>26</v>
      </c>
      <c r="E21" t="s">
        <v>27</v>
      </c>
      <c r="F21">
        <v>50096471</v>
      </c>
      <c r="G21" s="1">
        <v>46023</v>
      </c>
      <c r="H21" s="1">
        <v>46048</v>
      </c>
      <c r="I21" t="s">
        <v>14</v>
      </c>
      <c r="J21" t="s">
        <v>20</v>
      </c>
      <c r="K21" s="2">
        <v>391</v>
      </c>
    </row>
    <row r="22" spans="1:11" x14ac:dyDescent="0.25">
      <c r="A22" t="s">
        <v>23</v>
      </c>
      <c r="C22">
        <v>17425766</v>
      </c>
      <c r="D22" t="s">
        <v>28</v>
      </c>
      <c r="E22" t="s">
        <v>29</v>
      </c>
      <c r="F22">
        <v>50033963</v>
      </c>
      <c r="G22" s="1">
        <v>46023</v>
      </c>
      <c r="H22" s="1">
        <v>46048</v>
      </c>
      <c r="I22" t="s">
        <v>14</v>
      </c>
      <c r="J22" t="s">
        <v>20</v>
      </c>
      <c r="K22" s="2">
        <v>391</v>
      </c>
    </row>
    <row r="23" spans="1:11" x14ac:dyDescent="0.25">
      <c r="A23" t="s">
        <v>23</v>
      </c>
      <c r="C23">
        <v>17425766</v>
      </c>
      <c r="D23" t="s">
        <v>40</v>
      </c>
      <c r="E23" t="s">
        <v>41</v>
      </c>
      <c r="F23">
        <v>50092726</v>
      </c>
      <c r="G23" s="1">
        <v>46023</v>
      </c>
      <c r="H23" s="1">
        <v>46048</v>
      </c>
      <c r="I23" t="s">
        <v>14</v>
      </c>
      <c r="J23" t="s">
        <v>15</v>
      </c>
      <c r="K23" s="2">
        <v>65</v>
      </c>
    </row>
    <row r="24" spans="1:11" x14ac:dyDescent="0.25">
      <c r="A24" t="s">
        <v>23</v>
      </c>
      <c r="C24">
        <v>17425766</v>
      </c>
      <c r="D24" t="s">
        <v>42</v>
      </c>
      <c r="E24" t="s">
        <v>43</v>
      </c>
      <c r="F24">
        <v>50032237</v>
      </c>
      <c r="G24" s="1">
        <v>46023</v>
      </c>
      <c r="H24" s="1">
        <v>46048</v>
      </c>
      <c r="I24" t="s">
        <v>14</v>
      </c>
      <c r="J24" t="s">
        <v>15</v>
      </c>
      <c r="K24" s="2">
        <v>65</v>
      </c>
    </row>
    <row r="25" spans="1:11" x14ac:dyDescent="0.25">
      <c r="A25" t="s">
        <v>23</v>
      </c>
      <c r="C25">
        <v>17425766</v>
      </c>
      <c r="D25" t="s">
        <v>38</v>
      </c>
      <c r="E25" t="s">
        <v>39</v>
      </c>
      <c r="F25">
        <v>50109863</v>
      </c>
      <c r="G25" s="1">
        <v>46023</v>
      </c>
      <c r="H25" s="1">
        <v>46048</v>
      </c>
      <c r="I25" t="s">
        <v>14</v>
      </c>
      <c r="J25" t="s">
        <v>20</v>
      </c>
      <c r="K25" s="2">
        <v>391</v>
      </c>
    </row>
    <row r="26" spans="1:11" x14ac:dyDescent="0.25">
      <c r="A26" t="s">
        <v>23</v>
      </c>
      <c r="C26">
        <v>17425766</v>
      </c>
      <c r="D26" t="s">
        <v>44</v>
      </c>
      <c r="E26" t="s">
        <v>45</v>
      </c>
      <c r="F26">
        <v>50129178</v>
      </c>
      <c r="G26" s="1">
        <v>46023</v>
      </c>
      <c r="H26" s="1">
        <v>46048</v>
      </c>
      <c r="I26" t="s">
        <v>14</v>
      </c>
      <c r="J26" t="s">
        <v>15</v>
      </c>
      <c r="K26" s="2">
        <v>65</v>
      </c>
    </row>
    <row r="27" spans="1:11" x14ac:dyDescent="0.25">
      <c r="A27" t="s">
        <v>23</v>
      </c>
      <c r="C27">
        <v>17425766</v>
      </c>
      <c r="D27" t="s">
        <v>36</v>
      </c>
      <c r="E27" t="s">
        <v>37</v>
      </c>
      <c r="F27">
        <v>50015151</v>
      </c>
      <c r="G27" s="1">
        <v>46023</v>
      </c>
      <c r="H27" s="1">
        <v>46048</v>
      </c>
      <c r="I27" t="s">
        <v>14</v>
      </c>
      <c r="J27" t="s">
        <v>20</v>
      </c>
      <c r="K27" s="2">
        <v>391</v>
      </c>
    </row>
    <row r="28" spans="1:11" x14ac:dyDescent="0.25">
      <c r="A28" t="s">
        <v>23</v>
      </c>
      <c r="C28">
        <v>17425766</v>
      </c>
      <c r="D28" t="s">
        <v>44</v>
      </c>
      <c r="E28" t="s">
        <v>45</v>
      </c>
      <c r="F28">
        <v>50129178</v>
      </c>
      <c r="G28" s="1">
        <v>46023</v>
      </c>
      <c r="H28" s="1">
        <v>46048</v>
      </c>
      <c r="I28" t="s">
        <v>14</v>
      </c>
      <c r="J28" t="s">
        <v>20</v>
      </c>
      <c r="K28" s="2">
        <v>391</v>
      </c>
    </row>
    <row r="29" spans="1:11" x14ac:dyDescent="0.25">
      <c r="A29" t="s">
        <v>23</v>
      </c>
      <c r="C29">
        <v>17425766</v>
      </c>
      <c r="D29" t="s">
        <v>46</v>
      </c>
      <c r="E29" t="s">
        <v>47</v>
      </c>
      <c r="F29">
        <v>50119350</v>
      </c>
      <c r="G29" s="1">
        <v>46023</v>
      </c>
      <c r="H29" s="1">
        <v>46048</v>
      </c>
      <c r="I29" t="s">
        <v>14</v>
      </c>
      <c r="J29" t="s">
        <v>20</v>
      </c>
      <c r="K29" s="2">
        <v>391</v>
      </c>
    </row>
    <row r="30" spans="1:11" x14ac:dyDescent="0.25">
      <c r="A30" t="s">
        <v>23</v>
      </c>
      <c r="C30">
        <v>17425766</v>
      </c>
      <c r="D30" t="s">
        <v>42</v>
      </c>
      <c r="E30" t="s">
        <v>43</v>
      </c>
      <c r="F30">
        <v>50032237</v>
      </c>
      <c r="G30" s="1">
        <v>46023</v>
      </c>
      <c r="H30" s="1">
        <v>46048</v>
      </c>
      <c r="I30" t="s">
        <v>14</v>
      </c>
      <c r="J30" t="s">
        <v>20</v>
      </c>
      <c r="K30" s="2">
        <v>391</v>
      </c>
    </row>
    <row r="31" spans="1:11" x14ac:dyDescent="0.25">
      <c r="A31" t="s">
        <v>23</v>
      </c>
      <c r="C31">
        <v>17425766</v>
      </c>
      <c r="D31" t="s">
        <v>32</v>
      </c>
      <c r="E31" t="s">
        <v>33</v>
      </c>
      <c r="F31">
        <v>50041928</v>
      </c>
      <c r="G31" s="1">
        <v>46023</v>
      </c>
      <c r="H31" s="1">
        <v>46048</v>
      </c>
      <c r="I31" t="s">
        <v>14</v>
      </c>
      <c r="J31" t="s">
        <v>20</v>
      </c>
      <c r="K31" s="2">
        <v>391</v>
      </c>
    </row>
    <row r="32" spans="1:11" x14ac:dyDescent="0.25">
      <c r="A32" t="s">
        <v>23</v>
      </c>
      <c r="C32">
        <v>17425766</v>
      </c>
      <c r="D32" t="s">
        <v>48</v>
      </c>
      <c r="E32" t="s">
        <v>25</v>
      </c>
      <c r="F32">
        <v>50004548</v>
      </c>
      <c r="G32" s="1">
        <v>46023</v>
      </c>
      <c r="H32" s="1">
        <v>46048</v>
      </c>
      <c r="I32" t="s">
        <v>14</v>
      </c>
      <c r="J32" t="s">
        <v>20</v>
      </c>
      <c r="K32" s="2">
        <v>391</v>
      </c>
    </row>
    <row r="33" spans="1:11" x14ac:dyDescent="0.25">
      <c r="A33" t="s">
        <v>23</v>
      </c>
      <c r="C33">
        <v>17425766</v>
      </c>
      <c r="D33" t="s">
        <v>48</v>
      </c>
      <c r="E33" t="s">
        <v>25</v>
      </c>
      <c r="F33">
        <v>50004548</v>
      </c>
      <c r="G33" s="1">
        <v>46023</v>
      </c>
      <c r="H33" s="1">
        <v>46048</v>
      </c>
      <c r="I33" t="s">
        <v>14</v>
      </c>
      <c r="J33" t="s">
        <v>15</v>
      </c>
      <c r="K33" s="2">
        <v>65</v>
      </c>
    </row>
    <row r="34" spans="1:11" x14ac:dyDescent="0.25">
      <c r="A34" t="s">
        <v>23</v>
      </c>
      <c r="C34">
        <v>17425766</v>
      </c>
      <c r="D34" t="s">
        <v>46</v>
      </c>
      <c r="E34" t="s">
        <v>47</v>
      </c>
      <c r="F34">
        <v>50119350</v>
      </c>
      <c r="G34" s="1">
        <v>46023</v>
      </c>
      <c r="H34" s="1">
        <v>46048</v>
      </c>
      <c r="I34" t="s">
        <v>14</v>
      </c>
      <c r="J34" t="s">
        <v>15</v>
      </c>
      <c r="K34" s="2">
        <v>65</v>
      </c>
    </row>
    <row r="35" spans="1:11" x14ac:dyDescent="0.25">
      <c r="A35" t="s">
        <v>49</v>
      </c>
      <c r="C35">
        <v>15278437</v>
      </c>
      <c r="D35" t="s">
        <v>50</v>
      </c>
      <c r="E35" t="s">
        <v>51</v>
      </c>
      <c r="F35">
        <v>50121374</v>
      </c>
      <c r="G35" s="1">
        <v>46023</v>
      </c>
      <c r="H35" s="1">
        <v>46048</v>
      </c>
      <c r="I35" t="s">
        <v>14</v>
      </c>
      <c r="J35" t="s">
        <v>20</v>
      </c>
      <c r="K35" s="2">
        <v>391</v>
      </c>
    </row>
    <row r="36" spans="1:11" x14ac:dyDescent="0.25">
      <c r="A36" t="s">
        <v>49</v>
      </c>
      <c r="C36">
        <v>15278437</v>
      </c>
      <c r="D36" t="s">
        <v>26</v>
      </c>
      <c r="E36" t="s">
        <v>52</v>
      </c>
      <c r="F36">
        <v>50093169</v>
      </c>
      <c r="G36" s="1">
        <v>46023</v>
      </c>
      <c r="H36" s="1">
        <v>46048</v>
      </c>
      <c r="I36" t="s">
        <v>14</v>
      </c>
      <c r="J36" t="s">
        <v>20</v>
      </c>
      <c r="K36" s="2">
        <v>391</v>
      </c>
    </row>
    <row r="37" spans="1:11" x14ac:dyDescent="0.25">
      <c r="A37" t="s">
        <v>49</v>
      </c>
      <c r="C37">
        <v>15278437</v>
      </c>
      <c r="D37" t="s">
        <v>53</v>
      </c>
      <c r="E37" t="s">
        <v>54</v>
      </c>
      <c r="F37">
        <v>50017550</v>
      </c>
      <c r="G37" s="1">
        <v>46023</v>
      </c>
      <c r="H37" s="1">
        <v>46048</v>
      </c>
      <c r="I37" t="s">
        <v>14</v>
      </c>
      <c r="J37" t="s">
        <v>15</v>
      </c>
      <c r="K37" s="2">
        <v>65</v>
      </c>
    </row>
    <row r="38" spans="1:11" x14ac:dyDescent="0.25">
      <c r="A38" t="s">
        <v>49</v>
      </c>
      <c r="C38">
        <v>15278437</v>
      </c>
      <c r="D38" t="s">
        <v>55</v>
      </c>
      <c r="E38" t="s">
        <v>56</v>
      </c>
      <c r="F38">
        <v>50127650</v>
      </c>
      <c r="G38" s="1">
        <v>46023</v>
      </c>
      <c r="H38" s="1">
        <v>46048</v>
      </c>
      <c r="I38" t="s">
        <v>14</v>
      </c>
      <c r="J38" t="s">
        <v>15</v>
      </c>
      <c r="K38" s="2">
        <v>65</v>
      </c>
    </row>
    <row r="39" spans="1:11" x14ac:dyDescent="0.25">
      <c r="A39" t="s">
        <v>49</v>
      </c>
      <c r="C39">
        <v>15278437</v>
      </c>
      <c r="D39" t="s">
        <v>55</v>
      </c>
      <c r="E39" t="s">
        <v>57</v>
      </c>
      <c r="F39">
        <v>50118845</v>
      </c>
      <c r="G39" s="1">
        <v>46023</v>
      </c>
      <c r="H39" s="1">
        <v>46048</v>
      </c>
      <c r="I39" t="s">
        <v>14</v>
      </c>
      <c r="J39" t="s">
        <v>20</v>
      </c>
      <c r="K39" s="2">
        <v>391</v>
      </c>
    </row>
    <row r="40" spans="1:11" x14ac:dyDescent="0.25">
      <c r="A40" t="s">
        <v>49</v>
      </c>
      <c r="C40">
        <v>15278437</v>
      </c>
      <c r="D40" t="s">
        <v>53</v>
      </c>
      <c r="E40" t="s">
        <v>54</v>
      </c>
      <c r="F40">
        <v>50017550</v>
      </c>
      <c r="G40" s="1">
        <v>46023</v>
      </c>
      <c r="H40" s="1">
        <v>46048</v>
      </c>
      <c r="I40" t="s">
        <v>14</v>
      </c>
      <c r="J40" t="s">
        <v>20</v>
      </c>
      <c r="K40" s="2">
        <v>391</v>
      </c>
    </row>
    <row r="41" spans="1:11" x14ac:dyDescent="0.25">
      <c r="A41" t="s">
        <v>49</v>
      </c>
      <c r="C41">
        <v>15278437</v>
      </c>
      <c r="D41" t="s">
        <v>58</v>
      </c>
      <c r="E41" t="s">
        <v>59</v>
      </c>
      <c r="F41">
        <v>50087000</v>
      </c>
      <c r="G41" s="1">
        <v>46023</v>
      </c>
      <c r="H41" s="1">
        <v>46048</v>
      </c>
      <c r="I41" t="s">
        <v>14</v>
      </c>
      <c r="J41" t="s">
        <v>15</v>
      </c>
      <c r="K41" s="2">
        <v>65</v>
      </c>
    </row>
    <row r="42" spans="1:11" x14ac:dyDescent="0.25">
      <c r="A42" t="s">
        <v>49</v>
      </c>
      <c r="C42">
        <v>15278437</v>
      </c>
      <c r="D42" t="s">
        <v>26</v>
      </c>
      <c r="E42" t="s">
        <v>60</v>
      </c>
      <c r="F42">
        <v>50037688</v>
      </c>
      <c r="G42" s="1">
        <v>46023</v>
      </c>
      <c r="H42" s="1">
        <v>46048</v>
      </c>
      <c r="I42" t="s">
        <v>14</v>
      </c>
      <c r="J42" t="s">
        <v>20</v>
      </c>
      <c r="K42" s="2">
        <v>391</v>
      </c>
    </row>
    <row r="43" spans="1:11" x14ac:dyDescent="0.25">
      <c r="A43" t="s">
        <v>49</v>
      </c>
      <c r="C43">
        <v>15278437</v>
      </c>
      <c r="D43" t="s">
        <v>61</v>
      </c>
      <c r="E43" t="s">
        <v>62</v>
      </c>
      <c r="F43">
        <v>50091113</v>
      </c>
      <c r="G43" s="1">
        <v>46023</v>
      </c>
      <c r="H43" s="1">
        <v>46048</v>
      </c>
      <c r="I43" t="s">
        <v>14</v>
      </c>
      <c r="J43" t="s">
        <v>15</v>
      </c>
      <c r="K43" s="2">
        <v>65</v>
      </c>
    </row>
    <row r="44" spans="1:11" x14ac:dyDescent="0.25">
      <c r="A44" t="s">
        <v>49</v>
      </c>
      <c r="C44">
        <v>15278437</v>
      </c>
      <c r="D44" t="s">
        <v>63</v>
      </c>
      <c r="E44" t="s">
        <v>64</v>
      </c>
      <c r="F44">
        <v>50137100</v>
      </c>
      <c r="G44" s="1">
        <v>46023</v>
      </c>
      <c r="H44" s="1">
        <v>46048</v>
      </c>
      <c r="I44" t="s">
        <v>14</v>
      </c>
      <c r="J44" t="s">
        <v>15</v>
      </c>
      <c r="K44" s="2">
        <v>65</v>
      </c>
    </row>
    <row r="45" spans="1:11" x14ac:dyDescent="0.25">
      <c r="A45" t="s">
        <v>49</v>
      </c>
      <c r="C45">
        <v>15278437</v>
      </c>
      <c r="D45" t="s">
        <v>65</v>
      </c>
      <c r="E45" t="s">
        <v>66</v>
      </c>
      <c r="F45">
        <v>50087425</v>
      </c>
      <c r="G45" s="1">
        <v>46023</v>
      </c>
      <c r="H45" s="1">
        <v>46048</v>
      </c>
      <c r="I45" t="s">
        <v>14</v>
      </c>
      <c r="J45" t="s">
        <v>20</v>
      </c>
      <c r="K45" s="2">
        <v>391</v>
      </c>
    </row>
    <row r="46" spans="1:11" x14ac:dyDescent="0.25">
      <c r="A46" t="s">
        <v>49</v>
      </c>
      <c r="C46">
        <v>15278437</v>
      </c>
      <c r="D46" t="s">
        <v>67</v>
      </c>
      <c r="E46" t="s">
        <v>68</v>
      </c>
      <c r="F46">
        <v>50107926</v>
      </c>
      <c r="G46" s="1">
        <v>46023</v>
      </c>
      <c r="H46" s="1">
        <v>46048</v>
      </c>
      <c r="I46" t="s">
        <v>14</v>
      </c>
      <c r="J46" t="s">
        <v>69</v>
      </c>
      <c r="K46" s="2">
        <v>5.41</v>
      </c>
    </row>
    <row r="47" spans="1:11" x14ac:dyDescent="0.25">
      <c r="A47" t="s">
        <v>49</v>
      </c>
      <c r="C47">
        <v>15278437</v>
      </c>
      <c r="D47" t="s">
        <v>70</v>
      </c>
      <c r="E47" t="s">
        <v>71</v>
      </c>
      <c r="F47">
        <v>50102637</v>
      </c>
      <c r="G47" s="1">
        <v>46023</v>
      </c>
      <c r="H47" s="1">
        <v>46048</v>
      </c>
      <c r="I47" t="s">
        <v>14</v>
      </c>
      <c r="J47" t="s">
        <v>20</v>
      </c>
      <c r="K47" s="2">
        <v>391</v>
      </c>
    </row>
    <row r="48" spans="1:11" x14ac:dyDescent="0.25">
      <c r="A48" t="s">
        <v>49</v>
      </c>
      <c r="C48">
        <v>15278437</v>
      </c>
      <c r="D48" t="s">
        <v>70</v>
      </c>
      <c r="E48" t="s">
        <v>72</v>
      </c>
      <c r="F48">
        <v>50026698</v>
      </c>
      <c r="G48" s="1">
        <v>46023</v>
      </c>
      <c r="H48" s="1">
        <v>46048</v>
      </c>
      <c r="I48" t="s">
        <v>14</v>
      </c>
      <c r="J48" t="s">
        <v>15</v>
      </c>
      <c r="K48" s="2">
        <v>65</v>
      </c>
    </row>
    <row r="49" spans="1:11" x14ac:dyDescent="0.25">
      <c r="A49" t="s">
        <v>49</v>
      </c>
      <c r="C49">
        <v>15278437</v>
      </c>
      <c r="D49" t="s">
        <v>73</v>
      </c>
      <c r="E49" t="s">
        <v>74</v>
      </c>
      <c r="F49">
        <v>50107476</v>
      </c>
      <c r="G49" s="1">
        <v>46023</v>
      </c>
      <c r="H49" s="1">
        <v>46048</v>
      </c>
      <c r="I49" t="s">
        <v>14</v>
      </c>
      <c r="J49" t="s">
        <v>15</v>
      </c>
      <c r="K49" s="2">
        <v>65</v>
      </c>
    </row>
    <row r="50" spans="1:11" x14ac:dyDescent="0.25">
      <c r="A50" t="s">
        <v>49</v>
      </c>
      <c r="C50">
        <v>15278437</v>
      </c>
      <c r="D50" t="s">
        <v>26</v>
      </c>
      <c r="E50" t="s">
        <v>60</v>
      </c>
      <c r="F50">
        <v>50037688</v>
      </c>
      <c r="G50" s="1">
        <v>46023</v>
      </c>
      <c r="H50" s="1">
        <v>46048</v>
      </c>
      <c r="I50" t="s">
        <v>14</v>
      </c>
      <c r="J50" t="s">
        <v>15</v>
      </c>
      <c r="K50" s="2">
        <v>65</v>
      </c>
    </row>
    <row r="51" spans="1:11" x14ac:dyDescent="0.25">
      <c r="A51" t="s">
        <v>49</v>
      </c>
      <c r="C51">
        <v>15278437</v>
      </c>
      <c r="D51" t="s">
        <v>75</v>
      </c>
      <c r="E51" t="s">
        <v>52</v>
      </c>
      <c r="F51">
        <v>50008813</v>
      </c>
      <c r="G51" s="1">
        <v>46023</v>
      </c>
      <c r="H51" s="1">
        <v>46048</v>
      </c>
      <c r="I51" t="s">
        <v>14</v>
      </c>
      <c r="J51" t="s">
        <v>20</v>
      </c>
      <c r="K51" s="2">
        <v>391</v>
      </c>
    </row>
    <row r="52" spans="1:11" x14ac:dyDescent="0.25">
      <c r="A52" t="s">
        <v>49</v>
      </c>
      <c r="C52">
        <v>15278437</v>
      </c>
      <c r="D52" t="s">
        <v>55</v>
      </c>
      <c r="E52" t="s">
        <v>57</v>
      </c>
      <c r="F52">
        <v>50118845</v>
      </c>
      <c r="G52" s="1">
        <v>46023</v>
      </c>
      <c r="H52" s="1">
        <v>46048</v>
      </c>
      <c r="I52" t="s">
        <v>14</v>
      </c>
      <c r="J52" t="s">
        <v>15</v>
      </c>
      <c r="K52" s="2">
        <v>65</v>
      </c>
    </row>
    <row r="53" spans="1:11" x14ac:dyDescent="0.25">
      <c r="A53" t="s">
        <v>49</v>
      </c>
      <c r="C53">
        <v>15278437</v>
      </c>
      <c r="D53" t="s">
        <v>65</v>
      </c>
      <c r="E53" t="s">
        <v>66</v>
      </c>
      <c r="F53">
        <v>50087425</v>
      </c>
      <c r="G53" s="1">
        <v>46023</v>
      </c>
      <c r="H53" s="1">
        <v>46048</v>
      </c>
      <c r="I53" t="s">
        <v>14</v>
      </c>
      <c r="J53" t="s">
        <v>15</v>
      </c>
      <c r="K53" s="2">
        <v>65</v>
      </c>
    </row>
    <row r="54" spans="1:11" x14ac:dyDescent="0.25">
      <c r="A54" t="s">
        <v>49</v>
      </c>
      <c r="C54">
        <v>15278437</v>
      </c>
      <c r="D54" t="s">
        <v>70</v>
      </c>
      <c r="E54" t="s">
        <v>72</v>
      </c>
      <c r="F54">
        <v>50026698</v>
      </c>
      <c r="G54" s="1">
        <v>46023</v>
      </c>
      <c r="H54" s="1">
        <v>46048</v>
      </c>
      <c r="I54" t="s">
        <v>14</v>
      </c>
      <c r="J54" t="s">
        <v>20</v>
      </c>
      <c r="K54" s="2">
        <v>391</v>
      </c>
    </row>
    <row r="55" spans="1:11" x14ac:dyDescent="0.25">
      <c r="A55" t="s">
        <v>49</v>
      </c>
      <c r="C55">
        <v>15278437</v>
      </c>
      <c r="D55" t="s">
        <v>76</v>
      </c>
      <c r="E55" t="s">
        <v>77</v>
      </c>
      <c r="F55">
        <v>50026769</v>
      </c>
      <c r="G55" s="1">
        <v>46023</v>
      </c>
      <c r="H55" s="1">
        <v>46048</v>
      </c>
      <c r="I55" t="s">
        <v>14</v>
      </c>
      <c r="J55" t="s">
        <v>20</v>
      </c>
      <c r="K55" s="2">
        <v>391</v>
      </c>
    </row>
    <row r="56" spans="1:11" x14ac:dyDescent="0.25">
      <c r="A56" t="s">
        <v>49</v>
      </c>
      <c r="C56">
        <v>15278437</v>
      </c>
      <c r="D56" t="s">
        <v>61</v>
      </c>
      <c r="E56" t="s">
        <v>62</v>
      </c>
      <c r="F56">
        <v>50091113</v>
      </c>
      <c r="G56" s="1">
        <v>46023</v>
      </c>
      <c r="H56" s="1">
        <v>46048</v>
      </c>
      <c r="I56" t="s">
        <v>14</v>
      </c>
      <c r="J56" t="s">
        <v>20</v>
      </c>
      <c r="K56" s="2">
        <v>391</v>
      </c>
    </row>
    <row r="57" spans="1:11" x14ac:dyDescent="0.25">
      <c r="A57" t="s">
        <v>49</v>
      </c>
      <c r="C57">
        <v>15278437</v>
      </c>
      <c r="D57" t="s">
        <v>78</v>
      </c>
      <c r="E57" t="s">
        <v>79</v>
      </c>
      <c r="F57">
        <v>50030839</v>
      </c>
      <c r="G57" s="1">
        <v>46023</v>
      </c>
      <c r="H57" s="1">
        <v>46048</v>
      </c>
      <c r="I57" t="s">
        <v>14</v>
      </c>
      <c r="J57" t="s">
        <v>20</v>
      </c>
      <c r="K57" s="2">
        <v>391</v>
      </c>
    </row>
    <row r="58" spans="1:11" x14ac:dyDescent="0.25">
      <c r="A58" t="s">
        <v>49</v>
      </c>
      <c r="C58">
        <v>15278437</v>
      </c>
      <c r="D58" t="s">
        <v>55</v>
      </c>
      <c r="E58" t="s">
        <v>56</v>
      </c>
      <c r="F58">
        <v>50127650</v>
      </c>
      <c r="G58" s="1">
        <v>46023</v>
      </c>
      <c r="H58" s="1">
        <v>46048</v>
      </c>
      <c r="I58" t="s">
        <v>14</v>
      </c>
      <c r="J58" t="s">
        <v>20</v>
      </c>
      <c r="K58" s="2">
        <v>391</v>
      </c>
    </row>
    <row r="59" spans="1:11" x14ac:dyDescent="0.25">
      <c r="A59" t="s">
        <v>49</v>
      </c>
      <c r="C59">
        <v>15278437</v>
      </c>
      <c r="D59" t="s">
        <v>75</v>
      </c>
      <c r="E59" t="s">
        <v>52</v>
      </c>
      <c r="F59">
        <v>50008813</v>
      </c>
      <c r="G59" s="1">
        <v>46023</v>
      </c>
      <c r="H59" s="1">
        <v>46048</v>
      </c>
      <c r="I59" t="s">
        <v>14</v>
      </c>
      <c r="J59" t="s">
        <v>15</v>
      </c>
      <c r="K59" s="2">
        <v>65</v>
      </c>
    </row>
    <row r="60" spans="1:11" x14ac:dyDescent="0.25">
      <c r="A60" t="s">
        <v>49</v>
      </c>
      <c r="C60">
        <v>15278437</v>
      </c>
      <c r="D60" t="s">
        <v>50</v>
      </c>
      <c r="E60" t="s">
        <v>51</v>
      </c>
      <c r="F60">
        <v>50121374</v>
      </c>
      <c r="G60" s="1">
        <v>46023</v>
      </c>
      <c r="H60" s="1">
        <v>46048</v>
      </c>
      <c r="I60" t="s">
        <v>14</v>
      </c>
      <c r="J60" t="s">
        <v>15</v>
      </c>
      <c r="K60" s="2">
        <v>65</v>
      </c>
    </row>
    <row r="61" spans="1:11" x14ac:dyDescent="0.25">
      <c r="A61" t="s">
        <v>49</v>
      </c>
      <c r="C61">
        <v>15278437</v>
      </c>
      <c r="D61" t="s">
        <v>80</v>
      </c>
      <c r="E61" t="s">
        <v>56</v>
      </c>
      <c r="F61">
        <v>50007898</v>
      </c>
      <c r="G61" s="1">
        <v>46023</v>
      </c>
      <c r="H61" s="1">
        <v>46048</v>
      </c>
      <c r="I61" t="s">
        <v>14</v>
      </c>
      <c r="J61" t="s">
        <v>15</v>
      </c>
      <c r="K61" s="2">
        <v>65</v>
      </c>
    </row>
    <row r="62" spans="1:11" x14ac:dyDescent="0.25">
      <c r="A62" t="s">
        <v>49</v>
      </c>
      <c r="C62">
        <v>15278437</v>
      </c>
      <c r="D62" t="s">
        <v>63</v>
      </c>
      <c r="E62" t="s">
        <v>64</v>
      </c>
      <c r="F62">
        <v>50137100</v>
      </c>
      <c r="G62" s="1">
        <v>46023</v>
      </c>
      <c r="H62" s="1">
        <v>46048</v>
      </c>
      <c r="I62" t="s">
        <v>14</v>
      </c>
      <c r="J62" t="s">
        <v>20</v>
      </c>
      <c r="K62" s="2">
        <v>391</v>
      </c>
    </row>
    <row r="63" spans="1:11" x14ac:dyDescent="0.25">
      <c r="A63" t="s">
        <v>49</v>
      </c>
      <c r="C63">
        <v>15278437</v>
      </c>
      <c r="D63" t="s">
        <v>70</v>
      </c>
      <c r="E63" t="s">
        <v>71</v>
      </c>
      <c r="F63">
        <v>50102637</v>
      </c>
      <c r="G63" s="1">
        <v>46023</v>
      </c>
      <c r="H63" s="1">
        <v>46048</v>
      </c>
      <c r="I63" t="s">
        <v>14</v>
      </c>
      <c r="J63" t="s">
        <v>15</v>
      </c>
      <c r="K63" s="2">
        <v>65</v>
      </c>
    </row>
    <row r="64" spans="1:11" x14ac:dyDescent="0.25">
      <c r="A64" t="s">
        <v>49</v>
      </c>
      <c r="C64">
        <v>15278437</v>
      </c>
      <c r="D64" t="s">
        <v>26</v>
      </c>
      <c r="E64" t="s">
        <v>52</v>
      </c>
      <c r="F64">
        <v>50093169</v>
      </c>
      <c r="G64" s="1">
        <v>46023</v>
      </c>
      <c r="H64" s="1">
        <v>46048</v>
      </c>
      <c r="I64" t="s">
        <v>14</v>
      </c>
      <c r="J64" t="s">
        <v>15</v>
      </c>
      <c r="K64" s="2">
        <v>65</v>
      </c>
    </row>
    <row r="65" spans="1:11" x14ac:dyDescent="0.25">
      <c r="A65" t="s">
        <v>49</v>
      </c>
      <c r="C65">
        <v>15278437</v>
      </c>
      <c r="D65" t="s">
        <v>80</v>
      </c>
      <c r="E65" t="s">
        <v>56</v>
      </c>
      <c r="F65">
        <v>50007898</v>
      </c>
      <c r="G65" s="1">
        <v>46023</v>
      </c>
      <c r="H65" s="1">
        <v>46048</v>
      </c>
      <c r="I65" t="s">
        <v>14</v>
      </c>
      <c r="J65" t="s">
        <v>20</v>
      </c>
      <c r="K65" s="2">
        <v>391</v>
      </c>
    </row>
    <row r="66" spans="1:11" x14ac:dyDescent="0.25">
      <c r="A66" t="s">
        <v>49</v>
      </c>
      <c r="C66">
        <v>15278437</v>
      </c>
      <c r="D66" t="s">
        <v>73</v>
      </c>
      <c r="E66" t="s">
        <v>74</v>
      </c>
      <c r="F66">
        <v>50107476</v>
      </c>
      <c r="G66" s="1">
        <v>46023</v>
      </c>
      <c r="H66" s="1">
        <v>46048</v>
      </c>
      <c r="I66" t="s">
        <v>14</v>
      </c>
      <c r="J66" t="s">
        <v>20</v>
      </c>
      <c r="K66" s="2">
        <v>391</v>
      </c>
    </row>
    <row r="67" spans="1:11" x14ac:dyDescent="0.25">
      <c r="A67" t="s">
        <v>49</v>
      </c>
      <c r="C67">
        <v>15278437</v>
      </c>
      <c r="D67" t="s">
        <v>76</v>
      </c>
      <c r="E67" t="s">
        <v>77</v>
      </c>
      <c r="F67">
        <v>50026769</v>
      </c>
      <c r="G67" s="1">
        <v>46023</v>
      </c>
      <c r="H67" s="1">
        <v>46048</v>
      </c>
      <c r="I67" t="s">
        <v>14</v>
      </c>
      <c r="J67" t="s">
        <v>15</v>
      </c>
      <c r="K67" s="2">
        <v>65</v>
      </c>
    </row>
    <row r="68" spans="1:11" x14ac:dyDescent="0.25">
      <c r="A68" t="s">
        <v>49</v>
      </c>
      <c r="C68">
        <v>15278437</v>
      </c>
      <c r="D68" t="s">
        <v>78</v>
      </c>
      <c r="E68" t="s">
        <v>79</v>
      </c>
      <c r="F68">
        <v>50030839</v>
      </c>
      <c r="G68" s="1">
        <v>46023</v>
      </c>
      <c r="H68" s="1">
        <v>46048</v>
      </c>
      <c r="I68" t="s">
        <v>14</v>
      </c>
      <c r="J68" t="s">
        <v>15</v>
      </c>
      <c r="K68" s="2">
        <v>65</v>
      </c>
    </row>
    <row r="69" spans="1:11" x14ac:dyDescent="0.25">
      <c r="A69" t="s">
        <v>49</v>
      </c>
      <c r="C69">
        <v>15278437</v>
      </c>
      <c r="D69" t="s">
        <v>81</v>
      </c>
      <c r="E69" t="s">
        <v>82</v>
      </c>
      <c r="F69">
        <v>50097883</v>
      </c>
      <c r="G69" s="1">
        <v>46023</v>
      </c>
      <c r="H69" s="1">
        <v>46048</v>
      </c>
      <c r="I69" t="s">
        <v>14</v>
      </c>
      <c r="J69" t="s">
        <v>15</v>
      </c>
      <c r="K69" s="2">
        <v>65</v>
      </c>
    </row>
    <row r="70" spans="1:11" x14ac:dyDescent="0.25">
      <c r="A70" t="s">
        <v>49</v>
      </c>
      <c r="C70">
        <v>15278437</v>
      </c>
      <c r="D70" t="s">
        <v>58</v>
      </c>
      <c r="E70" t="s">
        <v>59</v>
      </c>
      <c r="F70">
        <v>50087000</v>
      </c>
      <c r="G70" s="1">
        <v>46023</v>
      </c>
      <c r="H70" s="1">
        <v>46048</v>
      </c>
      <c r="I70" t="s">
        <v>14</v>
      </c>
      <c r="J70" t="s">
        <v>20</v>
      </c>
      <c r="K70" s="2">
        <v>391</v>
      </c>
    </row>
    <row r="71" spans="1:11" x14ac:dyDescent="0.25">
      <c r="A71" t="s">
        <v>49</v>
      </c>
      <c r="C71">
        <v>15278437</v>
      </c>
      <c r="D71" t="s">
        <v>67</v>
      </c>
      <c r="E71" t="s">
        <v>68</v>
      </c>
      <c r="F71">
        <v>50107926</v>
      </c>
      <c r="G71" s="1">
        <v>46023</v>
      </c>
      <c r="H71" s="1">
        <v>46048</v>
      </c>
      <c r="I71" t="s">
        <v>14</v>
      </c>
      <c r="J71" t="s">
        <v>83</v>
      </c>
      <c r="K71" s="2">
        <v>32.58</v>
      </c>
    </row>
    <row r="72" spans="1:11" x14ac:dyDescent="0.25">
      <c r="A72" t="s">
        <v>49</v>
      </c>
      <c r="C72">
        <v>15278437</v>
      </c>
      <c r="D72" t="s">
        <v>81</v>
      </c>
      <c r="E72" t="s">
        <v>82</v>
      </c>
      <c r="F72">
        <v>50097883</v>
      </c>
      <c r="G72" s="1">
        <v>46023</v>
      </c>
      <c r="H72" s="1">
        <v>46048</v>
      </c>
      <c r="I72" t="s">
        <v>14</v>
      </c>
      <c r="J72" t="s">
        <v>20</v>
      </c>
      <c r="K72" s="2">
        <v>391</v>
      </c>
    </row>
    <row r="73" spans="1:11" x14ac:dyDescent="0.25">
      <c r="A73" t="s">
        <v>84</v>
      </c>
      <c r="C73">
        <v>14936854</v>
      </c>
      <c r="D73" t="s">
        <v>85</v>
      </c>
      <c r="E73" t="s">
        <v>86</v>
      </c>
      <c r="F73">
        <v>50091015</v>
      </c>
      <c r="G73" s="1">
        <v>46023</v>
      </c>
      <c r="H73" s="1">
        <v>46048</v>
      </c>
      <c r="I73" t="s">
        <v>14</v>
      </c>
      <c r="J73" t="s">
        <v>15</v>
      </c>
      <c r="K73" s="2">
        <v>65</v>
      </c>
    </row>
    <row r="74" spans="1:11" x14ac:dyDescent="0.25">
      <c r="A74" t="s">
        <v>84</v>
      </c>
      <c r="C74">
        <v>14936854</v>
      </c>
      <c r="D74" t="s">
        <v>87</v>
      </c>
      <c r="E74" t="s">
        <v>88</v>
      </c>
      <c r="F74">
        <v>50110854</v>
      </c>
      <c r="G74" s="1">
        <v>46023</v>
      </c>
      <c r="H74" s="1">
        <v>46048</v>
      </c>
      <c r="I74" t="s">
        <v>14</v>
      </c>
      <c r="J74" t="s">
        <v>15</v>
      </c>
      <c r="K74" s="2">
        <v>65</v>
      </c>
    </row>
    <row r="75" spans="1:11" x14ac:dyDescent="0.25">
      <c r="A75" t="s">
        <v>84</v>
      </c>
      <c r="C75">
        <v>14936854</v>
      </c>
      <c r="D75" t="s">
        <v>89</v>
      </c>
      <c r="E75" t="s">
        <v>90</v>
      </c>
      <c r="F75">
        <v>50030579</v>
      </c>
      <c r="G75" s="1">
        <v>46023</v>
      </c>
      <c r="H75" s="1">
        <v>46048</v>
      </c>
      <c r="I75" t="s">
        <v>14</v>
      </c>
      <c r="J75" t="s">
        <v>15</v>
      </c>
      <c r="K75" s="2">
        <v>65</v>
      </c>
    </row>
    <row r="76" spans="1:11" x14ac:dyDescent="0.25">
      <c r="A76" t="s">
        <v>84</v>
      </c>
      <c r="C76">
        <v>14936854</v>
      </c>
      <c r="D76" t="s">
        <v>78</v>
      </c>
      <c r="E76" t="s">
        <v>91</v>
      </c>
      <c r="F76">
        <v>50029963</v>
      </c>
      <c r="G76" s="1">
        <v>46023</v>
      </c>
      <c r="H76" s="1">
        <v>46048</v>
      </c>
      <c r="I76" t="s">
        <v>14</v>
      </c>
      <c r="J76" t="s">
        <v>15</v>
      </c>
      <c r="K76" s="2">
        <v>65</v>
      </c>
    </row>
    <row r="77" spans="1:11" x14ac:dyDescent="0.25">
      <c r="A77" t="s">
        <v>84</v>
      </c>
      <c r="C77">
        <v>14936854</v>
      </c>
      <c r="D77" t="s">
        <v>92</v>
      </c>
      <c r="E77" t="s">
        <v>93</v>
      </c>
      <c r="F77">
        <v>50075630</v>
      </c>
      <c r="G77" s="1">
        <v>46023</v>
      </c>
      <c r="H77" s="1">
        <v>46048</v>
      </c>
      <c r="I77" t="s">
        <v>14</v>
      </c>
      <c r="J77" t="s">
        <v>15</v>
      </c>
      <c r="K77" s="2">
        <v>65</v>
      </c>
    </row>
    <row r="78" spans="1:11" x14ac:dyDescent="0.25">
      <c r="A78" t="s">
        <v>84</v>
      </c>
      <c r="C78">
        <v>14936854</v>
      </c>
      <c r="D78" t="s">
        <v>94</v>
      </c>
      <c r="E78" t="s">
        <v>95</v>
      </c>
      <c r="F78">
        <v>50134162</v>
      </c>
      <c r="G78" s="1">
        <v>46023</v>
      </c>
      <c r="H78" s="1">
        <v>46048</v>
      </c>
      <c r="I78" t="s">
        <v>14</v>
      </c>
      <c r="J78" t="s">
        <v>15</v>
      </c>
      <c r="K78" s="2">
        <v>65</v>
      </c>
    </row>
    <row r="79" spans="1:11" x14ac:dyDescent="0.25">
      <c r="A79" t="s">
        <v>84</v>
      </c>
      <c r="C79">
        <v>14936854</v>
      </c>
      <c r="D79" t="s">
        <v>96</v>
      </c>
      <c r="E79" t="s">
        <v>97</v>
      </c>
      <c r="F79">
        <v>50116383</v>
      </c>
      <c r="G79" s="1">
        <v>46023</v>
      </c>
      <c r="H79" s="1">
        <v>46048</v>
      </c>
      <c r="I79" t="s">
        <v>14</v>
      </c>
      <c r="J79" t="s">
        <v>15</v>
      </c>
      <c r="K79" s="2">
        <v>65</v>
      </c>
    </row>
    <row r="80" spans="1:11" x14ac:dyDescent="0.25">
      <c r="A80" t="s">
        <v>84</v>
      </c>
      <c r="C80">
        <v>14936854</v>
      </c>
      <c r="D80" t="s">
        <v>98</v>
      </c>
      <c r="E80" t="s">
        <v>99</v>
      </c>
      <c r="F80">
        <v>50018164</v>
      </c>
      <c r="G80" s="1">
        <v>46023</v>
      </c>
      <c r="H80" s="1">
        <v>46048</v>
      </c>
      <c r="I80" t="s">
        <v>14</v>
      </c>
      <c r="J80" t="s">
        <v>15</v>
      </c>
      <c r="K80" s="2">
        <v>65</v>
      </c>
    </row>
    <row r="81" spans="1:11" x14ac:dyDescent="0.25">
      <c r="A81" t="s">
        <v>84</v>
      </c>
      <c r="C81">
        <v>14936854</v>
      </c>
      <c r="D81" t="s">
        <v>98</v>
      </c>
      <c r="E81" t="s">
        <v>100</v>
      </c>
      <c r="F81">
        <v>50091180</v>
      </c>
      <c r="G81" s="1">
        <v>46023</v>
      </c>
      <c r="H81" s="1">
        <v>46048</v>
      </c>
      <c r="I81" t="s">
        <v>14</v>
      </c>
      <c r="J81" t="s">
        <v>15</v>
      </c>
      <c r="K81" s="2">
        <v>65</v>
      </c>
    </row>
    <row r="82" spans="1:11" x14ac:dyDescent="0.25">
      <c r="A82" t="s">
        <v>84</v>
      </c>
      <c r="C82">
        <v>14936854</v>
      </c>
      <c r="D82" t="s">
        <v>101</v>
      </c>
      <c r="E82" t="s">
        <v>102</v>
      </c>
      <c r="F82">
        <v>50108140</v>
      </c>
      <c r="G82" s="1">
        <v>46023</v>
      </c>
      <c r="H82" s="1">
        <v>46048</v>
      </c>
      <c r="I82" t="s">
        <v>14</v>
      </c>
      <c r="J82" t="s">
        <v>15</v>
      </c>
      <c r="K82" s="2">
        <v>65</v>
      </c>
    </row>
    <row r="83" spans="1:11" x14ac:dyDescent="0.25">
      <c r="A83" t="s">
        <v>84</v>
      </c>
      <c r="C83">
        <v>14936854</v>
      </c>
      <c r="D83" t="s">
        <v>103</v>
      </c>
      <c r="E83" t="s">
        <v>104</v>
      </c>
      <c r="F83">
        <v>50013514</v>
      </c>
      <c r="G83" s="1">
        <v>46023</v>
      </c>
      <c r="H83" s="1">
        <v>46048</v>
      </c>
      <c r="I83" t="s">
        <v>14</v>
      </c>
      <c r="J83" t="s">
        <v>15</v>
      </c>
      <c r="K83" s="2">
        <v>65</v>
      </c>
    </row>
    <row r="84" spans="1:11" x14ac:dyDescent="0.25">
      <c r="A84" t="s">
        <v>84</v>
      </c>
      <c r="C84">
        <v>14936854</v>
      </c>
      <c r="D84" t="s">
        <v>105</v>
      </c>
      <c r="E84" t="s">
        <v>106</v>
      </c>
      <c r="F84">
        <v>50092745</v>
      </c>
      <c r="G84" s="1">
        <v>46023</v>
      </c>
      <c r="H84" s="1">
        <v>46048</v>
      </c>
      <c r="I84" t="s">
        <v>14</v>
      </c>
      <c r="J84" t="s">
        <v>15</v>
      </c>
      <c r="K84" s="2">
        <v>65</v>
      </c>
    </row>
    <row r="85" spans="1:11" x14ac:dyDescent="0.25">
      <c r="A85" t="s">
        <v>84</v>
      </c>
      <c r="C85">
        <v>14936854</v>
      </c>
      <c r="D85" t="s">
        <v>107</v>
      </c>
      <c r="E85" t="s">
        <v>108</v>
      </c>
      <c r="F85">
        <v>50137892</v>
      </c>
      <c r="G85" s="1">
        <v>46023</v>
      </c>
      <c r="H85" s="1">
        <v>46048</v>
      </c>
      <c r="I85" t="s">
        <v>14</v>
      </c>
      <c r="J85" t="s">
        <v>15</v>
      </c>
      <c r="K85" s="2">
        <v>65</v>
      </c>
    </row>
    <row r="86" spans="1:11" x14ac:dyDescent="0.25">
      <c r="A86" t="s">
        <v>84</v>
      </c>
      <c r="C86">
        <v>14936854</v>
      </c>
      <c r="D86" t="s">
        <v>109</v>
      </c>
      <c r="E86" t="s">
        <v>110</v>
      </c>
      <c r="F86">
        <v>50110257</v>
      </c>
      <c r="G86" s="1">
        <v>46023</v>
      </c>
      <c r="H86" s="1">
        <v>46048</v>
      </c>
      <c r="I86" t="s">
        <v>14</v>
      </c>
      <c r="J86" t="s">
        <v>15</v>
      </c>
      <c r="K86" s="2">
        <v>65</v>
      </c>
    </row>
    <row r="87" spans="1:11" x14ac:dyDescent="0.25">
      <c r="A87" t="s">
        <v>84</v>
      </c>
      <c r="C87">
        <v>14936854</v>
      </c>
      <c r="D87" t="s">
        <v>111</v>
      </c>
      <c r="E87" t="s">
        <v>112</v>
      </c>
      <c r="F87">
        <v>50058106</v>
      </c>
      <c r="G87" s="1">
        <v>46023</v>
      </c>
      <c r="H87" s="1">
        <v>46048</v>
      </c>
      <c r="I87" t="s">
        <v>14</v>
      </c>
      <c r="J87" t="s">
        <v>15</v>
      </c>
      <c r="K87" s="2">
        <v>65</v>
      </c>
    </row>
    <row r="88" spans="1:11" x14ac:dyDescent="0.25">
      <c r="A88" t="s">
        <v>84</v>
      </c>
      <c r="C88">
        <v>14936854</v>
      </c>
      <c r="D88" t="s">
        <v>80</v>
      </c>
      <c r="E88" t="s">
        <v>113</v>
      </c>
      <c r="F88">
        <v>50010107</v>
      </c>
      <c r="G88" s="1">
        <v>46023</v>
      </c>
      <c r="H88" s="1">
        <v>46048</v>
      </c>
      <c r="I88" t="s">
        <v>14</v>
      </c>
      <c r="J88" t="s">
        <v>15</v>
      </c>
      <c r="K88" s="2">
        <v>65</v>
      </c>
    </row>
    <row r="89" spans="1:11" x14ac:dyDescent="0.25">
      <c r="A89" t="s">
        <v>84</v>
      </c>
      <c r="C89">
        <v>14936854</v>
      </c>
      <c r="D89" t="s">
        <v>114</v>
      </c>
      <c r="E89" t="s">
        <v>115</v>
      </c>
      <c r="F89">
        <v>50116365</v>
      </c>
      <c r="G89" s="1">
        <v>46023</v>
      </c>
      <c r="H89" s="1">
        <v>46048</v>
      </c>
      <c r="I89" t="s">
        <v>14</v>
      </c>
      <c r="J89" t="s">
        <v>15</v>
      </c>
      <c r="K89" s="2">
        <v>65</v>
      </c>
    </row>
    <row r="90" spans="1:11" x14ac:dyDescent="0.25">
      <c r="A90" t="s">
        <v>84</v>
      </c>
      <c r="C90">
        <v>14936854</v>
      </c>
      <c r="D90" t="s">
        <v>116</v>
      </c>
      <c r="E90" t="s">
        <v>117</v>
      </c>
      <c r="F90">
        <v>50012414</v>
      </c>
      <c r="G90" s="1">
        <v>46023</v>
      </c>
      <c r="H90" s="1">
        <v>46048</v>
      </c>
      <c r="I90" t="s">
        <v>14</v>
      </c>
      <c r="J90" t="s">
        <v>15</v>
      </c>
      <c r="K90" s="2">
        <v>65</v>
      </c>
    </row>
    <row r="91" spans="1:11" x14ac:dyDescent="0.25">
      <c r="A91" t="s">
        <v>84</v>
      </c>
      <c r="C91">
        <v>14936854</v>
      </c>
      <c r="D91" t="s">
        <v>118</v>
      </c>
      <c r="E91" t="s">
        <v>119</v>
      </c>
      <c r="F91">
        <v>50027568</v>
      </c>
      <c r="G91" s="1">
        <v>46023</v>
      </c>
      <c r="H91" s="1">
        <v>46048</v>
      </c>
      <c r="I91" t="s">
        <v>14</v>
      </c>
      <c r="J91" t="s">
        <v>15</v>
      </c>
      <c r="K91" s="2">
        <v>65</v>
      </c>
    </row>
    <row r="92" spans="1:11" x14ac:dyDescent="0.25">
      <c r="A92" t="s">
        <v>84</v>
      </c>
      <c r="C92">
        <v>14936854</v>
      </c>
      <c r="D92" t="s">
        <v>120</v>
      </c>
      <c r="E92" t="s">
        <v>121</v>
      </c>
      <c r="F92">
        <v>50131256</v>
      </c>
      <c r="G92" s="1">
        <v>46023</v>
      </c>
      <c r="H92" s="1">
        <v>46048</v>
      </c>
      <c r="I92" t="s">
        <v>14</v>
      </c>
      <c r="J92" t="s">
        <v>15</v>
      </c>
      <c r="K92" s="2">
        <v>65</v>
      </c>
    </row>
    <row r="93" spans="1:11" x14ac:dyDescent="0.25">
      <c r="A93" t="s">
        <v>84</v>
      </c>
      <c r="C93">
        <v>14936854</v>
      </c>
      <c r="D93" t="s">
        <v>122</v>
      </c>
      <c r="E93" t="s">
        <v>123</v>
      </c>
      <c r="F93">
        <v>50087441</v>
      </c>
      <c r="G93" s="1">
        <v>46023</v>
      </c>
      <c r="H93" s="1">
        <v>46048</v>
      </c>
      <c r="I93" t="s">
        <v>14</v>
      </c>
      <c r="J93" t="s">
        <v>15</v>
      </c>
      <c r="K93" s="2">
        <v>65</v>
      </c>
    </row>
    <row r="94" spans="1:11" x14ac:dyDescent="0.25">
      <c r="A94" t="s">
        <v>84</v>
      </c>
      <c r="C94">
        <v>14936854</v>
      </c>
      <c r="D94" t="s">
        <v>124</v>
      </c>
      <c r="E94" t="s">
        <v>125</v>
      </c>
      <c r="F94">
        <v>50091662</v>
      </c>
      <c r="G94" s="1">
        <v>46023</v>
      </c>
      <c r="H94" s="1">
        <v>46048</v>
      </c>
      <c r="I94" t="s">
        <v>14</v>
      </c>
      <c r="J94" t="s">
        <v>15</v>
      </c>
      <c r="K94" s="2">
        <v>65</v>
      </c>
    </row>
    <row r="95" spans="1:11" x14ac:dyDescent="0.25">
      <c r="A95" t="s">
        <v>84</v>
      </c>
      <c r="C95">
        <v>14936854</v>
      </c>
      <c r="D95" t="s">
        <v>126</v>
      </c>
      <c r="E95" t="s">
        <v>127</v>
      </c>
      <c r="F95">
        <v>50128929</v>
      </c>
      <c r="G95" s="1">
        <v>46023</v>
      </c>
      <c r="H95" s="1">
        <v>46048</v>
      </c>
      <c r="I95" t="s">
        <v>14</v>
      </c>
      <c r="J95" t="s">
        <v>15</v>
      </c>
      <c r="K95" s="2">
        <v>65</v>
      </c>
    </row>
    <row r="96" spans="1:11" x14ac:dyDescent="0.25">
      <c r="A96" t="s">
        <v>84</v>
      </c>
      <c r="C96">
        <v>14936854</v>
      </c>
      <c r="D96" t="s">
        <v>128</v>
      </c>
      <c r="E96" t="s">
        <v>129</v>
      </c>
      <c r="F96">
        <v>50115215</v>
      </c>
      <c r="G96" s="1">
        <v>46023</v>
      </c>
      <c r="H96" s="1">
        <v>46048</v>
      </c>
      <c r="I96" t="s">
        <v>14</v>
      </c>
      <c r="J96" t="s">
        <v>15</v>
      </c>
      <c r="K96" s="2">
        <v>65</v>
      </c>
    </row>
    <row r="97" spans="1:11" x14ac:dyDescent="0.25">
      <c r="A97" t="s">
        <v>84</v>
      </c>
      <c r="C97">
        <v>14936854</v>
      </c>
      <c r="D97" t="s">
        <v>130</v>
      </c>
      <c r="E97" t="s">
        <v>131</v>
      </c>
      <c r="F97">
        <v>50113757</v>
      </c>
      <c r="G97" s="1">
        <v>46023</v>
      </c>
      <c r="H97" s="1">
        <v>46048</v>
      </c>
      <c r="I97" t="s">
        <v>14</v>
      </c>
      <c r="J97" t="s">
        <v>15</v>
      </c>
      <c r="K97" s="2">
        <v>65</v>
      </c>
    </row>
    <row r="98" spans="1:11" x14ac:dyDescent="0.25">
      <c r="A98" t="s">
        <v>84</v>
      </c>
      <c r="C98">
        <v>14936854</v>
      </c>
      <c r="D98" t="s">
        <v>132</v>
      </c>
      <c r="E98" t="s">
        <v>133</v>
      </c>
      <c r="F98">
        <v>50114039</v>
      </c>
      <c r="G98" s="1">
        <v>46023</v>
      </c>
      <c r="H98" s="1">
        <v>46048</v>
      </c>
      <c r="I98" t="s">
        <v>14</v>
      </c>
      <c r="J98" t="s">
        <v>15</v>
      </c>
      <c r="K98" s="2">
        <v>65</v>
      </c>
    </row>
    <row r="99" spans="1:11" x14ac:dyDescent="0.25">
      <c r="A99" t="s">
        <v>84</v>
      </c>
      <c r="C99">
        <v>14936854</v>
      </c>
      <c r="D99" t="s">
        <v>134</v>
      </c>
      <c r="E99" t="s">
        <v>135</v>
      </c>
      <c r="F99">
        <v>50127919</v>
      </c>
      <c r="G99" s="1">
        <v>46023</v>
      </c>
      <c r="H99" s="1">
        <v>46048</v>
      </c>
      <c r="I99" t="s">
        <v>14</v>
      </c>
      <c r="J99" t="s">
        <v>15</v>
      </c>
      <c r="K99" s="2">
        <v>65</v>
      </c>
    </row>
    <row r="100" spans="1:11" x14ac:dyDescent="0.25">
      <c r="A100" t="s">
        <v>84</v>
      </c>
      <c r="C100">
        <v>14936854</v>
      </c>
      <c r="D100" t="s">
        <v>136</v>
      </c>
      <c r="E100" t="s">
        <v>91</v>
      </c>
      <c r="F100">
        <v>50029394</v>
      </c>
      <c r="G100" s="1">
        <v>46023</v>
      </c>
      <c r="H100" s="1">
        <v>46048</v>
      </c>
      <c r="I100" t="s">
        <v>14</v>
      </c>
      <c r="J100" t="s">
        <v>15</v>
      </c>
      <c r="K100" s="2">
        <v>65</v>
      </c>
    </row>
    <row r="101" spans="1:11" x14ac:dyDescent="0.25">
      <c r="A101" t="s">
        <v>84</v>
      </c>
      <c r="C101">
        <v>14936854</v>
      </c>
      <c r="D101" t="s">
        <v>98</v>
      </c>
      <c r="E101" t="s">
        <v>137</v>
      </c>
      <c r="F101">
        <v>50010840</v>
      </c>
      <c r="G101" s="1">
        <v>46023</v>
      </c>
      <c r="H101" s="1">
        <v>46048</v>
      </c>
      <c r="I101" t="s">
        <v>14</v>
      </c>
      <c r="J101" t="s">
        <v>15</v>
      </c>
      <c r="K101" s="2">
        <v>65</v>
      </c>
    </row>
    <row r="102" spans="1:11" x14ac:dyDescent="0.25">
      <c r="A102" t="s">
        <v>84</v>
      </c>
      <c r="C102">
        <v>14936854</v>
      </c>
      <c r="D102" t="s">
        <v>138</v>
      </c>
      <c r="E102" t="s">
        <v>139</v>
      </c>
      <c r="F102">
        <v>50092281</v>
      </c>
      <c r="G102" s="1">
        <v>46023</v>
      </c>
      <c r="H102" s="1">
        <v>46048</v>
      </c>
      <c r="I102" t="s">
        <v>14</v>
      </c>
      <c r="J102" t="s">
        <v>15</v>
      </c>
      <c r="K102" s="2">
        <v>65</v>
      </c>
    </row>
    <row r="103" spans="1:11" x14ac:dyDescent="0.25">
      <c r="A103" t="s">
        <v>84</v>
      </c>
      <c r="C103">
        <v>14936854</v>
      </c>
      <c r="D103" t="s">
        <v>140</v>
      </c>
      <c r="E103" t="s">
        <v>141</v>
      </c>
      <c r="F103">
        <v>50120945</v>
      </c>
      <c r="G103" s="1">
        <v>46023</v>
      </c>
      <c r="H103" s="1">
        <v>46048</v>
      </c>
      <c r="I103" t="s">
        <v>14</v>
      </c>
      <c r="J103" t="s">
        <v>15</v>
      </c>
      <c r="K103" s="2">
        <v>65</v>
      </c>
    </row>
    <row r="104" spans="1:11" x14ac:dyDescent="0.25">
      <c r="A104" t="s">
        <v>84</v>
      </c>
      <c r="C104">
        <v>14936854</v>
      </c>
      <c r="D104" t="s">
        <v>142</v>
      </c>
      <c r="E104" t="s">
        <v>113</v>
      </c>
      <c r="F104">
        <v>50081523</v>
      </c>
      <c r="G104" s="1">
        <v>46023</v>
      </c>
      <c r="H104" s="1">
        <v>46048</v>
      </c>
      <c r="I104" t="s">
        <v>14</v>
      </c>
      <c r="J104" t="s">
        <v>15</v>
      </c>
      <c r="K104" s="2">
        <v>65</v>
      </c>
    </row>
    <row r="105" spans="1:11" x14ac:dyDescent="0.25">
      <c r="A105" t="s">
        <v>84</v>
      </c>
      <c r="C105">
        <v>14936854</v>
      </c>
      <c r="D105" t="s">
        <v>143</v>
      </c>
      <c r="E105" t="s">
        <v>144</v>
      </c>
      <c r="F105">
        <v>50103890</v>
      </c>
      <c r="G105" s="1">
        <v>46023</v>
      </c>
      <c r="H105" s="1">
        <v>46048</v>
      </c>
      <c r="I105" t="s">
        <v>14</v>
      </c>
      <c r="J105" t="s">
        <v>15</v>
      </c>
      <c r="K105" s="2">
        <v>65</v>
      </c>
    </row>
    <row r="106" spans="1:11" x14ac:dyDescent="0.25">
      <c r="A106" t="s">
        <v>84</v>
      </c>
      <c r="C106">
        <v>14936854</v>
      </c>
      <c r="D106" t="s">
        <v>80</v>
      </c>
      <c r="E106" t="s">
        <v>141</v>
      </c>
      <c r="F106">
        <v>50120950</v>
      </c>
      <c r="G106" s="1">
        <v>46023</v>
      </c>
      <c r="H106" s="1">
        <v>46048</v>
      </c>
      <c r="I106" t="s">
        <v>14</v>
      </c>
      <c r="J106" t="s">
        <v>15</v>
      </c>
      <c r="K106" s="2">
        <v>65</v>
      </c>
    </row>
    <row r="107" spans="1:11" x14ac:dyDescent="0.25">
      <c r="A107" t="s">
        <v>84</v>
      </c>
      <c r="C107">
        <v>14936854</v>
      </c>
      <c r="D107" t="s">
        <v>145</v>
      </c>
      <c r="E107" t="s">
        <v>146</v>
      </c>
      <c r="F107">
        <v>50111842</v>
      </c>
      <c r="G107" s="1">
        <v>46023</v>
      </c>
      <c r="H107" s="1">
        <v>46048</v>
      </c>
      <c r="I107" t="s">
        <v>14</v>
      </c>
      <c r="J107" t="s">
        <v>15</v>
      </c>
      <c r="K107" s="2">
        <v>65</v>
      </c>
    </row>
    <row r="108" spans="1:11" x14ac:dyDescent="0.25">
      <c r="A108" t="s">
        <v>84</v>
      </c>
      <c r="C108">
        <v>14936854</v>
      </c>
      <c r="D108" t="s">
        <v>147</v>
      </c>
      <c r="E108" t="s">
        <v>117</v>
      </c>
      <c r="F108">
        <v>50094441</v>
      </c>
      <c r="G108" s="1">
        <v>46023</v>
      </c>
      <c r="H108" s="1">
        <v>46048</v>
      </c>
      <c r="I108" t="s">
        <v>14</v>
      </c>
      <c r="J108" t="s">
        <v>15</v>
      </c>
      <c r="K108" s="2">
        <v>65</v>
      </c>
    </row>
    <row r="109" spans="1:11" x14ac:dyDescent="0.25">
      <c r="A109" t="s">
        <v>84</v>
      </c>
      <c r="C109">
        <v>14936854</v>
      </c>
      <c r="D109" t="s">
        <v>148</v>
      </c>
      <c r="E109" t="s">
        <v>149</v>
      </c>
      <c r="F109">
        <v>50116504</v>
      </c>
      <c r="G109" s="1">
        <v>46023</v>
      </c>
      <c r="H109" s="1">
        <v>46048</v>
      </c>
      <c r="I109" t="s">
        <v>14</v>
      </c>
      <c r="J109" t="s">
        <v>15</v>
      </c>
      <c r="K109" s="2">
        <v>65</v>
      </c>
    </row>
    <row r="110" spans="1:11" x14ac:dyDescent="0.25">
      <c r="A110" t="s">
        <v>84</v>
      </c>
      <c r="C110">
        <v>14936854</v>
      </c>
      <c r="D110" t="s">
        <v>150</v>
      </c>
      <c r="E110" t="s">
        <v>144</v>
      </c>
      <c r="F110">
        <v>50113928</v>
      </c>
      <c r="G110" s="1">
        <v>46023</v>
      </c>
      <c r="H110" s="1">
        <v>46048</v>
      </c>
      <c r="I110" t="s">
        <v>14</v>
      </c>
      <c r="J110" t="s">
        <v>15</v>
      </c>
      <c r="K110" s="2">
        <v>65</v>
      </c>
    </row>
    <row r="111" spans="1:11" x14ac:dyDescent="0.25">
      <c r="A111" t="s">
        <v>84</v>
      </c>
      <c r="C111">
        <v>14936854</v>
      </c>
      <c r="D111" t="s">
        <v>151</v>
      </c>
      <c r="E111" t="s">
        <v>129</v>
      </c>
      <c r="F111">
        <v>50115070</v>
      </c>
      <c r="G111" s="1">
        <v>46023</v>
      </c>
      <c r="H111" s="1">
        <v>46048</v>
      </c>
      <c r="I111" t="s">
        <v>14</v>
      </c>
      <c r="J111" t="s">
        <v>15</v>
      </c>
      <c r="K111" s="2">
        <v>65</v>
      </c>
    </row>
    <row r="112" spans="1:11" x14ac:dyDescent="0.25">
      <c r="A112" t="s">
        <v>84</v>
      </c>
      <c r="C112">
        <v>14936854</v>
      </c>
      <c r="D112" t="s">
        <v>21</v>
      </c>
      <c r="E112" t="s">
        <v>102</v>
      </c>
      <c r="F112">
        <v>50028796</v>
      </c>
      <c r="G112" s="1">
        <v>46023</v>
      </c>
      <c r="H112" s="1">
        <v>46048</v>
      </c>
      <c r="I112" t="s">
        <v>14</v>
      </c>
      <c r="J112" t="s">
        <v>15</v>
      </c>
      <c r="K112" s="2">
        <v>65</v>
      </c>
    </row>
    <row r="113" spans="1:11" x14ac:dyDescent="0.25">
      <c r="A113" t="s">
        <v>84</v>
      </c>
      <c r="C113">
        <v>14936854</v>
      </c>
      <c r="D113" t="s">
        <v>152</v>
      </c>
      <c r="E113" t="s">
        <v>91</v>
      </c>
      <c r="F113">
        <v>50087438</v>
      </c>
      <c r="G113" s="1">
        <v>46023</v>
      </c>
      <c r="H113" s="1">
        <v>46048</v>
      </c>
      <c r="I113" t="s">
        <v>14</v>
      </c>
      <c r="J113" t="s">
        <v>15</v>
      </c>
      <c r="K113" s="2">
        <v>65</v>
      </c>
    </row>
    <row r="114" spans="1:11" x14ac:dyDescent="0.25">
      <c r="A114" t="s">
        <v>84</v>
      </c>
      <c r="C114">
        <v>14936854</v>
      </c>
      <c r="D114" t="s">
        <v>105</v>
      </c>
      <c r="E114" t="s">
        <v>153</v>
      </c>
      <c r="F114">
        <v>50092742</v>
      </c>
      <c r="G114" s="1">
        <v>46023</v>
      </c>
      <c r="H114" s="1">
        <v>46048</v>
      </c>
      <c r="I114" t="s">
        <v>14</v>
      </c>
      <c r="J114" t="s">
        <v>15</v>
      </c>
      <c r="K114" s="2">
        <v>65</v>
      </c>
    </row>
    <row r="115" spans="1:11" x14ac:dyDescent="0.25">
      <c r="A115" t="s">
        <v>84</v>
      </c>
      <c r="C115">
        <v>14936854</v>
      </c>
      <c r="D115" t="s">
        <v>154</v>
      </c>
      <c r="E115" t="s">
        <v>155</v>
      </c>
      <c r="F115">
        <v>50109846</v>
      </c>
      <c r="G115" s="1">
        <v>46023</v>
      </c>
      <c r="H115" s="1">
        <v>46048</v>
      </c>
      <c r="I115" t="s">
        <v>14</v>
      </c>
      <c r="J115" t="s">
        <v>15</v>
      </c>
      <c r="K115" s="2">
        <v>65</v>
      </c>
    </row>
    <row r="116" spans="1:11" x14ac:dyDescent="0.25">
      <c r="A116" t="s">
        <v>84</v>
      </c>
      <c r="C116">
        <v>14936854</v>
      </c>
      <c r="D116" t="s">
        <v>156</v>
      </c>
      <c r="E116" t="s">
        <v>157</v>
      </c>
      <c r="F116">
        <v>50116699</v>
      </c>
      <c r="G116" s="1">
        <v>46023</v>
      </c>
      <c r="H116" s="1">
        <v>46048</v>
      </c>
      <c r="I116" t="s">
        <v>14</v>
      </c>
      <c r="J116" t="s">
        <v>15</v>
      </c>
      <c r="K116" s="2">
        <v>65</v>
      </c>
    </row>
    <row r="117" spans="1:11" x14ac:dyDescent="0.25">
      <c r="A117" t="s">
        <v>84</v>
      </c>
      <c r="C117">
        <v>14936854</v>
      </c>
      <c r="D117" t="s">
        <v>105</v>
      </c>
      <c r="E117" t="s">
        <v>99</v>
      </c>
      <c r="F117">
        <v>50117584</v>
      </c>
      <c r="G117" s="1">
        <v>46023</v>
      </c>
      <c r="H117" s="1">
        <v>46048</v>
      </c>
      <c r="I117" t="s">
        <v>14</v>
      </c>
      <c r="J117" t="s">
        <v>15</v>
      </c>
      <c r="K117" s="2">
        <v>65</v>
      </c>
    </row>
    <row r="118" spans="1:11" x14ac:dyDescent="0.25">
      <c r="A118" t="s">
        <v>84</v>
      </c>
      <c r="C118">
        <v>14936854</v>
      </c>
      <c r="D118" t="s">
        <v>150</v>
      </c>
      <c r="E118" t="s">
        <v>158</v>
      </c>
      <c r="F118">
        <v>50127011</v>
      </c>
      <c r="G118" s="1">
        <v>46023</v>
      </c>
      <c r="H118" s="1">
        <v>46048</v>
      </c>
      <c r="I118" t="s">
        <v>14</v>
      </c>
      <c r="J118" t="s">
        <v>15</v>
      </c>
      <c r="K118" s="2">
        <v>65</v>
      </c>
    </row>
    <row r="119" spans="1:11" x14ac:dyDescent="0.25">
      <c r="A119" t="s">
        <v>84</v>
      </c>
      <c r="C119">
        <v>14936854</v>
      </c>
      <c r="D119" t="s">
        <v>159</v>
      </c>
      <c r="E119" t="s">
        <v>160</v>
      </c>
      <c r="F119">
        <v>50031760</v>
      </c>
      <c r="G119" s="1">
        <v>46023</v>
      </c>
      <c r="H119" s="1">
        <v>46048</v>
      </c>
      <c r="I119" t="s">
        <v>14</v>
      </c>
      <c r="J119" t="s">
        <v>15</v>
      </c>
      <c r="K119" s="2">
        <v>65</v>
      </c>
    </row>
    <row r="120" spans="1:11" x14ac:dyDescent="0.25">
      <c r="A120" t="s">
        <v>84</v>
      </c>
      <c r="C120">
        <v>14936854</v>
      </c>
      <c r="D120" t="s">
        <v>161</v>
      </c>
      <c r="E120" t="s">
        <v>157</v>
      </c>
      <c r="F120">
        <v>50031564</v>
      </c>
      <c r="G120" s="1">
        <v>46023</v>
      </c>
      <c r="H120" s="1">
        <v>46048</v>
      </c>
      <c r="I120" t="s">
        <v>14</v>
      </c>
      <c r="J120" t="s">
        <v>15</v>
      </c>
      <c r="K120" s="2">
        <v>65</v>
      </c>
    </row>
    <row r="121" spans="1:11" x14ac:dyDescent="0.25">
      <c r="A121" t="s">
        <v>162</v>
      </c>
      <c r="C121">
        <v>16865242</v>
      </c>
      <c r="D121" t="s">
        <v>163</v>
      </c>
      <c r="E121" t="s">
        <v>164</v>
      </c>
      <c r="F121">
        <v>50088501</v>
      </c>
      <c r="G121" s="1">
        <v>46023</v>
      </c>
      <c r="H121" s="1">
        <v>46048</v>
      </c>
      <c r="I121" t="s">
        <v>14</v>
      </c>
      <c r="J121" t="s">
        <v>15</v>
      </c>
      <c r="K121" s="2">
        <v>65</v>
      </c>
    </row>
    <row r="122" spans="1:11" x14ac:dyDescent="0.25">
      <c r="A122" t="s">
        <v>162</v>
      </c>
      <c r="C122">
        <v>16865242</v>
      </c>
      <c r="D122" t="s">
        <v>165</v>
      </c>
      <c r="E122" t="s">
        <v>166</v>
      </c>
      <c r="F122">
        <v>50097708</v>
      </c>
      <c r="G122" s="1">
        <v>46023</v>
      </c>
      <c r="H122" s="1">
        <v>46048</v>
      </c>
      <c r="I122" t="s">
        <v>14</v>
      </c>
      <c r="J122" t="s">
        <v>15</v>
      </c>
      <c r="K122" s="2">
        <v>65</v>
      </c>
    </row>
    <row r="123" spans="1:11" x14ac:dyDescent="0.25">
      <c r="A123" t="s">
        <v>162</v>
      </c>
      <c r="C123">
        <v>16865242</v>
      </c>
      <c r="D123" t="s">
        <v>167</v>
      </c>
      <c r="E123" t="s">
        <v>168</v>
      </c>
      <c r="F123">
        <v>50006181</v>
      </c>
      <c r="G123" s="1">
        <v>46023</v>
      </c>
      <c r="H123" s="1">
        <v>46048</v>
      </c>
      <c r="I123" t="s">
        <v>14</v>
      </c>
      <c r="J123" t="s">
        <v>15</v>
      </c>
      <c r="K123" s="2">
        <v>65</v>
      </c>
    </row>
    <row r="124" spans="1:11" x14ac:dyDescent="0.25">
      <c r="A124" t="s">
        <v>162</v>
      </c>
      <c r="C124">
        <v>16865242</v>
      </c>
      <c r="D124" t="s">
        <v>169</v>
      </c>
      <c r="E124" t="s">
        <v>170</v>
      </c>
      <c r="F124">
        <v>50120876</v>
      </c>
      <c r="G124" s="1">
        <v>46023</v>
      </c>
      <c r="H124" s="1">
        <v>46048</v>
      </c>
      <c r="I124" t="s">
        <v>14</v>
      </c>
      <c r="J124" t="s">
        <v>15</v>
      </c>
      <c r="K124" s="2">
        <v>65</v>
      </c>
    </row>
    <row r="125" spans="1:11" x14ac:dyDescent="0.25">
      <c r="A125" t="s">
        <v>162</v>
      </c>
      <c r="C125">
        <v>16865242</v>
      </c>
      <c r="D125" t="s">
        <v>171</v>
      </c>
      <c r="E125" t="s">
        <v>172</v>
      </c>
      <c r="F125">
        <v>50124783</v>
      </c>
      <c r="G125" s="1">
        <v>46023</v>
      </c>
      <c r="H125" s="1">
        <v>46048</v>
      </c>
      <c r="I125" t="s">
        <v>14</v>
      </c>
      <c r="J125" t="s">
        <v>15</v>
      </c>
      <c r="K125" s="2">
        <v>65</v>
      </c>
    </row>
    <row r="126" spans="1:11" x14ac:dyDescent="0.25">
      <c r="A126" t="s">
        <v>162</v>
      </c>
      <c r="C126">
        <v>16865242</v>
      </c>
      <c r="D126" t="s">
        <v>107</v>
      </c>
      <c r="E126" t="s">
        <v>173</v>
      </c>
      <c r="F126">
        <v>50122482</v>
      </c>
      <c r="G126" s="1">
        <v>46023</v>
      </c>
      <c r="H126" s="1">
        <v>46048</v>
      </c>
      <c r="I126" t="s">
        <v>14</v>
      </c>
      <c r="J126" t="s">
        <v>15</v>
      </c>
      <c r="K126" s="2">
        <v>65</v>
      </c>
    </row>
    <row r="127" spans="1:11" x14ac:dyDescent="0.25">
      <c r="A127" t="s">
        <v>49</v>
      </c>
      <c r="C127">
        <v>15278437</v>
      </c>
      <c r="D127" t="s">
        <v>21</v>
      </c>
      <c r="E127" t="s">
        <v>174</v>
      </c>
      <c r="F127">
        <v>51001355</v>
      </c>
      <c r="G127" s="1">
        <v>46023</v>
      </c>
      <c r="H127" s="1">
        <v>46048</v>
      </c>
      <c r="I127" t="s">
        <v>175</v>
      </c>
      <c r="J127" t="s">
        <v>176</v>
      </c>
      <c r="K127" s="2">
        <v>-432</v>
      </c>
    </row>
    <row r="128" spans="1:11" x14ac:dyDescent="0.25">
      <c r="A128" t="s">
        <v>49</v>
      </c>
      <c r="C128">
        <v>15278437</v>
      </c>
      <c r="D128" t="s">
        <v>21</v>
      </c>
      <c r="E128" t="s">
        <v>174</v>
      </c>
      <c r="F128">
        <v>51001355</v>
      </c>
      <c r="G128" s="1">
        <v>46023</v>
      </c>
      <c r="H128" s="1">
        <v>46048</v>
      </c>
      <c r="I128" t="s">
        <v>175</v>
      </c>
      <c r="J128" t="s">
        <v>177</v>
      </c>
      <c r="K128" s="2">
        <v>-65</v>
      </c>
    </row>
    <row r="129" spans="1:11" x14ac:dyDescent="0.25">
      <c r="A129" t="s">
        <v>23</v>
      </c>
      <c r="C129">
        <v>17425766</v>
      </c>
      <c r="D129" t="s">
        <v>30</v>
      </c>
      <c r="E129" t="s">
        <v>31</v>
      </c>
      <c r="F129">
        <v>50122208</v>
      </c>
      <c r="G129" s="1">
        <v>46023</v>
      </c>
      <c r="H129" s="1">
        <v>46048</v>
      </c>
      <c r="I129" t="s">
        <v>14</v>
      </c>
      <c r="J129" t="s">
        <v>20</v>
      </c>
      <c r="K129" s="2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BF0D-FEEE-4993-B08A-8D63714E5A4D}">
  <dimension ref="A1:O312"/>
  <sheetViews>
    <sheetView tabSelected="1" topLeftCell="A232" workbookViewId="0">
      <selection activeCell="E2" sqref="E2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1.140625" bestFit="1" customWidth="1"/>
    <col min="4" max="4" width="13.42578125" bestFit="1" customWidth="1"/>
    <col min="5" max="5" width="22.42578125" bestFit="1" customWidth="1"/>
    <col min="6" max="6" width="10.85546875" bestFit="1" customWidth="1"/>
    <col min="7" max="7" width="15.28515625" customWidth="1"/>
    <col min="8" max="8" width="11.85546875" bestFit="1" customWidth="1"/>
    <col min="9" max="9" width="14.7109375" bestFit="1" customWidth="1"/>
    <col min="10" max="10" width="16.7109375" bestFit="1" customWidth="1"/>
    <col min="11" max="11" width="70.140625" bestFit="1" customWidth="1"/>
    <col min="12" max="12" width="15.7109375" bestFit="1" customWidth="1"/>
    <col min="13" max="13" width="24" bestFit="1" customWidth="1"/>
  </cols>
  <sheetData>
    <row r="1" spans="1:15" x14ac:dyDescent="0.25">
      <c r="A1" s="9" t="s">
        <v>49</v>
      </c>
      <c r="B1" s="9">
        <v>15278437</v>
      </c>
      <c r="C1" s="9" t="s">
        <v>224</v>
      </c>
      <c r="D1" s="9" t="s">
        <v>225</v>
      </c>
      <c r="E1" s="9" t="str">
        <f>CONCATENATE(C1," ",D1)</f>
        <v>Alberta Gehron</v>
      </c>
      <c r="F1" s="9">
        <v>50119233</v>
      </c>
      <c r="G1" s="9" t="str">
        <f>CONCATENATE(F1,2)</f>
        <v>501192332</v>
      </c>
      <c r="H1" s="10">
        <v>46023</v>
      </c>
      <c r="I1" s="10">
        <v>46052</v>
      </c>
      <c r="J1" s="9" t="s">
        <v>14</v>
      </c>
      <c r="K1" s="9" t="s">
        <v>288</v>
      </c>
      <c r="L1" s="11">
        <v>-391</v>
      </c>
      <c r="M1" s="9" t="s">
        <v>293</v>
      </c>
      <c r="N1" s="9" t="s">
        <v>296</v>
      </c>
      <c r="O1" s="9"/>
    </row>
    <row r="2" spans="1:15" s="9" customFormat="1" x14ac:dyDescent="0.25">
      <c r="A2" s="3" t="s">
        <v>300</v>
      </c>
      <c r="B2" s="3">
        <v>20411454</v>
      </c>
      <c r="C2" s="3" t="s">
        <v>224</v>
      </c>
      <c r="D2" s="3" t="s">
        <v>225</v>
      </c>
      <c r="E2" s="3" t="str">
        <f>CONCATENATE(C2," ",D2)</f>
        <v>Alberta Gehron</v>
      </c>
      <c r="F2" s="3">
        <v>50119233</v>
      </c>
      <c r="G2" s="3" t="str">
        <f>CONCATENATE(F2,"OVR")</f>
        <v>50119233OVR</v>
      </c>
      <c r="H2" s="4">
        <v>46023</v>
      </c>
      <c r="I2" s="4">
        <v>46052</v>
      </c>
      <c r="J2" s="3" t="s">
        <v>14</v>
      </c>
      <c r="K2" s="3" t="s">
        <v>179</v>
      </c>
      <c r="L2" s="5">
        <v>-65</v>
      </c>
      <c r="M2" s="3" t="s">
        <v>292</v>
      </c>
      <c r="N2" s="3"/>
      <c r="O2" s="3"/>
    </row>
    <row r="3" spans="1:15" s="6" customFormat="1" x14ac:dyDescent="0.25">
      <c r="A3" s="3" t="s">
        <v>300</v>
      </c>
      <c r="B3" s="3">
        <v>20411454</v>
      </c>
      <c r="C3" s="3" t="s">
        <v>284</v>
      </c>
      <c r="D3" s="3" t="s">
        <v>285</v>
      </c>
      <c r="E3" s="3" t="str">
        <f>CONCATENATE(C3," ",D3)</f>
        <v>Alice Cabot-West</v>
      </c>
      <c r="F3" s="3">
        <v>50007608</v>
      </c>
      <c r="G3" s="3" t="str">
        <f>CONCATENATE(F3,"OVR")</f>
        <v>50007608OVR</v>
      </c>
      <c r="H3" s="4">
        <v>46023</v>
      </c>
      <c r="I3" s="4">
        <v>46052</v>
      </c>
      <c r="J3" s="3" t="s">
        <v>14</v>
      </c>
      <c r="K3" s="3" t="s">
        <v>179</v>
      </c>
      <c r="L3" s="5">
        <v>-65</v>
      </c>
      <c r="M3" s="3" t="s">
        <v>292</v>
      </c>
      <c r="N3" s="3"/>
      <c r="O3" s="3"/>
    </row>
    <row r="4" spans="1:15" s="9" customFormat="1" x14ac:dyDescent="0.25">
      <c r="A4" s="3" t="s">
        <v>300</v>
      </c>
      <c r="B4" s="3">
        <v>20411454</v>
      </c>
      <c r="C4" s="3" t="s">
        <v>165</v>
      </c>
      <c r="D4" s="3" t="s">
        <v>166</v>
      </c>
      <c r="E4" s="3" t="str">
        <f>CONCATENATE(C4," ",D4)</f>
        <v>Andrea Jordan</v>
      </c>
      <c r="F4" s="3">
        <v>50097708</v>
      </c>
      <c r="G4" s="3" t="str">
        <f>CONCATENATE(F4,"OVR")</f>
        <v>50097708OVR</v>
      </c>
      <c r="H4" s="4">
        <v>46023</v>
      </c>
      <c r="I4" s="4">
        <v>46048</v>
      </c>
      <c r="J4" s="3" t="s">
        <v>14</v>
      </c>
      <c r="K4" s="3" t="s">
        <v>15</v>
      </c>
      <c r="L4" s="5">
        <v>65</v>
      </c>
      <c r="M4" s="3" t="s">
        <v>292</v>
      </c>
      <c r="N4" s="3"/>
      <c r="O4" s="3"/>
    </row>
    <row r="5" spans="1:15" s="9" customFormat="1" x14ac:dyDescent="0.25">
      <c r="A5" s="9" t="s">
        <v>49</v>
      </c>
      <c r="B5" s="9">
        <v>15278437</v>
      </c>
      <c r="C5" s="9" t="s">
        <v>216</v>
      </c>
      <c r="D5" s="9" t="s">
        <v>217</v>
      </c>
      <c r="E5" s="9" t="str">
        <f>CONCATENATE(C5," ",D5)</f>
        <v>Anita Papadopoulos</v>
      </c>
      <c r="F5" s="9">
        <v>50139969</v>
      </c>
      <c r="G5" s="9" t="str">
        <f>CONCATENATE(F5,2)</f>
        <v>501399692</v>
      </c>
      <c r="H5" s="10">
        <v>46023</v>
      </c>
      <c r="I5" s="10">
        <v>46052</v>
      </c>
      <c r="J5" s="9" t="s">
        <v>14</v>
      </c>
      <c r="K5" s="9" t="s">
        <v>288</v>
      </c>
      <c r="L5" s="11">
        <v>-391</v>
      </c>
      <c r="M5" s="9" t="s">
        <v>293</v>
      </c>
      <c r="N5" s="9" t="s">
        <v>296</v>
      </c>
    </row>
    <row r="6" spans="1:15" s="9" customFormat="1" x14ac:dyDescent="0.25">
      <c r="A6" s="3" t="s">
        <v>300</v>
      </c>
      <c r="B6" s="3">
        <v>20411454</v>
      </c>
      <c r="C6" s="3" t="s">
        <v>216</v>
      </c>
      <c r="D6" s="3" t="s">
        <v>217</v>
      </c>
      <c r="E6" s="3" t="str">
        <f>CONCATENATE(C6," ",D6)</f>
        <v>Anita Papadopoulos</v>
      </c>
      <c r="F6" s="3">
        <v>50139969</v>
      </c>
      <c r="G6" s="3" t="str">
        <f>CONCATENATE(F6,"OVR")</f>
        <v>50139969OVR</v>
      </c>
      <c r="H6" s="4">
        <v>46023</v>
      </c>
      <c r="I6" s="4">
        <v>46052</v>
      </c>
      <c r="J6" s="3" t="s">
        <v>14</v>
      </c>
      <c r="K6" s="3" t="s">
        <v>179</v>
      </c>
      <c r="L6" s="5">
        <v>-65</v>
      </c>
      <c r="M6" s="3" t="s">
        <v>292</v>
      </c>
      <c r="N6" s="3"/>
      <c r="O6" s="3"/>
    </row>
    <row r="7" spans="1:15" s="9" customFormat="1" x14ac:dyDescent="0.25">
      <c r="A7" s="3" t="s">
        <v>300</v>
      </c>
      <c r="B7" s="3">
        <v>20411454</v>
      </c>
      <c r="C7" s="3" t="s">
        <v>94</v>
      </c>
      <c r="D7" s="3" t="s">
        <v>95</v>
      </c>
      <c r="E7" s="3" t="str">
        <f>CONCATENATE(C7," ",D7)</f>
        <v>Ann Sansom</v>
      </c>
      <c r="F7" s="3">
        <v>50134162</v>
      </c>
      <c r="G7" s="3" t="str">
        <f>CONCATENATE(F7,"OVR")</f>
        <v>50134162OVR</v>
      </c>
      <c r="H7" s="4">
        <v>46023</v>
      </c>
      <c r="I7" s="4">
        <v>46048</v>
      </c>
      <c r="J7" s="3" t="s">
        <v>14</v>
      </c>
      <c r="K7" s="3" t="s">
        <v>15</v>
      </c>
      <c r="L7" s="5">
        <v>65</v>
      </c>
      <c r="M7" s="3" t="s">
        <v>292</v>
      </c>
      <c r="N7" s="3"/>
      <c r="O7" s="3"/>
    </row>
    <row r="8" spans="1:15" s="9" customFormat="1" x14ac:dyDescent="0.25">
      <c r="A8" s="3" t="s">
        <v>300</v>
      </c>
      <c r="B8" s="3">
        <v>20411454</v>
      </c>
      <c r="C8" s="3" t="s">
        <v>159</v>
      </c>
      <c r="D8" s="3" t="s">
        <v>160</v>
      </c>
      <c r="E8" s="3" t="str">
        <f>CONCATENATE(C8," ",D8)</f>
        <v>Annemarie Bratton</v>
      </c>
      <c r="F8" s="3">
        <v>50031760</v>
      </c>
      <c r="G8" s="3" t="str">
        <f>CONCATENATE(F8,"OVR")</f>
        <v>50031760OVR</v>
      </c>
      <c r="H8" s="4">
        <v>46023</v>
      </c>
      <c r="I8" s="4">
        <v>46048</v>
      </c>
      <c r="J8" s="3" t="s">
        <v>14</v>
      </c>
      <c r="K8" s="3" t="s">
        <v>15</v>
      </c>
      <c r="L8" s="5">
        <v>65</v>
      </c>
      <c r="M8" s="3" t="s">
        <v>292</v>
      </c>
      <c r="N8" s="3"/>
      <c r="O8" s="3"/>
    </row>
    <row r="9" spans="1:15" s="9" customFormat="1" x14ac:dyDescent="0.25">
      <c r="A9" s="3" t="s">
        <v>300</v>
      </c>
      <c r="B9" s="3">
        <v>20411454</v>
      </c>
      <c r="C9" s="3" t="s">
        <v>105</v>
      </c>
      <c r="D9" s="3" t="s">
        <v>153</v>
      </c>
      <c r="E9" s="3" t="str">
        <f>CONCATENATE(C9," ",D9)</f>
        <v>Anthony Logan</v>
      </c>
      <c r="F9" s="3">
        <v>50092742</v>
      </c>
      <c r="G9" s="3" t="str">
        <f>CONCATENATE(F9,"OVR")</f>
        <v>50092742OVR</v>
      </c>
      <c r="H9" s="4">
        <v>46023</v>
      </c>
      <c r="I9" s="4">
        <v>46048</v>
      </c>
      <c r="J9" s="3" t="s">
        <v>14</v>
      </c>
      <c r="K9" s="3" t="s">
        <v>15</v>
      </c>
      <c r="L9" s="5">
        <v>65</v>
      </c>
      <c r="M9" s="3" t="s">
        <v>292</v>
      </c>
      <c r="N9" s="3"/>
      <c r="O9" s="3"/>
    </row>
    <row r="10" spans="1:15" s="9" customFormat="1" x14ac:dyDescent="0.25">
      <c r="A10" s="3" t="s">
        <v>300</v>
      </c>
      <c r="B10" s="3">
        <v>20411454</v>
      </c>
      <c r="C10" s="3" t="s">
        <v>105</v>
      </c>
      <c r="D10" s="3" t="s">
        <v>99</v>
      </c>
      <c r="E10" s="3" t="str">
        <f>CONCATENATE(C10," ",D10)</f>
        <v>Anthony Martino</v>
      </c>
      <c r="F10" s="3">
        <v>50117584</v>
      </c>
      <c r="G10" s="3" t="str">
        <f>CONCATENATE(F10,"OVR")</f>
        <v>50117584OVR</v>
      </c>
      <c r="H10" s="4">
        <v>46023</v>
      </c>
      <c r="I10" s="4">
        <v>46048</v>
      </c>
      <c r="J10" s="3" t="s">
        <v>14</v>
      </c>
      <c r="K10" s="3" t="s">
        <v>15</v>
      </c>
      <c r="L10" s="5">
        <v>65</v>
      </c>
      <c r="M10" s="3" t="s">
        <v>292</v>
      </c>
      <c r="N10" s="3"/>
      <c r="O10" s="3"/>
    </row>
    <row r="11" spans="1:15" s="9" customFormat="1" x14ac:dyDescent="0.25">
      <c r="A11" s="3" t="s">
        <v>300</v>
      </c>
      <c r="B11" s="3">
        <v>20411454</v>
      </c>
      <c r="C11" s="3" t="s">
        <v>105</v>
      </c>
      <c r="D11" s="3" t="s">
        <v>106</v>
      </c>
      <c r="E11" s="3" t="str">
        <f>CONCATENATE(C11," ",D11)</f>
        <v>Anthony Santello</v>
      </c>
      <c r="F11" s="3">
        <v>50092745</v>
      </c>
      <c r="G11" s="3" t="str">
        <f>CONCATENATE(F11,"OVR")</f>
        <v>50092745OVR</v>
      </c>
      <c r="H11" s="4">
        <v>46023</v>
      </c>
      <c r="I11" s="4">
        <v>46048</v>
      </c>
      <c r="J11" s="3" t="s">
        <v>14</v>
      </c>
      <c r="K11" s="3" t="s">
        <v>15</v>
      </c>
      <c r="L11" s="5">
        <v>65</v>
      </c>
      <c r="M11" s="3" t="s">
        <v>292</v>
      </c>
      <c r="N11" s="3"/>
      <c r="O11" s="3"/>
    </row>
    <row r="12" spans="1:15" s="9" customFormat="1" x14ac:dyDescent="0.25">
      <c r="A12" s="9" t="s">
        <v>23</v>
      </c>
      <c r="B12" s="9">
        <v>17425766</v>
      </c>
      <c r="C12" s="9" t="s">
        <v>48</v>
      </c>
      <c r="D12" s="9" t="s">
        <v>25</v>
      </c>
      <c r="E12" s="9" t="str">
        <f>CONCATENATE(C12," ",D12)</f>
        <v>Antoinette Iatarola</v>
      </c>
      <c r="F12" s="9">
        <v>50004548</v>
      </c>
      <c r="G12" s="9" t="str">
        <f>CONCATENATE(F12,2)</f>
        <v>500045482</v>
      </c>
      <c r="H12" s="10">
        <v>46023</v>
      </c>
      <c r="I12" s="10">
        <v>46048</v>
      </c>
      <c r="J12" s="9" t="s">
        <v>14</v>
      </c>
      <c r="K12" s="9" t="s">
        <v>20</v>
      </c>
      <c r="L12" s="11">
        <v>391</v>
      </c>
      <c r="M12" s="9" t="s">
        <v>293</v>
      </c>
      <c r="N12" s="9" t="s">
        <v>296</v>
      </c>
    </row>
    <row r="13" spans="1:15" s="9" customFormat="1" x14ac:dyDescent="0.25">
      <c r="A13" s="3" t="s">
        <v>300</v>
      </c>
      <c r="B13" s="3">
        <v>20411454</v>
      </c>
      <c r="C13" s="3" t="s">
        <v>48</v>
      </c>
      <c r="D13" s="3" t="s">
        <v>25</v>
      </c>
      <c r="E13" s="3" t="str">
        <f>CONCATENATE(C13," ",D13)</f>
        <v>Antoinette Iatarola</v>
      </c>
      <c r="F13" s="3">
        <v>50004548</v>
      </c>
      <c r="G13" s="3" t="str">
        <f>CONCATENATE(F13,"OVR")</f>
        <v>50004548OVR</v>
      </c>
      <c r="H13" s="4">
        <v>46023</v>
      </c>
      <c r="I13" s="4">
        <v>46048</v>
      </c>
      <c r="J13" s="3" t="s">
        <v>14</v>
      </c>
      <c r="K13" s="3" t="s">
        <v>15</v>
      </c>
      <c r="L13" s="5">
        <v>65</v>
      </c>
      <c r="M13" s="3" t="s">
        <v>292</v>
      </c>
      <c r="N13" s="3"/>
      <c r="O13" s="3"/>
    </row>
    <row r="14" spans="1:15" s="9" customFormat="1" x14ac:dyDescent="0.25">
      <c r="A14" s="3" t="s">
        <v>300</v>
      </c>
      <c r="B14" s="3">
        <v>20411454</v>
      </c>
      <c r="C14" s="3" t="s">
        <v>167</v>
      </c>
      <c r="D14" s="3" t="s">
        <v>168</v>
      </c>
      <c r="E14" s="3" t="str">
        <f>CONCATENATE(C14," ",D14)</f>
        <v>Audrey Bevilacqua</v>
      </c>
      <c r="F14" s="3">
        <v>50006181</v>
      </c>
      <c r="G14" s="3" t="str">
        <f>CONCATENATE(F14,"OVR")</f>
        <v>50006181OVR</v>
      </c>
      <c r="H14" s="4">
        <v>46023</v>
      </c>
      <c r="I14" s="4">
        <v>46048</v>
      </c>
      <c r="J14" s="3" t="s">
        <v>14</v>
      </c>
      <c r="K14" s="3" t="s">
        <v>15</v>
      </c>
      <c r="L14" s="5">
        <v>65</v>
      </c>
      <c r="M14" s="3" t="s">
        <v>292</v>
      </c>
      <c r="N14" s="3"/>
      <c r="O14" s="3"/>
    </row>
    <row r="15" spans="1:15" s="9" customFormat="1" x14ac:dyDescent="0.25">
      <c r="A15" s="9" t="s">
        <v>23</v>
      </c>
      <c r="B15" s="9">
        <v>17425766</v>
      </c>
      <c r="C15" s="9" t="s">
        <v>26</v>
      </c>
      <c r="D15" s="9" t="s">
        <v>27</v>
      </c>
      <c r="E15" s="9" t="str">
        <f>CONCATENATE(C15," ",D15)</f>
        <v>Barbara Dunbar</v>
      </c>
      <c r="F15" s="9">
        <v>50096471</v>
      </c>
      <c r="G15" s="9" t="str">
        <f>CONCATENATE(F15,2)</f>
        <v>500964712</v>
      </c>
      <c r="H15" s="10">
        <v>46023</v>
      </c>
      <c r="I15" s="10">
        <v>46048</v>
      </c>
      <c r="J15" s="9" t="s">
        <v>14</v>
      </c>
      <c r="K15" s="9" t="s">
        <v>20</v>
      </c>
      <c r="L15" s="11">
        <v>391</v>
      </c>
      <c r="M15" s="9" t="s">
        <v>293</v>
      </c>
      <c r="N15" s="9" t="s">
        <v>296</v>
      </c>
    </row>
    <row r="16" spans="1:15" s="9" customFormat="1" x14ac:dyDescent="0.25">
      <c r="A16" s="3" t="s">
        <v>300</v>
      </c>
      <c r="B16" s="3">
        <v>20411454</v>
      </c>
      <c r="C16" s="3" t="s">
        <v>26</v>
      </c>
      <c r="D16" s="3" t="s">
        <v>27</v>
      </c>
      <c r="E16" s="3" t="str">
        <f>CONCATENATE(C16," ",D16)</f>
        <v>Barbara Dunbar</v>
      </c>
      <c r="F16" s="3">
        <v>50096471</v>
      </c>
      <c r="G16" s="3" t="str">
        <f>CONCATENATE(F16,"OVR")</f>
        <v>50096471OVR</v>
      </c>
      <c r="H16" s="4">
        <v>46023</v>
      </c>
      <c r="I16" s="4">
        <v>46048</v>
      </c>
      <c r="J16" s="3" t="s">
        <v>14</v>
      </c>
      <c r="K16" s="3" t="s">
        <v>15</v>
      </c>
      <c r="L16" s="5">
        <v>65</v>
      </c>
      <c r="M16" s="3" t="s">
        <v>292</v>
      </c>
      <c r="N16" s="3"/>
      <c r="O16" s="3"/>
    </row>
    <row r="17" spans="1:15" s="9" customFormat="1" x14ac:dyDescent="0.25">
      <c r="A17" s="9" t="s">
        <v>49</v>
      </c>
      <c r="B17" s="9">
        <v>15278437</v>
      </c>
      <c r="C17" s="9" t="s">
        <v>26</v>
      </c>
      <c r="D17" s="9" t="s">
        <v>60</v>
      </c>
      <c r="E17" s="9" t="str">
        <f>CONCATENATE(C17," ",D17)</f>
        <v>Barbara Fabiano</v>
      </c>
      <c r="F17" s="9">
        <v>50037688</v>
      </c>
      <c r="G17" s="9" t="str">
        <f>CONCATENATE(F17,2)</f>
        <v>500376882</v>
      </c>
      <c r="H17" s="10">
        <v>46023</v>
      </c>
      <c r="I17" s="10">
        <v>46048</v>
      </c>
      <c r="J17" s="9" t="s">
        <v>14</v>
      </c>
      <c r="K17" s="9" t="s">
        <v>20</v>
      </c>
      <c r="L17" s="11">
        <v>391</v>
      </c>
      <c r="M17" s="9" t="s">
        <v>293</v>
      </c>
      <c r="N17" s="9" t="s">
        <v>296</v>
      </c>
    </row>
    <row r="18" spans="1:15" s="9" customFormat="1" x14ac:dyDescent="0.25">
      <c r="A18" s="3" t="s">
        <v>300</v>
      </c>
      <c r="B18" s="3">
        <v>20411454</v>
      </c>
      <c r="C18" s="3" t="s">
        <v>26</v>
      </c>
      <c r="D18" s="3" t="s">
        <v>60</v>
      </c>
      <c r="E18" s="3" t="str">
        <f>CONCATENATE(C18," ",D18)</f>
        <v>Barbara Fabiano</v>
      </c>
      <c r="F18" s="3">
        <v>50037688</v>
      </c>
      <c r="G18" s="3" t="str">
        <f>CONCATENATE(F18,"OVR")</f>
        <v>50037688OVR</v>
      </c>
      <c r="H18" s="4">
        <v>46023</v>
      </c>
      <c r="I18" s="4">
        <v>46048</v>
      </c>
      <c r="J18" s="3" t="s">
        <v>14</v>
      </c>
      <c r="K18" s="3" t="s">
        <v>15</v>
      </c>
      <c r="L18" s="5">
        <v>65</v>
      </c>
      <c r="M18" s="3" t="s">
        <v>292</v>
      </c>
      <c r="N18" s="3"/>
      <c r="O18" s="3"/>
    </row>
    <row r="19" spans="1:15" s="9" customFormat="1" x14ac:dyDescent="0.25">
      <c r="A19" s="9" t="s">
        <v>49</v>
      </c>
      <c r="B19" s="9">
        <v>15278437</v>
      </c>
      <c r="C19" s="9" t="s">
        <v>26</v>
      </c>
      <c r="D19" s="9" t="s">
        <v>52</v>
      </c>
      <c r="E19" s="9" t="str">
        <f>CONCATENATE(C19," ",D19)</f>
        <v>Barbara Peterson</v>
      </c>
      <c r="F19" s="9">
        <v>50093169</v>
      </c>
      <c r="G19" s="9" t="str">
        <f>CONCATENATE(F19,2)</f>
        <v>500931692</v>
      </c>
      <c r="H19" s="10">
        <v>46023</v>
      </c>
      <c r="I19" s="10">
        <v>46052</v>
      </c>
      <c r="J19" s="9" t="s">
        <v>14</v>
      </c>
      <c r="K19" s="9" t="s">
        <v>288</v>
      </c>
      <c r="L19" s="11">
        <v>-391</v>
      </c>
      <c r="M19" s="9" t="s">
        <v>293</v>
      </c>
      <c r="N19" s="9" t="s">
        <v>296</v>
      </c>
    </row>
    <row r="20" spans="1:15" s="9" customFormat="1" x14ac:dyDescent="0.25">
      <c r="A20" s="9" t="s">
        <v>49</v>
      </c>
      <c r="B20" s="9">
        <v>15278437</v>
      </c>
      <c r="C20" s="9" t="s">
        <v>26</v>
      </c>
      <c r="D20" s="9" t="s">
        <v>52</v>
      </c>
      <c r="E20" s="9" t="str">
        <f>CONCATENATE(C20," ",D20)</f>
        <v>Barbara Peterson</v>
      </c>
      <c r="F20" s="9">
        <v>50093169</v>
      </c>
      <c r="G20" s="9" t="str">
        <f>CONCATENATE(F20,2)</f>
        <v>500931692</v>
      </c>
      <c r="H20" s="10">
        <v>46023</v>
      </c>
      <c r="I20" s="10">
        <v>46048</v>
      </c>
      <c r="J20" s="9" t="s">
        <v>14</v>
      </c>
      <c r="K20" s="9" t="s">
        <v>20</v>
      </c>
      <c r="L20" s="11">
        <v>391</v>
      </c>
      <c r="M20" s="9" t="s">
        <v>293</v>
      </c>
      <c r="N20" s="9" t="s">
        <v>296</v>
      </c>
    </row>
    <row r="21" spans="1:15" s="9" customFormat="1" x14ac:dyDescent="0.25">
      <c r="A21" s="3" t="s">
        <v>300</v>
      </c>
      <c r="B21" s="3">
        <v>20411454</v>
      </c>
      <c r="C21" s="3" t="s">
        <v>26</v>
      </c>
      <c r="D21" s="3" t="s">
        <v>52</v>
      </c>
      <c r="E21" s="3" t="str">
        <f>CONCATENATE(C21," ",D21)</f>
        <v>Barbara Peterson</v>
      </c>
      <c r="F21" s="3">
        <v>50093169</v>
      </c>
      <c r="G21" s="3" t="str">
        <f>CONCATENATE(F21,"OVR")</f>
        <v>50093169OVR</v>
      </c>
      <c r="H21" s="4">
        <v>46023</v>
      </c>
      <c r="I21" s="4">
        <v>46052</v>
      </c>
      <c r="J21" s="3" t="s">
        <v>14</v>
      </c>
      <c r="K21" s="3" t="s">
        <v>179</v>
      </c>
      <c r="L21" s="5">
        <v>-65</v>
      </c>
      <c r="M21" s="3" t="s">
        <v>292</v>
      </c>
      <c r="N21" s="3"/>
      <c r="O21" s="3"/>
    </row>
    <row r="22" spans="1:15" s="9" customFormat="1" x14ac:dyDescent="0.25">
      <c r="A22" s="3" t="s">
        <v>300</v>
      </c>
      <c r="B22" s="3">
        <v>20411454</v>
      </c>
      <c r="C22" s="3" t="s">
        <v>26</v>
      </c>
      <c r="D22" s="3" t="s">
        <v>52</v>
      </c>
      <c r="E22" s="3" t="str">
        <f>CONCATENATE(C22," ",D22)</f>
        <v>Barbara Peterson</v>
      </c>
      <c r="F22" s="3">
        <v>50093169</v>
      </c>
      <c r="G22" s="3" t="str">
        <f>CONCATENATE(F22,"OVR")</f>
        <v>50093169OVR</v>
      </c>
      <c r="H22" s="4">
        <v>46023</v>
      </c>
      <c r="I22" s="4">
        <v>46048</v>
      </c>
      <c r="J22" s="3" t="s">
        <v>14</v>
      </c>
      <c r="K22" s="3" t="s">
        <v>15</v>
      </c>
      <c r="L22" s="5">
        <v>65</v>
      </c>
      <c r="M22" s="3" t="s">
        <v>292</v>
      </c>
      <c r="N22" s="3"/>
      <c r="O22" s="3"/>
    </row>
    <row r="23" spans="1:15" s="9" customFormat="1" x14ac:dyDescent="0.25">
      <c r="A23" s="9" t="s">
        <v>49</v>
      </c>
      <c r="B23" s="9">
        <v>15278437</v>
      </c>
      <c r="C23" s="9" t="s">
        <v>183</v>
      </c>
      <c r="D23" s="9" t="s">
        <v>184</v>
      </c>
      <c r="E23" s="9" t="str">
        <f>CONCATENATE(C23," ",D23)</f>
        <v>Bertram Gottbrecht</v>
      </c>
      <c r="F23" s="9">
        <v>50095438</v>
      </c>
      <c r="G23" s="9" t="str">
        <f>CONCATENATE(F23,2)</f>
        <v>500954382</v>
      </c>
      <c r="H23" s="10">
        <v>46023</v>
      </c>
      <c r="I23" s="10">
        <v>46052</v>
      </c>
      <c r="J23" s="9" t="s">
        <v>14</v>
      </c>
      <c r="K23" s="9" t="s">
        <v>288</v>
      </c>
      <c r="L23" s="11">
        <v>-391</v>
      </c>
      <c r="M23" s="9" t="s">
        <v>293</v>
      </c>
      <c r="N23" s="9" t="s">
        <v>296</v>
      </c>
    </row>
    <row r="24" spans="1:15" s="9" customFormat="1" x14ac:dyDescent="0.25">
      <c r="A24" s="3" t="s">
        <v>300</v>
      </c>
      <c r="B24" s="3">
        <v>20411454</v>
      </c>
      <c r="C24" s="3" t="s">
        <v>183</v>
      </c>
      <c r="D24" s="3" t="s">
        <v>184</v>
      </c>
      <c r="E24" s="3" t="str">
        <f>CONCATENATE(C24," ",D24)</f>
        <v>Bertram Gottbrecht</v>
      </c>
      <c r="F24" s="3">
        <v>50095438</v>
      </c>
      <c r="G24" s="3" t="str">
        <f>CONCATENATE(F24,"OVR")</f>
        <v>50095438OVR</v>
      </c>
      <c r="H24" s="4">
        <v>46023</v>
      </c>
      <c r="I24" s="4">
        <v>46052</v>
      </c>
      <c r="J24" s="3" t="s">
        <v>14</v>
      </c>
      <c r="K24" s="3" t="s">
        <v>179</v>
      </c>
      <c r="L24" s="5">
        <v>-65</v>
      </c>
      <c r="M24" s="3" t="s">
        <v>292</v>
      </c>
      <c r="N24" s="3"/>
      <c r="O24" s="3"/>
    </row>
    <row r="25" spans="1:15" s="9" customFormat="1" x14ac:dyDescent="0.25">
      <c r="A25" s="3" t="s">
        <v>300</v>
      </c>
      <c r="B25" s="3">
        <v>20411454</v>
      </c>
      <c r="C25" s="3" t="s">
        <v>147</v>
      </c>
      <c r="D25" s="3" t="s">
        <v>117</v>
      </c>
      <c r="E25" s="3" t="str">
        <f>CONCATENATE(C25," ",D25)</f>
        <v>Betty Lou Herchenroder</v>
      </c>
      <c r="F25" s="3">
        <v>50094441</v>
      </c>
      <c r="G25" s="3" t="str">
        <f>CONCATENATE(F25,"OVR")</f>
        <v>50094441OVR</v>
      </c>
      <c r="H25" s="4">
        <v>46023</v>
      </c>
      <c r="I25" s="4">
        <v>46048</v>
      </c>
      <c r="J25" s="3" t="s">
        <v>14</v>
      </c>
      <c r="K25" s="3" t="s">
        <v>15</v>
      </c>
      <c r="L25" s="5">
        <v>65</v>
      </c>
      <c r="M25" s="3" t="s">
        <v>292</v>
      </c>
      <c r="N25" s="3"/>
      <c r="O25" s="3"/>
    </row>
    <row r="26" spans="1:15" s="9" customFormat="1" x14ac:dyDescent="0.25">
      <c r="A26" s="3" t="s">
        <v>300</v>
      </c>
      <c r="B26" s="3">
        <v>20411454</v>
      </c>
      <c r="C26" s="3" t="s">
        <v>154</v>
      </c>
      <c r="D26" s="3" t="s">
        <v>155</v>
      </c>
      <c r="E26" s="3" t="str">
        <f>CONCATENATE(C26," ",D26)</f>
        <v>Beverly Bagby</v>
      </c>
      <c r="F26" s="3">
        <v>50109846</v>
      </c>
      <c r="G26" s="3" t="str">
        <f>CONCATENATE(F26,"OVR")</f>
        <v>50109846OVR</v>
      </c>
      <c r="H26" s="4">
        <v>46023</v>
      </c>
      <c r="I26" s="4">
        <v>46048</v>
      </c>
      <c r="J26" s="3" t="s">
        <v>14</v>
      </c>
      <c r="K26" s="3" t="s">
        <v>15</v>
      </c>
      <c r="L26" s="5">
        <v>65</v>
      </c>
      <c r="M26" s="3" t="s">
        <v>292</v>
      </c>
      <c r="N26" s="3"/>
      <c r="O26" s="3"/>
    </row>
    <row r="27" spans="1:15" s="9" customFormat="1" x14ac:dyDescent="0.25">
      <c r="A27" s="3" t="s">
        <v>300</v>
      </c>
      <c r="B27" s="3">
        <v>20411454</v>
      </c>
      <c r="C27" s="3" t="s">
        <v>130</v>
      </c>
      <c r="D27" s="3" t="s">
        <v>131</v>
      </c>
      <c r="E27" s="3" t="str">
        <f>CONCATENATE(C27," ",D27)</f>
        <v>Brad Bernstein</v>
      </c>
      <c r="F27" s="3">
        <v>50113757</v>
      </c>
      <c r="G27" s="3" t="str">
        <f>CONCATENATE(F27,"OVR")</f>
        <v>50113757OVR</v>
      </c>
      <c r="H27" s="4">
        <v>46023</v>
      </c>
      <c r="I27" s="4">
        <v>46052</v>
      </c>
      <c r="J27" s="3" t="s">
        <v>14</v>
      </c>
      <c r="K27" s="3" t="s">
        <v>179</v>
      </c>
      <c r="L27" s="5">
        <v>-65</v>
      </c>
      <c r="M27" s="3" t="s">
        <v>292</v>
      </c>
      <c r="N27" s="3"/>
      <c r="O27" s="3"/>
    </row>
    <row r="28" spans="1:15" s="9" customFormat="1" x14ac:dyDescent="0.25">
      <c r="A28" s="3" t="s">
        <v>300</v>
      </c>
      <c r="B28" s="3">
        <v>20411454</v>
      </c>
      <c r="C28" s="3" t="s">
        <v>130</v>
      </c>
      <c r="D28" s="3" t="s">
        <v>131</v>
      </c>
      <c r="E28" s="3" t="str">
        <f>CONCATENATE(C28," ",D28)</f>
        <v>Brad Bernstein</v>
      </c>
      <c r="F28" s="3">
        <v>50113757</v>
      </c>
      <c r="G28" s="3" t="str">
        <f>CONCATENATE(F28,"OVR")</f>
        <v>50113757OVR</v>
      </c>
      <c r="H28" s="4">
        <v>46023</v>
      </c>
      <c r="I28" s="4">
        <v>46048</v>
      </c>
      <c r="J28" s="3" t="s">
        <v>14</v>
      </c>
      <c r="K28" s="3" t="s">
        <v>15</v>
      </c>
      <c r="L28" s="5">
        <v>65</v>
      </c>
      <c r="M28" s="3" t="s">
        <v>292</v>
      </c>
      <c r="N28" s="3"/>
      <c r="O28" s="3"/>
    </row>
    <row r="29" spans="1:15" s="9" customFormat="1" x14ac:dyDescent="0.25">
      <c r="A29" s="9" t="s">
        <v>49</v>
      </c>
      <c r="B29" s="9">
        <v>15278437</v>
      </c>
      <c r="C29" s="9" t="s">
        <v>240</v>
      </c>
      <c r="D29" s="9" t="s">
        <v>52</v>
      </c>
      <c r="E29" s="9" t="str">
        <f>CONCATENATE(C29," ",D29)</f>
        <v>Brett Peterson</v>
      </c>
      <c r="F29" s="9">
        <v>50032412</v>
      </c>
      <c r="G29" s="9" t="str">
        <f>CONCATENATE(F29,2)</f>
        <v>500324122</v>
      </c>
      <c r="H29" s="10">
        <v>46023</v>
      </c>
      <c r="I29" s="10">
        <v>46052</v>
      </c>
      <c r="J29" s="9" t="s">
        <v>14</v>
      </c>
      <c r="K29" s="9" t="s">
        <v>288</v>
      </c>
      <c r="L29" s="11">
        <v>-391</v>
      </c>
      <c r="M29" s="9" t="s">
        <v>293</v>
      </c>
      <c r="N29" s="9" t="s">
        <v>296</v>
      </c>
    </row>
    <row r="30" spans="1:15" s="9" customFormat="1" x14ac:dyDescent="0.25">
      <c r="A30" s="3" t="s">
        <v>300</v>
      </c>
      <c r="B30" s="3">
        <v>20411454</v>
      </c>
      <c r="C30" s="3" t="s">
        <v>240</v>
      </c>
      <c r="D30" s="3" t="s">
        <v>52</v>
      </c>
      <c r="E30" s="3" t="str">
        <f>CONCATENATE(C30," ",D30)</f>
        <v>Brett Peterson</v>
      </c>
      <c r="F30" s="3">
        <v>50032412</v>
      </c>
      <c r="G30" s="3" t="str">
        <f>CONCATENATE(F30,"OVR")</f>
        <v>50032412OVR</v>
      </c>
      <c r="H30" s="4">
        <v>46023</v>
      </c>
      <c r="I30" s="4">
        <v>46052</v>
      </c>
      <c r="J30" s="3" t="s">
        <v>14</v>
      </c>
      <c r="K30" s="3" t="s">
        <v>179</v>
      </c>
      <c r="L30" s="5">
        <v>-65</v>
      </c>
      <c r="M30" s="3" t="s">
        <v>292</v>
      </c>
      <c r="N30" s="3"/>
      <c r="O30" s="3"/>
    </row>
    <row r="31" spans="1:15" s="9" customFormat="1" x14ac:dyDescent="0.25">
      <c r="A31" s="9" t="s">
        <v>49</v>
      </c>
      <c r="B31" s="9">
        <v>15278437</v>
      </c>
      <c r="C31" s="9" t="s">
        <v>257</v>
      </c>
      <c r="D31" s="9" t="s">
        <v>230</v>
      </c>
      <c r="E31" s="9" t="str">
        <f>CONCATENATE(C31," ",D31)</f>
        <v>Caleb Fox</v>
      </c>
      <c r="F31" s="9">
        <v>50015216</v>
      </c>
      <c r="G31" s="9" t="str">
        <f>CONCATENATE(F31,2)</f>
        <v>500152162</v>
      </c>
      <c r="H31" s="10">
        <v>46023</v>
      </c>
      <c r="I31" s="10">
        <v>46052</v>
      </c>
      <c r="J31" s="9" t="s">
        <v>14</v>
      </c>
      <c r="K31" s="9" t="s">
        <v>288</v>
      </c>
      <c r="L31" s="11">
        <v>-391</v>
      </c>
      <c r="M31" s="9" t="s">
        <v>293</v>
      </c>
      <c r="N31" s="9" t="s">
        <v>296</v>
      </c>
    </row>
    <row r="32" spans="1:15" s="9" customFormat="1" x14ac:dyDescent="0.25">
      <c r="A32" s="3" t="s">
        <v>300</v>
      </c>
      <c r="B32" s="3">
        <v>20411454</v>
      </c>
      <c r="C32" s="3" t="s">
        <v>257</v>
      </c>
      <c r="D32" s="3" t="s">
        <v>230</v>
      </c>
      <c r="E32" s="3" t="str">
        <f>CONCATENATE(C32," ",D32)</f>
        <v>Caleb Fox</v>
      </c>
      <c r="F32" s="3">
        <v>50015216</v>
      </c>
      <c r="G32" s="3" t="str">
        <f>CONCATENATE(F32,"OVR")</f>
        <v>50015216OVR</v>
      </c>
      <c r="H32" s="4">
        <v>46023</v>
      </c>
      <c r="I32" s="4">
        <v>46052</v>
      </c>
      <c r="J32" s="3" t="s">
        <v>14</v>
      </c>
      <c r="K32" s="3" t="s">
        <v>179</v>
      </c>
      <c r="L32" s="5">
        <v>-65</v>
      </c>
      <c r="M32" s="3" t="s">
        <v>292</v>
      </c>
      <c r="N32" s="3"/>
      <c r="O32" s="3"/>
    </row>
    <row r="33" spans="1:15" s="9" customFormat="1" x14ac:dyDescent="0.25">
      <c r="A33" s="9" t="s">
        <v>23</v>
      </c>
      <c r="B33" s="9">
        <v>17425766</v>
      </c>
      <c r="C33" s="9" t="s">
        <v>42</v>
      </c>
      <c r="D33" s="9" t="s">
        <v>43</v>
      </c>
      <c r="E33" s="9" t="str">
        <f>CONCATENATE(C33," ",D33)</f>
        <v>Caral Birch</v>
      </c>
      <c r="F33" s="9">
        <v>50032237</v>
      </c>
      <c r="G33" s="9" t="str">
        <f>CONCATENATE(F33,2)</f>
        <v>500322372</v>
      </c>
      <c r="H33" s="10">
        <v>46023</v>
      </c>
      <c r="I33" s="10">
        <v>46048</v>
      </c>
      <c r="J33" s="9" t="s">
        <v>14</v>
      </c>
      <c r="K33" s="9" t="s">
        <v>20</v>
      </c>
      <c r="L33" s="11">
        <v>391</v>
      </c>
      <c r="M33" s="9" t="s">
        <v>293</v>
      </c>
      <c r="N33" s="9" t="s">
        <v>296</v>
      </c>
    </row>
    <row r="34" spans="1:15" s="9" customFormat="1" x14ac:dyDescent="0.25">
      <c r="A34" s="3" t="s">
        <v>300</v>
      </c>
      <c r="B34" s="3">
        <v>20411454</v>
      </c>
      <c r="C34" s="3" t="s">
        <v>42</v>
      </c>
      <c r="D34" s="3" t="s">
        <v>43</v>
      </c>
      <c r="E34" s="3" t="str">
        <f>CONCATENATE(C34," ",D34)</f>
        <v>Caral Birch</v>
      </c>
      <c r="F34" s="3">
        <v>50032237</v>
      </c>
      <c r="G34" s="3" t="str">
        <f>CONCATENATE(F34,"OVR")</f>
        <v>50032237OVR</v>
      </c>
      <c r="H34" s="4">
        <v>46023</v>
      </c>
      <c r="I34" s="4">
        <v>46048</v>
      </c>
      <c r="J34" s="3" t="s">
        <v>14</v>
      </c>
      <c r="K34" s="3" t="s">
        <v>15</v>
      </c>
      <c r="L34" s="5">
        <v>65</v>
      </c>
      <c r="M34" s="3" t="s">
        <v>292</v>
      </c>
      <c r="N34" s="3"/>
      <c r="O34" s="3"/>
    </row>
    <row r="35" spans="1:15" s="9" customFormat="1" x14ac:dyDescent="0.25">
      <c r="A35" s="3" t="s">
        <v>300</v>
      </c>
      <c r="B35" s="3">
        <v>20411454</v>
      </c>
      <c r="C35" s="3" t="s">
        <v>111</v>
      </c>
      <c r="D35" s="3" t="s">
        <v>112</v>
      </c>
      <c r="E35" s="3" t="str">
        <f>CONCATENATE(C35," ",D35)</f>
        <v>Carmina Dillow</v>
      </c>
      <c r="F35" s="3">
        <v>50058106</v>
      </c>
      <c r="G35" s="3" t="str">
        <f>CONCATENATE(F35,"OVR")</f>
        <v>50058106OVR</v>
      </c>
      <c r="H35" s="4">
        <v>46023</v>
      </c>
      <c r="I35" s="4">
        <v>46048</v>
      </c>
      <c r="J35" s="3" t="s">
        <v>14</v>
      </c>
      <c r="K35" s="3" t="s">
        <v>15</v>
      </c>
      <c r="L35" s="5">
        <v>65</v>
      </c>
      <c r="M35" s="3" t="s">
        <v>292</v>
      </c>
      <c r="N35" s="3"/>
      <c r="O35" s="3"/>
    </row>
    <row r="36" spans="1:15" s="9" customFormat="1" x14ac:dyDescent="0.25">
      <c r="A36" s="3" t="s">
        <v>300</v>
      </c>
      <c r="B36" s="3">
        <v>20411454</v>
      </c>
      <c r="C36" s="3" t="s">
        <v>126</v>
      </c>
      <c r="D36" s="3" t="s">
        <v>226</v>
      </c>
      <c r="E36" s="3" t="str">
        <f>CONCATENATE(C36," ",D36)</f>
        <v>Carol Bonsted</v>
      </c>
      <c r="F36" s="3">
        <v>50085907</v>
      </c>
      <c r="G36" s="3" t="str">
        <f>CONCATENATE(F36,"OVR")</f>
        <v>50085907OVR</v>
      </c>
      <c r="H36" s="4">
        <v>45658</v>
      </c>
      <c r="I36" s="4">
        <v>46052</v>
      </c>
      <c r="J36" s="3" t="s">
        <v>14</v>
      </c>
      <c r="K36" s="3" t="s">
        <v>179</v>
      </c>
      <c r="L36" s="5">
        <v>-65</v>
      </c>
      <c r="M36" s="3" t="s">
        <v>292</v>
      </c>
      <c r="N36" s="3"/>
      <c r="O36" s="3"/>
    </row>
    <row r="37" spans="1:15" s="9" customFormat="1" x14ac:dyDescent="0.25">
      <c r="A37" s="9" t="s">
        <v>23</v>
      </c>
      <c r="B37" s="9">
        <v>17425766</v>
      </c>
      <c r="C37" s="9" t="s">
        <v>126</v>
      </c>
      <c r="D37" s="9" t="s">
        <v>180</v>
      </c>
      <c r="E37" s="9" t="str">
        <f>CONCATENATE(C37," ",D37)</f>
        <v>Carol Guire</v>
      </c>
      <c r="F37" s="9">
        <v>50012777</v>
      </c>
      <c r="G37" s="9" t="str">
        <f>CONCATENATE(F37,2)</f>
        <v>500127772</v>
      </c>
      <c r="H37" s="10">
        <v>46023</v>
      </c>
      <c r="I37" s="10">
        <v>46052</v>
      </c>
      <c r="J37" s="9" t="s">
        <v>14</v>
      </c>
      <c r="K37" s="9" t="s">
        <v>288</v>
      </c>
      <c r="L37" s="11">
        <v>-391</v>
      </c>
      <c r="M37" s="9" t="s">
        <v>293</v>
      </c>
      <c r="N37" s="9" t="s">
        <v>296</v>
      </c>
    </row>
    <row r="38" spans="1:15" s="9" customFormat="1" x14ac:dyDescent="0.25">
      <c r="A38" s="3" t="s">
        <v>300</v>
      </c>
      <c r="B38" s="3">
        <v>20411454</v>
      </c>
      <c r="C38" s="3" t="s">
        <v>126</v>
      </c>
      <c r="D38" s="3" t="s">
        <v>180</v>
      </c>
      <c r="E38" s="3" t="str">
        <f>CONCATENATE(C38," ",D38)</f>
        <v>Carol Guire</v>
      </c>
      <c r="F38" s="3">
        <v>50012777</v>
      </c>
      <c r="G38" s="3" t="str">
        <f>CONCATENATE(F38,"OVR")</f>
        <v>50012777OVR</v>
      </c>
      <c r="H38" s="4">
        <v>46023</v>
      </c>
      <c r="I38" s="4">
        <v>46052</v>
      </c>
      <c r="J38" s="3" t="s">
        <v>14</v>
      </c>
      <c r="K38" s="3" t="s">
        <v>179</v>
      </c>
      <c r="L38" s="5">
        <v>-65</v>
      </c>
      <c r="M38" s="3" t="s">
        <v>292</v>
      </c>
      <c r="N38" s="3"/>
      <c r="O38" s="3"/>
    </row>
    <row r="39" spans="1:15" s="9" customFormat="1" x14ac:dyDescent="0.25">
      <c r="A39" s="3" t="s">
        <v>300</v>
      </c>
      <c r="B39" s="3">
        <v>20411454</v>
      </c>
      <c r="C39" s="3" t="s">
        <v>126</v>
      </c>
      <c r="D39" s="3" t="s">
        <v>127</v>
      </c>
      <c r="E39" s="3" t="str">
        <f>CONCATENATE(C39," ",D39)</f>
        <v>Carol O'Connor</v>
      </c>
      <c r="F39" s="3">
        <v>50128929</v>
      </c>
      <c r="G39" s="3" t="str">
        <f>CONCATENATE(F39,"OVR")</f>
        <v>50128929OVR</v>
      </c>
      <c r="H39" s="4">
        <v>46023</v>
      </c>
      <c r="I39" s="4">
        <v>46048</v>
      </c>
      <c r="J39" s="3" t="s">
        <v>14</v>
      </c>
      <c r="K39" s="3" t="s">
        <v>15</v>
      </c>
      <c r="L39" s="5">
        <v>65</v>
      </c>
      <c r="M39" s="3" t="s">
        <v>292</v>
      </c>
      <c r="N39" s="3"/>
      <c r="O39" s="3"/>
    </row>
    <row r="40" spans="1:15" s="9" customFormat="1" x14ac:dyDescent="0.25">
      <c r="A40" s="3" t="s">
        <v>300</v>
      </c>
      <c r="B40" s="3">
        <v>20411454</v>
      </c>
      <c r="C40" s="3" t="s">
        <v>134</v>
      </c>
      <c r="D40" s="3" t="s">
        <v>135</v>
      </c>
      <c r="E40" s="3" t="str">
        <f>CONCATENATE(C40," ",D40)</f>
        <v>Carolyn Zakarija</v>
      </c>
      <c r="F40" s="3">
        <v>50127919</v>
      </c>
      <c r="G40" s="3" t="str">
        <f>CONCATENATE(F40,"OVR")</f>
        <v>50127919OVR</v>
      </c>
      <c r="H40" s="4">
        <v>46023</v>
      </c>
      <c r="I40" s="4">
        <v>46052</v>
      </c>
      <c r="J40" s="3" t="s">
        <v>14</v>
      </c>
      <c r="K40" s="3" t="s">
        <v>179</v>
      </c>
      <c r="L40" s="5">
        <v>-65</v>
      </c>
      <c r="M40" s="3" t="s">
        <v>292</v>
      </c>
      <c r="N40" s="3"/>
      <c r="O40" s="3"/>
    </row>
    <row r="41" spans="1:15" s="9" customFormat="1" x14ac:dyDescent="0.25">
      <c r="A41" s="3" t="s">
        <v>300</v>
      </c>
      <c r="B41" s="3">
        <v>20411454</v>
      </c>
      <c r="C41" s="3" t="s">
        <v>134</v>
      </c>
      <c r="D41" s="3" t="s">
        <v>135</v>
      </c>
      <c r="E41" s="3" t="str">
        <f>CONCATENATE(C41," ",D41)</f>
        <v>Carolyn Zakarija</v>
      </c>
      <c r="F41" s="3">
        <v>50127919</v>
      </c>
      <c r="G41" s="3" t="str">
        <f>CONCATENATE(F41,"OVR")</f>
        <v>50127919OVR</v>
      </c>
      <c r="H41" s="4">
        <v>46023</v>
      </c>
      <c r="I41" s="4">
        <v>46048</v>
      </c>
      <c r="J41" s="3" t="s">
        <v>14</v>
      </c>
      <c r="K41" s="3" t="s">
        <v>15</v>
      </c>
      <c r="L41" s="5">
        <v>65</v>
      </c>
      <c r="M41" s="3" t="s">
        <v>292</v>
      </c>
      <c r="N41" s="3"/>
      <c r="O41" s="3"/>
    </row>
    <row r="42" spans="1:15" s="9" customFormat="1" x14ac:dyDescent="0.25">
      <c r="A42" s="9" t="s">
        <v>49</v>
      </c>
      <c r="B42" s="9">
        <v>15278437</v>
      </c>
      <c r="C42" s="9" t="s">
        <v>269</v>
      </c>
      <c r="D42" s="9" t="s">
        <v>270</v>
      </c>
      <c r="E42" s="9" t="str">
        <f>CONCATENATE(C42," ",D42)</f>
        <v>Carroll Shields</v>
      </c>
      <c r="F42" s="9">
        <v>50088380</v>
      </c>
      <c r="G42" s="9" t="str">
        <f>CONCATENATE(F42,2)</f>
        <v>500883802</v>
      </c>
      <c r="H42" s="10">
        <v>46023</v>
      </c>
      <c r="I42" s="10">
        <v>46052</v>
      </c>
      <c r="J42" s="9" t="s">
        <v>14</v>
      </c>
      <c r="K42" s="9" t="s">
        <v>288</v>
      </c>
      <c r="L42" s="11">
        <v>-391</v>
      </c>
      <c r="M42" s="9" t="s">
        <v>293</v>
      </c>
      <c r="N42" s="9" t="s">
        <v>296</v>
      </c>
    </row>
    <row r="43" spans="1:15" s="9" customFormat="1" x14ac:dyDescent="0.25">
      <c r="A43" s="3" t="s">
        <v>300</v>
      </c>
      <c r="B43" s="3">
        <v>20411454</v>
      </c>
      <c r="C43" s="3" t="s">
        <v>269</v>
      </c>
      <c r="D43" s="3" t="s">
        <v>270</v>
      </c>
      <c r="E43" s="3" t="str">
        <f>CONCATENATE(C43," ",D43)</f>
        <v>Carroll Shields</v>
      </c>
      <c r="F43" s="3">
        <v>50088380</v>
      </c>
      <c r="G43" s="3" t="str">
        <f>CONCATENATE(F43,"OVR")</f>
        <v>50088380OVR</v>
      </c>
      <c r="H43" s="4">
        <v>46023</v>
      </c>
      <c r="I43" s="4">
        <v>46052</v>
      </c>
      <c r="J43" s="3" t="s">
        <v>14</v>
      </c>
      <c r="K43" s="3" t="s">
        <v>179</v>
      </c>
      <c r="L43" s="5">
        <v>-65</v>
      </c>
      <c r="M43" s="3" t="s">
        <v>292</v>
      </c>
      <c r="N43" s="3"/>
      <c r="O43" s="3"/>
    </row>
    <row r="44" spans="1:15" s="9" customFormat="1" x14ac:dyDescent="0.25">
      <c r="A44" s="9" t="s">
        <v>49</v>
      </c>
      <c r="B44" s="9">
        <v>15278437</v>
      </c>
      <c r="C44" s="9" t="s">
        <v>243</v>
      </c>
      <c r="D44" s="9" t="s">
        <v>187</v>
      </c>
      <c r="E44" s="9" t="str">
        <f>CONCATENATE(C44," ",D44)</f>
        <v>Cheryl Donnelly</v>
      </c>
      <c r="F44" s="9">
        <v>50017301</v>
      </c>
      <c r="G44" s="9" t="str">
        <f>CONCATENATE(F44,2)</f>
        <v>500173012</v>
      </c>
      <c r="H44" s="10">
        <v>46023</v>
      </c>
      <c r="I44" s="10">
        <v>46052</v>
      </c>
      <c r="J44" s="9" t="s">
        <v>14</v>
      </c>
      <c r="K44" s="9" t="s">
        <v>288</v>
      </c>
      <c r="L44" s="11">
        <v>-391</v>
      </c>
      <c r="M44" s="9" t="s">
        <v>293</v>
      </c>
      <c r="N44" s="9" t="s">
        <v>296</v>
      </c>
    </row>
    <row r="45" spans="1:15" s="9" customFormat="1" x14ac:dyDescent="0.25">
      <c r="A45" s="3" t="s">
        <v>300</v>
      </c>
      <c r="B45" s="3">
        <v>20411454</v>
      </c>
      <c r="C45" s="3" t="s">
        <v>243</v>
      </c>
      <c r="D45" s="3" t="s">
        <v>187</v>
      </c>
      <c r="E45" s="3" t="str">
        <f>CONCATENATE(C45," ",D45)</f>
        <v>Cheryl Donnelly</v>
      </c>
      <c r="F45" s="3">
        <v>50017301</v>
      </c>
      <c r="G45" s="3" t="str">
        <f>CONCATENATE(F45,"OVR")</f>
        <v>50017301OVR</v>
      </c>
      <c r="H45" s="4">
        <v>46023</v>
      </c>
      <c r="I45" s="4">
        <v>46052</v>
      </c>
      <c r="J45" s="3" t="s">
        <v>14</v>
      </c>
      <c r="K45" s="3" t="s">
        <v>179</v>
      </c>
      <c r="L45" s="5">
        <v>-65</v>
      </c>
      <c r="M45" s="3" t="s">
        <v>292</v>
      </c>
      <c r="N45" s="3"/>
      <c r="O45" s="3"/>
    </row>
    <row r="46" spans="1:15" s="9" customFormat="1" x14ac:dyDescent="0.25">
      <c r="A46" s="3" t="s">
        <v>300</v>
      </c>
      <c r="B46" s="3">
        <v>20411454</v>
      </c>
      <c r="C46" s="3" t="s">
        <v>122</v>
      </c>
      <c r="D46" s="3" t="s">
        <v>123</v>
      </c>
      <c r="E46" s="3" t="str">
        <f>CONCATENATE(C46," ",D46)</f>
        <v>Cherylanne Castro</v>
      </c>
      <c r="F46" s="3">
        <v>50087441</v>
      </c>
      <c r="G46" s="3" t="str">
        <f>CONCATENATE(F46,"OVR")</f>
        <v>50087441OVR</v>
      </c>
      <c r="H46" s="4">
        <v>46023</v>
      </c>
      <c r="I46" s="4">
        <v>46048</v>
      </c>
      <c r="J46" s="3" t="s">
        <v>14</v>
      </c>
      <c r="K46" s="3" t="s">
        <v>15</v>
      </c>
      <c r="L46" s="5">
        <v>65</v>
      </c>
      <c r="M46" s="3" t="s">
        <v>292</v>
      </c>
      <c r="N46" s="3"/>
      <c r="O46" s="3"/>
    </row>
    <row r="47" spans="1:15" s="9" customFormat="1" x14ac:dyDescent="0.25">
      <c r="A47" s="9" t="s">
        <v>23</v>
      </c>
      <c r="B47" s="9">
        <v>17425766</v>
      </c>
      <c r="C47" s="9" t="s">
        <v>46</v>
      </c>
      <c r="D47" s="9" t="s">
        <v>47</v>
      </c>
      <c r="E47" s="9" t="str">
        <f>CONCATENATE(C47," ",D47)</f>
        <v>Christine Piscitelli</v>
      </c>
      <c r="F47" s="9">
        <v>50119350</v>
      </c>
      <c r="G47" s="9" t="str">
        <f>CONCATENATE(F47,2)</f>
        <v>501193502</v>
      </c>
      <c r="H47" s="10">
        <v>46023</v>
      </c>
      <c r="I47" s="10">
        <v>46048</v>
      </c>
      <c r="J47" s="9" t="s">
        <v>14</v>
      </c>
      <c r="K47" s="9" t="s">
        <v>20</v>
      </c>
      <c r="L47" s="11">
        <v>391</v>
      </c>
      <c r="M47" s="9" t="s">
        <v>293</v>
      </c>
      <c r="N47" s="9" t="s">
        <v>296</v>
      </c>
    </row>
    <row r="48" spans="1:15" s="9" customFormat="1" x14ac:dyDescent="0.25">
      <c r="A48" s="3" t="s">
        <v>300</v>
      </c>
      <c r="B48" s="3">
        <v>20411454</v>
      </c>
      <c r="C48" s="3" t="s">
        <v>46</v>
      </c>
      <c r="D48" s="3" t="s">
        <v>47</v>
      </c>
      <c r="E48" s="3" t="str">
        <f>CONCATENATE(C48," ",D48)</f>
        <v>Christine Piscitelli</v>
      </c>
      <c r="F48" s="3">
        <v>50119350</v>
      </c>
      <c r="G48" s="3" t="str">
        <f>CONCATENATE(F48,"OVR")</f>
        <v>50119350OVR</v>
      </c>
      <c r="H48" s="4">
        <v>46023</v>
      </c>
      <c r="I48" s="4">
        <v>46048</v>
      </c>
      <c r="J48" s="3" t="s">
        <v>14</v>
      </c>
      <c r="K48" s="3" t="s">
        <v>15</v>
      </c>
      <c r="L48" s="5">
        <v>65</v>
      </c>
      <c r="M48" s="3" t="s">
        <v>292</v>
      </c>
      <c r="N48" s="3"/>
      <c r="O48" s="3"/>
    </row>
    <row r="49" spans="1:15" s="9" customFormat="1" x14ac:dyDescent="0.25">
      <c r="A49" s="3" t="s">
        <v>300</v>
      </c>
      <c r="B49" s="3">
        <v>20411454</v>
      </c>
      <c r="C49" s="3" t="s">
        <v>109</v>
      </c>
      <c r="D49" s="3" t="s">
        <v>110</v>
      </c>
      <c r="E49" s="3" t="str">
        <f>CONCATENATE(C49," ",D49)</f>
        <v>Claudia Bordo</v>
      </c>
      <c r="F49" s="3">
        <v>50110257</v>
      </c>
      <c r="G49" s="3" t="str">
        <f>CONCATENATE(F49,"OVR")</f>
        <v>50110257OVR</v>
      </c>
      <c r="H49" s="4">
        <v>46023</v>
      </c>
      <c r="I49" s="4">
        <v>46048</v>
      </c>
      <c r="J49" s="3" t="s">
        <v>14</v>
      </c>
      <c r="K49" s="3" t="s">
        <v>15</v>
      </c>
      <c r="L49" s="5">
        <v>65</v>
      </c>
      <c r="M49" s="3" t="s">
        <v>292</v>
      </c>
      <c r="N49" s="3"/>
      <c r="O49" s="3"/>
    </row>
    <row r="50" spans="1:15" s="9" customFormat="1" x14ac:dyDescent="0.25">
      <c r="A50" s="3" t="s">
        <v>300</v>
      </c>
      <c r="B50" s="3">
        <v>20411454</v>
      </c>
      <c r="C50" s="3" t="s">
        <v>103</v>
      </c>
      <c r="D50" s="3" t="s">
        <v>104</v>
      </c>
      <c r="E50" s="3" t="str">
        <f>CONCATENATE(C50," ",D50)</f>
        <v>Cynthia Anderson</v>
      </c>
      <c r="F50" s="3">
        <v>50013514</v>
      </c>
      <c r="G50" s="3" t="str">
        <f>CONCATENATE(F50,"OVR")</f>
        <v>50013514OVR</v>
      </c>
      <c r="H50" s="4">
        <v>46023</v>
      </c>
      <c r="I50" s="4">
        <v>46048</v>
      </c>
      <c r="J50" s="3" t="s">
        <v>14</v>
      </c>
      <c r="K50" s="3" t="s">
        <v>15</v>
      </c>
      <c r="L50" s="5">
        <v>65</v>
      </c>
      <c r="M50" s="3" t="s">
        <v>292</v>
      </c>
      <c r="N50" s="3"/>
      <c r="O50" s="3"/>
    </row>
    <row r="51" spans="1:15" s="9" customFormat="1" x14ac:dyDescent="0.25">
      <c r="A51" s="9" t="s">
        <v>11</v>
      </c>
      <c r="B51" s="9" t="s">
        <v>301</v>
      </c>
      <c r="C51" s="9" t="s">
        <v>21</v>
      </c>
      <c r="D51" s="9" t="s">
        <v>22</v>
      </c>
      <c r="E51" s="9" t="str">
        <f>CONCATENATE(C51," ",D51)</f>
        <v>David Bennett</v>
      </c>
      <c r="F51" s="9">
        <v>50138835</v>
      </c>
      <c r="G51" s="9" t="str">
        <f>CONCATENATE(F51,2)</f>
        <v>501388352</v>
      </c>
      <c r="H51" s="10">
        <v>46023</v>
      </c>
      <c r="I51" s="10">
        <v>46052</v>
      </c>
      <c r="J51" s="9" t="s">
        <v>14</v>
      </c>
      <c r="K51" s="9" t="s">
        <v>288</v>
      </c>
      <c r="L51" s="11">
        <v>-391</v>
      </c>
      <c r="M51" s="9" t="s">
        <v>293</v>
      </c>
      <c r="N51" s="9" t="s">
        <v>296</v>
      </c>
    </row>
    <row r="52" spans="1:15" s="9" customFormat="1" x14ac:dyDescent="0.25">
      <c r="A52" s="9" t="s">
        <v>11</v>
      </c>
      <c r="B52" s="9" t="s">
        <v>301</v>
      </c>
      <c r="C52" s="9" t="s">
        <v>21</v>
      </c>
      <c r="D52" s="9" t="s">
        <v>22</v>
      </c>
      <c r="E52" s="9" t="str">
        <f>CONCATENATE(C52," ",D52)</f>
        <v>David Bennett</v>
      </c>
      <c r="F52" s="9">
        <v>50138835</v>
      </c>
      <c r="G52" s="9" t="str">
        <f>CONCATENATE(F52,2)</f>
        <v>501388352</v>
      </c>
      <c r="H52" s="10">
        <v>46023</v>
      </c>
      <c r="I52" s="10">
        <v>46048</v>
      </c>
      <c r="J52" s="9" t="s">
        <v>14</v>
      </c>
      <c r="K52" s="9" t="s">
        <v>20</v>
      </c>
      <c r="L52" s="11">
        <v>391</v>
      </c>
      <c r="M52" s="9" t="s">
        <v>293</v>
      </c>
      <c r="N52" s="9" t="s">
        <v>296</v>
      </c>
    </row>
    <row r="53" spans="1:15" s="9" customFormat="1" x14ac:dyDescent="0.25">
      <c r="A53" s="3" t="s">
        <v>300</v>
      </c>
      <c r="B53" s="3">
        <v>20411454</v>
      </c>
      <c r="C53" s="3" t="s">
        <v>21</v>
      </c>
      <c r="D53" s="3" t="s">
        <v>22</v>
      </c>
      <c r="E53" s="3" t="str">
        <f>CONCATENATE(C53," ",D53)</f>
        <v>David Bennett</v>
      </c>
      <c r="F53" s="3">
        <v>50138835</v>
      </c>
      <c r="G53" s="3" t="str">
        <f>CONCATENATE(F53,"OVR")</f>
        <v>50138835OVR</v>
      </c>
      <c r="H53" s="4">
        <v>46023</v>
      </c>
      <c r="I53" s="4">
        <v>46052</v>
      </c>
      <c r="J53" s="3" t="s">
        <v>14</v>
      </c>
      <c r="K53" s="3" t="s">
        <v>179</v>
      </c>
      <c r="L53" s="5">
        <v>-65</v>
      </c>
      <c r="M53" s="3" t="s">
        <v>292</v>
      </c>
      <c r="N53" s="3"/>
      <c r="O53" s="3"/>
    </row>
    <row r="54" spans="1:15" s="9" customFormat="1" x14ac:dyDescent="0.25">
      <c r="A54" s="3" t="s">
        <v>300</v>
      </c>
      <c r="B54" s="3">
        <v>20411454</v>
      </c>
      <c r="C54" s="3" t="s">
        <v>21</v>
      </c>
      <c r="D54" s="3" t="s">
        <v>22</v>
      </c>
      <c r="E54" s="3" t="str">
        <f>CONCATENATE(C54," ",D54)</f>
        <v>David Bennett</v>
      </c>
      <c r="F54" s="3">
        <v>50138835</v>
      </c>
      <c r="G54" s="3" t="str">
        <f>CONCATENATE(F54,"OVR")</f>
        <v>50138835OVR</v>
      </c>
      <c r="H54" s="4">
        <v>46023</v>
      </c>
      <c r="I54" s="4">
        <v>46048</v>
      </c>
      <c r="J54" s="3" t="s">
        <v>14</v>
      </c>
      <c r="K54" s="3" t="s">
        <v>15</v>
      </c>
      <c r="L54" s="5">
        <v>65</v>
      </c>
      <c r="M54" s="3" t="s">
        <v>292</v>
      </c>
      <c r="N54" s="3"/>
      <c r="O54" s="3"/>
    </row>
    <row r="55" spans="1:15" s="9" customFormat="1" x14ac:dyDescent="0.25">
      <c r="A55" s="9" t="s">
        <v>49</v>
      </c>
      <c r="B55" s="9">
        <v>15278437</v>
      </c>
      <c r="C55" s="9" t="s">
        <v>21</v>
      </c>
      <c r="D55" s="9" t="s">
        <v>214</v>
      </c>
      <c r="E55" s="9" t="str">
        <f>CONCATENATE(C55," ",D55)</f>
        <v>David Caswell</v>
      </c>
      <c r="F55" s="9">
        <v>50091390</v>
      </c>
      <c r="G55" s="9" t="str">
        <f>CONCATENATE(F55,2)</f>
        <v>500913902</v>
      </c>
      <c r="H55" s="10">
        <v>46023</v>
      </c>
      <c r="I55" s="10">
        <v>46052</v>
      </c>
      <c r="J55" s="9" t="s">
        <v>14</v>
      </c>
      <c r="K55" s="9" t="s">
        <v>288</v>
      </c>
      <c r="L55" s="11">
        <v>-391</v>
      </c>
      <c r="M55" s="9" t="s">
        <v>293</v>
      </c>
      <c r="N55" s="9" t="s">
        <v>296</v>
      </c>
    </row>
    <row r="56" spans="1:15" s="9" customFormat="1" x14ac:dyDescent="0.25">
      <c r="A56" s="3" t="s">
        <v>300</v>
      </c>
      <c r="B56" s="3">
        <v>20411454</v>
      </c>
      <c r="C56" s="3" t="s">
        <v>21</v>
      </c>
      <c r="D56" s="3" t="s">
        <v>214</v>
      </c>
      <c r="E56" s="3" t="str">
        <f>CONCATENATE(C56," ",D56)</f>
        <v>David Caswell</v>
      </c>
      <c r="F56" s="3">
        <v>50091390</v>
      </c>
      <c r="G56" s="3" t="str">
        <f>CONCATENATE(F56,"OVR")</f>
        <v>50091390OVR</v>
      </c>
      <c r="H56" s="4">
        <v>46023</v>
      </c>
      <c r="I56" s="4">
        <v>46052</v>
      </c>
      <c r="J56" s="3" t="s">
        <v>14</v>
      </c>
      <c r="K56" s="3" t="s">
        <v>179</v>
      </c>
      <c r="L56" s="5">
        <v>-65</v>
      </c>
      <c r="M56" s="3" t="s">
        <v>292</v>
      </c>
      <c r="N56" s="3"/>
      <c r="O56" s="3"/>
    </row>
    <row r="57" spans="1:15" s="9" customFormat="1" x14ac:dyDescent="0.25">
      <c r="A57" s="9" t="s">
        <v>11</v>
      </c>
      <c r="B57" s="9" t="s">
        <v>301</v>
      </c>
      <c r="C57" s="9" t="s">
        <v>21</v>
      </c>
      <c r="D57" s="9" t="s">
        <v>201</v>
      </c>
      <c r="E57" s="9" t="str">
        <f>CONCATENATE(C57," ",D57)</f>
        <v>David Heun</v>
      </c>
      <c r="F57" s="9">
        <v>50139661</v>
      </c>
      <c r="G57" s="9" t="str">
        <f>CONCATENATE(F57,2)</f>
        <v>501396612</v>
      </c>
      <c r="H57" s="10">
        <v>46023</v>
      </c>
      <c r="I57" s="10">
        <v>46052</v>
      </c>
      <c r="J57" s="9" t="s">
        <v>14</v>
      </c>
      <c r="K57" s="9" t="s">
        <v>288</v>
      </c>
      <c r="L57" s="11">
        <v>-391</v>
      </c>
      <c r="M57" s="9" t="s">
        <v>293</v>
      </c>
      <c r="N57" s="9" t="s">
        <v>296</v>
      </c>
    </row>
    <row r="58" spans="1:15" s="9" customFormat="1" x14ac:dyDescent="0.25">
      <c r="A58" s="3" t="s">
        <v>300</v>
      </c>
      <c r="B58" s="3">
        <v>20411454</v>
      </c>
      <c r="C58" s="3" t="s">
        <v>21</v>
      </c>
      <c r="D58" s="3" t="s">
        <v>201</v>
      </c>
      <c r="E58" s="3" t="str">
        <f>CONCATENATE(C58," ",D58)</f>
        <v>David Heun</v>
      </c>
      <c r="F58" s="3">
        <v>50139661</v>
      </c>
      <c r="G58" s="3" t="str">
        <f>CONCATENATE(F58,"OVR")</f>
        <v>50139661OVR</v>
      </c>
      <c r="H58" s="4">
        <v>46023</v>
      </c>
      <c r="I58" s="4">
        <v>46052</v>
      </c>
      <c r="J58" s="3" t="s">
        <v>14</v>
      </c>
      <c r="K58" s="3" t="s">
        <v>179</v>
      </c>
      <c r="L58" s="5">
        <v>-65</v>
      </c>
      <c r="M58" s="3" t="s">
        <v>292</v>
      </c>
      <c r="N58" s="3"/>
      <c r="O58" s="3"/>
    </row>
    <row r="59" spans="1:15" s="9" customFormat="1" x14ac:dyDescent="0.25">
      <c r="A59" s="3" t="s">
        <v>300</v>
      </c>
      <c r="B59" s="3">
        <v>20411454</v>
      </c>
      <c r="C59" s="3" t="s">
        <v>21</v>
      </c>
      <c r="D59" s="3" t="s">
        <v>102</v>
      </c>
      <c r="E59" s="3" t="str">
        <f>CONCATENATE(C59," ",D59)</f>
        <v>David Jacoby</v>
      </c>
      <c r="F59" s="3">
        <v>50028796</v>
      </c>
      <c r="G59" s="3" t="str">
        <f>CONCATENATE(F59,"OVR")</f>
        <v>50028796OVR</v>
      </c>
      <c r="H59" s="4">
        <v>46023</v>
      </c>
      <c r="I59" s="4">
        <v>46048</v>
      </c>
      <c r="J59" s="3" t="s">
        <v>14</v>
      </c>
      <c r="K59" s="3" t="s">
        <v>15</v>
      </c>
      <c r="L59" s="5">
        <v>65</v>
      </c>
      <c r="M59" s="3" t="s">
        <v>292</v>
      </c>
      <c r="N59" s="3"/>
      <c r="O59" s="3"/>
    </row>
    <row r="60" spans="1:15" s="9" customFormat="1" x14ac:dyDescent="0.25">
      <c r="A60" s="9" t="s">
        <v>49</v>
      </c>
      <c r="B60" s="9">
        <v>15278437</v>
      </c>
      <c r="C60" s="9" t="s">
        <v>21</v>
      </c>
      <c r="D60" s="9" t="s">
        <v>174</v>
      </c>
      <c r="E60" s="9" t="str">
        <f>CONCATENATE(C60," ",D60)</f>
        <v>David Kirn</v>
      </c>
      <c r="F60" s="9">
        <v>51001355</v>
      </c>
      <c r="G60" s="9" t="str">
        <f>CONCATENATE(F60,2)</f>
        <v>510013552</v>
      </c>
      <c r="H60" s="10">
        <v>46023</v>
      </c>
      <c r="I60" s="10">
        <v>46048</v>
      </c>
      <c r="J60" s="9" t="s">
        <v>175</v>
      </c>
      <c r="K60" s="9" t="s">
        <v>176</v>
      </c>
      <c r="L60" s="11">
        <v>-432</v>
      </c>
      <c r="M60" s="9" t="s">
        <v>295</v>
      </c>
      <c r="N60" s="9" t="s">
        <v>299</v>
      </c>
    </row>
    <row r="61" spans="1:15" s="9" customFormat="1" x14ac:dyDescent="0.25">
      <c r="A61" s="3" t="s">
        <v>300</v>
      </c>
      <c r="B61" s="3">
        <v>20411454</v>
      </c>
      <c r="C61" s="3" t="s">
        <v>21</v>
      </c>
      <c r="D61" s="3" t="s">
        <v>174</v>
      </c>
      <c r="E61" s="3" t="str">
        <f>CONCATENATE(C61," ",D61)</f>
        <v>David Kirn</v>
      </c>
      <c r="F61" s="3">
        <v>51001355</v>
      </c>
      <c r="G61" s="3" t="str">
        <f>CONCATENATE(F61,"OVR")</f>
        <v>51001355OVR</v>
      </c>
      <c r="H61" s="4">
        <v>46023</v>
      </c>
      <c r="I61" s="4">
        <v>46048</v>
      </c>
      <c r="J61" s="3" t="s">
        <v>175</v>
      </c>
      <c r="K61" s="3" t="s">
        <v>177</v>
      </c>
      <c r="L61" s="5">
        <v>-65</v>
      </c>
      <c r="M61" s="3" t="s">
        <v>292</v>
      </c>
      <c r="N61" s="3"/>
      <c r="O61" s="3"/>
    </row>
    <row r="62" spans="1:15" s="9" customFormat="1" x14ac:dyDescent="0.25">
      <c r="A62" s="6" t="s">
        <v>11</v>
      </c>
      <c r="B62" s="6" t="s">
        <v>301</v>
      </c>
      <c r="C62" s="6" t="s">
        <v>21</v>
      </c>
      <c r="D62" s="6" t="s">
        <v>209</v>
      </c>
      <c r="E62" s="6" t="str">
        <f>CONCATENATE(C62," ",D62)</f>
        <v>David Luce Sr</v>
      </c>
      <c r="F62" s="6">
        <v>50141036</v>
      </c>
      <c r="G62" s="6" t="str">
        <f>CONCATENATE(F62,11)</f>
        <v>5014103611</v>
      </c>
      <c r="H62" s="7">
        <v>45658</v>
      </c>
      <c r="I62" s="7">
        <v>46052</v>
      </c>
      <c r="J62" s="6" t="s">
        <v>14</v>
      </c>
      <c r="K62" s="6" t="s">
        <v>287</v>
      </c>
      <c r="L62" s="8">
        <v>-353</v>
      </c>
      <c r="M62" s="6" t="s">
        <v>294</v>
      </c>
      <c r="N62" s="6" t="s">
        <v>298</v>
      </c>
      <c r="O62" s="6"/>
    </row>
    <row r="63" spans="1:15" s="9" customFormat="1" x14ac:dyDescent="0.25">
      <c r="A63" s="9" t="s">
        <v>11</v>
      </c>
      <c r="B63" s="9" t="s">
        <v>301</v>
      </c>
      <c r="C63" s="9" t="s">
        <v>21</v>
      </c>
      <c r="D63" s="9" t="s">
        <v>209</v>
      </c>
      <c r="E63" s="9" t="str">
        <f>CONCATENATE(C63," ",D63)</f>
        <v>David Luce Sr</v>
      </c>
      <c r="F63" s="9">
        <v>50141036</v>
      </c>
      <c r="G63" s="9" t="str">
        <f>CONCATENATE(F63,2)</f>
        <v>501410362</v>
      </c>
      <c r="H63" s="10">
        <v>45658</v>
      </c>
      <c r="I63" s="10">
        <v>46052</v>
      </c>
      <c r="J63" s="9" t="s">
        <v>14</v>
      </c>
      <c r="K63" s="9" t="s">
        <v>288</v>
      </c>
      <c r="L63" s="11">
        <v>-391</v>
      </c>
      <c r="M63" s="9" t="s">
        <v>293</v>
      </c>
      <c r="N63" s="9" t="s">
        <v>296</v>
      </c>
    </row>
    <row r="64" spans="1:15" s="9" customFormat="1" x14ac:dyDescent="0.25">
      <c r="A64" s="3" t="s">
        <v>300</v>
      </c>
      <c r="B64" s="3">
        <v>20411454</v>
      </c>
      <c r="C64" s="3" t="s">
        <v>21</v>
      </c>
      <c r="D64" s="3" t="s">
        <v>209</v>
      </c>
      <c r="E64" s="3" t="str">
        <f>CONCATENATE(C64," ",D64)</f>
        <v>David Luce Sr</v>
      </c>
      <c r="F64" s="3">
        <v>50141036</v>
      </c>
      <c r="G64" s="3" t="str">
        <f>CONCATENATE(F64,"OVR")</f>
        <v>50141036OVR</v>
      </c>
      <c r="H64" s="4">
        <v>45658</v>
      </c>
      <c r="I64" s="4">
        <v>46052</v>
      </c>
      <c r="J64" s="3" t="s">
        <v>14</v>
      </c>
      <c r="K64" s="3" t="s">
        <v>179</v>
      </c>
      <c r="L64" s="5">
        <v>-65</v>
      </c>
      <c r="M64" s="3" t="s">
        <v>292</v>
      </c>
      <c r="N64" s="3"/>
      <c r="O64" s="3"/>
    </row>
    <row r="65" spans="1:15" s="9" customFormat="1" x14ac:dyDescent="0.25">
      <c r="A65" s="3" t="s">
        <v>300</v>
      </c>
      <c r="B65" s="3">
        <v>20411454</v>
      </c>
      <c r="C65" s="3" t="s">
        <v>21</v>
      </c>
      <c r="D65" s="3" t="s">
        <v>209</v>
      </c>
      <c r="E65" s="3" t="str">
        <f>CONCATENATE(C65," ",D65)</f>
        <v>David Luce Sr</v>
      </c>
      <c r="F65" s="3">
        <v>50141036</v>
      </c>
      <c r="G65" s="3" t="str">
        <f>CONCATENATE(F65,"OVR")</f>
        <v>50141036OVR</v>
      </c>
      <c r="H65" s="4">
        <v>45658</v>
      </c>
      <c r="I65" s="4">
        <v>46052</v>
      </c>
      <c r="J65" s="3" t="s">
        <v>14</v>
      </c>
      <c r="K65" s="3" t="s">
        <v>179</v>
      </c>
      <c r="L65" s="5">
        <v>-65</v>
      </c>
      <c r="M65" s="3" t="s">
        <v>292</v>
      </c>
      <c r="N65" s="3"/>
      <c r="O65" s="3"/>
    </row>
    <row r="66" spans="1:15" s="9" customFormat="1" x14ac:dyDescent="0.25">
      <c r="A66" s="9" t="s">
        <v>49</v>
      </c>
      <c r="B66" s="9">
        <v>15278437</v>
      </c>
      <c r="C66" s="9" t="s">
        <v>70</v>
      </c>
      <c r="D66" s="9" t="s">
        <v>168</v>
      </c>
      <c r="E66" s="9" t="str">
        <f>CONCATENATE(C66," ",D66)</f>
        <v>Deborah Bevilacqua</v>
      </c>
      <c r="F66" s="9">
        <v>50026991</v>
      </c>
      <c r="G66" s="9" t="str">
        <f>CONCATENATE(F66,2)</f>
        <v>500269912</v>
      </c>
      <c r="H66" s="10">
        <v>46023</v>
      </c>
      <c r="I66" s="10">
        <v>46052</v>
      </c>
      <c r="J66" s="9" t="s">
        <v>14</v>
      </c>
      <c r="K66" s="9" t="s">
        <v>288</v>
      </c>
      <c r="L66" s="11">
        <v>-391</v>
      </c>
      <c r="M66" s="9" t="s">
        <v>293</v>
      </c>
      <c r="N66" s="9" t="s">
        <v>296</v>
      </c>
    </row>
    <row r="67" spans="1:15" s="9" customFormat="1" x14ac:dyDescent="0.25">
      <c r="A67" s="3" t="s">
        <v>300</v>
      </c>
      <c r="B67" s="3">
        <v>20411454</v>
      </c>
      <c r="C67" s="3" t="s">
        <v>70</v>
      </c>
      <c r="D67" s="3" t="s">
        <v>168</v>
      </c>
      <c r="E67" s="3" t="str">
        <f>CONCATENATE(C67," ",D67)</f>
        <v>Deborah Bevilacqua</v>
      </c>
      <c r="F67" s="3">
        <v>50026991</v>
      </c>
      <c r="G67" s="3" t="str">
        <f>CONCATENATE(F67,"OVR")</f>
        <v>50026991OVR</v>
      </c>
      <c r="H67" s="4">
        <v>46023</v>
      </c>
      <c r="I67" s="4">
        <v>46052</v>
      </c>
      <c r="J67" s="3" t="s">
        <v>14</v>
      </c>
      <c r="K67" s="3" t="s">
        <v>179</v>
      </c>
      <c r="L67" s="5">
        <v>-65</v>
      </c>
      <c r="M67" s="3" t="s">
        <v>292</v>
      </c>
      <c r="N67" s="3"/>
      <c r="O67" s="3"/>
    </row>
    <row r="68" spans="1:15" s="9" customFormat="1" x14ac:dyDescent="0.25">
      <c r="A68" s="9" t="s">
        <v>49</v>
      </c>
      <c r="B68" s="9">
        <v>15278437</v>
      </c>
      <c r="C68" s="9" t="s">
        <v>70</v>
      </c>
      <c r="D68" s="9" t="s">
        <v>248</v>
      </c>
      <c r="E68" s="9" t="str">
        <f>CONCATENATE(C68," ",D68)</f>
        <v>Deborah Greco</v>
      </c>
      <c r="F68" s="9">
        <v>50128601</v>
      </c>
      <c r="G68" s="9" t="str">
        <f>CONCATENATE(F68,2)</f>
        <v>501286012</v>
      </c>
      <c r="H68" s="10">
        <v>46023</v>
      </c>
      <c r="I68" s="10">
        <v>46052</v>
      </c>
      <c r="J68" s="9" t="s">
        <v>14</v>
      </c>
      <c r="K68" s="9" t="s">
        <v>288</v>
      </c>
      <c r="L68" s="11">
        <v>-391</v>
      </c>
      <c r="M68" s="9" t="s">
        <v>293</v>
      </c>
      <c r="N68" s="9" t="s">
        <v>296</v>
      </c>
    </row>
    <row r="69" spans="1:15" s="9" customFormat="1" x14ac:dyDescent="0.25">
      <c r="A69" s="3" t="s">
        <v>300</v>
      </c>
      <c r="B69" s="3">
        <v>20411454</v>
      </c>
      <c r="C69" s="3" t="s">
        <v>70</v>
      </c>
      <c r="D69" s="3" t="s">
        <v>248</v>
      </c>
      <c r="E69" s="3" t="str">
        <f>CONCATENATE(C69," ",D69)</f>
        <v>Deborah Greco</v>
      </c>
      <c r="F69" s="3">
        <v>50128601</v>
      </c>
      <c r="G69" s="3" t="str">
        <f>CONCATENATE(F69,"OVR")</f>
        <v>50128601OVR</v>
      </c>
      <c r="H69" s="4">
        <v>46023</v>
      </c>
      <c r="I69" s="4">
        <v>46052</v>
      </c>
      <c r="J69" s="3" t="s">
        <v>14</v>
      </c>
      <c r="K69" s="3" t="s">
        <v>179</v>
      </c>
      <c r="L69" s="5">
        <v>-65</v>
      </c>
      <c r="M69" s="3" t="s">
        <v>292</v>
      </c>
      <c r="N69" s="3"/>
      <c r="O69" s="3"/>
    </row>
    <row r="70" spans="1:15" s="9" customFormat="1" x14ac:dyDescent="0.25">
      <c r="A70" s="9" t="s">
        <v>49</v>
      </c>
      <c r="B70" s="9">
        <v>15278437</v>
      </c>
      <c r="C70" s="9" t="s">
        <v>70</v>
      </c>
      <c r="D70" s="9" t="s">
        <v>72</v>
      </c>
      <c r="E70" s="9" t="str">
        <f>CONCATENATE(C70," ",D70)</f>
        <v>Deborah Mathews</v>
      </c>
      <c r="F70" s="9">
        <v>50026698</v>
      </c>
      <c r="G70" s="9" t="str">
        <f>CONCATENATE(F70,2)</f>
        <v>500266982</v>
      </c>
      <c r="H70" s="10">
        <v>46023</v>
      </c>
      <c r="I70" s="10">
        <v>46052</v>
      </c>
      <c r="J70" s="9" t="s">
        <v>14</v>
      </c>
      <c r="K70" s="9" t="s">
        <v>288</v>
      </c>
      <c r="L70" s="11">
        <v>-391</v>
      </c>
      <c r="M70" s="9" t="s">
        <v>293</v>
      </c>
      <c r="N70" s="9" t="s">
        <v>296</v>
      </c>
    </row>
    <row r="71" spans="1:15" s="9" customFormat="1" x14ac:dyDescent="0.25">
      <c r="A71" s="9" t="s">
        <v>49</v>
      </c>
      <c r="B71" s="9">
        <v>15278437</v>
      </c>
      <c r="C71" s="9" t="s">
        <v>70</v>
      </c>
      <c r="D71" s="9" t="s">
        <v>72</v>
      </c>
      <c r="E71" s="9" t="str">
        <f>CONCATENATE(C71," ",D71)</f>
        <v>Deborah Mathews</v>
      </c>
      <c r="F71" s="9">
        <v>50026698</v>
      </c>
      <c r="G71" s="9" t="str">
        <f>CONCATENATE(F71,2)</f>
        <v>500266982</v>
      </c>
      <c r="H71" s="10">
        <v>46023</v>
      </c>
      <c r="I71" s="10">
        <v>46048</v>
      </c>
      <c r="J71" s="9" t="s">
        <v>14</v>
      </c>
      <c r="K71" s="9" t="s">
        <v>20</v>
      </c>
      <c r="L71" s="11">
        <v>391</v>
      </c>
      <c r="M71" s="9" t="s">
        <v>293</v>
      </c>
      <c r="N71" s="9" t="s">
        <v>296</v>
      </c>
    </row>
    <row r="72" spans="1:15" s="9" customFormat="1" x14ac:dyDescent="0.25">
      <c r="A72" s="3" t="s">
        <v>300</v>
      </c>
      <c r="B72" s="3">
        <v>20411454</v>
      </c>
      <c r="C72" s="3" t="s">
        <v>70</v>
      </c>
      <c r="D72" s="3" t="s">
        <v>72</v>
      </c>
      <c r="E72" s="3" t="str">
        <f>CONCATENATE(C72," ",D72)</f>
        <v>Deborah Mathews</v>
      </c>
      <c r="F72" s="3">
        <v>50026698</v>
      </c>
      <c r="G72" s="3" t="str">
        <f>CONCATENATE(F72,"OVR")</f>
        <v>50026698OVR</v>
      </c>
      <c r="H72" s="4">
        <v>46023</v>
      </c>
      <c r="I72" s="4">
        <v>46052</v>
      </c>
      <c r="J72" s="3" t="s">
        <v>14</v>
      </c>
      <c r="K72" s="3" t="s">
        <v>179</v>
      </c>
      <c r="L72" s="5">
        <v>-65</v>
      </c>
      <c r="M72" s="3" t="s">
        <v>292</v>
      </c>
      <c r="N72" s="3"/>
      <c r="O72" s="3"/>
    </row>
    <row r="73" spans="1:15" s="9" customFormat="1" x14ac:dyDescent="0.25">
      <c r="A73" s="3" t="s">
        <v>300</v>
      </c>
      <c r="B73" s="3">
        <v>20411454</v>
      </c>
      <c r="C73" s="3" t="s">
        <v>70</v>
      </c>
      <c r="D73" s="3" t="s">
        <v>72</v>
      </c>
      <c r="E73" s="3" t="str">
        <f>CONCATENATE(C73," ",D73)</f>
        <v>Deborah Mathews</v>
      </c>
      <c r="F73" s="3">
        <v>50026698</v>
      </c>
      <c r="G73" s="3" t="str">
        <f>CONCATENATE(F73,"OVR")</f>
        <v>50026698OVR</v>
      </c>
      <c r="H73" s="4">
        <v>46023</v>
      </c>
      <c r="I73" s="4">
        <v>46048</v>
      </c>
      <c r="J73" s="3" t="s">
        <v>14</v>
      </c>
      <c r="K73" s="3" t="s">
        <v>15</v>
      </c>
      <c r="L73" s="5">
        <v>65</v>
      </c>
      <c r="M73" s="3" t="s">
        <v>292</v>
      </c>
      <c r="N73" s="3"/>
      <c r="O73" s="3"/>
    </row>
    <row r="74" spans="1:15" s="9" customFormat="1" x14ac:dyDescent="0.25">
      <c r="A74" s="9" t="s">
        <v>49</v>
      </c>
      <c r="B74" s="9">
        <v>15278437</v>
      </c>
      <c r="C74" s="9" t="s">
        <v>70</v>
      </c>
      <c r="D74" s="9" t="s">
        <v>71</v>
      </c>
      <c r="E74" s="9" t="str">
        <f>CONCATENATE(C74," ",D74)</f>
        <v>Deborah Zavorski</v>
      </c>
      <c r="F74" s="9">
        <v>50102637</v>
      </c>
      <c r="G74" s="9" t="str">
        <f>CONCATENATE(F74,2)</f>
        <v>501026372</v>
      </c>
      <c r="H74" s="10">
        <v>46023</v>
      </c>
      <c r="I74" s="10">
        <v>46048</v>
      </c>
      <c r="J74" s="9" t="s">
        <v>14</v>
      </c>
      <c r="K74" s="9" t="s">
        <v>20</v>
      </c>
      <c r="L74" s="11">
        <v>391</v>
      </c>
      <c r="M74" s="9" t="s">
        <v>293</v>
      </c>
      <c r="N74" s="9" t="s">
        <v>296</v>
      </c>
    </row>
    <row r="75" spans="1:15" s="9" customFormat="1" x14ac:dyDescent="0.25">
      <c r="A75" s="3" t="s">
        <v>300</v>
      </c>
      <c r="B75" s="3">
        <v>20411454</v>
      </c>
      <c r="C75" s="3" t="s">
        <v>70</v>
      </c>
      <c r="D75" s="3" t="s">
        <v>71</v>
      </c>
      <c r="E75" s="3" t="str">
        <f>CONCATENATE(C75," ",D75)</f>
        <v>Deborah Zavorski</v>
      </c>
      <c r="F75" s="3">
        <v>50102637</v>
      </c>
      <c r="G75" s="3" t="str">
        <f>CONCATENATE(F75,"OVR")</f>
        <v>50102637OVR</v>
      </c>
      <c r="H75" s="4">
        <v>46023</v>
      </c>
      <c r="I75" s="4">
        <v>46048</v>
      </c>
      <c r="J75" s="3" t="s">
        <v>14</v>
      </c>
      <c r="K75" s="3" t="s">
        <v>15</v>
      </c>
      <c r="L75" s="5">
        <v>65</v>
      </c>
      <c r="M75" s="3" t="s">
        <v>292</v>
      </c>
      <c r="N75" s="3"/>
      <c r="O75" s="3"/>
    </row>
    <row r="76" spans="1:15" s="9" customFormat="1" x14ac:dyDescent="0.25">
      <c r="A76" s="9" t="s">
        <v>23</v>
      </c>
      <c r="B76" s="9">
        <v>17425766</v>
      </c>
      <c r="C76" s="9" t="s">
        <v>38</v>
      </c>
      <c r="D76" s="9" t="s">
        <v>39</v>
      </c>
      <c r="E76" s="9" t="str">
        <f>CONCATENATE(C76," ",D76)</f>
        <v>Dennis Spiker</v>
      </c>
      <c r="F76" s="9">
        <v>50109863</v>
      </c>
      <c r="G76" s="9" t="str">
        <f>CONCATENATE(F76,2)</f>
        <v>501098632</v>
      </c>
      <c r="H76" s="10">
        <v>46023</v>
      </c>
      <c r="I76" s="10">
        <v>46048</v>
      </c>
      <c r="J76" s="9" t="s">
        <v>14</v>
      </c>
      <c r="K76" s="9" t="s">
        <v>20</v>
      </c>
      <c r="L76" s="11">
        <v>391</v>
      </c>
      <c r="M76" s="9" t="s">
        <v>293</v>
      </c>
      <c r="N76" s="9" t="s">
        <v>296</v>
      </c>
    </row>
    <row r="77" spans="1:15" s="9" customFormat="1" x14ac:dyDescent="0.25">
      <c r="A77" s="3" t="s">
        <v>300</v>
      </c>
      <c r="B77" s="3">
        <v>20411454</v>
      </c>
      <c r="C77" s="3" t="s">
        <v>38</v>
      </c>
      <c r="D77" s="3" t="s">
        <v>39</v>
      </c>
      <c r="E77" s="3" t="str">
        <f>CONCATENATE(C77," ",D77)</f>
        <v>Dennis Spiker</v>
      </c>
      <c r="F77" s="3">
        <v>50109863</v>
      </c>
      <c r="G77" s="3" t="str">
        <f>CONCATENATE(F77,"OVR")</f>
        <v>50109863OVR</v>
      </c>
      <c r="H77" s="4">
        <v>46023</v>
      </c>
      <c r="I77" s="4">
        <v>46048</v>
      </c>
      <c r="J77" s="3" t="s">
        <v>14</v>
      </c>
      <c r="K77" s="3" t="s">
        <v>15</v>
      </c>
      <c r="L77" s="5">
        <v>65</v>
      </c>
      <c r="M77" s="3" t="s">
        <v>292</v>
      </c>
      <c r="N77" s="3"/>
      <c r="O77" s="3"/>
    </row>
    <row r="78" spans="1:15" s="9" customFormat="1" x14ac:dyDescent="0.25">
      <c r="A78" s="3" t="s">
        <v>300</v>
      </c>
      <c r="B78" s="3">
        <v>20411454</v>
      </c>
      <c r="C78" s="3" t="s">
        <v>98</v>
      </c>
      <c r="D78" s="3" t="s">
        <v>100</v>
      </c>
      <c r="E78" s="3" t="str">
        <f>CONCATENATE(C78," ",D78)</f>
        <v>Diane Hurst</v>
      </c>
      <c r="F78" s="3">
        <v>50091180</v>
      </c>
      <c r="G78" s="3" t="str">
        <f>CONCATENATE(F78,"OVR")</f>
        <v>50091180OVR</v>
      </c>
      <c r="H78" s="4">
        <v>46023</v>
      </c>
      <c r="I78" s="4">
        <v>46048</v>
      </c>
      <c r="J78" s="3" t="s">
        <v>14</v>
      </c>
      <c r="K78" s="3" t="s">
        <v>15</v>
      </c>
      <c r="L78" s="5">
        <v>65</v>
      </c>
      <c r="M78" s="3" t="s">
        <v>292</v>
      </c>
      <c r="N78" s="3"/>
      <c r="O78" s="3"/>
    </row>
    <row r="79" spans="1:15" s="9" customFormat="1" x14ac:dyDescent="0.25">
      <c r="A79" s="3" t="s">
        <v>300</v>
      </c>
      <c r="B79" s="3">
        <v>20411454</v>
      </c>
      <c r="C79" s="3" t="s">
        <v>98</v>
      </c>
      <c r="D79" s="3" t="s">
        <v>137</v>
      </c>
      <c r="E79" s="3" t="str">
        <f>CONCATENATE(C79," ",D79)</f>
        <v>Diane Kazan</v>
      </c>
      <c r="F79" s="3">
        <v>50010840</v>
      </c>
      <c r="G79" s="3" t="str">
        <f>CONCATENATE(F79,"OVR")</f>
        <v>50010840OVR</v>
      </c>
      <c r="H79" s="4">
        <v>46023</v>
      </c>
      <c r="I79" s="4">
        <v>46048</v>
      </c>
      <c r="J79" s="3" t="s">
        <v>14</v>
      </c>
      <c r="K79" s="3" t="s">
        <v>15</v>
      </c>
      <c r="L79" s="5">
        <v>65</v>
      </c>
      <c r="M79" s="3" t="s">
        <v>292</v>
      </c>
      <c r="N79" s="3"/>
      <c r="O79" s="3"/>
    </row>
    <row r="80" spans="1:15" s="9" customFormat="1" x14ac:dyDescent="0.25">
      <c r="A80" s="3" t="s">
        <v>300</v>
      </c>
      <c r="B80" s="3">
        <v>20411454</v>
      </c>
      <c r="C80" s="3" t="s">
        <v>98</v>
      </c>
      <c r="D80" s="3" t="s">
        <v>99</v>
      </c>
      <c r="E80" s="3" t="str">
        <f>CONCATENATE(C80," ",D80)</f>
        <v>Diane Martino</v>
      </c>
      <c r="F80" s="3">
        <v>50018164</v>
      </c>
      <c r="G80" s="3" t="str">
        <f>CONCATENATE(F80,"OVR")</f>
        <v>50018164OVR</v>
      </c>
      <c r="H80" s="4">
        <v>46023</v>
      </c>
      <c r="I80" s="4">
        <v>46048</v>
      </c>
      <c r="J80" s="3" t="s">
        <v>14</v>
      </c>
      <c r="K80" s="3" t="s">
        <v>15</v>
      </c>
      <c r="L80" s="5">
        <v>65</v>
      </c>
      <c r="M80" s="3" t="s">
        <v>292</v>
      </c>
      <c r="N80" s="3"/>
      <c r="O80" s="3"/>
    </row>
    <row r="81" spans="1:15" s="9" customFormat="1" x14ac:dyDescent="0.25">
      <c r="A81" s="3" t="s">
        <v>300</v>
      </c>
      <c r="B81" s="3">
        <v>20411454</v>
      </c>
      <c r="C81" s="3" t="s">
        <v>114</v>
      </c>
      <c r="D81" s="3" t="s">
        <v>115</v>
      </c>
      <c r="E81" s="3" t="str">
        <f>CONCATENATE(C81," ",D81)</f>
        <v>Donna Kealey</v>
      </c>
      <c r="F81" s="3">
        <v>50116365</v>
      </c>
      <c r="G81" s="3" t="str">
        <f>CONCATENATE(F81,"OVR")</f>
        <v>50116365OVR</v>
      </c>
      <c r="H81" s="4">
        <v>46023</v>
      </c>
      <c r="I81" s="4">
        <v>46048</v>
      </c>
      <c r="J81" s="3" t="s">
        <v>14</v>
      </c>
      <c r="K81" s="3" t="s">
        <v>15</v>
      </c>
      <c r="L81" s="5">
        <v>65</v>
      </c>
      <c r="M81" s="3" t="s">
        <v>292</v>
      </c>
      <c r="N81" s="3"/>
      <c r="O81" s="3"/>
    </row>
    <row r="82" spans="1:15" s="9" customFormat="1" x14ac:dyDescent="0.25">
      <c r="A82" s="3" t="s">
        <v>300</v>
      </c>
      <c r="B82" s="3">
        <v>20411454</v>
      </c>
      <c r="C82" s="3" t="s">
        <v>163</v>
      </c>
      <c r="D82" s="3" t="s">
        <v>164</v>
      </c>
      <c r="E82" s="3" t="str">
        <f>CONCATENATE(C82," ",D82)</f>
        <v>Doris Shankle</v>
      </c>
      <c r="F82" s="3">
        <v>50088501</v>
      </c>
      <c r="G82" s="3" t="str">
        <f>CONCATENATE(F82,"OVR")</f>
        <v>50088501OVR</v>
      </c>
      <c r="H82" s="4">
        <v>46023</v>
      </c>
      <c r="I82" s="4">
        <v>46052</v>
      </c>
      <c r="J82" s="3" t="s">
        <v>14</v>
      </c>
      <c r="K82" s="3" t="s">
        <v>179</v>
      </c>
      <c r="L82" s="5">
        <v>-65</v>
      </c>
      <c r="M82" s="3" t="s">
        <v>292</v>
      </c>
      <c r="N82" s="3"/>
      <c r="O82" s="3"/>
    </row>
    <row r="83" spans="1:15" s="9" customFormat="1" x14ac:dyDescent="0.25">
      <c r="A83" s="3" t="s">
        <v>300</v>
      </c>
      <c r="B83" s="3">
        <v>20411454</v>
      </c>
      <c r="C83" s="3" t="s">
        <v>163</v>
      </c>
      <c r="D83" s="3" t="s">
        <v>164</v>
      </c>
      <c r="E83" s="3" t="str">
        <f>CONCATENATE(C83," ",D83)</f>
        <v>Doris Shankle</v>
      </c>
      <c r="F83" s="3">
        <v>50088501</v>
      </c>
      <c r="G83" s="3" t="str">
        <f>CONCATENATE(F83,"OVR")</f>
        <v>50088501OVR</v>
      </c>
      <c r="H83" s="4">
        <v>46023</v>
      </c>
      <c r="I83" s="4">
        <v>46048</v>
      </c>
      <c r="J83" s="3" t="s">
        <v>14</v>
      </c>
      <c r="K83" s="3" t="s">
        <v>15</v>
      </c>
      <c r="L83" s="5">
        <v>65</v>
      </c>
      <c r="M83" s="3" t="s">
        <v>292</v>
      </c>
      <c r="N83" s="3"/>
      <c r="O83" s="3"/>
    </row>
    <row r="84" spans="1:15" s="9" customFormat="1" x14ac:dyDescent="0.25">
      <c r="A84" s="9" t="s">
        <v>49</v>
      </c>
      <c r="B84" s="9">
        <v>15278437</v>
      </c>
      <c r="C84" s="9" t="s">
        <v>73</v>
      </c>
      <c r="D84" s="9" t="s">
        <v>74</v>
      </c>
      <c r="E84" s="9" t="str">
        <f>CONCATENATE(C84," ",D84)</f>
        <v>Dorothy Carbo</v>
      </c>
      <c r="F84" s="9">
        <v>50107476</v>
      </c>
      <c r="G84" s="9" t="str">
        <f>CONCATENATE(F84,2)</f>
        <v>501074762</v>
      </c>
      <c r="H84" s="10">
        <v>46023</v>
      </c>
      <c r="I84" s="10">
        <v>46052</v>
      </c>
      <c r="J84" s="9" t="s">
        <v>14</v>
      </c>
      <c r="K84" s="9" t="s">
        <v>288</v>
      </c>
      <c r="L84" s="11">
        <v>-391</v>
      </c>
      <c r="M84" s="9" t="s">
        <v>293</v>
      </c>
      <c r="N84" s="9" t="s">
        <v>296</v>
      </c>
    </row>
    <row r="85" spans="1:15" s="9" customFormat="1" x14ac:dyDescent="0.25">
      <c r="A85" s="9" t="s">
        <v>49</v>
      </c>
      <c r="B85" s="9">
        <v>15278437</v>
      </c>
      <c r="C85" s="9" t="s">
        <v>73</v>
      </c>
      <c r="D85" s="9" t="s">
        <v>74</v>
      </c>
      <c r="E85" s="9" t="str">
        <f>CONCATENATE(C85," ",D85)</f>
        <v>Dorothy Carbo</v>
      </c>
      <c r="F85" s="9">
        <v>50107476</v>
      </c>
      <c r="G85" s="9" t="str">
        <f>CONCATENATE(F85,2)</f>
        <v>501074762</v>
      </c>
      <c r="H85" s="10">
        <v>46023</v>
      </c>
      <c r="I85" s="10">
        <v>46048</v>
      </c>
      <c r="J85" s="9" t="s">
        <v>14</v>
      </c>
      <c r="K85" s="9" t="s">
        <v>20</v>
      </c>
      <c r="L85" s="11">
        <v>391</v>
      </c>
      <c r="M85" s="9" t="s">
        <v>293</v>
      </c>
      <c r="N85" s="9" t="s">
        <v>296</v>
      </c>
    </row>
    <row r="86" spans="1:15" s="9" customFormat="1" x14ac:dyDescent="0.25">
      <c r="A86" s="3" t="s">
        <v>300</v>
      </c>
      <c r="B86" s="3">
        <v>20411454</v>
      </c>
      <c r="C86" s="3" t="s">
        <v>73</v>
      </c>
      <c r="D86" s="3" t="s">
        <v>74</v>
      </c>
      <c r="E86" s="3" t="str">
        <f>CONCATENATE(C86," ",D86)</f>
        <v>Dorothy Carbo</v>
      </c>
      <c r="F86" s="3">
        <v>50107476</v>
      </c>
      <c r="G86" s="3" t="str">
        <f>CONCATENATE(F86,"OVR")</f>
        <v>50107476OVR</v>
      </c>
      <c r="H86" s="4">
        <v>46023</v>
      </c>
      <c r="I86" s="4">
        <v>46052</v>
      </c>
      <c r="J86" s="3" t="s">
        <v>14</v>
      </c>
      <c r="K86" s="3" t="s">
        <v>179</v>
      </c>
      <c r="L86" s="5">
        <v>-65</v>
      </c>
      <c r="M86" s="3" t="s">
        <v>292</v>
      </c>
      <c r="N86" s="3"/>
      <c r="O86" s="3"/>
    </row>
    <row r="87" spans="1:15" s="9" customFormat="1" x14ac:dyDescent="0.25">
      <c r="A87" s="3" t="s">
        <v>300</v>
      </c>
      <c r="B87" s="3">
        <v>20411454</v>
      </c>
      <c r="C87" s="3" t="s">
        <v>73</v>
      </c>
      <c r="D87" s="3" t="s">
        <v>74</v>
      </c>
      <c r="E87" s="3" t="str">
        <f>CONCATENATE(C87," ",D87)</f>
        <v>Dorothy Carbo</v>
      </c>
      <c r="F87" s="3">
        <v>50107476</v>
      </c>
      <c r="G87" s="3" t="str">
        <f>CONCATENATE(F87,"OVR")</f>
        <v>50107476OVR</v>
      </c>
      <c r="H87" s="4">
        <v>46023</v>
      </c>
      <c r="I87" s="4">
        <v>46048</v>
      </c>
      <c r="J87" s="3" t="s">
        <v>14</v>
      </c>
      <c r="K87" s="3" t="s">
        <v>15</v>
      </c>
      <c r="L87" s="5">
        <v>65</v>
      </c>
      <c r="M87" s="3" t="s">
        <v>292</v>
      </c>
      <c r="N87" s="3"/>
      <c r="O87" s="3"/>
    </row>
    <row r="88" spans="1:15" s="9" customFormat="1" x14ac:dyDescent="0.25">
      <c r="A88" s="9" t="s">
        <v>49</v>
      </c>
      <c r="B88" s="9">
        <v>15278437</v>
      </c>
      <c r="C88" s="9" t="s">
        <v>73</v>
      </c>
      <c r="D88" s="9" t="s">
        <v>198</v>
      </c>
      <c r="E88" s="9" t="str">
        <f>CONCATENATE(C88," ",D88)</f>
        <v>Dorothy Falcone</v>
      </c>
      <c r="F88" s="9">
        <v>50104511</v>
      </c>
      <c r="G88" s="9" t="str">
        <f>CONCATENATE(F88,2)</f>
        <v>501045112</v>
      </c>
      <c r="H88" s="10">
        <v>46023</v>
      </c>
      <c r="I88" s="10">
        <v>46052</v>
      </c>
      <c r="J88" s="9" t="s">
        <v>14</v>
      </c>
      <c r="K88" s="9" t="s">
        <v>288</v>
      </c>
      <c r="L88" s="11">
        <v>-391</v>
      </c>
      <c r="M88" s="9" t="s">
        <v>293</v>
      </c>
      <c r="N88" s="9" t="s">
        <v>296</v>
      </c>
    </row>
    <row r="89" spans="1:15" s="9" customFormat="1" x14ac:dyDescent="0.25">
      <c r="A89" s="3" t="s">
        <v>300</v>
      </c>
      <c r="B89" s="3">
        <v>20411454</v>
      </c>
      <c r="C89" s="3" t="s">
        <v>73</v>
      </c>
      <c r="D89" s="3" t="s">
        <v>198</v>
      </c>
      <c r="E89" s="3" t="str">
        <f>CONCATENATE(C89," ",D89)</f>
        <v>Dorothy Falcone</v>
      </c>
      <c r="F89" s="3">
        <v>50104511</v>
      </c>
      <c r="G89" s="3" t="str">
        <f>CONCATENATE(F89,"OVR")</f>
        <v>50104511OVR</v>
      </c>
      <c r="H89" s="4">
        <v>46023</v>
      </c>
      <c r="I89" s="4">
        <v>46052</v>
      </c>
      <c r="J89" s="3" t="s">
        <v>14</v>
      </c>
      <c r="K89" s="3" t="s">
        <v>179</v>
      </c>
      <c r="L89" s="5">
        <v>-65</v>
      </c>
      <c r="M89" s="3" t="s">
        <v>292</v>
      </c>
      <c r="N89" s="3"/>
      <c r="O89" s="3"/>
    </row>
    <row r="90" spans="1:15" s="9" customFormat="1" x14ac:dyDescent="0.25">
      <c r="A90" s="9" t="s">
        <v>49</v>
      </c>
      <c r="B90" s="9">
        <v>15278437</v>
      </c>
      <c r="C90" s="9" t="s">
        <v>73</v>
      </c>
      <c r="D90" s="9" t="s">
        <v>200</v>
      </c>
      <c r="E90" s="9" t="str">
        <f>CONCATENATE(C90," ",D90)</f>
        <v>Dorothy Mallon</v>
      </c>
      <c r="F90" s="9">
        <v>50027437</v>
      </c>
      <c r="G90" s="9" t="str">
        <f>CONCATENATE(F90,2)</f>
        <v>500274372</v>
      </c>
      <c r="H90" s="10">
        <v>46023</v>
      </c>
      <c r="I90" s="10">
        <v>46052</v>
      </c>
      <c r="J90" s="9" t="s">
        <v>14</v>
      </c>
      <c r="K90" s="9" t="s">
        <v>288</v>
      </c>
      <c r="L90" s="11">
        <v>-391</v>
      </c>
      <c r="M90" s="9" t="s">
        <v>293</v>
      </c>
      <c r="N90" s="9" t="s">
        <v>296</v>
      </c>
    </row>
    <row r="91" spans="1:15" s="9" customFormat="1" x14ac:dyDescent="0.25">
      <c r="A91" s="3" t="s">
        <v>300</v>
      </c>
      <c r="B91" s="3">
        <v>20411454</v>
      </c>
      <c r="C91" s="3" t="s">
        <v>73</v>
      </c>
      <c r="D91" s="3" t="s">
        <v>200</v>
      </c>
      <c r="E91" s="3" t="str">
        <f>CONCATENATE(C91," ",D91)</f>
        <v>Dorothy Mallon</v>
      </c>
      <c r="F91" s="3">
        <v>50027437</v>
      </c>
      <c r="G91" s="3" t="str">
        <f>CONCATENATE(F91,"OVR")</f>
        <v>50027437OVR</v>
      </c>
      <c r="H91" s="4">
        <v>46023</v>
      </c>
      <c r="I91" s="4">
        <v>46052</v>
      </c>
      <c r="J91" s="3" t="s">
        <v>14</v>
      </c>
      <c r="K91" s="3" t="s">
        <v>179</v>
      </c>
      <c r="L91" s="5">
        <v>-65</v>
      </c>
      <c r="M91" s="3" t="s">
        <v>292</v>
      </c>
      <c r="N91" s="3"/>
      <c r="O91" s="3"/>
    </row>
    <row r="92" spans="1:15" s="9" customFormat="1" x14ac:dyDescent="0.25">
      <c r="A92" s="9" t="s">
        <v>190</v>
      </c>
      <c r="B92" s="9">
        <v>16509456</v>
      </c>
      <c r="C92" s="9" t="s">
        <v>73</v>
      </c>
      <c r="D92" s="9" t="s">
        <v>191</v>
      </c>
      <c r="E92" s="9" t="str">
        <f>CONCATENATE(C92," ",D92)</f>
        <v>Dorothy Mckinney</v>
      </c>
      <c r="F92" s="9">
        <v>50101730</v>
      </c>
      <c r="G92" s="9" t="str">
        <f>CONCATENATE(F92,2)</f>
        <v>501017302</v>
      </c>
      <c r="H92" s="10">
        <v>46023</v>
      </c>
      <c r="I92" s="10">
        <v>46052</v>
      </c>
      <c r="J92" s="9" t="s">
        <v>14</v>
      </c>
      <c r="K92" s="9" t="s">
        <v>288</v>
      </c>
      <c r="L92" s="11">
        <v>-391</v>
      </c>
      <c r="M92" s="9" t="s">
        <v>293</v>
      </c>
      <c r="N92" s="9" t="s">
        <v>296</v>
      </c>
    </row>
    <row r="93" spans="1:15" s="9" customFormat="1" x14ac:dyDescent="0.25">
      <c r="A93" s="3" t="s">
        <v>300</v>
      </c>
      <c r="B93" s="3">
        <v>20411454</v>
      </c>
      <c r="C93" s="3" t="s">
        <v>73</v>
      </c>
      <c r="D93" s="3" t="s">
        <v>191</v>
      </c>
      <c r="E93" s="3" t="str">
        <f>CONCATENATE(C93," ",D93)</f>
        <v>Dorothy Mckinney</v>
      </c>
      <c r="F93" s="3">
        <v>50101730</v>
      </c>
      <c r="G93" s="3" t="str">
        <f>CONCATENATE(F93,"OVR")</f>
        <v>50101730OVR</v>
      </c>
      <c r="H93" s="4">
        <v>46023</v>
      </c>
      <c r="I93" s="4">
        <v>46052</v>
      </c>
      <c r="J93" s="3" t="s">
        <v>14</v>
      </c>
      <c r="K93" s="3" t="s">
        <v>179</v>
      </c>
      <c r="L93" s="5">
        <v>-65</v>
      </c>
      <c r="M93" s="3" t="s">
        <v>292</v>
      </c>
      <c r="N93" s="3"/>
      <c r="O93" s="3"/>
    </row>
    <row r="94" spans="1:15" s="9" customFormat="1" x14ac:dyDescent="0.25">
      <c r="A94" s="3" t="s">
        <v>300</v>
      </c>
      <c r="B94" s="3">
        <v>20411454</v>
      </c>
      <c r="C94" s="3" t="s">
        <v>171</v>
      </c>
      <c r="D94" s="3" t="s">
        <v>172</v>
      </c>
      <c r="E94" s="3" t="str">
        <f>CONCATENATE(C94," ",D94)</f>
        <v>Earl Mccollum</v>
      </c>
      <c r="F94" s="3">
        <v>50124783</v>
      </c>
      <c r="G94" s="3" t="str">
        <f>CONCATENATE(F94,"OVR")</f>
        <v>50124783OVR</v>
      </c>
      <c r="H94" s="4">
        <v>46023</v>
      </c>
      <c r="I94" s="4">
        <v>46048</v>
      </c>
      <c r="J94" s="3" t="s">
        <v>14</v>
      </c>
      <c r="K94" s="3" t="s">
        <v>15</v>
      </c>
      <c r="L94" s="5">
        <v>65</v>
      </c>
      <c r="M94" s="3" t="s">
        <v>292</v>
      </c>
      <c r="N94" s="3"/>
      <c r="O94" s="3"/>
    </row>
    <row r="95" spans="1:15" s="9" customFormat="1" x14ac:dyDescent="0.25">
      <c r="A95" s="9" t="s">
        <v>49</v>
      </c>
      <c r="B95" s="9">
        <v>15278437</v>
      </c>
      <c r="C95" s="9" t="s">
        <v>171</v>
      </c>
      <c r="D95" s="9" t="s">
        <v>192</v>
      </c>
      <c r="E95" s="9" t="str">
        <f>CONCATENATE(C95," ",D95)</f>
        <v>Earl Rissel Jr</v>
      </c>
      <c r="F95" s="9">
        <v>50091830</v>
      </c>
      <c r="G95" s="9" t="str">
        <f>CONCATENATE(F95,2)</f>
        <v>500918302</v>
      </c>
      <c r="H95" s="10">
        <v>46023</v>
      </c>
      <c r="I95" s="10">
        <v>46052</v>
      </c>
      <c r="J95" s="9" t="s">
        <v>14</v>
      </c>
      <c r="K95" s="9" t="s">
        <v>288</v>
      </c>
      <c r="L95" s="11">
        <v>-391</v>
      </c>
      <c r="M95" s="9" t="s">
        <v>293</v>
      </c>
      <c r="N95" s="9" t="s">
        <v>296</v>
      </c>
    </row>
    <row r="96" spans="1:15" s="9" customFormat="1" x14ac:dyDescent="0.25">
      <c r="A96" s="3" t="s">
        <v>300</v>
      </c>
      <c r="B96" s="3">
        <v>20411454</v>
      </c>
      <c r="C96" s="3" t="s">
        <v>171</v>
      </c>
      <c r="D96" s="3" t="s">
        <v>192</v>
      </c>
      <c r="E96" s="3" t="str">
        <f>CONCATENATE(C96," ",D96)</f>
        <v>Earl Rissel Jr</v>
      </c>
      <c r="F96" s="3">
        <v>50091830</v>
      </c>
      <c r="G96" s="3" t="str">
        <f>CONCATENATE(F96,"OVR")</f>
        <v>50091830OVR</v>
      </c>
      <c r="H96" s="4">
        <v>46023</v>
      </c>
      <c r="I96" s="4">
        <v>46052</v>
      </c>
      <c r="J96" s="3" t="s">
        <v>14</v>
      </c>
      <c r="K96" s="3" t="s">
        <v>179</v>
      </c>
      <c r="L96" s="5">
        <v>-65</v>
      </c>
      <c r="M96" s="3" t="s">
        <v>292</v>
      </c>
      <c r="N96" s="3"/>
      <c r="O96" s="3"/>
    </row>
    <row r="97" spans="1:15" s="9" customFormat="1" x14ac:dyDescent="0.25">
      <c r="A97" s="9" t="s">
        <v>49</v>
      </c>
      <c r="B97" s="9">
        <v>15278437</v>
      </c>
      <c r="C97" s="9" t="s">
        <v>202</v>
      </c>
      <c r="D97" s="9" t="s">
        <v>203</v>
      </c>
      <c r="E97" s="9" t="str">
        <f>CONCATENATE(C97," ",D97)</f>
        <v>Edmund Szeliga</v>
      </c>
      <c r="F97" s="9">
        <v>50123034</v>
      </c>
      <c r="G97" s="9" t="str">
        <f>CONCATENATE(F97,2)</f>
        <v>501230342</v>
      </c>
      <c r="H97" s="10">
        <v>46023</v>
      </c>
      <c r="I97" s="10">
        <v>46052</v>
      </c>
      <c r="J97" s="9" t="s">
        <v>14</v>
      </c>
      <c r="K97" s="9" t="s">
        <v>288</v>
      </c>
      <c r="L97" s="11">
        <v>-391</v>
      </c>
      <c r="M97" s="9" t="s">
        <v>293</v>
      </c>
      <c r="N97" s="9" t="s">
        <v>296</v>
      </c>
    </row>
    <row r="98" spans="1:15" s="9" customFormat="1" x14ac:dyDescent="0.25">
      <c r="A98" s="3" t="s">
        <v>300</v>
      </c>
      <c r="B98" s="3">
        <v>20411454</v>
      </c>
      <c r="C98" s="3" t="s">
        <v>202</v>
      </c>
      <c r="D98" s="3" t="s">
        <v>203</v>
      </c>
      <c r="E98" s="3" t="str">
        <f>CONCATENATE(C98," ",D98)</f>
        <v>Edmund Szeliga</v>
      </c>
      <c r="F98" s="3">
        <v>50123034</v>
      </c>
      <c r="G98" s="3" t="str">
        <f>CONCATENATE(F98,"OVR")</f>
        <v>50123034OVR</v>
      </c>
      <c r="H98" s="4">
        <v>46023</v>
      </c>
      <c r="I98" s="4">
        <v>46052</v>
      </c>
      <c r="J98" s="3" t="s">
        <v>14</v>
      </c>
      <c r="K98" s="3" t="s">
        <v>179</v>
      </c>
      <c r="L98" s="5">
        <v>-65</v>
      </c>
      <c r="M98" s="3" t="s">
        <v>292</v>
      </c>
      <c r="N98" s="3"/>
      <c r="O98" s="3"/>
    </row>
    <row r="99" spans="1:15" s="9" customFormat="1" x14ac:dyDescent="0.25">
      <c r="A99" s="3" t="s">
        <v>300</v>
      </c>
      <c r="B99" s="3">
        <v>20411454</v>
      </c>
      <c r="C99" s="3" t="s">
        <v>271</v>
      </c>
      <c r="D99" s="3" t="s">
        <v>272</v>
      </c>
      <c r="E99" s="3" t="str">
        <f>CONCATENATE(C99," ",D99)</f>
        <v>Edward Stolarski Jr</v>
      </c>
      <c r="F99" s="3">
        <v>50140179</v>
      </c>
      <c r="G99" s="3" t="str">
        <f>CONCATENATE(F99,"OVR")</f>
        <v>50140179OVR</v>
      </c>
      <c r="H99" s="4">
        <v>46023</v>
      </c>
      <c r="I99" s="4">
        <v>46052</v>
      </c>
      <c r="J99" s="3" t="s">
        <v>14</v>
      </c>
      <c r="K99" s="3" t="s">
        <v>179</v>
      </c>
      <c r="L99" s="5">
        <v>-65</v>
      </c>
      <c r="M99" s="3" t="s">
        <v>292</v>
      </c>
      <c r="N99" s="3"/>
      <c r="O99" s="3"/>
    </row>
    <row r="100" spans="1:15" s="9" customFormat="1" x14ac:dyDescent="0.25">
      <c r="A100" s="9" t="s">
        <v>23</v>
      </c>
      <c r="B100" s="9">
        <v>17425766</v>
      </c>
      <c r="C100" s="9" t="s">
        <v>34</v>
      </c>
      <c r="D100" s="9" t="s">
        <v>35</v>
      </c>
      <c r="E100" s="9" t="str">
        <f>CONCATENATE(C100," ",D100)</f>
        <v>Eileen Dougherty</v>
      </c>
      <c r="F100" s="9">
        <v>50100668</v>
      </c>
      <c r="G100" s="9" t="str">
        <f>CONCATENATE(F100,2)</f>
        <v>501006682</v>
      </c>
      <c r="H100" s="10">
        <v>46023</v>
      </c>
      <c r="I100" s="10">
        <v>46048</v>
      </c>
      <c r="J100" s="9" t="s">
        <v>14</v>
      </c>
      <c r="K100" s="9" t="s">
        <v>20</v>
      </c>
      <c r="L100" s="11">
        <v>391</v>
      </c>
      <c r="M100" s="9" t="s">
        <v>293</v>
      </c>
      <c r="N100" s="9" t="s">
        <v>296</v>
      </c>
    </row>
    <row r="101" spans="1:15" s="9" customFormat="1" x14ac:dyDescent="0.25">
      <c r="A101" s="3" t="s">
        <v>300</v>
      </c>
      <c r="B101" s="3">
        <v>20411454</v>
      </c>
      <c r="C101" s="3" t="s">
        <v>34</v>
      </c>
      <c r="D101" s="3" t="s">
        <v>35</v>
      </c>
      <c r="E101" s="3" t="str">
        <f>CONCATENATE(C101," ",D101)</f>
        <v>Eileen Dougherty</v>
      </c>
      <c r="F101" s="3">
        <v>50100668</v>
      </c>
      <c r="G101" s="3" t="str">
        <f>CONCATENATE(F101,"OVR")</f>
        <v>50100668OVR</v>
      </c>
      <c r="H101" s="4">
        <v>46023</v>
      </c>
      <c r="I101" s="4">
        <v>46048</v>
      </c>
      <c r="J101" s="3" t="s">
        <v>14</v>
      </c>
      <c r="K101" s="3" t="s">
        <v>15</v>
      </c>
      <c r="L101" s="5">
        <v>65</v>
      </c>
      <c r="M101" s="3" t="s">
        <v>292</v>
      </c>
      <c r="N101" s="3"/>
      <c r="O101" s="3"/>
    </row>
    <row r="102" spans="1:15" s="9" customFormat="1" x14ac:dyDescent="0.25">
      <c r="A102" s="9" t="s">
        <v>23</v>
      </c>
      <c r="B102" s="9">
        <v>17425766</v>
      </c>
      <c r="C102" s="9" t="s">
        <v>32</v>
      </c>
      <c r="D102" s="9" t="s">
        <v>33</v>
      </c>
      <c r="E102" s="9" t="str">
        <f>CONCATENATE(C102," ",D102)</f>
        <v>Elaine Dicolli</v>
      </c>
      <c r="F102" s="9">
        <v>50041928</v>
      </c>
      <c r="G102" s="9" t="str">
        <f>CONCATENATE(F102,2)</f>
        <v>500419282</v>
      </c>
      <c r="H102" s="10">
        <v>46023</v>
      </c>
      <c r="I102" s="10">
        <v>46048</v>
      </c>
      <c r="J102" s="9" t="s">
        <v>14</v>
      </c>
      <c r="K102" s="9" t="s">
        <v>20</v>
      </c>
      <c r="L102" s="11">
        <v>391</v>
      </c>
      <c r="M102" s="9" t="s">
        <v>293</v>
      </c>
      <c r="N102" s="9" t="s">
        <v>296</v>
      </c>
    </row>
    <row r="103" spans="1:15" s="9" customFormat="1" x14ac:dyDescent="0.25">
      <c r="A103" s="3" t="s">
        <v>300</v>
      </c>
      <c r="B103" s="3">
        <v>20411454</v>
      </c>
      <c r="C103" s="3" t="s">
        <v>32</v>
      </c>
      <c r="D103" s="3" t="s">
        <v>33</v>
      </c>
      <c r="E103" s="3" t="str">
        <f>CONCATENATE(C103," ",D103)</f>
        <v>Elaine Dicolli</v>
      </c>
      <c r="F103" s="3">
        <v>50041928</v>
      </c>
      <c r="G103" s="3" t="str">
        <f>CONCATENATE(F103,"OVR")</f>
        <v>50041928OVR</v>
      </c>
      <c r="H103" s="4">
        <v>46023</v>
      </c>
      <c r="I103" s="4">
        <v>46048</v>
      </c>
      <c r="J103" s="3" t="s">
        <v>14</v>
      </c>
      <c r="K103" s="3" t="s">
        <v>15</v>
      </c>
      <c r="L103" s="5">
        <v>65</v>
      </c>
      <c r="M103" s="3" t="s">
        <v>292</v>
      </c>
      <c r="N103" s="3"/>
      <c r="O103" s="3"/>
    </row>
    <row r="104" spans="1:15" s="9" customFormat="1" x14ac:dyDescent="0.25">
      <c r="A104" s="9" t="s">
        <v>49</v>
      </c>
      <c r="B104" s="9">
        <v>15278437</v>
      </c>
      <c r="C104" s="9" t="s">
        <v>289</v>
      </c>
      <c r="D104" s="9" t="s">
        <v>290</v>
      </c>
      <c r="E104" s="9" t="str">
        <f>CONCATENATE(C104," ",D104)</f>
        <v>Elizabeth Mcmichael</v>
      </c>
      <c r="F104" s="9">
        <v>50092047</v>
      </c>
      <c r="G104" s="9" t="str">
        <f>CONCATENATE(F104,2)</f>
        <v>500920472</v>
      </c>
      <c r="H104" s="10">
        <v>46023</v>
      </c>
      <c r="I104" s="10">
        <v>46052</v>
      </c>
      <c r="J104" s="9" t="s">
        <v>14</v>
      </c>
      <c r="K104" s="9" t="s">
        <v>288</v>
      </c>
      <c r="L104" s="11">
        <v>-391</v>
      </c>
      <c r="M104" s="9" t="s">
        <v>293</v>
      </c>
      <c r="N104" s="9" t="s">
        <v>296</v>
      </c>
    </row>
    <row r="105" spans="1:15" s="9" customFormat="1" x14ac:dyDescent="0.25">
      <c r="A105" s="3" t="s">
        <v>300</v>
      </c>
      <c r="B105" s="3">
        <v>20411454</v>
      </c>
      <c r="C105" s="3" t="s">
        <v>140</v>
      </c>
      <c r="D105" s="3" t="s">
        <v>141</v>
      </c>
      <c r="E105" s="3" t="str">
        <f>CONCATENATE(C105," ",D105)</f>
        <v>Ellen Brown</v>
      </c>
      <c r="F105" s="3">
        <v>50120945</v>
      </c>
      <c r="G105" s="3" t="str">
        <f>CONCATENATE(F105,"OVR")</f>
        <v>50120945OVR</v>
      </c>
      <c r="H105" s="4">
        <v>46023</v>
      </c>
      <c r="I105" s="4">
        <v>46048</v>
      </c>
      <c r="J105" s="3" t="s">
        <v>14</v>
      </c>
      <c r="K105" s="3" t="s">
        <v>15</v>
      </c>
      <c r="L105" s="5">
        <v>65</v>
      </c>
      <c r="M105" s="3" t="s">
        <v>292</v>
      </c>
      <c r="N105" s="3"/>
      <c r="O105" s="3"/>
    </row>
    <row r="106" spans="1:15" s="9" customFormat="1" x14ac:dyDescent="0.25">
      <c r="A106" s="3" t="s">
        <v>300</v>
      </c>
      <c r="B106" s="3">
        <v>20411454</v>
      </c>
      <c r="C106" s="3" t="s">
        <v>96</v>
      </c>
      <c r="D106" s="3" t="s">
        <v>97</v>
      </c>
      <c r="E106" s="3" t="str">
        <f>CONCATENATE(C106," ",D106)</f>
        <v>Francis Kealey Sr</v>
      </c>
      <c r="F106" s="3">
        <v>50116383</v>
      </c>
      <c r="G106" s="3" t="str">
        <f>CONCATENATE(F106,"OVR")</f>
        <v>50116383OVR</v>
      </c>
      <c r="H106" s="4">
        <v>46023</v>
      </c>
      <c r="I106" s="4">
        <v>46048</v>
      </c>
      <c r="J106" s="3" t="s">
        <v>14</v>
      </c>
      <c r="K106" s="3" t="s">
        <v>15</v>
      </c>
      <c r="L106" s="5">
        <v>65</v>
      </c>
      <c r="M106" s="3" t="s">
        <v>292</v>
      </c>
      <c r="N106" s="3"/>
      <c r="O106" s="3"/>
    </row>
    <row r="107" spans="1:15" s="9" customFormat="1" x14ac:dyDescent="0.25">
      <c r="A107" s="9" t="s">
        <v>49</v>
      </c>
      <c r="B107" s="9">
        <v>15278437</v>
      </c>
      <c r="C107" s="9" t="s">
        <v>96</v>
      </c>
      <c r="D107" s="9" t="s">
        <v>219</v>
      </c>
      <c r="E107" s="9" t="str">
        <f>CONCATENATE(C107," ",D107)</f>
        <v>Francis Leitner</v>
      </c>
      <c r="F107" s="9">
        <v>50000625</v>
      </c>
      <c r="G107" s="9" t="str">
        <f>CONCATENATE(F107,2)</f>
        <v>500006252</v>
      </c>
      <c r="H107" s="10">
        <v>46023</v>
      </c>
      <c r="I107" s="10">
        <v>46052</v>
      </c>
      <c r="J107" s="9" t="s">
        <v>14</v>
      </c>
      <c r="K107" s="9" t="s">
        <v>288</v>
      </c>
      <c r="L107" s="11">
        <v>-391</v>
      </c>
      <c r="M107" s="9" t="s">
        <v>293</v>
      </c>
      <c r="N107" s="9" t="s">
        <v>296</v>
      </c>
    </row>
    <row r="108" spans="1:15" s="9" customFormat="1" x14ac:dyDescent="0.25">
      <c r="A108" s="3" t="s">
        <v>300</v>
      </c>
      <c r="B108" s="3">
        <v>20411454</v>
      </c>
      <c r="C108" s="3" t="s">
        <v>96</v>
      </c>
      <c r="D108" s="3" t="s">
        <v>219</v>
      </c>
      <c r="E108" s="3" t="str">
        <f>CONCATENATE(C108," ",D108)</f>
        <v>Francis Leitner</v>
      </c>
      <c r="F108" s="3">
        <v>50000625</v>
      </c>
      <c r="G108" s="3" t="str">
        <f>CONCATENATE(F108,"OVR")</f>
        <v>50000625OVR</v>
      </c>
      <c r="H108" s="4">
        <v>46023</v>
      </c>
      <c r="I108" s="4">
        <v>46052</v>
      </c>
      <c r="J108" s="3" t="s">
        <v>14</v>
      </c>
      <c r="K108" s="3" t="s">
        <v>179</v>
      </c>
      <c r="L108" s="5">
        <v>-65</v>
      </c>
      <c r="M108" s="3" t="s">
        <v>292</v>
      </c>
      <c r="N108" s="3"/>
      <c r="O108" s="3"/>
    </row>
    <row r="109" spans="1:15" s="9" customFormat="1" x14ac:dyDescent="0.25">
      <c r="A109" s="9" t="s">
        <v>49</v>
      </c>
      <c r="B109" s="9">
        <v>15278437</v>
      </c>
      <c r="C109" s="9" t="s">
        <v>204</v>
      </c>
      <c r="D109" s="9" t="s">
        <v>205</v>
      </c>
      <c r="E109" s="9" t="str">
        <f>CONCATENATE(C109," ",D109)</f>
        <v>Frank Liberi Jr</v>
      </c>
      <c r="F109" s="9">
        <v>50016416</v>
      </c>
      <c r="G109" s="9" t="str">
        <f>CONCATENATE(F109,2)</f>
        <v>500164162</v>
      </c>
      <c r="H109" s="10">
        <v>46023</v>
      </c>
      <c r="I109" s="10">
        <v>46052</v>
      </c>
      <c r="J109" s="9" t="s">
        <v>14</v>
      </c>
      <c r="K109" s="9" t="s">
        <v>288</v>
      </c>
      <c r="L109" s="11">
        <v>-391</v>
      </c>
      <c r="M109" s="9" t="s">
        <v>293</v>
      </c>
      <c r="N109" s="9" t="s">
        <v>296</v>
      </c>
    </row>
    <row r="110" spans="1:15" s="9" customFormat="1" x14ac:dyDescent="0.25">
      <c r="A110" s="3" t="s">
        <v>300</v>
      </c>
      <c r="B110" s="3">
        <v>20411454</v>
      </c>
      <c r="C110" s="3" t="s">
        <v>204</v>
      </c>
      <c r="D110" s="3" t="s">
        <v>205</v>
      </c>
      <c r="E110" s="3" t="str">
        <f>CONCATENATE(C110," ",D110)</f>
        <v>Frank Liberi Jr</v>
      </c>
      <c r="F110" s="3">
        <v>50016416</v>
      </c>
      <c r="G110" s="3" t="str">
        <f>CONCATENATE(F110,"OVR")</f>
        <v>50016416OVR</v>
      </c>
      <c r="H110" s="4">
        <v>46023</v>
      </c>
      <c r="I110" s="4">
        <v>46052</v>
      </c>
      <c r="J110" s="3" t="s">
        <v>14</v>
      </c>
      <c r="K110" s="3" t="s">
        <v>179</v>
      </c>
      <c r="L110" s="5">
        <v>-65</v>
      </c>
      <c r="M110" s="3" t="s">
        <v>292</v>
      </c>
      <c r="N110" s="3"/>
      <c r="O110" s="3"/>
    </row>
    <row r="111" spans="1:15" s="9" customFormat="1" x14ac:dyDescent="0.25">
      <c r="A111" s="3" t="s">
        <v>300</v>
      </c>
      <c r="B111" s="3">
        <v>20411454</v>
      </c>
      <c r="C111" s="3" t="s">
        <v>87</v>
      </c>
      <c r="D111" s="3" t="s">
        <v>88</v>
      </c>
      <c r="E111" s="3" t="str">
        <f>CONCATENATE(C111," ",D111)</f>
        <v>Fred Wollner</v>
      </c>
      <c r="F111" s="3">
        <v>50110854</v>
      </c>
      <c r="G111" s="3" t="str">
        <f>CONCATENATE(F111,"OVR")</f>
        <v>50110854OVR</v>
      </c>
      <c r="H111" s="4">
        <v>46023</v>
      </c>
      <c r="I111" s="4">
        <v>46048</v>
      </c>
      <c r="J111" s="3" t="s">
        <v>14</v>
      </c>
      <c r="K111" s="3" t="s">
        <v>15</v>
      </c>
      <c r="L111" s="5">
        <v>65</v>
      </c>
      <c r="M111" s="3" t="s">
        <v>292</v>
      </c>
      <c r="N111" s="3"/>
      <c r="O111" s="3"/>
    </row>
    <row r="112" spans="1:15" s="9" customFormat="1" x14ac:dyDescent="0.25">
      <c r="A112" s="3" t="s">
        <v>300</v>
      </c>
      <c r="B112" s="3">
        <v>20411454</v>
      </c>
      <c r="C112" s="3" t="s">
        <v>132</v>
      </c>
      <c r="D112" s="3" t="s">
        <v>133</v>
      </c>
      <c r="E112" s="3" t="str">
        <f>CONCATENATE(C112," ",D112)</f>
        <v>George Green</v>
      </c>
      <c r="F112" s="3">
        <v>50114039</v>
      </c>
      <c r="G112" s="3" t="str">
        <f>CONCATENATE(F112,"OVR")</f>
        <v>50114039OVR</v>
      </c>
      <c r="H112" s="4">
        <v>46023</v>
      </c>
      <c r="I112" s="4">
        <v>46048</v>
      </c>
      <c r="J112" s="3" t="s">
        <v>14</v>
      </c>
      <c r="K112" s="3" t="s">
        <v>15</v>
      </c>
      <c r="L112" s="5">
        <v>65</v>
      </c>
      <c r="M112" s="3" t="s">
        <v>292</v>
      </c>
      <c r="N112" s="3"/>
      <c r="O112" s="3"/>
    </row>
    <row r="113" spans="1:15" s="9" customFormat="1" x14ac:dyDescent="0.25">
      <c r="A113" s="3" t="s">
        <v>300</v>
      </c>
      <c r="B113" s="3">
        <v>20411454</v>
      </c>
      <c r="C113" s="3" t="s">
        <v>152</v>
      </c>
      <c r="D113" s="3" t="s">
        <v>91</v>
      </c>
      <c r="E113" s="3" t="str">
        <f>CONCATENATE(C113," ",D113)</f>
        <v>Georgianna Przepioski</v>
      </c>
      <c r="F113" s="3">
        <v>50087438</v>
      </c>
      <c r="G113" s="3" t="str">
        <f>CONCATENATE(F113,"OVR")</f>
        <v>50087438OVR</v>
      </c>
      <c r="H113" s="4">
        <v>46023</v>
      </c>
      <c r="I113" s="4">
        <v>46048</v>
      </c>
      <c r="J113" s="3" t="s">
        <v>14</v>
      </c>
      <c r="K113" s="3" t="s">
        <v>15</v>
      </c>
      <c r="L113" s="5">
        <v>65</v>
      </c>
      <c r="M113" s="3" t="s">
        <v>292</v>
      </c>
      <c r="N113" s="3"/>
      <c r="O113" s="3"/>
    </row>
    <row r="114" spans="1:15" s="9" customFormat="1" x14ac:dyDescent="0.25">
      <c r="A114" s="9" t="s">
        <v>49</v>
      </c>
      <c r="B114" s="9">
        <v>15278437</v>
      </c>
      <c r="C114" s="9" t="s">
        <v>268</v>
      </c>
      <c r="D114" s="9" t="s">
        <v>259</v>
      </c>
      <c r="E114" s="9" t="str">
        <f>CONCATENATE(C114," ",D114)</f>
        <v>Gheng Pham</v>
      </c>
      <c r="F114" s="9">
        <v>50063253</v>
      </c>
      <c r="G114" s="9" t="str">
        <f>CONCATENATE(F114,2)</f>
        <v>500632532</v>
      </c>
      <c r="H114" s="10">
        <v>46023</v>
      </c>
      <c r="I114" s="10">
        <v>46052</v>
      </c>
      <c r="J114" s="9" t="s">
        <v>14</v>
      </c>
      <c r="K114" s="9" t="s">
        <v>288</v>
      </c>
      <c r="L114" s="11">
        <v>-391</v>
      </c>
      <c r="M114" s="9" t="s">
        <v>293</v>
      </c>
      <c r="N114" s="9" t="s">
        <v>296</v>
      </c>
    </row>
    <row r="115" spans="1:15" s="9" customFormat="1" x14ac:dyDescent="0.25">
      <c r="A115" s="3" t="s">
        <v>300</v>
      </c>
      <c r="B115" s="3">
        <v>20411454</v>
      </c>
      <c r="C115" s="3" t="s">
        <v>268</v>
      </c>
      <c r="D115" s="3" t="s">
        <v>259</v>
      </c>
      <c r="E115" s="3" t="str">
        <f>CONCATENATE(C115," ",D115)</f>
        <v>Gheng Pham</v>
      </c>
      <c r="F115" s="3">
        <v>50063253</v>
      </c>
      <c r="G115" s="3" t="str">
        <f>CONCATENATE(F115,"OVR")</f>
        <v>50063253OVR</v>
      </c>
      <c r="H115" s="4">
        <v>46023</v>
      </c>
      <c r="I115" s="4">
        <v>46052</v>
      </c>
      <c r="J115" s="3" t="s">
        <v>14</v>
      </c>
      <c r="K115" s="3" t="s">
        <v>179</v>
      </c>
      <c r="L115" s="5">
        <v>-65</v>
      </c>
      <c r="M115" s="3" t="s">
        <v>292</v>
      </c>
      <c r="N115" s="3"/>
      <c r="O115" s="3"/>
    </row>
    <row r="116" spans="1:15" s="9" customFormat="1" x14ac:dyDescent="0.25">
      <c r="A116" s="9" t="s">
        <v>190</v>
      </c>
      <c r="B116" s="9">
        <v>16509456</v>
      </c>
      <c r="C116" s="9" t="s">
        <v>211</v>
      </c>
      <c r="D116" s="9" t="s">
        <v>212</v>
      </c>
      <c r="E116" s="9" t="str">
        <f>CONCATENATE(C116," ",D116)</f>
        <v>Gina Ginsiorsky</v>
      </c>
      <c r="F116" s="9">
        <v>50089123</v>
      </c>
      <c r="G116" s="9" t="str">
        <f>CONCATENATE(F116,2)</f>
        <v>500891232</v>
      </c>
      <c r="H116" s="10">
        <v>46023</v>
      </c>
      <c r="I116" s="10">
        <v>46052</v>
      </c>
      <c r="J116" s="9" t="s">
        <v>14</v>
      </c>
      <c r="K116" s="9" t="s">
        <v>288</v>
      </c>
      <c r="L116" s="11">
        <v>-391</v>
      </c>
      <c r="M116" s="9" t="s">
        <v>293</v>
      </c>
      <c r="N116" s="9" t="s">
        <v>296</v>
      </c>
    </row>
    <row r="117" spans="1:15" s="9" customFormat="1" x14ac:dyDescent="0.25">
      <c r="A117" s="3" t="s">
        <v>300</v>
      </c>
      <c r="B117" s="3">
        <v>20411454</v>
      </c>
      <c r="C117" s="3" t="s">
        <v>211</v>
      </c>
      <c r="D117" s="3" t="s">
        <v>212</v>
      </c>
      <c r="E117" s="3" t="str">
        <f>CONCATENATE(C117," ",D117)</f>
        <v>Gina Ginsiorsky</v>
      </c>
      <c r="F117" s="3">
        <v>50089123</v>
      </c>
      <c r="G117" s="3" t="str">
        <f>CONCATENATE(F117,"OVR")</f>
        <v>50089123OVR</v>
      </c>
      <c r="H117" s="4">
        <v>46023</v>
      </c>
      <c r="I117" s="4">
        <v>46052</v>
      </c>
      <c r="J117" s="3" t="s">
        <v>14</v>
      </c>
      <c r="K117" s="3" t="s">
        <v>179</v>
      </c>
      <c r="L117" s="5">
        <v>-65</v>
      </c>
      <c r="M117" s="3" t="s">
        <v>292</v>
      </c>
      <c r="N117" s="3"/>
      <c r="O117" s="3"/>
    </row>
    <row r="118" spans="1:15" s="9" customFormat="1" x14ac:dyDescent="0.25">
      <c r="A118" s="3" t="s">
        <v>300</v>
      </c>
      <c r="B118" s="3">
        <v>20411454</v>
      </c>
      <c r="C118" s="3" t="s">
        <v>161</v>
      </c>
      <c r="D118" s="3" t="s">
        <v>157</v>
      </c>
      <c r="E118" s="3" t="str">
        <f>CONCATENATE(C118," ",D118)</f>
        <v>Gwendolyn Ratner</v>
      </c>
      <c r="F118" s="3">
        <v>50031564</v>
      </c>
      <c r="G118" s="3" t="str">
        <f>CONCATENATE(F118,"OVR")</f>
        <v>50031564OVR</v>
      </c>
      <c r="H118" s="4">
        <v>46023</v>
      </c>
      <c r="I118" s="4">
        <v>46048</v>
      </c>
      <c r="J118" s="3" t="s">
        <v>14</v>
      </c>
      <c r="K118" s="3" t="s">
        <v>15</v>
      </c>
      <c r="L118" s="5">
        <v>65</v>
      </c>
      <c r="M118" s="3" t="s">
        <v>292</v>
      </c>
      <c r="N118" s="3"/>
      <c r="O118" s="3"/>
    </row>
    <row r="119" spans="1:15" s="9" customFormat="1" x14ac:dyDescent="0.25">
      <c r="A119" s="3" t="s">
        <v>300</v>
      </c>
      <c r="B119" s="3">
        <v>20411454</v>
      </c>
      <c r="C119" s="3" t="s">
        <v>188</v>
      </c>
      <c r="D119" s="3" t="s">
        <v>189</v>
      </c>
      <c r="E119" s="3" t="str">
        <f>CONCATENATE(C119," ",D119)</f>
        <v>Harriet Robinson</v>
      </c>
      <c r="F119" s="3">
        <v>50130006</v>
      </c>
      <c r="G119" s="3" t="str">
        <f>CONCATENATE(F119,"OVR")</f>
        <v>50130006OVR</v>
      </c>
      <c r="H119" s="4">
        <v>46023</v>
      </c>
      <c r="I119" s="4">
        <v>46052</v>
      </c>
      <c r="J119" s="3" t="s">
        <v>14</v>
      </c>
      <c r="K119" s="3" t="s">
        <v>179</v>
      </c>
      <c r="L119" s="5">
        <v>-65</v>
      </c>
      <c r="M119" s="3" t="s">
        <v>292</v>
      </c>
      <c r="N119" s="3"/>
      <c r="O119" s="3"/>
    </row>
    <row r="120" spans="1:15" s="9" customFormat="1" x14ac:dyDescent="0.25">
      <c r="A120" s="9" t="s">
        <v>11</v>
      </c>
      <c r="B120" s="9" t="s">
        <v>301</v>
      </c>
      <c r="C120" s="9" t="s">
        <v>18</v>
      </c>
      <c r="D120" s="9" t="s">
        <v>19</v>
      </c>
      <c r="E120" s="9" t="str">
        <f>CONCATENATE(C120," ",D120)</f>
        <v>Harry Chicosky Jr</v>
      </c>
      <c r="F120" s="9">
        <v>50133152</v>
      </c>
      <c r="G120" s="9" t="str">
        <f>CONCATENATE(F120,2)</f>
        <v>501331522</v>
      </c>
      <c r="H120" s="10">
        <v>46023</v>
      </c>
      <c r="I120" s="10">
        <v>46052</v>
      </c>
      <c r="J120" s="9" t="s">
        <v>14</v>
      </c>
      <c r="K120" s="9" t="s">
        <v>288</v>
      </c>
      <c r="L120" s="11">
        <v>-391</v>
      </c>
      <c r="M120" s="9" t="s">
        <v>293</v>
      </c>
      <c r="N120" s="9" t="s">
        <v>296</v>
      </c>
    </row>
    <row r="121" spans="1:15" s="9" customFormat="1" x14ac:dyDescent="0.25">
      <c r="A121" s="9" t="s">
        <v>11</v>
      </c>
      <c r="B121" s="9" t="s">
        <v>301</v>
      </c>
      <c r="C121" s="9" t="s">
        <v>18</v>
      </c>
      <c r="D121" s="9" t="s">
        <v>19</v>
      </c>
      <c r="E121" s="9" t="str">
        <f>CONCATENATE(C121," ",D121)</f>
        <v>Harry Chicosky Jr</v>
      </c>
      <c r="F121" s="9">
        <v>50133152</v>
      </c>
      <c r="G121" s="9" t="str">
        <f>CONCATENATE(F121,2)</f>
        <v>501331522</v>
      </c>
      <c r="H121" s="10">
        <v>46023</v>
      </c>
      <c r="I121" s="10">
        <v>46048</v>
      </c>
      <c r="J121" s="9" t="s">
        <v>14</v>
      </c>
      <c r="K121" s="9" t="s">
        <v>20</v>
      </c>
      <c r="L121" s="11">
        <v>391</v>
      </c>
      <c r="M121" s="9" t="s">
        <v>293</v>
      </c>
      <c r="N121" s="9" t="s">
        <v>296</v>
      </c>
    </row>
    <row r="122" spans="1:15" s="3" customFormat="1" x14ac:dyDescent="0.25">
      <c r="A122" s="3" t="s">
        <v>300</v>
      </c>
      <c r="B122" s="3">
        <v>20411454</v>
      </c>
      <c r="C122" s="3" t="s">
        <v>18</v>
      </c>
      <c r="D122" s="3" t="s">
        <v>19</v>
      </c>
      <c r="E122" s="3" t="str">
        <f>CONCATENATE(C122," ",D122)</f>
        <v>Harry Chicosky Jr</v>
      </c>
      <c r="F122" s="3">
        <v>50133152</v>
      </c>
      <c r="G122" s="3" t="str">
        <f>CONCATENATE(F122,"OVR")</f>
        <v>50133152OVR</v>
      </c>
      <c r="H122" s="4">
        <v>46023</v>
      </c>
      <c r="I122" s="4">
        <v>46052</v>
      </c>
      <c r="J122" s="3" t="s">
        <v>14</v>
      </c>
      <c r="K122" s="3" t="s">
        <v>179</v>
      </c>
      <c r="L122" s="5">
        <v>-65</v>
      </c>
      <c r="M122" s="3" t="s">
        <v>292</v>
      </c>
    </row>
    <row r="123" spans="1:15" s="3" customFormat="1" x14ac:dyDescent="0.25">
      <c r="A123" s="3" t="s">
        <v>300</v>
      </c>
      <c r="B123" s="3">
        <v>20411454</v>
      </c>
      <c r="C123" s="3" t="s">
        <v>18</v>
      </c>
      <c r="D123" s="3" t="s">
        <v>19</v>
      </c>
      <c r="E123" s="3" t="str">
        <f>CONCATENATE(C123," ",D123)</f>
        <v>Harry Chicosky Jr</v>
      </c>
      <c r="F123" s="3">
        <v>50133152</v>
      </c>
      <c r="G123" s="3" t="str">
        <f>CONCATENATE(F123,"OVR")</f>
        <v>50133152OVR</v>
      </c>
      <c r="H123" s="4">
        <v>46023</v>
      </c>
      <c r="I123" s="4">
        <v>46048</v>
      </c>
      <c r="J123" s="3" t="s">
        <v>14</v>
      </c>
      <c r="K123" s="3" t="s">
        <v>15</v>
      </c>
      <c r="L123" s="5">
        <v>65</v>
      </c>
      <c r="M123" s="3" t="s">
        <v>292</v>
      </c>
    </row>
    <row r="124" spans="1:15" s="3" customFormat="1" x14ac:dyDescent="0.25">
      <c r="A124" s="9" t="s">
        <v>49</v>
      </c>
      <c r="B124" s="9">
        <v>15278437</v>
      </c>
      <c r="C124" s="9" t="s">
        <v>76</v>
      </c>
      <c r="D124" s="9" t="s">
        <v>77</v>
      </c>
      <c r="E124" s="9" t="str">
        <f>CONCATENATE(C124," ",D124)</f>
        <v>Helene Hoffsommer</v>
      </c>
      <c r="F124" s="9">
        <v>50026769</v>
      </c>
      <c r="G124" s="9" t="str">
        <f>CONCATENATE(F124,2)</f>
        <v>500267692</v>
      </c>
      <c r="H124" s="10">
        <v>46023</v>
      </c>
      <c r="I124" s="10">
        <v>46052</v>
      </c>
      <c r="J124" s="9" t="s">
        <v>14</v>
      </c>
      <c r="K124" s="9" t="s">
        <v>288</v>
      </c>
      <c r="L124" s="11">
        <v>-391</v>
      </c>
      <c r="M124" s="9" t="s">
        <v>293</v>
      </c>
      <c r="N124" s="9" t="s">
        <v>296</v>
      </c>
      <c r="O124" s="9"/>
    </row>
    <row r="125" spans="1:15" s="3" customFormat="1" x14ac:dyDescent="0.25">
      <c r="A125" s="9" t="s">
        <v>49</v>
      </c>
      <c r="B125" s="9">
        <v>15278437</v>
      </c>
      <c r="C125" s="9" t="s">
        <v>76</v>
      </c>
      <c r="D125" s="9" t="s">
        <v>77</v>
      </c>
      <c r="E125" s="9" t="str">
        <f>CONCATENATE(C125," ",D125)</f>
        <v>Helene Hoffsommer</v>
      </c>
      <c r="F125" s="9">
        <v>50026769</v>
      </c>
      <c r="G125" s="9" t="str">
        <f>CONCATENATE(F125,2)</f>
        <v>500267692</v>
      </c>
      <c r="H125" s="10">
        <v>46023</v>
      </c>
      <c r="I125" s="10">
        <v>46048</v>
      </c>
      <c r="J125" s="9" t="s">
        <v>14</v>
      </c>
      <c r="K125" s="9" t="s">
        <v>20</v>
      </c>
      <c r="L125" s="11">
        <v>391</v>
      </c>
      <c r="M125" s="9" t="s">
        <v>293</v>
      </c>
      <c r="N125" s="9" t="s">
        <v>296</v>
      </c>
      <c r="O125" s="9"/>
    </row>
    <row r="126" spans="1:15" s="3" customFormat="1" x14ac:dyDescent="0.25">
      <c r="A126" s="3" t="s">
        <v>300</v>
      </c>
      <c r="B126" s="3">
        <v>20411454</v>
      </c>
      <c r="C126" s="3" t="s">
        <v>76</v>
      </c>
      <c r="D126" s="3" t="s">
        <v>77</v>
      </c>
      <c r="E126" s="3" t="str">
        <f>CONCATENATE(C126," ",D126)</f>
        <v>Helene Hoffsommer</v>
      </c>
      <c r="F126" s="3">
        <v>50026769</v>
      </c>
      <c r="G126" s="3" t="str">
        <f>CONCATENATE(F126,"OVR")</f>
        <v>50026769OVR</v>
      </c>
      <c r="H126" s="4">
        <v>46023</v>
      </c>
      <c r="I126" s="4">
        <v>46052</v>
      </c>
      <c r="J126" s="3" t="s">
        <v>14</v>
      </c>
      <c r="K126" s="3" t="s">
        <v>179</v>
      </c>
      <c r="L126" s="5">
        <v>-65</v>
      </c>
      <c r="M126" s="3" t="s">
        <v>292</v>
      </c>
    </row>
    <row r="127" spans="1:15" s="3" customFormat="1" x14ac:dyDescent="0.25">
      <c r="A127" s="3" t="s">
        <v>300</v>
      </c>
      <c r="B127" s="3">
        <v>20411454</v>
      </c>
      <c r="C127" s="3" t="s">
        <v>76</v>
      </c>
      <c r="D127" s="3" t="s">
        <v>77</v>
      </c>
      <c r="E127" s="3" t="str">
        <f>CONCATENATE(C127," ",D127)</f>
        <v>Helene Hoffsommer</v>
      </c>
      <c r="F127" s="3">
        <v>50026769</v>
      </c>
      <c r="G127" s="3" t="str">
        <f>CONCATENATE(F127,"OVR")</f>
        <v>50026769OVR</v>
      </c>
      <c r="H127" s="4">
        <v>46023</v>
      </c>
      <c r="I127" s="4">
        <v>46048</v>
      </c>
      <c r="J127" s="3" t="s">
        <v>14</v>
      </c>
      <c r="K127" s="3" t="s">
        <v>15</v>
      </c>
      <c r="L127" s="5">
        <v>65</v>
      </c>
      <c r="M127" s="3" t="s">
        <v>292</v>
      </c>
    </row>
    <row r="128" spans="1:15" s="3" customFormat="1" x14ac:dyDescent="0.25">
      <c r="A128" s="9" t="s">
        <v>49</v>
      </c>
      <c r="B128" s="9">
        <v>15278437</v>
      </c>
      <c r="C128" s="9" t="s">
        <v>75</v>
      </c>
      <c r="D128" s="9" t="s">
        <v>52</v>
      </c>
      <c r="E128" s="9" t="str">
        <f>CONCATENATE(C128," ",D128)</f>
        <v>Howard Peterson</v>
      </c>
      <c r="F128" s="9">
        <v>50008813</v>
      </c>
      <c r="G128" s="9" t="str">
        <f>CONCATENATE(F128,2)</f>
        <v>500088132</v>
      </c>
      <c r="H128" s="10">
        <v>46023</v>
      </c>
      <c r="I128" s="10">
        <v>46052</v>
      </c>
      <c r="J128" s="9" t="s">
        <v>14</v>
      </c>
      <c r="K128" s="9" t="s">
        <v>288</v>
      </c>
      <c r="L128" s="11">
        <v>-391</v>
      </c>
      <c r="M128" s="9" t="s">
        <v>293</v>
      </c>
      <c r="N128" s="9" t="s">
        <v>296</v>
      </c>
      <c r="O128" s="9"/>
    </row>
    <row r="129" spans="1:15" s="3" customFormat="1" x14ac:dyDescent="0.25">
      <c r="A129" s="9" t="s">
        <v>49</v>
      </c>
      <c r="B129" s="9">
        <v>15278437</v>
      </c>
      <c r="C129" s="9" t="s">
        <v>75</v>
      </c>
      <c r="D129" s="9" t="s">
        <v>52</v>
      </c>
      <c r="E129" s="9" t="str">
        <f>CONCATENATE(C129," ",D129)</f>
        <v>Howard Peterson</v>
      </c>
      <c r="F129" s="9">
        <v>50008813</v>
      </c>
      <c r="G129" s="9" t="str">
        <f>CONCATENATE(F129,2)</f>
        <v>500088132</v>
      </c>
      <c r="H129" s="10">
        <v>46023</v>
      </c>
      <c r="I129" s="10">
        <v>46048</v>
      </c>
      <c r="J129" s="9" t="s">
        <v>14</v>
      </c>
      <c r="K129" s="9" t="s">
        <v>20</v>
      </c>
      <c r="L129" s="11">
        <v>391</v>
      </c>
      <c r="M129" s="9" t="s">
        <v>293</v>
      </c>
      <c r="N129" s="9" t="s">
        <v>296</v>
      </c>
      <c r="O129" s="9"/>
    </row>
    <row r="130" spans="1:15" s="3" customFormat="1" x14ac:dyDescent="0.25">
      <c r="A130" s="3" t="s">
        <v>300</v>
      </c>
      <c r="B130" s="3">
        <v>20411454</v>
      </c>
      <c r="C130" s="3" t="s">
        <v>75</v>
      </c>
      <c r="D130" s="3" t="s">
        <v>52</v>
      </c>
      <c r="E130" s="3" t="str">
        <f>CONCATENATE(C130," ",D130)</f>
        <v>Howard Peterson</v>
      </c>
      <c r="F130" s="3">
        <v>50008813</v>
      </c>
      <c r="G130" s="3" t="str">
        <f>CONCATENATE(F130,"OVR")</f>
        <v>50008813OVR</v>
      </c>
      <c r="H130" s="4">
        <v>46023</v>
      </c>
      <c r="I130" s="4">
        <v>46052</v>
      </c>
      <c r="J130" s="3" t="s">
        <v>14</v>
      </c>
      <c r="K130" s="3" t="s">
        <v>179</v>
      </c>
      <c r="L130" s="5">
        <v>-65</v>
      </c>
      <c r="M130" s="3" t="s">
        <v>292</v>
      </c>
    </row>
    <row r="131" spans="1:15" s="3" customFormat="1" x14ac:dyDescent="0.25">
      <c r="A131" s="3" t="s">
        <v>300</v>
      </c>
      <c r="B131" s="3">
        <v>20411454</v>
      </c>
      <c r="C131" s="3" t="s">
        <v>75</v>
      </c>
      <c r="D131" s="3" t="s">
        <v>52</v>
      </c>
      <c r="E131" s="3" t="str">
        <f>CONCATENATE(C131," ",D131)</f>
        <v>Howard Peterson</v>
      </c>
      <c r="F131" s="3">
        <v>50008813</v>
      </c>
      <c r="G131" s="3" t="str">
        <f>CONCATENATE(F131,"OVR")</f>
        <v>50008813OVR</v>
      </c>
      <c r="H131" s="4">
        <v>46023</v>
      </c>
      <c r="I131" s="4">
        <v>46048</v>
      </c>
      <c r="J131" s="3" t="s">
        <v>14</v>
      </c>
      <c r="K131" s="3" t="s">
        <v>15</v>
      </c>
      <c r="L131" s="5">
        <v>65</v>
      </c>
      <c r="M131" s="3" t="s">
        <v>292</v>
      </c>
    </row>
    <row r="132" spans="1:15" s="3" customFormat="1" x14ac:dyDescent="0.25">
      <c r="A132" s="9" t="s">
        <v>49</v>
      </c>
      <c r="B132" s="9">
        <v>15278437</v>
      </c>
      <c r="C132" s="9" t="s">
        <v>244</v>
      </c>
      <c r="D132" s="9" t="s">
        <v>217</v>
      </c>
      <c r="E132" s="9" t="str">
        <f>CONCATENATE(C132," ",D132)</f>
        <v>Hristos Papadopoulos</v>
      </c>
      <c r="F132" s="9">
        <v>50111159</v>
      </c>
      <c r="G132" s="9" t="str">
        <f>CONCATENATE(F132,2)</f>
        <v>501111592</v>
      </c>
      <c r="H132" s="10">
        <v>46023</v>
      </c>
      <c r="I132" s="10">
        <v>46052</v>
      </c>
      <c r="J132" s="9" t="s">
        <v>14</v>
      </c>
      <c r="K132" s="9" t="s">
        <v>288</v>
      </c>
      <c r="L132" s="11">
        <v>-391</v>
      </c>
      <c r="M132" s="9" t="s">
        <v>293</v>
      </c>
      <c r="N132" s="9" t="s">
        <v>296</v>
      </c>
      <c r="O132" s="9"/>
    </row>
    <row r="133" spans="1:15" s="3" customFormat="1" x14ac:dyDescent="0.25">
      <c r="A133" s="3" t="s">
        <v>300</v>
      </c>
      <c r="B133" s="3">
        <v>20411454</v>
      </c>
      <c r="C133" s="3" t="s">
        <v>244</v>
      </c>
      <c r="D133" s="3" t="s">
        <v>217</v>
      </c>
      <c r="E133" s="3" t="str">
        <f>CONCATENATE(C133," ",D133)</f>
        <v>Hristos Papadopoulos</v>
      </c>
      <c r="F133" s="3">
        <v>50111159</v>
      </c>
      <c r="G133" s="3" t="str">
        <f>CONCATENATE(F133,"OVR")</f>
        <v>50111159OVR</v>
      </c>
      <c r="H133" s="4">
        <v>46023</v>
      </c>
      <c r="I133" s="4">
        <v>46052</v>
      </c>
      <c r="J133" s="3" t="s">
        <v>14</v>
      </c>
      <c r="K133" s="3" t="s">
        <v>179</v>
      </c>
      <c r="L133" s="5">
        <v>-65</v>
      </c>
      <c r="M133" s="3" t="s">
        <v>292</v>
      </c>
    </row>
    <row r="134" spans="1:15" s="3" customFormat="1" x14ac:dyDescent="0.25">
      <c r="A134" s="9" t="s">
        <v>49</v>
      </c>
      <c r="B134" s="9">
        <v>15278437</v>
      </c>
      <c r="C134" s="9" t="s">
        <v>63</v>
      </c>
      <c r="D134" s="9" t="s">
        <v>64</v>
      </c>
      <c r="E134" s="9" t="str">
        <f>CONCATENATE(C134," ",D134)</f>
        <v>Jack Milne Jr</v>
      </c>
      <c r="F134" s="9">
        <v>50137100</v>
      </c>
      <c r="G134" s="9" t="str">
        <f>CONCATENATE(F134,2)</f>
        <v>501371002</v>
      </c>
      <c r="H134" s="10">
        <v>46023</v>
      </c>
      <c r="I134" s="10">
        <v>46052</v>
      </c>
      <c r="J134" s="9" t="s">
        <v>14</v>
      </c>
      <c r="K134" s="9" t="s">
        <v>288</v>
      </c>
      <c r="L134" s="11">
        <v>-391</v>
      </c>
      <c r="M134" s="9" t="s">
        <v>293</v>
      </c>
      <c r="N134" s="9" t="s">
        <v>296</v>
      </c>
      <c r="O134" s="9"/>
    </row>
    <row r="135" spans="1:15" s="3" customFormat="1" x14ac:dyDescent="0.25">
      <c r="A135" s="9" t="s">
        <v>49</v>
      </c>
      <c r="B135" s="9">
        <v>15278437</v>
      </c>
      <c r="C135" s="9" t="s">
        <v>63</v>
      </c>
      <c r="D135" s="9" t="s">
        <v>64</v>
      </c>
      <c r="E135" s="9" t="str">
        <f>CONCATENATE(C135," ",D135)</f>
        <v>Jack Milne Jr</v>
      </c>
      <c r="F135" s="9">
        <v>50137100</v>
      </c>
      <c r="G135" s="9" t="str">
        <f>CONCATENATE(F135,2)</f>
        <v>501371002</v>
      </c>
      <c r="H135" s="10">
        <v>46023</v>
      </c>
      <c r="I135" s="10">
        <v>46048</v>
      </c>
      <c r="J135" s="9" t="s">
        <v>14</v>
      </c>
      <c r="K135" s="9" t="s">
        <v>20</v>
      </c>
      <c r="L135" s="11">
        <v>391</v>
      </c>
      <c r="M135" s="9" t="s">
        <v>293</v>
      </c>
      <c r="N135" s="9" t="s">
        <v>296</v>
      </c>
      <c r="O135" s="9"/>
    </row>
    <row r="136" spans="1:15" s="3" customFormat="1" x14ac:dyDescent="0.25">
      <c r="A136" s="3" t="s">
        <v>300</v>
      </c>
      <c r="B136" s="3">
        <v>20411454</v>
      </c>
      <c r="C136" s="3" t="s">
        <v>63</v>
      </c>
      <c r="D136" s="3" t="s">
        <v>64</v>
      </c>
      <c r="E136" s="3" t="str">
        <f>CONCATENATE(C136," ",D136)</f>
        <v>Jack Milne Jr</v>
      </c>
      <c r="F136" s="3">
        <v>50137100</v>
      </c>
      <c r="G136" s="3" t="str">
        <f>CONCATENATE(F136,"OVR")</f>
        <v>50137100OVR</v>
      </c>
      <c r="H136" s="4">
        <v>46023</v>
      </c>
      <c r="I136" s="4">
        <v>46048</v>
      </c>
      <c r="J136" s="3" t="s">
        <v>14</v>
      </c>
      <c r="K136" s="3" t="s">
        <v>15</v>
      </c>
      <c r="L136" s="5">
        <v>65</v>
      </c>
      <c r="M136" s="3" t="s">
        <v>292</v>
      </c>
    </row>
    <row r="137" spans="1:15" s="3" customFormat="1" x14ac:dyDescent="0.25">
      <c r="A137" s="9" t="s">
        <v>49</v>
      </c>
      <c r="B137" s="9">
        <v>15278437</v>
      </c>
      <c r="C137" s="9" t="s">
        <v>118</v>
      </c>
      <c r="D137" s="9" t="s">
        <v>199</v>
      </c>
      <c r="E137" s="9" t="str">
        <f>CONCATENATE(C137," ",D137)</f>
        <v>James Burton</v>
      </c>
      <c r="F137" s="9">
        <v>50095264</v>
      </c>
      <c r="G137" s="9" t="str">
        <f>CONCATENATE(F137,2)</f>
        <v>500952642</v>
      </c>
      <c r="H137" s="10">
        <v>46023</v>
      </c>
      <c r="I137" s="10">
        <v>46052</v>
      </c>
      <c r="J137" s="9" t="s">
        <v>14</v>
      </c>
      <c r="K137" s="9" t="s">
        <v>288</v>
      </c>
      <c r="L137" s="11">
        <v>-391</v>
      </c>
      <c r="M137" s="9" t="s">
        <v>293</v>
      </c>
      <c r="N137" s="9" t="s">
        <v>296</v>
      </c>
      <c r="O137" s="9"/>
    </row>
    <row r="138" spans="1:15" s="3" customFormat="1" x14ac:dyDescent="0.25">
      <c r="A138" s="3" t="s">
        <v>300</v>
      </c>
      <c r="B138" s="3">
        <v>20411454</v>
      </c>
      <c r="C138" s="3" t="s">
        <v>118</v>
      </c>
      <c r="D138" s="3" t="s">
        <v>199</v>
      </c>
      <c r="E138" s="3" t="str">
        <f>CONCATENATE(C138," ",D138)</f>
        <v>James Burton</v>
      </c>
      <c r="F138" s="3">
        <v>50095264</v>
      </c>
      <c r="G138" s="3" t="str">
        <f>CONCATENATE(F138,"OVR")</f>
        <v>50095264OVR</v>
      </c>
      <c r="H138" s="4">
        <v>46023</v>
      </c>
      <c r="I138" s="4">
        <v>46052</v>
      </c>
      <c r="J138" s="3" t="s">
        <v>14</v>
      </c>
      <c r="K138" s="3" t="s">
        <v>179</v>
      </c>
      <c r="L138" s="5">
        <v>-65</v>
      </c>
      <c r="M138" s="3" t="s">
        <v>292</v>
      </c>
    </row>
    <row r="139" spans="1:15" s="3" customFormat="1" x14ac:dyDescent="0.25">
      <c r="A139" s="3" t="s">
        <v>300</v>
      </c>
      <c r="B139" s="3">
        <v>20411454</v>
      </c>
      <c r="C139" s="3" t="s">
        <v>118</v>
      </c>
      <c r="D139" s="3" t="s">
        <v>119</v>
      </c>
      <c r="E139" s="3" t="str">
        <f>CONCATENATE(C139," ",D139)</f>
        <v>James Clemenson</v>
      </c>
      <c r="F139" s="3">
        <v>50027568</v>
      </c>
      <c r="G139" s="3" t="str">
        <f>CONCATENATE(F139,"OVR")</f>
        <v>50027568OVR</v>
      </c>
      <c r="H139" s="4">
        <v>46023</v>
      </c>
      <c r="I139" s="4">
        <v>46048</v>
      </c>
      <c r="J139" s="3" t="s">
        <v>14</v>
      </c>
      <c r="K139" s="3" t="s">
        <v>15</v>
      </c>
      <c r="L139" s="5">
        <v>65</v>
      </c>
      <c r="M139" s="3" t="s">
        <v>292</v>
      </c>
    </row>
    <row r="140" spans="1:15" s="3" customFormat="1" x14ac:dyDescent="0.25">
      <c r="A140" s="3" t="s">
        <v>300</v>
      </c>
      <c r="B140" s="3">
        <v>20411454</v>
      </c>
      <c r="C140" s="3" t="s">
        <v>118</v>
      </c>
      <c r="D140" s="3" t="s">
        <v>278</v>
      </c>
      <c r="E140" s="3" t="str">
        <f>CONCATENATE(C140," ",D140)</f>
        <v>James Tidwell</v>
      </c>
      <c r="F140" s="3">
        <v>50092241</v>
      </c>
      <c r="G140" s="3" t="str">
        <f>CONCATENATE(F140,"OVR")</f>
        <v>50092241OVR</v>
      </c>
      <c r="H140" s="4">
        <v>45658</v>
      </c>
      <c r="I140" s="4">
        <v>46052</v>
      </c>
      <c r="J140" s="3" t="s">
        <v>14</v>
      </c>
      <c r="K140" s="3" t="s">
        <v>179</v>
      </c>
      <c r="L140" s="5">
        <v>-65</v>
      </c>
      <c r="M140" s="3" t="s">
        <v>292</v>
      </c>
    </row>
    <row r="141" spans="1:15" s="3" customFormat="1" x14ac:dyDescent="0.25">
      <c r="A141" s="3" t="s">
        <v>300</v>
      </c>
      <c r="B141" s="3">
        <v>20411454</v>
      </c>
      <c r="C141" s="3" t="s">
        <v>85</v>
      </c>
      <c r="D141" s="3" t="s">
        <v>86</v>
      </c>
      <c r="E141" s="3" t="str">
        <f>CONCATENATE(C141," ",D141)</f>
        <v>Janet Ryan</v>
      </c>
      <c r="F141" s="3">
        <v>50091015</v>
      </c>
      <c r="G141" s="3" t="str">
        <f>CONCATENATE(F141,"OVR")</f>
        <v>50091015OVR</v>
      </c>
      <c r="H141" s="4">
        <v>46023</v>
      </c>
      <c r="I141" s="4">
        <v>46048</v>
      </c>
      <c r="J141" s="3" t="s">
        <v>14</v>
      </c>
      <c r="K141" s="3" t="s">
        <v>15</v>
      </c>
      <c r="L141" s="5">
        <v>65</v>
      </c>
      <c r="M141" s="3" t="s">
        <v>292</v>
      </c>
    </row>
    <row r="142" spans="1:15" s="3" customFormat="1" x14ac:dyDescent="0.25">
      <c r="A142" s="9" t="s">
        <v>190</v>
      </c>
      <c r="B142" s="9">
        <v>16509456</v>
      </c>
      <c r="C142" s="9" t="s">
        <v>85</v>
      </c>
      <c r="D142" s="9" t="s">
        <v>286</v>
      </c>
      <c r="E142" s="9" t="str">
        <f>CONCATENATE(C142," ",D142)</f>
        <v>Janet Travaglini</v>
      </c>
      <c r="F142" s="9">
        <v>50021457</v>
      </c>
      <c r="G142" s="9" t="str">
        <f>CONCATENATE(F142,2)</f>
        <v>500214572</v>
      </c>
      <c r="H142" s="10">
        <v>46023</v>
      </c>
      <c r="I142" s="10">
        <v>46052</v>
      </c>
      <c r="J142" s="9" t="s">
        <v>14</v>
      </c>
      <c r="K142" s="9" t="s">
        <v>288</v>
      </c>
      <c r="L142" s="11">
        <v>-391</v>
      </c>
      <c r="M142" s="9" t="s">
        <v>293</v>
      </c>
      <c r="N142" s="9" t="s">
        <v>296</v>
      </c>
      <c r="O142" s="9"/>
    </row>
    <row r="143" spans="1:15" s="3" customFormat="1" x14ac:dyDescent="0.25">
      <c r="A143" s="3" t="s">
        <v>300</v>
      </c>
      <c r="B143" s="3">
        <v>20411454</v>
      </c>
      <c r="C143" s="3" t="s">
        <v>85</v>
      </c>
      <c r="D143" s="3" t="s">
        <v>286</v>
      </c>
      <c r="E143" s="3" t="str">
        <f>CONCATENATE(C143," ",D143)</f>
        <v>Janet Travaglini</v>
      </c>
      <c r="F143" s="3">
        <v>50021457</v>
      </c>
      <c r="G143" s="3" t="str">
        <f>CONCATENATE(F143,"OVR")</f>
        <v>50021457OVR</v>
      </c>
      <c r="H143" s="4">
        <v>46023</v>
      </c>
      <c r="I143" s="4">
        <v>46052</v>
      </c>
      <c r="J143" s="3" t="s">
        <v>14</v>
      </c>
      <c r="K143" s="3" t="s">
        <v>179</v>
      </c>
      <c r="L143" s="5">
        <v>-65</v>
      </c>
      <c r="M143" s="3" t="s">
        <v>292</v>
      </c>
    </row>
    <row r="144" spans="1:15" s="3" customFormat="1" x14ac:dyDescent="0.25">
      <c r="A144" s="3" t="s">
        <v>300</v>
      </c>
      <c r="B144" s="3">
        <v>20411454</v>
      </c>
      <c r="C144" s="3" t="s">
        <v>260</v>
      </c>
      <c r="D144" s="3" t="s">
        <v>261</v>
      </c>
      <c r="E144" s="3" t="str">
        <f>CONCATENATE(C144," ",D144)</f>
        <v>Jerome Zager</v>
      </c>
      <c r="F144" s="3">
        <v>50008199</v>
      </c>
      <c r="G144" s="3" t="str">
        <f>CONCATENATE(F144,"OVR")</f>
        <v>50008199OVR</v>
      </c>
      <c r="H144" s="4">
        <v>46023</v>
      </c>
      <c r="I144" s="4">
        <v>46052</v>
      </c>
      <c r="J144" s="3" t="s">
        <v>14</v>
      </c>
      <c r="K144" s="3" t="s">
        <v>179</v>
      </c>
      <c r="L144" s="5">
        <v>-65</v>
      </c>
      <c r="M144" s="3" t="s">
        <v>292</v>
      </c>
    </row>
    <row r="145" spans="1:15" s="3" customFormat="1" x14ac:dyDescent="0.25">
      <c r="A145" s="3" t="s">
        <v>300</v>
      </c>
      <c r="B145" s="3">
        <v>20411454</v>
      </c>
      <c r="C145" s="3" t="s">
        <v>89</v>
      </c>
      <c r="D145" s="3" t="s">
        <v>90</v>
      </c>
      <c r="E145" s="3" t="str">
        <f>CONCATENATE(C145," ",D145)</f>
        <v>Joan Obrien</v>
      </c>
      <c r="F145" s="3">
        <v>50030579</v>
      </c>
      <c r="G145" s="3" t="str">
        <f>CONCATENATE(F145,"OVR")</f>
        <v>50030579OVR</v>
      </c>
      <c r="H145" s="4">
        <v>46023</v>
      </c>
      <c r="I145" s="4">
        <v>46048</v>
      </c>
      <c r="J145" s="3" t="s">
        <v>14</v>
      </c>
      <c r="K145" s="3" t="s">
        <v>15</v>
      </c>
      <c r="L145" s="5">
        <v>65</v>
      </c>
      <c r="M145" s="3" t="s">
        <v>292</v>
      </c>
    </row>
    <row r="146" spans="1:15" s="3" customFormat="1" x14ac:dyDescent="0.25">
      <c r="A146" s="9" t="s">
        <v>49</v>
      </c>
      <c r="B146" s="9">
        <v>15278437</v>
      </c>
      <c r="C146" s="9" t="s">
        <v>78</v>
      </c>
      <c r="D146" s="9" t="s">
        <v>208</v>
      </c>
      <c r="E146" s="9" t="str">
        <f>CONCATENATE(C146," ",D146)</f>
        <v>John Nelson Jr</v>
      </c>
      <c r="F146" s="9">
        <v>50137260</v>
      </c>
      <c r="G146" s="9" t="str">
        <f>CONCATENATE(F146,2)</f>
        <v>501372602</v>
      </c>
      <c r="H146" s="10">
        <v>46023</v>
      </c>
      <c r="I146" s="10">
        <v>46052</v>
      </c>
      <c r="J146" s="9" t="s">
        <v>14</v>
      </c>
      <c r="K146" s="9" t="s">
        <v>288</v>
      </c>
      <c r="L146" s="11">
        <v>-391</v>
      </c>
      <c r="M146" s="9" t="s">
        <v>293</v>
      </c>
      <c r="N146" s="9" t="s">
        <v>296</v>
      </c>
      <c r="O146" s="9"/>
    </row>
    <row r="147" spans="1:15" s="3" customFormat="1" x14ac:dyDescent="0.25">
      <c r="A147" s="3" t="s">
        <v>300</v>
      </c>
      <c r="B147" s="3">
        <v>20411454</v>
      </c>
      <c r="C147" s="3" t="s">
        <v>78</v>
      </c>
      <c r="D147" s="3" t="s">
        <v>208</v>
      </c>
      <c r="E147" s="3" t="str">
        <f>CONCATENATE(C147," ",D147)</f>
        <v>John Nelson Jr</v>
      </c>
      <c r="F147" s="3">
        <v>50137260</v>
      </c>
      <c r="G147" s="3" t="str">
        <f>CONCATENATE(F147,"OVR")</f>
        <v>50137260OVR</v>
      </c>
      <c r="H147" s="4">
        <v>46023</v>
      </c>
      <c r="I147" s="4">
        <v>46052</v>
      </c>
      <c r="J147" s="3" t="s">
        <v>14</v>
      </c>
      <c r="K147" s="3" t="s">
        <v>179</v>
      </c>
      <c r="L147" s="5">
        <v>-65</v>
      </c>
      <c r="M147" s="3" t="s">
        <v>292</v>
      </c>
    </row>
    <row r="148" spans="1:15" s="3" customFormat="1" x14ac:dyDescent="0.25">
      <c r="A148" s="3" t="s">
        <v>300</v>
      </c>
      <c r="B148" s="3">
        <v>20411454</v>
      </c>
      <c r="C148" s="3" t="s">
        <v>78</v>
      </c>
      <c r="D148" s="3" t="s">
        <v>91</v>
      </c>
      <c r="E148" s="3" t="str">
        <f>CONCATENATE(C148," ",D148)</f>
        <v>John Przepioski</v>
      </c>
      <c r="F148" s="3">
        <v>50029963</v>
      </c>
      <c r="G148" s="3" t="str">
        <f>CONCATENATE(F148,"OVR")</f>
        <v>50029963OVR</v>
      </c>
      <c r="H148" s="4">
        <v>46023</v>
      </c>
      <c r="I148" s="4">
        <v>46048</v>
      </c>
      <c r="J148" s="3" t="s">
        <v>14</v>
      </c>
      <c r="K148" s="3" t="s">
        <v>15</v>
      </c>
      <c r="L148" s="5">
        <v>65</v>
      </c>
      <c r="M148" s="3" t="s">
        <v>292</v>
      </c>
    </row>
    <row r="149" spans="1:15" s="3" customFormat="1" x14ac:dyDescent="0.25">
      <c r="A149" s="9" t="s">
        <v>49</v>
      </c>
      <c r="B149" s="9">
        <v>15278437</v>
      </c>
      <c r="C149" s="9" t="s">
        <v>78</v>
      </c>
      <c r="D149" s="9" t="s">
        <v>79</v>
      </c>
      <c r="E149" s="9" t="str">
        <f>CONCATENATE(C149," ",D149)</f>
        <v>John Sehi</v>
      </c>
      <c r="F149" s="9">
        <v>50030839</v>
      </c>
      <c r="G149" s="9" t="str">
        <f>CONCATENATE(F149,2)</f>
        <v>500308392</v>
      </c>
      <c r="H149" s="10">
        <v>46023</v>
      </c>
      <c r="I149" s="10">
        <v>46048</v>
      </c>
      <c r="J149" s="9" t="s">
        <v>14</v>
      </c>
      <c r="K149" s="9" t="s">
        <v>20</v>
      </c>
      <c r="L149" s="11">
        <v>391</v>
      </c>
      <c r="M149" s="9" t="s">
        <v>293</v>
      </c>
      <c r="N149" s="9" t="s">
        <v>296</v>
      </c>
      <c r="O149" s="9"/>
    </row>
    <row r="150" spans="1:15" s="3" customFormat="1" x14ac:dyDescent="0.25">
      <c r="A150" s="3" t="s">
        <v>300</v>
      </c>
      <c r="B150" s="3">
        <v>20411454</v>
      </c>
      <c r="C150" s="3" t="s">
        <v>78</v>
      </c>
      <c r="D150" s="3" t="s">
        <v>79</v>
      </c>
      <c r="E150" s="3" t="str">
        <f>CONCATENATE(C150," ",D150)</f>
        <v>John Sehi</v>
      </c>
      <c r="F150" s="3">
        <v>50030839</v>
      </c>
      <c r="G150" s="3" t="str">
        <f>CONCATENATE(F150,"OVR")</f>
        <v>50030839OVR</v>
      </c>
      <c r="H150" s="4">
        <v>46023</v>
      </c>
      <c r="I150" s="4">
        <v>46048</v>
      </c>
      <c r="J150" s="3" t="s">
        <v>14</v>
      </c>
      <c r="K150" s="3" t="s">
        <v>15</v>
      </c>
      <c r="L150" s="5">
        <v>65</v>
      </c>
      <c r="M150" s="3" t="s">
        <v>292</v>
      </c>
    </row>
    <row r="151" spans="1:15" s="3" customFormat="1" x14ac:dyDescent="0.25">
      <c r="A151" s="3" t="s">
        <v>300</v>
      </c>
      <c r="B151" s="3">
        <v>20411454</v>
      </c>
      <c r="C151" s="3" t="s">
        <v>78</v>
      </c>
      <c r="D151" s="3" t="s">
        <v>266</v>
      </c>
      <c r="E151" s="3" t="str">
        <f>CONCATENATE(C151," ",D151)</f>
        <v>John Sheff</v>
      </c>
      <c r="F151" s="3">
        <v>50126612</v>
      </c>
      <c r="G151" s="3" t="str">
        <f>CONCATENATE(F151,"OVR")</f>
        <v>50126612OVR</v>
      </c>
      <c r="H151" s="4">
        <v>45658</v>
      </c>
      <c r="I151" s="4">
        <v>46052</v>
      </c>
      <c r="J151" s="3" t="s">
        <v>14</v>
      </c>
      <c r="K151" s="3" t="s">
        <v>179</v>
      </c>
      <c r="L151" s="5">
        <v>-65</v>
      </c>
      <c r="M151" s="3" t="s">
        <v>292</v>
      </c>
    </row>
    <row r="152" spans="1:15" s="3" customFormat="1" x14ac:dyDescent="0.25">
      <c r="A152" s="9" t="s">
        <v>23</v>
      </c>
      <c r="B152" s="9">
        <v>17425766</v>
      </c>
      <c r="C152" s="9" t="s">
        <v>44</v>
      </c>
      <c r="D152" s="9" t="s">
        <v>45</v>
      </c>
      <c r="E152" s="9" t="str">
        <f>CONCATENATE(C152," ",D152)</f>
        <v>Jolanta Bronstein</v>
      </c>
      <c r="F152" s="9">
        <v>50129178</v>
      </c>
      <c r="G152" s="9" t="str">
        <f>CONCATENATE(F152,2)</f>
        <v>501291782</v>
      </c>
      <c r="H152" s="10">
        <v>46023</v>
      </c>
      <c r="I152" s="10">
        <v>46052</v>
      </c>
      <c r="J152" s="9" t="s">
        <v>14</v>
      </c>
      <c r="K152" s="9" t="s">
        <v>288</v>
      </c>
      <c r="L152" s="11">
        <v>-391</v>
      </c>
      <c r="M152" s="9" t="s">
        <v>293</v>
      </c>
      <c r="N152" s="9" t="s">
        <v>296</v>
      </c>
      <c r="O152" s="9"/>
    </row>
    <row r="153" spans="1:15" s="3" customFormat="1" x14ac:dyDescent="0.25">
      <c r="A153" s="9" t="s">
        <v>23</v>
      </c>
      <c r="B153" s="9">
        <v>17425766</v>
      </c>
      <c r="C153" s="9" t="s">
        <v>44</v>
      </c>
      <c r="D153" s="9" t="s">
        <v>45</v>
      </c>
      <c r="E153" s="9" t="str">
        <f>CONCATENATE(C153," ",D153)</f>
        <v>Jolanta Bronstein</v>
      </c>
      <c r="F153" s="9">
        <v>50129178</v>
      </c>
      <c r="G153" s="9" t="str">
        <f>CONCATENATE(F153,2)</f>
        <v>501291782</v>
      </c>
      <c r="H153" s="10">
        <v>46023</v>
      </c>
      <c r="I153" s="10">
        <v>46048</v>
      </c>
      <c r="J153" s="9" t="s">
        <v>14</v>
      </c>
      <c r="K153" s="9" t="s">
        <v>20</v>
      </c>
      <c r="L153" s="11">
        <v>391</v>
      </c>
      <c r="M153" s="9" t="s">
        <v>293</v>
      </c>
      <c r="N153" s="9" t="s">
        <v>296</v>
      </c>
      <c r="O153" s="9"/>
    </row>
    <row r="154" spans="1:15" s="3" customFormat="1" x14ac:dyDescent="0.25">
      <c r="A154" s="3" t="s">
        <v>300</v>
      </c>
      <c r="B154" s="3">
        <v>20411454</v>
      </c>
      <c r="C154" s="3" t="s">
        <v>44</v>
      </c>
      <c r="D154" s="3" t="s">
        <v>45</v>
      </c>
      <c r="E154" s="3" t="str">
        <f>CONCATENATE(C154," ",D154)</f>
        <v>Jolanta Bronstein</v>
      </c>
      <c r="F154" s="3">
        <v>50129178</v>
      </c>
      <c r="G154" s="3" t="str">
        <f>CONCATENATE(F154,"OVR")</f>
        <v>50129178OVR</v>
      </c>
      <c r="H154" s="4">
        <v>46023</v>
      </c>
      <c r="I154" s="4">
        <v>46052</v>
      </c>
      <c r="J154" s="3" t="s">
        <v>14</v>
      </c>
      <c r="K154" s="3" t="s">
        <v>179</v>
      </c>
      <c r="L154" s="5">
        <v>-65</v>
      </c>
      <c r="M154" s="3" t="s">
        <v>292</v>
      </c>
    </row>
    <row r="155" spans="1:15" s="3" customFormat="1" x14ac:dyDescent="0.25">
      <c r="A155" s="3" t="s">
        <v>300</v>
      </c>
      <c r="B155" s="3">
        <v>20411454</v>
      </c>
      <c r="C155" s="3" t="s">
        <v>44</v>
      </c>
      <c r="D155" s="3" t="s">
        <v>45</v>
      </c>
      <c r="E155" s="3" t="str">
        <f>CONCATENATE(C155," ",D155)</f>
        <v>Jolanta Bronstein</v>
      </c>
      <c r="F155" s="3">
        <v>50129178</v>
      </c>
      <c r="G155" s="3" t="str">
        <f>CONCATENATE(F155,"OVR")</f>
        <v>50129178OVR</v>
      </c>
      <c r="H155" s="4">
        <v>46023</v>
      </c>
      <c r="I155" s="4">
        <v>46048</v>
      </c>
      <c r="J155" s="3" t="s">
        <v>14</v>
      </c>
      <c r="K155" s="3" t="s">
        <v>15</v>
      </c>
      <c r="L155" s="5">
        <v>65</v>
      </c>
      <c r="M155" s="3" t="s">
        <v>292</v>
      </c>
    </row>
    <row r="156" spans="1:15" s="3" customFormat="1" x14ac:dyDescent="0.25">
      <c r="A156" s="9" t="s">
        <v>49</v>
      </c>
      <c r="B156" s="9">
        <v>15278437</v>
      </c>
      <c r="C156" s="9" t="s">
        <v>197</v>
      </c>
      <c r="D156" s="9" t="s">
        <v>245</v>
      </c>
      <c r="E156" s="9" t="str">
        <f>CONCATENATE(C156," ",D156)</f>
        <v>Joseph Odonnell</v>
      </c>
      <c r="F156" s="9">
        <v>50100150</v>
      </c>
      <c r="G156" s="9" t="str">
        <f>CONCATENATE(F156,2)</f>
        <v>501001502</v>
      </c>
      <c r="H156" s="10">
        <v>46023</v>
      </c>
      <c r="I156" s="10">
        <v>46052</v>
      </c>
      <c r="J156" s="9" t="s">
        <v>14</v>
      </c>
      <c r="K156" s="9" t="s">
        <v>288</v>
      </c>
      <c r="L156" s="11">
        <v>-391</v>
      </c>
      <c r="M156" s="9" t="s">
        <v>293</v>
      </c>
      <c r="N156" s="9" t="s">
        <v>296</v>
      </c>
      <c r="O156" s="9"/>
    </row>
    <row r="157" spans="1:15" s="3" customFormat="1" x14ac:dyDescent="0.25">
      <c r="A157" s="3" t="s">
        <v>300</v>
      </c>
      <c r="B157" s="3">
        <v>20411454</v>
      </c>
      <c r="C157" s="3" t="s">
        <v>197</v>
      </c>
      <c r="D157" s="3" t="s">
        <v>245</v>
      </c>
      <c r="E157" s="3" t="str">
        <f>CONCATENATE(C157," ",D157)</f>
        <v>Joseph Odonnell</v>
      </c>
      <c r="F157" s="3">
        <v>50100150</v>
      </c>
      <c r="G157" s="3" t="str">
        <f>CONCATENATE(F157,"OVR")</f>
        <v>50100150OVR</v>
      </c>
      <c r="H157" s="4">
        <v>46023</v>
      </c>
      <c r="I157" s="4">
        <v>46052</v>
      </c>
      <c r="J157" s="3" t="s">
        <v>14</v>
      </c>
      <c r="K157" s="3" t="s">
        <v>179</v>
      </c>
      <c r="L157" s="5">
        <v>-65</v>
      </c>
      <c r="M157" s="3" t="s">
        <v>292</v>
      </c>
    </row>
    <row r="158" spans="1:15" s="3" customFormat="1" x14ac:dyDescent="0.25">
      <c r="A158" s="9" t="s">
        <v>49</v>
      </c>
      <c r="B158" s="9">
        <v>15278437</v>
      </c>
      <c r="C158" s="9" t="s">
        <v>197</v>
      </c>
      <c r="D158" s="9" t="s">
        <v>256</v>
      </c>
      <c r="E158" s="9" t="str">
        <f>CONCATENATE(C158," ",D158)</f>
        <v>Joseph Robus Iv</v>
      </c>
      <c r="F158" s="9">
        <v>50136642</v>
      </c>
      <c r="G158" s="9" t="str">
        <f>CONCATENATE(F158,2)</f>
        <v>501366422</v>
      </c>
      <c r="H158" s="10">
        <v>46023</v>
      </c>
      <c r="I158" s="10">
        <v>46052</v>
      </c>
      <c r="J158" s="9" t="s">
        <v>14</v>
      </c>
      <c r="K158" s="9" t="s">
        <v>288</v>
      </c>
      <c r="L158" s="11">
        <v>-391</v>
      </c>
      <c r="M158" s="9" t="s">
        <v>293</v>
      </c>
      <c r="N158" s="9" t="s">
        <v>296</v>
      </c>
      <c r="O158" s="9"/>
    </row>
    <row r="159" spans="1:15" s="3" customFormat="1" x14ac:dyDescent="0.25">
      <c r="A159" s="3" t="s">
        <v>300</v>
      </c>
      <c r="B159" s="3">
        <v>20411454</v>
      </c>
      <c r="C159" s="3" t="s">
        <v>197</v>
      </c>
      <c r="D159" s="3" t="s">
        <v>256</v>
      </c>
      <c r="E159" s="3" t="str">
        <f>CONCATENATE(C159," ",D159)</f>
        <v>Joseph Robus Iv</v>
      </c>
      <c r="F159" s="3">
        <v>50136642</v>
      </c>
      <c r="G159" s="3" t="str">
        <f>CONCATENATE(F159,"OVR")</f>
        <v>50136642OVR</v>
      </c>
      <c r="H159" s="4">
        <v>46023</v>
      </c>
      <c r="I159" s="4">
        <v>46052</v>
      </c>
      <c r="J159" s="3" t="s">
        <v>14</v>
      </c>
      <c r="K159" s="3" t="s">
        <v>179</v>
      </c>
      <c r="L159" s="5">
        <v>-65</v>
      </c>
      <c r="M159" s="3" t="s">
        <v>292</v>
      </c>
    </row>
    <row r="160" spans="1:15" s="3" customFormat="1" x14ac:dyDescent="0.25">
      <c r="A160" s="9" t="s">
        <v>23</v>
      </c>
      <c r="B160" s="9">
        <v>17425766</v>
      </c>
      <c r="C160" s="9" t="s">
        <v>197</v>
      </c>
      <c r="D160" s="9" t="s">
        <v>178</v>
      </c>
      <c r="E160" s="9" t="str">
        <f>CONCATENATE(C160," ",D160)</f>
        <v>Joseph Rotondi</v>
      </c>
      <c r="F160" s="9">
        <v>50105382</v>
      </c>
      <c r="G160" s="9" t="str">
        <f>CONCATENATE(F160,2)</f>
        <v>501053822</v>
      </c>
      <c r="H160" s="10">
        <v>46023</v>
      </c>
      <c r="I160" s="10">
        <v>46052</v>
      </c>
      <c r="J160" s="9" t="s">
        <v>14</v>
      </c>
      <c r="K160" s="9" t="s">
        <v>288</v>
      </c>
      <c r="L160" s="11">
        <v>-391</v>
      </c>
      <c r="M160" s="9" t="s">
        <v>293</v>
      </c>
      <c r="N160" s="9" t="s">
        <v>296</v>
      </c>
      <c r="O160" s="9"/>
    </row>
    <row r="161" spans="1:15" s="3" customFormat="1" x14ac:dyDescent="0.25">
      <c r="A161" s="3" t="s">
        <v>300</v>
      </c>
      <c r="B161" s="3">
        <v>20411454</v>
      </c>
      <c r="C161" s="3" t="s">
        <v>197</v>
      </c>
      <c r="D161" s="3" t="s">
        <v>178</v>
      </c>
      <c r="E161" s="3" t="str">
        <f>CONCATENATE(C161," ",D161)</f>
        <v>Joseph Rotondi</v>
      </c>
      <c r="F161" s="3">
        <v>50105382</v>
      </c>
      <c r="G161" s="3" t="str">
        <f>CONCATENATE(F161,"OVR")</f>
        <v>50105382OVR</v>
      </c>
      <c r="H161" s="4">
        <v>46023</v>
      </c>
      <c r="I161" s="4">
        <v>46052</v>
      </c>
      <c r="J161" s="3" t="s">
        <v>14</v>
      </c>
      <c r="K161" s="3" t="s">
        <v>179</v>
      </c>
      <c r="L161" s="5">
        <v>-65</v>
      </c>
      <c r="M161" s="3" t="s">
        <v>292</v>
      </c>
    </row>
    <row r="162" spans="1:15" s="3" customFormat="1" x14ac:dyDescent="0.25">
      <c r="A162" s="9" t="s">
        <v>49</v>
      </c>
      <c r="B162" s="9">
        <v>15278437</v>
      </c>
      <c r="C162" s="9" t="s">
        <v>197</v>
      </c>
      <c r="D162" s="9" t="s">
        <v>223</v>
      </c>
      <c r="E162" s="9" t="str">
        <f>CONCATENATE(C162," ",D162)</f>
        <v>Joseph Stinson</v>
      </c>
      <c r="F162" s="9">
        <v>50134251</v>
      </c>
      <c r="G162" s="9" t="str">
        <f>CONCATENATE(F162,2)</f>
        <v>501342512</v>
      </c>
      <c r="H162" s="10">
        <v>46023</v>
      </c>
      <c r="I162" s="10">
        <v>46052</v>
      </c>
      <c r="J162" s="9" t="s">
        <v>14</v>
      </c>
      <c r="K162" s="9" t="s">
        <v>288</v>
      </c>
      <c r="L162" s="11">
        <v>-391</v>
      </c>
      <c r="M162" s="9" t="s">
        <v>293</v>
      </c>
      <c r="N162" s="9" t="s">
        <v>296</v>
      </c>
      <c r="O162" s="9"/>
    </row>
    <row r="163" spans="1:15" s="3" customFormat="1" x14ac:dyDescent="0.25">
      <c r="A163" s="3" t="s">
        <v>300</v>
      </c>
      <c r="B163" s="3">
        <v>20411454</v>
      </c>
      <c r="C163" s="3" t="s">
        <v>197</v>
      </c>
      <c r="D163" s="3" t="s">
        <v>223</v>
      </c>
      <c r="E163" s="3" t="str">
        <f>CONCATENATE(C163," ",D163)</f>
        <v>Joseph Stinson</v>
      </c>
      <c r="F163" s="3">
        <v>50134251</v>
      </c>
      <c r="G163" s="3" t="str">
        <f>CONCATENATE(F163,"OVR")</f>
        <v>50134251OVR</v>
      </c>
      <c r="H163" s="4">
        <v>46023</v>
      </c>
      <c r="I163" s="4">
        <v>46052</v>
      </c>
      <c r="J163" s="3" t="s">
        <v>14</v>
      </c>
      <c r="K163" s="3" t="s">
        <v>179</v>
      </c>
      <c r="L163" s="5">
        <v>-65</v>
      </c>
      <c r="M163" s="3" t="s">
        <v>292</v>
      </c>
    </row>
    <row r="164" spans="1:15" s="3" customFormat="1" x14ac:dyDescent="0.25">
      <c r="A164" s="9" t="s">
        <v>23</v>
      </c>
      <c r="B164" s="9">
        <v>17425766</v>
      </c>
      <c r="C164" s="9" t="s">
        <v>28</v>
      </c>
      <c r="D164" s="9" t="s">
        <v>29</v>
      </c>
      <c r="E164" s="9" t="str">
        <f>CONCATENATE(C164," ",D164)</f>
        <v>Judith Solt</v>
      </c>
      <c r="F164" s="9">
        <v>50033963</v>
      </c>
      <c r="G164" s="9" t="str">
        <f>CONCATENATE(F164,2)</f>
        <v>500339632</v>
      </c>
      <c r="H164" s="10">
        <v>46023</v>
      </c>
      <c r="I164" s="10">
        <v>46048</v>
      </c>
      <c r="J164" s="9" t="s">
        <v>14</v>
      </c>
      <c r="K164" s="9" t="s">
        <v>20</v>
      </c>
      <c r="L164" s="11">
        <v>391</v>
      </c>
      <c r="M164" s="9" t="s">
        <v>293</v>
      </c>
      <c r="N164" s="9" t="s">
        <v>296</v>
      </c>
      <c r="O164" s="9"/>
    </row>
    <row r="165" spans="1:15" s="3" customFormat="1" x14ac:dyDescent="0.25">
      <c r="A165" s="3" t="s">
        <v>300</v>
      </c>
      <c r="B165" s="3">
        <v>20411454</v>
      </c>
      <c r="C165" s="3" t="s">
        <v>28</v>
      </c>
      <c r="D165" s="3" t="s">
        <v>29</v>
      </c>
      <c r="E165" s="3" t="str">
        <f>CONCATENATE(C165," ",D165)</f>
        <v>Judith Solt</v>
      </c>
      <c r="F165" s="3">
        <v>50033963</v>
      </c>
      <c r="G165" s="3" t="str">
        <f>CONCATENATE(F165,"OVR")</f>
        <v>50033963OVR</v>
      </c>
      <c r="H165" s="4">
        <v>46023</v>
      </c>
      <c r="I165" s="4">
        <v>46048</v>
      </c>
      <c r="J165" s="3" t="s">
        <v>14</v>
      </c>
      <c r="K165" s="3" t="s">
        <v>15</v>
      </c>
      <c r="L165" s="5">
        <v>65</v>
      </c>
      <c r="M165" s="3" t="s">
        <v>292</v>
      </c>
    </row>
    <row r="166" spans="1:15" s="3" customFormat="1" x14ac:dyDescent="0.25">
      <c r="A166" s="9" t="s">
        <v>49</v>
      </c>
      <c r="B166" s="9">
        <v>15278437</v>
      </c>
      <c r="C166" s="9" t="s">
        <v>218</v>
      </c>
      <c r="D166" s="9" t="s">
        <v>199</v>
      </c>
      <c r="E166" s="9" t="str">
        <f>CONCATENATE(C166," ",D166)</f>
        <v>Karla Burton</v>
      </c>
      <c r="F166" s="9">
        <v>50029932</v>
      </c>
      <c r="G166" s="9" t="str">
        <f>CONCATENATE(F166,2)</f>
        <v>500299322</v>
      </c>
      <c r="H166" s="10">
        <v>46023</v>
      </c>
      <c r="I166" s="10">
        <v>46052</v>
      </c>
      <c r="J166" s="9" t="s">
        <v>14</v>
      </c>
      <c r="K166" s="9" t="s">
        <v>288</v>
      </c>
      <c r="L166" s="11">
        <v>-391</v>
      </c>
      <c r="M166" s="9" t="s">
        <v>293</v>
      </c>
      <c r="N166" s="9" t="s">
        <v>296</v>
      </c>
      <c r="O166" s="9"/>
    </row>
    <row r="167" spans="1:15" s="3" customFormat="1" x14ac:dyDescent="0.25">
      <c r="A167" s="3" t="s">
        <v>300</v>
      </c>
      <c r="B167" s="3">
        <v>20411454</v>
      </c>
      <c r="C167" s="3" t="s">
        <v>218</v>
      </c>
      <c r="D167" s="3" t="s">
        <v>199</v>
      </c>
      <c r="E167" s="3" t="str">
        <f>CONCATENATE(C167," ",D167)</f>
        <v>Karla Burton</v>
      </c>
      <c r="F167" s="3">
        <v>50029932</v>
      </c>
      <c r="G167" s="3" t="str">
        <f>CONCATENATE(F167,"OVR")</f>
        <v>50029932OVR</v>
      </c>
      <c r="H167" s="4">
        <v>46023</v>
      </c>
      <c r="I167" s="4">
        <v>46052</v>
      </c>
      <c r="J167" s="3" t="s">
        <v>14</v>
      </c>
      <c r="K167" s="3" t="s">
        <v>179</v>
      </c>
      <c r="L167" s="5">
        <v>-65</v>
      </c>
      <c r="M167" s="3" t="s">
        <v>292</v>
      </c>
    </row>
    <row r="168" spans="1:15" s="3" customFormat="1" x14ac:dyDescent="0.25">
      <c r="A168" s="9" t="s">
        <v>49</v>
      </c>
      <c r="B168" s="9">
        <v>15278437</v>
      </c>
      <c r="C168" s="9" t="s">
        <v>142</v>
      </c>
      <c r="D168" s="9" t="s">
        <v>187</v>
      </c>
      <c r="E168" s="9" t="str">
        <f>CONCATENATE(C168," ",D168)</f>
        <v>Kathleen Donnelly</v>
      </c>
      <c r="F168" s="9">
        <v>50007050</v>
      </c>
      <c r="G168" s="9" t="str">
        <f>CONCATENATE(F168,2)</f>
        <v>500070502</v>
      </c>
      <c r="H168" s="10">
        <v>46023</v>
      </c>
      <c r="I168" s="10">
        <v>46052</v>
      </c>
      <c r="J168" s="9" t="s">
        <v>14</v>
      </c>
      <c r="K168" s="9" t="s">
        <v>288</v>
      </c>
      <c r="L168" s="11">
        <v>-391</v>
      </c>
      <c r="M168" s="9" t="s">
        <v>293</v>
      </c>
      <c r="N168" s="9" t="s">
        <v>296</v>
      </c>
      <c r="O168" s="9"/>
    </row>
    <row r="169" spans="1:15" s="3" customFormat="1" x14ac:dyDescent="0.25">
      <c r="A169" s="3" t="s">
        <v>300</v>
      </c>
      <c r="B169" s="3">
        <v>20411454</v>
      </c>
      <c r="C169" s="3" t="s">
        <v>142</v>
      </c>
      <c r="D169" s="3" t="s">
        <v>187</v>
      </c>
      <c r="E169" s="3" t="str">
        <f>CONCATENATE(C169," ",D169)</f>
        <v>Kathleen Donnelly</v>
      </c>
      <c r="F169" s="3">
        <v>50007050</v>
      </c>
      <c r="G169" s="3" t="str">
        <f>CONCATENATE(F169,"OVR")</f>
        <v>50007050OVR</v>
      </c>
      <c r="H169" s="4">
        <v>46023</v>
      </c>
      <c r="I169" s="4">
        <v>46052</v>
      </c>
      <c r="J169" s="3" t="s">
        <v>14</v>
      </c>
      <c r="K169" s="3" t="s">
        <v>179</v>
      </c>
      <c r="L169" s="5">
        <v>-65</v>
      </c>
      <c r="M169" s="3" t="s">
        <v>292</v>
      </c>
    </row>
    <row r="170" spans="1:15" s="3" customFormat="1" x14ac:dyDescent="0.25">
      <c r="A170" s="9" t="s">
        <v>49</v>
      </c>
      <c r="B170" s="9">
        <v>15278437</v>
      </c>
      <c r="C170" s="9" t="s">
        <v>142</v>
      </c>
      <c r="D170" s="9" t="s">
        <v>213</v>
      </c>
      <c r="E170" s="9" t="str">
        <f>CONCATENATE(C170," ",D170)</f>
        <v>Kathleen Ruger</v>
      </c>
      <c r="F170" s="9">
        <v>50013385</v>
      </c>
      <c r="G170" s="9" t="str">
        <f>CONCATENATE(F170,2)</f>
        <v>500133852</v>
      </c>
      <c r="H170" s="10">
        <v>46023</v>
      </c>
      <c r="I170" s="10">
        <v>46052</v>
      </c>
      <c r="J170" s="9" t="s">
        <v>14</v>
      </c>
      <c r="K170" s="9" t="s">
        <v>288</v>
      </c>
      <c r="L170" s="11">
        <v>-391</v>
      </c>
      <c r="M170" s="9" t="s">
        <v>293</v>
      </c>
      <c r="N170" s="9" t="s">
        <v>296</v>
      </c>
      <c r="O170" s="9"/>
    </row>
    <row r="171" spans="1:15" s="3" customFormat="1" x14ac:dyDescent="0.25">
      <c r="A171" s="3" t="s">
        <v>300</v>
      </c>
      <c r="B171" s="3">
        <v>20411454</v>
      </c>
      <c r="C171" s="3" t="s">
        <v>142</v>
      </c>
      <c r="D171" s="3" t="s">
        <v>213</v>
      </c>
      <c r="E171" s="3" t="str">
        <f>CONCATENATE(C171," ",D171)</f>
        <v>Kathleen Ruger</v>
      </c>
      <c r="F171" s="3">
        <v>50013385</v>
      </c>
      <c r="G171" s="3" t="str">
        <f>CONCATENATE(F171,"OVR")</f>
        <v>50013385OVR</v>
      </c>
      <c r="H171" s="4">
        <v>46023</v>
      </c>
      <c r="I171" s="4">
        <v>46052</v>
      </c>
      <c r="J171" s="3" t="s">
        <v>14</v>
      </c>
      <c r="K171" s="3" t="s">
        <v>179</v>
      </c>
      <c r="L171" s="5">
        <v>-65</v>
      </c>
      <c r="M171" s="3" t="s">
        <v>292</v>
      </c>
    </row>
    <row r="172" spans="1:15" s="3" customFormat="1" x14ac:dyDescent="0.25">
      <c r="A172" s="3" t="s">
        <v>300</v>
      </c>
      <c r="B172" s="3">
        <v>20411454</v>
      </c>
      <c r="C172" s="3" t="s">
        <v>142</v>
      </c>
      <c r="D172" s="3" t="s">
        <v>113</v>
      </c>
      <c r="E172" s="3" t="str">
        <f>CONCATENATE(C172," ",D172)</f>
        <v>Kathleen Tangradi</v>
      </c>
      <c r="F172" s="3">
        <v>50081523</v>
      </c>
      <c r="G172" s="3" t="str">
        <f>CONCATENATE(F172,"OVR")</f>
        <v>50081523OVR</v>
      </c>
      <c r="H172" s="4">
        <v>46023</v>
      </c>
      <c r="I172" s="4">
        <v>46048</v>
      </c>
      <c r="J172" s="3" t="s">
        <v>14</v>
      </c>
      <c r="K172" s="3" t="s">
        <v>15</v>
      </c>
      <c r="L172" s="5">
        <v>65</v>
      </c>
      <c r="M172" s="3" t="s">
        <v>292</v>
      </c>
    </row>
    <row r="173" spans="1:15" s="3" customFormat="1" x14ac:dyDescent="0.25">
      <c r="A173" s="9" t="s">
        <v>190</v>
      </c>
      <c r="B173" s="9">
        <v>16509456</v>
      </c>
      <c r="C173" s="9" t="s">
        <v>262</v>
      </c>
      <c r="D173" s="9" t="s">
        <v>263</v>
      </c>
      <c r="E173" s="9" t="str">
        <f>CONCATENATE(C173," ",D173)</f>
        <v>Keith Digregorio</v>
      </c>
      <c r="F173" s="9">
        <v>50134748</v>
      </c>
      <c r="G173" s="9" t="str">
        <f>CONCATENATE(F173,2)</f>
        <v>501347482</v>
      </c>
      <c r="H173" s="10">
        <v>46023</v>
      </c>
      <c r="I173" s="10">
        <v>46052</v>
      </c>
      <c r="J173" s="9" t="s">
        <v>14</v>
      </c>
      <c r="K173" s="9" t="s">
        <v>288</v>
      </c>
      <c r="L173" s="11">
        <v>-391</v>
      </c>
      <c r="M173" s="9" t="s">
        <v>293</v>
      </c>
      <c r="N173" s="9" t="s">
        <v>296</v>
      </c>
      <c r="O173" s="9"/>
    </row>
    <row r="174" spans="1:15" s="3" customFormat="1" x14ac:dyDescent="0.25">
      <c r="A174" s="3" t="s">
        <v>300</v>
      </c>
      <c r="B174" s="3">
        <v>20411454</v>
      </c>
      <c r="C174" s="3" t="s">
        <v>262</v>
      </c>
      <c r="D174" s="3" t="s">
        <v>263</v>
      </c>
      <c r="E174" s="3" t="str">
        <f>CONCATENATE(C174," ",D174)</f>
        <v>Keith Digregorio</v>
      </c>
      <c r="F174" s="3">
        <v>50134748</v>
      </c>
      <c r="G174" s="3" t="str">
        <f>CONCATENATE(F174,"OVR")</f>
        <v>50134748OVR</v>
      </c>
      <c r="H174" s="4">
        <v>46023</v>
      </c>
      <c r="I174" s="4">
        <v>46052</v>
      </c>
      <c r="J174" s="3" t="s">
        <v>14</v>
      </c>
      <c r="K174" s="3" t="s">
        <v>179</v>
      </c>
      <c r="L174" s="5">
        <v>-65</v>
      </c>
      <c r="M174" s="3" t="s">
        <v>292</v>
      </c>
    </row>
    <row r="175" spans="1:15" s="3" customFormat="1" x14ac:dyDescent="0.25">
      <c r="A175" s="3" t="s">
        <v>300</v>
      </c>
      <c r="B175" s="3">
        <v>20411454</v>
      </c>
      <c r="C175" s="3" t="s">
        <v>116</v>
      </c>
      <c r="D175" s="3" t="s">
        <v>117</v>
      </c>
      <c r="E175" s="3" t="str">
        <f>CONCATENATE(C175," ",D175)</f>
        <v>Klaus Herchenroder</v>
      </c>
      <c r="F175" s="3">
        <v>50012414</v>
      </c>
      <c r="G175" s="3" t="str">
        <f>CONCATENATE(F175,"OVR")</f>
        <v>50012414OVR</v>
      </c>
      <c r="H175" s="4">
        <v>46023</v>
      </c>
      <c r="I175" s="4">
        <v>46048</v>
      </c>
      <c r="J175" s="3" t="s">
        <v>14</v>
      </c>
      <c r="K175" s="3" t="s">
        <v>15</v>
      </c>
      <c r="L175" s="5">
        <v>65</v>
      </c>
      <c r="M175" s="3" t="s">
        <v>292</v>
      </c>
    </row>
    <row r="176" spans="1:15" s="3" customFormat="1" x14ac:dyDescent="0.25">
      <c r="A176" s="9" t="s">
        <v>11</v>
      </c>
      <c r="B176" s="9" t="s">
        <v>301</v>
      </c>
      <c r="C176" s="9" t="s">
        <v>181</v>
      </c>
      <c r="D176" s="9" t="s">
        <v>182</v>
      </c>
      <c r="E176" s="9" t="str">
        <f>CONCATENATE(C176," ",D176)</f>
        <v>Kristine Harvey Stinson</v>
      </c>
      <c r="F176" s="9">
        <v>50026878</v>
      </c>
      <c r="G176" s="9" t="str">
        <f>CONCATENATE(F176,2)</f>
        <v>500268782</v>
      </c>
      <c r="H176" s="10">
        <v>46023</v>
      </c>
      <c r="I176" s="10">
        <v>46052</v>
      </c>
      <c r="J176" s="9" t="s">
        <v>14</v>
      </c>
      <c r="K176" s="9" t="s">
        <v>288</v>
      </c>
      <c r="L176" s="11">
        <v>-391</v>
      </c>
      <c r="M176" s="9" t="s">
        <v>293</v>
      </c>
      <c r="N176" s="9" t="s">
        <v>296</v>
      </c>
      <c r="O176" s="9"/>
    </row>
    <row r="177" spans="1:15" s="3" customFormat="1" x14ac:dyDescent="0.25">
      <c r="A177" s="3" t="s">
        <v>300</v>
      </c>
      <c r="B177" s="3">
        <v>20411454</v>
      </c>
      <c r="C177" s="3" t="s">
        <v>181</v>
      </c>
      <c r="D177" s="3" t="s">
        <v>182</v>
      </c>
      <c r="E177" s="3" t="str">
        <f>CONCATENATE(C177," ",D177)</f>
        <v>Kristine Harvey Stinson</v>
      </c>
      <c r="F177" s="3">
        <v>50026878</v>
      </c>
      <c r="G177" s="3" t="str">
        <f>CONCATENATE(F177,"OVR")</f>
        <v>50026878OVR</v>
      </c>
      <c r="H177" s="4">
        <v>46023</v>
      </c>
      <c r="I177" s="4">
        <v>46052</v>
      </c>
      <c r="J177" s="3" t="s">
        <v>14</v>
      </c>
      <c r="K177" s="3" t="s">
        <v>179</v>
      </c>
      <c r="L177" s="5">
        <v>-65</v>
      </c>
      <c r="M177" s="3" t="s">
        <v>292</v>
      </c>
    </row>
    <row r="178" spans="1:15" s="3" customFormat="1" x14ac:dyDescent="0.25">
      <c r="A178" s="9" t="s">
        <v>49</v>
      </c>
      <c r="B178" s="9">
        <v>15278437</v>
      </c>
      <c r="C178" s="9" t="s">
        <v>276</v>
      </c>
      <c r="D178" s="9" t="s">
        <v>277</v>
      </c>
      <c r="E178" s="9" t="str">
        <f>CONCATENATE(C178," ",D178)</f>
        <v>L Lapointe</v>
      </c>
      <c r="F178" s="9">
        <v>50031617</v>
      </c>
      <c r="G178" s="9" t="str">
        <f>CONCATENATE(F178,2)</f>
        <v>500316172</v>
      </c>
      <c r="H178" s="10">
        <v>45658</v>
      </c>
      <c r="I178" s="10">
        <v>46052</v>
      </c>
      <c r="J178" s="9" t="s">
        <v>14</v>
      </c>
      <c r="K178" s="9" t="s">
        <v>288</v>
      </c>
      <c r="L178" s="11">
        <v>-391</v>
      </c>
      <c r="M178" s="9" t="s">
        <v>293</v>
      </c>
      <c r="N178" s="9" t="s">
        <v>296</v>
      </c>
      <c r="O178" s="9"/>
    </row>
    <row r="179" spans="1:15" s="3" customFormat="1" x14ac:dyDescent="0.25">
      <c r="A179" s="3" t="s">
        <v>300</v>
      </c>
      <c r="B179" s="3">
        <v>20411454</v>
      </c>
      <c r="C179" s="3" t="s">
        <v>276</v>
      </c>
      <c r="D179" s="3" t="s">
        <v>277</v>
      </c>
      <c r="E179" s="3" t="str">
        <f>CONCATENATE(C179," ",D179)</f>
        <v>L Lapointe</v>
      </c>
      <c r="F179" s="3">
        <v>50031617</v>
      </c>
      <c r="G179" s="3" t="str">
        <f>CONCATENATE(F179,"OVR")</f>
        <v>50031617OVR</v>
      </c>
      <c r="H179" s="4">
        <v>45658</v>
      </c>
      <c r="I179" s="4">
        <v>46052</v>
      </c>
      <c r="J179" s="3" t="s">
        <v>14</v>
      </c>
      <c r="K179" s="3" t="s">
        <v>179</v>
      </c>
      <c r="L179" s="5">
        <v>-65</v>
      </c>
      <c r="M179" s="3" t="s">
        <v>292</v>
      </c>
    </row>
    <row r="180" spans="1:15" s="3" customFormat="1" x14ac:dyDescent="0.25">
      <c r="A180" s="9" t="s">
        <v>49</v>
      </c>
      <c r="B180" s="9">
        <v>15278437</v>
      </c>
      <c r="C180" s="9" t="s">
        <v>81</v>
      </c>
      <c r="D180" s="9" t="s">
        <v>82</v>
      </c>
      <c r="E180" s="9" t="str">
        <f>CONCATENATE(C180," ",D180)</f>
        <v>Lenora Mazurek</v>
      </c>
      <c r="F180" s="9">
        <v>50097883</v>
      </c>
      <c r="G180" s="9" t="str">
        <f>CONCATENATE(F180,2)</f>
        <v>500978832</v>
      </c>
      <c r="H180" s="10">
        <v>46023</v>
      </c>
      <c r="I180" s="10">
        <v>46052</v>
      </c>
      <c r="J180" s="9" t="s">
        <v>14</v>
      </c>
      <c r="K180" s="9" t="s">
        <v>288</v>
      </c>
      <c r="L180" s="11">
        <v>-391</v>
      </c>
      <c r="M180" s="9" t="s">
        <v>293</v>
      </c>
      <c r="N180" s="9" t="s">
        <v>296</v>
      </c>
      <c r="O180" s="9"/>
    </row>
    <row r="181" spans="1:15" s="3" customFormat="1" x14ac:dyDescent="0.25">
      <c r="A181" s="9" t="s">
        <v>49</v>
      </c>
      <c r="B181" s="9">
        <v>15278437</v>
      </c>
      <c r="C181" s="9" t="s">
        <v>81</v>
      </c>
      <c r="D181" s="9" t="s">
        <v>82</v>
      </c>
      <c r="E181" s="9" t="str">
        <f>CONCATENATE(C181," ",D181)</f>
        <v>Lenora Mazurek</v>
      </c>
      <c r="F181" s="9">
        <v>50097883</v>
      </c>
      <c r="G181" s="9" t="str">
        <f>CONCATENATE(F181,2)</f>
        <v>500978832</v>
      </c>
      <c r="H181" s="10">
        <v>46023</v>
      </c>
      <c r="I181" s="10">
        <v>46048</v>
      </c>
      <c r="J181" s="9" t="s">
        <v>14</v>
      </c>
      <c r="K181" s="9" t="s">
        <v>20</v>
      </c>
      <c r="L181" s="11">
        <v>391</v>
      </c>
      <c r="M181" s="9" t="s">
        <v>293</v>
      </c>
      <c r="N181" s="9" t="s">
        <v>296</v>
      </c>
      <c r="O181" s="9"/>
    </row>
    <row r="182" spans="1:15" s="3" customFormat="1" x14ac:dyDescent="0.25">
      <c r="A182" s="3" t="s">
        <v>300</v>
      </c>
      <c r="B182" s="3">
        <v>20411454</v>
      </c>
      <c r="C182" s="3" t="s">
        <v>81</v>
      </c>
      <c r="D182" s="3" t="s">
        <v>82</v>
      </c>
      <c r="E182" s="3" t="str">
        <f>CONCATENATE(C182," ",D182)</f>
        <v>Lenora Mazurek</v>
      </c>
      <c r="F182" s="3">
        <v>50097883</v>
      </c>
      <c r="G182" s="3" t="str">
        <f>CONCATENATE(F182,"OVR")</f>
        <v>50097883OVR</v>
      </c>
      <c r="H182" s="4">
        <v>46023</v>
      </c>
      <c r="I182" s="4">
        <v>46052</v>
      </c>
      <c r="J182" s="3" t="s">
        <v>14</v>
      </c>
      <c r="K182" s="3" t="s">
        <v>179</v>
      </c>
      <c r="L182" s="5">
        <v>-65</v>
      </c>
      <c r="M182" s="3" t="s">
        <v>292</v>
      </c>
    </row>
    <row r="183" spans="1:15" s="3" customFormat="1" x14ac:dyDescent="0.25">
      <c r="A183" s="3" t="s">
        <v>300</v>
      </c>
      <c r="B183" s="3">
        <v>20411454</v>
      </c>
      <c r="C183" s="3" t="s">
        <v>81</v>
      </c>
      <c r="D183" s="3" t="s">
        <v>82</v>
      </c>
      <c r="E183" s="3" t="str">
        <f>CONCATENATE(C183," ",D183)</f>
        <v>Lenora Mazurek</v>
      </c>
      <c r="F183" s="3">
        <v>50097883</v>
      </c>
      <c r="G183" s="3" t="str">
        <f>CONCATENATE(F183,"OVR")</f>
        <v>50097883OVR</v>
      </c>
      <c r="H183" s="4">
        <v>46023</v>
      </c>
      <c r="I183" s="4">
        <v>46048</v>
      </c>
      <c r="J183" s="3" t="s">
        <v>14</v>
      </c>
      <c r="K183" s="3" t="s">
        <v>15</v>
      </c>
      <c r="L183" s="5">
        <v>65</v>
      </c>
      <c r="M183" s="3" t="s">
        <v>292</v>
      </c>
    </row>
    <row r="184" spans="1:15" s="3" customFormat="1" x14ac:dyDescent="0.25">
      <c r="A184" s="9" t="s">
        <v>11</v>
      </c>
      <c r="B184" s="9" t="s">
        <v>301</v>
      </c>
      <c r="C184" s="9" t="s">
        <v>220</v>
      </c>
      <c r="D184" s="9" t="s">
        <v>222</v>
      </c>
      <c r="E184" s="9" t="str">
        <f>CONCATENATE(C184," ",D184)</f>
        <v>Linda Edwards</v>
      </c>
      <c r="F184" s="9">
        <v>50032889</v>
      </c>
      <c r="G184" s="9" t="str">
        <f>CONCATENATE(F184,2)</f>
        <v>500328892</v>
      </c>
      <c r="H184" s="10">
        <v>46023</v>
      </c>
      <c r="I184" s="10">
        <v>46052</v>
      </c>
      <c r="J184" s="9" t="s">
        <v>14</v>
      </c>
      <c r="K184" s="9" t="s">
        <v>288</v>
      </c>
      <c r="L184" s="11">
        <v>-391</v>
      </c>
      <c r="M184" s="9" t="s">
        <v>293</v>
      </c>
      <c r="N184" s="9" t="s">
        <v>296</v>
      </c>
      <c r="O184" s="9"/>
    </row>
    <row r="185" spans="1:15" s="3" customFormat="1" x14ac:dyDescent="0.25">
      <c r="A185" s="3" t="s">
        <v>300</v>
      </c>
      <c r="B185" s="3">
        <v>20411454</v>
      </c>
      <c r="C185" s="3" t="s">
        <v>220</v>
      </c>
      <c r="D185" s="3" t="s">
        <v>222</v>
      </c>
      <c r="E185" s="3" t="str">
        <f>CONCATENATE(C185," ",D185)</f>
        <v>Linda Edwards</v>
      </c>
      <c r="F185" s="3">
        <v>50032889</v>
      </c>
      <c r="G185" s="3" t="str">
        <f>CONCATENATE(F185,"OVR")</f>
        <v>50032889OVR</v>
      </c>
      <c r="H185" s="4">
        <v>46023</v>
      </c>
      <c r="I185" s="4">
        <v>46052</v>
      </c>
      <c r="J185" s="3" t="s">
        <v>14</v>
      </c>
      <c r="K185" s="3" t="s">
        <v>179</v>
      </c>
      <c r="L185" s="5">
        <v>-65</v>
      </c>
      <c r="M185" s="3" t="s">
        <v>292</v>
      </c>
    </row>
    <row r="186" spans="1:15" s="3" customFormat="1" x14ac:dyDescent="0.25">
      <c r="A186" s="9" t="s">
        <v>49</v>
      </c>
      <c r="B186" s="9">
        <v>15278437</v>
      </c>
      <c r="C186" s="9" t="s">
        <v>220</v>
      </c>
      <c r="D186" s="9" t="s">
        <v>221</v>
      </c>
      <c r="E186" s="9" t="str">
        <f>CONCATENATE(C186," ",D186)</f>
        <v>Linda Peden</v>
      </c>
      <c r="F186" s="9">
        <v>50026756</v>
      </c>
      <c r="G186" s="9" t="str">
        <f>CONCATENATE(F186,2)</f>
        <v>500267562</v>
      </c>
      <c r="H186" s="10">
        <v>46023</v>
      </c>
      <c r="I186" s="10">
        <v>46052</v>
      </c>
      <c r="J186" s="9" t="s">
        <v>14</v>
      </c>
      <c r="K186" s="9" t="s">
        <v>288</v>
      </c>
      <c r="L186" s="11">
        <v>-391</v>
      </c>
      <c r="M186" s="9" t="s">
        <v>293</v>
      </c>
      <c r="N186" s="9" t="s">
        <v>296</v>
      </c>
      <c r="O186" s="9"/>
    </row>
    <row r="187" spans="1:15" s="3" customFormat="1" x14ac:dyDescent="0.25">
      <c r="A187" s="3" t="s">
        <v>300</v>
      </c>
      <c r="B187" s="3">
        <v>20411454</v>
      </c>
      <c r="C187" s="3" t="s">
        <v>220</v>
      </c>
      <c r="D187" s="3" t="s">
        <v>221</v>
      </c>
      <c r="E187" s="3" t="str">
        <f>CONCATENATE(C187," ",D187)</f>
        <v>Linda Peden</v>
      </c>
      <c r="F187" s="3">
        <v>50026756</v>
      </c>
      <c r="G187" s="3" t="str">
        <f>CONCATENATE(F187,"OVR")</f>
        <v>50026756OVR</v>
      </c>
      <c r="H187" s="4">
        <v>46023</v>
      </c>
      <c r="I187" s="4">
        <v>46052</v>
      </c>
      <c r="J187" s="3" t="s">
        <v>14</v>
      </c>
      <c r="K187" s="3" t="s">
        <v>179</v>
      </c>
      <c r="L187" s="5">
        <v>-65</v>
      </c>
      <c r="M187" s="3" t="s">
        <v>292</v>
      </c>
    </row>
    <row r="188" spans="1:15" s="3" customFormat="1" x14ac:dyDescent="0.25">
      <c r="A188" s="9" t="s">
        <v>190</v>
      </c>
      <c r="B188" s="9">
        <v>16509456</v>
      </c>
      <c r="C188" s="9" t="s">
        <v>220</v>
      </c>
      <c r="D188" s="9" t="s">
        <v>249</v>
      </c>
      <c r="E188" s="9" t="str">
        <f>CONCATENATE(C188," ",D188)</f>
        <v>Linda Sanders</v>
      </c>
      <c r="F188" s="9">
        <v>50093886</v>
      </c>
      <c r="G188" s="9" t="str">
        <f>CONCATENATE(F188,2)</f>
        <v>500938862</v>
      </c>
      <c r="H188" s="10">
        <v>46023</v>
      </c>
      <c r="I188" s="10">
        <v>46052</v>
      </c>
      <c r="J188" s="9" t="s">
        <v>14</v>
      </c>
      <c r="K188" s="9" t="s">
        <v>288</v>
      </c>
      <c r="L188" s="11">
        <v>-391</v>
      </c>
      <c r="M188" s="9" t="s">
        <v>293</v>
      </c>
      <c r="N188" s="9" t="s">
        <v>296</v>
      </c>
      <c r="O188" s="9"/>
    </row>
    <row r="189" spans="1:15" s="3" customFormat="1" x14ac:dyDescent="0.25">
      <c r="A189" s="3" t="s">
        <v>300</v>
      </c>
      <c r="B189" s="3">
        <v>20411454</v>
      </c>
      <c r="C189" s="3" t="s">
        <v>220</v>
      </c>
      <c r="D189" s="3" t="s">
        <v>249</v>
      </c>
      <c r="E189" s="3" t="str">
        <f>CONCATENATE(C189," ",D189)</f>
        <v>Linda Sanders</v>
      </c>
      <c r="F189" s="3">
        <v>50093886</v>
      </c>
      <c r="G189" s="3" t="str">
        <f>CONCATENATE(F189,"OVR")</f>
        <v>50093886OVR</v>
      </c>
      <c r="H189" s="4">
        <v>46023</v>
      </c>
      <c r="I189" s="4">
        <v>46052</v>
      </c>
      <c r="J189" s="3" t="s">
        <v>14</v>
      </c>
      <c r="K189" s="3" t="s">
        <v>179</v>
      </c>
      <c r="L189" s="5">
        <v>-65</v>
      </c>
      <c r="M189" s="3" t="s">
        <v>292</v>
      </c>
    </row>
    <row r="190" spans="1:15" s="3" customFormat="1" x14ac:dyDescent="0.25">
      <c r="A190" s="9" t="s">
        <v>23</v>
      </c>
      <c r="B190" s="9">
        <v>17425766</v>
      </c>
      <c r="C190" s="9" t="s">
        <v>30</v>
      </c>
      <c r="D190" s="9" t="s">
        <v>31</v>
      </c>
      <c r="E190" s="9" t="str">
        <f>CONCATENATE(C190," ",D190)</f>
        <v>Lionel Carreon</v>
      </c>
      <c r="F190" s="9">
        <v>50122208</v>
      </c>
      <c r="G190" s="9" t="str">
        <f>CONCATENATE(F190,2)</f>
        <v>501222082</v>
      </c>
      <c r="H190" s="10">
        <v>46023</v>
      </c>
      <c r="I190" s="10">
        <v>46052</v>
      </c>
      <c r="J190" s="9" t="s">
        <v>14</v>
      </c>
      <c r="K190" s="9" t="s">
        <v>288</v>
      </c>
      <c r="L190" s="11">
        <v>-391</v>
      </c>
      <c r="M190" s="9" t="s">
        <v>293</v>
      </c>
      <c r="N190" s="9" t="s">
        <v>296</v>
      </c>
      <c r="O190" s="9"/>
    </row>
    <row r="191" spans="1:15" s="3" customFormat="1" x14ac:dyDescent="0.25">
      <c r="A191" s="9" t="s">
        <v>23</v>
      </c>
      <c r="B191" s="9">
        <v>17425766</v>
      </c>
      <c r="C191" s="9" t="s">
        <v>30</v>
      </c>
      <c r="D191" s="9" t="s">
        <v>31</v>
      </c>
      <c r="E191" s="9" t="str">
        <f>CONCATENATE(C191," ",D191)</f>
        <v>Lionel Carreon</v>
      </c>
      <c r="F191" s="9">
        <v>50122208</v>
      </c>
      <c r="G191" s="9" t="str">
        <f>CONCATENATE(F191,2)</f>
        <v>501222082</v>
      </c>
      <c r="H191" s="10">
        <v>46023</v>
      </c>
      <c r="I191" s="10">
        <v>46048</v>
      </c>
      <c r="J191" s="9" t="s">
        <v>14</v>
      </c>
      <c r="K191" s="9" t="s">
        <v>20</v>
      </c>
      <c r="L191" s="11">
        <v>391</v>
      </c>
      <c r="M191" s="9" t="s">
        <v>293</v>
      </c>
      <c r="N191" s="9" t="s">
        <v>296</v>
      </c>
      <c r="O191" s="9"/>
    </row>
    <row r="192" spans="1:15" s="3" customFormat="1" x14ac:dyDescent="0.25">
      <c r="A192" s="3" t="s">
        <v>300</v>
      </c>
      <c r="B192" s="3">
        <v>20411454</v>
      </c>
      <c r="C192" s="3" t="s">
        <v>30</v>
      </c>
      <c r="D192" s="3" t="s">
        <v>31</v>
      </c>
      <c r="E192" s="3" t="str">
        <f>CONCATENATE(C192," ",D192)</f>
        <v>Lionel Carreon</v>
      </c>
      <c r="F192" s="3">
        <v>50122208</v>
      </c>
      <c r="G192" s="3" t="str">
        <f>CONCATENATE(F192,"OVR")</f>
        <v>50122208OVR</v>
      </c>
      <c r="H192" s="4">
        <v>46023</v>
      </c>
      <c r="I192" s="4">
        <v>46052</v>
      </c>
      <c r="J192" s="3" t="s">
        <v>14</v>
      </c>
      <c r="K192" s="3" t="s">
        <v>179</v>
      </c>
      <c r="L192" s="5">
        <v>-65</v>
      </c>
      <c r="M192" s="3" t="s">
        <v>292</v>
      </c>
    </row>
    <row r="193" spans="1:15" s="3" customFormat="1" x14ac:dyDescent="0.25">
      <c r="A193" s="3" t="s">
        <v>300</v>
      </c>
      <c r="B193" s="3">
        <v>20411454</v>
      </c>
      <c r="C193" s="3" t="s">
        <v>30</v>
      </c>
      <c r="D193" s="3" t="s">
        <v>31</v>
      </c>
      <c r="E193" s="3" t="str">
        <f>CONCATENATE(C193," ",D193)</f>
        <v>Lionel Carreon</v>
      </c>
      <c r="F193" s="3">
        <v>50122208</v>
      </c>
      <c r="G193" s="3" t="str">
        <f>CONCATENATE(F193,"OVR")</f>
        <v>50122208OVR</v>
      </c>
      <c r="H193" s="4">
        <v>46023</v>
      </c>
      <c r="I193" s="4">
        <v>46048</v>
      </c>
      <c r="J193" s="3" t="s">
        <v>14</v>
      </c>
      <c r="K193" s="3" t="s">
        <v>15</v>
      </c>
      <c r="L193" s="5">
        <v>65</v>
      </c>
      <c r="M193" s="3" t="s">
        <v>292</v>
      </c>
    </row>
    <row r="194" spans="1:15" s="3" customFormat="1" x14ac:dyDescent="0.25">
      <c r="A194" s="9" t="s">
        <v>49</v>
      </c>
      <c r="B194" s="9">
        <v>15278437</v>
      </c>
      <c r="C194" s="9" t="s">
        <v>229</v>
      </c>
      <c r="D194" s="9" t="s">
        <v>230</v>
      </c>
      <c r="E194" s="9" t="str">
        <f>CONCATENATE(C194," ",D194)</f>
        <v>Lisa Fox</v>
      </c>
      <c r="F194" s="9">
        <v>50024210</v>
      </c>
      <c r="G194" s="9" t="str">
        <f>CONCATENATE(F194,2)</f>
        <v>500242102</v>
      </c>
      <c r="H194" s="10">
        <v>46023</v>
      </c>
      <c r="I194" s="10">
        <v>46052</v>
      </c>
      <c r="J194" s="9" t="s">
        <v>14</v>
      </c>
      <c r="K194" s="9" t="s">
        <v>288</v>
      </c>
      <c r="L194" s="11">
        <v>-391</v>
      </c>
      <c r="M194" s="9" t="s">
        <v>293</v>
      </c>
      <c r="N194" s="9" t="s">
        <v>296</v>
      </c>
      <c r="O194" s="9"/>
    </row>
    <row r="195" spans="1:15" s="3" customFormat="1" x14ac:dyDescent="0.25">
      <c r="A195" s="3" t="s">
        <v>300</v>
      </c>
      <c r="B195" s="3">
        <v>20411454</v>
      </c>
      <c r="C195" s="3" t="s">
        <v>229</v>
      </c>
      <c r="D195" s="3" t="s">
        <v>230</v>
      </c>
      <c r="E195" s="3" t="str">
        <f>CONCATENATE(C195," ",D195)</f>
        <v>Lisa Fox</v>
      </c>
      <c r="F195" s="3">
        <v>50024210</v>
      </c>
      <c r="G195" s="3" t="str">
        <f>CONCATENATE(F195,"OVR")</f>
        <v>50024210OVR</v>
      </c>
      <c r="H195" s="4">
        <v>46023</v>
      </c>
      <c r="I195" s="4">
        <v>46052</v>
      </c>
      <c r="J195" s="3" t="s">
        <v>14</v>
      </c>
      <c r="K195" s="3" t="s">
        <v>179</v>
      </c>
      <c r="L195" s="5">
        <v>-65</v>
      </c>
      <c r="M195" s="3" t="s">
        <v>292</v>
      </c>
    </row>
    <row r="196" spans="1:15" s="3" customFormat="1" x14ac:dyDescent="0.25">
      <c r="A196" s="9" t="s">
        <v>49</v>
      </c>
      <c r="B196" s="9">
        <v>15278437</v>
      </c>
      <c r="C196" s="9" t="s">
        <v>61</v>
      </c>
      <c r="D196" s="9" t="s">
        <v>62</v>
      </c>
      <c r="E196" s="9" t="str">
        <f>CONCATENATE(C196," ",D196)</f>
        <v>Lorraine Ramos</v>
      </c>
      <c r="F196" s="9">
        <v>50091113</v>
      </c>
      <c r="G196" s="9" t="str">
        <f>CONCATENATE(F196,2)</f>
        <v>500911132</v>
      </c>
      <c r="H196" s="10">
        <v>46023</v>
      </c>
      <c r="I196" s="10">
        <v>46048</v>
      </c>
      <c r="J196" s="9" t="s">
        <v>14</v>
      </c>
      <c r="K196" s="9" t="s">
        <v>20</v>
      </c>
      <c r="L196" s="11">
        <v>391</v>
      </c>
      <c r="M196" s="9" t="s">
        <v>293</v>
      </c>
      <c r="N196" s="9" t="s">
        <v>296</v>
      </c>
      <c r="O196" s="9"/>
    </row>
    <row r="197" spans="1:15" s="3" customFormat="1" x14ac:dyDescent="0.25">
      <c r="A197" s="3" t="s">
        <v>300</v>
      </c>
      <c r="B197" s="3">
        <v>20411454</v>
      </c>
      <c r="C197" s="3" t="s">
        <v>61</v>
      </c>
      <c r="D197" s="3" t="s">
        <v>62</v>
      </c>
      <c r="E197" s="3" t="str">
        <f>CONCATENATE(C197," ",D197)</f>
        <v>Lorraine Ramos</v>
      </c>
      <c r="F197" s="3">
        <v>50091113</v>
      </c>
      <c r="G197" s="3" t="str">
        <f>CONCATENATE(F197,"OVR")</f>
        <v>50091113OVR</v>
      </c>
      <c r="H197" s="4">
        <v>46023</v>
      </c>
      <c r="I197" s="4">
        <v>46048</v>
      </c>
      <c r="J197" s="3" t="s">
        <v>14</v>
      </c>
      <c r="K197" s="3" t="s">
        <v>15</v>
      </c>
      <c r="L197" s="5">
        <v>65</v>
      </c>
      <c r="M197" s="3" t="s">
        <v>292</v>
      </c>
    </row>
    <row r="198" spans="1:15" s="3" customFormat="1" x14ac:dyDescent="0.25">
      <c r="A198" s="9" t="s">
        <v>190</v>
      </c>
      <c r="B198" s="9">
        <v>16509456</v>
      </c>
      <c r="C198" s="9" t="s">
        <v>61</v>
      </c>
      <c r="D198" s="9" t="s">
        <v>283</v>
      </c>
      <c r="E198" s="9" t="str">
        <f>CONCATENATE(C198," ",D198)</f>
        <v>Lorraine Rosko</v>
      </c>
      <c r="F198" s="9">
        <v>50016023</v>
      </c>
      <c r="G198" s="9" t="str">
        <f>CONCATENATE(F198,2)</f>
        <v>500160232</v>
      </c>
      <c r="H198" s="10">
        <v>46023</v>
      </c>
      <c r="I198" s="10">
        <v>46052</v>
      </c>
      <c r="J198" s="9" t="s">
        <v>14</v>
      </c>
      <c r="K198" s="9" t="s">
        <v>288</v>
      </c>
      <c r="L198" s="11">
        <v>-391</v>
      </c>
      <c r="M198" s="9" t="s">
        <v>293</v>
      </c>
      <c r="N198" s="9" t="s">
        <v>296</v>
      </c>
      <c r="O198" s="9"/>
    </row>
    <row r="199" spans="1:15" s="3" customFormat="1" x14ac:dyDescent="0.25">
      <c r="A199" s="3" t="s">
        <v>300</v>
      </c>
      <c r="B199" s="3">
        <v>20411454</v>
      </c>
      <c r="C199" s="3" t="s">
        <v>61</v>
      </c>
      <c r="D199" s="3" t="s">
        <v>283</v>
      </c>
      <c r="E199" s="3" t="str">
        <f>CONCATENATE(C199," ",D199)</f>
        <v>Lorraine Rosko</v>
      </c>
      <c r="F199" s="3">
        <v>50016023</v>
      </c>
      <c r="G199" s="3" t="str">
        <f>CONCATENATE(F199,"OVR")</f>
        <v>50016023OVR</v>
      </c>
      <c r="H199" s="4">
        <v>46023</v>
      </c>
      <c r="I199" s="4">
        <v>46052</v>
      </c>
      <c r="J199" s="3" t="s">
        <v>14</v>
      </c>
      <c r="K199" s="3" t="s">
        <v>179</v>
      </c>
      <c r="L199" s="5">
        <v>-65</v>
      </c>
      <c r="M199" s="3" t="s">
        <v>292</v>
      </c>
    </row>
    <row r="200" spans="1:15" s="3" customFormat="1" x14ac:dyDescent="0.25">
      <c r="A200" s="9" t="s">
        <v>23</v>
      </c>
      <c r="B200" s="9">
        <v>17425766</v>
      </c>
      <c r="C200" s="9" t="s">
        <v>24</v>
      </c>
      <c r="D200" s="9" t="s">
        <v>25</v>
      </c>
      <c r="E200" s="9" t="str">
        <f>CONCATENATE(C200," ",D200)</f>
        <v>Louis Iatarola</v>
      </c>
      <c r="F200" s="9">
        <v>50004560</v>
      </c>
      <c r="G200" s="9" t="str">
        <f>CONCATENATE(F200,2)</f>
        <v>500045602</v>
      </c>
      <c r="H200" s="10">
        <v>46023</v>
      </c>
      <c r="I200" s="10">
        <v>46048</v>
      </c>
      <c r="J200" s="9" t="s">
        <v>14</v>
      </c>
      <c r="K200" s="9" t="s">
        <v>20</v>
      </c>
      <c r="L200" s="11">
        <v>391</v>
      </c>
      <c r="M200" s="9" t="s">
        <v>293</v>
      </c>
      <c r="N200" s="9" t="s">
        <v>296</v>
      </c>
      <c r="O200" s="9"/>
    </row>
    <row r="201" spans="1:15" s="3" customFormat="1" x14ac:dyDescent="0.25">
      <c r="A201" s="3" t="s">
        <v>300</v>
      </c>
      <c r="B201" s="3">
        <v>20411454</v>
      </c>
      <c r="C201" s="3" t="s">
        <v>24</v>
      </c>
      <c r="D201" s="3" t="s">
        <v>25</v>
      </c>
      <c r="E201" s="3" t="str">
        <f>CONCATENATE(C201," ",D201)</f>
        <v>Louis Iatarola</v>
      </c>
      <c r="F201" s="3">
        <v>50004560</v>
      </c>
      <c r="G201" s="3" t="str">
        <f>CONCATENATE(F201,"OVR")</f>
        <v>50004560OVR</v>
      </c>
      <c r="H201" s="4">
        <v>46023</v>
      </c>
      <c r="I201" s="4">
        <v>46048</v>
      </c>
      <c r="J201" s="3" t="s">
        <v>14</v>
      </c>
      <c r="K201" s="3" t="s">
        <v>15</v>
      </c>
      <c r="L201" s="5">
        <v>65</v>
      </c>
      <c r="M201" s="3" t="s">
        <v>292</v>
      </c>
    </row>
    <row r="202" spans="1:15" s="3" customFormat="1" x14ac:dyDescent="0.25">
      <c r="A202" s="9" t="s">
        <v>190</v>
      </c>
      <c r="B202" s="9">
        <v>16509456</v>
      </c>
      <c r="C202" s="9" t="s">
        <v>231</v>
      </c>
      <c r="D202" s="9" t="s">
        <v>232</v>
      </c>
      <c r="E202" s="9" t="str">
        <f>CONCATENATE(C202," ",D202)</f>
        <v>Louise Bateman</v>
      </c>
      <c r="F202" s="9">
        <v>50135700</v>
      </c>
      <c r="G202" s="9" t="str">
        <f>CONCATENATE(F202,2)</f>
        <v>501357002</v>
      </c>
      <c r="H202" s="10">
        <v>46023</v>
      </c>
      <c r="I202" s="10">
        <v>46052</v>
      </c>
      <c r="J202" s="9" t="s">
        <v>14</v>
      </c>
      <c r="K202" s="9" t="s">
        <v>288</v>
      </c>
      <c r="L202" s="11">
        <v>-391</v>
      </c>
      <c r="M202" s="9" t="s">
        <v>293</v>
      </c>
      <c r="N202" s="9" t="s">
        <v>296</v>
      </c>
      <c r="O202" s="9"/>
    </row>
    <row r="203" spans="1:15" s="3" customFormat="1" x14ac:dyDescent="0.25">
      <c r="A203" s="3" t="s">
        <v>300</v>
      </c>
      <c r="B203" s="3">
        <v>20411454</v>
      </c>
      <c r="C203" s="3" t="s">
        <v>231</v>
      </c>
      <c r="D203" s="3" t="s">
        <v>232</v>
      </c>
      <c r="E203" s="3" t="str">
        <f>CONCATENATE(C203," ",D203)</f>
        <v>Louise Bateman</v>
      </c>
      <c r="F203" s="3">
        <v>50135700</v>
      </c>
      <c r="G203" s="3" t="str">
        <f>CONCATENATE(F203,"OVR")</f>
        <v>50135700OVR</v>
      </c>
      <c r="H203" s="4">
        <v>46023</v>
      </c>
      <c r="I203" s="4">
        <v>46052</v>
      </c>
      <c r="J203" s="3" t="s">
        <v>14</v>
      </c>
      <c r="K203" s="3" t="s">
        <v>179</v>
      </c>
      <c r="L203" s="5">
        <v>-65</v>
      </c>
      <c r="M203" s="3" t="s">
        <v>292</v>
      </c>
    </row>
    <row r="204" spans="1:15" s="3" customFormat="1" x14ac:dyDescent="0.25">
      <c r="A204" s="9" t="s">
        <v>49</v>
      </c>
      <c r="B204" s="9">
        <v>15278437</v>
      </c>
      <c r="C204" s="9" t="s">
        <v>233</v>
      </c>
      <c r="D204" s="9" t="s">
        <v>234</v>
      </c>
      <c r="E204" s="9" t="str">
        <f>CONCATENATE(C204," ",D204)</f>
        <v>Lydia Rissel</v>
      </c>
      <c r="F204" s="9">
        <v>50091828</v>
      </c>
      <c r="G204" s="9" t="str">
        <f>CONCATENATE(F204,2)</f>
        <v>500918282</v>
      </c>
      <c r="H204" s="10">
        <v>46023</v>
      </c>
      <c r="I204" s="10">
        <v>46052</v>
      </c>
      <c r="J204" s="9" t="s">
        <v>14</v>
      </c>
      <c r="K204" s="9" t="s">
        <v>288</v>
      </c>
      <c r="L204" s="11">
        <v>-391</v>
      </c>
      <c r="M204" s="9" t="s">
        <v>293</v>
      </c>
      <c r="N204" s="9" t="s">
        <v>296</v>
      </c>
      <c r="O204" s="9"/>
    </row>
    <row r="205" spans="1:15" s="3" customFormat="1" x14ac:dyDescent="0.25">
      <c r="A205" s="3" t="s">
        <v>300</v>
      </c>
      <c r="B205" s="3">
        <v>20411454</v>
      </c>
      <c r="C205" s="3" t="s">
        <v>233</v>
      </c>
      <c r="D205" s="3" t="s">
        <v>234</v>
      </c>
      <c r="E205" s="3" t="str">
        <f>CONCATENATE(C205," ",D205)</f>
        <v>Lydia Rissel</v>
      </c>
      <c r="F205" s="3">
        <v>50091828</v>
      </c>
      <c r="G205" s="3" t="str">
        <f>CONCATENATE(F205,"OVR")</f>
        <v>50091828OVR</v>
      </c>
      <c r="H205" s="4">
        <v>46023</v>
      </c>
      <c r="I205" s="4">
        <v>46052</v>
      </c>
      <c r="J205" s="3" t="s">
        <v>14</v>
      </c>
      <c r="K205" s="3" t="s">
        <v>179</v>
      </c>
      <c r="L205" s="5">
        <v>-65</v>
      </c>
      <c r="M205" s="3" t="s">
        <v>292</v>
      </c>
    </row>
    <row r="206" spans="1:15" s="3" customFormat="1" x14ac:dyDescent="0.25">
      <c r="A206" s="3" t="s">
        <v>300</v>
      </c>
      <c r="B206" s="3">
        <v>20411454</v>
      </c>
      <c r="C206" s="3" t="s">
        <v>241</v>
      </c>
      <c r="D206" s="3" t="s">
        <v>242</v>
      </c>
      <c r="E206" s="3" t="str">
        <f>CONCATENATE(C206," ",D206)</f>
        <v>Lynnette Brennan</v>
      </c>
      <c r="F206" s="3">
        <v>50096440</v>
      </c>
      <c r="G206" s="3" t="str">
        <f>CONCATENATE(F206,"OVR")</f>
        <v>50096440OVR</v>
      </c>
      <c r="H206" s="4">
        <v>46023</v>
      </c>
      <c r="I206" s="4">
        <v>46052</v>
      </c>
      <c r="J206" s="3" t="s">
        <v>14</v>
      </c>
      <c r="K206" s="3" t="s">
        <v>179</v>
      </c>
      <c r="L206" s="5">
        <v>-65</v>
      </c>
      <c r="M206" s="3" t="s">
        <v>292</v>
      </c>
    </row>
    <row r="207" spans="1:15" s="3" customFormat="1" x14ac:dyDescent="0.25">
      <c r="A207" s="9" t="s">
        <v>49</v>
      </c>
      <c r="B207" s="9">
        <v>15278437</v>
      </c>
      <c r="C207" s="9" t="s">
        <v>50</v>
      </c>
      <c r="D207" s="9" t="s">
        <v>51</v>
      </c>
      <c r="E207" s="9" t="str">
        <f>CONCATENATE(C207," ",D207)</f>
        <v>Margaret Perla</v>
      </c>
      <c r="F207" s="9">
        <v>50121374</v>
      </c>
      <c r="G207" s="9" t="str">
        <f>CONCATENATE(F207,2)</f>
        <v>501213742</v>
      </c>
      <c r="H207" s="10">
        <v>46023</v>
      </c>
      <c r="I207" s="10">
        <v>46052</v>
      </c>
      <c r="J207" s="9" t="s">
        <v>14</v>
      </c>
      <c r="K207" s="9" t="s">
        <v>288</v>
      </c>
      <c r="L207" s="11">
        <v>-391</v>
      </c>
      <c r="M207" s="9" t="s">
        <v>293</v>
      </c>
      <c r="N207" s="9" t="s">
        <v>296</v>
      </c>
      <c r="O207" s="9"/>
    </row>
    <row r="208" spans="1:15" s="3" customFormat="1" x14ac:dyDescent="0.25">
      <c r="A208" s="9" t="s">
        <v>49</v>
      </c>
      <c r="B208" s="9">
        <v>15278437</v>
      </c>
      <c r="C208" s="9" t="s">
        <v>50</v>
      </c>
      <c r="D208" s="9" t="s">
        <v>51</v>
      </c>
      <c r="E208" s="9" t="str">
        <f>CONCATENATE(C208," ",D208)</f>
        <v>Margaret Perla</v>
      </c>
      <c r="F208" s="9">
        <v>50121374</v>
      </c>
      <c r="G208" s="9" t="str">
        <f>CONCATENATE(F208,2)</f>
        <v>501213742</v>
      </c>
      <c r="H208" s="10">
        <v>46023</v>
      </c>
      <c r="I208" s="10">
        <v>46048</v>
      </c>
      <c r="J208" s="9" t="s">
        <v>14</v>
      </c>
      <c r="K208" s="9" t="s">
        <v>20</v>
      </c>
      <c r="L208" s="11">
        <v>391</v>
      </c>
      <c r="M208" s="9" t="s">
        <v>293</v>
      </c>
      <c r="N208" s="9" t="s">
        <v>296</v>
      </c>
      <c r="O208" s="9"/>
    </row>
    <row r="209" spans="1:15" s="3" customFormat="1" x14ac:dyDescent="0.25">
      <c r="A209" s="3" t="s">
        <v>300</v>
      </c>
      <c r="B209" s="3">
        <v>20411454</v>
      </c>
      <c r="C209" s="3" t="s">
        <v>50</v>
      </c>
      <c r="D209" s="3" t="s">
        <v>51</v>
      </c>
      <c r="E209" s="3" t="str">
        <f>CONCATENATE(C209," ",D209)</f>
        <v>Margaret Perla</v>
      </c>
      <c r="F209" s="3">
        <v>50121374</v>
      </c>
      <c r="G209" s="3" t="str">
        <f>CONCATENATE(F209,"OVR")</f>
        <v>50121374OVR</v>
      </c>
      <c r="H209" s="4">
        <v>46023</v>
      </c>
      <c r="I209" s="4">
        <v>46052</v>
      </c>
      <c r="J209" s="3" t="s">
        <v>14</v>
      </c>
      <c r="K209" s="3" t="s">
        <v>179</v>
      </c>
      <c r="L209" s="5">
        <v>-65</v>
      </c>
      <c r="M209" s="3" t="s">
        <v>292</v>
      </c>
    </row>
    <row r="210" spans="1:15" s="3" customFormat="1" x14ac:dyDescent="0.25">
      <c r="A210" s="3" t="s">
        <v>300</v>
      </c>
      <c r="B210" s="3">
        <v>20411454</v>
      </c>
      <c r="C210" s="3" t="s">
        <v>50</v>
      </c>
      <c r="D210" s="3" t="s">
        <v>51</v>
      </c>
      <c r="E210" s="3" t="str">
        <f>CONCATENATE(C210," ",D210)</f>
        <v>Margaret Perla</v>
      </c>
      <c r="F210" s="3">
        <v>50121374</v>
      </c>
      <c r="G210" s="3" t="str">
        <f>CONCATENATE(F210,"OVR")</f>
        <v>50121374OVR</v>
      </c>
      <c r="H210" s="4">
        <v>46023</v>
      </c>
      <c r="I210" s="4">
        <v>46048</v>
      </c>
      <c r="J210" s="3" t="s">
        <v>14</v>
      </c>
      <c r="K210" s="3" t="s">
        <v>15</v>
      </c>
      <c r="L210" s="5">
        <v>65</v>
      </c>
      <c r="M210" s="3" t="s">
        <v>292</v>
      </c>
    </row>
    <row r="211" spans="1:15" s="3" customFormat="1" x14ac:dyDescent="0.25">
      <c r="A211" s="3" t="s">
        <v>300</v>
      </c>
      <c r="B211" s="3">
        <v>20411454</v>
      </c>
      <c r="C211" s="3" t="s">
        <v>92</v>
      </c>
      <c r="D211" s="3" t="s">
        <v>93</v>
      </c>
      <c r="E211" s="3" t="str">
        <f>CONCATENATE(C211," ",D211)</f>
        <v>Marie Caliman</v>
      </c>
      <c r="F211" s="3">
        <v>50075630</v>
      </c>
      <c r="G211" s="3" t="str">
        <f>CONCATENATE(F211,"OVR")</f>
        <v>50075630OVR</v>
      </c>
      <c r="H211" s="4">
        <v>46023</v>
      </c>
      <c r="I211" s="4">
        <v>46048</v>
      </c>
      <c r="J211" s="3" t="s">
        <v>14</v>
      </c>
      <c r="K211" s="3" t="s">
        <v>15</v>
      </c>
      <c r="L211" s="5">
        <v>65</v>
      </c>
      <c r="M211" s="3" t="s">
        <v>292</v>
      </c>
    </row>
    <row r="212" spans="1:15" s="3" customFormat="1" x14ac:dyDescent="0.25">
      <c r="A212" s="9" t="s">
        <v>49</v>
      </c>
      <c r="B212" s="9">
        <v>15278437</v>
      </c>
      <c r="C212" s="9" t="s">
        <v>237</v>
      </c>
      <c r="D212" s="9" t="s">
        <v>138</v>
      </c>
      <c r="E212" s="9" t="str">
        <f>CONCATENATE(C212," ",D212)</f>
        <v>Marilyn Thomas</v>
      </c>
      <c r="F212" s="9">
        <v>50018665</v>
      </c>
      <c r="G212" s="9" t="str">
        <f>CONCATENATE(F212,2)</f>
        <v>500186652</v>
      </c>
      <c r="H212" s="10">
        <v>46023</v>
      </c>
      <c r="I212" s="10">
        <v>46052</v>
      </c>
      <c r="J212" s="9" t="s">
        <v>14</v>
      </c>
      <c r="K212" s="9" t="s">
        <v>288</v>
      </c>
      <c r="L212" s="11">
        <v>-391</v>
      </c>
      <c r="M212" s="9" t="s">
        <v>293</v>
      </c>
      <c r="N212" s="9" t="s">
        <v>296</v>
      </c>
      <c r="O212" s="9"/>
    </row>
    <row r="213" spans="1:15" s="3" customFormat="1" x14ac:dyDescent="0.25">
      <c r="A213" s="3" t="s">
        <v>300</v>
      </c>
      <c r="B213" s="3">
        <v>20411454</v>
      </c>
      <c r="C213" s="3" t="s">
        <v>237</v>
      </c>
      <c r="D213" s="3" t="s">
        <v>138</v>
      </c>
      <c r="E213" s="3" t="str">
        <f>CONCATENATE(C213," ",D213)</f>
        <v>Marilyn Thomas</v>
      </c>
      <c r="F213" s="3">
        <v>50018665</v>
      </c>
      <c r="G213" s="3" t="str">
        <f>CONCATENATE(F213,"OVR")</f>
        <v>50018665OVR</v>
      </c>
      <c r="H213" s="4">
        <v>46023</v>
      </c>
      <c r="I213" s="4">
        <v>46052</v>
      </c>
      <c r="J213" s="3" t="s">
        <v>14</v>
      </c>
      <c r="K213" s="3" t="s">
        <v>179</v>
      </c>
      <c r="L213" s="5">
        <v>-65</v>
      </c>
      <c r="M213" s="3" t="s">
        <v>292</v>
      </c>
    </row>
    <row r="214" spans="1:15" s="3" customFormat="1" x14ac:dyDescent="0.25">
      <c r="A214" s="3" t="s">
        <v>300</v>
      </c>
      <c r="B214" s="3">
        <v>20411454</v>
      </c>
      <c r="C214" s="3" t="s">
        <v>156</v>
      </c>
      <c r="D214" s="3" t="s">
        <v>282</v>
      </c>
      <c r="E214" s="3" t="str">
        <f>CONCATENATE(C214," ",D214)</f>
        <v>Mark Morris</v>
      </c>
      <c r="F214" s="3">
        <v>51049460</v>
      </c>
      <c r="G214" s="3" t="str">
        <f>CONCATENATE(F214,"OVR")</f>
        <v>51049460OVR</v>
      </c>
      <c r="H214" s="4">
        <v>46023</v>
      </c>
      <c r="I214" s="4">
        <v>46052</v>
      </c>
      <c r="J214" s="3" t="s">
        <v>14</v>
      </c>
      <c r="K214" s="3" t="s">
        <v>179</v>
      </c>
      <c r="L214" s="5">
        <v>-65</v>
      </c>
      <c r="M214" s="3" t="s">
        <v>292</v>
      </c>
    </row>
    <row r="215" spans="1:15" s="3" customFormat="1" x14ac:dyDescent="0.25">
      <c r="A215" s="3" t="s">
        <v>300</v>
      </c>
      <c r="B215" s="3">
        <v>20411454</v>
      </c>
      <c r="C215" s="3" t="s">
        <v>156</v>
      </c>
      <c r="D215" s="3" t="s">
        <v>157</v>
      </c>
      <c r="E215" s="3" t="str">
        <f>CONCATENATE(C215," ",D215)</f>
        <v>Mark Ratner</v>
      </c>
      <c r="F215" s="3">
        <v>50116699</v>
      </c>
      <c r="G215" s="3" t="str">
        <f>CONCATENATE(F215,"OVR")</f>
        <v>50116699OVR</v>
      </c>
      <c r="H215" s="4">
        <v>46023</v>
      </c>
      <c r="I215" s="4">
        <v>46048</v>
      </c>
      <c r="J215" s="3" t="s">
        <v>14</v>
      </c>
      <c r="K215" s="3" t="s">
        <v>15</v>
      </c>
      <c r="L215" s="5">
        <v>65</v>
      </c>
      <c r="M215" s="3" t="s">
        <v>292</v>
      </c>
    </row>
    <row r="216" spans="1:15" s="3" customFormat="1" x14ac:dyDescent="0.25">
      <c r="A216" s="9" t="s">
        <v>190</v>
      </c>
      <c r="B216" s="9">
        <v>16509456</v>
      </c>
      <c r="C216" s="9" t="s">
        <v>107</v>
      </c>
      <c r="D216" s="9" t="s">
        <v>215</v>
      </c>
      <c r="E216" s="9" t="str">
        <f>CONCATENATE(C216," ",D216)</f>
        <v>Mary Callan</v>
      </c>
      <c r="F216" s="9">
        <v>50027879</v>
      </c>
      <c r="G216" s="9" t="str">
        <f>CONCATENATE(F216,2)</f>
        <v>500278792</v>
      </c>
      <c r="H216" s="10">
        <v>46023</v>
      </c>
      <c r="I216" s="10">
        <v>46052</v>
      </c>
      <c r="J216" s="9" t="s">
        <v>14</v>
      </c>
      <c r="K216" s="9" t="s">
        <v>288</v>
      </c>
      <c r="L216" s="11">
        <v>-391</v>
      </c>
      <c r="M216" s="9" t="s">
        <v>293</v>
      </c>
      <c r="N216" s="9" t="s">
        <v>296</v>
      </c>
      <c r="O216" s="9"/>
    </row>
    <row r="217" spans="1:15" s="3" customFormat="1" x14ac:dyDescent="0.25">
      <c r="A217" s="3" t="s">
        <v>300</v>
      </c>
      <c r="B217" s="3">
        <v>20411454</v>
      </c>
      <c r="C217" s="3" t="s">
        <v>107</v>
      </c>
      <c r="D217" s="3" t="s">
        <v>215</v>
      </c>
      <c r="E217" s="3" t="str">
        <f>CONCATENATE(C217," ",D217)</f>
        <v>Mary Callan</v>
      </c>
      <c r="F217" s="3">
        <v>50027879</v>
      </c>
      <c r="G217" s="3" t="str">
        <f>CONCATENATE(F217,"OVR")</f>
        <v>50027879OVR</v>
      </c>
      <c r="H217" s="4">
        <v>46023</v>
      </c>
      <c r="I217" s="4">
        <v>46052</v>
      </c>
      <c r="J217" s="3" t="s">
        <v>14</v>
      </c>
      <c r="K217" s="3" t="s">
        <v>179</v>
      </c>
      <c r="L217" s="5">
        <v>-65</v>
      </c>
      <c r="M217" s="3" t="s">
        <v>292</v>
      </c>
    </row>
    <row r="218" spans="1:15" s="3" customFormat="1" x14ac:dyDescent="0.25">
      <c r="A218" s="3" t="s">
        <v>300</v>
      </c>
      <c r="B218" s="3">
        <v>20411454</v>
      </c>
      <c r="C218" s="3" t="s">
        <v>107</v>
      </c>
      <c r="D218" s="3" t="s">
        <v>173</v>
      </c>
      <c r="E218" s="3" t="str">
        <f>CONCATENATE(C218," ",D218)</f>
        <v>Mary Connor</v>
      </c>
      <c r="F218" s="3">
        <v>50122482</v>
      </c>
      <c r="G218" s="3" t="str">
        <f>CONCATENATE(F218,"OVR")</f>
        <v>50122482OVR</v>
      </c>
      <c r="H218" s="4">
        <v>46023</v>
      </c>
      <c r="I218" s="4">
        <v>46052</v>
      </c>
      <c r="J218" s="3" t="s">
        <v>14</v>
      </c>
      <c r="K218" s="3" t="s">
        <v>179</v>
      </c>
      <c r="L218" s="5">
        <v>-65</v>
      </c>
      <c r="M218" s="3" t="s">
        <v>292</v>
      </c>
    </row>
    <row r="219" spans="1:15" s="3" customFormat="1" x14ac:dyDescent="0.25">
      <c r="A219" s="3" t="s">
        <v>300</v>
      </c>
      <c r="B219" s="3">
        <v>20411454</v>
      </c>
      <c r="C219" s="3" t="s">
        <v>107</v>
      </c>
      <c r="D219" s="3" t="s">
        <v>173</v>
      </c>
      <c r="E219" s="3" t="str">
        <f>CONCATENATE(C219," ",D219)</f>
        <v>Mary Connor</v>
      </c>
      <c r="F219" s="3">
        <v>50122482</v>
      </c>
      <c r="G219" s="3" t="str">
        <f>CONCATENATE(F219,"OVR")</f>
        <v>50122482OVR</v>
      </c>
      <c r="H219" s="4">
        <v>46023</v>
      </c>
      <c r="I219" s="4">
        <v>46048</v>
      </c>
      <c r="J219" s="3" t="s">
        <v>14</v>
      </c>
      <c r="K219" s="3" t="s">
        <v>15</v>
      </c>
      <c r="L219" s="5">
        <v>65</v>
      </c>
      <c r="M219" s="3" t="s">
        <v>292</v>
      </c>
    </row>
    <row r="220" spans="1:15" s="3" customFormat="1" x14ac:dyDescent="0.25">
      <c r="A220" s="3" t="s">
        <v>300</v>
      </c>
      <c r="B220" s="3">
        <v>20411454</v>
      </c>
      <c r="C220" s="3" t="s">
        <v>107</v>
      </c>
      <c r="D220" s="3" t="s">
        <v>108</v>
      </c>
      <c r="E220" s="3" t="str">
        <f>CONCATENATE(C220," ",D220)</f>
        <v>Mary Lattanzi</v>
      </c>
      <c r="F220" s="3">
        <v>50137892</v>
      </c>
      <c r="G220" s="3" t="str">
        <f>CONCATENATE(F220,"OVR")</f>
        <v>50137892OVR</v>
      </c>
      <c r="H220" s="4">
        <v>46023</v>
      </c>
      <c r="I220" s="4">
        <v>46048</v>
      </c>
      <c r="J220" s="3" t="s">
        <v>14</v>
      </c>
      <c r="K220" s="3" t="s">
        <v>15</v>
      </c>
      <c r="L220" s="5">
        <v>65</v>
      </c>
      <c r="M220" s="3" t="s">
        <v>292</v>
      </c>
    </row>
    <row r="221" spans="1:15" s="3" customFormat="1" x14ac:dyDescent="0.25">
      <c r="A221" s="9" t="s">
        <v>190</v>
      </c>
      <c r="B221" s="9">
        <v>16509456</v>
      </c>
      <c r="C221" s="9" t="s">
        <v>206</v>
      </c>
      <c r="D221" s="9" t="s">
        <v>207</v>
      </c>
      <c r="E221" s="9" t="str">
        <f>CONCATENATE(C221," ",D221)</f>
        <v>Michael Graff</v>
      </c>
      <c r="F221" s="9">
        <v>50013247</v>
      </c>
      <c r="G221" s="9" t="str">
        <f>CONCATENATE(F221,2)</f>
        <v>500132472</v>
      </c>
      <c r="H221" s="10">
        <v>46023</v>
      </c>
      <c r="I221" s="10">
        <v>46052</v>
      </c>
      <c r="J221" s="9" t="s">
        <v>14</v>
      </c>
      <c r="K221" s="9" t="s">
        <v>288</v>
      </c>
      <c r="L221" s="11">
        <v>-391</v>
      </c>
      <c r="M221" s="9" t="s">
        <v>293</v>
      </c>
      <c r="N221" s="9" t="s">
        <v>296</v>
      </c>
      <c r="O221" s="9"/>
    </row>
    <row r="222" spans="1:15" s="3" customFormat="1" x14ac:dyDescent="0.25">
      <c r="A222" s="3" t="s">
        <v>300</v>
      </c>
      <c r="B222" s="3">
        <v>20411454</v>
      </c>
      <c r="C222" s="3" t="s">
        <v>206</v>
      </c>
      <c r="D222" s="3" t="s">
        <v>207</v>
      </c>
      <c r="E222" s="3" t="str">
        <f>CONCATENATE(C222," ",D222)</f>
        <v>Michael Graff</v>
      </c>
      <c r="F222" s="3">
        <v>50013247</v>
      </c>
      <c r="G222" s="3" t="str">
        <f>CONCATENATE(F222,"OVR")</f>
        <v>50013247OVR</v>
      </c>
      <c r="H222" s="4">
        <v>46023</v>
      </c>
      <c r="I222" s="4">
        <v>46052</v>
      </c>
      <c r="J222" s="3" t="s">
        <v>14</v>
      </c>
      <c r="K222" s="3" t="s">
        <v>179</v>
      </c>
      <c r="L222" s="5">
        <v>-65</v>
      </c>
      <c r="M222" s="3" t="s">
        <v>292</v>
      </c>
    </row>
    <row r="223" spans="1:15" s="3" customFormat="1" x14ac:dyDescent="0.25">
      <c r="A223" s="9" t="s">
        <v>49</v>
      </c>
      <c r="B223" s="9">
        <v>15278437</v>
      </c>
      <c r="C223" s="9" t="s">
        <v>206</v>
      </c>
      <c r="D223" s="9" t="s">
        <v>200</v>
      </c>
      <c r="E223" s="9" t="str">
        <f>CONCATENATE(C223," ",D223)</f>
        <v>Michael Mallon</v>
      </c>
      <c r="F223" s="9">
        <v>50113556</v>
      </c>
      <c r="G223" s="9" t="str">
        <f>CONCATENATE(F223,2)</f>
        <v>501135562</v>
      </c>
      <c r="H223" s="10">
        <v>46023</v>
      </c>
      <c r="I223" s="10">
        <v>46052</v>
      </c>
      <c r="J223" s="9" t="s">
        <v>14</v>
      </c>
      <c r="K223" s="9" t="s">
        <v>288</v>
      </c>
      <c r="L223" s="11">
        <v>-391</v>
      </c>
      <c r="M223" s="9" t="s">
        <v>293</v>
      </c>
      <c r="N223" s="9" t="s">
        <v>296</v>
      </c>
      <c r="O223" s="9"/>
    </row>
    <row r="224" spans="1:15" s="3" customFormat="1" x14ac:dyDescent="0.25">
      <c r="A224" s="3" t="s">
        <v>300</v>
      </c>
      <c r="B224" s="3">
        <v>20411454</v>
      </c>
      <c r="C224" s="3" t="s">
        <v>206</v>
      </c>
      <c r="D224" s="3" t="s">
        <v>200</v>
      </c>
      <c r="E224" s="3" t="str">
        <f>CONCATENATE(C224," ",D224)</f>
        <v>Michael Mallon</v>
      </c>
      <c r="F224" s="3">
        <v>50113556</v>
      </c>
      <c r="G224" s="3" t="str">
        <f>CONCATENATE(F224,"OVR")</f>
        <v>50113556OVR</v>
      </c>
      <c r="H224" s="4">
        <v>46023</v>
      </c>
      <c r="I224" s="4">
        <v>46052</v>
      </c>
      <c r="J224" s="3" t="s">
        <v>14</v>
      </c>
      <c r="K224" s="3" t="s">
        <v>179</v>
      </c>
      <c r="L224" s="5">
        <v>-65</v>
      </c>
      <c r="M224" s="3" t="s">
        <v>292</v>
      </c>
    </row>
    <row r="225" spans="1:15" s="3" customFormat="1" x14ac:dyDescent="0.25">
      <c r="A225" s="9" t="s">
        <v>23</v>
      </c>
      <c r="B225" s="9">
        <v>17425766</v>
      </c>
      <c r="C225" s="9" t="s">
        <v>40</v>
      </c>
      <c r="D225" s="9" t="s">
        <v>41</v>
      </c>
      <c r="E225" s="9" t="str">
        <f>CONCATENATE(C225," ",D225)</f>
        <v>Michele Baltaian</v>
      </c>
      <c r="F225" s="9">
        <v>50092726</v>
      </c>
      <c r="G225" s="9" t="str">
        <f>CONCATENATE(F225,2)</f>
        <v>500927262</v>
      </c>
      <c r="H225" s="10">
        <v>46023</v>
      </c>
      <c r="I225" s="10">
        <v>46052</v>
      </c>
      <c r="J225" s="9" t="s">
        <v>14</v>
      </c>
      <c r="K225" s="9" t="s">
        <v>288</v>
      </c>
      <c r="L225" s="11">
        <v>-391</v>
      </c>
      <c r="M225" s="9" t="s">
        <v>293</v>
      </c>
      <c r="N225" s="9" t="s">
        <v>296</v>
      </c>
      <c r="O225" s="9"/>
    </row>
    <row r="226" spans="1:15" s="3" customFormat="1" x14ac:dyDescent="0.25">
      <c r="A226" s="9" t="s">
        <v>23</v>
      </c>
      <c r="B226" s="9">
        <v>17425766</v>
      </c>
      <c r="C226" s="9" t="s">
        <v>40</v>
      </c>
      <c r="D226" s="9" t="s">
        <v>41</v>
      </c>
      <c r="E226" s="9" t="str">
        <f>CONCATENATE(C226," ",D226)</f>
        <v>Michele Baltaian</v>
      </c>
      <c r="F226" s="9">
        <v>50092726</v>
      </c>
      <c r="G226" s="9" t="str">
        <f>CONCATENATE(F226,2)</f>
        <v>500927262</v>
      </c>
      <c r="H226" s="10">
        <v>46023</v>
      </c>
      <c r="I226" s="10">
        <v>46048</v>
      </c>
      <c r="J226" s="9" t="s">
        <v>14</v>
      </c>
      <c r="K226" s="9" t="s">
        <v>20</v>
      </c>
      <c r="L226" s="11">
        <v>391</v>
      </c>
      <c r="M226" s="9" t="s">
        <v>293</v>
      </c>
      <c r="N226" s="9" t="s">
        <v>296</v>
      </c>
      <c r="O226" s="9"/>
    </row>
    <row r="227" spans="1:15" s="3" customFormat="1" x14ac:dyDescent="0.25">
      <c r="A227" s="3" t="s">
        <v>300</v>
      </c>
      <c r="B227" s="3">
        <v>20411454</v>
      </c>
      <c r="C227" s="3" t="s">
        <v>40</v>
      </c>
      <c r="D227" s="3" t="s">
        <v>41</v>
      </c>
      <c r="E227" s="3" t="str">
        <f>CONCATENATE(C227," ",D227)</f>
        <v>Michele Baltaian</v>
      </c>
      <c r="F227" s="3">
        <v>50092726</v>
      </c>
      <c r="G227" s="3" t="str">
        <f>CONCATENATE(F227,"OVR")</f>
        <v>50092726OVR</v>
      </c>
      <c r="H227" s="4">
        <v>46023</v>
      </c>
      <c r="I227" s="4">
        <v>46052</v>
      </c>
      <c r="J227" s="3" t="s">
        <v>14</v>
      </c>
      <c r="K227" s="3" t="s">
        <v>179</v>
      </c>
      <c r="L227" s="5">
        <v>-65</v>
      </c>
      <c r="M227" s="3" t="s">
        <v>292</v>
      </c>
    </row>
    <row r="228" spans="1:15" s="3" customFormat="1" x14ac:dyDescent="0.25">
      <c r="A228" s="3" t="s">
        <v>300</v>
      </c>
      <c r="B228" s="3">
        <v>20411454</v>
      </c>
      <c r="C228" s="3" t="s">
        <v>40</v>
      </c>
      <c r="D228" s="3" t="s">
        <v>41</v>
      </c>
      <c r="E228" s="3" t="str">
        <f>CONCATENATE(C228," ",D228)</f>
        <v>Michele Baltaian</v>
      </c>
      <c r="F228" s="3">
        <v>50092726</v>
      </c>
      <c r="G228" s="3" t="str">
        <f>CONCATENATE(F228,"OVR")</f>
        <v>50092726OVR</v>
      </c>
      <c r="H228" s="4">
        <v>46023</v>
      </c>
      <c r="I228" s="4">
        <v>46048</v>
      </c>
      <c r="J228" s="3" t="s">
        <v>14</v>
      </c>
      <c r="K228" s="3" t="s">
        <v>15</v>
      </c>
      <c r="L228" s="5">
        <v>65</v>
      </c>
      <c r="M228" s="3" t="s">
        <v>292</v>
      </c>
    </row>
    <row r="229" spans="1:15" s="3" customFormat="1" x14ac:dyDescent="0.25">
      <c r="A229" s="9" t="s">
        <v>190</v>
      </c>
      <c r="B229" s="9">
        <v>16509456</v>
      </c>
      <c r="C229" s="9" t="s">
        <v>247</v>
      </c>
      <c r="D229" s="9" t="s">
        <v>212</v>
      </c>
      <c r="E229" s="9" t="str">
        <f>CONCATENATE(C229," ",D229)</f>
        <v>Milton Ginsiorsky</v>
      </c>
      <c r="F229" s="9">
        <v>50088883</v>
      </c>
      <c r="G229" s="9" t="str">
        <f>CONCATENATE(F229,2)</f>
        <v>500888832</v>
      </c>
      <c r="H229" s="10">
        <v>46023</v>
      </c>
      <c r="I229" s="10">
        <v>46052</v>
      </c>
      <c r="J229" s="9" t="s">
        <v>14</v>
      </c>
      <c r="K229" s="9" t="s">
        <v>288</v>
      </c>
      <c r="L229" s="11">
        <v>-391</v>
      </c>
      <c r="M229" s="9" t="s">
        <v>293</v>
      </c>
      <c r="N229" s="9" t="s">
        <v>296</v>
      </c>
      <c r="O229" s="9"/>
    </row>
    <row r="230" spans="1:15" s="3" customFormat="1" x14ac:dyDescent="0.25">
      <c r="A230" s="3" t="s">
        <v>300</v>
      </c>
      <c r="B230" s="3">
        <v>20411454</v>
      </c>
      <c r="C230" s="3" t="s">
        <v>247</v>
      </c>
      <c r="D230" s="3" t="s">
        <v>212</v>
      </c>
      <c r="E230" s="3" t="str">
        <f>CONCATENATE(C230," ",D230)</f>
        <v>Milton Ginsiorsky</v>
      </c>
      <c r="F230" s="3">
        <v>50088883</v>
      </c>
      <c r="G230" s="3" t="str">
        <f>CONCATENATE(F230,"OVR")</f>
        <v>50088883OVR</v>
      </c>
      <c r="H230" s="4">
        <v>46023</v>
      </c>
      <c r="I230" s="4">
        <v>46052</v>
      </c>
      <c r="J230" s="3" t="s">
        <v>14</v>
      </c>
      <c r="K230" s="3" t="s">
        <v>179</v>
      </c>
      <c r="L230" s="5">
        <v>-65</v>
      </c>
      <c r="M230" s="3" t="s">
        <v>292</v>
      </c>
    </row>
    <row r="231" spans="1:15" s="3" customFormat="1" x14ac:dyDescent="0.25">
      <c r="A231" s="9" t="s">
        <v>49</v>
      </c>
      <c r="B231" s="9">
        <v>15278437</v>
      </c>
      <c r="C231" s="9" t="s">
        <v>258</v>
      </c>
      <c r="D231" s="9" t="s">
        <v>259</v>
      </c>
      <c r="E231" s="9" t="str">
        <f>CONCATENATE(C231," ",D231)</f>
        <v>Minhhien Pham</v>
      </c>
      <c r="F231" s="9">
        <v>50046420</v>
      </c>
      <c r="G231" s="9" t="str">
        <f>CONCATENATE(F231,2)</f>
        <v>500464202</v>
      </c>
      <c r="H231" s="10">
        <v>46023</v>
      </c>
      <c r="I231" s="10">
        <v>46052</v>
      </c>
      <c r="J231" s="9" t="s">
        <v>14</v>
      </c>
      <c r="K231" s="9" t="s">
        <v>288</v>
      </c>
      <c r="L231" s="11">
        <v>-391</v>
      </c>
      <c r="M231" s="9" t="s">
        <v>293</v>
      </c>
      <c r="N231" s="9" t="s">
        <v>296</v>
      </c>
      <c r="O231" s="9"/>
    </row>
    <row r="232" spans="1:15" s="3" customFormat="1" x14ac:dyDescent="0.25">
      <c r="A232" s="3" t="s">
        <v>300</v>
      </c>
      <c r="B232" s="3">
        <v>20411454</v>
      </c>
      <c r="C232" s="3" t="s">
        <v>258</v>
      </c>
      <c r="D232" s="3" t="s">
        <v>259</v>
      </c>
      <c r="E232" s="3" t="str">
        <f>CONCATENATE(C232," ",D232)</f>
        <v>Minhhien Pham</v>
      </c>
      <c r="F232" s="3">
        <v>50046420</v>
      </c>
      <c r="G232" s="3" t="str">
        <f>CONCATENATE(F232,"OVR")</f>
        <v>50046420OVR</v>
      </c>
      <c r="H232" s="4">
        <v>46023</v>
      </c>
      <c r="I232" s="4">
        <v>46052</v>
      </c>
      <c r="J232" s="3" t="s">
        <v>14</v>
      </c>
      <c r="K232" s="3" t="s">
        <v>179</v>
      </c>
      <c r="L232" s="5">
        <v>-65</v>
      </c>
      <c r="M232" s="3" t="s">
        <v>292</v>
      </c>
    </row>
    <row r="233" spans="1:15" s="3" customFormat="1" x14ac:dyDescent="0.25">
      <c r="A233" s="9" t="s">
        <v>11</v>
      </c>
      <c r="B233" s="9" t="s">
        <v>301</v>
      </c>
      <c r="C233" s="9" t="s">
        <v>12</v>
      </c>
      <c r="D233" s="9" t="s">
        <v>13</v>
      </c>
      <c r="E233" s="9" t="str">
        <f>CONCATENATE(C233," ",D233)</f>
        <v>Nestor Hansen</v>
      </c>
      <c r="F233" s="9">
        <v>50135169</v>
      </c>
      <c r="G233" s="9" t="str">
        <f>CONCATENATE(F233,2)</f>
        <v>501351692</v>
      </c>
      <c r="H233" s="10">
        <v>46023</v>
      </c>
      <c r="I233" s="10">
        <v>46052</v>
      </c>
      <c r="J233" s="9" t="s">
        <v>14</v>
      </c>
      <c r="K233" s="9" t="s">
        <v>288</v>
      </c>
      <c r="L233" s="11">
        <v>-391</v>
      </c>
      <c r="M233" s="9" t="s">
        <v>293</v>
      </c>
      <c r="N233" s="9" t="s">
        <v>296</v>
      </c>
      <c r="O233" s="9"/>
    </row>
    <row r="234" spans="1:15" s="3" customFormat="1" x14ac:dyDescent="0.25">
      <c r="A234" s="9" t="s">
        <v>11</v>
      </c>
      <c r="B234" s="9" t="s">
        <v>301</v>
      </c>
      <c r="C234" s="9" t="s">
        <v>12</v>
      </c>
      <c r="D234" s="9" t="s">
        <v>13</v>
      </c>
      <c r="E234" s="9" t="str">
        <f>CONCATENATE(C234," ",D234)</f>
        <v>Nestor Hansen</v>
      </c>
      <c r="F234" s="9">
        <v>50135169</v>
      </c>
      <c r="G234" s="9" t="str">
        <f>CONCATENATE(F234,2)</f>
        <v>501351692</v>
      </c>
      <c r="H234" s="10">
        <v>46023</v>
      </c>
      <c r="I234" s="10">
        <v>46048</v>
      </c>
      <c r="J234" s="9" t="s">
        <v>14</v>
      </c>
      <c r="K234" s="9" t="s">
        <v>20</v>
      </c>
      <c r="L234" s="11">
        <v>391</v>
      </c>
      <c r="M234" s="9" t="s">
        <v>293</v>
      </c>
      <c r="N234" s="9" t="s">
        <v>296</v>
      </c>
      <c r="O234" s="9"/>
    </row>
    <row r="235" spans="1:15" s="3" customFormat="1" x14ac:dyDescent="0.25">
      <c r="A235" s="3" t="s">
        <v>300</v>
      </c>
      <c r="B235" s="3">
        <v>20411454</v>
      </c>
      <c r="C235" s="3" t="s">
        <v>12</v>
      </c>
      <c r="D235" s="3" t="s">
        <v>13</v>
      </c>
      <c r="E235" s="3" t="str">
        <f>CONCATENATE(C235," ",D235)</f>
        <v>Nestor Hansen</v>
      </c>
      <c r="F235" s="3">
        <v>50135169</v>
      </c>
      <c r="G235" s="3" t="str">
        <f>CONCATENATE(F235,"OVR")</f>
        <v>50135169OVR</v>
      </c>
      <c r="H235" s="4">
        <v>46023</v>
      </c>
      <c r="I235" s="4">
        <v>46052</v>
      </c>
      <c r="J235" s="3" t="s">
        <v>14</v>
      </c>
      <c r="K235" s="3" t="s">
        <v>179</v>
      </c>
      <c r="L235" s="5">
        <v>-65</v>
      </c>
      <c r="M235" s="3" t="s">
        <v>292</v>
      </c>
    </row>
    <row r="236" spans="1:15" s="3" customFormat="1" x14ac:dyDescent="0.25">
      <c r="A236" s="3" t="s">
        <v>300</v>
      </c>
      <c r="B236" s="3">
        <v>20411454</v>
      </c>
      <c r="C236" s="3" t="s">
        <v>12</v>
      </c>
      <c r="D236" s="3" t="s">
        <v>13</v>
      </c>
      <c r="E236" s="3" t="str">
        <f>CONCATENATE(C236," ",D236)</f>
        <v>Nestor Hansen</v>
      </c>
      <c r="F236" s="3">
        <v>50135169</v>
      </c>
      <c r="G236" s="3" t="str">
        <f>CONCATENATE(F236,"OVR")</f>
        <v>50135169OVR</v>
      </c>
      <c r="H236" s="4">
        <v>46023</v>
      </c>
      <c r="I236" s="4">
        <v>46048</v>
      </c>
      <c r="J236" s="3" t="s">
        <v>14</v>
      </c>
      <c r="K236" s="3" t="s">
        <v>15</v>
      </c>
      <c r="L236" s="5">
        <v>65</v>
      </c>
      <c r="M236" s="3" t="s">
        <v>292</v>
      </c>
    </row>
    <row r="237" spans="1:15" s="3" customFormat="1" x14ac:dyDescent="0.25">
      <c r="A237" s="3" t="s">
        <v>300</v>
      </c>
      <c r="B237" s="3">
        <v>20411454</v>
      </c>
      <c r="C237" s="3" t="s">
        <v>148</v>
      </c>
      <c r="D237" s="3" t="s">
        <v>149</v>
      </c>
      <c r="E237" s="3" t="str">
        <f>CONCATENATE(C237," ",D237)</f>
        <v>Nick Schilk</v>
      </c>
      <c r="F237" s="3">
        <v>50116504</v>
      </c>
      <c r="G237" s="3" t="str">
        <f>CONCATENATE(F237,"OVR")</f>
        <v>50116504OVR</v>
      </c>
      <c r="H237" s="4">
        <v>46023</v>
      </c>
      <c r="I237" s="4">
        <v>46052</v>
      </c>
      <c r="J237" s="3" t="s">
        <v>14</v>
      </c>
      <c r="K237" s="3" t="s">
        <v>179</v>
      </c>
      <c r="L237" s="5">
        <v>-65</v>
      </c>
      <c r="M237" s="3" t="s">
        <v>292</v>
      </c>
    </row>
    <row r="238" spans="1:15" s="3" customFormat="1" x14ac:dyDescent="0.25">
      <c r="A238" s="3" t="s">
        <v>300</v>
      </c>
      <c r="B238" s="3">
        <v>20411454</v>
      </c>
      <c r="C238" s="3" t="s">
        <v>148</v>
      </c>
      <c r="D238" s="3" t="s">
        <v>149</v>
      </c>
      <c r="E238" s="3" t="str">
        <f>CONCATENATE(C238," ",D238)</f>
        <v>Nick Schilk</v>
      </c>
      <c r="F238" s="3">
        <v>50116504</v>
      </c>
      <c r="G238" s="3" t="str">
        <f>CONCATENATE(F238,"OVR")</f>
        <v>50116504OVR</v>
      </c>
      <c r="H238" s="4">
        <v>46023</v>
      </c>
      <c r="I238" s="4">
        <v>46048</v>
      </c>
      <c r="J238" s="3" t="s">
        <v>14</v>
      </c>
      <c r="K238" s="3" t="s">
        <v>15</v>
      </c>
      <c r="L238" s="5">
        <v>65</v>
      </c>
      <c r="M238" s="3" t="s">
        <v>292</v>
      </c>
    </row>
    <row r="239" spans="1:15" s="3" customFormat="1" x14ac:dyDescent="0.25">
      <c r="A239" s="9" t="s">
        <v>11</v>
      </c>
      <c r="B239" s="9" t="s">
        <v>301</v>
      </c>
      <c r="C239" s="9" t="s">
        <v>16</v>
      </c>
      <c r="D239" s="9" t="s">
        <v>17</v>
      </c>
      <c r="E239" s="9" t="str">
        <f>CONCATENATE(C239," ",D239)</f>
        <v>Nicolina Chicosky</v>
      </c>
      <c r="F239" s="9">
        <v>50133157</v>
      </c>
      <c r="G239" s="9" t="str">
        <f>CONCATENATE(F239,2)</f>
        <v>501331572</v>
      </c>
      <c r="H239" s="10">
        <v>46023</v>
      </c>
      <c r="I239" s="10">
        <v>46052</v>
      </c>
      <c r="J239" s="9" t="s">
        <v>14</v>
      </c>
      <c r="K239" s="9" t="s">
        <v>288</v>
      </c>
      <c r="L239" s="11">
        <v>-391</v>
      </c>
      <c r="M239" s="9" t="s">
        <v>293</v>
      </c>
      <c r="N239" s="9" t="s">
        <v>296</v>
      </c>
      <c r="O239" s="9"/>
    </row>
    <row r="240" spans="1:15" s="3" customFormat="1" x14ac:dyDescent="0.25">
      <c r="A240" s="9" t="s">
        <v>11</v>
      </c>
      <c r="B240" s="9" t="s">
        <v>301</v>
      </c>
      <c r="C240" s="9" t="s">
        <v>16</v>
      </c>
      <c r="D240" s="9" t="s">
        <v>17</v>
      </c>
      <c r="E240" s="9" t="str">
        <f>CONCATENATE(C240," ",D240)</f>
        <v>Nicolina Chicosky</v>
      </c>
      <c r="F240" s="9">
        <v>50133157</v>
      </c>
      <c r="G240" s="9" t="str">
        <f>CONCATENATE(F240,2)</f>
        <v>501331572</v>
      </c>
      <c r="H240" s="10">
        <v>46023</v>
      </c>
      <c r="I240" s="10">
        <v>46048</v>
      </c>
      <c r="J240" s="9" t="s">
        <v>14</v>
      </c>
      <c r="K240" s="9" t="s">
        <v>20</v>
      </c>
      <c r="L240" s="11">
        <v>391</v>
      </c>
      <c r="M240" s="9" t="s">
        <v>293</v>
      </c>
      <c r="N240" s="9" t="s">
        <v>296</v>
      </c>
      <c r="O240" s="9"/>
    </row>
    <row r="241" spans="1:15" s="3" customFormat="1" x14ac:dyDescent="0.25">
      <c r="A241" s="3" t="s">
        <v>300</v>
      </c>
      <c r="B241" s="3">
        <v>20411454</v>
      </c>
      <c r="C241" s="3" t="s">
        <v>16</v>
      </c>
      <c r="D241" s="3" t="s">
        <v>17</v>
      </c>
      <c r="E241" s="3" t="str">
        <f>CONCATENATE(C241," ",D241)</f>
        <v>Nicolina Chicosky</v>
      </c>
      <c r="F241" s="3">
        <v>50133157</v>
      </c>
      <c r="G241" s="3" t="str">
        <f>CONCATENATE(F241,"OVR")</f>
        <v>50133157OVR</v>
      </c>
      <c r="H241" s="4">
        <v>46023</v>
      </c>
      <c r="I241" s="4">
        <v>46052</v>
      </c>
      <c r="J241" s="3" t="s">
        <v>14</v>
      </c>
      <c r="K241" s="3" t="s">
        <v>179</v>
      </c>
      <c r="L241" s="5">
        <v>-65</v>
      </c>
      <c r="M241" s="3" t="s">
        <v>292</v>
      </c>
    </row>
    <row r="242" spans="1:15" s="3" customFormat="1" x14ac:dyDescent="0.25">
      <c r="A242" s="3" t="s">
        <v>300</v>
      </c>
      <c r="B242" s="3">
        <v>20411454</v>
      </c>
      <c r="C242" s="3" t="s">
        <v>16</v>
      </c>
      <c r="D242" s="3" t="s">
        <v>17</v>
      </c>
      <c r="E242" s="3" t="str">
        <f>CONCATENATE(C242," ",D242)</f>
        <v>Nicolina Chicosky</v>
      </c>
      <c r="F242" s="3">
        <v>50133157</v>
      </c>
      <c r="G242" s="3" t="str">
        <f>CONCATENATE(F242,"OVR")</f>
        <v>50133157OVR</v>
      </c>
      <c r="H242" s="4">
        <v>46023</v>
      </c>
      <c r="I242" s="4">
        <v>46048</v>
      </c>
      <c r="J242" s="3" t="s">
        <v>14</v>
      </c>
      <c r="K242" s="3" t="s">
        <v>15</v>
      </c>
      <c r="L242" s="5">
        <v>65</v>
      </c>
      <c r="M242" s="3" t="s">
        <v>292</v>
      </c>
    </row>
    <row r="243" spans="1:15" s="3" customFormat="1" x14ac:dyDescent="0.25">
      <c r="A243" s="3" t="s">
        <v>300</v>
      </c>
      <c r="B243" s="3">
        <v>20411454</v>
      </c>
      <c r="C243" s="3" t="s">
        <v>101</v>
      </c>
      <c r="D243" s="3" t="s">
        <v>196</v>
      </c>
      <c r="E243" s="3" t="str">
        <f>CONCATENATE(C243," ",D243)</f>
        <v>Patricia Cassidy</v>
      </c>
      <c r="F243" s="3">
        <v>50029233</v>
      </c>
      <c r="G243" s="3" t="str">
        <f>CONCATENATE(F243,"OVR")</f>
        <v>50029233OVR</v>
      </c>
      <c r="H243" s="4">
        <v>46023</v>
      </c>
      <c r="I243" s="4">
        <v>46052</v>
      </c>
      <c r="J243" s="3" t="s">
        <v>14</v>
      </c>
      <c r="K243" s="3" t="s">
        <v>179</v>
      </c>
      <c r="L243" s="5">
        <v>-65</v>
      </c>
      <c r="M243" s="3" t="s">
        <v>292</v>
      </c>
    </row>
    <row r="244" spans="1:15" s="3" customFormat="1" x14ac:dyDescent="0.25">
      <c r="A244" s="3" t="s">
        <v>300</v>
      </c>
      <c r="B244" s="3">
        <v>20411454</v>
      </c>
      <c r="C244" s="3" t="s">
        <v>101</v>
      </c>
      <c r="D244" s="3" t="s">
        <v>102</v>
      </c>
      <c r="E244" s="3" t="str">
        <f>CONCATENATE(C244," ",D244)</f>
        <v>Patricia Jacoby</v>
      </c>
      <c r="F244" s="3">
        <v>50108140</v>
      </c>
      <c r="G244" s="3" t="str">
        <f>CONCATENATE(F244,"OVR")</f>
        <v>50108140OVR</v>
      </c>
      <c r="H244" s="4">
        <v>46023</v>
      </c>
      <c r="I244" s="4">
        <v>46048</v>
      </c>
      <c r="J244" s="3" t="s">
        <v>14</v>
      </c>
      <c r="K244" s="3" t="s">
        <v>15</v>
      </c>
      <c r="L244" s="5">
        <v>65</v>
      </c>
      <c r="M244" s="3" t="s">
        <v>292</v>
      </c>
    </row>
    <row r="245" spans="1:15" s="3" customFormat="1" x14ac:dyDescent="0.25">
      <c r="A245" s="9" t="s">
        <v>23</v>
      </c>
      <c r="B245" s="9">
        <v>17425766</v>
      </c>
      <c r="C245" s="9" t="s">
        <v>101</v>
      </c>
      <c r="D245" s="9" t="s">
        <v>178</v>
      </c>
      <c r="E245" s="9" t="str">
        <f>CONCATENATE(C245," ",D245)</f>
        <v>Patricia Rotondi</v>
      </c>
      <c r="F245" s="9">
        <v>50017885</v>
      </c>
      <c r="G245" s="9" t="str">
        <f>CONCATENATE(F245,2)</f>
        <v>500178852</v>
      </c>
      <c r="H245" s="10">
        <v>46023</v>
      </c>
      <c r="I245" s="10">
        <v>46052</v>
      </c>
      <c r="J245" s="9" t="s">
        <v>14</v>
      </c>
      <c r="K245" s="9" t="s">
        <v>288</v>
      </c>
      <c r="L245" s="11">
        <v>-391</v>
      </c>
      <c r="M245" s="9" t="s">
        <v>293</v>
      </c>
      <c r="N245" s="9" t="s">
        <v>296</v>
      </c>
      <c r="O245" s="9"/>
    </row>
    <row r="246" spans="1:15" s="3" customFormat="1" x14ac:dyDescent="0.25">
      <c r="A246" s="3" t="s">
        <v>300</v>
      </c>
      <c r="B246" s="3">
        <v>20411454</v>
      </c>
      <c r="C246" s="3" t="s">
        <v>101</v>
      </c>
      <c r="D246" s="3" t="s">
        <v>178</v>
      </c>
      <c r="E246" s="3" t="str">
        <f>CONCATENATE(C246," ",D246)</f>
        <v>Patricia Rotondi</v>
      </c>
      <c r="F246" s="3">
        <v>50017885</v>
      </c>
      <c r="G246" s="3" t="str">
        <f>CONCATENATE(F246,"OVR")</f>
        <v>50017885OVR</v>
      </c>
      <c r="H246" s="4">
        <v>46023</v>
      </c>
      <c r="I246" s="4">
        <v>46052</v>
      </c>
      <c r="J246" s="3" t="s">
        <v>14</v>
      </c>
      <c r="K246" s="3" t="s">
        <v>179</v>
      </c>
      <c r="L246" s="5">
        <v>-65</v>
      </c>
      <c r="M246" s="3" t="s">
        <v>292</v>
      </c>
    </row>
    <row r="247" spans="1:15" s="3" customFormat="1" x14ac:dyDescent="0.25">
      <c r="A247" s="3" t="s">
        <v>300</v>
      </c>
      <c r="B247" s="3">
        <v>20411454</v>
      </c>
      <c r="C247" s="3" t="s">
        <v>150</v>
      </c>
      <c r="D247" s="3" t="s">
        <v>144</v>
      </c>
      <c r="E247" s="3" t="str">
        <f>CONCATENATE(C247," ",D247)</f>
        <v>Paul Finsterbusch</v>
      </c>
      <c r="F247" s="3">
        <v>50113928</v>
      </c>
      <c r="G247" s="3" t="str">
        <f>CONCATENATE(F247,"OVR")</f>
        <v>50113928OVR</v>
      </c>
      <c r="H247" s="4">
        <v>46023</v>
      </c>
      <c r="I247" s="4">
        <v>46048</v>
      </c>
      <c r="J247" s="3" t="s">
        <v>14</v>
      </c>
      <c r="K247" s="3" t="s">
        <v>15</v>
      </c>
      <c r="L247" s="5">
        <v>65</v>
      </c>
      <c r="M247" s="3" t="s">
        <v>292</v>
      </c>
    </row>
    <row r="248" spans="1:15" s="3" customFormat="1" x14ac:dyDescent="0.25">
      <c r="A248" s="3" t="s">
        <v>300</v>
      </c>
      <c r="B248" s="3">
        <v>20411454</v>
      </c>
      <c r="C248" s="3" t="s">
        <v>150</v>
      </c>
      <c r="D248" s="3" t="s">
        <v>158</v>
      </c>
      <c r="E248" s="3" t="str">
        <f>CONCATENATE(C248," ",D248)</f>
        <v>Paul Milburn</v>
      </c>
      <c r="F248" s="3">
        <v>50127011</v>
      </c>
      <c r="G248" s="3" t="str">
        <f>CONCATENATE(F248,"OVR")</f>
        <v>50127011OVR</v>
      </c>
      <c r="H248" s="4">
        <v>46023</v>
      </c>
      <c r="I248" s="4">
        <v>46048</v>
      </c>
      <c r="J248" s="3" t="s">
        <v>14</v>
      </c>
      <c r="K248" s="3" t="s">
        <v>15</v>
      </c>
      <c r="L248" s="5">
        <v>65</v>
      </c>
      <c r="M248" s="3" t="s">
        <v>292</v>
      </c>
    </row>
    <row r="249" spans="1:15" s="3" customFormat="1" x14ac:dyDescent="0.25">
      <c r="A249" s="9" t="s">
        <v>49</v>
      </c>
      <c r="B249" s="9">
        <v>15278437</v>
      </c>
      <c r="C249" s="9" t="s">
        <v>67</v>
      </c>
      <c r="D249" s="9" t="s">
        <v>68</v>
      </c>
      <c r="E249" s="9" t="str">
        <f>CONCATENATE(C249," ",D249)</f>
        <v>Penny Snider</v>
      </c>
      <c r="F249" s="9">
        <v>50107926</v>
      </c>
      <c r="G249" s="9" t="str">
        <f>CONCATENATE(F249,2)</f>
        <v>501079262</v>
      </c>
      <c r="H249" s="10">
        <v>46023</v>
      </c>
      <c r="I249" s="10">
        <v>46048</v>
      </c>
      <c r="J249" s="9" t="s">
        <v>14</v>
      </c>
      <c r="K249" s="9" t="s">
        <v>83</v>
      </c>
      <c r="L249" s="11">
        <v>32.58</v>
      </c>
      <c r="M249" s="9" t="s">
        <v>293</v>
      </c>
      <c r="N249" s="9" t="s">
        <v>297</v>
      </c>
      <c r="O249" s="9"/>
    </row>
    <row r="250" spans="1:15" s="3" customFormat="1" x14ac:dyDescent="0.25">
      <c r="A250" s="3" t="s">
        <v>300</v>
      </c>
      <c r="B250" s="3">
        <v>20411454</v>
      </c>
      <c r="C250" s="3" t="s">
        <v>67</v>
      </c>
      <c r="D250" s="3" t="s">
        <v>68</v>
      </c>
      <c r="E250" s="3" t="str">
        <f>CONCATENATE(C250," ",D250)</f>
        <v>Penny Snider</v>
      </c>
      <c r="F250" s="3">
        <v>50107926</v>
      </c>
      <c r="G250" s="3" t="str">
        <f>CONCATENATE(F250,"OVR")</f>
        <v>50107926OVR</v>
      </c>
      <c r="H250" s="4">
        <v>46023</v>
      </c>
      <c r="I250" s="4">
        <v>46048</v>
      </c>
      <c r="J250" s="3" t="s">
        <v>14</v>
      </c>
      <c r="K250" s="3" t="s">
        <v>69</v>
      </c>
      <c r="L250" s="5">
        <v>5.41</v>
      </c>
      <c r="M250" s="3" t="s">
        <v>292</v>
      </c>
    </row>
    <row r="251" spans="1:15" s="3" customFormat="1" x14ac:dyDescent="0.25">
      <c r="A251" s="9" t="s">
        <v>190</v>
      </c>
      <c r="B251" s="9">
        <v>16509456</v>
      </c>
      <c r="C251" s="9" t="s">
        <v>235</v>
      </c>
      <c r="D251" s="9" t="s">
        <v>236</v>
      </c>
      <c r="E251" s="9" t="str">
        <f>CONCATENATE(C251," ",D251)</f>
        <v>Peter Dimattei</v>
      </c>
      <c r="F251" s="9">
        <v>50008061</v>
      </c>
      <c r="G251" s="9" t="str">
        <f>CONCATENATE(F251,2)</f>
        <v>500080612</v>
      </c>
      <c r="H251" s="10">
        <v>46023</v>
      </c>
      <c r="I251" s="10">
        <v>46052</v>
      </c>
      <c r="J251" s="9" t="s">
        <v>14</v>
      </c>
      <c r="K251" s="9" t="s">
        <v>288</v>
      </c>
      <c r="L251" s="11">
        <v>-391</v>
      </c>
      <c r="M251" s="9" t="s">
        <v>293</v>
      </c>
      <c r="N251" s="9" t="s">
        <v>296</v>
      </c>
      <c r="O251" s="9"/>
    </row>
    <row r="252" spans="1:15" s="3" customFormat="1" x14ac:dyDescent="0.25">
      <c r="A252" s="3" t="s">
        <v>300</v>
      </c>
      <c r="B252" s="3">
        <v>20411454</v>
      </c>
      <c r="C252" s="3" t="s">
        <v>235</v>
      </c>
      <c r="D252" s="3" t="s">
        <v>236</v>
      </c>
      <c r="E252" s="3" t="str">
        <f>CONCATENATE(C252," ",D252)</f>
        <v>Peter Dimattei</v>
      </c>
      <c r="F252" s="3">
        <v>50008061</v>
      </c>
      <c r="G252" s="3" t="str">
        <f>CONCATENATE(F252,"OVR")</f>
        <v>50008061OVR</v>
      </c>
      <c r="H252" s="4">
        <v>46023</v>
      </c>
      <c r="I252" s="4">
        <v>46052</v>
      </c>
      <c r="J252" s="3" t="s">
        <v>14</v>
      </c>
      <c r="K252" s="3" t="s">
        <v>179</v>
      </c>
      <c r="L252" s="5">
        <v>-65</v>
      </c>
      <c r="M252" s="3" t="s">
        <v>292</v>
      </c>
    </row>
    <row r="253" spans="1:15" s="3" customFormat="1" x14ac:dyDescent="0.25">
      <c r="A253" s="9" t="s">
        <v>49</v>
      </c>
      <c r="B253" s="9">
        <v>15278437</v>
      </c>
      <c r="C253" s="9" t="s">
        <v>267</v>
      </c>
      <c r="D253" s="9" t="s">
        <v>291</v>
      </c>
      <c r="E253" s="9" t="str">
        <f>CONCATENATE(C253," ",D253)</f>
        <v>Richard Hunsinger</v>
      </c>
      <c r="F253" s="9">
        <v>50130686</v>
      </c>
      <c r="G253" s="9" t="str">
        <f>CONCATENATE(F253,2)</f>
        <v>501306862</v>
      </c>
      <c r="H253" s="10">
        <v>46023</v>
      </c>
      <c r="I253" s="10">
        <v>46052</v>
      </c>
      <c r="J253" s="9" t="s">
        <v>14</v>
      </c>
      <c r="K253" s="9" t="s">
        <v>288</v>
      </c>
      <c r="L253" s="11">
        <v>-391</v>
      </c>
      <c r="M253" s="9" t="s">
        <v>293</v>
      </c>
      <c r="N253" s="9" t="s">
        <v>296</v>
      </c>
      <c r="O253" s="9"/>
    </row>
    <row r="254" spans="1:15" s="3" customFormat="1" x14ac:dyDescent="0.25">
      <c r="A254" s="9" t="s">
        <v>190</v>
      </c>
      <c r="B254" s="9">
        <v>16509456</v>
      </c>
      <c r="C254" s="9" t="s">
        <v>267</v>
      </c>
      <c r="D254" s="9" t="s">
        <v>249</v>
      </c>
      <c r="E254" s="9" t="str">
        <f>CONCATENATE(C254," ",D254)</f>
        <v>Richard Sanders</v>
      </c>
      <c r="F254" s="9">
        <v>50012355</v>
      </c>
      <c r="G254" s="9" t="str">
        <f>CONCATENATE(F254,2)</f>
        <v>500123552</v>
      </c>
      <c r="H254" s="10">
        <v>46023</v>
      </c>
      <c r="I254" s="10">
        <v>46052</v>
      </c>
      <c r="J254" s="9" t="s">
        <v>14</v>
      </c>
      <c r="K254" s="9" t="s">
        <v>288</v>
      </c>
      <c r="L254" s="11">
        <v>-391</v>
      </c>
      <c r="M254" s="9" t="s">
        <v>293</v>
      </c>
      <c r="N254" s="9" t="s">
        <v>296</v>
      </c>
      <c r="O254" s="9"/>
    </row>
    <row r="255" spans="1:15" s="3" customFormat="1" x14ac:dyDescent="0.25">
      <c r="A255" s="3" t="s">
        <v>300</v>
      </c>
      <c r="B255" s="3">
        <v>20411454</v>
      </c>
      <c r="C255" s="3" t="s">
        <v>267</v>
      </c>
      <c r="D255" s="3" t="s">
        <v>249</v>
      </c>
      <c r="E255" s="3" t="str">
        <f>CONCATENATE(C255," ",D255)</f>
        <v>Richard Sanders</v>
      </c>
      <c r="F255" s="3">
        <v>50012355</v>
      </c>
      <c r="G255" s="3" t="str">
        <f>CONCATENATE(F255,"OVR")</f>
        <v>50012355OVR</v>
      </c>
      <c r="H255" s="4">
        <v>46023</v>
      </c>
      <c r="I255" s="4">
        <v>46052</v>
      </c>
      <c r="J255" s="3" t="s">
        <v>14</v>
      </c>
      <c r="K255" s="3" t="s">
        <v>179</v>
      </c>
      <c r="L255" s="5">
        <v>-65</v>
      </c>
      <c r="M255" s="3" t="s">
        <v>292</v>
      </c>
    </row>
    <row r="256" spans="1:15" s="3" customFormat="1" x14ac:dyDescent="0.25">
      <c r="A256" s="3" t="s">
        <v>300</v>
      </c>
      <c r="B256" s="3">
        <v>20411454</v>
      </c>
      <c r="C256" s="3" t="s">
        <v>143</v>
      </c>
      <c r="D256" s="3" t="s">
        <v>144</v>
      </c>
      <c r="E256" s="3" t="str">
        <f>CONCATENATE(C256," ",D256)</f>
        <v>Robert Finsterbusch</v>
      </c>
      <c r="F256" s="3">
        <v>50103890</v>
      </c>
      <c r="G256" s="3" t="str">
        <f>CONCATENATE(F256,"OVR")</f>
        <v>50103890OVR</v>
      </c>
      <c r="H256" s="4">
        <v>46023</v>
      </c>
      <c r="I256" s="4">
        <v>46048</v>
      </c>
      <c r="J256" s="3" t="s">
        <v>14</v>
      </c>
      <c r="K256" s="3" t="s">
        <v>15</v>
      </c>
      <c r="L256" s="5">
        <v>65</v>
      </c>
      <c r="M256" s="3" t="s">
        <v>292</v>
      </c>
    </row>
    <row r="257" spans="1:15" s="3" customFormat="1" x14ac:dyDescent="0.25">
      <c r="A257" s="9" t="s">
        <v>49</v>
      </c>
      <c r="B257" s="9">
        <v>15278437</v>
      </c>
      <c r="C257" s="9" t="s">
        <v>143</v>
      </c>
      <c r="D257" s="9" t="s">
        <v>210</v>
      </c>
      <c r="E257" s="9" t="str">
        <f>CONCATENATE(C257," ",D257)</f>
        <v>Robert Shannon</v>
      </c>
      <c r="F257" s="9">
        <v>50109009</v>
      </c>
      <c r="G257" s="9" t="str">
        <f>CONCATENATE(F257,2)</f>
        <v>501090092</v>
      </c>
      <c r="H257" s="10">
        <v>46023</v>
      </c>
      <c r="I257" s="10">
        <v>46052</v>
      </c>
      <c r="J257" s="9" t="s">
        <v>14</v>
      </c>
      <c r="K257" s="9" t="s">
        <v>288</v>
      </c>
      <c r="L257" s="11">
        <v>-391</v>
      </c>
      <c r="M257" s="9" t="s">
        <v>293</v>
      </c>
      <c r="N257" s="9" t="s">
        <v>296</v>
      </c>
      <c r="O257" s="9"/>
    </row>
    <row r="258" spans="1:15" s="3" customFormat="1" x14ac:dyDescent="0.25">
      <c r="A258" s="3" t="s">
        <v>300</v>
      </c>
      <c r="B258" s="3">
        <v>20411454</v>
      </c>
      <c r="C258" s="3" t="s">
        <v>143</v>
      </c>
      <c r="D258" s="3" t="s">
        <v>210</v>
      </c>
      <c r="E258" s="3" t="str">
        <f>CONCATENATE(C258," ",D258)</f>
        <v>Robert Shannon</v>
      </c>
      <c r="F258" s="3">
        <v>50109009</v>
      </c>
      <c r="G258" s="3" t="str">
        <f>CONCATENATE(F258,"OVR")</f>
        <v>50109009OVR</v>
      </c>
      <c r="H258" s="4">
        <v>46023</v>
      </c>
      <c r="I258" s="4">
        <v>46052</v>
      </c>
      <c r="J258" s="3" t="s">
        <v>14</v>
      </c>
      <c r="K258" s="3" t="s">
        <v>179</v>
      </c>
      <c r="L258" s="5">
        <v>-65</v>
      </c>
      <c r="M258" s="3" t="s">
        <v>292</v>
      </c>
    </row>
    <row r="259" spans="1:15" s="3" customFormat="1" x14ac:dyDescent="0.25">
      <c r="A259" s="9" t="s">
        <v>49</v>
      </c>
      <c r="B259" s="9">
        <v>15278437</v>
      </c>
      <c r="C259" s="9" t="s">
        <v>55</v>
      </c>
      <c r="D259" s="9" t="s">
        <v>57</v>
      </c>
      <c r="E259" s="9" t="str">
        <f>CONCATENATE(C259," ",D259)</f>
        <v>Robin Fisher</v>
      </c>
      <c r="F259" s="9">
        <v>50118845</v>
      </c>
      <c r="G259" s="9" t="str">
        <f>CONCATENATE(F259,2)</f>
        <v>501188452</v>
      </c>
      <c r="H259" s="10">
        <v>46023</v>
      </c>
      <c r="I259" s="10">
        <v>46048</v>
      </c>
      <c r="J259" s="9" t="s">
        <v>14</v>
      </c>
      <c r="K259" s="9" t="s">
        <v>20</v>
      </c>
      <c r="L259" s="11">
        <v>391</v>
      </c>
      <c r="M259" s="9" t="s">
        <v>293</v>
      </c>
      <c r="N259" s="9" t="s">
        <v>296</v>
      </c>
      <c r="O259" s="9"/>
    </row>
    <row r="260" spans="1:15" s="3" customFormat="1" x14ac:dyDescent="0.25">
      <c r="A260" s="3" t="s">
        <v>300</v>
      </c>
      <c r="B260" s="3">
        <v>20411454</v>
      </c>
      <c r="C260" s="3" t="s">
        <v>55</v>
      </c>
      <c r="D260" s="3" t="s">
        <v>57</v>
      </c>
      <c r="E260" s="3" t="str">
        <f>CONCATENATE(C260," ",D260)</f>
        <v>Robin Fisher</v>
      </c>
      <c r="F260" s="3">
        <v>50118845</v>
      </c>
      <c r="G260" s="3" t="str">
        <f>CONCATENATE(F260,"OVR")</f>
        <v>50118845OVR</v>
      </c>
      <c r="H260" s="4">
        <v>46023</v>
      </c>
      <c r="I260" s="4">
        <v>46048</v>
      </c>
      <c r="J260" s="3" t="s">
        <v>14</v>
      </c>
      <c r="K260" s="3" t="s">
        <v>15</v>
      </c>
      <c r="L260" s="5">
        <v>65</v>
      </c>
      <c r="M260" s="3" t="s">
        <v>292</v>
      </c>
    </row>
    <row r="261" spans="1:15" s="3" customFormat="1" x14ac:dyDescent="0.25">
      <c r="A261" s="9" t="s">
        <v>49</v>
      </c>
      <c r="B261" s="9">
        <v>15278437</v>
      </c>
      <c r="C261" s="9" t="s">
        <v>55</v>
      </c>
      <c r="D261" s="9" t="s">
        <v>56</v>
      </c>
      <c r="E261" s="9" t="str">
        <f>CONCATENATE(C261," ",D261)</f>
        <v>Robin Trainor</v>
      </c>
      <c r="F261" s="9">
        <v>50127650</v>
      </c>
      <c r="G261" s="9" t="str">
        <f>CONCATENATE(F261,2)</f>
        <v>501276502</v>
      </c>
      <c r="H261" s="10">
        <v>46023</v>
      </c>
      <c r="I261" s="10">
        <v>46048</v>
      </c>
      <c r="J261" s="9" t="s">
        <v>14</v>
      </c>
      <c r="K261" s="9" t="s">
        <v>20</v>
      </c>
      <c r="L261" s="11">
        <v>391</v>
      </c>
      <c r="M261" s="9" t="s">
        <v>293</v>
      </c>
      <c r="N261" s="9" t="s">
        <v>296</v>
      </c>
      <c r="O261" s="9"/>
    </row>
    <row r="262" spans="1:15" s="3" customFormat="1" x14ac:dyDescent="0.25">
      <c r="A262" s="3" t="s">
        <v>300</v>
      </c>
      <c r="B262" s="3">
        <v>20411454</v>
      </c>
      <c r="C262" s="3" t="s">
        <v>55</v>
      </c>
      <c r="D262" s="3" t="s">
        <v>56</v>
      </c>
      <c r="E262" s="3" t="str">
        <f>CONCATENATE(C262," ",D262)</f>
        <v>Robin Trainor</v>
      </c>
      <c r="F262" s="3">
        <v>50127650</v>
      </c>
      <c r="G262" s="3" t="str">
        <f>CONCATENATE(F262,"OVR")</f>
        <v>50127650OVR</v>
      </c>
      <c r="H262" s="4">
        <v>46023</v>
      </c>
      <c r="I262" s="4">
        <v>46048</v>
      </c>
      <c r="J262" s="3" t="s">
        <v>14</v>
      </c>
      <c r="K262" s="3" t="s">
        <v>15</v>
      </c>
      <c r="L262" s="5">
        <v>65</v>
      </c>
      <c r="M262" s="3" t="s">
        <v>292</v>
      </c>
    </row>
    <row r="263" spans="1:15" s="3" customFormat="1" x14ac:dyDescent="0.25">
      <c r="A263" s="9" t="s">
        <v>49</v>
      </c>
      <c r="B263" s="9">
        <v>15278437</v>
      </c>
      <c r="C263" s="9" t="s">
        <v>53</v>
      </c>
      <c r="D263" s="9" t="s">
        <v>54</v>
      </c>
      <c r="E263" s="9" t="str">
        <f>CONCATENATE(C263," ",D263)</f>
        <v>Roger Elvin</v>
      </c>
      <c r="F263" s="9">
        <v>50017550</v>
      </c>
      <c r="G263" s="9" t="str">
        <f>CONCATENATE(F263,2)</f>
        <v>500175502</v>
      </c>
      <c r="H263" s="10">
        <v>46023</v>
      </c>
      <c r="I263" s="10">
        <v>46052</v>
      </c>
      <c r="J263" s="9" t="s">
        <v>14</v>
      </c>
      <c r="K263" s="9" t="s">
        <v>288</v>
      </c>
      <c r="L263" s="11">
        <v>-391</v>
      </c>
      <c r="M263" s="9" t="s">
        <v>293</v>
      </c>
      <c r="N263" s="9" t="s">
        <v>296</v>
      </c>
      <c r="O263" s="9"/>
    </row>
    <row r="264" spans="1:15" s="3" customFormat="1" x14ac:dyDescent="0.25">
      <c r="A264" s="9" t="s">
        <v>49</v>
      </c>
      <c r="B264" s="9">
        <v>15278437</v>
      </c>
      <c r="C264" s="9" t="s">
        <v>53</v>
      </c>
      <c r="D264" s="9" t="s">
        <v>54</v>
      </c>
      <c r="E264" s="9" t="str">
        <f>CONCATENATE(C264," ",D264)</f>
        <v>Roger Elvin</v>
      </c>
      <c r="F264" s="9">
        <v>50017550</v>
      </c>
      <c r="G264" s="9" t="str">
        <f>CONCATENATE(F264,2)</f>
        <v>500175502</v>
      </c>
      <c r="H264" s="10">
        <v>46023</v>
      </c>
      <c r="I264" s="10">
        <v>46048</v>
      </c>
      <c r="J264" s="9" t="s">
        <v>14</v>
      </c>
      <c r="K264" s="9" t="s">
        <v>20</v>
      </c>
      <c r="L264" s="11">
        <v>391</v>
      </c>
      <c r="M264" s="9" t="s">
        <v>293</v>
      </c>
      <c r="N264" s="9" t="s">
        <v>296</v>
      </c>
      <c r="O264" s="9"/>
    </row>
    <row r="265" spans="1:15" s="3" customFormat="1" x14ac:dyDescent="0.25">
      <c r="A265" s="3" t="s">
        <v>300</v>
      </c>
      <c r="B265" s="3">
        <v>20411454</v>
      </c>
      <c r="C265" s="3" t="s">
        <v>53</v>
      </c>
      <c r="D265" s="3" t="s">
        <v>54</v>
      </c>
      <c r="E265" s="3" t="str">
        <f>CONCATENATE(C265," ",D265)</f>
        <v>Roger Elvin</v>
      </c>
      <c r="F265" s="3">
        <v>50017550</v>
      </c>
      <c r="G265" s="3" t="str">
        <f>CONCATENATE(F265,"OVR")</f>
        <v>50017550OVR</v>
      </c>
      <c r="H265" s="4">
        <v>46023</v>
      </c>
      <c r="I265" s="4">
        <v>46048</v>
      </c>
      <c r="J265" s="3" t="s">
        <v>14</v>
      </c>
      <c r="K265" s="3" t="s">
        <v>15</v>
      </c>
      <c r="L265" s="5">
        <v>65</v>
      </c>
      <c r="M265" s="3" t="s">
        <v>292</v>
      </c>
    </row>
    <row r="266" spans="1:15" s="3" customFormat="1" x14ac:dyDescent="0.25">
      <c r="A266" s="9" t="s">
        <v>49</v>
      </c>
      <c r="B266" s="9">
        <v>15278437</v>
      </c>
      <c r="C266" s="9" t="s">
        <v>254</v>
      </c>
      <c r="D266" s="9" t="s">
        <v>255</v>
      </c>
      <c r="E266" s="9" t="str">
        <f>CONCATENATE(C266," ",D266)</f>
        <v>Roland Clogston Iii</v>
      </c>
      <c r="F266" s="9">
        <v>50137152</v>
      </c>
      <c r="G266" s="9" t="str">
        <f>CONCATENATE(F266,2)</f>
        <v>501371522</v>
      </c>
      <c r="H266" s="10">
        <v>46023</v>
      </c>
      <c r="I266" s="10">
        <v>46052</v>
      </c>
      <c r="J266" s="9" t="s">
        <v>14</v>
      </c>
      <c r="K266" s="9" t="s">
        <v>288</v>
      </c>
      <c r="L266" s="11">
        <v>-391</v>
      </c>
      <c r="M266" s="9" t="s">
        <v>293</v>
      </c>
      <c r="N266" s="9" t="s">
        <v>296</v>
      </c>
      <c r="O266" s="9"/>
    </row>
    <row r="267" spans="1:15" s="3" customFormat="1" x14ac:dyDescent="0.25">
      <c r="A267" s="3" t="s">
        <v>300</v>
      </c>
      <c r="B267" s="3">
        <v>20411454</v>
      </c>
      <c r="C267" s="3" t="s">
        <v>254</v>
      </c>
      <c r="D267" s="3" t="s">
        <v>255</v>
      </c>
      <c r="E267" s="3" t="str">
        <f>CONCATENATE(C267," ",D267)</f>
        <v>Roland Clogston Iii</v>
      </c>
      <c r="F267" s="3">
        <v>50137152</v>
      </c>
      <c r="G267" s="3" t="str">
        <f>CONCATENATE(F267,"OVR")</f>
        <v>50137152OVR</v>
      </c>
      <c r="H267" s="4">
        <v>46023</v>
      </c>
      <c r="I267" s="4">
        <v>46052</v>
      </c>
      <c r="J267" s="3" t="s">
        <v>14</v>
      </c>
      <c r="K267" s="3" t="s">
        <v>179</v>
      </c>
      <c r="L267" s="5">
        <v>-65</v>
      </c>
      <c r="M267" s="3" t="s">
        <v>292</v>
      </c>
    </row>
    <row r="268" spans="1:15" s="3" customFormat="1" x14ac:dyDescent="0.25">
      <c r="A268" s="9" t="s">
        <v>49</v>
      </c>
      <c r="B268" s="9">
        <v>15278437</v>
      </c>
      <c r="C268" s="9" t="s">
        <v>246</v>
      </c>
      <c r="D268" s="9" t="s">
        <v>198</v>
      </c>
      <c r="E268" s="9" t="str">
        <f>CONCATENATE(C268," ",D268)</f>
        <v>Ronald Falcone</v>
      </c>
      <c r="F268" s="9">
        <v>50088502</v>
      </c>
      <c r="G268" s="9" t="str">
        <f>CONCATENATE(F268,2)</f>
        <v>500885022</v>
      </c>
      <c r="H268" s="10">
        <v>46023</v>
      </c>
      <c r="I268" s="10">
        <v>46052</v>
      </c>
      <c r="J268" s="9" t="s">
        <v>14</v>
      </c>
      <c r="K268" s="9" t="s">
        <v>288</v>
      </c>
      <c r="L268" s="11">
        <v>-391</v>
      </c>
      <c r="M268" s="9" t="s">
        <v>293</v>
      </c>
      <c r="N268" s="9" t="s">
        <v>296</v>
      </c>
      <c r="O268" s="9"/>
    </row>
    <row r="269" spans="1:15" s="3" customFormat="1" x14ac:dyDescent="0.25">
      <c r="A269" s="3" t="s">
        <v>300</v>
      </c>
      <c r="B269" s="3">
        <v>20411454</v>
      </c>
      <c r="C269" s="3" t="s">
        <v>246</v>
      </c>
      <c r="D269" s="3" t="s">
        <v>198</v>
      </c>
      <c r="E269" s="3" t="str">
        <f>CONCATENATE(C269," ",D269)</f>
        <v>Ronald Falcone</v>
      </c>
      <c r="F269" s="3">
        <v>50088502</v>
      </c>
      <c r="G269" s="3" t="str">
        <f>CONCATENATE(F269,"OVR")</f>
        <v>50088502OVR</v>
      </c>
      <c r="H269" s="4">
        <v>46023</v>
      </c>
      <c r="I269" s="4">
        <v>46052</v>
      </c>
      <c r="J269" s="3" t="s">
        <v>14</v>
      </c>
      <c r="K269" s="3" t="s">
        <v>179</v>
      </c>
      <c r="L269" s="5">
        <v>-65</v>
      </c>
      <c r="M269" s="3" t="s">
        <v>292</v>
      </c>
    </row>
    <row r="270" spans="1:15" s="3" customFormat="1" x14ac:dyDescent="0.25">
      <c r="A270" s="3" t="s">
        <v>300</v>
      </c>
      <c r="B270" s="3">
        <v>20411454</v>
      </c>
      <c r="C270" s="3" t="s">
        <v>124</v>
      </c>
      <c r="D270" s="3" t="s">
        <v>125</v>
      </c>
      <c r="E270" s="3" t="str">
        <f>CONCATENATE(C270," ",D270)</f>
        <v>Rosa Brock</v>
      </c>
      <c r="F270" s="3">
        <v>50091662</v>
      </c>
      <c r="G270" s="3" t="str">
        <f>CONCATENATE(F270,"OVR")</f>
        <v>50091662OVR</v>
      </c>
      <c r="H270" s="4">
        <v>46023</v>
      </c>
      <c r="I270" s="4">
        <v>46048</v>
      </c>
      <c r="J270" s="3" t="s">
        <v>14</v>
      </c>
      <c r="K270" s="3" t="s">
        <v>15</v>
      </c>
      <c r="L270" s="5">
        <v>65</v>
      </c>
      <c r="M270" s="3" t="s">
        <v>292</v>
      </c>
    </row>
    <row r="271" spans="1:15" s="3" customFormat="1" x14ac:dyDescent="0.25">
      <c r="A271" s="9" t="s">
        <v>49</v>
      </c>
      <c r="B271" s="9">
        <v>15278437</v>
      </c>
      <c r="C271" s="9" t="s">
        <v>58</v>
      </c>
      <c r="D271" s="9" t="s">
        <v>59</v>
      </c>
      <c r="E271" s="9" t="str">
        <f>CONCATENATE(C271," ",D271)</f>
        <v>Rose Marie Adamo</v>
      </c>
      <c r="F271" s="9">
        <v>50087000</v>
      </c>
      <c r="G271" s="9" t="str">
        <f>CONCATENATE(F271,2)</f>
        <v>500870002</v>
      </c>
      <c r="H271" s="10">
        <v>46023</v>
      </c>
      <c r="I271" s="10">
        <v>46048</v>
      </c>
      <c r="J271" s="9" t="s">
        <v>14</v>
      </c>
      <c r="K271" s="9" t="s">
        <v>20</v>
      </c>
      <c r="L271" s="11">
        <v>391</v>
      </c>
      <c r="M271" s="9" t="s">
        <v>293</v>
      </c>
      <c r="N271" s="9" t="s">
        <v>296</v>
      </c>
      <c r="O271" s="9"/>
    </row>
    <row r="272" spans="1:15" s="3" customFormat="1" x14ac:dyDescent="0.25">
      <c r="A272" s="3" t="s">
        <v>300</v>
      </c>
      <c r="B272" s="3">
        <v>20411454</v>
      </c>
      <c r="C272" s="3" t="s">
        <v>58</v>
      </c>
      <c r="D272" s="3" t="s">
        <v>59</v>
      </c>
      <c r="E272" s="3" t="str">
        <f>CONCATENATE(C272," ",D272)</f>
        <v>Rose Marie Adamo</v>
      </c>
      <c r="F272" s="3">
        <v>50087000</v>
      </c>
      <c r="G272" s="3" t="str">
        <f>CONCATENATE(F272,"OVR")</f>
        <v>50087000OVR</v>
      </c>
      <c r="H272" s="4">
        <v>46023</v>
      </c>
      <c r="I272" s="4">
        <v>46048</v>
      </c>
      <c r="J272" s="3" t="s">
        <v>14</v>
      </c>
      <c r="K272" s="3" t="s">
        <v>15</v>
      </c>
      <c r="L272" s="5">
        <v>65</v>
      </c>
      <c r="M272" s="3" t="s">
        <v>292</v>
      </c>
    </row>
    <row r="273" spans="1:15" s="3" customFormat="1" x14ac:dyDescent="0.25">
      <c r="A273" s="9" t="s">
        <v>23</v>
      </c>
      <c r="B273" s="9">
        <v>17425766</v>
      </c>
      <c r="C273" s="9" t="s">
        <v>36</v>
      </c>
      <c r="D273" s="9" t="s">
        <v>37</v>
      </c>
      <c r="E273" s="9" t="str">
        <f>CONCATENATE(C273," ",D273)</f>
        <v>Roselinda Menta</v>
      </c>
      <c r="F273" s="9">
        <v>50015151</v>
      </c>
      <c r="G273" s="9" t="str">
        <f>CONCATENATE(F273,2)</f>
        <v>500151512</v>
      </c>
      <c r="H273" s="10">
        <v>46023</v>
      </c>
      <c r="I273" s="10">
        <v>46048</v>
      </c>
      <c r="J273" s="9" t="s">
        <v>14</v>
      </c>
      <c r="K273" s="9" t="s">
        <v>20</v>
      </c>
      <c r="L273" s="11">
        <v>391</v>
      </c>
      <c r="M273" s="9" t="s">
        <v>293</v>
      </c>
      <c r="N273" s="9" t="s">
        <v>296</v>
      </c>
      <c r="O273" s="9"/>
    </row>
    <row r="274" spans="1:15" s="3" customFormat="1" x14ac:dyDescent="0.25">
      <c r="A274" s="3" t="s">
        <v>300</v>
      </c>
      <c r="B274" s="3">
        <v>20411454</v>
      </c>
      <c r="C274" s="3" t="s">
        <v>36</v>
      </c>
      <c r="D274" s="3" t="s">
        <v>37</v>
      </c>
      <c r="E274" s="3" t="str">
        <f>CONCATENATE(C274," ",D274)</f>
        <v>Roselinda Menta</v>
      </c>
      <c r="F274" s="3">
        <v>50015151</v>
      </c>
      <c r="G274" s="3" t="str">
        <f>CONCATENATE(F274,"OVR")</f>
        <v>50015151OVR</v>
      </c>
      <c r="H274" s="4">
        <v>46023</v>
      </c>
      <c r="I274" s="4">
        <v>46048</v>
      </c>
      <c r="J274" s="3" t="s">
        <v>14</v>
      </c>
      <c r="K274" s="3" t="s">
        <v>15</v>
      </c>
      <c r="L274" s="5">
        <v>65</v>
      </c>
      <c r="M274" s="3" t="s">
        <v>292</v>
      </c>
    </row>
    <row r="275" spans="1:15" s="3" customFormat="1" x14ac:dyDescent="0.25">
      <c r="A275" s="3" t="s">
        <v>300</v>
      </c>
      <c r="B275" s="3">
        <v>20411454</v>
      </c>
      <c r="C275" s="3" t="s">
        <v>169</v>
      </c>
      <c r="D275" s="3" t="s">
        <v>170</v>
      </c>
      <c r="E275" s="3" t="str">
        <f>CONCATENATE(C275," ",D275)</f>
        <v>Rosemarie Montanaro</v>
      </c>
      <c r="F275" s="3">
        <v>50120876</v>
      </c>
      <c r="G275" s="3" t="str">
        <f>CONCATENATE(F275,"OVR")</f>
        <v>50120876OVR</v>
      </c>
      <c r="H275" s="4">
        <v>46023</v>
      </c>
      <c r="I275" s="4">
        <v>46048</v>
      </c>
      <c r="J275" s="3" t="s">
        <v>14</v>
      </c>
      <c r="K275" s="3" t="s">
        <v>15</v>
      </c>
      <c r="L275" s="5">
        <v>65</v>
      </c>
      <c r="M275" s="3" t="s">
        <v>292</v>
      </c>
    </row>
    <row r="276" spans="1:15" s="3" customFormat="1" x14ac:dyDescent="0.25">
      <c r="A276" s="9" t="s">
        <v>49</v>
      </c>
      <c r="B276" s="9">
        <v>15278437</v>
      </c>
      <c r="C276" s="9" t="s">
        <v>185</v>
      </c>
      <c r="D276" s="9" t="s">
        <v>186</v>
      </c>
      <c r="E276" s="9" t="str">
        <f>CONCATENATE(C276," ",D276)</f>
        <v>Rudolph Thies</v>
      </c>
      <c r="F276" s="9">
        <v>50056238</v>
      </c>
      <c r="G276" s="9" t="str">
        <f>CONCATENATE(F276,2)</f>
        <v>500562382</v>
      </c>
      <c r="H276" s="10">
        <v>46023</v>
      </c>
      <c r="I276" s="10">
        <v>46052</v>
      </c>
      <c r="J276" s="9" t="s">
        <v>14</v>
      </c>
      <c r="K276" s="9" t="s">
        <v>288</v>
      </c>
      <c r="L276" s="11">
        <v>-391</v>
      </c>
      <c r="M276" s="9" t="s">
        <v>293</v>
      </c>
      <c r="N276" s="9" t="s">
        <v>296</v>
      </c>
      <c r="O276" s="9"/>
    </row>
    <row r="277" spans="1:15" s="3" customFormat="1" x14ac:dyDescent="0.25">
      <c r="A277" s="3" t="s">
        <v>300</v>
      </c>
      <c r="B277" s="3">
        <v>20411454</v>
      </c>
      <c r="C277" s="3" t="s">
        <v>185</v>
      </c>
      <c r="D277" s="3" t="s">
        <v>186</v>
      </c>
      <c r="E277" s="3" t="str">
        <f>CONCATENATE(C277," ",D277)</f>
        <v>Rudolph Thies</v>
      </c>
      <c r="F277" s="3">
        <v>50056238</v>
      </c>
      <c r="G277" s="3" t="str">
        <f>CONCATENATE(F277,"OVR")</f>
        <v>50056238OVR</v>
      </c>
      <c r="H277" s="4">
        <v>46023</v>
      </c>
      <c r="I277" s="4">
        <v>46052</v>
      </c>
      <c r="J277" s="3" t="s">
        <v>14</v>
      </c>
      <c r="K277" s="3" t="s">
        <v>179</v>
      </c>
      <c r="L277" s="5">
        <v>-65</v>
      </c>
      <c r="M277" s="3" t="s">
        <v>292</v>
      </c>
    </row>
    <row r="278" spans="1:15" s="3" customFormat="1" x14ac:dyDescent="0.25">
      <c r="A278" s="9" t="s">
        <v>49</v>
      </c>
      <c r="B278" s="9">
        <v>15278437</v>
      </c>
      <c r="C278" s="9" t="s">
        <v>252</v>
      </c>
      <c r="D278" s="9" t="s">
        <v>253</v>
      </c>
      <c r="E278" s="9" t="str">
        <f>CONCATENATE(C278," ",D278)</f>
        <v>Samira Abi Richa</v>
      </c>
      <c r="F278" s="9">
        <v>50020065</v>
      </c>
      <c r="G278" s="9" t="str">
        <f>CONCATENATE(F278,2)</f>
        <v>500200652</v>
      </c>
      <c r="H278" s="10">
        <v>46023</v>
      </c>
      <c r="I278" s="10">
        <v>46052</v>
      </c>
      <c r="J278" s="9" t="s">
        <v>14</v>
      </c>
      <c r="K278" s="9" t="s">
        <v>288</v>
      </c>
      <c r="L278" s="11">
        <v>-391</v>
      </c>
      <c r="M278" s="9" t="s">
        <v>293</v>
      </c>
      <c r="N278" s="9" t="s">
        <v>296</v>
      </c>
      <c r="O278" s="9"/>
    </row>
    <row r="279" spans="1:15" s="3" customFormat="1" x14ac:dyDescent="0.25">
      <c r="A279" s="3" t="s">
        <v>300</v>
      </c>
      <c r="B279" s="3">
        <v>20411454</v>
      </c>
      <c r="C279" s="3" t="s">
        <v>252</v>
      </c>
      <c r="D279" s="3" t="s">
        <v>253</v>
      </c>
      <c r="E279" s="3" t="str">
        <f>CONCATENATE(C279," ",D279)</f>
        <v>Samira Abi Richa</v>
      </c>
      <c r="F279" s="3">
        <v>50020065</v>
      </c>
      <c r="G279" s="3" t="str">
        <f>CONCATENATE(F279,"OVR")</f>
        <v>50020065OVR</v>
      </c>
      <c r="H279" s="4">
        <v>46023</v>
      </c>
      <c r="I279" s="4">
        <v>46052</v>
      </c>
      <c r="J279" s="3" t="s">
        <v>14</v>
      </c>
      <c r="K279" s="3" t="s">
        <v>179</v>
      </c>
      <c r="L279" s="5">
        <v>-65</v>
      </c>
      <c r="M279" s="3" t="s">
        <v>292</v>
      </c>
    </row>
    <row r="280" spans="1:15" s="3" customFormat="1" x14ac:dyDescent="0.25">
      <c r="A280" s="9" t="s">
        <v>49</v>
      </c>
      <c r="B280" s="9">
        <v>15278437</v>
      </c>
      <c r="C280" s="9" t="s">
        <v>65</v>
      </c>
      <c r="D280" s="9" t="s">
        <v>66</v>
      </c>
      <c r="E280" s="9" t="str">
        <f>CONCATENATE(C280," ",D280)</f>
        <v>Sarah Schneider</v>
      </c>
      <c r="F280" s="9">
        <v>50087425</v>
      </c>
      <c r="G280" s="9" t="str">
        <f>CONCATENATE(F280,2)</f>
        <v>500874252</v>
      </c>
      <c r="H280" s="10">
        <v>46023</v>
      </c>
      <c r="I280" s="10">
        <v>46052</v>
      </c>
      <c r="J280" s="9" t="s">
        <v>14</v>
      </c>
      <c r="K280" s="9" t="s">
        <v>288</v>
      </c>
      <c r="L280" s="11">
        <v>-391</v>
      </c>
      <c r="M280" s="9" t="s">
        <v>293</v>
      </c>
      <c r="N280" s="9" t="s">
        <v>296</v>
      </c>
      <c r="O280" s="9"/>
    </row>
    <row r="281" spans="1:15" s="3" customFormat="1" x14ac:dyDescent="0.25">
      <c r="A281" s="9" t="s">
        <v>49</v>
      </c>
      <c r="B281" s="9">
        <v>15278437</v>
      </c>
      <c r="C281" s="9" t="s">
        <v>65</v>
      </c>
      <c r="D281" s="9" t="s">
        <v>66</v>
      </c>
      <c r="E281" s="9" t="str">
        <f>CONCATENATE(C281," ",D281)</f>
        <v>Sarah Schneider</v>
      </c>
      <c r="F281" s="9">
        <v>50087425</v>
      </c>
      <c r="G281" s="9" t="str">
        <f>CONCATENATE(F281,2)</f>
        <v>500874252</v>
      </c>
      <c r="H281" s="10">
        <v>46023</v>
      </c>
      <c r="I281" s="10">
        <v>46048</v>
      </c>
      <c r="J281" s="9" t="s">
        <v>14</v>
      </c>
      <c r="K281" s="9" t="s">
        <v>20</v>
      </c>
      <c r="L281" s="11">
        <v>391</v>
      </c>
      <c r="M281" s="9" t="s">
        <v>293</v>
      </c>
      <c r="N281" s="9" t="s">
        <v>296</v>
      </c>
      <c r="O281" s="9"/>
    </row>
    <row r="282" spans="1:15" s="3" customFormat="1" x14ac:dyDescent="0.25">
      <c r="A282" s="3" t="s">
        <v>300</v>
      </c>
      <c r="B282" s="3">
        <v>20411454</v>
      </c>
      <c r="C282" s="3" t="s">
        <v>65</v>
      </c>
      <c r="D282" s="3" t="s">
        <v>66</v>
      </c>
      <c r="E282" s="3" t="str">
        <f>CONCATENATE(C282," ",D282)</f>
        <v>Sarah Schneider</v>
      </c>
      <c r="F282" s="3">
        <v>50087425</v>
      </c>
      <c r="G282" s="3" t="str">
        <f>CONCATENATE(F282,"OVR")</f>
        <v>50087425OVR</v>
      </c>
      <c r="H282" s="4">
        <v>46023</v>
      </c>
      <c r="I282" s="4">
        <v>46048</v>
      </c>
      <c r="J282" s="3" t="s">
        <v>14</v>
      </c>
      <c r="K282" s="3" t="s">
        <v>15</v>
      </c>
      <c r="L282" s="5">
        <v>65</v>
      </c>
      <c r="M282" s="3" t="s">
        <v>292</v>
      </c>
    </row>
    <row r="283" spans="1:15" s="3" customFormat="1" x14ac:dyDescent="0.25">
      <c r="A283" s="9" t="s">
        <v>49</v>
      </c>
      <c r="B283" s="9">
        <v>15278437</v>
      </c>
      <c r="C283" s="9" t="s">
        <v>238</v>
      </c>
      <c r="D283" s="9" t="s">
        <v>239</v>
      </c>
      <c r="E283" s="9" t="str">
        <f>CONCATENATE(C283," ",D283)</f>
        <v>Sonia Creary</v>
      </c>
      <c r="F283" s="9">
        <v>50031289</v>
      </c>
      <c r="G283" s="9" t="str">
        <f>CONCATENATE(F283,2)</f>
        <v>500312892</v>
      </c>
      <c r="H283" s="10">
        <v>46023</v>
      </c>
      <c r="I283" s="10">
        <v>46052</v>
      </c>
      <c r="J283" s="9" t="s">
        <v>14</v>
      </c>
      <c r="K283" s="9" t="s">
        <v>288</v>
      </c>
      <c r="L283" s="11">
        <v>-391</v>
      </c>
      <c r="M283" s="9" t="s">
        <v>293</v>
      </c>
      <c r="N283" s="9" t="s">
        <v>296</v>
      </c>
      <c r="O283" s="9"/>
    </row>
    <row r="284" spans="1:15" s="3" customFormat="1" x14ac:dyDescent="0.25">
      <c r="A284" s="3" t="s">
        <v>300</v>
      </c>
      <c r="B284" s="3">
        <v>20411454</v>
      </c>
      <c r="C284" s="3" t="s">
        <v>238</v>
      </c>
      <c r="D284" s="3" t="s">
        <v>239</v>
      </c>
      <c r="E284" s="3" t="str">
        <f>CONCATENATE(C284," ",D284)</f>
        <v>Sonia Creary</v>
      </c>
      <c r="F284" s="3">
        <v>50031289</v>
      </c>
      <c r="G284" s="3" t="str">
        <f>CONCATENATE(F284,"OVR")</f>
        <v>50031289OVR</v>
      </c>
      <c r="H284" s="4">
        <v>46023</v>
      </c>
      <c r="I284" s="4">
        <v>46052</v>
      </c>
      <c r="J284" s="3" t="s">
        <v>14</v>
      </c>
      <c r="K284" s="3" t="s">
        <v>179</v>
      </c>
      <c r="L284" s="5">
        <v>-65</v>
      </c>
      <c r="M284" s="3" t="s">
        <v>292</v>
      </c>
    </row>
    <row r="285" spans="1:15" s="3" customFormat="1" x14ac:dyDescent="0.25">
      <c r="A285" s="3" t="s">
        <v>300</v>
      </c>
      <c r="B285" s="3">
        <v>20411454</v>
      </c>
      <c r="C285" s="3" t="s">
        <v>136</v>
      </c>
      <c r="D285" s="3" t="s">
        <v>141</v>
      </c>
      <c r="E285" s="3" t="str">
        <f>CONCATENATE(C285," ",D285)</f>
        <v>Steven Brown</v>
      </c>
      <c r="F285" s="3">
        <v>50095384</v>
      </c>
      <c r="G285" s="3" t="str">
        <f>CONCATENATE(F285,"OVR")</f>
        <v>50095384OVR</v>
      </c>
      <c r="H285" s="4">
        <v>45658</v>
      </c>
      <c r="I285" s="4">
        <v>46052</v>
      </c>
      <c r="J285" s="3" t="s">
        <v>14</v>
      </c>
      <c r="K285" s="3" t="s">
        <v>179</v>
      </c>
      <c r="L285" s="5">
        <v>-65</v>
      </c>
      <c r="M285" s="3" t="s">
        <v>292</v>
      </c>
    </row>
    <row r="286" spans="1:15" s="3" customFormat="1" x14ac:dyDescent="0.25">
      <c r="A286" s="3" t="s">
        <v>300</v>
      </c>
      <c r="B286" s="3">
        <v>20411454</v>
      </c>
      <c r="C286" s="3" t="s">
        <v>136</v>
      </c>
      <c r="D286" s="3" t="s">
        <v>91</v>
      </c>
      <c r="E286" s="3" t="str">
        <f>CONCATENATE(C286," ",D286)</f>
        <v>Steven Przepioski</v>
      </c>
      <c r="F286" s="3">
        <v>50029394</v>
      </c>
      <c r="G286" s="3" t="str">
        <f>CONCATENATE(F286,"OVR")</f>
        <v>50029394OVR</v>
      </c>
      <c r="H286" s="4">
        <v>46023</v>
      </c>
      <c r="I286" s="4">
        <v>46048</v>
      </c>
      <c r="J286" s="3" t="s">
        <v>14</v>
      </c>
      <c r="K286" s="3" t="s">
        <v>15</v>
      </c>
      <c r="L286" s="5">
        <v>65</v>
      </c>
      <c r="M286" s="3" t="s">
        <v>292</v>
      </c>
    </row>
    <row r="287" spans="1:15" s="3" customFormat="1" x14ac:dyDescent="0.25">
      <c r="A287" s="3" t="s">
        <v>300</v>
      </c>
      <c r="B287" s="3">
        <v>20411454</v>
      </c>
      <c r="C287" s="3" t="s">
        <v>151</v>
      </c>
      <c r="D287" s="3" t="s">
        <v>129</v>
      </c>
      <c r="E287" s="3" t="str">
        <f>CONCATENATE(C287," ",D287)</f>
        <v>Stuart Topkis</v>
      </c>
      <c r="F287" s="3">
        <v>50115070</v>
      </c>
      <c r="G287" s="3" t="str">
        <f>CONCATENATE(F287,"OVR")</f>
        <v>50115070OVR</v>
      </c>
      <c r="H287" s="4">
        <v>46023</v>
      </c>
      <c r="I287" s="4">
        <v>46052</v>
      </c>
      <c r="J287" s="3" t="s">
        <v>14</v>
      </c>
      <c r="K287" s="3" t="s">
        <v>179</v>
      </c>
      <c r="L287" s="5">
        <v>-65</v>
      </c>
      <c r="M287" s="3" t="s">
        <v>292</v>
      </c>
    </row>
    <row r="288" spans="1:15" s="3" customFormat="1" x14ac:dyDescent="0.25">
      <c r="A288" s="3" t="s">
        <v>300</v>
      </c>
      <c r="B288" s="3">
        <v>20411454</v>
      </c>
      <c r="C288" s="3" t="s">
        <v>151</v>
      </c>
      <c r="D288" s="3" t="s">
        <v>129</v>
      </c>
      <c r="E288" s="3" t="str">
        <f>CONCATENATE(C288," ",D288)</f>
        <v>Stuart Topkis</v>
      </c>
      <c r="F288" s="3">
        <v>50115070</v>
      </c>
      <c r="G288" s="3" t="str">
        <f>CONCATENATE(F288,"OVR")</f>
        <v>50115070OVR</v>
      </c>
      <c r="H288" s="4">
        <v>46023</v>
      </c>
      <c r="I288" s="4">
        <v>46048</v>
      </c>
      <c r="J288" s="3" t="s">
        <v>14</v>
      </c>
      <c r="K288" s="3" t="s">
        <v>15</v>
      </c>
      <c r="L288" s="5">
        <v>65</v>
      </c>
      <c r="M288" s="3" t="s">
        <v>292</v>
      </c>
    </row>
    <row r="289" spans="1:15" s="3" customFormat="1" x14ac:dyDescent="0.25">
      <c r="A289" s="3" t="s">
        <v>300</v>
      </c>
      <c r="B289" s="3">
        <v>20411454</v>
      </c>
      <c r="C289" s="3" t="s">
        <v>227</v>
      </c>
      <c r="D289" s="3" t="s">
        <v>228</v>
      </c>
      <c r="E289" s="3" t="str">
        <f>CONCATENATE(C289," ",D289)</f>
        <v>Sunil Bijlani</v>
      </c>
      <c r="F289" s="3">
        <v>50112791</v>
      </c>
      <c r="G289" s="3" t="str">
        <f>CONCATENATE(F289,"OVR")</f>
        <v>50112791OVR</v>
      </c>
      <c r="H289" s="4">
        <v>45658</v>
      </c>
      <c r="I289" s="4">
        <v>46052</v>
      </c>
      <c r="J289" s="3" t="s">
        <v>14</v>
      </c>
      <c r="K289" s="3" t="s">
        <v>179</v>
      </c>
      <c r="L289" s="5">
        <v>-65</v>
      </c>
      <c r="M289" s="3" t="s">
        <v>292</v>
      </c>
    </row>
    <row r="290" spans="1:15" s="3" customFormat="1" x14ac:dyDescent="0.25">
      <c r="A290" s="9" t="s">
        <v>190</v>
      </c>
      <c r="B290" s="9">
        <v>16509456</v>
      </c>
      <c r="C290" s="9" t="s">
        <v>120</v>
      </c>
      <c r="D290" s="9" t="s">
        <v>275</v>
      </c>
      <c r="E290" s="9" t="str">
        <f>CONCATENATE(C290," ",D290)</f>
        <v>Susan Hitchner</v>
      </c>
      <c r="F290" s="9">
        <v>50118592</v>
      </c>
      <c r="G290" s="9" t="str">
        <f>CONCATENATE(F290,2)</f>
        <v>501185922</v>
      </c>
      <c r="H290" s="10">
        <v>46023</v>
      </c>
      <c r="I290" s="10">
        <v>46052</v>
      </c>
      <c r="J290" s="9" t="s">
        <v>14</v>
      </c>
      <c r="K290" s="9" t="s">
        <v>288</v>
      </c>
      <c r="L290" s="11">
        <v>-391</v>
      </c>
      <c r="M290" s="9" t="s">
        <v>293</v>
      </c>
      <c r="N290" s="9" t="s">
        <v>296</v>
      </c>
      <c r="O290" s="9"/>
    </row>
    <row r="291" spans="1:15" s="3" customFormat="1" x14ac:dyDescent="0.25">
      <c r="A291" s="3" t="s">
        <v>300</v>
      </c>
      <c r="B291" s="3">
        <v>20411454</v>
      </c>
      <c r="C291" s="3" t="s">
        <v>120</v>
      </c>
      <c r="D291" s="3" t="s">
        <v>275</v>
      </c>
      <c r="E291" s="3" t="str">
        <f>CONCATENATE(C291," ",D291)</f>
        <v>Susan Hitchner</v>
      </c>
      <c r="F291" s="3">
        <v>50118592</v>
      </c>
      <c r="G291" s="3" t="str">
        <f>CONCATENATE(F291,"OVR")</f>
        <v>50118592OVR</v>
      </c>
      <c r="H291" s="4">
        <v>46023</v>
      </c>
      <c r="I291" s="4">
        <v>46052</v>
      </c>
      <c r="J291" s="3" t="s">
        <v>14</v>
      </c>
      <c r="K291" s="3" t="s">
        <v>179</v>
      </c>
      <c r="L291" s="5">
        <v>-65</v>
      </c>
      <c r="M291" s="3" t="s">
        <v>292</v>
      </c>
    </row>
    <row r="292" spans="1:15" s="3" customFormat="1" x14ac:dyDescent="0.25">
      <c r="A292" s="3" t="s">
        <v>300</v>
      </c>
      <c r="B292" s="3">
        <v>20411454</v>
      </c>
      <c r="C292" s="3" t="s">
        <v>120</v>
      </c>
      <c r="D292" s="3" t="s">
        <v>121</v>
      </c>
      <c r="E292" s="3" t="str">
        <f>CONCATENATE(C292," ",D292)</f>
        <v>Susan Rhoades</v>
      </c>
      <c r="F292" s="3">
        <v>50131256</v>
      </c>
      <c r="G292" s="3" t="str">
        <f>CONCATENATE(F292,"OVR")</f>
        <v>50131256OVR</v>
      </c>
      <c r="H292" s="4">
        <v>46023</v>
      </c>
      <c r="I292" s="4">
        <v>46048</v>
      </c>
      <c r="J292" s="3" t="s">
        <v>14</v>
      </c>
      <c r="K292" s="3" t="s">
        <v>15</v>
      </c>
      <c r="L292" s="5">
        <v>65</v>
      </c>
      <c r="M292" s="3" t="s">
        <v>292</v>
      </c>
    </row>
    <row r="293" spans="1:15" s="3" customFormat="1" x14ac:dyDescent="0.25">
      <c r="A293" s="3" t="s">
        <v>300</v>
      </c>
      <c r="B293" s="3">
        <v>20411454</v>
      </c>
      <c r="C293" s="3" t="s">
        <v>250</v>
      </c>
      <c r="D293" s="3" t="s">
        <v>251</v>
      </c>
      <c r="E293" s="3" t="str">
        <f>CONCATENATE(C293," ",D293)</f>
        <v>Syna La</v>
      </c>
      <c r="F293" s="3">
        <v>50095731</v>
      </c>
      <c r="G293" s="3" t="str">
        <f>CONCATENATE(F293,"OVR")</f>
        <v>50095731OVR</v>
      </c>
      <c r="H293" s="4">
        <v>46023</v>
      </c>
      <c r="I293" s="4">
        <v>46052</v>
      </c>
      <c r="J293" s="3" t="s">
        <v>14</v>
      </c>
      <c r="K293" s="3" t="s">
        <v>179</v>
      </c>
      <c r="L293" s="5">
        <v>-65</v>
      </c>
      <c r="M293" s="3" t="s">
        <v>292</v>
      </c>
    </row>
    <row r="294" spans="1:15" s="3" customFormat="1" x14ac:dyDescent="0.25">
      <c r="A294" s="3" t="s">
        <v>300</v>
      </c>
      <c r="B294" s="3">
        <v>20411454</v>
      </c>
      <c r="C294" s="3" t="s">
        <v>273</v>
      </c>
      <c r="D294" s="3" t="s">
        <v>274</v>
      </c>
      <c r="E294" s="3" t="str">
        <f>CONCATENATE(C294," ",D294)</f>
        <v>Tatyana Kochergina</v>
      </c>
      <c r="F294" s="3">
        <v>50017745</v>
      </c>
      <c r="G294" s="3" t="str">
        <f>CONCATENATE(F294,"OVR")</f>
        <v>50017745OVR</v>
      </c>
      <c r="H294" s="4">
        <v>46023</v>
      </c>
      <c r="I294" s="4">
        <v>46052</v>
      </c>
      <c r="J294" s="3" t="s">
        <v>14</v>
      </c>
      <c r="K294" s="3" t="s">
        <v>179</v>
      </c>
      <c r="L294" s="5">
        <v>-65</v>
      </c>
      <c r="M294" s="3" t="s">
        <v>292</v>
      </c>
    </row>
    <row r="295" spans="1:15" s="3" customFormat="1" x14ac:dyDescent="0.25">
      <c r="A295" s="9" t="s">
        <v>49</v>
      </c>
      <c r="B295" s="9">
        <v>15278437</v>
      </c>
      <c r="C295" s="9" t="s">
        <v>138</v>
      </c>
      <c r="D295" s="9" t="s">
        <v>193</v>
      </c>
      <c r="E295" s="9" t="str">
        <f>CONCATENATE(C295," ",D295)</f>
        <v>Thomas Malone</v>
      </c>
      <c r="F295" s="9">
        <v>50031687</v>
      </c>
      <c r="G295" s="9" t="str">
        <f>CONCATENATE(F295,2)</f>
        <v>500316872</v>
      </c>
      <c r="H295" s="10">
        <v>46023</v>
      </c>
      <c r="I295" s="10">
        <v>46052</v>
      </c>
      <c r="J295" s="9" t="s">
        <v>14</v>
      </c>
      <c r="K295" s="9" t="s">
        <v>288</v>
      </c>
      <c r="L295" s="11">
        <v>-391</v>
      </c>
      <c r="M295" s="9" t="s">
        <v>293</v>
      </c>
      <c r="N295" s="9" t="s">
        <v>296</v>
      </c>
      <c r="O295" s="9"/>
    </row>
    <row r="296" spans="1:15" s="3" customFormat="1" x14ac:dyDescent="0.25">
      <c r="A296" s="3" t="s">
        <v>300</v>
      </c>
      <c r="B296" s="3">
        <v>20411454</v>
      </c>
      <c r="C296" s="3" t="s">
        <v>138</v>
      </c>
      <c r="D296" s="3" t="s">
        <v>193</v>
      </c>
      <c r="E296" s="3" t="str">
        <f>CONCATENATE(C296," ",D296)</f>
        <v>Thomas Malone</v>
      </c>
      <c r="F296" s="3">
        <v>50031687</v>
      </c>
      <c r="G296" s="3" t="str">
        <f>CONCATENATE(F296,"OVR")</f>
        <v>50031687OVR</v>
      </c>
      <c r="H296" s="4">
        <v>46023</v>
      </c>
      <c r="I296" s="4">
        <v>46052</v>
      </c>
      <c r="J296" s="3" t="s">
        <v>14</v>
      </c>
      <c r="K296" s="3" t="s">
        <v>179</v>
      </c>
      <c r="L296" s="5">
        <v>-65</v>
      </c>
      <c r="M296" s="3" t="s">
        <v>292</v>
      </c>
    </row>
    <row r="297" spans="1:15" s="3" customFormat="1" x14ac:dyDescent="0.25">
      <c r="A297" s="3" t="s">
        <v>300</v>
      </c>
      <c r="B297" s="3">
        <v>20411454</v>
      </c>
      <c r="C297" s="3" t="s">
        <v>138</v>
      </c>
      <c r="D297" s="3" t="s">
        <v>139</v>
      </c>
      <c r="E297" s="3" t="str">
        <f>CONCATENATE(C297," ",D297)</f>
        <v>Thomas Mcdonnell</v>
      </c>
      <c r="F297" s="3">
        <v>50092281</v>
      </c>
      <c r="G297" s="3" t="str">
        <f>CONCATENATE(F297,"OVR")</f>
        <v>50092281OVR</v>
      </c>
      <c r="H297" s="4">
        <v>46023</v>
      </c>
      <c r="I297" s="4">
        <v>46048</v>
      </c>
      <c r="J297" s="3" t="s">
        <v>14</v>
      </c>
      <c r="K297" s="3" t="s">
        <v>15</v>
      </c>
      <c r="L297" s="5">
        <v>65</v>
      </c>
      <c r="M297" s="3" t="s">
        <v>292</v>
      </c>
    </row>
    <row r="298" spans="1:15" s="3" customFormat="1" x14ac:dyDescent="0.25">
      <c r="A298" s="9" t="s">
        <v>190</v>
      </c>
      <c r="B298" s="9">
        <v>16509456</v>
      </c>
      <c r="C298" s="9" t="s">
        <v>194</v>
      </c>
      <c r="D298" s="9" t="s">
        <v>195</v>
      </c>
      <c r="E298" s="9" t="str">
        <f>CONCATENATE(C298," ",D298)</f>
        <v>Victoria Moat</v>
      </c>
      <c r="F298" s="9">
        <v>50007610</v>
      </c>
      <c r="G298" s="9" t="str">
        <f>CONCATENATE(F298,2)</f>
        <v>500076102</v>
      </c>
      <c r="H298" s="10">
        <v>46023</v>
      </c>
      <c r="I298" s="10">
        <v>46052</v>
      </c>
      <c r="J298" s="9" t="s">
        <v>14</v>
      </c>
      <c r="K298" s="9" t="s">
        <v>288</v>
      </c>
      <c r="L298" s="11">
        <v>-391</v>
      </c>
      <c r="M298" s="9" t="s">
        <v>293</v>
      </c>
      <c r="N298" s="9" t="s">
        <v>296</v>
      </c>
      <c r="O298" s="9"/>
    </row>
    <row r="299" spans="1:15" s="3" customFormat="1" x14ac:dyDescent="0.25">
      <c r="A299" s="3" t="s">
        <v>300</v>
      </c>
      <c r="B299" s="3">
        <v>20411454</v>
      </c>
      <c r="C299" s="3" t="s">
        <v>194</v>
      </c>
      <c r="D299" s="3" t="s">
        <v>195</v>
      </c>
      <c r="E299" s="3" t="str">
        <f>CONCATENATE(C299," ",D299)</f>
        <v>Victoria Moat</v>
      </c>
      <c r="F299" s="3">
        <v>50007610</v>
      </c>
      <c r="G299" s="3" t="str">
        <f>CONCATENATE(F299,"OVR")</f>
        <v>50007610OVR</v>
      </c>
      <c r="H299" s="4">
        <v>46023</v>
      </c>
      <c r="I299" s="4">
        <v>46052</v>
      </c>
      <c r="J299" s="3" t="s">
        <v>14</v>
      </c>
      <c r="K299" s="3" t="s">
        <v>179</v>
      </c>
      <c r="L299" s="5">
        <v>-65</v>
      </c>
      <c r="M299" s="3" t="s">
        <v>292</v>
      </c>
    </row>
    <row r="300" spans="1:15" s="3" customFormat="1" x14ac:dyDescent="0.25">
      <c r="A300" s="9" t="s">
        <v>49</v>
      </c>
      <c r="B300" s="9">
        <v>15278437</v>
      </c>
      <c r="C300" s="9" t="s">
        <v>281</v>
      </c>
      <c r="D300" s="9" t="s">
        <v>78</v>
      </c>
      <c r="E300" s="9" t="str">
        <f>CONCATENATE(C300," ",D300)</f>
        <v>Vilayil John</v>
      </c>
      <c r="F300" s="9">
        <v>50031876</v>
      </c>
      <c r="G300" s="9" t="str">
        <f>CONCATENATE(F300,2)</f>
        <v>500318762</v>
      </c>
      <c r="H300" s="10">
        <v>46023</v>
      </c>
      <c r="I300" s="10">
        <v>46052</v>
      </c>
      <c r="J300" s="9" t="s">
        <v>14</v>
      </c>
      <c r="K300" s="9" t="s">
        <v>288</v>
      </c>
      <c r="L300" s="11">
        <v>-391</v>
      </c>
      <c r="M300" s="9" t="s">
        <v>293</v>
      </c>
      <c r="N300" s="9" t="s">
        <v>296</v>
      </c>
      <c r="O300" s="9"/>
    </row>
    <row r="301" spans="1:15" s="3" customFormat="1" x14ac:dyDescent="0.25">
      <c r="A301" s="3" t="s">
        <v>300</v>
      </c>
      <c r="B301" s="3">
        <v>20411454</v>
      </c>
      <c r="C301" s="3" t="s">
        <v>281</v>
      </c>
      <c r="D301" s="3" t="s">
        <v>78</v>
      </c>
      <c r="E301" s="3" t="str">
        <f>CONCATENATE(C301," ",D301)</f>
        <v>Vilayil John</v>
      </c>
      <c r="F301" s="3">
        <v>50031876</v>
      </c>
      <c r="G301" s="3" t="str">
        <f>CONCATENATE(F301,"OVR")</f>
        <v>50031876OVR</v>
      </c>
      <c r="H301" s="4">
        <v>46023</v>
      </c>
      <c r="I301" s="4">
        <v>46052</v>
      </c>
      <c r="J301" s="3" t="s">
        <v>14</v>
      </c>
      <c r="K301" s="3" t="s">
        <v>179</v>
      </c>
      <c r="L301" s="5">
        <v>-65</v>
      </c>
      <c r="M301" s="3" t="s">
        <v>292</v>
      </c>
    </row>
    <row r="302" spans="1:15" s="3" customFormat="1" x14ac:dyDescent="0.25">
      <c r="A302" s="3" t="s">
        <v>300</v>
      </c>
      <c r="B302" s="3">
        <v>20411454</v>
      </c>
      <c r="C302" s="3" t="s">
        <v>145</v>
      </c>
      <c r="D302" s="3" t="s">
        <v>146</v>
      </c>
      <c r="E302" s="3" t="str">
        <f>CONCATENATE(C302," ",D302)</f>
        <v>Walter Obrien Jr</v>
      </c>
      <c r="F302" s="3">
        <v>50111842</v>
      </c>
      <c r="G302" s="3" t="str">
        <f>CONCATENATE(F302,"OVR")</f>
        <v>50111842OVR</v>
      </c>
      <c r="H302" s="4">
        <v>46023</v>
      </c>
      <c r="I302" s="4">
        <v>46048</v>
      </c>
      <c r="J302" s="3" t="s">
        <v>14</v>
      </c>
      <c r="K302" s="3" t="s">
        <v>15</v>
      </c>
      <c r="L302" s="5">
        <v>65</v>
      </c>
      <c r="M302" s="3" t="s">
        <v>292</v>
      </c>
    </row>
    <row r="303" spans="1:15" s="3" customFormat="1" x14ac:dyDescent="0.25">
      <c r="A303" s="9" t="s">
        <v>49</v>
      </c>
      <c r="B303" s="9">
        <v>15278437</v>
      </c>
      <c r="C303" s="9" t="s">
        <v>279</v>
      </c>
      <c r="D303" s="9" t="s">
        <v>280</v>
      </c>
      <c r="E303" s="9" t="str">
        <f>CONCATENATE(C303," ",D303)</f>
        <v>Wayne Allen</v>
      </c>
      <c r="F303" s="9">
        <v>50027802</v>
      </c>
      <c r="G303" s="9" t="str">
        <f>CONCATENATE(F303,2)</f>
        <v>500278022</v>
      </c>
      <c r="H303" s="10">
        <v>46023</v>
      </c>
      <c r="I303" s="10">
        <v>46052</v>
      </c>
      <c r="J303" s="9" t="s">
        <v>14</v>
      </c>
      <c r="K303" s="9" t="s">
        <v>288</v>
      </c>
      <c r="L303" s="11">
        <v>-391</v>
      </c>
      <c r="M303" s="9" t="s">
        <v>293</v>
      </c>
      <c r="N303" s="9" t="s">
        <v>296</v>
      </c>
      <c r="O303" s="9"/>
    </row>
    <row r="304" spans="1:15" s="3" customFormat="1" x14ac:dyDescent="0.25">
      <c r="A304" s="3" t="s">
        <v>300</v>
      </c>
      <c r="B304" s="3">
        <v>20411454</v>
      </c>
      <c r="C304" s="3" t="s">
        <v>279</v>
      </c>
      <c r="D304" s="3" t="s">
        <v>280</v>
      </c>
      <c r="E304" s="3" t="str">
        <f>CONCATENATE(C304," ",D304)</f>
        <v>Wayne Allen</v>
      </c>
      <c r="F304" s="3">
        <v>50027802</v>
      </c>
      <c r="G304" s="3" t="str">
        <f>CONCATENATE(F304,"OVR")</f>
        <v>50027802OVR</v>
      </c>
      <c r="H304" s="4">
        <v>46023</v>
      </c>
      <c r="I304" s="4">
        <v>46052</v>
      </c>
      <c r="J304" s="3" t="s">
        <v>14</v>
      </c>
      <c r="K304" s="3" t="s">
        <v>179</v>
      </c>
      <c r="L304" s="5">
        <v>-65</v>
      </c>
      <c r="M304" s="3" t="s">
        <v>292</v>
      </c>
    </row>
    <row r="305" spans="1:15" s="3" customFormat="1" x14ac:dyDescent="0.25">
      <c r="A305" s="3" t="s">
        <v>300</v>
      </c>
      <c r="B305" s="3">
        <v>20411454</v>
      </c>
      <c r="C305" s="3" t="s">
        <v>80</v>
      </c>
      <c r="D305" s="3" t="s">
        <v>141</v>
      </c>
      <c r="E305" s="3" t="str">
        <f>CONCATENATE(C305," ",D305)</f>
        <v>William Brown</v>
      </c>
      <c r="F305" s="3">
        <v>50120950</v>
      </c>
      <c r="G305" s="3" t="str">
        <f>CONCATENATE(F305,"OVR")</f>
        <v>50120950OVR</v>
      </c>
      <c r="H305" s="4">
        <v>46023</v>
      </c>
      <c r="I305" s="4">
        <v>46048</v>
      </c>
      <c r="J305" s="3" t="s">
        <v>14</v>
      </c>
      <c r="K305" s="3" t="s">
        <v>15</v>
      </c>
      <c r="L305" s="5">
        <v>65</v>
      </c>
      <c r="M305" s="3" t="s">
        <v>292</v>
      </c>
    </row>
    <row r="306" spans="1:15" s="3" customFormat="1" x14ac:dyDescent="0.25">
      <c r="A306" s="3" t="s">
        <v>300</v>
      </c>
      <c r="B306" s="3">
        <v>20411454</v>
      </c>
      <c r="C306" s="3" t="s">
        <v>80</v>
      </c>
      <c r="D306" s="3" t="s">
        <v>113</v>
      </c>
      <c r="E306" s="3" t="str">
        <f>CONCATENATE(C306," ",D306)</f>
        <v>William Tangradi</v>
      </c>
      <c r="F306" s="3">
        <v>50010107</v>
      </c>
      <c r="G306" s="3" t="str">
        <f>CONCATENATE(F306,"OVR")</f>
        <v>50010107OVR</v>
      </c>
      <c r="H306" s="4">
        <v>46023</v>
      </c>
      <c r="I306" s="4">
        <v>46048</v>
      </c>
      <c r="J306" s="3" t="s">
        <v>14</v>
      </c>
      <c r="K306" s="3" t="s">
        <v>15</v>
      </c>
      <c r="L306" s="5">
        <v>65</v>
      </c>
      <c r="M306" s="3" t="s">
        <v>292</v>
      </c>
    </row>
    <row r="307" spans="1:15" s="3" customFormat="1" x14ac:dyDescent="0.25">
      <c r="A307" s="9" t="s">
        <v>49</v>
      </c>
      <c r="B307" s="9">
        <v>15278437</v>
      </c>
      <c r="C307" s="9" t="s">
        <v>80</v>
      </c>
      <c r="D307" s="9" t="s">
        <v>56</v>
      </c>
      <c r="E307" s="9" t="str">
        <f>CONCATENATE(C307," ",D307)</f>
        <v>William Trainor</v>
      </c>
      <c r="F307" s="9">
        <v>50007898</v>
      </c>
      <c r="G307" s="9" t="str">
        <f>CONCATENATE(F307,2)</f>
        <v>500078982</v>
      </c>
      <c r="H307" s="10">
        <v>46023</v>
      </c>
      <c r="I307" s="10">
        <v>46048</v>
      </c>
      <c r="J307" s="9" t="s">
        <v>14</v>
      </c>
      <c r="K307" s="9" t="s">
        <v>20</v>
      </c>
      <c r="L307" s="11">
        <v>391</v>
      </c>
      <c r="M307" s="9" t="s">
        <v>293</v>
      </c>
      <c r="N307" s="9" t="s">
        <v>296</v>
      </c>
      <c r="O307" s="9"/>
    </row>
    <row r="308" spans="1:15" s="3" customFormat="1" x14ac:dyDescent="0.25">
      <c r="A308" s="3" t="s">
        <v>300</v>
      </c>
      <c r="B308" s="3">
        <v>20411454</v>
      </c>
      <c r="C308" s="3" t="s">
        <v>80</v>
      </c>
      <c r="D308" s="3" t="s">
        <v>56</v>
      </c>
      <c r="E308" s="3" t="str">
        <f>CONCATENATE(C308," ",D308)</f>
        <v>William Trainor</v>
      </c>
      <c r="F308" s="3">
        <v>50007898</v>
      </c>
      <c r="G308" s="3" t="str">
        <f>CONCATENATE(F308,"OVR")</f>
        <v>50007898OVR</v>
      </c>
      <c r="H308" s="4">
        <v>46023</v>
      </c>
      <c r="I308" s="4">
        <v>46048</v>
      </c>
      <c r="J308" s="3" t="s">
        <v>14</v>
      </c>
      <c r="K308" s="3" t="s">
        <v>15</v>
      </c>
      <c r="L308" s="5">
        <v>65</v>
      </c>
      <c r="M308" s="3" t="s">
        <v>292</v>
      </c>
    </row>
    <row r="309" spans="1:15" s="3" customFormat="1" x14ac:dyDescent="0.25">
      <c r="A309" s="3" t="s">
        <v>300</v>
      </c>
      <c r="B309" s="3">
        <v>20411454</v>
      </c>
      <c r="C309" s="3" t="s">
        <v>128</v>
      </c>
      <c r="D309" s="3" t="s">
        <v>129</v>
      </c>
      <c r="E309" s="3" t="str">
        <f>CONCATENATE(C309," ",D309)</f>
        <v>Zelda Topkis</v>
      </c>
      <c r="F309" s="3">
        <v>50115215</v>
      </c>
      <c r="G309" s="3" t="str">
        <f>CONCATENATE(F309,"OVR")</f>
        <v>50115215OVR</v>
      </c>
      <c r="H309" s="4">
        <v>46023</v>
      </c>
      <c r="I309" s="4">
        <v>46052</v>
      </c>
      <c r="J309" s="3" t="s">
        <v>14</v>
      </c>
      <c r="K309" s="3" t="s">
        <v>179</v>
      </c>
      <c r="L309" s="5">
        <v>-65</v>
      </c>
      <c r="M309" s="3" t="s">
        <v>292</v>
      </c>
    </row>
    <row r="310" spans="1:15" s="3" customFormat="1" x14ac:dyDescent="0.25">
      <c r="A310" s="3" t="s">
        <v>300</v>
      </c>
      <c r="B310" s="3">
        <v>20411454</v>
      </c>
      <c r="C310" s="3" t="s">
        <v>128</v>
      </c>
      <c r="D310" s="3" t="s">
        <v>129</v>
      </c>
      <c r="E310" s="3" t="str">
        <f>CONCATENATE(C310," ",D310)</f>
        <v>Zelda Topkis</v>
      </c>
      <c r="F310" s="3">
        <v>50115215</v>
      </c>
      <c r="G310" s="3" t="str">
        <f>CONCATENATE(F310,"OVR")</f>
        <v>50115215OVR</v>
      </c>
      <c r="H310" s="4">
        <v>46023</v>
      </c>
      <c r="I310" s="4">
        <v>46048</v>
      </c>
      <c r="J310" s="3" t="s">
        <v>14</v>
      </c>
      <c r="K310" s="3" t="s">
        <v>15</v>
      </c>
      <c r="L310" s="5">
        <v>65</v>
      </c>
      <c r="M310" s="3" t="s">
        <v>292</v>
      </c>
    </row>
    <row r="311" spans="1:15" s="3" customFormat="1" x14ac:dyDescent="0.25">
      <c r="A311" s="3" t="s">
        <v>300</v>
      </c>
      <c r="B311" s="3">
        <v>20411454</v>
      </c>
      <c r="C311" s="3" t="s">
        <v>264</v>
      </c>
      <c r="D311" s="3" t="s">
        <v>265</v>
      </c>
      <c r="E311" s="3" t="str">
        <f>CONCATENATE(C311," ",D311)</f>
        <v>Zhi Hua Gan</v>
      </c>
      <c r="F311" s="3">
        <v>50133862</v>
      </c>
      <c r="G311" s="3" t="str">
        <f>CONCATENATE(F311,"OVR")</f>
        <v>50133862OVR</v>
      </c>
      <c r="H311" s="4">
        <v>46023</v>
      </c>
      <c r="I311" s="4">
        <v>46052</v>
      </c>
      <c r="J311" s="3" t="s">
        <v>14</v>
      </c>
      <c r="K311" s="3" t="s">
        <v>179</v>
      </c>
      <c r="L311" s="5">
        <v>-65</v>
      </c>
      <c r="M311" s="3" t="s">
        <v>292</v>
      </c>
    </row>
    <row r="312" spans="1:15" s="3" customFormat="1" x14ac:dyDescent="0.25">
      <c r="A312" t="s">
        <v>0</v>
      </c>
      <c r="B312" t="s">
        <v>2</v>
      </c>
      <c r="C312" t="s">
        <v>3</v>
      </c>
      <c r="D312" t="s">
        <v>4</v>
      </c>
      <c r="E312"/>
      <c r="F312" t="s">
        <v>5</v>
      </c>
      <c r="G312"/>
      <c r="H312" t="s">
        <v>6</v>
      </c>
      <c r="I312" t="s">
        <v>7</v>
      </c>
      <c r="J312" t="s">
        <v>8</v>
      </c>
      <c r="K312" t="s">
        <v>9</v>
      </c>
      <c r="L312" t="s">
        <v>10</v>
      </c>
      <c r="M312"/>
      <c r="N312"/>
      <c r="O312"/>
    </row>
  </sheetData>
  <sortState xmlns:xlrd2="http://schemas.microsoft.com/office/spreadsheetml/2017/richdata2" ref="A1:O312">
    <sortCondition ref="E1:E3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2026-01-30T15:49:21Z</dcterms:created>
  <dcterms:modified xsi:type="dcterms:W3CDTF">2026-02-05T14:16:19Z</dcterms:modified>
</cp:coreProperties>
</file>