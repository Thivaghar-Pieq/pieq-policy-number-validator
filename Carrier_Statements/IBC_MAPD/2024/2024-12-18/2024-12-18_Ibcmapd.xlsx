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IBC MAPD 12-18-24/"/>
    </mc:Choice>
  </mc:AlternateContent>
  <xr:revisionPtr revIDLastSave="0" documentId="13_ncr:1_{D5FFF22C-02C4-BD47-8474-5E565E27A30E}" xr6:coauthVersionLast="47" xr6:coauthVersionMax="47" xr10:uidLastSave="{00000000-0000-0000-0000-000000000000}"/>
  <bookViews>
    <workbookView xWindow="0" yWindow="500" windowWidth="19200" windowHeight="19360" activeTab="1" xr2:uid="{1415E9C5-1C93-F34E-B8E3-BC47D529F46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5" i="2"/>
  <c r="H3" i="2"/>
  <c r="H2" i="2"/>
  <c r="F3" i="2"/>
  <c r="F4" i="2"/>
  <c r="F5" i="2"/>
  <c r="F6" i="2"/>
  <c r="F7" i="2"/>
  <c r="F8" i="2"/>
  <c r="F9" i="2"/>
  <c r="F10" i="2"/>
  <c r="F2" i="2"/>
</calcChain>
</file>

<file path=xl/sharedStrings.xml><?xml version="1.0" encoding="utf-8"?>
<sst xmlns="http://schemas.openxmlformats.org/spreadsheetml/2006/main" count="112" uniqueCount="32">
  <si>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</si>
  <si>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</si>
  <si>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</si>
  <si>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</si>
  <si>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</si>
  <si>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</si>
  <si>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</si>
  <si>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</si>
  <si>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</si>
  <si>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</si>
  <si>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</si>
  <si>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</si>
  <si>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Jeffrey</t>
  </si>
  <si>
    <t>Monette</t>
  </si>
  <si>
    <t>IBC</t>
  </si>
  <si>
    <t>IBC 2023 - 2025 MAPD Initial/Ext Rep OVERRIDE (ProRata: -12)</t>
  </si>
  <si>
    <t>Michael</t>
  </si>
  <si>
    <t>Jackson</t>
  </si>
  <si>
    <t>Kimberly</t>
  </si>
  <si>
    <t>Gray</t>
  </si>
  <si>
    <t>IBC 2024 MAPD Int/Ext Replace STREET (ProRata: -1)</t>
  </si>
  <si>
    <t>Steven</t>
  </si>
  <si>
    <t>Leibowitz</t>
  </si>
  <si>
    <t>Scott</t>
  </si>
  <si>
    <t>Komita</t>
  </si>
  <si>
    <t>George</t>
  </si>
  <si>
    <t>Peifer</t>
  </si>
  <si>
    <t>Peter Richter</t>
  </si>
  <si>
    <t>Carl</t>
  </si>
  <si>
    <t>Schaaf Jr</t>
  </si>
  <si>
    <t>Daniel</t>
  </si>
  <si>
    <t>Davidson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</si>
</sst>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F23F-7C43-9440-B233-3622005288D1}">
  <dimension ref="A1:K10"/>
  <sheetViews>
    <sheetView workbookViewId="0">
      <selection sqref="A1:XFD1048576"/>
    </sheetView>
  </sheetViews>
  <sheetFormatPr baseColWidth="10" defaultRowHeight="16" x14ac:dyDescent="0.2"/>
  <cols>
    <col min="10" max="10" width="52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15278437</v>
      </c>
      <c r="D2" t="s">
        <v>12</v>
      </c>
      <c r="E2" t="s">
        <v>13</v>
      </c>
      <c r="F2">
        <v>50016864</v>
      </c>
      <c r="G2" s="1">
        <v>45658</v>
      </c>
      <c r="H2" s="1">
        <v>45644</v>
      </c>
      <c r="I2" t="s">
        <v>14</v>
      </c>
      <c r="J2" t="s">
        <v>15</v>
      </c>
      <c r="K2">
        <v>-145</v>
      </c>
    </row>
    <row r="3" spans="1:11" x14ac:dyDescent="0.2">
      <c r="A3" t="s">
        <v>11</v>
      </c>
      <c r="C3">
        <v>15278437</v>
      </c>
      <c r="D3" t="s">
        <v>16</v>
      </c>
      <c r="E3" t="s">
        <v>17</v>
      </c>
      <c r="F3">
        <v>50024803</v>
      </c>
      <c r="G3" s="1">
        <v>45658</v>
      </c>
      <c r="H3" s="1">
        <v>45644</v>
      </c>
      <c r="I3" t="s">
        <v>14</v>
      </c>
      <c r="J3" t="s">
        <v>15</v>
      </c>
      <c r="K3">
        <v>-145</v>
      </c>
    </row>
    <row r="4" spans="1:11" x14ac:dyDescent="0.2">
      <c r="A4" t="s">
        <v>11</v>
      </c>
      <c r="C4">
        <v>15278437</v>
      </c>
      <c r="D4" t="s">
        <v>18</v>
      </c>
      <c r="E4" t="s">
        <v>19</v>
      </c>
      <c r="F4">
        <v>50141120</v>
      </c>
      <c r="G4" s="1">
        <v>45627</v>
      </c>
      <c r="H4" s="1">
        <v>45644</v>
      </c>
      <c r="I4" t="s">
        <v>14</v>
      </c>
      <c r="J4" t="s">
        <v>20</v>
      </c>
      <c r="K4">
        <v>-28.75</v>
      </c>
    </row>
    <row r="5" spans="1:11" x14ac:dyDescent="0.2">
      <c r="A5" t="s">
        <v>11</v>
      </c>
      <c r="C5">
        <v>15278437</v>
      </c>
      <c r="D5" t="s">
        <v>18</v>
      </c>
      <c r="E5" t="s">
        <v>19</v>
      </c>
      <c r="F5">
        <v>50141120</v>
      </c>
      <c r="G5" s="1">
        <v>45627</v>
      </c>
      <c r="H5" s="1">
        <v>45644</v>
      </c>
      <c r="I5" t="s">
        <v>14</v>
      </c>
      <c r="J5" t="s">
        <v>15</v>
      </c>
      <c r="K5">
        <v>-145</v>
      </c>
    </row>
    <row r="6" spans="1:11" x14ac:dyDescent="0.2">
      <c r="A6" t="s">
        <v>11</v>
      </c>
      <c r="C6">
        <v>15278437</v>
      </c>
      <c r="D6" t="s">
        <v>21</v>
      </c>
      <c r="E6" t="s">
        <v>22</v>
      </c>
      <c r="F6">
        <v>51017846</v>
      </c>
      <c r="G6" s="1">
        <v>45658</v>
      </c>
      <c r="H6" s="1">
        <v>45644</v>
      </c>
      <c r="I6" t="s">
        <v>14</v>
      </c>
      <c r="J6" t="s">
        <v>15</v>
      </c>
      <c r="K6">
        <v>-145</v>
      </c>
    </row>
    <row r="7" spans="1:11" x14ac:dyDescent="0.2">
      <c r="A7" t="s">
        <v>11</v>
      </c>
      <c r="C7">
        <v>15278437</v>
      </c>
      <c r="D7" t="s">
        <v>23</v>
      </c>
      <c r="E7" t="s">
        <v>24</v>
      </c>
      <c r="F7">
        <v>51018632</v>
      </c>
      <c r="G7" s="1">
        <v>45658</v>
      </c>
      <c r="H7" s="1">
        <v>45644</v>
      </c>
      <c r="I7" t="s">
        <v>14</v>
      </c>
      <c r="J7" t="s">
        <v>15</v>
      </c>
      <c r="K7">
        <v>-145</v>
      </c>
    </row>
    <row r="8" spans="1:11" x14ac:dyDescent="0.2">
      <c r="A8" t="s">
        <v>11</v>
      </c>
      <c r="C8">
        <v>15278437</v>
      </c>
      <c r="D8" t="s">
        <v>25</v>
      </c>
      <c r="E8" t="s">
        <v>26</v>
      </c>
      <c r="F8">
        <v>51019754</v>
      </c>
      <c r="G8" s="1">
        <v>45658</v>
      </c>
      <c r="H8" s="1">
        <v>45644</v>
      </c>
      <c r="I8" t="s">
        <v>14</v>
      </c>
      <c r="J8" t="s">
        <v>15</v>
      </c>
      <c r="K8">
        <v>-145</v>
      </c>
    </row>
    <row r="9" spans="1:11" x14ac:dyDescent="0.2">
      <c r="A9" t="s">
        <v>27</v>
      </c>
      <c r="C9">
        <v>16509456</v>
      </c>
      <c r="D9" t="s">
        <v>28</v>
      </c>
      <c r="E9" t="s">
        <v>29</v>
      </c>
      <c r="F9">
        <v>51017339</v>
      </c>
      <c r="G9" s="1">
        <v>45658</v>
      </c>
      <c r="H9" s="1">
        <v>45644</v>
      </c>
      <c r="I9" t="s">
        <v>14</v>
      </c>
      <c r="J9" t="s">
        <v>15</v>
      </c>
      <c r="K9">
        <v>-145</v>
      </c>
    </row>
    <row r="10" spans="1:11" x14ac:dyDescent="0.2">
      <c r="A10" t="s">
        <v>27</v>
      </c>
      <c r="C10">
        <v>16509456</v>
      </c>
      <c r="D10" t="s">
        <v>30</v>
      </c>
      <c r="E10" t="s">
        <v>31</v>
      </c>
      <c r="F10">
        <v>51020482</v>
      </c>
      <c r="G10" s="1">
        <v>45658</v>
      </c>
      <c r="H10" s="1">
        <v>45644</v>
      </c>
      <c r="I10" t="s">
        <v>14</v>
      </c>
      <c r="J10" t="s">
        <v>15</v>
      </c>
      <c r="K10">
        <v>-145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BA16-7387-1D43-9965-4B238F575276}">
  <dimension ref="A1:M10"/>
  <sheetViews>
    <sheetView tabSelected="1" topLeftCell="F1" workbookViewId="0">
      <selection activeCell="M2" sqref="M2:M10"/>
    </sheetView>
  </sheetViews>
  <sheetFormatPr baseColWidth="10" defaultRowHeight="16" x14ac:dyDescent="0.2"/>
  <cols>
    <col min="6" max="6" width="13.5" bestFit="1" customWidth="1"/>
    <col min="7" max="8" width="13.5" customWidth="1"/>
    <col min="12" max="12" width="52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11</v>
      </c>
      <c r="C2">
        <v>15278437</v>
      </c>
      <c r="D2" t="s">
        <v>12</v>
      </c>
      <c r="E2" t="s">
        <v>13</v>
      </c>
      <c r="F2" t="str">
        <f>CONCATENATE(D2, " ",E2)</f>
        <v>Jeffrey Monette</v>
      </c>
      <c r="G2">
        <v>50016864</v>
      </c>
      <c r="H2" t="str">
        <f>CONCATENATE(G2,1)</f>
        <v>500168641</v>
      </c>
      <c r="I2" s="1">
        <v>45658</v>
      </c>
      <c r="J2" s="1">
        <v>45644</v>
      </c>
      <c r="K2" t="s">
        <v>14</v>
      </c>
      <c r="L2" t="s">
        <v>15</v>
      </c>
      <c r="M2">
        <v>-145</v>
      </c>
    </row>
    <row r="3" spans="1:13" x14ac:dyDescent="0.2">
      <c r="A3" t="s">
        <v>11</v>
      </c>
      <c r="C3">
        <v>15278437</v>
      </c>
      <c r="D3" t="s">
        <v>16</v>
      </c>
      <c r="E3" t="s">
        <v>17</v>
      </c>
      <c r="F3" t="str">
        <f t="shared" ref="F3:F10" si="0">CONCATENATE(D3, " ",E3)</f>
        <v>Michael Jackson</v>
      </c>
      <c r="G3">
        <v>50024803</v>
      </c>
      <c r="H3" t="str">
        <f>CONCATENATE(G3,1)</f>
        <v>500248031</v>
      </c>
      <c r="I3" s="1">
        <v>45658</v>
      </c>
      <c r="J3" s="1">
        <v>45644</v>
      </c>
      <c r="K3" t="s">
        <v>14</v>
      </c>
      <c r="L3" t="s">
        <v>15</v>
      </c>
      <c r="M3">
        <v>-145</v>
      </c>
    </row>
    <row r="4" spans="1:13" x14ac:dyDescent="0.2">
      <c r="A4" t="s">
        <v>11</v>
      </c>
      <c r="C4">
        <v>15278437</v>
      </c>
      <c r="D4" t="s">
        <v>18</v>
      </c>
      <c r="E4" t="s">
        <v>19</v>
      </c>
      <c r="F4" t="str">
        <f t="shared" si="0"/>
        <v>Kimberly Gray</v>
      </c>
      <c r="G4">
        <v>50141120</v>
      </c>
      <c r="H4" s="2">
        <v>50141120</v>
      </c>
      <c r="I4" s="1">
        <v>45627</v>
      </c>
      <c r="J4" s="1">
        <v>45644</v>
      </c>
      <c r="K4" t="s">
        <v>14</v>
      </c>
      <c r="L4" t="s">
        <v>20</v>
      </c>
      <c r="M4">
        <v>-28.75</v>
      </c>
    </row>
    <row r="5" spans="1:13" x14ac:dyDescent="0.2">
      <c r="A5" t="s">
        <v>11</v>
      </c>
      <c r="C5">
        <v>15278437</v>
      </c>
      <c r="D5" t="s">
        <v>18</v>
      </c>
      <c r="E5" t="s">
        <v>19</v>
      </c>
      <c r="F5" t="str">
        <f t="shared" si="0"/>
        <v>Kimberly Gray</v>
      </c>
      <c r="G5">
        <v>50141120</v>
      </c>
      <c r="H5" t="str">
        <f>CONCATENATE(G5,1)</f>
        <v>501411201</v>
      </c>
      <c r="I5" s="1">
        <v>45627</v>
      </c>
      <c r="J5" s="1">
        <v>45644</v>
      </c>
      <c r="K5" t="s">
        <v>14</v>
      </c>
      <c r="L5" t="s">
        <v>15</v>
      </c>
      <c r="M5">
        <v>-145</v>
      </c>
    </row>
    <row r="6" spans="1:13" x14ac:dyDescent="0.2">
      <c r="A6" t="s">
        <v>11</v>
      </c>
      <c r="C6">
        <v>15278437</v>
      </c>
      <c r="D6" t="s">
        <v>21</v>
      </c>
      <c r="E6" t="s">
        <v>22</v>
      </c>
      <c r="F6" t="str">
        <f t="shared" si="0"/>
        <v>Steven Leibowitz</v>
      </c>
      <c r="G6">
        <v>51017846</v>
      </c>
      <c r="H6" t="str">
        <f t="shared" ref="H6:H10" si="1">CONCATENATE(G6,1)</f>
        <v>510178461</v>
      </c>
      <c r="I6" s="1">
        <v>45658</v>
      </c>
      <c r="J6" s="1">
        <v>45644</v>
      </c>
      <c r="K6" t="s">
        <v>14</v>
      </c>
      <c r="L6" t="s">
        <v>15</v>
      </c>
      <c r="M6">
        <v>-145</v>
      </c>
    </row>
    <row r="7" spans="1:13" x14ac:dyDescent="0.2">
      <c r="A7" t="s">
        <v>11</v>
      </c>
      <c r="C7">
        <v>15278437</v>
      </c>
      <c r="D7" t="s">
        <v>23</v>
      </c>
      <c r="E7" t="s">
        <v>24</v>
      </c>
      <c r="F7" t="str">
        <f t="shared" si="0"/>
        <v>Scott Komita</v>
      </c>
      <c r="G7">
        <v>51018632</v>
      </c>
      <c r="H7" t="str">
        <f t="shared" si="1"/>
        <v>510186321</v>
      </c>
      <c r="I7" s="1">
        <v>45658</v>
      </c>
      <c r="J7" s="1">
        <v>45644</v>
      </c>
      <c r="K7" t="s">
        <v>14</v>
      </c>
      <c r="L7" t="s">
        <v>15</v>
      </c>
      <c r="M7">
        <v>-145</v>
      </c>
    </row>
    <row r="8" spans="1:13" x14ac:dyDescent="0.2">
      <c r="A8" t="s">
        <v>11</v>
      </c>
      <c r="C8">
        <v>15278437</v>
      </c>
      <c r="D8" t="s">
        <v>25</v>
      </c>
      <c r="E8" t="s">
        <v>26</v>
      </c>
      <c r="F8" t="str">
        <f t="shared" si="0"/>
        <v>George Peifer</v>
      </c>
      <c r="G8">
        <v>51019754</v>
      </c>
      <c r="H8" t="str">
        <f t="shared" si="1"/>
        <v>510197541</v>
      </c>
      <c r="I8" s="1">
        <v>45658</v>
      </c>
      <c r="J8" s="1">
        <v>45644</v>
      </c>
      <c r="K8" t="s">
        <v>14</v>
      </c>
      <c r="L8" t="s">
        <v>15</v>
      </c>
      <c r="M8">
        <v>-145</v>
      </c>
    </row>
    <row r="9" spans="1:13" x14ac:dyDescent="0.2">
      <c r="A9" t="s">
        <v>27</v>
      </c>
      <c r="C9">
        <v>16509456</v>
      </c>
      <c r="D9" t="s">
        <v>28</v>
      </c>
      <c r="E9" t="s">
        <v>29</v>
      </c>
      <c r="F9" t="str">
        <f t="shared" si="0"/>
        <v>Carl Schaaf Jr</v>
      </c>
      <c r="G9">
        <v>51017339</v>
      </c>
      <c r="H9" t="str">
        <f t="shared" si="1"/>
        <v>510173391</v>
      </c>
      <c r="I9" s="1">
        <v>45658</v>
      </c>
      <c r="J9" s="1">
        <v>45644</v>
      </c>
      <c r="K9" t="s">
        <v>14</v>
      </c>
      <c r="L9" t="s">
        <v>15</v>
      </c>
      <c r="M9">
        <v>-145</v>
      </c>
    </row>
    <row r="10" spans="1:13" x14ac:dyDescent="0.2">
      <c r="A10" t="s">
        <v>27</v>
      </c>
      <c r="C10">
        <v>16509456</v>
      </c>
      <c r="D10" t="s">
        <v>30</v>
      </c>
      <c r="E10" t="s">
        <v>31</v>
      </c>
      <c r="F10" t="str">
        <f t="shared" si="0"/>
        <v>Daniel Davidson</v>
      </c>
      <c r="G10">
        <v>51020482</v>
      </c>
      <c r="H10" t="str">
        <f t="shared" si="1"/>
        <v>510204821</v>
      </c>
      <c r="I10" s="1">
        <v>45658</v>
      </c>
      <c r="J10" s="1">
        <v>45644</v>
      </c>
      <c r="K10" t="s">
        <v>14</v>
      </c>
      <c r="L10" t="s">
        <v>15</v>
      </c>
      <c r="M10">
        <v>-145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2024-12-19T13:41:38Z</dcterms:created>
  <dcterms:modified xsi:type="dcterms:W3CDTF">2024-12-19T21:35:42Z</dcterms:modified>
</cp:coreProperties>
</file>