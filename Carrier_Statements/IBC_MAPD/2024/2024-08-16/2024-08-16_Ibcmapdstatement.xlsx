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IBC 8-16-24\"/>
    </mc:Choice>
  </mc:AlternateContent>
  <xr:revisionPtr revIDLastSave="0" documentId="13_ncr:1_{06C18BB9-5D65-4A0E-BB05-904982167C32}" xr6:coauthVersionLast="47" xr6:coauthVersionMax="47" xr10:uidLastSave="{00000000-0000-0000-0000-000000000000}"/>
  <bookViews>
    <workbookView xWindow="-57720" yWindow="-120" windowWidth="29040" windowHeight="15720" xr2:uid="{DDC3ACD7-35E2-40A4-A237-B6F5D7DD28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<sst xmlns="http://schemas.openxmlformats.org/spreadsheetml/2006/main" count="72" uniqueCount="32">
  <si>
    <t>Jason Hoffmann</t>
  </si>
  <si>
    <t>L</t>
  </si>
  <si>
    <t>Lapointe</t>
  </si>
  <si>
    <t>IBC</t>
  </si>
  <si>
    <t>IBC 2024 MAPD Int/Ext Replace STREET (ProRata: 4)</t>
  </si>
  <si>
    <t>IBC 2023 - 2024 MAPD Initial/Ext Rep OVERRIDE</t>
  </si>
  <si>
    <t>Lavonne</t>
  </si>
  <si>
    <t>Malandro</t>
  </si>
  <si>
    <t>IBC 2024 MAPD Int/Ext Replace STREET (ProRata: 5)</t>
  </si>
  <si>
    <t>Scott</t>
  </si>
  <si>
    <t>Viguers</t>
  </si>
  <si>
    <t>Carol Foley</t>
  </si>
  <si>
    <t>Roselinda</t>
  </si>
  <si>
    <t>Menta</t>
  </si>
  <si>
    <t>Anne Kozacheck</t>
  </si>
  <si>
    <t>Stephenie</t>
  </si>
  <si>
    <t>Hertzfeld</t>
  </si>
  <si>
    <t>Kathleen</t>
  </si>
  <si>
    <t>Hogga</t>
  </si>
  <si>
    <t>IBC 2024 MAPD Int/Ext Replace STREET (ProRata: 3)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</si>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</sst>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89BC-48D8-43E6-A75F-8A4AFAC9DFB2}">
  <dimension ref="A1:L15"/>
  <sheetViews>
    <sheetView tabSelected="1" workbookViewId="0">
      <selection activeCell="L16" sqref="L16"/>
    </sheetView>
  </sheetViews>
  <sheetFormatPr defaultRowHeight="15" x14ac:dyDescent="0.25"/>
  <cols>
    <col min="1" max="1" width="15.42578125" bestFit="1" customWidth="1"/>
    <col min="2" max="2" width="15" bestFit="1" customWidth="1"/>
    <col min="3" max="3" width="10.28515625" bestFit="1" customWidth="1"/>
    <col min="4" max="4" width="10.5703125" bestFit="1" customWidth="1"/>
    <col min="5" max="5" width="10.28515625" bestFit="1" customWidth="1"/>
    <col min="6" max="6" width="10.28515625" customWidth="1"/>
    <col min="7" max="7" width="14.140625" bestFit="1" customWidth="1"/>
    <col min="8" max="8" width="11.5703125" bestFit="1" customWidth="1"/>
    <col min="9" max="9" width="14.7109375" bestFit="1" customWidth="1"/>
    <col min="10" max="10" width="12.7109375" bestFit="1" customWidth="1"/>
    <col min="11" max="11" width="45.7109375" bestFit="1" customWidth="1"/>
    <col min="12" max="12" width="15.7109375" bestFit="1" customWidth="1"/>
  </cols>
  <sheetData>
    <row r="1" spans="1:12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31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 x14ac:dyDescent="0.25">
      <c r="A2" t="s">
        <v>0</v>
      </c>
      <c r="C2">
        <v>15278437</v>
      </c>
      <c r="D2" t="s">
        <v>1</v>
      </c>
      <c r="E2" t="s">
        <v>2</v>
      </c>
      <c r="F2" t="str">
        <f>CONCATENATE(D2, " ", E2)</f>
        <v>L Lapointe</v>
      </c>
      <c r="G2" s="3">
        <v>1213446030010</v>
      </c>
      <c r="H2" s="1">
        <v>45536</v>
      </c>
      <c r="I2" s="1">
        <v>45520</v>
      </c>
      <c r="J2" t="s">
        <v>3</v>
      </c>
      <c r="K2" t="s">
        <v>5</v>
      </c>
      <c r="L2" s="2">
        <v>145</v>
      </c>
    </row>
    <row r="3" spans="1:12" x14ac:dyDescent="0.25">
      <c r="A3" t="s">
        <v>0</v>
      </c>
      <c r="C3">
        <v>15278437</v>
      </c>
      <c r="D3" t="s">
        <v>6</v>
      </c>
      <c r="E3" t="s">
        <v>7</v>
      </c>
      <c r="F3" t="str">
        <f t="shared" ref="F3:F13" si="0">CONCATENATE(D3, " ", E3)</f>
        <v>Lavonne Malandro</v>
      </c>
      <c r="G3" s="3">
        <v>1291060050010</v>
      </c>
      <c r="H3" s="1">
        <v>45505</v>
      </c>
      <c r="I3" s="1">
        <v>45520</v>
      </c>
      <c r="J3" t="s">
        <v>3</v>
      </c>
      <c r="K3" t="s">
        <v>5</v>
      </c>
      <c r="L3" s="2">
        <v>145</v>
      </c>
    </row>
    <row r="4" spans="1:12" x14ac:dyDescent="0.25">
      <c r="A4" t="s">
        <v>0</v>
      </c>
      <c r="C4">
        <v>15278437</v>
      </c>
      <c r="D4" t="s">
        <v>9</v>
      </c>
      <c r="E4" t="s">
        <v>10</v>
      </c>
      <c r="F4" t="str">
        <f t="shared" si="0"/>
        <v>Scott Viguers</v>
      </c>
      <c r="G4" s="3">
        <v>1320652040010</v>
      </c>
      <c r="H4" s="1">
        <v>45536</v>
      </c>
      <c r="I4" s="1">
        <v>45520</v>
      </c>
      <c r="J4" t="s">
        <v>3</v>
      </c>
      <c r="K4" t="s">
        <v>5</v>
      </c>
      <c r="L4" s="2">
        <v>145</v>
      </c>
    </row>
    <row r="5" spans="1:12" x14ac:dyDescent="0.25">
      <c r="A5" t="s">
        <v>11</v>
      </c>
      <c r="C5">
        <v>17425766</v>
      </c>
      <c r="D5" t="s">
        <v>12</v>
      </c>
      <c r="E5" t="s">
        <v>13</v>
      </c>
      <c r="F5" t="str">
        <f t="shared" si="0"/>
        <v>Roselinda Menta</v>
      </c>
      <c r="G5" s="3">
        <v>1202821510010</v>
      </c>
      <c r="H5" s="1">
        <v>45505</v>
      </c>
      <c r="I5" s="1">
        <v>45520</v>
      </c>
      <c r="J5" t="s">
        <v>3</v>
      </c>
      <c r="K5" t="s">
        <v>5</v>
      </c>
      <c r="L5" s="2">
        <v>145</v>
      </c>
    </row>
    <row r="6" spans="1:12" x14ac:dyDescent="0.25">
      <c r="A6" t="s">
        <v>14</v>
      </c>
      <c r="C6">
        <v>19278370</v>
      </c>
      <c r="D6" t="s">
        <v>15</v>
      </c>
      <c r="E6" t="s">
        <v>16</v>
      </c>
      <c r="F6" t="str">
        <f t="shared" si="0"/>
        <v>Stephenie Hertzfeld</v>
      </c>
      <c r="G6" s="3">
        <v>1206352500010</v>
      </c>
      <c r="H6" s="1">
        <v>45505</v>
      </c>
      <c r="I6" s="1">
        <v>45520</v>
      </c>
      <c r="J6" t="s">
        <v>3</v>
      </c>
      <c r="K6" t="s">
        <v>5</v>
      </c>
      <c r="L6" s="2">
        <v>145</v>
      </c>
    </row>
    <row r="7" spans="1:12" x14ac:dyDescent="0.25">
      <c r="A7" t="s">
        <v>14</v>
      </c>
      <c r="C7">
        <v>19278370</v>
      </c>
      <c r="D7" t="s">
        <v>17</v>
      </c>
      <c r="E7" t="s">
        <v>18</v>
      </c>
      <c r="F7" t="str">
        <f t="shared" si="0"/>
        <v>Kathleen Hogga</v>
      </c>
      <c r="G7" s="3">
        <v>1213417310010</v>
      </c>
      <c r="H7" s="1">
        <v>45566</v>
      </c>
      <c r="I7" s="1">
        <v>45520</v>
      </c>
      <c r="J7" t="s">
        <v>3</v>
      </c>
      <c r="K7" t="s">
        <v>5</v>
      </c>
      <c r="L7" s="2">
        <v>145</v>
      </c>
    </row>
    <row r="8" spans="1:12" x14ac:dyDescent="0.25">
      <c r="A8" t="s">
        <v>14</v>
      </c>
      <c r="C8">
        <v>19278370</v>
      </c>
      <c r="D8" t="s">
        <v>17</v>
      </c>
      <c r="E8" t="s">
        <v>18</v>
      </c>
      <c r="F8" t="str">
        <f t="shared" si="0"/>
        <v>Kathleen Hogga</v>
      </c>
      <c r="G8" s="3">
        <v>1213417310010</v>
      </c>
      <c r="H8" s="1">
        <v>45566</v>
      </c>
      <c r="I8" s="1">
        <v>45520</v>
      </c>
      <c r="J8" t="s">
        <v>3</v>
      </c>
      <c r="K8" t="s">
        <v>19</v>
      </c>
      <c r="L8" s="2">
        <v>86.25</v>
      </c>
    </row>
    <row r="9" spans="1:12" x14ac:dyDescent="0.25">
      <c r="A9" t="s">
        <v>0</v>
      </c>
      <c r="C9">
        <v>15278437</v>
      </c>
      <c r="D9" t="s">
        <v>1</v>
      </c>
      <c r="E9" t="s">
        <v>2</v>
      </c>
      <c r="F9" t="str">
        <f t="shared" si="0"/>
        <v>L Lapointe</v>
      </c>
      <c r="G9" s="3">
        <v>1213446030010</v>
      </c>
      <c r="H9" s="1">
        <v>45536</v>
      </c>
      <c r="I9" s="1">
        <v>45520</v>
      </c>
      <c r="J9" t="s">
        <v>3</v>
      </c>
      <c r="K9" t="s">
        <v>4</v>
      </c>
      <c r="L9" s="2">
        <v>115</v>
      </c>
    </row>
    <row r="10" spans="1:12" x14ac:dyDescent="0.25">
      <c r="A10" t="s">
        <v>0</v>
      </c>
      <c r="C10">
        <v>15278437</v>
      </c>
      <c r="D10" t="s">
        <v>9</v>
      </c>
      <c r="E10" t="s">
        <v>10</v>
      </c>
      <c r="F10" t="str">
        <f t="shared" si="0"/>
        <v>Scott Viguers</v>
      </c>
      <c r="G10" s="3">
        <v>1320652040010</v>
      </c>
      <c r="H10" s="1">
        <v>45536</v>
      </c>
      <c r="I10" s="1">
        <v>45520</v>
      </c>
      <c r="J10" t="s">
        <v>3</v>
      </c>
      <c r="K10" t="s">
        <v>4</v>
      </c>
      <c r="L10" s="2">
        <v>115</v>
      </c>
    </row>
    <row r="11" spans="1:12" x14ac:dyDescent="0.25">
      <c r="A11" t="s">
        <v>0</v>
      </c>
      <c r="C11">
        <v>15278437</v>
      </c>
      <c r="D11" t="s">
        <v>6</v>
      </c>
      <c r="E11" t="s">
        <v>7</v>
      </c>
      <c r="F11" t="str">
        <f t="shared" si="0"/>
        <v>Lavonne Malandro</v>
      </c>
      <c r="G11" s="3">
        <v>1291060050010</v>
      </c>
      <c r="H11" s="1">
        <v>45505</v>
      </c>
      <c r="I11" s="1">
        <v>45520</v>
      </c>
      <c r="J11" t="s">
        <v>3</v>
      </c>
      <c r="K11" t="s">
        <v>8</v>
      </c>
      <c r="L11" s="2">
        <v>143.75</v>
      </c>
    </row>
    <row r="12" spans="1:12" x14ac:dyDescent="0.25">
      <c r="A12" t="s">
        <v>11</v>
      </c>
      <c r="C12">
        <v>17425766</v>
      </c>
      <c r="D12" t="s">
        <v>12</v>
      </c>
      <c r="E12" t="s">
        <v>13</v>
      </c>
      <c r="F12" t="str">
        <f t="shared" si="0"/>
        <v>Roselinda Menta</v>
      </c>
      <c r="G12" s="3">
        <v>1202821510010</v>
      </c>
      <c r="H12" s="1">
        <v>45505</v>
      </c>
      <c r="I12" s="1">
        <v>45520</v>
      </c>
      <c r="J12" t="s">
        <v>3</v>
      </c>
      <c r="K12" t="s">
        <v>8</v>
      </c>
      <c r="L12" s="2">
        <v>143.75</v>
      </c>
    </row>
    <row r="13" spans="1:12" x14ac:dyDescent="0.25">
      <c r="A13" t="s">
        <v>14</v>
      </c>
      <c r="C13">
        <v>19278370</v>
      </c>
      <c r="D13" t="s">
        <v>15</v>
      </c>
      <c r="E13" t="s">
        <v>16</v>
      </c>
      <c r="F13" t="str">
        <f t="shared" si="0"/>
        <v>Stephenie Hertzfeld</v>
      </c>
      <c r="G13" s="3">
        <v>1206352500010</v>
      </c>
      <c r="H13" s="1">
        <v>45505</v>
      </c>
      <c r="I13" s="1">
        <v>45520</v>
      </c>
      <c r="J13" t="s">
        <v>3</v>
      </c>
      <c r="K13" t="s">
        <v>8</v>
      </c>
      <c r="L13" s="2">
        <v>143.75</v>
      </c>
    </row>
    <row r="15" spans="1:12" x14ac:dyDescent="0.25">
      <c r="L15" s="2">
        <f>SUM(L2:L13)</f>
        <v>1617.5</v>
      </c>
    </row>
  </sheetData>
  <sortState xmlns:xlrd2="http://schemas.microsoft.com/office/spreadsheetml/2017/richdata2" ref="A2:L13">
    <sortCondition ref="K2:K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2024-08-16T18:33:36Z</dcterms:created>
  <dcterms:modified xsi:type="dcterms:W3CDTF">2024-08-21T22:41:35Z</dcterms:modified>
</cp:coreProperties>
</file>