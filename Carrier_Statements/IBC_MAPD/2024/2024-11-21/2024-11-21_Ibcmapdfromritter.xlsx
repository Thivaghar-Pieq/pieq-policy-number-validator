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 MAPD\IBC from Ritter 11-21-24\"/>
    </mc:Choice>
  </mc:AlternateContent>
  <xr:revisionPtr revIDLastSave="0" documentId="13_ncr:1_{144F6770-E0A6-435C-9180-BCF24B4C3302}" xr6:coauthVersionLast="47" xr6:coauthVersionMax="47" xr10:uidLastSave="{00000000-0000-0000-0000-000000000000}"/>
  <bookViews>
    <workbookView xWindow="-57720" yWindow="-120" windowWidth="29040" windowHeight="15720" activeTab="1" xr2:uid="{3E86B78C-B11A-FF47-A13F-8C2E94F5E3F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2" l="1"/>
  <c r="F2" i="2"/>
  <c r="F4" i="2"/>
  <c r="F5" i="2"/>
  <c r="F6" i="2"/>
  <c r="F7" i="2"/>
  <c r="F3" i="2"/>
</calcChain>
</file>

<file path=xl/sharedStrings.xml><?xml version="1.0" encoding="utf-8"?>
<sst xmlns="http://schemas.openxmlformats.org/spreadsheetml/2006/main" count="77" uniqueCount="32">
  <si>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</si>
  <si>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</si>
  <si>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</si>
  <si>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</si>
  <si>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</si>
  <si>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</si>
  <si>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</si>
  <si>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</si>
  <si>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</si>
  <si>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</si>
  <si>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</si>
  <si>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Peter Richter</t>
  </si>
  <si>
    <t>Alba</t>
  </si>
  <si>
    <t>Gilbert</t>
  </si>
  <si>
    <t>IBC</t>
  </si>
  <si>
    <t>IBC 2024 TrueUp 11/1 eff</t>
  </si>
  <si>
    <t>Jason Hoffmann</t>
  </si>
  <si>
    <t>Leslie</t>
  </si>
  <si>
    <t>Ehrin</t>
  </si>
  <si>
    <t>IBC 2024 TrueUp 10/1 eff</t>
  </si>
  <si>
    <t>Scott</t>
  </si>
  <si>
    <t>Komita</t>
  </si>
  <si>
    <t>IBC 2023 - 2025 MAPD Initial/Ext Rep OVERRIDE</t>
  </si>
  <si>
    <t>Jean</t>
  </si>
  <si>
    <t>Shust</t>
  </si>
  <si>
    <t>Notes: IBC_Medigap_20241116_Prem $282.8. AZ</t>
  </si>
  <si>
    <t>name</t>
  </si>
  <si>
    <t>[%/$=345][prorate=9/12]</t>
  </si>
  <si>
    <t>[%/$=344]</t>
  </si>
  <si>
    <t>[%/$=345][prorate=10/12]</t>
  </si>
  <si>
    <t>IBC MAPD CT, PA, DC 2024!</t>
  </si>
  <si>
    <t>IBC MAPD OVR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</si>
</sst>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8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6BA76-D071-A844-B3BF-91721E208D5E}">
  <dimension ref="A1:K5"/>
  <sheetViews>
    <sheetView workbookViewId="0">
      <selection sqref="A1:XFD1048576"/>
    </sheetView>
  </sheetViews>
  <sheetFormatPr defaultColWidth="11" defaultRowHeight="15.75" x14ac:dyDescent="0.25"/>
  <cols>
    <col min="1" max="1" width="13.75" bestFit="1" customWidth="1"/>
    <col min="2" max="2" width="13.625" bestFit="1" customWidth="1"/>
    <col min="3" max="3" width="9.375" bestFit="1" customWidth="1"/>
    <col min="4" max="4" width="9.75" bestFit="1" customWidth="1"/>
    <col min="5" max="5" width="9.5" bestFit="1" customWidth="1"/>
    <col min="6" max="6" width="16.25" customWidth="1"/>
    <col min="7" max="7" width="10.875" bestFit="1" customWidth="1"/>
    <col min="8" max="8" width="13.625" bestFit="1" customWidth="1"/>
    <col min="9" max="9" width="11.75" bestFit="1" customWidth="1"/>
    <col min="10" max="10" width="40.875" bestFit="1" customWidth="1"/>
    <col min="11" max="11" width="14.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16509456</v>
      </c>
      <c r="D2" t="s">
        <v>12</v>
      </c>
      <c r="E2" t="s">
        <v>13</v>
      </c>
      <c r="F2">
        <v>1397168680010</v>
      </c>
      <c r="G2" s="1">
        <v>45597</v>
      </c>
      <c r="H2" s="1">
        <v>45617</v>
      </c>
      <c r="I2" t="s">
        <v>14</v>
      </c>
      <c r="J2" t="s">
        <v>15</v>
      </c>
      <c r="K2" s="2">
        <v>631.5</v>
      </c>
    </row>
    <row r="3" spans="1:11" x14ac:dyDescent="0.25">
      <c r="A3" t="s">
        <v>16</v>
      </c>
      <c r="C3">
        <v>15278437</v>
      </c>
      <c r="D3" t="s">
        <v>17</v>
      </c>
      <c r="E3" t="s">
        <v>18</v>
      </c>
      <c r="F3">
        <v>1253811760010</v>
      </c>
      <c r="G3" s="1">
        <v>45566</v>
      </c>
      <c r="H3" s="1">
        <v>45617</v>
      </c>
      <c r="I3" t="s">
        <v>14</v>
      </c>
      <c r="J3" t="s">
        <v>19</v>
      </c>
      <c r="K3" s="2">
        <v>602.75</v>
      </c>
    </row>
    <row r="4" spans="1:11" x14ac:dyDescent="0.25">
      <c r="A4" t="s">
        <v>16</v>
      </c>
      <c r="C4">
        <v>15278437</v>
      </c>
      <c r="D4" t="s">
        <v>20</v>
      </c>
      <c r="E4" t="s">
        <v>21</v>
      </c>
      <c r="F4">
        <v>51018632</v>
      </c>
      <c r="G4" s="1">
        <v>45658</v>
      </c>
      <c r="H4" s="1">
        <v>45617</v>
      </c>
      <c r="I4" t="s">
        <v>14</v>
      </c>
      <c r="J4" t="s">
        <v>22</v>
      </c>
      <c r="K4" s="2">
        <v>145</v>
      </c>
    </row>
    <row r="5" spans="1:11" x14ac:dyDescent="0.25">
      <c r="A5" t="s">
        <v>16</v>
      </c>
      <c r="C5">
        <v>15278437</v>
      </c>
      <c r="D5" t="s">
        <v>23</v>
      </c>
      <c r="E5" t="s">
        <v>24</v>
      </c>
      <c r="F5">
        <v>60096244</v>
      </c>
      <c r="G5" s="1">
        <v>43497</v>
      </c>
      <c r="H5" s="1">
        <v>45617</v>
      </c>
      <c r="I5" t="s">
        <v>14</v>
      </c>
      <c r="J5" t="s">
        <v>25</v>
      </c>
      <c r="K5" s="2">
        <v>23.76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E0EB1-73C4-4AF5-9900-4B8620378D5F}">
  <dimension ref="A1:M8"/>
  <sheetViews>
    <sheetView tabSelected="1" workbookViewId="0">
      <selection activeCell="L8" sqref="L8"/>
    </sheetView>
  </sheetViews>
  <sheetFormatPr defaultColWidth="11" defaultRowHeight="15.75" x14ac:dyDescent="0.25"/>
  <cols>
    <col min="1" max="1" width="13.75" bestFit="1" customWidth="1"/>
    <col min="2" max="2" width="13.625" bestFit="1" customWidth="1"/>
    <col min="3" max="3" width="9.375" bestFit="1" customWidth="1"/>
    <col min="4" max="4" width="9.75" bestFit="1" customWidth="1"/>
    <col min="5" max="5" width="9.5" bestFit="1" customWidth="1"/>
    <col min="6" max="6" width="16.125" customWidth="1"/>
    <col min="7" max="7" width="16.25" style="3" customWidth="1"/>
    <col min="8" max="8" width="10.875" bestFit="1" customWidth="1"/>
    <col min="9" max="9" width="13.625" bestFit="1" customWidth="1"/>
    <col min="10" max="10" width="11.75" bestFit="1" customWidth="1"/>
    <col min="11" max="11" width="40.875" bestFit="1" customWidth="1"/>
    <col min="12" max="12" width="14.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26</v>
      </c>
      <c r="G1" s="3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3" x14ac:dyDescent="0.25">
      <c r="A2" t="s">
        <v>11</v>
      </c>
      <c r="C2">
        <v>16509456</v>
      </c>
      <c r="D2" t="s">
        <v>12</v>
      </c>
      <c r="E2" t="s">
        <v>13</v>
      </c>
      <c r="F2" t="str">
        <f>CONCATENATE(D2, " ",E2)</f>
        <v>Alba Gilbert</v>
      </c>
      <c r="G2" s="3">
        <v>1397168680010</v>
      </c>
      <c r="H2" s="1">
        <v>45597</v>
      </c>
      <c r="I2" s="1">
        <v>45617</v>
      </c>
      <c r="J2" t="s">
        <v>14</v>
      </c>
      <c r="K2" t="s">
        <v>30</v>
      </c>
      <c r="L2" s="2">
        <v>344</v>
      </c>
      <c r="M2" s="4" t="s">
        <v>28</v>
      </c>
    </row>
    <row r="3" spans="1:13" x14ac:dyDescent="0.25">
      <c r="A3" t="s">
        <v>11</v>
      </c>
      <c r="C3">
        <v>16509456</v>
      </c>
      <c r="D3" t="s">
        <v>12</v>
      </c>
      <c r="E3" t="s">
        <v>13</v>
      </c>
      <c r="F3" t="str">
        <f>CONCATENATE(D3, " ",E3)</f>
        <v>Alba Gilbert</v>
      </c>
      <c r="G3" s="3">
        <v>1397168680010</v>
      </c>
      <c r="H3" s="1">
        <v>45597</v>
      </c>
      <c r="I3" s="1">
        <v>45617</v>
      </c>
      <c r="J3" t="s">
        <v>14</v>
      </c>
      <c r="K3" t="s">
        <v>15</v>
      </c>
      <c r="L3" s="2">
        <v>287.5</v>
      </c>
      <c r="M3" s="4" t="s">
        <v>29</v>
      </c>
    </row>
    <row r="4" spans="1:13" x14ac:dyDescent="0.25">
      <c r="A4" t="s">
        <v>16</v>
      </c>
      <c r="C4">
        <v>15278437</v>
      </c>
      <c r="D4" t="s">
        <v>17</v>
      </c>
      <c r="E4" t="s">
        <v>18</v>
      </c>
      <c r="F4" t="str">
        <f t="shared" ref="F4" si="0">CONCATENATE(D4, " ",E4)</f>
        <v>Leslie Ehrin</v>
      </c>
      <c r="G4" s="3">
        <v>1253811760010</v>
      </c>
      <c r="H4" s="1">
        <v>45566</v>
      </c>
      <c r="I4" s="1">
        <v>45617</v>
      </c>
      <c r="J4" t="s">
        <v>14</v>
      </c>
      <c r="K4" t="s">
        <v>19</v>
      </c>
      <c r="L4" s="2">
        <v>344</v>
      </c>
      <c r="M4" s="4" t="s">
        <v>28</v>
      </c>
    </row>
    <row r="5" spans="1:13" x14ac:dyDescent="0.25">
      <c r="A5" t="s">
        <v>16</v>
      </c>
      <c r="C5">
        <v>15278437</v>
      </c>
      <c r="D5" t="s">
        <v>17</v>
      </c>
      <c r="E5" t="s">
        <v>18</v>
      </c>
      <c r="F5" t="str">
        <f t="shared" ref="F5:F7" si="1">CONCATENATE(D5, " ",E5)</f>
        <v>Leslie Ehrin</v>
      </c>
      <c r="G5" s="3">
        <v>1253811760010</v>
      </c>
      <c r="H5" s="1">
        <v>45566</v>
      </c>
      <c r="I5" s="1">
        <v>45617</v>
      </c>
      <c r="J5" t="s">
        <v>14</v>
      </c>
      <c r="K5" t="s">
        <v>19</v>
      </c>
      <c r="L5" s="2">
        <v>258.75</v>
      </c>
      <c r="M5" s="4" t="s">
        <v>27</v>
      </c>
    </row>
    <row r="6" spans="1:13" x14ac:dyDescent="0.25">
      <c r="A6" t="s">
        <v>16</v>
      </c>
      <c r="C6">
        <v>15278437</v>
      </c>
      <c r="D6" t="s">
        <v>20</v>
      </c>
      <c r="E6" t="s">
        <v>21</v>
      </c>
      <c r="F6" t="str">
        <f t="shared" si="1"/>
        <v>Scott Komita</v>
      </c>
      <c r="G6" s="3">
        <v>51018632</v>
      </c>
      <c r="H6" s="1">
        <v>45658</v>
      </c>
      <c r="I6" s="1">
        <v>45617</v>
      </c>
      <c r="J6" t="s">
        <v>14</v>
      </c>
      <c r="K6" t="s">
        <v>31</v>
      </c>
      <c r="L6" s="2">
        <v>145</v>
      </c>
    </row>
    <row r="7" spans="1:13" x14ac:dyDescent="0.25">
      <c r="A7" t="s">
        <v>16</v>
      </c>
      <c r="C7">
        <v>15278437</v>
      </c>
      <c r="D7" t="s">
        <v>23</v>
      </c>
      <c r="E7" t="s">
        <v>24</v>
      </c>
      <c r="F7" t="str">
        <f t="shared" si="1"/>
        <v>Jean Shust</v>
      </c>
      <c r="G7" s="3">
        <v>60096244</v>
      </c>
      <c r="H7" s="1">
        <v>43497</v>
      </c>
      <c r="I7" s="1">
        <v>45617</v>
      </c>
      <c r="J7" t="s">
        <v>14</v>
      </c>
      <c r="K7" t="s">
        <v>25</v>
      </c>
      <c r="L7" s="2">
        <v>23.76</v>
      </c>
    </row>
    <row r="8" spans="1:13" x14ac:dyDescent="0.25">
      <c r="L8" s="2">
        <f>SUM(L2:L7)</f>
        <v>1403.01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2024-11-22T14:19:37Z</dcterms:created>
  <dcterms:modified xsi:type="dcterms:W3CDTF">2024-11-27T20:17:07Z</dcterms:modified>
</cp:coreProperties>
</file>