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 MAPD/IBC MAPD from Ritter 11-27-24/"/>
    </mc:Choice>
  </mc:AlternateContent>
  <xr:revisionPtr revIDLastSave="0" documentId="13_ncr:1_{2BD3DF9B-8577-0049-AB21-8B47CC326F27}" xr6:coauthVersionLast="47" xr6:coauthVersionMax="47" xr10:uidLastSave="{00000000-0000-0000-0000-000000000000}"/>
  <bookViews>
    <workbookView xWindow="0" yWindow="500" windowWidth="19200" windowHeight="19360" activeTab="1" xr2:uid="{58510309-3E1F-B44E-B26A-BC62DFFC43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2" i="2"/>
</calcChain>
</file>

<file path=xl/sharedStrings.xml><?xml version="1.0" encoding="utf-8"?>
<sst xmlns="http://schemas.openxmlformats.org/spreadsheetml/2006/main" count="58" uniqueCount="22">
  <si>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</si>
  <si>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</si>
  <si>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</si>
  <si>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</si>
  <si>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</si>
  <si>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</si>
  <si>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</si>
  <si>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</si>
  <si>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</si>
  <si>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</si>
  <si>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</si>
  <si>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</si>
  <si>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Jeffrey</t>
  </si>
  <si>
    <t>Monette</t>
  </si>
  <si>
    <t>IBC</t>
  </si>
  <si>
    <t>IBC 2023 - 2025 MAPD Initial/Ext Rep OVERRIDE</t>
  </si>
  <si>
    <t>$145.00</t>
  </si>
  <si>
    <t>Michael</t>
  </si>
  <si>
    <t>Jackson</t>
  </si>
  <si>
    <t>Peter Richter</t>
  </si>
  <si>
    <t>Daniel</t>
  </si>
  <si>
    <t>Davidson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</si>
</sst>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12B3-29AE-0D48-84F0-DC5CD1209524}">
  <dimension ref="A1:K4"/>
  <sheetViews>
    <sheetView workbookViewId="0">
      <selection sqref="A1:XFD1048576"/>
    </sheetView>
  </sheetViews>
  <sheetFormatPr baseColWidth="10" defaultRowHeight="16" x14ac:dyDescent="0.2"/>
  <cols>
    <col min="10" max="10" width="40.3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15278437</v>
      </c>
      <c r="D2" t="s">
        <v>12</v>
      </c>
      <c r="E2" t="s">
        <v>13</v>
      </c>
      <c r="F2">
        <v>50016864</v>
      </c>
      <c r="G2" s="1">
        <v>45658</v>
      </c>
      <c r="H2" s="1">
        <v>45623</v>
      </c>
      <c r="I2" t="s">
        <v>14</v>
      </c>
      <c r="J2" t="s">
        <v>15</v>
      </c>
      <c r="K2" t="s">
        <v>16</v>
      </c>
    </row>
    <row r="3" spans="1:11" x14ac:dyDescent="0.2">
      <c r="A3" t="s">
        <v>11</v>
      </c>
      <c r="C3">
        <v>15278437</v>
      </c>
      <c r="D3" t="s">
        <v>17</v>
      </c>
      <c r="E3" t="s">
        <v>18</v>
      </c>
      <c r="F3">
        <v>50024803</v>
      </c>
      <c r="G3" s="1">
        <v>45658</v>
      </c>
      <c r="H3" s="1">
        <v>45623</v>
      </c>
      <c r="I3" t="s">
        <v>14</v>
      </c>
      <c r="J3" t="s">
        <v>15</v>
      </c>
      <c r="K3" t="s">
        <v>16</v>
      </c>
    </row>
    <row r="4" spans="1:11" x14ac:dyDescent="0.2">
      <c r="A4" t="s">
        <v>19</v>
      </c>
      <c r="C4">
        <v>16509456</v>
      </c>
      <c r="D4" t="s">
        <v>20</v>
      </c>
      <c r="E4" t="s">
        <v>21</v>
      </c>
      <c r="F4">
        <v>51020482</v>
      </c>
      <c r="G4" s="1">
        <v>45658</v>
      </c>
      <c r="H4" s="1">
        <v>45623</v>
      </c>
      <c r="I4" t="s">
        <v>14</v>
      </c>
      <c r="J4" t="s">
        <v>15</v>
      </c>
      <c r="K4" t="s">
        <v>16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7DD1-256A-A84F-8323-012014FBF488}">
  <dimension ref="A1:L4"/>
  <sheetViews>
    <sheetView tabSelected="1" topLeftCell="D1" workbookViewId="0">
      <selection activeCell="N2" sqref="N2"/>
    </sheetView>
  </sheetViews>
  <sheetFormatPr baseColWidth="10" defaultRowHeight="16" x14ac:dyDescent="0.2"/>
  <cols>
    <col min="2" max="2" width="13.83203125" bestFit="1" customWidth="1"/>
    <col min="11" max="11" width="40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15278437</v>
      </c>
      <c r="C2">
        <v>15278437</v>
      </c>
      <c r="D2" t="s">
        <v>12</v>
      </c>
      <c r="E2" t="s">
        <v>13</v>
      </c>
      <c r="F2" t="str">
        <f>CONCATENATE(D2, " ", E2)</f>
        <v>Jeffrey Monette</v>
      </c>
      <c r="G2">
        <v>50016864</v>
      </c>
      <c r="H2" s="1">
        <v>45658</v>
      </c>
      <c r="I2" s="1">
        <v>45623</v>
      </c>
      <c r="J2" t="s">
        <v>14</v>
      </c>
      <c r="K2" t="s">
        <v>15</v>
      </c>
      <c r="L2" t="s">
        <v>16</v>
      </c>
    </row>
    <row r="3" spans="1:12" x14ac:dyDescent="0.2">
      <c r="A3" t="s">
        <v>11</v>
      </c>
      <c r="B3">
        <v>15278437</v>
      </c>
      <c r="C3">
        <v>15278437</v>
      </c>
      <c r="D3" t="s">
        <v>17</v>
      </c>
      <c r="E3" t="s">
        <v>18</v>
      </c>
      <c r="F3" t="str">
        <f t="shared" ref="F3:F4" si="0">CONCATENATE(D3, " ", E3)</f>
        <v>Michael Jackson</v>
      </c>
      <c r="G3">
        <v>50024803</v>
      </c>
      <c r="H3" s="1">
        <v>45658</v>
      </c>
      <c r="I3" s="1">
        <v>45623</v>
      </c>
      <c r="J3" t="s">
        <v>14</v>
      </c>
      <c r="K3" t="s">
        <v>15</v>
      </c>
      <c r="L3" t="s">
        <v>16</v>
      </c>
    </row>
    <row r="4" spans="1:12" x14ac:dyDescent="0.2">
      <c r="A4" t="s">
        <v>19</v>
      </c>
      <c r="B4">
        <v>16509456</v>
      </c>
      <c r="C4">
        <v>16509456</v>
      </c>
      <c r="D4" t="s">
        <v>20</v>
      </c>
      <c r="E4" t="s">
        <v>21</v>
      </c>
      <c r="F4" t="str">
        <f t="shared" si="0"/>
        <v>Daniel Davidson</v>
      </c>
      <c r="G4">
        <v>51020482</v>
      </c>
      <c r="H4" s="1">
        <v>45658</v>
      </c>
      <c r="I4" s="1">
        <v>45623</v>
      </c>
      <c r="J4" t="s">
        <v>14</v>
      </c>
      <c r="K4" t="s">
        <v>15</v>
      </c>
      <c r="L4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2024-11-29T14:13:49Z</dcterms:created>
  <dcterms:modified xsi:type="dcterms:W3CDTF">2024-12-02T21:35:54Z</dcterms:modified>
</cp:coreProperties>
</file>