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IBC MAPD Ritter 11-15-24\"/>
    </mc:Choice>
  </mc:AlternateContent>
  <xr:revisionPtr revIDLastSave="0" documentId="13_ncr:1_{902BABBE-A5BE-426D-BFCC-89448E1B3FB6}" xr6:coauthVersionLast="47" xr6:coauthVersionMax="47" xr10:uidLastSave="{00000000-0000-0000-0000-000000000000}"/>
  <bookViews>
    <workbookView xWindow="-57720" yWindow="-120" windowWidth="29040" windowHeight="15720" activeTab="1" xr2:uid="{ED955C3E-D975-41D1-B531-2AED1B0F33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5" i="2"/>
  <c r="F4" i="2"/>
  <c r="F3" i="2"/>
  <c r="F3" i="1"/>
  <c r="F4" i="1"/>
  <c r="F5" i="1"/>
  <c r="F2" i="1"/>
</calcChain>
</file>

<file path=xl/sharedStrings.xml><?xml version="1.0" encoding="utf-8"?>
<sst xmlns="http://schemas.openxmlformats.org/spreadsheetml/2006/main" count="64" uniqueCount="23">
  <si>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</si>
  <si>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</si>
  <si>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</si>
  <si>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</si>
  <si>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</si>
  <si>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</si>
  <si>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</si>
  <si>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</si>
  <si>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</si>
  <si>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</si>
  <si>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</si>
  <si>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</si>
  <si>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Kimberly</t>
  </si>
  <si>
    <t>Gray</t>
  </si>
  <si>
    <t>IBC</t>
  </si>
  <si>
    <t>IBC 2024 MAPD Int/Ext Replace STREET (ProRata: 1)</t>
  </si>
  <si>
    <t>Peter Richter</t>
  </si>
  <si>
    <t>Carl</t>
  </si>
  <si>
    <t>IBC 2023 - 2025 MAPD Initial/Ext Rep OVERRIDE</t>
  </si>
  <si>
    <t>Steven</t>
  </si>
  <si>
    <t>Leibowitz</t>
  </si>
  <si>
    <t>name</t>
  </si>
  <si>
    <t xml:space="preserve">Schaaf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</si>
</sst>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659B-22E3-4130-8B30-069601742940}">
  <dimension ref="A1:L5"/>
  <sheetViews>
    <sheetView workbookViewId="0">
      <selection sqref="A1:XFD1048576"/>
    </sheetView>
  </sheetViews>
  <sheetFormatPr defaultRowHeight="15" x14ac:dyDescent="0.25"/>
  <cols>
    <col min="1" max="1" width="15.42578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5.28515625" bestFit="1" customWidth="1"/>
    <col min="7" max="7" width="14.140625" style="3" bestFit="1" customWidth="1"/>
    <col min="8" max="8" width="11.5703125" bestFit="1" customWidth="1"/>
    <col min="9" max="9" width="14.7109375" bestFit="1" customWidth="1"/>
    <col min="10" max="10" width="12.7109375" bestFit="1" customWidth="1"/>
    <col min="11" max="11" width="45.71093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C2">
        <v>15278437</v>
      </c>
      <c r="D2" t="s">
        <v>12</v>
      </c>
      <c r="E2" t="s">
        <v>13</v>
      </c>
      <c r="F2" t="str">
        <f>CONCATENATE(D2, " ",E2)</f>
        <v>Kimberly Gray</v>
      </c>
      <c r="G2" s="3">
        <v>1208181920010</v>
      </c>
      <c r="H2" s="1">
        <v>45627</v>
      </c>
      <c r="I2" s="1">
        <v>45611</v>
      </c>
      <c r="J2" t="s">
        <v>14</v>
      </c>
      <c r="K2" t="s">
        <v>15</v>
      </c>
      <c r="L2" s="2">
        <v>28.75</v>
      </c>
    </row>
    <row r="3" spans="1:12" x14ac:dyDescent="0.25">
      <c r="A3" t="s">
        <v>16</v>
      </c>
      <c r="C3">
        <v>16509456</v>
      </c>
      <c r="D3" t="s">
        <v>17</v>
      </c>
      <c r="E3" t="s">
        <v>22</v>
      </c>
      <c r="F3" t="str">
        <f t="shared" ref="F3:F5" si="0">CONCATENATE(D3, " ",E3)</f>
        <v xml:space="preserve">Carl Schaaf </v>
      </c>
      <c r="G3" s="3">
        <v>51017339</v>
      </c>
      <c r="H3" s="1">
        <v>45658</v>
      </c>
      <c r="I3" s="1">
        <v>45611</v>
      </c>
      <c r="J3" t="s">
        <v>14</v>
      </c>
      <c r="K3" t="s">
        <v>18</v>
      </c>
      <c r="L3" s="2">
        <v>145</v>
      </c>
    </row>
    <row r="4" spans="1:12" x14ac:dyDescent="0.25">
      <c r="A4" t="s">
        <v>11</v>
      </c>
      <c r="C4">
        <v>15278437</v>
      </c>
      <c r="D4" t="s">
        <v>19</v>
      </c>
      <c r="E4" t="s">
        <v>20</v>
      </c>
      <c r="F4" t="str">
        <f t="shared" si="0"/>
        <v>Steven Leibowitz</v>
      </c>
      <c r="G4" s="3">
        <v>51017846</v>
      </c>
      <c r="H4" s="1">
        <v>45658</v>
      </c>
      <c r="I4" s="1">
        <v>45611</v>
      </c>
      <c r="J4" t="s">
        <v>14</v>
      </c>
      <c r="K4" t="s">
        <v>18</v>
      </c>
      <c r="L4" s="2">
        <v>145</v>
      </c>
    </row>
    <row r="5" spans="1:12" x14ac:dyDescent="0.25">
      <c r="A5" t="s">
        <v>11</v>
      </c>
      <c r="C5">
        <v>15278437</v>
      </c>
      <c r="D5" t="s">
        <v>12</v>
      </c>
      <c r="E5" t="s">
        <v>13</v>
      </c>
      <c r="F5" t="str">
        <f t="shared" si="0"/>
        <v>Kimberly Gray</v>
      </c>
      <c r="G5" s="3">
        <v>1208181920010</v>
      </c>
      <c r="H5" s="1">
        <v>45627</v>
      </c>
      <c r="I5" s="1">
        <v>45611</v>
      </c>
      <c r="J5" t="s">
        <v>14</v>
      </c>
      <c r="K5" t="s">
        <v>18</v>
      </c>
      <c r="L5" s="2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DCB8-682E-4708-B291-94C090F19A09}">
  <dimension ref="A1:L5"/>
  <sheetViews>
    <sheetView tabSelected="1" workbookViewId="0">
      <selection activeCell="L2" sqref="L2:L5"/>
    </sheetView>
  </sheetViews>
  <sheetFormatPr defaultRowHeight="15" x14ac:dyDescent="0.25"/>
  <cols>
    <col min="1" max="1" width="15.42578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5.28515625" bestFit="1" customWidth="1"/>
    <col min="7" max="7" width="15.140625" style="3" bestFit="1" customWidth="1"/>
    <col min="8" max="8" width="11.5703125" bestFit="1" customWidth="1"/>
    <col min="9" max="9" width="14.7109375" bestFit="1" customWidth="1"/>
    <col min="10" max="10" width="12.7109375" bestFit="1" customWidth="1"/>
    <col min="11" max="11" width="45.71093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C2">
        <v>15278437</v>
      </c>
      <c r="D2" t="s">
        <v>12</v>
      </c>
      <c r="E2" t="s">
        <v>13</v>
      </c>
      <c r="F2" t="str">
        <f>CONCATENATE(D2, " ",E2)</f>
        <v>Kimberly Gray</v>
      </c>
      <c r="G2" s="3">
        <v>1208181920010</v>
      </c>
      <c r="H2" s="1">
        <v>45627</v>
      </c>
      <c r="I2" s="1">
        <v>45611</v>
      </c>
      <c r="J2" t="s">
        <v>14</v>
      </c>
      <c r="K2" t="s">
        <v>15</v>
      </c>
      <c r="L2" s="2">
        <v>28.75</v>
      </c>
    </row>
    <row r="3" spans="1:12" x14ac:dyDescent="0.25">
      <c r="A3" t="s">
        <v>16</v>
      </c>
      <c r="C3">
        <v>16509456</v>
      </c>
      <c r="D3" t="s">
        <v>17</v>
      </c>
      <c r="E3" t="s">
        <v>22</v>
      </c>
      <c r="F3" t="str">
        <f t="shared" ref="F3:F5" si="0">CONCATENATE(D3, " ",E3)</f>
        <v xml:space="preserve">Carl Schaaf </v>
      </c>
      <c r="G3" s="3">
        <v>510173391</v>
      </c>
      <c r="H3" s="1">
        <v>45658</v>
      </c>
      <c r="I3" s="1">
        <v>45611</v>
      </c>
      <c r="J3" t="s">
        <v>14</v>
      </c>
      <c r="K3" t="s">
        <v>18</v>
      </c>
      <c r="L3" s="2">
        <v>145</v>
      </c>
    </row>
    <row r="4" spans="1:12" x14ac:dyDescent="0.25">
      <c r="A4" t="s">
        <v>11</v>
      </c>
      <c r="C4">
        <v>15278437</v>
      </c>
      <c r="D4" t="s">
        <v>19</v>
      </c>
      <c r="E4" t="s">
        <v>20</v>
      </c>
      <c r="F4" t="str">
        <f t="shared" si="0"/>
        <v>Steven Leibowitz</v>
      </c>
      <c r="G4" s="3">
        <v>510178461</v>
      </c>
      <c r="H4" s="1">
        <v>45658</v>
      </c>
      <c r="I4" s="1">
        <v>45611</v>
      </c>
      <c r="J4" t="s">
        <v>14</v>
      </c>
      <c r="K4" t="s">
        <v>18</v>
      </c>
      <c r="L4" s="2">
        <v>145</v>
      </c>
    </row>
    <row r="5" spans="1:12" x14ac:dyDescent="0.25">
      <c r="A5" t="s">
        <v>11</v>
      </c>
      <c r="C5">
        <v>15278437</v>
      </c>
      <c r="D5" t="s">
        <v>12</v>
      </c>
      <c r="E5" t="s">
        <v>13</v>
      </c>
      <c r="F5" t="str">
        <f t="shared" si="0"/>
        <v>Kimberly Gray</v>
      </c>
      <c r="G5" s="3">
        <v>12081819200101</v>
      </c>
      <c r="H5" s="1">
        <v>45627</v>
      </c>
      <c r="I5" s="1">
        <v>45611</v>
      </c>
      <c r="J5" t="s">
        <v>14</v>
      </c>
      <c r="K5" t="s">
        <v>18</v>
      </c>
      <c r="L5" s="2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2024-11-15T19:30:28Z</dcterms:created>
  <dcterms:modified xsi:type="dcterms:W3CDTF">2024-11-19T16:40:36Z</dcterms:modified>
</cp:coreProperties>
</file>