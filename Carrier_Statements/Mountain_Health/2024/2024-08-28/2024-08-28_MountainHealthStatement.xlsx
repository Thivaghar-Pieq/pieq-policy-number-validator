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untain health\8-28-24\"/>
    </mc:Choice>
  </mc:AlternateContent>
  <xr:revisionPtr revIDLastSave="0" documentId="13_ncr:1_{F516D028-AAAA-4EB0-B9D2-3018DF514926}" xr6:coauthVersionLast="47" xr6:coauthVersionMax="47" xr10:uidLastSave="{00000000-0000-0000-0000-000000000000}"/>
  <bookViews>
    <workbookView xWindow="-57720" yWindow="-120" windowWidth="29040" windowHeight="15720" tabRatio="500" xr2:uid="{00000000-000D-0000-FFFF-FFFF00000000}"/>
  </bookViews>
  <sheets>
    <sheet name="Statement" sheetId="1" r:id="rId1"/>
    <sheet name="Mountain health statement 8-1-2" sheetId="2" r:id="rId2"/>
    <sheet name="Notes" sheetId="3" r:id="rId3"/>
  </sheets>
  <definedNames>
    <definedName name="_xlnm.Print_Area" localSheetId="1">'Mountain health statement 8-1-2'!$A:$T</definedName>
    <definedName name="_xlnm.Print_Area" localSheetId="0">Statement!$A$1:$B$26</definedName>
    <definedName name="Print_Area_0" localSheetId="1">'Mountain health statement 8-1-2'!$A:$T</definedName>
    <definedName name="Print_Area_0" localSheetId="0">Statement!$A$1:$B$26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4" i="2" l="1"/>
</calcChain>
</file>

<file path=xl/sharedStrings.xml><?xml version="1.0" encoding="utf-8"?>
<sst xmlns="http://schemas.openxmlformats.org/spreadsheetml/2006/main" count="426" uniqueCount="140">
  <si>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</si>
  <si>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</si>
  <si>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</si>
  <si>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</si>
  <si>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</si>
  <si>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</si>
  <si>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</si>
  <si>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</si>
  <si>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</si>
  <si>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</si>
  <si>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</si>
  <si>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</si>
  <si>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</si>
  <si>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</si>
  <si>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</si>
  <si>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</si>
  <si>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</si>
  <si>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</si>
  <si>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</si>
  <si>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</si>
  <si>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</si>
  <si>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</si>
  <si>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</si>
  <si>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</si>
  <si>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</si>
  <si>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</si>
  <si>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</si>
  <si>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</si>
  <si>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</si>
  <si>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</si>
  <si>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</si>
  <si>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</si>
  <si>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</si>
  <si>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</si>
  <si>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</si>
  <si>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</si>
  <si>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</si>
  <si>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</si>
  <si>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</si>
  <si>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</si>
  <si>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</si>
  <si>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</si>
  <si>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</si>
  <si>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Default</t>
  </si>
  <si>
    <t>Finalized</t>
  </si>
  <si>
    <t>August 2024</t>
  </si>
  <si>
    <t>08/29/2024 07:13</t>
  </si>
  <si>
    <t>08/28/2024 17:30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</si>
  <si>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</si>
  <si>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</si>
  <si>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</si>
  <si>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</si>
  <si>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</si>
  <si>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</si>
  <si>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</si>
  <si>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</si>
  <si>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</si>
  <si>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</si>
  <si>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</si>
  <si>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</si>
  <si>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</si>
  <si>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16098.21</t>
  </si>
  <si>
    <t>204.00</t>
  </si>
  <si>
    <t>0.00</t>
  </si>
  <si>
    <t>Commission Not Paid</t>
  </si>
  <si>
    <t>11723.88</t>
  </si>
  <si>
    <t>10817.20</t>
  </si>
  <si>
    <t>122.50</t>
  </si>
  <si>
    <t>002160</t>
  </si>
  <si>
    <t>Eugene Zangari</t>
  </si>
  <si>
    <t>08/26/2024</t>
  </si>
  <si>
    <t>Paid To House</t>
  </si>
  <si>
    <t>0004360286</t>
  </si>
  <si>
    <t>207654</t>
  </si>
  <si>
    <t>Olsen, Russell</t>
  </si>
  <si>
    <t>001717</t>
  </si>
  <si>
    <t>Gregory Teipel</t>
  </si>
  <si>
    <t>Paid</t>
  </si>
  <si>
    <t>0003542828</t>
  </si>
  <si>
    <t>209061</t>
  </si>
  <si>
    <t>Dean, Dylan</t>
  </si>
  <si>
    <t>0004160982</t>
  </si>
  <si>
    <t>235516</t>
  </si>
  <si>
    <t>Hill, Robert</t>
  </si>
  <si>
    <t>Y</t>
  </si>
  <si>
    <t>0001529114</t>
  </si>
  <si>
    <t>296013</t>
  </si>
  <si>
    <t>Johnston, Melisa</t>
  </si>
  <si>
    <t>0004289186</t>
  </si>
  <si>
    <t>300277</t>
  </si>
  <si>
    <t>Brennan, Rani</t>
  </si>
  <si>
    <t>0003935434</t>
  </si>
  <si>
    <t>304350</t>
  </si>
  <si>
    <t>Swartzentruber, Joseph</t>
  </si>
  <si>
    <t>0003508707</t>
  </si>
  <si>
    <t>331628</t>
  </si>
  <si>
    <t>Barnett, Susan</t>
  </si>
  <si>
    <t>0003885628</t>
  </si>
  <si>
    <t>336360</t>
  </si>
  <si>
    <t>Vaughan, Scott</t>
  </si>
  <si>
    <t>0001583343</t>
  </si>
  <si>
    <t>346259</t>
  </si>
  <si>
    <t>Hulett, Rodney</t>
  </si>
  <si>
    <t>0004219605</t>
  </si>
  <si>
    <t>392352</t>
  </si>
  <si>
    <t>Barnett, Alexander</t>
  </si>
  <si>
    <t>0002705216</t>
  </si>
  <si>
    <t>405203</t>
  </si>
  <si>
    <t>Ketchum, Julie</t>
  </si>
  <si>
    <t>0002643744</t>
  </si>
  <si>
    <t>406285</t>
  </si>
  <si>
    <t>Lloyd, Timothy</t>
  </si>
  <si>
    <t>0004239918</t>
  </si>
  <si>
    <t>418116</t>
  </si>
  <si>
    <t>Johnson, Brandon</t>
  </si>
  <si>
    <t>0002936030</t>
  </si>
  <si>
    <t>425596</t>
  </si>
  <si>
    <t>Emmert, Catherine</t>
  </si>
  <si>
    <t>0003323844</t>
  </si>
  <si>
    <t>430432</t>
  </si>
  <si>
    <t>Richards, Tamara</t>
  </si>
  <si>
    <t>0004188888</t>
  </si>
  <si>
    <t>441526</t>
  </si>
  <si>
    <t>Gallagher, Daniel</t>
  </si>
  <si>
    <t>0003981910</t>
  </si>
  <si>
    <t>449784</t>
  </si>
  <si>
    <t>Grueneich, Joel</t>
  </si>
  <si>
    <t>0003254424</t>
  </si>
  <si>
    <t>454541</t>
  </si>
  <si>
    <t>Dillon, Monica</t>
  </si>
  <si>
    <t>0002117601</t>
  </si>
  <si>
    <t>455044</t>
  </si>
  <si>
    <t>Anderson, Wendy</t>
  </si>
  <si>
    <t>0003984265</t>
  </si>
  <si>
    <t>463915</t>
  </si>
  <si>
    <t>Hayes, Bernard</t>
  </si>
  <si>
    <t>No Payout</t>
  </si>
  <si>
    <t>0003348472</t>
  </si>
  <si>
    <t>512323</t>
  </si>
  <si>
    <t>Johnson, Bret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</si>
</sst>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abSelected="1" topLeftCell="A5" zoomScaleNormal="100" workbookViewId="0">
      <selection activeCell="A18" sqref="A18:F18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37" t="s">
        <v>0</v>
      </c>
      <c r="B1" s="37"/>
    </row>
    <row r="2" spans="1:2" ht="24.75" customHeight="1" x14ac:dyDescent="0.25">
      <c r="A2" s="2" t="s">
        <v>1</v>
      </c>
      <c r="B2" s="3">
        <v>195482</v>
      </c>
    </row>
    <row r="3" spans="1:2" ht="24.75" customHeight="1" x14ac:dyDescent="0.25">
      <c r="A3" s="38" t="s">
        <v>2</v>
      </c>
      <c r="B3" s="38"/>
    </row>
    <row r="4" spans="1:2" ht="24.75" customHeight="1" x14ac:dyDescent="0.25">
      <c r="A4" s="4" t="s">
        <v>3</v>
      </c>
      <c r="B4" s="5" t="s">
        <v>4</v>
      </c>
    </row>
    <row r="5" spans="1:2" s="8" customFormat="1" ht="18.75" customHeight="1" x14ac:dyDescent="0.3">
      <c r="A5" s="6" t="s">
        <v>5</v>
      </c>
      <c r="B5" s="7" t="s">
        <v>43</v>
      </c>
    </row>
    <row r="6" spans="1:2" s="8" customFormat="1" ht="18.75" customHeight="1" x14ac:dyDescent="0.3">
      <c r="A6" s="9" t="s">
        <v>6</v>
      </c>
      <c r="B6" s="10">
        <v>195482</v>
      </c>
    </row>
    <row r="7" spans="1:2" s="8" customFormat="1" ht="18.75" customHeight="1" x14ac:dyDescent="0.3">
      <c r="A7" s="9" t="s">
        <v>7</v>
      </c>
      <c r="B7" s="10" t="s">
        <v>44</v>
      </c>
    </row>
    <row r="8" spans="1:2" s="8" customFormat="1" ht="18.75" customHeight="1" x14ac:dyDescent="0.3">
      <c r="A8" s="9" t="s">
        <v>8</v>
      </c>
      <c r="B8" s="10" t="s">
        <v>45</v>
      </c>
    </row>
    <row r="9" spans="1:2" s="8" customFormat="1" ht="18.75" customHeight="1" x14ac:dyDescent="0.3">
      <c r="A9" s="9" t="s">
        <v>9</v>
      </c>
      <c r="B9" s="10" t="s">
        <v>46</v>
      </c>
    </row>
    <row r="10" spans="1:2" s="8" customFormat="1" ht="18.75" customHeight="1" x14ac:dyDescent="0.3">
      <c r="A10" s="11" t="s">
        <v>10</v>
      </c>
      <c r="B10" s="12" t="s">
        <v>47</v>
      </c>
    </row>
    <row r="11" spans="1:2" s="8" customFormat="1" ht="18.75" customHeight="1" x14ac:dyDescent="0.3">
      <c r="A11" s="13" t="s">
        <v>11</v>
      </c>
      <c r="B11" s="14" t="s">
        <v>48</v>
      </c>
    </row>
    <row r="12" spans="1:2" s="8" customFormat="1" ht="18.75" customHeight="1" x14ac:dyDescent="0.3">
      <c r="A12" s="15" t="s">
        <v>12</v>
      </c>
      <c r="B12" s="16" t="s">
        <v>49</v>
      </c>
    </row>
    <row r="13" spans="1:2" s="8" customFormat="1" ht="18.75" customHeight="1" x14ac:dyDescent="0.3">
      <c r="A13" s="15" t="s">
        <v>13</v>
      </c>
      <c r="B13" s="16" t="s">
        <v>50</v>
      </c>
    </row>
    <row r="14" spans="1:2" s="8" customFormat="1" ht="18.75" customHeight="1" x14ac:dyDescent="0.3">
      <c r="A14" s="15" t="s">
        <v>14</v>
      </c>
      <c r="B14" s="16" t="s">
        <v>51</v>
      </c>
    </row>
    <row r="15" spans="1:2" s="8" customFormat="1" ht="18.75" customHeight="1" x14ac:dyDescent="0.3">
      <c r="A15" s="15" t="s">
        <v>15</v>
      </c>
      <c r="B15" s="16" t="s">
        <v>51</v>
      </c>
    </row>
    <row r="16" spans="1:2" s="8" customFormat="1" ht="18.75" customHeight="1" x14ac:dyDescent="0.3">
      <c r="A16" s="15" t="s">
        <v>16</v>
      </c>
      <c r="B16" s="16" t="s">
        <v>52</v>
      </c>
    </row>
    <row r="17" spans="1:6" s="8" customFormat="1" ht="18.75" customHeight="1" x14ac:dyDescent="0.3">
      <c r="A17" s="17" t="s">
        <v>17</v>
      </c>
      <c r="B17" s="18" t="s">
        <v>53</v>
      </c>
    </row>
    <row r="18" spans="1:6" s="8" customFormat="1" ht="18.75" customHeight="1" x14ac:dyDescent="0.25">
      <c r="A18" s="39" t="s">
        <v>54</v>
      </c>
      <c r="B18" s="39"/>
      <c r="C18" s="40"/>
      <c r="D18" s="40"/>
      <c r="E18" s="40"/>
      <c r="F18" s="40"/>
    </row>
    <row r="19" spans="1:6" s="8" customFormat="1" ht="18.75" customHeight="1" x14ac:dyDescent="0.25">
      <c r="A19" s="1"/>
      <c r="B19" s="1" t="s">
        <v>55</v>
      </c>
      <c r="C19" s="1" t="s">
        <v>56</v>
      </c>
      <c r="D19" s="1" t="s">
        <v>57</v>
      </c>
      <c r="E19" s="1" t="s">
        <v>58</v>
      </c>
      <c r="F19" s="1" t="s">
        <v>59</v>
      </c>
    </row>
    <row r="20" spans="1:6" s="8" customFormat="1" ht="18.75" customHeight="1" x14ac:dyDescent="0.25">
      <c r="A20" s="19" t="s">
        <v>60</v>
      </c>
      <c r="B20" s="1" t="s">
        <v>61</v>
      </c>
      <c r="C20" s="1" t="s">
        <v>61</v>
      </c>
      <c r="D20" s="1" t="s">
        <v>62</v>
      </c>
      <c r="E20" s="1" t="s">
        <v>63</v>
      </c>
      <c r="F20" s="1" t="s">
        <v>62</v>
      </c>
    </row>
    <row r="21" spans="1:6" s="8" customFormat="1" ht="18.75" customHeight="1" x14ac:dyDescent="0.25">
      <c r="A21" s="19" t="s">
        <v>59</v>
      </c>
      <c r="B21" s="1" t="s">
        <v>61</v>
      </c>
      <c r="C21" s="1" t="s">
        <v>61</v>
      </c>
      <c r="D21" s="1" t="s">
        <v>62</v>
      </c>
      <c r="E21" s="1" t="s">
        <v>63</v>
      </c>
      <c r="F21" s="1" t="s">
        <v>62</v>
      </c>
    </row>
    <row r="22" spans="1:6" s="8" customFormat="1" ht="18.75" customHeight="1" x14ac:dyDescent="0.25">
      <c r="A22" s="39" t="s">
        <v>64</v>
      </c>
      <c r="B22" s="40"/>
      <c r="C22" s="40"/>
      <c r="D22" s="40"/>
      <c r="E22" s="40"/>
      <c r="F22" s="40"/>
    </row>
    <row r="23" spans="1:6" s="8" customFormat="1" ht="18.75" customHeight="1" x14ac:dyDescent="0.25">
      <c r="A23" s="1"/>
      <c r="B23" s="1" t="s">
        <v>55</v>
      </c>
      <c r="C23" s="1" t="s">
        <v>56</v>
      </c>
      <c r="D23" s="1" t="s">
        <v>57</v>
      </c>
      <c r="E23" s="1" t="s">
        <v>58</v>
      </c>
      <c r="F23" s="1" t="s">
        <v>59</v>
      </c>
    </row>
    <row r="24" spans="1:6" s="8" customFormat="1" ht="18.75" customHeight="1" x14ac:dyDescent="0.25">
      <c r="A24" s="19" t="s">
        <v>60</v>
      </c>
      <c r="B24" s="1" t="s">
        <v>65</v>
      </c>
      <c r="C24" s="1" t="s">
        <v>66</v>
      </c>
      <c r="D24" s="1" t="s">
        <v>67</v>
      </c>
      <c r="E24" s="1" t="s">
        <v>63</v>
      </c>
      <c r="F24" s="1" t="s">
        <v>67</v>
      </c>
    </row>
    <row r="25" spans="1:6" s="8" customFormat="1" ht="18.75" customHeight="1" x14ac:dyDescent="0.25">
      <c r="A25" s="19" t="s">
        <v>59</v>
      </c>
      <c r="B25" s="1" t="s">
        <v>65</v>
      </c>
      <c r="C25" s="1" t="s">
        <v>66</v>
      </c>
      <c r="D25" s="1" t="s">
        <v>67</v>
      </c>
      <c r="E25" s="1" t="s">
        <v>63</v>
      </c>
      <c r="F25" s="1" t="s">
        <v>67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4"/>
  <sheetViews>
    <sheetView topLeftCell="K1" zoomScaleNormal="100" workbookViewId="0">
      <selection activeCell="R25" sqref="R25"/>
    </sheetView>
  </sheetViews>
  <sheetFormatPr defaultRowHeight="15" x14ac:dyDescent="0.25"/>
  <cols>
    <col min="1" max="2" width="12.28515625" style="20" customWidth="1" collapsed="1"/>
    <col min="3" max="3" width="32.7109375" style="20" customWidth="1" collapsed="1"/>
    <col min="4" max="4" width="15.42578125" style="21" customWidth="1" collapsed="1"/>
    <col min="5" max="6" width="17.42578125" style="22" customWidth="1" collapsed="1"/>
    <col min="7" max="7" width="22.5703125" style="22" customWidth="1" collapsed="1"/>
    <col min="8" max="9" width="32.7109375" style="22" customWidth="1" collapsed="1"/>
    <col min="10" max="11" width="24.28515625" style="22" customWidth="1" collapsed="1"/>
    <col min="12" max="12" width="25.7109375" style="22" customWidth="1" collapsed="1"/>
    <col min="13" max="13" width="10.7109375" style="20" customWidth="1" collapsed="1"/>
    <col min="14" max="14" width="10.7109375" style="23" customWidth="1" collapsed="1"/>
    <col min="15" max="15" width="13.42578125" style="24" customWidth="1" collapsed="1"/>
    <col min="16" max="17" width="13.42578125" style="25" customWidth="1" collapsed="1"/>
    <col min="18" max="19" width="13.42578125" style="26" customWidth="1" collapsed="1"/>
    <col min="20" max="20" width="13.42578125" style="25" customWidth="1" collapsed="1"/>
    <col min="21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27" customFormat="1" ht="26.25" customHeight="1" x14ac:dyDescent="0.25">
      <c r="A1" s="27" t="s">
        <v>18</v>
      </c>
    </row>
    <row r="2" spans="1:21" ht="29.25" customHeight="1" x14ac:dyDescent="0.25">
      <c r="A2" s="28" t="s">
        <v>19</v>
      </c>
      <c r="B2" s="29" t="s">
        <v>20</v>
      </c>
      <c r="C2" s="29" t="s">
        <v>21</v>
      </c>
      <c r="D2" s="29" t="s">
        <v>22</v>
      </c>
      <c r="E2" s="29" t="s">
        <v>23</v>
      </c>
      <c r="F2" s="29" t="s">
        <v>24</v>
      </c>
      <c r="G2" s="29" t="s">
        <v>25</v>
      </c>
      <c r="H2" s="29" t="s">
        <v>26</v>
      </c>
      <c r="I2" s="29" t="s">
        <v>27</v>
      </c>
      <c r="J2" s="29" t="s">
        <v>28</v>
      </c>
      <c r="K2" s="29" t="s">
        <v>29</v>
      </c>
      <c r="L2" s="29" t="s">
        <v>30</v>
      </c>
      <c r="M2" s="29" t="s">
        <v>31</v>
      </c>
      <c r="N2" s="29" t="s">
        <v>32</v>
      </c>
      <c r="O2" s="30" t="s">
        <v>33</v>
      </c>
      <c r="P2" s="31" t="s">
        <v>34</v>
      </c>
      <c r="Q2" s="31" t="s">
        <v>35</v>
      </c>
      <c r="R2" s="31" t="s">
        <v>36</v>
      </c>
      <c r="S2" s="31" t="s">
        <v>37</v>
      </c>
      <c r="T2" s="31" t="s">
        <v>38</v>
      </c>
      <c r="U2" s="32" t="s">
        <v>39</v>
      </c>
    </row>
    <row r="3" spans="1:21" x14ac:dyDescent="0.25">
      <c r="A3" s="20">
        <v>1287750</v>
      </c>
      <c r="B3" s="20" t="s">
        <v>68</v>
      </c>
      <c r="C3" s="33" t="s">
        <v>69</v>
      </c>
      <c r="D3" s="21" t="s">
        <v>70</v>
      </c>
      <c r="E3" s="34" t="s">
        <v>45</v>
      </c>
      <c r="F3" s="22" t="s">
        <v>45</v>
      </c>
      <c r="G3" s="22" t="s">
        <v>71</v>
      </c>
      <c r="H3" s="35" t="s">
        <v>51</v>
      </c>
      <c r="I3" s="22" t="s">
        <v>60</v>
      </c>
      <c r="J3" s="35" t="s">
        <v>51</v>
      </c>
      <c r="K3" s="22" t="s">
        <v>72</v>
      </c>
      <c r="L3" s="22" t="s">
        <v>73</v>
      </c>
      <c r="M3" s="35" t="s">
        <v>74</v>
      </c>
      <c r="N3" s="23" t="s">
        <v>51</v>
      </c>
      <c r="O3" s="23">
        <v>1</v>
      </c>
      <c r="P3" s="25">
        <v>1074.4000000000001</v>
      </c>
      <c r="Q3" s="25">
        <v>1074.4000000000001</v>
      </c>
      <c r="R3" s="26">
        <v>17</v>
      </c>
      <c r="S3" s="26">
        <v>0</v>
      </c>
      <c r="T3" s="26" t="s">
        <v>51</v>
      </c>
      <c r="U3" s="36" t="s">
        <v>51</v>
      </c>
    </row>
    <row r="4" spans="1:21" x14ac:dyDescent="0.25">
      <c r="A4" s="20">
        <v>1287764</v>
      </c>
      <c r="B4" s="20" t="s">
        <v>75</v>
      </c>
      <c r="C4" s="33" t="s">
        <v>76</v>
      </c>
      <c r="D4" s="21" t="s">
        <v>70</v>
      </c>
      <c r="E4" s="34" t="s">
        <v>45</v>
      </c>
      <c r="F4" s="22" t="s">
        <v>45</v>
      </c>
      <c r="G4" s="22" t="s">
        <v>77</v>
      </c>
      <c r="H4" s="35" t="s">
        <v>51</v>
      </c>
      <c r="I4" s="22" t="s">
        <v>60</v>
      </c>
      <c r="J4" s="35" t="s">
        <v>51</v>
      </c>
      <c r="K4" s="22" t="s">
        <v>78</v>
      </c>
      <c r="L4" s="22" t="s">
        <v>79</v>
      </c>
      <c r="M4" s="35" t="s">
        <v>80</v>
      </c>
      <c r="N4" s="23" t="s">
        <v>51</v>
      </c>
      <c r="O4" s="23" t="s">
        <v>51</v>
      </c>
      <c r="P4" s="25">
        <v>411.3</v>
      </c>
      <c r="Q4" s="25">
        <v>411.3</v>
      </c>
      <c r="R4" s="26">
        <v>11</v>
      </c>
      <c r="S4" s="26">
        <v>0</v>
      </c>
      <c r="T4" s="26" t="s">
        <v>51</v>
      </c>
      <c r="U4" s="36" t="s">
        <v>51</v>
      </c>
    </row>
    <row r="5" spans="1:21" x14ac:dyDescent="0.25">
      <c r="A5" s="20">
        <v>1288305</v>
      </c>
      <c r="B5" s="20" t="s">
        <v>75</v>
      </c>
      <c r="C5" s="33" t="s">
        <v>76</v>
      </c>
      <c r="D5" s="21" t="s">
        <v>70</v>
      </c>
      <c r="E5" s="34" t="s">
        <v>45</v>
      </c>
      <c r="F5" s="22" t="s">
        <v>45</v>
      </c>
      <c r="G5" s="22" t="s">
        <v>77</v>
      </c>
      <c r="H5" s="35" t="s">
        <v>51</v>
      </c>
      <c r="I5" s="22" t="s">
        <v>60</v>
      </c>
      <c r="J5" s="35" t="s">
        <v>51</v>
      </c>
      <c r="K5" s="22" t="s">
        <v>81</v>
      </c>
      <c r="L5" s="22" t="s">
        <v>82</v>
      </c>
      <c r="M5" s="35" t="s">
        <v>83</v>
      </c>
      <c r="N5" s="23" t="s">
        <v>84</v>
      </c>
      <c r="O5" s="23" t="s">
        <v>51</v>
      </c>
      <c r="P5" s="25">
        <v>1905.68</v>
      </c>
      <c r="Q5" s="25">
        <v>1905.68</v>
      </c>
      <c r="R5" s="26">
        <v>22</v>
      </c>
      <c r="S5" s="26">
        <v>0</v>
      </c>
      <c r="T5" s="26" t="s">
        <v>51</v>
      </c>
      <c r="U5" s="36" t="s">
        <v>51</v>
      </c>
    </row>
    <row r="6" spans="1:21" x14ac:dyDescent="0.25">
      <c r="A6" s="20">
        <v>1288971</v>
      </c>
      <c r="B6" s="20" t="s">
        <v>75</v>
      </c>
      <c r="C6" s="33" t="s">
        <v>76</v>
      </c>
      <c r="D6" s="21" t="s">
        <v>70</v>
      </c>
      <c r="E6" s="34" t="s">
        <v>45</v>
      </c>
      <c r="F6" s="22" t="s">
        <v>45</v>
      </c>
      <c r="G6" s="22" t="s">
        <v>77</v>
      </c>
      <c r="H6" s="35" t="s">
        <v>51</v>
      </c>
      <c r="I6" s="22" t="s">
        <v>60</v>
      </c>
      <c r="J6" s="35" t="s">
        <v>51</v>
      </c>
      <c r="K6" s="22" t="s">
        <v>85</v>
      </c>
      <c r="L6" s="22" t="s">
        <v>86</v>
      </c>
      <c r="M6" s="35" t="s">
        <v>87</v>
      </c>
      <c r="N6" s="23" t="s">
        <v>51</v>
      </c>
      <c r="O6" s="23" t="s">
        <v>51</v>
      </c>
      <c r="P6" s="25">
        <v>1242.81</v>
      </c>
      <c r="Q6" s="25">
        <v>1242.81</v>
      </c>
      <c r="R6" s="26">
        <v>11</v>
      </c>
      <c r="S6" s="26">
        <v>0</v>
      </c>
      <c r="T6" s="26" t="s">
        <v>51</v>
      </c>
      <c r="U6" s="36" t="s">
        <v>51</v>
      </c>
    </row>
    <row r="7" spans="1:21" x14ac:dyDescent="0.25">
      <c r="A7" s="20">
        <v>1289056</v>
      </c>
      <c r="B7" s="20" t="s">
        <v>68</v>
      </c>
      <c r="C7" s="33" t="s">
        <v>69</v>
      </c>
      <c r="D7" s="21" t="s">
        <v>70</v>
      </c>
      <c r="E7" s="34" t="s">
        <v>45</v>
      </c>
      <c r="F7" s="22" t="s">
        <v>45</v>
      </c>
      <c r="G7" s="22" t="s">
        <v>71</v>
      </c>
      <c r="H7" s="35" t="s">
        <v>51</v>
      </c>
      <c r="I7" s="22" t="s">
        <v>60</v>
      </c>
      <c r="J7" s="35" t="s">
        <v>51</v>
      </c>
      <c r="K7" s="22" t="s">
        <v>88</v>
      </c>
      <c r="L7" s="22" t="s">
        <v>89</v>
      </c>
      <c r="M7" s="35" t="s">
        <v>90</v>
      </c>
      <c r="N7" s="23" t="s">
        <v>51</v>
      </c>
      <c r="O7" s="23">
        <v>2</v>
      </c>
      <c r="P7" s="25">
        <v>1309.27</v>
      </c>
      <c r="Q7" s="25">
        <v>1309.27</v>
      </c>
      <c r="R7" s="26">
        <v>23</v>
      </c>
      <c r="S7" s="26">
        <v>0</v>
      </c>
      <c r="T7" s="26" t="s">
        <v>51</v>
      </c>
      <c r="U7" s="36" t="s">
        <v>51</v>
      </c>
    </row>
    <row r="8" spans="1:21" x14ac:dyDescent="0.25">
      <c r="A8" s="20">
        <v>1289154</v>
      </c>
      <c r="B8" s="20" t="s">
        <v>75</v>
      </c>
      <c r="C8" s="33" t="s">
        <v>76</v>
      </c>
      <c r="D8" s="21" t="s">
        <v>70</v>
      </c>
      <c r="E8" s="34" t="s">
        <v>45</v>
      </c>
      <c r="F8" s="22" t="s">
        <v>45</v>
      </c>
      <c r="G8" s="22" t="s">
        <v>77</v>
      </c>
      <c r="H8" s="35" t="s">
        <v>51</v>
      </c>
      <c r="I8" s="22" t="s">
        <v>60</v>
      </c>
      <c r="J8" s="35" t="s">
        <v>51</v>
      </c>
      <c r="K8" s="22" t="s">
        <v>91</v>
      </c>
      <c r="L8" s="22" t="s">
        <v>92</v>
      </c>
      <c r="M8" s="35" t="s">
        <v>93</v>
      </c>
      <c r="N8" s="23" t="s">
        <v>84</v>
      </c>
      <c r="O8" s="23" t="s">
        <v>51</v>
      </c>
      <c r="P8" s="25">
        <v>2485.62</v>
      </c>
      <c r="Q8" s="25">
        <v>2485.62</v>
      </c>
      <c r="R8" s="26">
        <v>22</v>
      </c>
      <c r="S8" s="26">
        <v>0</v>
      </c>
      <c r="T8" s="26" t="s">
        <v>51</v>
      </c>
      <c r="U8" s="36" t="s">
        <v>51</v>
      </c>
    </row>
    <row r="9" spans="1:21" x14ac:dyDescent="0.25">
      <c r="A9" s="20">
        <v>1289542</v>
      </c>
      <c r="B9" s="20" t="s">
        <v>75</v>
      </c>
      <c r="C9" s="33" t="s">
        <v>76</v>
      </c>
      <c r="D9" s="21" t="s">
        <v>70</v>
      </c>
      <c r="E9" s="34" t="s">
        <v>45</v>
      </c>
      <c r="F9" s="22" t="s">
        <v>45</v>
      </c>
      <c r="G9" s="22" t="s">
        <v>77</v>
      </c>
      <c r="H9" s="35" t="s">
        <v>51</v>
      </c>
      <c r="I9" s="22" t="s">
        <v>60</v>
      </c>
      <c r="J9" s="35" t="s">
        <v>51</v>
      </c>
      <c r="K9" s="22" t="s">
        <v>94</v>
      </c>
      <c r="L9" s="22" t="s">
        <v>95</v>
      </c>
      <c r="M9" s="35" t="s">
        <v>96</v>
      </c>
      <c r="N9" s="23" t="s">
        <v>51</v>
      </c>
      <c r="O9" s="23" t="s">
        <v>51</v>
      </c>
      <c r="P9" s="25">
        <v>920.8</v>
      </c>
      <c r="Q9" s="25">
        <v>920.8</v>
      </c>
      <c r="R9" s="26">
        <v>11</v>
      </c>
      <c r="S9" s="26">
        <v>0</v>
      </c>
      <c r="T9" s="26" t="s">
        <v>51</v>
      </c>
      <c r="U9" s="36" t="s">
        <v>51</v>
      </c>
    </row>
    <row r="10" spans="1:21" x14ac:dyDescent="0.25">
      <c r="A10" s="20">
        <v>1289647</v>
      </c>
      <c r="B10" s="20" t="s">
        <v>75</v>
      </c>
      <c r="C10" s="33" t="s">
        <v>76</v>
      </c>
      <c r="D10" s="21" t="s">
        <v>70</v>
      </c>
      <c r="E10" s="34" t="s">
        <v>45</v>
      </c>
      <c r="F10" s="22" t="s">
        <v>45</v>
      </c>
      <c r="G10" s="22" t="s">
        <v>77</v>
      </c>
      <c r="H10" s="35" t="s">
        <v>51</v>
      </c>
      <c r="I10" s="22" t="s">
        <v>60</v>
      </c>
      <c r="J10" s="35" t="s">
        <v>51</v>
      </c>
      <c r="K10" s="22" t="s">
        <v>97</v>
      </c>
      <c r="L10" s="22" t="s">
        <v>98</v>
      </c>
      <c r="M10" s="35" t="s">
        <v>99</v>
      </c>
      <c r="N10" s="23" t="s">
        <v>51</v>
      </c>
      <c r="O10" s="23" t="s">
        <v>51</v>
      </c>
      <c r="P10" s="25">
        <v>821.48</v>
      </c>
      <c r="Q10" s="25">
        <v>821.48</v>
      </c>
      <c r="R10" s="26">
        <v>11</v>
      </c>
      <c r="S10" s="26">
        <v>0</v>
      </c>
      <c r="T10" s="26" t="s">
        <v>51</v>
      </c>
      <c r="U10" s="36" t="s">
        <v>51</v>
      </c>
    </row>
    <row r="11" spans="1:21" x14ac:dyDescent="0.25">
      <c r="A11" s="20">
        <v>1289849</v>
      </c>
      <c r="B11" s="20" t="s">
        <v>75</v>
      </c>
      <c r="C11" s="33" t="s">
        <v>76</v>
      </c>
      <c r="D11" s="21" t="s">
        <v>70</v>
      </c>
      <c r="E11" s="34" t="s">
        <v>45</v>
      </c>
      <c r="F11" s="22" t="s">
        <v>45</v>
      </c>
      <c r="G11" s="22" t="s">
        <v>77</v>
      </c>
      <c r="H11" s="35" t="s">
        <v>51</v>
      </c>
      <c r="I11" s="22" t="s">
        <v>60</v>
      </c>
      <c r="J11" s="35" t="s">
        <v>51</v>
      </c>
      <c r="K11" s="22" t="s">
        <v>100</v>
      </c>
      <c r="L11" s="22" t="s">
        <v>101</v>
      </c>
      <c r="M11" s="35" t="s">
        <v>102</v>
      </c>
      <c r="N11" s="23" t="s">
        <v>51</v>
      </c>
      <c r="O11" s="23" t="s">
        <v>51</v>
      </c>
      <c r="P11" s="25">
        <v>1160.25</v>
      </c>
      <c r="Q11" s="25">
        <v>1160.25</v>
      </c>
      <c r="R11" s="26">
        <v>11</v>
      </c>
      <c r="S11" s="26">
        <v>0</v>
      </c>
      <c r="T11" s="26" t="s">
        <v>51</v>
      </c>
      <c r="U11" s="36" t="s">
        <v>51</v>
      </c>
    </row>
    <row r="12" spans="1:21" x14ac:dyDescent="0.25">
      <c r="A12" s="20">
        <v>1290918</v>
      </c>
      <c r="B12" s="20" t="s">
        <v>75</v>
      </c>
      <c r="C12" s="33" t="s">
        <v>76</v>
      </c>
      <c r="D12" s="21" t="s">
        <v>70</v>
      </c>
      <c r="E12" s="34" t="s">
        <v>45</v>
      </c>
      <c r="F12" s="22" t="s">
        <v>45</v>
      </c>
      <c r="G12" s="22" t="s">
        <v>77</v>
      </c>
      <c r="H12" s="35" t="s">
        <v>51</v>
      </c>
      <c r="I12" s="22" t="s">
        <v>60</v>
      </c>
      <c r="J12" s="35" t="s">
        <v>51</v>
      </c>
      <c r="K12" s="22" t="s">
        <v>103</v>
      </c>
      <c r="L12" s="22" t="s">
        <v>104</v>
      </c>
      <c r="M12" s="35" t="s">
        <v>105</v>
      </c>
      <c r="N12" s="23" t="s">
        <v>51</v>
      </c>
      <c r="O12" s="23" t="s">
        <v>51</v>
      </c>
      <c r="P12" s="25">
        <v>329.71</v>
      </c>
      <c r="Q12" s="25">
        <v>329.71</v>
      </c>
      <c r="R12" s="26">
        <v>11</v>
      </c>
      <c r="S12" s="26">
        <v>0</v>
      </c>
      <c r="T12" s="26" t="s">
        <v>51</v>
      </c>
      <c r="U12" s="36" t="s">
        <v>51</v>
      </c>
    </row>
    <row r="13" spans="1:21" x14ac:dyDescent="0.25">
      <c r="A13" s="20">
        <v>1291133</v>
      </c>
      <c r="B13" s="20" t="s">
        <v>75</v>
      </c>
      <c r="C13" s="33" t="s">
        <v>76</v>
      </c>
      <c r="D13" s="21" t="s">
        <v>70</v>
      </c>
      <c r="E13" s="34" t="s">
        <v>45</v>
      </c>
      <c r="F13" s="22" t="s">
        <v>45</v>
      </c>
      <c r="G13" s="22" t="s">
        <v>71</v>
      </c>
      <c r="H13" s="35" t="s">
        <v>51</v>
      </c>
      <c r="I13" s="22" t="s">
        <v>60</v>
      </c>
      <c r="J13" s="35" t="s">
        <v>51</v>
      </c>
      <c r="K13" s="22" t="s">
        <v>106</v>
      </c>
      <c r="L13" s="22" t="s">
        <v>107</v>
      </c>
      <c r="M13" s="35" t="s">
        <v>108</v>
      </c>
      <c r="N13" s="23" t="s">
        <v>51</v>
      </c>
      <c r="O13" s="23" t="s">
        <v>51</v>
      </c>
      <c r="P13" s="25">
        <v>1420.18</v>
      </c>
      <c r="Q13" s="25">
        <v>1420.18</v>
      </c>
      <c r="R13" s="26">
        <v>16.5</v>
      </c>
      <c r="S13" s="26">
        <v>0</v>
      </c>
      <c r="T13" s="26" t="s">
        <v>51</v>
      </c>
      <c r="U13" s="36" t="s">
        <v>51</v>
      </c>
    </row>
    <row r="14" spans="1:21" x14ac:dyDescent="0.25">
      <c r="A14" s="20">
        <v>1291156</v>
      </c>
      <c r="B14" s="20" t="s">
        <v>75</v>
      </c>
      <c r="C14" s="33" t="s">
        <v>76</v>
      </c>
      <c r="D14" s="21" t="s">
        <v>70</v>
      </c>
      <c r="E14" s="34" t="s">
        <v>45</v>
      </c>
      <c r="F14" s="22" t="s">
        <v>45</v>
      </c>
      <c r="G14" s="22" t="s">
        <v>71</v>
      </c>
      <c r="H14" s="35" t="s">
        <v>51</v>
      </c>
      <c r="I14" s="22" t="s">
        <v>60</v>
      </c>
      <c r="J14" s="35" t="s">
        <v>51</v>
      </c>
      <c r="K14" s="22" t="s">
        <v>109</v>
      </c>
      <c r="L14" s="22" t="s">
        <v>110</v>
      </c>
      <c r="M14" s="35" t="s">
        <v>111</v>
      </c>
      <c r="N14" s="23" t="s">
        <v>84</v>
      </c>
      <c r="O14" s="23" t="s">
        <v>51</v>
      </c>
      <c r="P14" s="25">
        <v>3812.48</v>
      </c>
      <c r="Q14" s="25">
        <v>3812.48</v>
      </c>
      <c r="R14" s="26">
        <v>33</v>
      </c>
      <c r="S14" s="26">
        <v>0</v>
      </c>
      <c r="T14" s="26" t="s">
        <v>51</v>
      </c>
      <c r="U14" s="36" t="s">
        <v>51</v>
      </c>
    </row>
    <row r="15" spans="1:21" x14ac:dyDescent="0.25">
      <c r="A15" s="20">
        <v>1291599</v>
      </c>
      <c r="B15" s="20" t="s">
        <v>75</v>
      </c>
      <c r="C15" s="33" t="s">
        <v>76</v>
      </c>
      <c r="D15" s="21" t="s">
        <v>70</v>
      </c>
      <c r="E15" s="34" t="s">
        <v>45</v>
      </c>
      <c r="F15" s="22" t="s">
        <v>45</v>
      </c>
      <c r="G15" s="22" t="s">
        <v>77</v>
      </c>
      <c r="H15" s="35" t="s">
        <v>51</v>
      </c>
      <c r="I15" s="22" t="s">
        <v>60</v>
      </c>
      <c r="J15" s="35" t="s">
        <v>51</v>
      </c>
      <c r="K15" s="22" t="s">
        <v>112</v>
      </c>
      <c r="L15" s="22" t="s">
        <v>113</v>
      </c>
      <c r="M15" s="35" t="s">
        <v>114</v>
      </c>
      <c r="N15" s="23" t="s">
        <v>51</v>
      </c>
      <c r="O15" s="23" t="s">
        <v>51</v>
      </c>
      <c r="P15" s="25">
        <v>562.16999999999996</v>
      </c>
      <c r="Q15" s="25">
        <v>562.16999999999996</v>
      </c>
      <c r="R15" s="26">
        <v>11</v>
      </c>
      <c r="S15" s="26">
        <v>0</v>
      </c>
      <c r="T15" s="26" t="s">
        <v>51</v>
      </c>
      <c r="U15" s="36" t="s">
        <v>51</v>
      </c>
    </row>
    <row r="16" spans="1:21" x14ac:dyDescent="0.25">
      <c r="A16" s="20">
        <v>1292354</v>
      </c>
      <c r="B16" s="20" t="s">
        <v>75</v>
      </c>
      <c r="C16" s="33" t="s">
        <v>76</v>
      </c>
      <c r="D16" s="21" t="s">
        <v>70</v>
      </c>
      <c r="E16" s="34" t="s">
        <v>45</v>
      </c>
      <c r="F16" s="22" t="s">
        <v>45</v>
      </c>
      <c r="G16" s="22" t="s">
        <v>71</v>
      </c>
      <c r="H16" s="35" t="s">
        <v>51</v>
      </c>
      <c r="I16" s="22" t="s">
        <v>60</v>
      </c>
      <c r="J16" s="35" t="s">
        <v>51</v>
      </c>
      <c r="K16" s="22" t="s">
        <v>115</v>
      </c>
      <c r="L16" s="22" t="s">
        <v>116</v>
      </c>
      <c r="M16" s="35" t="s">
        <v>117</v>
      </c>
      <c r="N16" s="23" t="s">
        <v>51</v>
      </c>
      <c r="O16" s="23" t="s">
        <v>51</v>
      </c>
      <c r="P16" s="25">
        <v>1403.89</v>
      </c>
      <c r="Q16" s="25">
        <v>1403.89</v>
      </c>
      <c r="R16" s="26">
        <v>16.5</v>
      </c>
      <c r="S16" s="26">
        <v>0</v>
      </c>
      <c r="T16" s="26" t="s">
        <v>51</v>
      </c>
      <c r="U16" s="36" t="s">
        <v>51</v>
      </c>
    </row>
    <row r="17" spans="1:21" x14ac:dyDescent="0.25">
      <c r="A17" s="20">
        <v>1293193</v>
      </c>
      <c r="B17" s="20" t="s">
        <v>75</v>
      </c>
      <c r="C17" s="33" t="s">
        <v>76</v>
      </c>
      <c r="D17" s="21" t="s">
        <v>70</v>
      </c>
      <c r="E17" s="34" t="s">
        <v>45</v>
      </c>
      <c r="F17" s="22" t="s">
        <v>45</v>
      </c>
      <c r="G17" s="22" t="s">
        <v>77</v>
      </c>
      <c r="H17" s="35" t="s">
        <v>51</v>
      </c>
      <c r="I17" s="22" t="s">
        <v>60</v>
      </c>
      <c r="J17" s="35" t="s">
        <v>51</v>
      </c>
      <c r="K17" s="22" t="s">
        <v>118</v>
      </c>
      <c r="L17" s="22" t="s">
        <v>119</v>
      </c>
      <c r="M17" s="35" t="s">
        <v>120</v>
      </c>
      <c r="N17" s="23" t="s">
        <v>51</v>
      </c>
      <c r="O17" s="23">
        <v>1</v>
      </c>
      <c r="P17" s="25">
        <v>1684.8</v>
      </c>
      <c r="Q17" s="25">
        <v>1684.8</v>
      </c>
      <c r="R17" s="26">
        <v>17</v>
      </c>
      <c r="S17" s="26">
        <v>0</v>
      </c>
      <c r="T17" s="26" t="s">
        <v>51</v>
      </c>
      <c r="U17" s="36" t="s">
        <v>51</v>
      </c>
    </row>
    <row r="18" spans="1:21" x14ac:dyDescent="0.25">
      <c r="A18" s="20">
        <v>1293959</v>
      </c>
      <c r="B18" s="20" t="s">
        <v>75</v>
      </c>
      <c r="C18" s="33" t="s">
        <v>76</v>
      </c>
      <c r="D18" s="21" t="s">
        <v>70</v>
      </c>
      <c r="E18" s="34" t="s">
        <v>45</v>
      </c>
      <c r="F18" s="22" t="s">
        <v>45</v>
      </c>
      <c r="G18" s="22" t="s">
        <v>77</v>
      </c>
      <c r="H18" s="35" t="s">
        <v>51</v>
      </c>
      <c r="I18" s="22" t="s">
        <v>60</v>
      </c>
      <c r="J18" s="35" t="s">
        <v>51</v>
      </c>
      <c r="K18" s="22" t="s">
        <v>121</v>
      </c>
      <c r="L18" s="22" t="s">
        <v>122</v>
      </c>
      <c r="M18" s="35" t="s">
        <v>123</v>
      </c>
      <c r="N18" s="23" t="s">
        <v>84</v>
      </c>
      <c r="O18" s="23" t="s">
        <v>51</v>
      </c>
      <c r="P18" s="25">
        <v>1409.56</v>
      </c>
      <c r="Q18" s="25">
        <v>1409.56</v>
      </c>
      <c r="R18" s="26">
        <v>22</v>
      </c>
      <c r="S18" s="26">
        <v>0</v>
      </c>
      <c r="T18" s="26" t="s">
        <v>51</v>
      </c>
      <c r="U18" s="36" t="s">
        <v>51</v>
      </c>
    </row>
    <row r="19" spans="1:21" x14ac:dyDescent="0.25">
      <c r="A19" s="20">
        <v>1294236</v>
      </c>
      <c r="B19" s="20" t="s">
        <v>75</v>
      </c>
      <c r="C19" s="33" t="s">
        <v>76</v>
      </c>
      <c r="D19" s="21" t="s">
        <v>70</v>
      </c>
      <c r="E19" s="34" t="s">
        <v>45</v>
      </c>
      <c r="F19" s="22" t="s">
        <v>45</v>
      </c>
      <c r="G19" s="22" t="s">
        <v>77</v>
      </c>
      <c r="H19" s="35" t="s">
        <v>51</v>
      </c>
      <c r="I19" s="22" t="s">
        <v>60</v>
      </c>
      <c r="J19" s="35" t="s">
        <v>51</v>
      </c>
      <c r="K19" s="22" t="s">
        <v>124</v>
      </c>
      <c r="L19" s="22" t="s">
        <v>125</v>
      </c>
      <c r="M19" s="35" t="s">
        <v>126</v>
      </c>
      <c r="N19" s="23" t="s">
        <v>84</v>
      </c>
      <c r="O19" s="23" t="s">
        <v>51</v>
      </c>
      <c r="P19" s="25">
        <v>1410.77</v>
      </c>
      <c r="Q19" s="25">
        <v>1410.77</v>
      </c>
      <c r="R19" s="26">
        <v>22</v>
      </c>
      <c r="S19" s="26">
        <v>0</v>
      </c>
      <c r="T19" s="26" t="s">
        <v>51</v>
      </c>
      <c r="U19" s="36" t="s">
        <v>51</v>
      </c>
    </row>
    <row r="20" spans="1:21" x14ac:dyDescent="0.25">
      <c r="A20" s="20">
        <v>1294544</v>
      </c>
      <c r="B20" s="20" t="s">
        <v>75</v>
      </c>
      <c r="C20" s="33" t="s">
        <v>76</v>
      </c>
      <c r="D20" s="21" t="s">
        <v>70</v>
      </c>
      <c r="E20" s="34" t="s">
        <v>45</v>
      </c>
      <c r="F20" s="22" t="s">
        <v>45</v>
      </c>
      <c r="G20" s="22" t="s">
        <v>71</v>
      </c>
      <c r="H20" s="35" t="s">
        <v>51</v>
      </c>
      <c r="I20" s="22" t="s">
        <v>60</v>
      </c>
      <c r="J20" s="35" t="s">
        <v>51</v>
      </c>
      <c r="K20" s="22" t="s">
        <v>127</v>
      </c>
      <c r="L20" s="22" t="s">
        <v>128</v>
      </c>
      <c r="M20" s="35" t="s">
        <v>129</v>
      </c>
      <c r="N20" s="23" t="s">
        <v>51</v>
      </c>
      <c r="O20" s="23" t="s">
        <v>51</v>
      </c>
      <c r="P20" s="25">
        <v>1796.98</v>
      </c>
      <c r="Q20" s="25">
        <v>1796.98</v>
      </c>
      <c r="R20" s="26">
        <v>16.5</v>
      </c>
      <c r="S20" s="26">
        <v>0</v>
      </c>
      <c r="T20" s="26" t="s">
        <v>51</v>
      </c>
      <c r="U20" s="36" t="s">
        <v>51</v>
      </c>
    </row>
    <row r="21" spans="1:21" x14ac:dyDescent="0.25">
      <c r="A21" s="20">
        <v>1294574</v>
      </c>
      <c r="B21" s="20" t="s">
        <v>75</v>
      </c>
      <c r="C21" s="33" t="s">
        <v>76</v>
      </c>
      <c r="D21" s="21" t="s">
        <v>70</v>
      </c>
      <c r="E21" s="34" t="s">
        <v>45</v>
      </c>
      <c r="F21" s="22" t="s">
        <v>45</v>
      </c>
      <c r="G21" s="22" t="s">
        <v>77</v>
      </c>
      <c r="H21" s="35" t="s">
        <v>51</v>
      </c>
      <c r="I21" s="22" t="s">
        <v>60</v>
      </c>
      <c r="J21" s="35" t="s">
        <v>51</v>
      </c>
      <c r="K21" s="22" t="s">
        <v>130</v>
      </c>
      <c r="L21" s="22" t="s">
        <v>131</v>
      </c>
      <c r="M21" s="35" t="s">
        <v>132</v>
      </c>
      <c r="N21" s="23" t="s">
        <v>51</v>
      </c>
      <c r="O21" s="23" t="s">
        <v>51</v>
      </c>
      <c r="P21" s="25">
        <v>984.17</v>
      </c>
      <c r="Q21" s="25">
        <v>984.17</v>
      </c>
      <c r="R21" s="26">
        <v>11</v>
      </c>
      <c r="S21" s="26">
        <v>0</v>
      </c>
      <c r="T21" s="26" t="s">
        <v>51</v>
      </c>
      <c r="U21" s="36" t="s">
        <v>51</v>
      </c>
    </row>
    <row r="22" spans="1:21" x14ac:dyDescent="0.25">
      <c r="A22" s="20">
        <v>1295232</v>
      </c>
      <c r="B22" s="20" t="s">
        <v>75</v>
      </c>
      <c r="C22" s="33" t="s">
        <v>76</v>
      </c>
      <c r="D22" s="21" t="s">
        <v>70</v>
      </c>
      <c r="E22" s="34" t="s">
        <v>45</v>
      </c>
      <c r="F22" s="22" t="s">
        <v>45</v>
      </c>
      <c r="G22" s="22" t="s">
        <v>77</v>
      </c>
      <c r="H22" s="35" t="s">
        <v>51</v>
      </c>
      <c r="I22" s="22" t="s">
        <v>60</v>
      </c>
      <c r="J22" s="35" t="s">
        <v>51</v>
      </c>
      <c r="K22" s="22" t="s">
        <v>133</v>
      </c>
      <c r="L22" s="22" t="s">
        <v>134</v>
      </c>
      <c r="M22" s="35" t="s">
        <v>135</v>
      </c>
      <c r="N22" s="23" t="s">
        <v>51</v>
      </c>
      <c r="O22" s="23" t="s">
        <v>51</v>
      </c>
      <c r="P22" s="25">
        <v>769.09</v>
      </c>
      <c r="Q22" s="25">
        <v>769.09</v>
      </c>
      <c r="R22" s="26">
        <v>11</v>
      </c>
      <c r="S22" s="26">
        <v>0</v>
      </c>
      <c r="T22" s="26" t="s">
        <v>51</v>
      </c>
      <c r="U22" s="36" t="s">
        <v>51</v>
      </c>
    </row>
    <row r="23" spans="1:21" x14ac:dyDescent="0.25">
      <c r="A23" s="20">
        <v>1299649</v>
      </c>
      <c r="B23" s="20" t="s">
        <v>75</v>
      </c>
      <c r="C23" s="33" t="s">
        <v>76</v>
      </c>
      <c r="D23" s="21" t="s">
        <v>70</v>
      </c>
      <c r="E23" s="34" t="s">
        <v>45</v>
      </c>
      <c r="F23" s="22" t="s">
        <v>45</v>
      </c>
      <c r="G23" s="22" t="s">
        <v>136</v>
      </c>
      <c r="H23" s="35" t="s">
        <v>51</v>
      </c>
      <c r="I23" s="22" t="s">
        <v>60</v>
      </c>
      <c r="J23" s="35" t="s">
        <v>51</v>
      </c>
      <c r="K23" s="22" t="s">
        <v>137</v>
      </c>
      <c r="L23" s="22" t="s">
        <v>138</v>
      </c>
      <c r="M23" s="35" t="s">
        <v>139</v>
      </c>
      <c r="N23" s="23" t="s">
        <v>51</v>
      </c>
      <c r="O23" s="23" t="s">
        <v>51</v>
      </c>
      <c r="P23" s="25">
        <v>906.68</v>
      </c>
      <c r="Q23" s="25">
        <v>0</v>
      </c>
      <c r="R23" s="26" t="s">
        <v>51</v>
      </c>
      <c r="S23" s="26" t="s">
        <v>51</v>
      </c>
      <c r="T23" s="26" t="s">
        <v>51</v>
      </c>
      <c r="U23" s="36" t="s">
        <v>51</v>
      </c>
    </row>
    <row r="24" spans="1:21" x14ac:dyDescent="0.25">
      <c r="R24" s="26">
        <f>SUM(R3:R22)</f>
        <v>326.5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27" customFormat="1" ht="26.25" customHeight="1" x14ac:dyDescent="0.25">
      <c r="A1" s="27" t="s">
        <v>40</v>
      </c>
    </row>
    <row r="2" spans="1:2" s="29" customFormat="1" ht="29.25" customHeight="1" x14ac:dyDescent="0.25">
      <c r="A2" s="29" t="s">
        <v>41</v>
      </c>
      <c r="B2" s="29" t="s">
        <v>42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Mountain health statement 8-1-2</vt:lpstr>
      <vt:lpstr>Notes</vt:lpstr>
      <vt:lpstr>'Mountain health statement 8-1-2'!Print_Area</vt:lpstr>
      <vt:lpstr>Statement!Print_Area</vt:lpstr>
      <vt:lpstr>'Mountain health statement 8-1-2'!Print_Area_0</vt:lpstr>
      <vt:lpstr>Statement!Print_Area_0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Janki Patel</cp:lastModifiedBy>
  <cp:revision>6</cp:revision>
  <dcterms:created xsi:type="dcterms:W3CDTF">2016-03-14T15:18:48Z</dcterms:created>
  <dcterms:modified xsi:type="dcterms:W3CDTF">2024-09-04T18:46:02Z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