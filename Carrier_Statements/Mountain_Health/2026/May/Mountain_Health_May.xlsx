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  <sheet state="visible" name="Sheet1" sheetId="4" r:id="rId7"/>
  </sheets>
  <definedNames>
    <definedName localSheetId="0" name="Print_Area_0">Statement!$A$1:$B$26</definedName>
    <definedName localSheetId="1" name="Print_Area_0">Transactions!$A:$T</definedName>
  </definedNames>
  <calcPr/>
  <extLst>
    <ext uri="GoogleSheetsCustomDataVersion2">
      <go:sheetsCustomData xmlns:go="http://customooxmlschemas.google.com/" r:id="rId8" roundtripDataChecksum="PuP0YQpvUI8IXXgpN2vrhcJQia2iPHTPuqCExD/858s="/>
    </ext>
  </extLst>
</workbook>
</file>

<file path=xl/sharedStrings.xml><?xml version="1.0" encoding="utf-8"?>
<sst xmlns="http://schemas.openxmlformats.org/spreadsheetml/2006/main" count="502" uniqueCount="126">
  <si>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</si>
  <si>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</si>
  <si>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</si>
  <si>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</si>
  <si>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</si>
  <si>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</si>
  <si>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</si>
  <si>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</si>
  <si>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</si>
  <si>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</si>
  <si>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</si>
  <si>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May 2026</t>
  </si>
  <si>
    <t>Last Updated Date:</t>
  </si>
  <si>
    <t>05/19/2026 13:23</t>
  </si>
  <si>
    <t>Create Date:</t>
  </si>
  <si>
    <t>05/19/2026 12:54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</si>
  <si>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</si>
  <si>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</si>
  <si>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</si>
  <si>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</si>
  <si>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</si>
  <si>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</si>
  <si>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</si>
  <si>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</si>
  <si>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</si>
  <si>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</si>
  <si>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</si>
  <si>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</si>
  <si>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</si>
  <si>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</si>
  <si>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</si>
  <si>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</si>
  <si>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</si>
  <si>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</si>
  <si>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</si>
  <si>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</si>
  <si>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31481.62</t>
  </si>
  <si>
    <t>316.00</t>
  </si>
  <si>
    <t>0.00</t>
  </si>
  <si>
    <t>Commission Not Paid</t>
  </si>
  <si>
    <t>5301.69</t>
  </si>
  <si>
    <t>5021.24</t>
  </si>
  <si>
    <t>11.00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</si>
  <si>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</si>
  <si>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</si>
  <si>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</si>
  <si>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</si>
  <si>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</si>
  <si>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</si>
  <si>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</si>
  <si>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</si>
  <si>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</si>
  <si>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</si>
  <si>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</si>
  <si>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</si>
  <si>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</si>
  <si>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</si>
  <si>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</si>
  <si>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</si>
  <si>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</si>
  <si>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</si>
  <si>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</si>
  <si>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</si>
  <si>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</si>
  <si>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</si>
  <si>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</si>
  <si>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</si>
  <si>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05/15/2026</t>
  </si>
  <si>
    <t>Paid</t>
  </si>
  <si>
    <t>0004237585</t>
  </si>
  <si>
    <t>SIEBENALER, MOLLEIGH</t>
  </si>
  <si>
    <t>Y</t>
  </si>
  <si>
    <t>002663</t>
  </si>
  <si>
    <t>Thomas  Pardue</t>
  </si>
  <si>
    <t>0004319397</t>
  </si>
  <si>
    <t>WHITEHAWK, JAKE</t>
  </si>
  <si>
    <t>0003885628</t>
  </si>
  <si>
    <t>336360</t>
  </si>
  <si>
    <t>VAUGHAN, SCOTT</t>
  </si>
  <si>
    <t>002593</t>
  </si>
  <si>
    <t>Jonathon Aloff</t>
  </si>
  <si>
    <t>Paid To House</t>
  </si>
  <si>
    <t>0003176552</t>
  </si>
  <si>
    <t>MANNING, RAYMOND</t>
  </si>
  <si>
    <t>No Payout</t>
  </si>
  <si>
    <t>0003344917</t>
  </si>
  <si>
    <t>FLAKNEREUTER, SHEILA</t>
  </si>
  <si>
    <t>April 2026</t>
  </si>
  <si>
    <t>0003512335</t>
  </si>
  <si>
    <t>DEPNER, AUBREE</t>
  </si>
  <si>
    <t>0004190122</t>
  </si>
  <si>
    <t>SONTERRE, MICHELLE</t>
  </si>
  <si>
    <t>March 2026</t>
  </si>
  <si>
    <t>February 2026</t>
  </si>
  <si>
    <t>January 2026</t>
  </si>
  <si>
    <t>0004092918</t>
  </si>
  <si>
    <t>CONAT, STEPHEN</t>
  </si>
  <si>
    <t>0003922837</t>
  </si>
  <si>
    <t>FLEMING-SIEBENALER, BECKY</t>
  </si>
  <si>
    <t>0004111473</t>
  </si>
  <si>
    <t>RICHARDS, JASMINE</t>
  </si>
  <si>
    <t>0003542828</t>
  </si>
  <si>
    <t>209061</t>
  </si>
  <si>
    <t>DEAN, DYLAN</t>
  </si>
  <si>
    <t>0003682789</t>
  </si>
  <si>
    <t>JARVIS, TAMECIA</t>
  </si>
  <si>
    <t>0004284119</t>
  </si>
  <si>
    <t>GRUNHURD, SHEILA</t>
  </si>
  <si>
    <t>0004369630</t>
  </si>
  <si>
    <t>DAVIS, JILL</t>
  </si>
  <si>
    <t>002113</t>
  </si>
  <si>
    <t>William Schaeffer</t>
  </si>
  <si>
    <t>0003211518</t>
  </si>
  <si>
    <t>327590</t>
  </si>
  <si>
    <t>RYAN, MARISSA</t>
  </si>
  <si>
    <t>0004259617</t>
  </si>
  <si>
    <t>232793</t>
  </si>
  <si>
    <t>STUBBS, SHERRY</t>
  </si>
  <si>
    <t>0003558197</t>
  </si>
  <si>
    <t>STEEGE, KERRY</t>
  </si>
  <si>
    <t>0003984265</t>
  </si>
  <si>
    <t>463915</t>
  </si>
  <si>
    <t>HAYES, BERNARD</t>
  </si>
  <si>
    <t>0003935434</t>
  </si>
  <si>
    <t>304350</t>
  </si>
  <si>
    <t>SWARTZENTRUBER, 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</si>
</sst>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;[RED]\-0.00"/>
    <numFmt numFmtId="165" formatCode="\$#,##0.00;[RED]\$#,##0.00"/>
    <numFmt numFmtId="166" formatCode="MMM\-YY"/>
    <numFmt numFmtId="167" formatCode="#,##0.00;[RED]\-#,##0.00"/>
    <numFmt numFmtId="168" formatCode="m/d/yyyy"/>
  </numFmts>
  <fonts count="12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 shrinkToFit="0" vertical="bottom" wrapText="0"/>
    </xf>
    <xf borderId="10" fillId="4" fontId="3" numFmtId="1" xfId="0" applyAlignment="1" applyBorder="1" applyFont="1" applyNumberForma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11" fillId="4" fontId="3" numFmtId="0" xfId="0" applyAlignment="1" applyBorder="1" applyFont="1">
      <alignment horizontal="right" shrinkToFit="0" vertical="bottom" wrapText="0"/>
    </xf>
    <xf borderId="12" fillId="4" fontId="3" numFmtId="0" xfId="0" applyAlignment="1" applyBorder="1" applyFont="1">
      <alignment shrinkToFit="0" vertical="bottom" wrapText="0"/>
    </xf>
    <xf borderId="13" fillId="4" fontId="3" numFmtId="0" xfId="0" applyAlignment="1" applyBorder="1" applyFont="1">
      <alignment horizontal="right" shrinkToFit="0" vertical="bottom" wrapText="0"/>
    </xf>
    <xf borderId="14" fillId="4" fontId="3" numFmtId="14" xfId="0" applyAlignment="1" applyBorder="1" applyFont="1" applyNumberFormat="1">
      <alignment shrinkToFit="0" vertical="bottom" wrapText="0"/>
    </xf>
    <xf borderId="15" fillId="6" fontId="3" numFmtId="0" xfId="0" applyAlignment="1" applyBorder="1" applyFill="1" applyFont="1">
      <alignment horizontal="right" shrinkToFit="0" vertical="bottom" wrapText="0"/>
    </xf>
    <xf borderId="16" fillId="6" fontId="3" numFmtId="0" xfId="0" applyAlignment="1" applyBorder="1" applyFont="1">
      <alignment shrinkToFit="0" vertical="bottom" wrapText="0"/>
    </xf>
    <xf borderId="11" fillId="6" fontId="3" numFmtId="0" xfId="0" applyAlignment="1" applyBorder="1" applyFont="1">
      <alignment horizontal="right" shrinkToFit="0" vertical="bottom" wrapText="0"/>
    </xf>
    <xf borderId="12" fillId="6" fontId="3" numFmtId="0" xfId="0" applyAlignment="1" applyBorder="1" applyFont="1">
      <alignment shrinkToFit="0" vertical="bottom" wrapText="0"/>
    </xf>
    <xf borderId="17" fillId="6" fontId="3" numFmtId="0" xfId="0" applyAlignment="1" applyBorder="1" applyFont="1">
      <alignment horizontal="right" shrinkToFit="0" vertical="bottom" wrapText="0"/>
    </xf>
    <xf borderId="18" fillId="6" fontId="3" numFmtId="0" xfId="0" applyAlignment="1" applyBorder="1" applyFont="1">
      <alignment shrinkToFit="0" vertical="bottom" wrapText="0"/>
    </xf>
    <xf borderId="19" fillId="7" fontId="3" numFmtId="164" xfId="0" applyAlignment="1" applyBorder="1" applyFill="1" applyFont="1" applyNumberForma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shrinkToFit="0" vertical="center" wrapText="0"/>
    </xf>
    <xf borderId="22" fillId="7" fontId="3" numFmtId="164" xfId="0" applyAlignment="1" applyBorder="1" applyFont="1" applyNumberFormat="1">
      <alignment horizontal="right" shrinkToFit="0" vertical="center" wrapText="0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7" numFmtId="14" xfId="0" applyAlignment="1" applyFont="1" applyNumberFormat="1">
      <alignment horizontal="center"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1" xfId="0" applyAlignment="1" applyFont="1" applyNumberFormat="1">
      <alignment horizontal="center" shrinkToFit="0" vertical="bottom" wrapText="0"/>
    </xf>
    <xf borderId="0" fillId="0" fontId="7" numFmtId="167" xfId="0" applyAlignment="1" applyFont="1" applyNumberFormat="1">
      <alignment horizontal="right" shrinkToFit="0" vertical="bottom" wrapText="0"/>
    </xf>
    <xf borderId="0" fillId="0" fontId="9" numFmtId="167" xfId="0" applyAlignment="1" applyFont="1" applyNumberFormat="1">
      <alignment horizontal="right" shrinkToFit="0" vertical="bottom" wrapText="0"/>
    </xf>
    <xf borderId="0" fillId="0" fontId="7" numFmtId="165" xfId="0" applyAlignment="1" applyFont="1" applyNumberFormat="1">
      <alignment horizontal="right" shrinkToFit="0" vertical="center" wrapText="0"/>
    </xf>
    <xf borderId="0" fillId="0" fontId="7" numFmtId="1" xfId="0" applyAlignment="1" applyFont="1" applyNumberFormat="1">
      <alignment horizontal="right" shrinkToFit="0" vertical="bottom" wrapText="0"/>
    </xf>
    <xf borderId="0" fillId="8" fontId="0" numFmtId="0" xfId="0" applyAlignment="1" applyFill="1" applyFont="1">
      <alignment horizontal="left" readingOrder="0" shrinkToFit="0" vertical="center" wrapText="1"/>
    </xf>
    <xf borderId="0" fillId="8" fontId="0" numFmtId="168" xfId="0" applyAlignment="1" applyFont="1" applyNumberFormat="1">
      <alignment horizontal="left" readingOrder="0" shrinkToFit="0" vertical="center" wrapText="1"/>
    </xf>
    <xf borderId="0" fillId="8" fontId="0" numFmtId="0" xfId="0" applyAlignment="1" applyFont="1">
      <alignment horizontal="left" shrinkToFit="0" vertical="center" wrapText="1"/>
    </xf>
    <xf borderId="0" fillId="8" fontId="0" numFmtId="1" xfId="0" applyAlignment="1" applyFont="1" applyNumberFormat="1">
      <alignment horizontal="left" shrinkToFit="0" vertical="center" wrapText="1"/>
    </xf>
    <xf borderId="0" fillId="8" fontId="0" numFmtId="168" xfId="0" applyAlignment="1" applyFont="1" applyNumberFormat="1">
      <alignment horizontal="left" shrinkToFit="0" vertical="center" wrapText="1"/>
    </xf>
    <xf borderId="0" fillId="8" fontId="10" numFmtId="0" xfId="0" applyAlignment="1" applyFont="1">
      <alignment horizontal="left" shrinkToFit="0" vertical="center" wrapText="1"/>
    </xf>
    <xf borderId="0" fillId="8" fontId="10" numFmtId="1" xfId="0" applyAlignment="1" applyFont="1" applyNumberFormat="1">
      <alignment horizontal="left" shrinkToFit="0" vertical="center" wrapText="1"/>
    </xf>
    <xf borderId="0" fillId="8" fontId="0" numFmtId="0" xfId="0" applyAlignment="1" applyFont="1">
      <alignment horizontal="left" readingOrder="0"/>
    </xf>
    <xf borderId="0" fillId="8" fontId="0" numFmtId="168" xfId="0" applyAlignment="1" applyFont="1" applyNumberFormat="1">
      <alignment horizontal="left" readingOrder="0"/>
    </xf>
    <xf borderId="0" fillId="8" fontId="0" numFmtId="0" xfId="0" applyAlignment="1" applyFont="1">
      <alignment horizontal="left"/>
    </xf>
    <xf borderId="0" fillId="8" fontId="0" numFmtId="1" xfId="0" applyAlignment="1" applyFont="1" applyNumberFormat="1">
      <alignment horizontal="left"/>
    </xf>
    <xf borderId="0" fillId="0" fontId="7" numFmtId="1" xfId="0" applyAlignment="1" applyFont="1" applyNumberFormat="1">
      <alignment shrinkToFit="0" vertical="bottom" wrapText="0"/>
    </xf>
    <xf borderId="0" fillId="0" fontId="1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220698.0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220698.0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1643627.0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0.0</v>
      </c>
      <c r="P3" s="40">
        <v>556.32</v>
      </c>
      <c r="Q3" s="40">
        <v>556.32</v>
      </c>
      <c r="R3" s="41">
        <v>11.0</v>
      </c>
      <c r="S3" s="41">
        <v>0.0</v>
      </c>
      <c r="T3" s="41" t="s">
        <v>23</v>
      </c>
      <c r="U3" s="42" t="s">
        <v>23</v>
      </c>
    </row>
    <row r="4">
      <c r="A4" s="33">
        <v>1643692.0</v>
      </c>
      <c r="B4" s="33" t="s">
        <v>72</v>
      </c>
      <c r="C4" s="34" t="s">
        <v>73</v>
      </c>
      <c r="D4" s="35" t="s">
        <v>67</v>
      </c>
      <c r="E4" s="36" t="s">
        <v>11</v>
      </c>
      <c r="F4" s="37" t="s">
        <v>11</v>
      </c>
      <c r="G4" s="37" t="s">
        <v>68</v>
      </c>
      <c r="H4" s="38" t="s">
        <v>23</v>
      </c>
      <c r="I4" s="37" t="s">
        <v>35</v>
      </c>
      <c r="J4" s="38" t="s">
        <v>23</v>
      </c>
      <c r="K4" s="37" t="s">
        <v>74</v>
      </c>
      <c r="L4" s="37" t="s">
        <v>23</v>
      </c>
      <c r="M4" s="38" t="s">
        <v>75</v>
      </c>
      <c r="N4" s="39" t="s">
        <v>71</v>
      </c>
      <c r="O4" s="39">
        <v>0.0</v>
      </c>
      <c r="P4" s="40">
        <v>389.56</v>
      </c>
      <c r="Q4" s="40">
        <v>389.56</v>
      </c>
      <c r="R4" s="41">
        <v>11.0</v>
      </c>
      <c r="S4" s="41">
        <v>0.0</v>
      </c>
      <c r="T4" s="41" t="s">
        <v>23</v>
      </c>
      <c r="U4" s="42" t="s">
        <v>23</v>
      </c>
    </row>
    <row r="5">
      <c r="A5" s="33">
        <v>1643793.0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68</v>
      </c>
      <c r="H5" s="38" t="s">
        <v>23</v>
      </c>
      <c r="I5" s="37" t="s">
        <v>35</v>
      </c>
      <c r="J5" s="38" t="s">
        <v>23</v>
      </c>
      <c r="K5" s="37" t="s">
        <v>76</v>
      </c>
      <c r="L5" s="37" t="s">
        <v>77</v>
      </c>
      <c r="M5" s="38" t="s">
        <v>78</v>
      </c>
      <c r="N5" s="39" t="s">
        <v>71</v>
      </c>
      <c r="O5" s="39">
        <v>0.0</v>
      </c>
      <c r="P5" s="40">
        <v>1309.35</v>
      </c>
      <c r="Q5" s="40">
        <v>1309.35</v>
      </c>
      <c r="R5" s="41">
        <v>11.0</v>
      </c>
      <c r="S5" s="41">
        <v>0.0</v>
      </c>
      <c r="T5" s="41" t="s">
        <v>23</v>
      </c>
      <c r="U5" s="42" t="s">
        <v>23</v>
      </c>
    </row>
    <row r="6">
      <c r="A6" s="33">
        <v>1644064.0</v>
      </c>
      <c r="B6" s="33" t="s">
        <v>79</v>
      </c>
      <c r="C6" s="34" t="s">
        <v>80</v>
      </c>
      <c r="D6" s="35" t="s">
        <v>67</v>
      </c>
      <c r="E6" s="36" t="s">
        <v>11</v>
      </c>
      <c r="F6" s="37" t="s">
        <v>11</v>
      </c>
      <c r="G6" s="37" t="s">
        <v>81</v>
      </c>
      <c r="H6" s="38" t="s">
        <v>23</v>
      </c>
      <c r="I6" s="37" t="s">
        <v>35</v>
      </c>
      <c r="J6" s="38" t="s">
        <v>23</v>
      </c>
      <c r="K6" s="37" t="s">
        <v>82</v>
      </c>
      <c r="L6" s="37" t="s">
        <v>23</v>
      </c>
      <c r="M6" s="38" t="s">
        <v>83</v>
      </c>
      <c r="N6" s="39" t="s">
        <v>71</v>
      </c>
      <c r="O6" s="39">
        <v>0.0</v>
      </c>
      <c r="P6" s="40">
        <v>1227.24</v>
      </c>
      <c r="Q6" s="40">
        <v>1227.24</v>
      </c>
      <c r="R6" s="41">
        <v>11.0</v>
      </c>
      <c r="S6" s="41">
        <v>0.0</v>
      </c>
      <c r="T6" s="41" t="s">
        <v>23</v>
      </c>
      <c r="U6" s="42" t="s">
        <v>23</v>
      </c>
    </row>
    <row r="7">
      <c r="A7" s="33">
        <v>1644335.0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84</v>
      </c>
      <c r="H7" s="38" t="s">
        <v>23</v>
      </c>
      <c r="I7" s="37" t="s">
        <v>35</v>
      </c>
      <c r="J7" s="38" t="s">
        <v>23</v>
      </c>
      <c r="K7" s="37" t="s">
        <v>85</v>
      </c>
      <c r="L7" s="37" t="s">
        <v>23</v>
      </c>
      <c r="M7" s="38" t="s">
        <v>86</v>
      </c>
      <c r="N7" s="39" t="s">
        <v>71</v>
      </c>
      <c r="O7" s="39">
        <v>0.0</v>
      </c>
      <c r="P7" s="40">
        <v>1635.71</v>
      </c>
      <c r="Q7" s="40">
        <v>1590.0</v>
      </c>
      <c r="R7" s="41" t="s">
        <v>23</v>
      </c>
      <c r="S7" s="41" t="s">
        <v>23</v>
      </c>
      <c r="T7" s="41" t="s">
        <v>23</v>
      </c>
      <c r="U7" s="42" t="s">
        <v>23</v>
      </c>
    </row>
    <row r="8">
      <c r="A8" s="33">
        <v>1644359.0</v>
      </c>
      <c r="B8" s="33" t="s">
        <v>65</v>
      </c>
      <c r="C8" s="34" t="s">
        <v>66</v>
      </c>
      <c r="D8" s="35" t="s">
        <v>67</v>
      </c>
      <c r="E8" s="36" t="s">
        <v>87</v>
      </c>
      <c r="F8" s="37" t="s">
        <v>11</v>
      </c>
      <c r="G8" s="37" t="s">
        <v>68</v>
      </c>
      <c r="H8" s="38" t="s">
        <v>23</v>
      </c>
      <c r="I8" s="37" t="s">
        <v>35</v>
      </c>
      <c r="J8" s="38" t="s">
        <v>23</v>
      </c>
      <c r="K8" s="37" t="s">
        <v>88</v>
      </c>
      <c r="L8" s="37" t="s">
        <v>23</v>
      </c>
      <c r="M8" s="38" t="s">
        <v>89</v>
      </c>
      <c r="N8" s="39" t="s">
        <v>71</v>
      </c>
      <c r="O8" s="39">
        <v>1.0</v>
      </c>
      <c r="P8" s="40">
        <v>1810.6</v>
      </c>
      <c r="Q8" s="40">
        <v>1810.6</v>
      </c>
      <c r="R8" s="41">
        <v>28.0</v>
      </c>
      <c r="S8" s="41">
        <v>0.0</v>
      </c>
      <c r="T8" s="41" t="s">
        <v>23</v>
      </c>
      <c r="U8" s="42" t="s">
        <v>23</v>
      </c>
    </row>
    <row r="9">
      <c r="A9" s="33">
        <v>1644376.0</v>
      </c>
      <c r="B9" s="33" t="s">
        <v>65</v>
      </c>
      <c r="C9" s="34" t="s">
        <v>66</v>
      </c>
      <c r="D9" s="35" t="s">
        <v>67</v>
      </c>
      <c r="E9" s="36" t="s">
        <v>11</v>
      </c>
      <c r="F9" s="37" t="s">
        <v>11</v>
      </c>
      <c r="G9" s="37" t="s">
        <v>68</v>
      </c>
      <c r="H9" s="38" t="s">
        <v>23</v>
      </c>
      <c r="I9" s="37" t="s">
        <v>35</v>
      </c>
      <c r="J9" s="38" t="s">
        <v>23</v>
      </c>
      <c r="K9" s="37" t="s">
        <v>88</v>
      </c>
      <c r="L9" s="37" t="s">
        <v>23</v>
      </c>
      <c r="M9" s="38" t="s">
        <v>89</v>
      </c>
      <c r="N9" s="39" t="s">
        <v>71</v>
      </c>
      <c r="O9" s="39">
        <v>1.0</v>
      </c>
      <c r="P9" s="40">
        <v>1810.6</v>
      </c>
      <c r="Q9" s="40">
        <v>1810.6</v>
      </c>
      <c r="R9" s="41">
        <v>28.0</v>
      </c>
      <c r="S9" s="41">
        <v>0.0</v>
      </c>
      <c r="T9" s="41" t="s">
        <v>23</v>
      </c>
      <c r="U9" s="42" t="s">
        <v>23</v>
      </c>
    </row>
    <row r="10">
      <c r="A10" s="33">
        <v>1644940.0</v>
      </c>
      <c r="B10" s="33" t="s">
        <v>65</v>
      </c>
      <c r="C10" s="34" t="s">
        <v>66</v>
      </c>
      <c r="D10" s="35" t="s">
        <v>67</v>
      </c>
      <c r="E10" s="36" t="s">
        <v>87</v>
      </c>
      <c r="F10" s="37" t="s">
        <v>11</v>
      </c>
      <c r="G10" s="37" t="s">
        <v>68</v>
      </c>
      <c r="H10" s="38" t="s">
        <v>23</v>
      </c>
      <c r="I10" s="37" t="s">
        <v>35</v>
      </c>
      <c r="J10" s="38" t="s">
        <v>23</v>
      </c>
      <c r="K10" s="37" t="s">
        <v>90</v>
      </c>
      <c r="L10" s="37" t="s">
        <v>23</v>
      </c>
      <c r="M10" s="38" t="s">
        <v>91</v>
      </c>
      <c r="N10" s="39" t="s">
        <v>71</v>
      </c>
      <c r="O10" s="39">
        <v>0.0</v>
      </c>
      <c r="P10" s="40">
        <v>1411.85</v>
      </c>
      <c r="Q10" s="40">
        <v>1411.85</v>
      </c>
      <c r="R10" s="41">
        <v>11.0</v>
      </c>
      <c r="S10" s="41">
        <v>0.0</v>
      </c>
      <c r="T10" s="41" t="s">
        <v>23</v>
      </c>
      <c r="U10" s="42" t="s">
        <v>23</v>
      </c>
    </row>
    <row r="11">
      <c r="A11" s="33">
        <v>1644957.0</v>
      </c>
      <c r="B11" s="33" t="s">
        <v>65</v>
      </c>
      <c r="C11" s="34" t="s">
        <v>66</v>
      </c>
      <c r="D11" s="35" t="s">
        <v>67</v>
      </c>
      <c r="E11" s="36" t="s">
        <v>92</v>
      </c>
      <c r="F11" s="37" t="s">
        <v>11</v>
      </c>
      <c r="G11" s="37" t="s">
        <v>68</v>
      </c>
      <c r="H11" s="38" t="s">
        <v>23</v>
      </c>
      <c r="I11" s="37" t="s">
        <v>35</v>
      </c>
      <c r="J11" s="38" t="s">
        <v>23</v>
      </c>
      <c r="K11" s="37" t="s">
        <v>90</v>
      </c>
      <c r="L11" s="37" t="s">
        <v>23</v>
      </c>
      <c r="M11" s="38" t="s">
        <v>91</v>
      </c>
      <c r="N11" s="39" t="s">
        <v>71</v>
      </c>
      <c r="O11" s="39">
        <v>0.0</v>
      </c>
      <c r="P11" s="40">
        <v>1411.85</v>
      </c>
      <c r="Q11" s="40">
        <v>1411.85</v>
      </c>
      <c r="R11" s="41">
        <v>11.0</v>
      </c>
      <c r="S11" s="41">
        <v>0.0</v>
      </c>
      <c r="T11" s="41" t="s">
        <v>23</v>
      </c>
      <c r="U11" s="42" t="s">
        <v>23</v>
      </c>
    </row>
    <row r="12">
      <c r="A12" s="33">
        <v>1644977.0</v>
      </c>
      <c r="B12" s="33" t="s">
        <v>65</v>
      </c>
      <c r="C12" s="34" t="s">
        <v>66</v>
      </c>
      <c r="D12" s="35" t="s">
        <v>67</v>
      </c>
      <c r="E12" s="36" t="s">
        <v>93</v>
      </c>
      <c r="F12" s="37" t="s">
        <v>11</v>
      </c>
      <c r="G12" s="37" t="s">
        <v>68</v>
      </c>
      <c r="H12" s="38" t="s">
        <v>23</v>
      </c>
      <c r="I12" s="37" t="s">
        <v>35</v>
      </c>
      <c r="J12" s="38" t="s">
        <v>23</v>
      </c>
      <c r="K12" s="37" t="s">
        <v>90</v>
      </c>
      <c r="L12" s="37" t="s">
        <v>23</v>
      </c>
      <c r="M12" s="38" t="s">
        <v>91</v>
      </c>
      <c r="N12" s="39" t="s">
        <v>71</v>
      </c>
      <c r="O12" s="39">
        <v>0.0</v>
      </c>
      <c r="P12" s="40">
        <v>1411.85</v>
      </c>
      <c r="Q12" s="40">
        <v>1411.85</v>
      </c>
      <c r="R12" s="41">
        <v>11.0</v>
      </c>
      <c r="S12" s="41">
        <v>0.0</v>
      </c>
      <c r="T12" s="41" t="s">
        <v>23</v>
      </c>
      <c r="U12" s="42" t="s">
        <v>23</v>
      </c>
    </row>
    <row r="13">
      <c r="A13" s="33">
        <v>1644998.0</v>
      </c>
      <c r="B13" s="33" t="s">
        <v>65</v>
      </c>
      <c r="C13" s="34" t="s">
        <v>66</v>
      </c>
      <c r="D13" s="35" t="s">
        <v>67</v>
      </c>
      <c r="E13" s="36" t="s">
        <v>94</v>
      </c>
      <c r="F13" s="37" t="s">
        <v>11</v>
      </c>
      <c r="G13" s="37" t="s">
        <v>68</v>
      </c>
      <c r="H13" s="38" t="s">
        <v>23</v>
      </c>
      <c r="I13" s="37" t="s">
        <v>35</v>
      </c>
      <c r="J13" s="38" t="s">
        <v>23</v>
      </c>
      <c r="K13" s="37" t="s">
        <v>90</v>
      </c>
      <c r="L13" s="37" t="s">
        <v>23</v>
      </c>
      <c r="M13" s="38" t="s">
        <v>91</v>
      </c>
      <c r="N13" s="39" t="s">
        <v>71</v>
      </c>
      <c r="O13" s="39">
        <v>0.0</v>
      </c>
      <c r="P13" s="40">
        <v>1411.85</v>
      </c>
      <c r="Q13" s="40">
        <v>1411.85</v>
      </c>
      <c r="R13" s="41">
        <v>11.0</v>
      </c>
      <c r="S13" s="41">
        <v>0.0</v>
      </c>
      <c r="T13" s="41" t="s">
        <v>23</v>
      </c>
      <c r="U13" s="42" t="s">
        <v>23</v>
      </c>
    </row>
    <row r="14">
      <c r="A14" s="33">
        <v>1645906.0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68</v>
      </c>
      <c r="H14" s="38" t="s">
        <v>23</v>
      </c>
      <c r="I14" s="37" t="s">
        <v>35</v>
      </c>
      <c r="J14" s="38" t="s">
        <v>23</v>
      </c>
      <c r="K14" s="37" t="s">
        <v>95</v>
      </c>
      <c r="L14" s="37" t="s">
        <v>23</v>
      </c>
      <c r="M14" s="38" t="s">
        <v>96</v>
      </c>
      <c r="N14" s="39" t="s">
        <v>71</v>
      </c>
      <c r="O14" s="39">
        <v>0.0</v>
      </c>
      <c r="P14" s="40">
        <v>1662.3</v>
      </c>
      <c r="Q14" s="40">
        <v>1662.3</v>
      </c>
      <c r="R14" s="41">
        <v>11.0</v>
      </c>
      <c r="S14" s="41">
        <v>0.0</v>
      </c>
      <c r="T14" s="41" t="s">
        <v>23</v>
      </c>
      <c r="U14" s="42" t="s">
        <v>23</v>
      </c>
    </row>
    <row r="15">
      <c r="A15" s="33">
        <v>1647053.0</v>
      </c>
      <c r="B15" s="33" t="s">
        <v>65</v>
      </c>
      <c r="C15" s="34" t="s">
        <v>66</v>
      </c>
      <c r="D15" s="35" t="s">
        <v>67</v>
      </c>
      <c r="E15" s="36" t="s">
        <v>11</v>
      </c>
      <c r="F15" s="37" t="s">
        <v>11</v>
      </c>
      <c r="G15" s="37" t="s">
        <v>68</v>
      </c>
      <c r="H15" s="38" t="s">
        <v>23</v>
      </c>
      <c r="I15" s="37" t="s">
        <v>35</v>
      </c>
      <c r="J15" s="38" t="s">
        <v>23</v>
      </c>
      <c r="K15" s="37" t="s">
        <v>97</v>
      </c>
      <c r="L15" s="37" t="s">
        <v>23</v>
      </c>
      <c r="M15" s="38" t="s">
        <v>98</v>
      </c>
      <c r="N15" s="39" t="s">
        <v>71</v>
      </c>
      <c r="O15" s="39">
        <v>0.0</v>
      </c>
      <c r="P15" s="40">
        <v>1557.03</v>
      </c>
      <c r="Q15" s="40">
        <v>1557.03</v>
      </c>
      <c r="R15" s="41">
        <v>11.0</v>
      </c>
      <c r="S15" s="41">
        <v>0.0</v>
      </c>
      <c r="T15" s="41" t="s">
        <v>23</v>
      </c>
      <c r="U15" s="42" t="s">
        <v>23</v>
      </c>
    </row>
    <row r="16">
      <c r="A16" s="33">
        <v>1647162.0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99</v>
      </c>
      <c r="L16" s="37" t="s">
        <v>23</v>
      </c>
      <c r="M16" s="38" t="s">
        <v>100</v>
      </c>
      <c r="N16" s="39" t="s">
        <v>71</v>
      </c>
      <c r="O16" s="39">
        <v>0.0</v>
      </c>
      <c r="P16" s="40">
        <v>631.14</v>
      </c>
      <c r="Q16" s="40">
        <v>631.14</v>
      </c>
      <c r="R16" s="41">
        <v>11.0</v>
      </c>
      <c r="S16" s="41">
        <v>0.0</v>
      </c>
      <c r="T16" s="41" t="s">
        <v>23</v>
      </c>
      <c r="U16" s="42" t="s">
        <v>23</v>
      </c>
    </row>
    <row r="17">
      <c r="A17" s="33">
        <v>1648259.0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101</v>
      </c>
      <c r="L17" s="37" t="s">
        <v>102</v>
      </c>
      <c r="M17" s="38" t="s">
        <v>103</v>
      </c>
      <c r="N17" s="39" t="s">
        <v>71</v>
      </c>
      <c r="O17" s="39">
        <v>0.0</v>
      </c>
      <c r="P17" s="40">
        <v>566.54</v>
      </c>
      <c r="Q17" s="40">
        <v>566.54</v>
      </c>
      <c r="R17" s="41">
        <v>11.0</v>
      </c>
      <c r="S17" s="41">
        <v>0.0</v>
      </c>
      <c r="T17" s="41" t="s">
        <v>23</v>
      </c>
      <c r="U17" s="42" t="s">
        <v>23</v>
      </c>
    </row>
    <row r="18">
      <c r="A18" s="33">
        <v>1648305.0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68</v>
      </c>
      <c r="H18" s="38" t="s">
        <v>23</v>
      </c>
      <c r="I18" s="37" t="s">
        <v>35</v>
      </c>
      <c r="J18" s="38" t="s">
        <v>23</v>
      </c>
      <c r="K18" s="37" t="s">
        <v>104</v>
      </c>
      <c r="L18" s="37" t="s">
        <v>23</v>
      </c>
      <c r="M18" s="38" t="s">
        <v>105</v>
      </c>
      <c r="N18" s="39" t="s">
        <v>71</v>
      </c>
      <c r="O18" s="39">
        <v>3.0</v>
      </c>
      <c r="P18" s="40">
        <v>3164.48</v>
      </c>
      <c r="Q18" s="40">
        <v>3164.48</v>
      </c>
      <c r="R18" s="41">
        <v>40.0</v>
      </c>
      <c r="S18" s="41">
        <v>0.0</v>
      </c>
      <c r="T18" s="41" t="s">
        <v>23</v>
      </c>
      <c r="U18" s="42" t="s">
        <v>23</v>
      </c>
    </row>
    <row r="19">
      <c r="A19" s="33">
        <v>1648444.0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68</v>
      </c>
      <c r="H19" s="38" t="s">
        <v>23</v>
      </c>
      <c r="I19" s="37" t="s">
        <v>35</v>
      </c>
      <c r="J19" s="38" t="s">
        <v>23</v>
      </c>
      <c r="K19" s="37" t="s">
        <v>106</v>
      </c>
      <c r="L19" s="37" t="s">
        <v>23</v>
      </c>
      <c r="M19" s="38" t="s">
        <v>107</v>
      </c>
      <c r="N19" s="39" t="s">
        <v>71</v>
      </c>
      <c r="O19" s="39">
        <v>0.0</v>
      </c>
      <c r="P19" s="40">
        <v>2574.84</v>
      </c>
      <c r="Q19" s="40">
        <v>2574.84</v>
      </c>
      <c r="R19" s="41">
        <v>22.0</v>
      </c>
      <c r="S19" s="41">
        <v>0.0</v>
      </c>
      <c r="T19" s="41" t="s">
        <v>23</v>
      </c>
      <c r="U19" s="42" t="s">
        <v>23</v>
      </c>
    </row>
    <row r="20">
      <c r="A20" s="33">
        <v>1648602.0</v>
      </c>
      <c r="B20" s="33" t="s">
        <v>65</v>
      </c>
      <c r="C20" s="34" t="s">
        <v>66</v>
      </c>
      <c r="D20" s="35" t="s">
        <v>67</v>
      </c>
      <c r="E20" s="36" t="s">
        <v>11</v>
      </c>
      <c r="F20" s="37" t="s">
        <v>11</v>
      </c>
      <c r="G20" s="37" t="s">
        <v>68</v>
      </c>
      <c r="H20" s="38" t="s">
        <v>23</v>
      </c>
      <c r="I20" s="37" t="s">
        <v>35</v>
      </c>
      <c r="J20" s="38" t="s">
        <v>23</v>
      </c>
      <c r="K20" s="37" t="s">
        <v>90</v>
      </c>
      <c r="L20" s="37" t="s">
        <v>23</v>
      </c>
      <c r="M20" s="38" t="s">
        <v>91</v>
      </c>
      <c r="N20" s="39" t="s">
        <v>71</v>
      </c>
      <c r="O20" s="39">
        <v>0.0</v>
      </c>
      <c r="P20" s="40">
        <v>1411.85</v>
      </c>
      <c r="Q20" s="40">
        <v>1411.85</v>
      </c>
      <c r="R20" s="41">
        <v>11.0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1648843.0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84</v>
      </c>
      <c r="H21" s="38" t="s">
        <v>23</v>
      </c>
      <c r="I21" s="37" t="s">
        <v>35</v>
      </c>
      <c r="J21" s="38" t="s">
        <v>23</v>
      </c>
      <c r="K21" s="37" t="s">
        <v>108</v>
      </c>
      <c r="L21" s="37" t="s">
        <v>23</v>
      </c>
      <c r="M21" s="38" t="s">
        <v>109</v>
      </c>
      <c r="N21" s="39" t="s">
        <v>71</v>
      </c>
      <c r="O21" s="39">
        <v>0.0</v>
      </c>
      <c r="P21" s="40">
        <v>1557.03</v>
      </c>
      <c r="Q21" s="40">
        <v>1541.0</v>
      </c>
      <c r="R21" s="41" t="s">
        <v>23</v>
      </c>
      <c r="S21" s="41" t="s">
        <v>23</v>
      </c>
      <c r="T21" s="41" t="s">
        <v>23</v>
      </c>
      <c r="U21" s="42" t="s">
        <v>23</v>
      </c>
    </row>
    <row r="22" ht="15.75" customHeight="1">
      <c r="A22" s="33">
        <v>1648971.0</v>
      </c>
      <c r="B22" s="33" t="s">
        <v>110</v>
      </c>
      <c r="C22" s="34" t="s">
        <v>111</v>
      </c>
      <c r="D22" s="35" t="s">
        <v>67</v>
      </c>
      <c r="E22" s="36" t="s">
        <v>11</v>
      </c>
      <c r="F22" s="37" t="s">
        <v>11</v>
      </c>
      <c r="G22" s="37" t="s">
        <v>84</v>
      </c>
      <c r="H22" s="38" t="s">
        <v>23</v>
      </c>
      <c r="I22" s="37" t="s">
        <v>35</v>
      </c>
      <c r="J22" s="38" t="s">
        <v>23</v>
      </c>
      <c r="K22" s="37" t="s">
        <v>112</v>
      </c>
      <c r="L22" s="37" t="s">
        <v>113</v>
      </c>
      <c r="M22" s="38" t="s">
        <v>114</v>
      </c>
      <c r="N22" s="39" t="s">
        <v>71</v>
      </c>
      <c r="O22" s="39">
        <v>0.0</v>
      </c>
      <c r="P22" s="40">
        <v>881.71</v>
      </c>
      <c r="Q22" s="40">
        <v>663.0</v>
      </c>
      <c r="R22" s="41" t="s">
        <v>23</v>
      </c>
      <c r="S22" s="41" t="s">
        <v>23</v>
      </c>
      <c r="T22" s="41" t="s">
        <v>23</v>
      </c>
      <c r="U22" s="42" t="s">
        <v>23</v>
      </c>
    </row>
    <row r="23" ht="15.75" customHeight="1">
      <c r="A23" s="33">
        <v>1648996.0</v>
      </c>
      <c r="B23" s="33" t="s">
        <v>65</v>
      </c>
      <c r="C23" s="34" t="s">
        <v>66</v>
      </c>
      <c r="D23" s="35" t="s">
        <v>67</v>
      </c>
      <c r="E23" s="36" t="s">
        <v>11</v>
      </c>
      <c r="F23" s="37" t="s">
        <v>11</v>
      </c>
      <c r="G23" s="37" t="s">
        <v>68</v>
      </c>
      <c r="H23" s="38" t="s">
        <v>23</v>
      </c>
      <c r="I23" s="37" t="s">
        <v>35</v>
      </c>
      <c r="J23" s="38" t="s">
        <v>23</v>
      </c>
      <c r="K23" s="37" t="s">
        <v>115</v>
      </c>
      <c r="L23" s="37" t="s">
        <v>116</v>
      </c>
      <c r="M23" s="38" t="s">
        <v>117</v>
      </c>
      <c r="N23" s="39" t="s">
        <v>71</v>
      </c>
      <c r="O23" s="39">
        <v>0.0</v>
      </c>
      <c r="P23" s="40">
        <v>1635.71</v>
      </c>
      <c r="Q23" s="40">
        <v>1635.71</v>
      </c>
      <c r="R23" s="41">
        <v>11.0</v>
      </c>
      <c r="S23" s="41">
        <v>0.0</v>
      </c>
      <c r="T23" s="41" t="s">
        <v>23</v>
      </c>
      <c r="U23" s="42" t="s">
        <v>23</v>
      </c>
    </row>
    <row r="24" ht="15.75" customHeight="1">
      <c r="A24" s="33">
        <v>1649987.0</v>
      </c>
      <c r="B24" s="33" t="s">
        <v>65</v>
      </c>
      <c r="C24" s="34" t="s">
        <v>66</v>
      </c>
      <c r="D24" s="35" t="s">
        <v>67</v>
      </c>
      <c r="E24" s="36" t="s">
        <v>11</v>
      </c>
      <c r="F24" s="37" t="s">
        <v>11</v>
      </c>
      <c r="G24" s="37" t="s">
        <v>68</v>
      </c>
      <c r="H24" s="38" t="s">
        <v>23</v>
      </c>
      <c r="I24" s="37" t="s">
        <v>35</v>
      </c>
      <c r="J24" s="38" t="s">
        <v>23</v>
      </c>
      <c r="K24" s="37" t="s">
        <v>118</v>
      </c>
      <c r="L24" s="37" t="s">
        <v>23</v>
      </c>
      <c r="M24" s="38" t="s">
        <v>119</v>
      </c>
      <c r="N24" s="39" t="s">
        <v>71</v>
      </c>
      <c r="O24" s="39">
        <v>0.0</v>
      </c>
      <c r="P24" s="40">
        <v>2216.41</v>
      </c>
      <c r="Q24" s="40">
        <v>2216.41</v>
      </c>
      <c r="R24" s="41">
        <v>22.0</v>
      </c>
      <c r="S24" s="41">
        <v>0.0</v>
      </c>
      <c r="T24" s="41" t="s">
        <v>23</v>
      </c>
      <c r="U24" s="42" t="s">
        <v>23</v>
      </c>
    </row>
    <row r="25" ht="15.75" customHeight="1">
      <c r="A25" s="33">
        <v>1650195.0</v>
      </c>
      <c r="B25" s="33" t="s">
        <v>65</v>
      </c>
      <c r="C25" s="34" t="s">
        <v>66</v>
      </c>
      <c r="D25" s="35" t="s">
        <v>67</v>
      </c>
      <c r="E25" s="36" t="s">
        <v>11</v>
      </c>
      <c r="F25" s="37" t="s">
        <v>11</v>
      </c>
      <c r="G25" s="37" t="s">
        <v>68</v>
      </c>
      <c r="H25" s="38" t="s">
        <v>23</v>
      </c>
      <c r="I25" s="37" t="s">
        <v>35</v>
      </c>
      <c r="J25" s="38" t="s">
        <v>23</v>
      </c>
      <c r="K25" s="37" t="s">
        <v>120</v>
      </c>
      <c r="L25" s="37" t="s">
        <v>121</v>
      </c>
      <c r="M25" s="38" t="s">
        <v>122</v>
      </c>
      <c r="N25" s="39" t="s">
        <v>71</v>
      </c>
      <c r="O25" s="39">
        <v>0.0</v>
      </c>
      <c r="P25" s="40">
        <v>1212.89</v>
      </c>
      <c r="Q25" s="40">
        <v>1212.89</v>
      </c>
      <c r="R25" s="41">
        <v>11.0</v>
      </c>
      <c r="S25" s="41">
        <v>0.0</v>
      </c>
      <c r="T25" s="41" t="s">
        <v>23</v>
      </c>
      <c r="U25" s="42" t="s">
        <v>23</v>
      </c>
    </row>
    <row r="26" ht="15.75" customHeight="1">
      <c r="A26" s="33">
        <v>1650218.0</v>
      </c>
      <c r="B26" s="33" t="s">
        <v>65</v>
      </c>
      <c r="C26" s="34" t="s">
        <v>66</v>
      </c>
      <c r="D26" s="35" t="s">
        <v>67</v>
      </c>
      <c r="E26" s="36" t="s">
        <v>11</v>
      </c>
      <c r="F26" s="37" t="s">
        <v>11</v>
      </c>
      <c r="G26" s="37" t="s">
        <v>68</v>
      </c>
      <c r="H26" s="38" t="s">
        <v>23</v>
      </c>
      <c r="I26" s="37" t="s">
        <v>35</v>
      </c>
      <c r="J26" s="38" t="s">
        <v>23</v>
      </c>
      <c r="K26" s="37" t="s">
        <v>123</v>
      </c>
      <c r="L26" s="37" t="s">
        <v>124</v>
      </c>
      <c r="M26" s="38" t="s">
        <v>125</v>
      </c>
      <c r="N26" s="39" t="s">
        <v>71</v>
      </c>
      <c r="O26" s="39">
        <v>0.0</v>
      </c>
      <c r="P26" s="40">
        <v>3324.6</v>
      </c>
      <c r="Q26" s="40">
        <v>3324.6</v>
      </c>
      <c r="R26" s="41">
        <v>22.0</v>
      </c>
      <c r="S26" s="41">
        <v>0.0</v>
      </c>
      <c r="T26" s="41" t="s">
        <v>23</v>
      </c>
      <c r="U26" s="42" t="s">
        <v>23</v>
      </c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0.14"/>
    <col customWidth="1" min="3" max="4" width="8.57"/>
    <col customWidth="1" min="5" max="5" width="11.29"/>
    <col customWidth="1" min="6" max="6" width="8.57"/>
    <col customWidth="1" min="7" max="26" width="8.71"/>
  </cols>
  <sheetData>
    <row r="1" ht="26.25" customHeight="1">
      <c r="A1" s="44">
        <v>3344917.0</v>
      </c>
      <c r="B1" s="45">
        <v>45658.0</v>
      </c>
      <c r="C1" s="46"/>
      <c r="D1" s="47">
        <v>4237585.0</v>
      </c>
      <c r="E1" s="48">
        <f t="shared" ref="E1:E6" si="1">vlookup(D1,A:B,2,false)</f>
        <v>45658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29.25" customHeight="1">
      <c r="A2" s="44">
        <v>3512335.0</v>
      </c>
      <c r="B2" s="45">
        <v>45658.0</v>
      </c>
      <c r="C2" s="49"/>
      <c r="D2" s="50">
        <v>4319397.0</v>
      </c>
      <c r="E2" s="46" t="str">
        <f t="shared" si="1"/>
        <v>#N/A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>
        <v>3542828.0</v>
      </c>
      <c r="B3" s="52">
        <v>45658.0</v>
      </c>
      <c r="C3" s="53"/>
      <c r="D3" s="54">
        <v>3885628.0</v>
      </c>
      <c r="E3" s="48">
        <f t="shared" si="1"/>
        <v>45658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1">
        <v>3558197.0</v>
      </c>
      <c r="B4" s="52">
        <v>45658.0</v>
      </c>
      <c r="C4" s="53"/>
      <c r="D4" s="54">
        <v>3176552.0</v>
      </c>
      <c r="E4" s="48">
        <f t="shared" si="1"/>
        <v>45658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1">
        <v>3682789.0</v>
      </c>
      <c r="B5" s="52">
        <v>45839.0</v>
      </c>
      <c r="C5" s="53"/>
      <c r="D5" s="54">
        <v>3512335.0</v>
      </c>
      <c r="E5" s="48">
        <f t="shared" si="1"/>
        <v>45658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1">
        <v>3885628.0</v>
      </c>
      <c r="B6" s="52">
        <v>45658.0</v>
      </c>
      <c r="C6" s="53"/>
      <c r="D6" s="54">
        <v>3512335.0</v>
      </c>
      <c r="E6" s="48">
        <f t="shared" si="1"/>
        <v>45658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1">
        <v>3922837.0</v>
      </c>
      <c r="B7" s="52">
        <v>45658.0</v>
      </c>
      <c r="C7" s="53"/>
      <c r="D7" s="54">
        <v>4190122.0</v>
      </c>
      <c r="E7" s="48">
        <v>45658.0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1">
        <v>3935434.0</v>
      </c>
      <c r="B8" s="52">
        <v>45658.0</v>
      </c>
      <c r="C8" s="53"/>
      <c r="D8" s="54">
        <v>4190122.0</v>
      </c>
      <c r="E8" s="48">
        <v>45658.0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1">
        <v>3984265.0</v>
      </c>
      <c r="B9" s="52">
        <v>45658.0</v>
      </c>
      <c r="C9" s="53"/>
      <c r="D9" s="54">
        <v>4190122.0</v>
      </c>
      <c r="E9" s="48">
        <v>45658.0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1">
        <v>4092918.0</v>
      </c>
      <c r="B10" s="52">
        <v>46082.0</v>
      </c>
      <c r="C10" s="53"/>
      <c r="D10" s="54">
        <v>4190122.0</v>
      </c>
      <c r="E10" s="48">
        <v>45658.0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1">
        <v>4111473.0</v>
      </c>
      <c r="B11" s="52">
        <v>45658.0</v>
      </c>
      <c r="C11" s="53"/>
      <c r="D11" s="54">
        <v>4092918.0</v>
      </c>
      <c r="E11" s="48">
        <f t="shared" ref="E11:E16" si="2">vlookup(D11,A:B,2,false)</f>
        <v>46082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1">
        <v>4206057.0</v>
      </c>
      <c r="B12" s="52">
        <v>45658.0</v>
      </c>
      <c r="C12" s="53"/>
      <c r="D12" s="54">
        <v>3922837.0</v>
      </c>
      <c r="E12" s="48">
        <f t="shared" si="2"/>
        <v>45658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1">
        <v>4237585.0</v>
      </c>
      <c r="B13" s="52">
        <v>45658.0</v>
      </c>
      <c r="C13" s="53"/>
      <c r="D13" s="54">
        <v>4111473.0</v>
      </c>
      <c r="E13" s="48">
        <f t="shared" si="2"/>
        <v>45658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1">
        <v>4237585.0</v>
      </c>
      <c r="B14" s="52">
        <v>45658.0</v>
      </c>
      <c r="C14" s="53"/>
      <c r="D14" s="54">
        <v>3542828.0</v>
      </c>
      <c r="E14" s="48">
        <f t="shared" si="2"/>
        <v>45658</v>
      </c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1">
        <v>4259617.0</v>
      </c>
      <c r="B15" s="52">
        <v>46082.0</v>
      </c>
      <c r="C15" s="53"/>
      <c r="D15" s="54">
        <v>3682789.0</v>
      </c>
      <c r="E15" s="48">
        <f t="shared" si="2"/>
        <v>45839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1">
        <v>4284119.0</v>
      </c>
      <c r="B16" s="52">
        <v>45658.0</v>
      </c>
      <c r="C16" s="53"/>
      <c r="D16" s="54">
        <v>4284119.0</v>
      </c>
      <c r="E16" s="48">
        <f t="shared" si="2"/>
        <v>45658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1">
        <v>4369630.0</v>
      </c>
      <c r="B17" s="52">
        <v>46023.0</v>
      </c>
      <c r="C17" s="53"/>
      <c r="D17" s="54">
        <v>4190122.0</v>
      </c>
      <c r="E17" s="48">
        <v>45658.0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1">
        <v>3.5123351E7</v>
      </c>
      <c r="B18" s="52">
        <v>45658.0</v>
      </c>
      <c r="C18" s="53"/>
      <c r="D18" s="54">
        <v>4259617.0</v>
      </c>
      <c r="E18" s="48">
        <f t="shared" ref="E18:E21" si="3">vlookup(D18,A:B,2,false)</f>
        <v>46082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1">
        <v>3.6827891E7</v>
      </c>
      <c r="B19" s="52">
        <v>45839.0</v>
      </c>
      <c r="C19" s="53"/>
      <c r="D19" s="54">
        <v>3558197.0</v>
      </c>
      <c r="E19" s="48">
        <f t="shared" si="3"/>
        <v>45658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1">
        <v>3176552.0</v>
      </c>
      <c r="B20" s="52">
        <v>45658.0</v>
      </c>
      <c r="C20" s="53"/>
      <c r="D20" s="54">
        <v>3984265.0</v>
      </c>
      <c r="E20" s="48">
        <f t="shared" si="3"/>
        <v>45658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5.75" customHeight="1">
      <c r="A21" s="51">
        <v>3211518.0</v>
      </c>
      <c r="B21" s="52">
        <v>45627.0</v>
      </c>
      <c r="C21" s="53"/>
      <c r="D21" s="54">
        <v>3935434.0</v>
      </c>
      <c r="E21" s="48">
        <f t="shared" si="3"/>
        <v>45658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3" width="26.29"/>
    <col customWidth="1" min="4" max="4" width="6.29"/>
    <col customWidth="1" min="5" max="5" width="8.57"/>
    <col customWidth="1" min="6" max="6" width="11.43"/>
  </cols>
  <sheetData>
    <row r="1">
      <c r="A1" s="29" t="s">
        <v>46</v>
      </c>
      <c r="B1" s="30" t="s">
        <v>54</v>
      </c>
      <c r="C1" s="29" t="s">
        <v>56</v>
      </c>
      <c r="D1" s="30" t="s">
        <v>58</v>
      </c>
      <c r="E1" s="31" t="s">
        <v>60</v>
      </c>
      <c r="F1" s="31" t="s">
        <v>61</v>
      </c>
    </row>
    <row r="2">
      <c r="A2" s="34" t="s">
        <v>66</v>
      </c>
      <c r="B2" s="55">
        <v>4237585.0</v>
      </c>
      <c r="C2" s="38" t="s">
        <v>70</v>
      </c>
      <c r="D2" s="39">
        <v>0.0</v>
      </c>
      <c r="E2" s="40">
        <v>556.32</v>
      </c>
      <c r="F2" s="41">
        <v>11.0</v>
      </c>
    </row>
    <row r="3">
      <c r="A3" s="34" t="s">
        <v>73</v>
      </c>
      <c r="B3" s="55">
        <v>4319397.0</v>
      </c>
      <c r="C3" s="38" t="s">
        <v>75</v>
      </c>
      <c r="D3" s="39">
        <v>0.0</v>
      </c>
      <c r="E3" s="40">
        <v>389.56</v>
      </c>
      <c r="F3" s="41">
        <v>11.0</v>
      </c>
    </row>
    <row r="4">
      <c r="A4" s="34" t="s">
        <v>66</v>
      </c>
      <c r="B4" s="55">
        <v>3885628.0</v>
      </c>
      <c r="C4" s="38" t="s">
        <v>78</v>
      </c>
      <c r="D4" s="39">
        <v>0.0</v>
      </c>
      <c r="E4" s="40">
        <v>1309.35</v>
      </c>
      <c r="F4" s="41">
        <v>11.0</v>
      </c>
    </row>
    <row r="5">
      <c r="A5" s="34" t="s">
        <v>80</v>
      </c>
      <c r="B5" s="55">
        <v>3176552.0</v>
      </c>
      <c r="C5" s="38" t="s">
        <v>83</v>
      </c>
      <c r="D5" s="39">
        <v>0.0</v>
      </c>
      <c r="E5" s="40">
        <v>1227.24</v>
      </c>
      <c r="F5" s="41">
        <v>11.0</v>
      </c>
    </row>
    <row r="6">
      <c r="A6" s="34" t="s">
        <v>66</v>
      </c>
      <c r="B6" s="55">
        <v>3512335.0</v>
      </c>
      <c r="C6" s="38" t="s">
        <v>89</v>
      </c>
      <c r="D6" s="39">
        <v>1.0</v>
      </c>
      <c r="E6" s="40">
        <v>1810.6</v>
      </c>
      <c r="F6" s="41">
        <v>28.0</v>
      </c>
    </row>
    <row r="7">
      <c r="A7" s="34" t="s">
        <v>66</v>
      </c>
      <c r="B7" s="55">
        <v>3512335.0</v>
      </c>
      <c r="C7" s="38" t="s">
        <v>89</v>
      </c>
      <c r="D7" s="39">
        <v>1.0</v>
      </c>
      <c r="E7" s="40">
        <v>1810.6</v>
      </c>
      <c r="F7" s="41">
        <v>28.0</v>
      </c>
    </row>
    <row r="8">
      <c r="A8" s="34" t="s">
        <v>66</v>
      </c>
      <c r="B8" s="55">
        <v>4190122.0</v>
      </c>
      <c r="C8" s="38" t="s">
        <v>91</v>
      </c>
      <c r="D8" s="39">
        <v>0.0</v>
      </c>
      <c r="E8" s="40">
        <v>1411.85</v>
      </c>
      <c r="F8" s="41">
        <v>11.0</v>
      </c>
    </row>
    <row r="9">
      <c r="A9" s="34" t="s">
        <v>66</v>
      </c>
      <c r="B9" s="55">
        <v>4190122.0</v>
      </c>
      <c r="C9" s="38" t="s">
        <v>91</v>
      </c>
      <c r="D9" s="39">
        <v>0.0</v>
      </c>
      <c r="E9" s="40">
        <v>1411.85</v>
      </c>
      <c r="F9" s="41">
        <v>11.0</v>
      </c>
    </row>
    <row r="10">
      <c r="A10" s="34" t="s">
        <v>66</v>
      </c>
      <c r="B10" s="55">
        <v>4190122.0</v>
      </c>
      <c r="C10" s="38" t="s">
        <v>91</v>
      </c>
      <c r="D10" s="39">
        <v>0.0</v>
      </c>
      <c r="E10" s="40">
        <v>1411.85</v>
      </c>
      <c r="F10" s="41">
        <v>11.0</v>
      </c>
    </row>
    <row r="11">
      <c r="A11" s="34" t="s">
        <v>66</v>
      </c>
      <c r="B11" s="55">
        <v>4190122.0</v>
      </c>
      <c r="C11" s="38" t="s">
        <v>91</v>
      </c>
      <c r="D11" s="39">
        <v>0.0</v>
      </c>
      <c r="E11" s="40">
        <v>1411.85</v>
      </c>
      <c r="F11" s="41">
        <v>11.0</v>
      </c>
    </row>
    <row r="12">
      <c r="A12" s="34" t="s">
        <v>66</v>
      </c>
      <c r="B12" s="55">
        <v>4092918.0</v>
      </c>
      <c r="C12" s="38" t="s">
        <v>96</v>
      </c>
      <c r="D12" s="39">
        <v>0.0</v>
      </c>
      <c r="E12" s="40">
        <v>1662.3</v>
      </c>
      <c r="F12" s="41">
        <v>11.0</v>
      </c>
    </row>
    <row r="13">
      <c r="A13" s="34" t="s">
        <v>66</v>
      </c>
      <c r="B13" s="55">
        <v>3922837.0</v>
      </c>
      <c r="C13" s="38" t="s">
        <v>98</v>
      </c>
      <c r="D13" s="39">
        <v>0.0</v>
      </c>
      <c r="E13" s="40">
        <v>1557.03</v>
      </c>
      <c r="F13" s="41">
        <v>11.0</v>
      </c>
    </row>
    <row r="14">
      <c r="A14" s="34" t="s">
        <v>66</v>
      </c>
      <c r="B14" s="55">
        <v>4111473.0</v>
      </c>
      <c r="C14" s="38" t="s">
        <v>100</v>
      </c>
      <c r="D14" s="39">
        <v>0.0</v>
      </c>
      <c r="E14" s="40">
        <v>631.14</v>
      </c>
      <c r="F14" s="41">
        <v>11.0</v>
      </c>
    </row>
    <row r="15">
      <c r="A15" s="34" t="s">
        <v>66</v>
      </c>
      <c r="B15" s="55">
        <v>3542828.0</v>
      </c>
      <c r="C15" s="38" t="s">
        <v>103</v>
      </c>
      <c r="D15" s="39">
        <v>0.0</v>
      </c>
      <c r="E15" s="40">
        <v>566.54</v>
      </c>
      <c r="F15" s="41">
        <v>11.0</v>
      </c>
    </row>
    <row r="16">
      <c r="A16" s="34" t="s">
        <v>66</v>
      </c>
      <c r="B16" s="55">
        <v>3682789.0</v>
      </c>
      <c r="C16" s="38" t="s">
        <v>105</v>
      </c>
      <c r="D16" s="39">
        <v>3.0</v>
      </c>
      <c r="E16" s="40">
        <v>3164.48</v>
      </c>
      <c r="F16" s="41">
        <v>40.0</v>
      </c>
    </row>
    <row r="17">
      <c r="A17" s="34" t="s">
        <v>66</v>
      </c>
      <c r="B17" s="55">
        <v>4284119.0</v>
      </c>
      <c r="C17" s="38" t="s">
        <v>107</v>
      </c>
      <c r="D17" s="39">
        <v>0.0</v>
      </c>
      <c r="E17" s="40">
        <v>2574.84</v>
      </c>
      <c r="F17" s="41">
        <v>22.0</v>
      </c>
    </row>
    <row r="18">
      <c r="A18" s="34" t="s">
        <v>66</v>
      </c>
      <c r="B18" s="55">
        <v>4190122.0</v>
      </c>
      <c r="C18" s="38" t="s">
        <v>91</v>
      </c>
      <c r="D18" s="39">
        <v>0.0</v>
      </c>
      <c r="E18" s="40">
        <v>1411.85</v>
      </c>
      <c r="F18" s="41">
        <v>11.0</v>
      </c>
    </row>
    <row r="19">
      <c r="A19" s="34" t="s">
        <v>66</v>
      </c>
      <c r="B19" s="55">
        <v>4259617.0</v>
      </c>
      <c r="C19" s="38" t="s">
        <v>117</v>
      </c>
      <c r="D19" s="39">
        <v>0.0</v>
      </c>
      <c r="E19" s="40">
        <v>1635.71</v>
      </c>
      <c r="F19" s="41">
        <v>11.0</v>
      </c>
    </row>
    <row r="20">
      <c r="A20" s="34" t="s">
        <v>66</v>
      </c>
      <c r="B20" s="55">
        <v>3558197.0</v>
      </c>
      <c r="C20" s="38" t="s">
        <v>119</v>
      </c>
      <c r="D20" s="39">
        <v>0.0</v>
      </c>
      <c r="E20" s="40">
        <v>2216.41</v>
      </c>
      <c r="F20" s="41">
        <v>22.0</v>
      </c>
    </row>
    <row r="21">
      <c r="A21" s="34" t="s">
        <v>66</v>
      </c>
      <c r="B21" s="55">
        <v>3984265.0</v>
      </c>
      <c r="C21" s="38" t="s">
        <v>122</v>
      </c>
      <c r="D21" s="39">
        <v>0.0</v>
      </c>
      <c r="E21" s="40">
        <v>1212.89</v>
      </c>
      <c r="F21" s="41">
        <v>11.0</v>
      </c>
    </row>
    <row r="22">
      <c r="A22" s="34" t="s">
        <v>66</v>
      </c>
      <c r="B22" s="55">
        <v>3935434.0</v>
      </c>
      <c r="C22" s="38" t="s">
        <v>125</v>
      </c>
      <c r="D22" s="39">
        <v>0.0</v>
      </c>
      <c r="E22" s="40">
        <v>3324.6</v>
      </c>
      <c r="F22" s="41">
        <v>22.0</v>
      </c>
    </row>
    <row r="23">
      <c r="B23" s="56"/>
    </row>
    <row r="24">
      <c r="B24" s="56"/>
    </row>
    <row r="25">
      <c r="B25" s="56"/>
    </row>
    <row r="26">
      <c r="B26" s="56"/>
    </row>
    <row r="27">
      <c r="B27" s="56"/>
    </row>
    <row r="28">
      <c r="B28" s="56"/>
    </row>
    <row r="29">
      <c r="B29" s="56"/>
    </row>
    <row r="30">
      <c r="B30" s="56"/>
    </row>
    <row r="31">
      <c r="B31" s="56"/>
    </row>
    <row r="32">
      <c r="B32" s="56"/>
    </row>
    <row r="33">
      <c r="B33" s="56"/>
    </row>
    <row r="34">
      <c r="B34" s="56"/>
    </row>
    <row r="35">
      <c r="B35" s="56"/>
    </row>
    <row r="36">
      <c r="B36" s="56"/>
    </row>
    <row r="37">
      <c r="B37" s="56"/>
    </row>
    <row r="38">
      <c r="B38" s="56"/>
    </row>
    <row r="39">
      <c r="B39" s="56"/>
    </row>
    <row r="40">
      <c r="B40" s="56"/>
    </row>
    <row r="41">
      <c r="B41" s="56"/>
    </row>
    <row r="42">
      <c r="B42" s="56"/>
    </row>
    <row r="43">
      <c r="B43" s="56"/>
    </row>
    <row r="44">
      <c r="B44" s="56"/>
    </row>
    <row r="45">
      <c r="B45" s="56"/>
    </row>
    <row r="46">
      <c r="B46" s="56"/>
    </row>
    <row r="47">
      <c r="B47" s="56"/>
    </row>
    <row r="48">
      <c r="B48" s="56"/>
    </row>
    <row r="49">
      <c r="B49" s="56"/>
    </row>
    <row r="50">
      <c r="B50" s="56"/>
    </row>
    <row r="51">
      <c r="B51" s="56"/>
    </row>
    <row r="52">
      <c r="B52" s="56"/>
    </row>
    <row r="53">
      <c r="B53" s="56"/>
    </row>
    <row r="54">
      <c r="B54" s="56"/>
    </row>
    <row r="55">
      <c r="B55" s="56"/>
    </row>
    <row r="56">
      <c r="B56" s="56"/>
    </row>
    <row r="57">
      <c r="B57" s="56"/>
    </row>
    <row r="58">
      <c r="B58" s="56"/>
    </row>
    <row r="59">
      <c r="B59" s="56"/>
    </row>
    <row r="60">
      <c r="B60" s="56"/>
    </row>
    <row r="61">
      <c r="B61" s="56"/>
    </row>
    <row r="62">
      <c r="B62" s="56"/>
    </row>
    <row r="63">
      <c r="B63" s="56"/>
    </row>
    <row r="64">
      <c r="B64" s="56"/>
    </row>
    <row r="65">
      <c r="B65" s="56"/>
    </row>
    <row r="66">
      <c r="B66" s="56"/>
    </row>
    <row r="67">
      <c r="B67" s="56"/>
    </row>
    <row r="68">
      <c r="B68" s="56"/>
    </row>
    <row r="69">
      <c r="B69" s="56"/>
    </row>
    <row r="70">
      <c r="B70" s="56"/>
    </row>
    <row r="71">
      <c r="B71" s="56"/>
    </row>
    <row r="72">
      <c r="B72" s="56"/>
    </row>
    <row r="73">
      <c r="B73" s="56"/>
    </row>
    <row r="74">
      <c r="B74" s="56"/>
    </row>
    <row r="75">
      <c r="B75" s="56"/>
    </row>
    <row r="76">
      <c r="B76" s="56"/>
    </row>
    <row r="77">
      <c r="B77" s="56"/>
    </row>
    <row r="78">
      <c r="B78" s="56"/>
    </row>
    <row r="79">
      <c r="B79" s="56"/>
    </row>
    <row r="80">
      <c r="B80" s="56"/>
    </row>
    <row r="81">
      <c r="B81" s="56"/>
    </row>
    <row r="82">
      <c r="B82" s="56"/>
    </row>
    <row r="83">
      <c r="B83" s="56"/>
    </row>
    <row r="84">
      <c r="B84" s="56"/>
    </row>
    <row r="85">
      <c r="B85" s="56"/>
    </row>
    <row r="86">
      <c r="B86" s="56"/>
    </row>
    <row r="87">
      <c r="B87" s="56"/>
    </row>
    <row r="88">
      <c r="B88" s="56"/>
    </row>
    <row r="89">
      <c r="B89" s="56"/>
    </row>
    <row r="90">
      <c r="B90" s="56"/>
    </row>
    <row r="91">
      <c r="B91" s="56"/>
    </row>
    <row r="92">
      <c r="B92" s="56"/>
    </row>
    <row r="93">
      <c r="B93" s="56"/>
    </row>
    <row r="94">
      <c r="B94" s="56"/>
    </row>
    <row r="95">
      <c r="B95" s="56"/>
    </row>
    <row r="96">
      <c r="B96" s="56"/>
    </row>
    <row r="97">
      <c r="B97" s="56"/>
    </row>
    <row r="98">
      <c r="B98" s="56"/>
    </row>
    <row r="99">
      <c r="B99" s="56"/>
    </row>
    <row r="100">
      <c r="B100" s="56"/>
    </row>
    <row r="101">
      <c r="B101" s="56"/>
    </row>
    <row r="102">
      <c r="B102" s="56"/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