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llstate\2026\2026-06-29\"/>
    </mc:Choice>
  </mc:AlternateContent>
  <xr:revisionPtr revIDLastSave="0" documentId="13_ncr:1_{28175DC5-81B8-4A24-8B1D-6C7A54EF5A3F}" xr6:coauthVersionLast="47" xr6:coauthVersionMax="47" xr10:uidLastSave="{00000000-0000-0000-0000-000000000000}"/>
  <bookViews>
    <workbookView xWindow="-28920" yWindow="-120" windowWidth="29040" windowHeight="15720" xr2:uid="{86ADD2A8-CC87-4789-9EB1-BB400453C550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2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N83" i="3" l="1"/>
  <c r="N25" i="3"/>
  <c r="N26" i="3"/>
  <c r="N10" i="3"/>
  <c r="N29" i="3"/>
  <c r="N11" i="3"/>
  <c r="N12" i="3"/>
  <c r="N13" i="3"/>
  <c r="N30" i="3"/>
  <c r="N14" i="3"/>
  <c r="N61" i="3"/>
  <c r="N62" i="3"/>
  <c r="N42" i="3"/>
  <c r="N31" i="3"/>
  <c r="N64" i="3"/>
  <c r="N65" i="3"/>
  <c r="N60" i="3"/>
  <c r="N34" i="3"/>
  <c r="N66" i="3"/>
  <c r="N67" i="3"/>
  <c r="N68" i="3"/>
  <c r="N53" i="3"/>
  <c r="N50" i="3"/>
  <c r="N63" i="3"/>
  <c r="N35" i="3"/>
  <c r="N2" i="3"/>
  <c r="N3" i="3"/>
  <c r="N4" i="3"/>
  <c r="N57" i="3"/>
  <c r="N24" i="3"/>
  <c r="N76" i="3"/>
  <c r="N5" i="3"/>
  <c r="N28" i="3"/>
  <c r="N6" i="3"/>
  <c r="N18" i="3"/>
  <c r="N94" i="3"/>
  <c r="N95" i="3"/>
  <c r="N37" i="3"/>
  <c r="N74" i="3"/>
  <c r="N75" i="3"/>
  <c r="N19" i="3"/>
  <c r="N77" i="3"/>
  <c r="N84" i="3"/>
  <c r="N89" i="3"/>
  <c r="N90" i="3"/>
  <c r="N38" i="3"/>
  <c r="N15" i="3"/>
  <c r="N39" i="3"/>
  <c r="N91" i="3"/>
  <c r="N85" i="3"/>
  <c r="N23" i="3"/>
  <c r="N48" i="3"/>
  <c r="N92" i="3"/>
  <c r="N80" i="3"/>
  <c r="N41" i="3"/>
  <c r="N16" i="3"/>
  <c r="N21" i="3"/>
  <c r="N86" i="3"/>
  <c r="N22" i="3"/>
  <c r="N17" i="3"/>
  <c r="N58" i="3"/>
  <c r="N93" i="3"/>
  <c r="N55" i="3"/>
  <c r="N81" i="3"/>
  <c r="N40" i="3"/>
  <c r="N78" i="3"/>
  <c r="N44" i="3"/>
  <c r="N33" i="3"/>
  <c r="N49" i="3"/>
  <c r="N87" i="3"/>
  <c r="N69" i="3"/>
  <c r="N73" i="3"/>
  <c r="N36" i="3"/>
  <c r="N7" i="3"/>
  <c r="N47" i="3"/>
  <c r="N52" i="3"/>
  <c r="N8" i="3"/>
  <c r="N20" i="3"/>
  <c r="N45" i="3"/>
  <c r="N9" i="3"/>
  <c r="N54" i="3"/>
  <c r="N71" i="3"/>
  <c r="N43" i="3"/>
  <c r="N32" i="3"/>
  <c r="N72" i="3"/>
  <c r="N70" i="3"/>
  <c r="N46" i="3"/>
  <c r="N56" i="3"/>
  <c r="N27" i="3"/>
  <c r="N88" i="3"/>
  <c r="N79" i="3"/>
  <c r="N51" i="3"/>
  <c r="N59" i="3"/>
  <c r="N8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2" i="2"/>
  <c r="L2" i="2"/>
  <c r="L3" i="2"/>
  <c r="L439" i="2"/>
  <c r="L376" i="2"/>
  <c r="L621" i="2"/>
  <c r="L622" i="2"/>
  <c r="L623" i="2"/>
  <c r="L127" i="2"/>
  <c r="L746" i="2"/>
  <c r="L377" i="2"/>
  <c r="L624" i="2"/>
  <c r="L625" i="2"/>
  <c r="L626" i="2"/>
  <c r="L627" i="2"/>
  <c r="L73" i="2"/>
  <c r="L417" i="2"/>
  <c r="L604" i="2"/>
  <c r="L605" i="2"/>
  <c r="L606" i="2"/>
  <c r="L607" i="2"/>
  <c r="L608" i="2"/>
  <c r="L609" i="2"/>
  <c r="L610" i="2"/>
  <c r="L116" i="2"/>
  <c r="L403" i="2"/>
  <c r="L404" i="2"/>
  <c r="L418" i="2"/>
  <c r="L628" i="2"/>
  <c r="L203" i="2"/>
  <c r="L204" i="2"/>
  <c r="L581" i="2"/>
  <c r="L582" i="2"/>
  <c r="L128" i="2"/>
  <c r="L26" i="2"/>
  <c r="L205" i="2"/>
  <c r="L117" i="2"/>
  <c r="L14" i="2"/>
  <c r="L256" i="2"/>
  <c r="L15" i="2"/>
  <c r="L129" i="2"/>
  <c r="L206" i="2"/>
  <c r="L118" i="2"/>
  <c r="L570" i="2"/>
  <c r="L130" i="2"/>
  <c r="L27" i="2"/>
  <c r="L531" i="2"/>
  <c r="L532" i="2"/>
  <c r="L548" i="2"/>
  <c r="L549" i="2"/>
  <c r="L274" i="2"/>
  <c r="L275" i="2"/>
  <c r="L629" i="2"/>
  <c r="L471" i="2"/>
  <c r="L630" i="2"/>
  <c r="L472" i="2"/>
  <c r="L358" i="2"/>
  <c r="L276" i="2"/>
  <c r="L747" i="2"/>
  <c r="L185" i="2"/>
  <c r="L583" i="2"/>
  <c r="L631" i="2"/>
  <c r="L632" i="2"/>
  <c r="L288" i="2"/>
  <c r="L289" i="2"/>
  <c r="L584" i="2"/>
  <c r="L633" i="2"/>
  <c r="L585" i="2"/>
  <c r="L340" i="2"/>
  <c r="L341" i="2"/>
  <c r="L390" i="2"/>
  <c r="L342" i="2"/>
  <c r="L241" i="2"/>
  <c r="L391" i="2"/>
  <c r="L634" i="2"/>
  <c r="L176" i="2"/>
  <c r="L186" i="2"/>
  <c r="L473" i="2"/>
  <c r="L635" i="2"/>
  <c r="L636" i="2"/>
  <c r="L474" i="2"/>
  <c r="L242" i="2"/>
  <c r="L322" i="2"/>
  <c r="L318" i="2"/>
  <c r="L637" i="2"/>
  <c r="L343" i="2"/>
  <c r="L187" i="2"/>
  <c r="L220" i="2"/>
  <c r="L586" i="2"/>
  <c r="L475" i="2"/>
  <c r="L587" i="2"/>
  <c r="L476" i="2"/>
  <c r="L477" i="2"/>
  <c r="L478" i="2"/>
  <c r="L344" i="2"/>
  <c r="L323" i="2"/>
  <c r="L221" i="2"/>
  <c r="L324" i="2"/>
  <c r="L396" i="2"/>
  <c r="L177" i="2"/>
  <c r="L178" i="2"/>
  <c r="L638" i="2"/>
  <c r="L345" i="2"/>
  <c r="L479" i="2"/>
  <c r="L277" i="2"/>
  <c r="L346" i="2"/>
  <c r="L106" i="2"/>
  <c r="L179" i="2"/>
  <c r="L480" i="2"/>
  <c r="L347" i="2"/>
  <c r="L748" i="2"/>
  <c r="L749" i="2"/>
  <c r="L750" i="2"/>
  <c r="L639" i="2"/>
  <c r="L290" i="2"/>
  <c r="L291" i="2"/>
  <c r="L16" i="2"/>
  <c r="L292" i="2"/>
  <c r="L293" i="2"/>
  <c r="L294" i="2"/>
  <c r="L751" i="2"/>
  <c r="L295" i="2"/>
  <c r="L107" i="2"/>
  <c r="L296" i="2"/>
  <c r="L440" i="2"/>
  <c r="L4" i="2"/>
  <c r="L640" i="2"/>
  <c r="L481" i="2"/>
  <c r="L482" i="2"/>
  <c r="L611" i="2"/>
  <c r="L612" i="2"/>
  <c r="L613" i="2"/>
  <c r="L483" i="2"/>
  <c r="L188" i="2"/>
  <c r="L588" i="2"/>
  <c r="L17" i="2"/>
  <c r="L641" i="2"/>
  <c r="L119" i="2"/>
  <c r="L5" i="2"/>
  <c r="L28" i="2"/>
  <c r="L642" i="2"/>
  <c r="L614" i="2"/>
  <c r="L6" i="2"/>
  <c r="L725" i="2"/>
  <c r="L29" i="2"/>
  <c r="L120" i="2"/>
  <c r="L643" i="2"/>
  <c r="L30" i="2"/>
  <c r="L31" i="2"/>
  <c r="L484" i="2"/>
  <c r="L644" i="2"/>
  <c r="L645" i="2"/>
  <c r="L464" i="2"/>
  <c r="L7" i="2"/>
  <c r="L32" i="2"/>
  <c r="L485" i="2"/>
  <c r="L486" i="2"/>
  <c r="L487" i="2"/>
  <c r="L222" i="2"/>
  <c r="L33" i="2"/>
  <c r="L488" i="2"/>
  <c r="L489" i="2"/>
  <c r="L490" i="2"/>
  <c r="L726" i="2"/>
  <c r="L491" i="2"/>
  <c r="L492" i="2"/>
  <c r="L493" i="2"/>
  <c r="L494" i="2"/>
  <c r="L34" i="2"/>
  <c r="L35" i="2"/>
  <c r="L495" i="2"/>
  <c r="L36" i="2"/>
  <c r="L496" i="2"/>
  <c r="L37" i="2"/>
  <c r="L752" i="2"/>
  <c r="L359" i="2"/>
  <c r="L560" i="2"/>
  <c r="L615" i="2"/>
  <c r="L616" i="2"/>
  <c r="L243" i="2"/>
  <c r="L244" i="2"/>
  <c r="L617" i="2"/>
  <c r="L38" i="2"/>
  <c r="L589" i="2"/>
  <c r="L39" i="2"/>
  <c r="L207" i="2"/>
  <c r="L571" i="2"/>
  <c r="L121" i="2"/>
  <c r="L257" i="2"/>
  <c r="L18" i="2"/>
  <c r="L131" i="2"/>
  <c r="L441" i="2"/>
  <c r="L646" i="2"/>
  <c r="L647" i="2"/>
  <c r="L648" i="2"/>
  <c r="L649" i="2"/>
  <c r="L650" i="2"/>
  <c r="L651" i="2"/>
  <c r="L652" i="2"/>
  <c r="L653" i="2"/>
  <c r="L198" i="2"/>
  <c r="L572" i="2"/>
  <c r="L654" i="2"/>
  <c r="L92" i="2"/>
  <c r="L278" i="2"/>
  <c r="L497" i="2"/>
  <c r="L8" i="2"/>
  <c r="L211" i="2"/>
  <c r="L465" i="2"/>
  <c r="L212" i="2"/>
  <c r="L223" i="2"/>
  <c r="L213" i="2"/>
  <c r="L466" i="2"/>
  <c r="L224" i="2"/>
  <c r="L225" i="2"/>
  <c r="L226" i="2"/>
  <c r="L392" i="2"/>
  <c r="L132" i="2"/>
  <c r="L360" i="2"/>
  <c r="L361" i="2"/>
  <c r="L133" i="2"/>
  <c r="L134" i="2"/>
  <c r="L265" i="2"/>
  <c r="L40" i="2"/>
  <c r="L405" i="2"/>
  <c r="L533" i="2"/>
  <c r="L135" i="2"/>
  <c r="L136" i="2"/>
  <c r="L655" i="2"/>
  <c r="L235" i="2"/>
  <c r="L74" i="2"/>
  <c r="L236" i="2"/>
  <c r="L656" i="2"/>
  <c r="L237" i="2"/>
  <c r="L266" i="2"/>
  <c r="L75" i="2"/>
  <c r="L76" i="2"/>
  <c r="L77" i="2"/>
  <c r="L78" i="2"/>
  <c r="L79" i="2"/>
  <c r="L80" i="2"/>
  <c r="L137" i="2"/>
  <c r="L419" i="2"/>
  <c r="L420" i="2"/>
  <c r="L138" i="2"/>
  <c r="L139" i="2"/>
  <c r="L140" i="2"/>
  <c r="L141" i="2"/>
  <c r="L142" i="2"/>
  <c r="L81" i="2"/>
  <c r="L143" i="2"/>
  <c r="L144" i="2"/>
  <c r="L145" i="2"/>
  <c r="L146" i="2"/>
  <c r="L753" i="2"/>
  <c r="L754" i="2"/>
  <c r="L755" i="2"/>
  <c r="L362" i="2"/>
  <c r="L147" i="2"/>
  <c r="L363" i="2"/>
  <c r="L421" i="2"/>
  <c r="L297" i="2"/>
  <c r="L148" i="2"/>
  <c r="L149" i="2"/>
  <c r="L150" i="2"/>
  <c r="L298" i="2"/>
  <c r="L422" i="2"/>
  <c r="L423" i="2"/>
  <c r="L424" i="2"/>
  <c r="L267" i="2"/>
  <c r="L406" i="2"/>
  <c r="L19" i="2"/>
  <c r="L299" i="2"/>
  <c r="L425" i="2"/>
  <c r="L407" i="2"/>
  <c r="L151" i="2"/>
  <c r="L463" i="2"/>
  <c r="L41" i="2"/>
  <c r="L408" i="2"/>
  <c r="L409" i="2"/>
  <c r="L152" i="2"/>
  <c r="L534" i="2"/>
  <c r="L410" i="2"/>
  <c r="L153" i="2"/>
  <c r="L411" i="2"/>
  <c r="L154" i="2"/>
  <c r="L535" i="2"/>
  <c r="L20" i="2"/>
  <c r="L426" i="2"/>
  <c r="L268" i="2"/>
  <c r="L214" i="2"/>
  <c r="L215" i="2"/>
  <c r="L227" i="2"/>
  <c r="L216" i="2"/>
  <c r="L228" i="2"/>
  <c r="L217" i="2"/>
  <c r="L229" i="2"/>
  <c r="L498" i="2"/>
  <c r="L467" i="2"/>
  <c r="L230" i="2"/>
  <c r="L218" i="2"/>
  <c r="L231" i="2"/>
  <c r="L468" i="2"/>
  <c r="L232" i="2"/>
  <c r="L393" i="2"/>
  <c r="L657" i="2"/>
  <c r="L658" i="2"/>
  <c r="L659" i="2"/>
  <c r="L660" i="2"/>
  <c r="L661" i="2"/>
  <c r="L662" i="2"/>
  <c r="L663" i="2"/>
  <c r="L664" i="2"/>
  <c r="L199" i="2"/>
  <c r="L93" i="2"/>
  <c r="L279" i="2"/>
  <c r="L499" i="2"/>
  <c r="L9" i="2"/>
  <c r="L316" i="2"/>
  <c r="L500" i="2"/>
  <c r="L317" i="2"/>
  <c r="L325" i="2"/>
  <c r="L501" i="2"/>
  <c r="L96" i="2"/>
  <c r="L442" i="2"/>
  <c r="L443" i="2"/>
  <c r="L378" i="2"/>
  <c r="L444" i="2"/>
  <c r="L445" i="2"/>
  <c r="L665" i="2"/>
  <c r="L666" i="2"/>
  <c r="L667" i="2"/>
  <c r="L379" i="2"/>
  <c r="L668" i="2"/>
  <c r="L727" i="2"/>
  <c r="L82" i="2"/>
  <c r="L364" i="2"/>
  <c r="L365" i="2"/>
  <c r="L756" i="2"/>
  <c r="L757" i="2"/>
  <c r="L758" i="2"/>
  <c r="L669" i="2"/>
  <c r="L670" i="2"/>
  <c r="L671" i="2"/>
  <c r="L672" i="2"/>
  <c r="L550" i="2"/>
  <c r="L543" i="2"/>
  <c r="L673" i="2"/>
  <c r="L326" i="2"/>
  <c r="L327" i="2"/>
  <c r="L674" i="2"/>
  <c r="L366" i="2"/>
  <c r="L300" i="2"/>
  <c r="L502" i="2"/>
  <c r="L301" i="2"/>
  <c r="L302" i="2"/>
  <c r="L675" i="2"/>
  <c r="L503" i="2"/>
  <c r="L676" i="2"/>
  <c r="L328" i="2"/>
  <c r="L504" i="2"/>
  <c r="L544" i="2"/>
  <c r="L112" i="2"/>
  <c r="L737" i="2"/>
  <c r="L677" i="2"/>
  <c r="L21" i="2"/>
  <c r="L303" i="2"/>
  <c r="L590" i="2"/>
  <c r="L743" i="2"/>
  <c r="L155" i="2"/>
  <c r="L573" i="2"/>
  <c r="L42" i="2"/>
  <c r="L304" i="2"/>
  <c r="L305" i="2"/>
  <c r="L759" i="2"/>
  <c r="L306" i="2"/>
  <c r="L245" i="2"/>
  <c r="L738" i="2"/>
  <c r="L591" i="2"/>
  <c r="L551" i="2"/>
  <c r="L269" i="2"/>
  <c r="L270" i="2"/>
  <c r="L240" i="2"/>
  <c r="L258" i="2"/>
  <c r="L97" i="2"/>
  <c r="L545" i="2"/>
  <c r="L307" i="2"/>
  <c r="L108" i="2"/>
  <c r="L208" i="2"/>
  <c r="L592" i="2"/>
  <c r="L678" i="2"/>
  <c r="L271" i="2"/>
  <c r="L452" i="2"/>
  <c r="L574" i="2"/>
  <c r="L453" i="2"/>
  <c r="L552" i="2"/>
  <c r="L739" i="2"/>
  <c r="L348" i="2"/>
  <c r="L280" i="2"/>
  <c r="L760" i="2"/>
  <c r="L209" i="2"/>
  <c r="L189" i="2"/>
  <c r="L196" i="2"/>
  <c r="L190" i="2"/>
  <c r="L563" i="2"/>
  <c r="L564" i="2"/>
  <c r="L367" i="2"/>
  <c r="L505" i="2"/>
  <c r="L593" i="2"/>
  <c r="L679" i="2"/>
  <c r="L761" i="2"/>
  <c r="L565" i="2"/>
  <c r="L506" i="2"/>
  <c r="L507" i="2"/>
  <c r="L122" i="2"/>
  <c r="L308" i="2"/>
  <c r="L309" i="2"/>
  <c r="L349" i="2"/>
  <c r="L401" i="2"/>
  <c r="L469" i="2"/>
  <c r="L508" i="2"/>
  <c r="L43" i="2"/>
  <c r="L44" i="2"/>
  <c r="L45" i="2"/>
  <c r="L113" i="2"/>
  <c r="L717" i="2"/>
  <c r="L350" i="2"/>
  <c r="L715" i="2"/>
  <c r="L351" i="2"/>
  <c r="L46" i="2"/>
  <c r="L47" i="2"/>
  <c r="L48" i="2"/>
  <c r="L259" i="2"/>
  <c r="L355" i="2"/>
  <c r="L49" i="2"/>
  <c r="L94" i="2"/>
  <c r="L50" i="2"/>
  <c r="L260" i="2"/>
  <c r="L51" i="2"/>
  <c r="L52" i="2"/>
  <c r="L53" i="2"/>
  <c r="L114" i="2"/>
  <c r="L10" i="2"/>
  <c r="L680" i="2"/>
  <c r="L509" i="2"/>
  <c r="L368" i="2"/>
  <c r="L272" i="2"/>
  <c r="L510" i="2"/>
  <c r="L536" i="2"/>
  <c r="L553" i="2"/>
  <c r="L98" i="2"/>
  <c r="L554" i="2"/>
  <c r="L511" i="2"/>
  <c r="L191" i="2"/>
  <c r="L681" i="2"/>
  <c r="L682" i="2"/>
  <c r="L200" i="2"/>
  <c r="L201" i="2"/>
  <c r="L683" i="2"/>
  <c r="L246" i="2"/>
  <c r="L247" i="2"/>
  <c r="L386" i="2"/>
  <c r="L437" i="2"/>
  <c r="L99" i="2"/>
  <c r="L180" i="2"/>
  <c r="L233" i="2"/>
  <c r="L512" i="2"/>
  <c r="L192" i="2"/>
  <c r="L234" i="2"/>
  <c r="L513" i="2"/>
  <c r="L248" i="2"/>
  <c r="L22" i="2"/>
  <c r="L684" i="2"/>
  <c r="L514" i="2"/>
  <c r="L319" i="2"/>
  <c r="L261" i="2"/>
  <c r="L397" i="2"/>
  <c r="L398" i="2"/>
  <c r="L557" i="2"/>
  <c r="L515" i="2"/>
  <c r="L516" i="2"/>
  <c r="L517" i="2"/>
  <c r="L518" i="2"/>
  <c r="L329" i="2"/>
  <c r="L519" i="2"/>
  <c r="L594" i="2"/>
  <c r="L23" i="2"/>
  <c r="L595" i="2"/>
  <c r="L596" i="2"/>
  <c r="L249" i="2"/>
  <c r="L575" i="2"/>
  <c r="L566" i="2"/>
  <c r="L330" i="2"/>
  <c r="L460" i="2"/>
  <c r="L685" i="2"/>
  <c r="L412" i="2"/>
  <c r="L262" i="2"/>
  <c r="L686" i="2"/>
  <c r="L687" i="2"/>
  <c r="L100" i="2"/>
  <c r="L101" i="2"/>
  <c r="L331" i="2"/>
  <c r="L399" i="2"/>
  <c r="L394" i="2"/>
  <c r="L395" i="2"/>
  <c r="L352" i="2"/>
  <c r="L427" i="2"/>
  <c r="L181" i="2"/>
  <c r="L688" i="2"/>
  <c r="L597" i="2"/>
  <c r="L689" i="2"/>
  <c r="L250" i="2"/>
  <c r="L193" i="2"/>
  <c r="L251" i="2"/>
  <c r="L555" i="2"/>
  <c r="L690" i="2"/>
  <c r="L320" i="2"/>
  <c r="L454" i="2"/>
  <c r="L252" i="2"/>
  <c r="L24" i="2"/>
  <c r="L691" i="2"/>
  <c r="L520" i="2"/>
  <c r="L692" i="2"/>
  <c r="L521" i="2"/>
  <c r="L522" i="2"/>
  <c r="L693" i="2"/>
  <c r="L428" i="2"/>
  <c r="L194" i="2"/>
  <c r="L694" i="2"/>
  <c r="L281" i="2"/>
  <c r="L598" i="2"/>
  <c r="L25" i="2"/>
  <c r="L182" i="2"/>
  <c r="L576" i="2"/>
  <c r="L459" i="2"/>
  <c r="L599" i="2"/>
  <c r="L356" i="2"/>
  <c r="L523" i="2"/>
  <c r="L567" i="2"/>
  <c r="L695" i="2"/>
  <c r="L524" i="2"/>
  <c r="L54" i="2"/>
  <c r="L332" i="2"/>
  <c r="L525" i="2"/>
  <c r="L722" i="2"/>
  <c r="L353" i="2"/>
  <c r="L333" i="2"/>
  <c r="L723" i="2"/>
  <c r="L559" i="2"/>
  <c r="L568" i="2"/>
  <c r="L195" i="2"/>
  <c r="L183" i="2"/>
  <c r="L728" i="2"/>
  <c r="L202" i="2"/>
  <c r="L109" i="2"/>
  <c r="L388" i="2"/>
  <c r="L55" i="2"/>
  <c r="L56" i="2"/>
  <c r="L263" i="2"/>
  <c r="L729" i="2"/>
  <c r="L446" i="2"/>
  <c r="L11" i="2"/>
  <c r="L282" i="2"/>
  <c r="L447" i="2"/>
  <c r="L448" i="2"/>
  <c r="L449" i="2"/>
  <c r="L450" i="2"/>
  <c r="L156" i="2"/>
  <c r="L380" i="2"/>
  <c r="L451" i="2"/>
  <c r="L719" i="2"/>
  <c r="L720" i="2"/>
  <c r="L238" i="2"/>
  <c r="L696" i="2"/>
  <c r="L697" i="2"/>
  <c r="L83" i="2"/>
  <c r="L84" i="2"/>
  <c r="L239" i="2"/>
  <c r="L157" i="2"/>
  <c r="L158" i="2"/>
  <c r="L698" i="2"/>
  <c r="L283" i="2"/>
  <c r="L85" i="2"/>
  <c r="L159" i="2"/>
  <c r="L730" i="2"/>
  <c r="L86" i="2"/>
  <c r="L160" i="2"/>
  <c r="L87" i="2"/>
  <c r="L161" i="2"/>
  <c r="L162" i="2"/>
  <c r="L163" i="2"/>
  <c r="L164" i="2"/>
  <c r="L699" i="2"/>
  <c r="L165" i="2"/>
  <c r="L731" i="2"/>
  <c r="L369" i="2"/>
  <c r="L561" i="2"/>
  <c r="L700" i="2"/>
  <c r="L701" i="2"/>
  <c r="L370" i="2"/>
  <c r="L702" i="2"/>
  <c r="L703" i="2"/>
  <c r="L546" i="2"/>
  <c r="L547" i="2"/>
  <c r="L704" i="2"/>
  <c r="L166" i="2"/>
  <c r="L371" i="2"/>
  <c r="L310" i="2"/>
  <c r="L311" i="2"/>
  <c r="L429" i="2"/>
  <c r="L705" i="2"/>
  <c r="L334" i="2"/>
  <c r="L335" i="2"/>
  <c r="L740" i="2"/>
  <c r="L765" i="2"/>
  <c r="L744" i="2"/>
  <c r="L336" i="2"/>
  <c r="L577" i="2"/>
  <c r="L57" i="2"/>
  <c r="L312" i="2"/>
  <c r="L762" i="2"/>
  <c r="L253" i="2"/>
  <c r="L741" i="2"/>
  <c r="L102" i="2"/>
  <c r="L313" i="2"/>
  <c r="L337" i="2"/>
  <c r="L210" i="2"/>
  <c r="L600" i="2"/>
  <c r="L273" i="2"/>
  <c r="L455" i="2"/>
  <c r="L706" i="2"/>
  <c r="L456" i="2"/>
  <c r="L721" i="2"/>
  <c r="L457" i="2"/>
  <c r="L742" i="2"/>
  <c r="L763" i="2"/>
  <c r="L372" i="2"/>
  <c r="L707" i="2"/>
  <c r="L373" i="2"/>
  <c r="L338" i="2"/>
  <c r="L103" i="2"/>
  <c r="L430" i="2"/>
  <c r="L400" i="2"/>
  <c r="L431" i="2"/>
  <c r="L354" i="2"/>
  <c r="L167" i="2"/>
  <c r="L732" i="2"/>
  <c r="L558" i="2"/>
  <c r="L123" i="2"/>
  <c r="L461" i="2"/>
  <c r="L526" i="2"/>
  <c r="L314" i="2"/>
  <c r="L708" i="2"/>
  <c r="L168" i="2"/>
  <c r="L374" i="2"/>
  <c r="L264" i="2"/>
  <c r="L764" i="2"/>
  <c r="L716" i="2"/>
  <c r="L458" i="2"/>
  <c r="L104" i="2"/>
  <c r="L339" i="2"/>
  <c r="L254" i="2"/>
  <c r="L105" i="2"/>
  <c r="L402" i="2"/>
  <c r="L709" i="2"/>
  <c r="L315" i="2"/>
  <c r="L462" i="2"/>
  <c r="L470" i="2"/>
  <c r="L733" i="2"/>
  <c r="L58" i="2"/>
  <c r="L255" i="2"/>
  <c r="L59" i="2"/>
  <c r="L357" i="2"/>
  <c r="L60" i="2"/>
  <c r="L61" i="2"/>
  <c r="L62" i="2"/>
  <c r="L387" i="2"/>
  <c r="L63" i="2"/>
  <c r="L95" i="2"/>
  <c r="L115" i="2"/>
  <c r="L64" i="2"/>
  <c r="L65" i="2"/>
  <c r="L718" i="2"/>
  <c r="L66" i="2"/>
  <c r="L601" i="2"/>
  <c r="L602" i="2"/>
  <c r="L578" i="2"/>
  <c r="L67" i="2"/>
  <c r="L184" i="2"/>
  <c r="L284" i="2"/>
  <c r="L219" i="2"/>
  <c r="L579" i="2"/>
  <c r="L68" i="2"/>
  <c r="L562" i="2"/>
  <c r="L710" i="2"/>
  <c r="L724" i="2"/>
  <c r="L389" i="2"/>
  <c r="L69" i="2"/>
  <c r="L70" i="2"/>
  <c r="L71" i="2"/>
  <c r="L110" i="2"/>
  <c r="L285" i="2"/>
  <c r="L286" i="2"/>
  <c r="L711" i="2"/>
  <c r="L745" i="2"/>
  <c r="L603" i="2"/>
  <c r="L734" i="2"/>
  <c r="L735" i="2"/>
  <c r="L618" i="2"/>
  <c r="L375" i="2"/>
  <c r="L619" i="2"/>
  <c r="L124" i="2"/>
  <c r="L556" i="2"/>
  <c r="L321" i="2"/>
  <c r="L580" i="2"/>
  <c r="L527" i="2"/>
  <c r="L736" i="2"/>
  <c r="L125" i="2"/>
  <c r="L528" i="2"/>
  <c r="L569" i="2"/>
  <c r="L126" i="2"/>
  <c r="L620" i="2"/>
  <c r="L537" i="2"/>
  <c r="L529" i="2"/>
  <c r="L530" i="2"/>
  <c r="L111" i="2"/>
  <c r="L287" i="2"/>
  <c r="L538" i="2"/>
  <c r="L539" i="2"/>
  <c r="L72" i="2"/>
  <c r="L712" i="2"/>
  <c r="L12" i="2"/>
  <c r="L88" i="2"/>
  <c r="L381" i="2"/>
  <c r="L382" i="2"/>
  <c r="L89" i="2"/>
  <c r="L383" i="2"/>
  <c r="L169" i="2"/>
  <c r="L170" i="2"/>
  <c r="L432" i="2"/>
  <c r="L433" i="2"/>
  <c r="L90" i="2"/>
  <c r="L171" i="2"/>
  <c r="L172" i="2"/>
  <c r="L384" i="2"/>
  <c r="L385" i="2"/>
  <c r="L434" i="2"/>
  <c r="L173" i="2"/>
  <c r="L91" i="2"/>
  <c r="L435" i="2"/>
  <c r="L436" i="2"/>
  <c r="L540" i="2"/>
  <c r="L197" i="2"/>
  <c r="L13" i="2"/>
  <c r="L413" i="2"/>
  <c r="L414" i="2"/>
  <c r="L415" i="2"/>
  <c r="L713" i="2"/>
  <c r="L714" i="2"/>
  <c r="L174" i="2"/>
  <c r="L175" i="2"/>
  <c r="L416" i="2"/>
  <c r="L541" i="2"/>
  <c r="L542" i="2"/>
  <c r="L438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2" i="4"/>
  <c r="W53" i="4"/>
  <c r="W52" i="4"/>
  <c r="W50" i="4"/>
  <c r="W49" i="4"/>
  <c r="W48" i="4"/>
  <c r="W41" i="4"/>
  <c r="W40" i="4"/>
  <c r="W38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51" i="4"/>
  <c r="L54" i="4"/>
  <c r="L55" i="4"/>
  <c r="L52" i="4"/>
  <c r="L53" i="4"/>
  <c r="L83" i="4"/>
  <c r="L84" i="4"/>
  <c r="L85" i="4"/>
  <c r="L46" i="4"/>
  <c r="L48" i="4"/>
  <c r="L49" i="4"/>
  <c r="L50" i="4"/>
  <c r="L44" i="4"/>
  <c r="L43" i="4"/>
  <c r="L42" i="4"/>
  <c r="L40" i="4"/>
  <c r="L41" i="4"/>
  <c r="L38" i="4"/>
  <c r="L37" i="4"/>
  <c r="L36" i="4"/>
  <c r="L39" i="4"/>
  <c r="L45" i="4"/>
  <c r="L47" i="4"/>
  <c r="L2" i="4"/>
</calcChain>
</file>

<file path=xl/sharedStrings.xml><?xml version="1.0" encoding="utf-8"?>
<sst xmlns="http://schemas.openxmlformats.org/spreadsheetml/2006/main" count="25277" uniqueCount="1139">
  <si>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</si>
  <si>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</si>
  <si>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</si>
  <si>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</si>
  <si>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</si>
  <si>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</si>
  <si>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</si>
  <si>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</si>
  <si>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</si>
  <si>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</si>
  <si>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</si>
  <si>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</si>
  <si>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</si>
  <si>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</si>
  <si>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</si>
  <si>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</si>
  <si>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</si>
  <si>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</si>
  <si>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</si>
  <si>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</si>
  <si>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</si>
  <si>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</si>
  <si>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</si>
  <si>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</si>
  <si>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</si>
  <si>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</si>
  <si>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</si>
  <si>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</si>
  <si>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</si>
  <si>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</si>
  <si>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</si>
  <si>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</si>
  <si>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</si>
  <si>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</si>
  <si>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</si>
  <si>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</si>
  <si>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</si>
  <si>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</si>
  <si>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</si>
  <si>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</si>
  <si>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</si>
  <si>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</si>
  <si>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</si>
  <si>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</si>
  <si>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</si>
  <si>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</si>
  <si>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</si>
  <si>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</si>
  <si>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</si>
  <si>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STANTON</t>
  </si>
  <si>
    <t>MARGARET</t>
  </si>
  <si>
    <t>Allstate Health Solutions</t>
  </si>
  <si>
    <t>PA</t>
  </si>
  <si>
    <t>Accident</t>
  </si>
  <si>
    <t>TrioMED Accident and CI 14939</t>
  </si>
  <si>
    <t>RICHTER</t>
  </si>
  <si>
    <t>PETER</t>
  </si>
  <si>
    <t>Active</t>
  </si>
  <si>
    <t xml:space="preserve">Monthly </t>
  </si>
  <si>
    <t>Default</t>
  </si>
  <si>
    <t>FY</t>
  </si>
  <si>
    <t>Y</t>
  </si>
  <si>
    <t>SANDT</t>
  </si>
  <si>
    <t>TAMMY</t>
  </si>
  <si>
    <t>Stocker</t>
  </si>
  <si>
    <t>Ryan</t>
  </si>
  <si>
    <t>LUDWIG</t>
  </si>
  <si>
    <t>JOSEPH</t>
  </si>
  <si>
    <t>OH</t>
  </si>
  <si>
    <t>Ancillary</t>
  </si>
  <si>
    <t>Cancer and Heart/Stroke GI 20231</t>
  </si>
  <si>
    <t>Brandt</t>
  </si>
  <si>
    <t>Steven</t>
  </si>
  <si>
    <t>CALLAHAN</t>
  </si>
  <si>
    <t>SHERRY</t>
  </si>
  <si>
    <t>NC</t>
  </si>
  <si>
    <t>HAYDEN</t>
  </si>
  <si>
    <t>TAYLOR</t>
  </si>
  <si>
    <t>WY</t>
  </si>
  <si>
    <t>Critical Illness w/ Term Life 21677</t>
  </si>
  <si>
    <t>Geske</t>
  </si>
  <si>
    <t>Heather</t>
  </si>
  <si>
    <t>STIER</t>
  </si>
  <si>
    <t>JOSHUA</t>
  </si>
  <si>
    <t>WA</t>
  </si>
  <si>
    <t>Shulman</t>
  </si>
  <si>
    <t>Jake</t>
  </si>
  <si>
    <t>PENNINGTON</t>
  </si>
  <si>
    <t>JACQUELINE</t>
  </si>
  <si>
    <t>IL</t>
  </si>
  <si>
    <t>Choi</t>
  </si>
  <si>
    <t>Andrew</t>
  </si>
  <si>
    <t>FLIEG-VONOHLEN</t>
  </si>
  <si>
    <t>AMAYA</t>
  </si>
  <si>
    <t>CO</t>
  </si>
  <si>
    <t>PIOTROWICZ</t>
  </si>
  <si>
    <t>TERRI</t>
  </si>
  <si>
    <t>SC</t>
  </si>
  <si>
    <t>PEREDA</t>
  </si>
  <si>
    <t>JACKSON</t>
  </si>
  <si>
    <t>FL</t>
  </si>
  <si>
    <t>Cancer and Heart/Stroke 20231 CO-FL-MN-MI</t>
  </si>
  <si>
    <t>CALTAGIRONE</t>
  </si>
  <si>
    <t>RYAN</t>
  </si>
  <si>
    <t>KUHLMAN</t>
  </si>
  <si>
    <t>MARLA</t>
  </si>
  <si>
    <t>MANUEL</t>
  </si>
  <si>
    <t>MACHLIN</t>
  </si>
  <si>
    <t>HOSSAIN</t>
  </si>
  <si>
    <t>KANNON</t>
  </si>
  <si>
    <t>MARISH</t>
  </si>
  <si>
    <t>COHN</t>
  </si>
  <si>
    <t>SOPHIA</t>
  </si>
  <si>
    <t>Yale</t>
  </si>
  <si>
    <t>Richard</t>
  </si>
  <si>
    <t>WILLIS</t>
  </si>
  <si>
    <t>ANGELA</t>
  </si>
  <si>
    <t>MI</t>
  </si>
  <si>
    <t>ORTIZ</t>
  </si>
  <si>
    <t>BIBIANA</t>
  </si>
  <si>
    <t>Cheregi</t>
  </si>
  <si>
    <t>Raluca</t>
  </si>
  <si>
    <t>TOA</t>
  </si>
  <si>
    <t>SAUNIATU</t>
  </si>
  <si>
    <t>TX</t>
  </si>
  <si>
    <t>Toa</t>
  </si>
  <si>
    <t>Nicole</t>
  </si>
  <si>
    <t>PARKS</t>
  </si>
  <si>
    <t>ESTHER</t>
  </si>
  <si>
    <t>Lee</t>
  </si>
  <si>
    <t>Joel</t>
  </si>
  <si>
    <t>KEOLER</t>
  </si>
  <si>
    <t>CAMERON</t>
  </si>
  <si>
    <t>Dental</t>
  </si>
  <si>
    <t>SELECT DENTAL 29304</t>
  </si>
  <si>
    <t>BENDER</t>
  </si>
  <si>
    <t>CHAD</t>
  </si>
  <si>
    <t>MARRIONEAUX</t>
  </si>
  <si>
    <t>ALEXIS</t>
  </si>
  <si>
    <t>Lafontaine</t>
  </si>
  <si>
    <t>Danielle</t>
  </si>
  <si>
    <t>TWITCHELL</t>
  </si>
  <si>
    <t>VANCE</t>
  </si>
  <si>
    <t>UT</t>
  </si>
  <si>
    <t>PINK</t>
  </si>
  <si>
    <t>KIMANI</t>
  </si>
  <si>
    <t>MD</t>
  </si>
  <si>
    <t>Oliver</t>
  </si>
  <si>
    <t>Brittany</t>
  </si>
  <si>
    <t>Association</t>
  </si>
  <si>
    <t>Life Association Access</t>
  </si>
  <si>
    <t>A6</t>
  </si>
  <si>
    <t>SAENZ</t>
  </si>
  <si>
    <t>Walenga</t>
  </si>
  <si>
    <t>Dale</t>
  </si>
  <si>
    <t>GEIB</t>
  </si>
  <si>
    <t>WENDY</t>
  </si>
  <si>
    <t>Life Association C Senior Indemnity</t>
  </si>
  <si>
    <t>Hunsberger</t>
  </si>
  <si>
    <t>Anthony</t>
  </si>
  <si>
    <t>YEUNG</t>
  </si>
  <si>
    <t>ALLAN</t>
  </si>
  <si>
    <t>CA</t>
  </si>
  <si>
    <t>Booker</t>
  </si>
  <si>
    <t>Makena</t>
  </si>
  <si>
    <t>MARSH</t>
  </si>
  <si>
    <t>RACHAEL</t>
  </si>
  <si>
    <t>AL</t>
  </si>
  <si>
    <t>Marsh</t>
  </si>
  <si>
    <t>Rachael</t>
  </si>
  <si>
    <t>CASON</t>
  </si>
  <si>
    <t>WILLIAM</t>
  </si>
  <si>
    <t>Schumann</t>
  </si>
  <si>
    <t>Barry</t>
  </si>
  <si>
    <t>MOY</t>
  </si>
  <si>
    <t>STEPHEN</t>
  </si>
  <si>
    <t>NE</t>
  </si>
  <si>
    <t>Berthelsen</t>
  </si>
  <si>
    <t>Kevin</t>
  </si>
  <si>
    <t>SANCHEZ</t>
  </si>
  <si>
    <t>MARIA</t>
  </si>
  <si>
    <t>YALE</t>
  </si>
  <si>
    <t>JACOB</t>
  </si>
  <si>
    <t>CANFIELD</t>
  </si>
  <si>
    <t>KELTRIN</t>
  </si>
  <si>
    <t>LA</t>
  </si>
  <si>
    <t>PORTUGAL</t>
  </si>
  <si>
    <t>GARY</t>
  </si>
  <si>
    <t>Fixed Indemnity</t>
  </si>
  <si>
    <t>NHIC LM 2021 Hospital Expense Protection U65</t>
  </si>
  <si>
    <t>Allstate Health Access</t>
  </si>
  <si>
    <t>Allstate Recuro RX Discount Card</t>
  </si>
  <si>
    <t>JERGER</t>
  </si>
  <si>
    <t>COLLEEN</t>
  </si>
  <si>
    <t>Other</t>
  </si>
  <si>
    <t>Plan Enhancer 20214</t>
  </si>
  <si>
    <t>Jerger</t>
  </si>
  <si>
    <t>Colleen</t>
  </si>
  <si>
    <t>STURGEON</t>
  </si>
  <si>
    <t>MARY</t>
  </si>
  <si>
    <t>IN</t>
  </si>
  <si>
    <t>HOLLOWAY</t>
  </si>
  <si>
    <t>LEWIS</t>
  </si>
  <si>
    <t>Accident Fixed-Benefit 21044</t>
  </si>
  <si>
    <t>FLORENCIO</t>
  </si>
  <si>
    <t>MARC</t>
  </si>
  <si>
    <t>STROHMAN</t>
  </si>
  <si>
    <t>BRIAN</t>
  </si>
  <si>
    <t>SOLIS</t>
  </si>
  <si>
    <t>JOHN</t>
  </si>
  <si>
    <t>TEIPEL</t>
  </si>
  <si>
    <t>GREGORY</t>
  </si>
  <si>
    <t>BLASCHE</t>
  </si>
  <si>
    <t>Allen</t>
  </si>
  <si>
    <t>James</t>
  </si>
  <si>
    <t>RYDWELSKI</t>
  </si>
  <si>
    <t>JENNIFER</t>
  </si>
  <si>
    <t>Term Life 21673</t>
  </si>
  <si>
    <t>MURLIN</t>
  </si>
  <si>
    <t>INDIRA</t>
  </si>
  <si>
    <t>Berg</t>
  </si>
  <si>
    <t>Ines</t>
  </si>
  <si>
    <t>PRINCIPE</t>
  </si>
  <si>
    <t>MATILDE</t>
  </si>
  <si>
    <t>JHAMVAR</t>
  </si>
  <si>
    <t>INIKA</t>
  </si>
  <si>
    <t>FRIEDMAN</t>
  </si>
  <si>
    <t>EDITH</t>
  </si>
  <si>
    <t>Dental Indemnity 21618</t>
  </si>
  <si>
    <t>Brousseau</t>
  </si>
  <si>
    <t>Christopher</t>
  </si>
  <si>
    <t>JOHNSON</t>
  </si>
  <si>
    <t>ISABELLA</t>
  </si>
  <si>
    <t>Lessem</t>
  </si>
  <si>
    <t>Marc</t>
  </si>
  <si>
    <t>KENAH</t>
  </si>
  <si>
    <t>FRANKLINE</t>
  </si>
  <si>
    <t>Short Term Medical</t>
  </si>
  <si>
    <t>National General STM CO-CT-IA-KS-MD-MO-ND-OR-SD</t>
  </si>
  <si>
    <t>A3</t>
  </si>
  <si>
    <t>Supplement</t>
  </si>
  <si>
    <t>NHIC LM 2025 Plan A Senior Indemnity Association GI</t>
  </si>
  <si>
    <t>LUCEY</t>
  </si>
  <si>
    <t>KAREN</t>
  </si>
  <si>
    <t>HOFFMANN</t>
  </si>
  <si>
    <t>JASON</t>
  </si>
  <si>
    <t>Converted</t>
  </si>
  <si>
    <t>RN</t>
  </si>
  <si>
    <t>N</t>
  </si>
  <si>
    <t>LANDER</t>
  </si>
  <si>
    <t>BENJAMIN</t>
  </si>
  <si>
    <t>TrioMED 30k 15307</t>
  </si>
  <si>
    <t>ADAM</t>
  </si>
  <si>
    <t>CULBERT</t>
  </si>
  <si>
    <t>SARAH</t>
  </si>
  <si>
    <t>KOZACHECK</t>
  </si>
  <si>
    <t>ANNE MARIE</t>
  </si>
  <si>
    <t>Chargeback</t>
  </si>
  <si>
    <t>WOLFF</t>
  </si>
  <si>
    <t>DOUGLAS</t>
  </si>
  <si>
    <t>BASKERVILLE</t>
  </si>
  <si>
    <t>JOY</t>
  </si>
  <si>
    <t>GRUSKIN</t>
  </si>
  <si>
    <t>SOFIA</t>
  </si>
  <si>
    <t>MCGINLEY</t>
  </si>
  <si>
    <t>THERESA</t>
  </si>
  <si>
    <t>FOLEY</t>
  </si>
  <si>
    <t>CAROL</t>
  </si>
  <si>
    <t>MCDERMOTT</t>
  </si>
  <si>
    <t>LEE</t>
  </si>
  <si>
    <t>MURPHREE</t>
  </si>
  <si>
    <t>PENNY</t>
  </si>
  <si>
    <t>ROKEN</t>
  </si>
  <si>
    <t>BENNY</t>
  </si>
  <si>
    <t>MADDEN</t>
  </si>
  <si>
    <t>CHARLES</t>
  </si>
  <si>
    <t>MATHIS</t>
  </si>
  <si>
    <t>TRAVERSO-RODRIQUEZ</t>
  </si>
  <si>
    <t>JOAQUIN</t>
  </si>
  <si>
    <t>HUANG</t>
  </si>
  <si>
    <t>JERRY</t>
  </si>
  <si>
    <t>GRAY</t>
  </si>
  <si>
    <t>RUSSELL</t>
  </si>
  <si>
    <t>OLSSON</t>
  </si>
  <si>
    <t>KEITH</t>
  </si>
  <si>
    <t>STEHLIK</t>
  </si>
  <si>
    <t>NATHAN</t>
  </si>
  <si>
    <t>TrioMED 15k 15285</t>
  </si>
  <si>
    <t>WOODS</t>
  </si>
  <si>
    <t>ALBERT</t>
  </si>
  <si>
    <t>STRENGTH</t>
  </si>
  <si>
    <t>AMANDA</t>
  </si>
  <si>
    <t>KAPADIA</t>
  </si>
  <si>
    <t>RAJ</t>
  </si>
  <si>
    <t>KABEL</t>
  </si>
  <si>
    <t>POWERS</t>
  </si>
  <si>
    <t>TIMOTHY</t>
  </si>
  <si>
    <t>WILSON</t>
  </si>
  <si>
    <t>SHAWN</t>
  </si>
  <si>
    <t>HERMAN</t>
  </si>
  <si>
    <t>DEANNE</t>
  </si>
  <si>
    <t>BLACK</t>
  </si>
  <si>
    <t>GA</t>
  </si>
  <si>
    <t>BENN</t>
  </si>
  <si>
    <t>Rader</t>
  </si>
  <si>
    <t>John</t>
  </si>
  <si>
    <t>TESTERMAN</t>
  </si>
  <si>
    <t>OWENS</t>
  </si>
  <si>
    <t>TARA</t>
  </si>
  <si>
    <t>JR</t>
  </si>
  <si>
    <t>DAN</t>
  </si>
  <si>
    <t>VA</t>
  </si>
  <si>
    <t>CAMPUZANO</t>
  </si>
  <si>
    <t>JESUS</t>
  </si>
  <si>
    <t>TAPPENDORF</t>
  </si>
  <si>
    <t>JO</t>
  </si>
  <si>
    <t>Sherman</t>
  </si>
  <si>
    <t>Matthew</t>
  </si>
  <si>
    <t>MARTIN</t>
  </si>
  <si>
    <t>PAMELA</t>
  </si>
  <si>
    <t>CRUZ</t>
  </si>
  <si>
    <t>JUAN</t>
  </si>
  <si>
    <t>CABOT</t>
  </si>
  <si>
    <t>ANNA</t>
  </si>
  <si>
    <t>GRIFFIN</t>
  </si>
  <si>
    <t>TALON</t>
  </si>
  <si>
    <t>WIMBERLY</t>
  </si>
  <si>
    <t>DELBERT</t>
  </si>
  <si>
    <t>SMITH</t>
  </si>
  <si>
    <t>TYLER</t>
  </si>
  <si>
    <t>GAINES</t>
  </si>
  <si>
    <t>BRIDGETT</t>
  </si>
  <si>
    <t>AZ</t>
  </si>
  <si>
    <t>KATELENN</t>
  </si>
  <si>
    <t>PHILBRICK</t>
  </si>
  <si>
    <t>SCOTT</t>
  </si>
  <si>
    <t>MERCER</t>
  </si>
  <si>
    <t>MELISSA</t>
  </si>
  <si>
    <t>Cancer and Heart/Stroke 20231</t>
  </si>
  <si>
    <t>MARSELLA</t>
  </si>
  <si>
    <t>ZAVERI</t>
  </si>
  <si>
    <t>ZEEL</t>
  </si>
  <si>
    <t>WOOD</t>
  </si>
  <si>
    <t>KRISTINA</t>
  </si>
  <si>
    <t>GESKE</t>
  </si>
  <si>
    <t>NOVOTNY</t>
  </si>
  <si>
    <t>RUDOLPH</t>
  </si>
  <si>
    <t>DANNIELLE</t>
  </si>
  <si>
    <t>JEPPERSON</t>
  </si>
  <si>
    <t>IA</t>
  </si>
  <si>
    <t>FARNSWORTH</t>
  </si>
  <si>
    <t>ETHAN</t>
  </si>
  <si>
    <t>BOUCHARD</t>
  </si>
  <si>
    <t>PIERRE</t>
  </si>
  <si>
    <t>RAGGETT</t>
  </si>
  <si>
    <t>JAMES</t>
  </si>
  <si>
    <t>BORDEAUX</t>
  </si>
  <si>
    <t>RONNIE</t>
  </si>
  <si>
    <t>DAUGHERTY</t>
  </si>
  <si>
    <t>MATTHEW</t>
  </si>
  <si>
    <t>WADDLE</t>
  </si>
  <si>
    <t>LYNSEY</t>
  </si>
  <si>
    <t>BRUCK</t>
  </si>
  <si>
    <t>MAX</t>
  </si>
  <si>
    <t>CROSSETT</t>
  </si>
  <si>
    <t>DEANNA</t>
  </si>
  <si>
    <t>PAPADOPOULOS</t>
  </si>
  <si>
    <t>DEMETRA</t>
  </si>
  <si>
    <t>PETRUNGARO</t>
  </si>
  <si>
    <t>ANDREA</t>
  </si>
  <si>
    <t>CHAMBERS</t>
  </si>
  <si>
    <t>BOBBI</t>
  </si>
  <si>
    <t>HAAS</t>
  </si>
  <si>
    <t>JIMENEZ</t>
  </si>
  <si>
    <t>FIDEL</t>
  </si>
  <si>
    <t>BRINK</t>
  </si>
  <si>
    <t>JENNA</t>
  </si>
  <si>
    <t>LUTES</t>
  </si>
  <si>
    <t>NANCY</t>
  </si>
  <si>
    <t>THOMAS</t>
  </si>
  <si>
    <t>WRING</t>
  </si>
  <si>
    <t>DAVID</t>
  </si>
  <si>
    <t>HILFIKER</t>
  </si>
  <si>
    <t>KINYUA</t>
  </si>
  <si>
    <t>JARED</t>
  </si>
  <si>
    <t>DIXON</t>
  </si>
  <si>
    <t>LOVETT</t>
  </si>
  <si>
    <t>EDELENBOS</t>
  </si>
  <si>
    <t>URSULA</t>
  </si>
  <si>
    <t>Max</t>
  </si>
  <si>
    <t>Ronald</t>
  </si>
  <si>
    <t>MEYER</t>
  </si>
  <si>
    <t>ALICIA</t>
  </si>
  <si>
    <t>CRAWFORD</t>
  </si>
  <si>
    <t>ALLYSON</t>
  </si>
  <si>
    <t>ROBINSON</t>
  </si>
  <si>
    <t>PATRICIA</t>
  </si>
  <si>
    <t>WI</t>
  </si>
  <si>
    <t>TAUGNER</t>
  </si>
  <si>
    <t>CHRISTIAN</t>
  </si>
  <si>
    <t>CLINE</t>
  </si>
  <si>
    <t>LISA</t>
  </si>
  <si>
    <t>REGNELL</t>
  </si>
  <si>
    <t>SANDRA</t>
  </si>
  <si>
    <t>TN</t>
  </si>
  <si>
    <t>SHABTAI</t>
  </si>
  <si>
    <t>ZIVA</t>
  </si>
  <si>
    <t>FILIPPO</t>
  </si>
  <si>
    <t>JAMIE</t>
  </si>
  <si>
    <t>CONWAY</t>
  </si>
  <si>
    <t>LEMIEUX</t>
  </si>
  <si>
    <t>AMBER</t>
  </si>
  <si>
    <t>Allstate Health Cancer Only 5035</t>
  </si>
  <si>
    <t>HEDGES</t>
  </si>
  <si>
    <t>DANIEL</t>
  </si>
  <si>
    <t>PAPADOPOULOS-BRENNAN</t>
  </si>
  <si>
    <t>BEARD</t>
  </si>
  <si>
    <t>MATEEN</t>
  </si>
  <si>
    <t>MOHAMMAD</t>
  </si>
  <si>
    <t>TOBIN</t>
  </si>
  <si>
    <t>DIANA</t>
  </si>
  <si>
    <t>BALDWIN</t>
  </si>
  <si>
    <t>MONETTE</t>
  </si>
  <si>
    <t>MEHRI</t>
  </si>
  <si>
    <t>SHAKILA</t>
  </si>
  <si>
    <t>OR</t>
  </si>
  <si>
    <t>WATERS</t>
  </si>
  <si>
    <t>CHARITY</t>
  </si>
  <si>
    <t>GONZALEZ</t>
  </si>
  <si>
    <t>HERNAN</t>
  </si>
  <si>
    <t>KORALIJA</t>
  </si>
  <si>
    <t>IVANA</t>
  </si>
  <si>
    <t>DOMMERT</t>
  </si>
  <si>
    <t>TERESA</t>
  </si>
  <si>
    <t>OK</t>
  </si>
  <si>
    <t>DAVIS</t>
  </si>
  <si>
    <t>MORTON</t>
  </si>
  <si>
    <t>MARIEL</t>
  </si>
  <si>
    <t>ZACHER</t>
  </si>
  <si>
    <t>ALLEN</t>
  </si>
  <si>
    <t>MARSHALL</t>
  </si>
  <si>
    <t>RUBEN</t>
  </si>
  <si>
    <t>NIKOLICH</t>
  </si>
  <si>
    <t>HEIDI</t>
  </si>
  <si>
    <t>KERSEY</t>
  </si>
  <si>
    <t>ANDREW</t>
  </si>
  <si>
    <t>MILLER</t>
  </si>
  <si>
    <t>PALOIAN</t>
  </si>
  <si>
    <t>WHITAKER</t>
  </si>
  <si>
    <t>EMILY</t>
  </si>
  <si>
    <t>BUIE</t>
  </si>
  <si>
    <t>TAMARA</t>
  </si>
  <si>
    <t>Chad</t>
  </si>
  <si>
    <t>DUARTE</t>
  </si>
  <si>
    <t>AMY</t>
  </si>
  <si>
    <t>GRACE</t>
  </si>
  <si>
    <t>YOUNG</t>
  </si>
  <si>
    <t>CHRISTOPHER</t>
  </si>
  <si>
    <t>FAIR</t>
  </si>
  <si>
    <t>JOHNNIE</t>
  </si>
  <si>
    <t>ROTHENBERG</t>
  </si>
  <si>
    <t>MIRAMONTES</t>
  </si>
  <si>
    <t>VERONICA</t>
  </si>
  <si>
    <t>SEKULICH</t>
  </si>
  <si>
    <t>CURTIS</t>
  </si>
  <si>
    <t>TEMPLETON</t>
  </si>
  <si>
    <t>TODD</t>
  </si>
  <si>
    <t>FANKHAUSER</t>
  </si>
  <si>
    <t>Halsaver</t>
  </si>
  <si>
    <t>Jennifer</t>
  </si>
  <si>
    <t>SHAW</t>
  </si>
  <si>
    <t>KELLY</t>
  </si>
  <si>
    <t>MORRIS</t>
  </si>
  <si>
    <t>MOLLY</t>
  </si>
  <si>
    <t>LILLIE</t>
  </si>
  <si>
    <t>SANTIAGO</t>
  </si>
  <si>
    <t>ANGELICA</t>
  </si>
  <si>
    <t>HIBBITTS</t>
  </si>
  <si>
    <t>MICHAEL</t>
  </si>
  <si>
    <t>MO</t>
  </si>
  <si>
    <t>BRENT</t>
  </si>
  <si>
    <t>BROOKS</t>
  </si>
  <si>
    <t>SHANNON</t>
  </si>
  <si>
    <t>KINNEY</t>
  </si>
  <si>
    <t>JEFFERY</t>
  </si>
  <si>
    <t>GORMAN</t>
  </si>
  <si>
    <t>PARDUE</t>
  </si>
  <si>
    <t>WINIFRED</t>
  </si>
  <si>
    <t>MORALES</t>
  </si>
  <si>
    <t>AARON</t>
  </si>
  <si>
    <t>LISKOVEC</t>
  </si>
  <si>
    <t>FRANK</t>
  </si>
  <si>
    <t>DAVISON</t>
  </si>
  <si>
    <t>AIMAN</t>
  </si>
  <si>
    <t>BEAVER</t>
  </si>
  <si>
    <t>BUFFY</t>
  </si>
  <si>
    <t>AK</t>
  </si>
  <si>
    <t>KLINGELE</t>
  </si>
  <si>
    <t>HESS</t>
  </si>
  <si>
    <t>Hess</t>
  </si>
  <si>
    <t>HARRINGTON</t>
  </si>
  <si>
    <t>STALLSMITH</t>
  </si>
  <si>
    <t>GASKILL</t>
  </si>
  <si>
    <t>WALKER</t>
  </si>
  <si>
    <t>MICHELE</t>
  </si>
  <si>
    <t>Green</t>
  </si>
  <si>
    <t>Danna</t>
  </si>
  <si>
    <t>CHESTER</t>
  </si>
  <si>
    <t>CARA</t>
  </si>
  <si>
    <t>RODDAM</t>
  </si>
  <si>
    <t>MEGAN</t>
  </si>
  <si>
    <t>PAUL</t>
  </si>
  <si>
    <t>KIMBER</t>
  </si>
  <si>
    <t>DULANG</t>
  </si>
  <si>
    <t>ELMA</t>
  </si>
  <si>
    <t>CASEY</t>
  </si>
  <si>
    <t>SEAN</t>
  </si>
  <si>
    <t>ESPINA</t>
  </si>
  <si>
    <t>RALF</t>
  </si>
  <si>
    <t>RAINS</t>
  </si>
  <si>
    <t>JONATHAN</t>
  </si>
  <si>
    <t>KS</t>
  </si>
  <si>
    <t>WAUL</t>
  </si>
  <si>
    <t>MEDINA</t>
  </si>
  <si>
    <t>LUIS</t>
  </si>
  <si>
    <t>CRAIG</t>
  </si>
  <si>
    <t>HOPSON</t>
  </si>
  <si>
    <t>BARRETT</t>
  </si>
  <si>
    <t>MOURILLON</t>
  </si>
  <si>
    <t>NICOLE</t>
  </si>
  <si>
    <t>CHAFA</t>
  </si>
  <si>
    <t>VICTOR</t>
  </si>
  <si>
    <t>NAGY</t>
  </si>
  <si>
    <t>JULIE</t>
  </si>
  <si>
    <t>CADENA</t>
  </si>
  <si>
    <t>ALFAHEL</t>
  </si>
  <si>
    <t>WASEEM</t>
  </si>
  <si>
    <t>IANNOTTI</t>
  </si>
  <si>
    <t>BILLIE</t>
  </si>
  <si>
    <t>CROCKETT</t>
  </si>
  <si>
    <t>REBECCA</t>
  </si>
  <si>
    <t>KLADZYK</t>
  </si>
  <si>
    <t>KRISTY</t>
  </si>
  <si>
    <t>LAZARUS</t>
  </si>
  <si>
    <t>JERIMY</t>
  </si>
  <si>
    <t>WALLACE</t>
  </si>
  <si>
    <t>NICKOLE</t>
  </si>
  <si>
    <t>SOMSEN</t>
  </si>
  <si>
    <t>JEANNIE</t>
  </si>
  <si>
    <t>KANG</t>
  </si>
  <si>
    <t>JEANNE</t>
  </si>
  <si>
    <t>MURRAY</t>
  </si>
  <si>
    <t>MARK</t>
  </si>
  <si>
    <t>BONILLA-LAMBOY</t>
  </si>
  <si>
    <t>FREDDIE</t>
  </si>
  <si>
    <t>DOHERTY</t>
  </si>
  <si>
    <t>SELAGEA</t>
  </si>
  <si>
    <t>DANIELA</t>
  </si>
  <si>
    <t>EVANS</t>
  </si>
  <si>
    <t>PATRICK</t>
  </si>
  <si>
    <t>REED</t>
  </si>
  <si>
    <t>EUGENE</t>
  </si>
  <si>
    <t>VILLANO</t>
  </si>
  <si>
    <t>Sanderock</t>
  </si>
  <si>
    <t>Marsha</t>
  </si>
  <si>
    <t>BRANIA</t>
  </si>
  <si>
    <t>DYLAN</t>
  </si>
  <si>
    <t>CORLEY</t>
  </si>
  <si>
    <t>HEATH-BROST</t>
  </si>
  <si>
    <t>ROBERTS</t>
  </si>
  <si>
    <t>SELINNA</t>
  </si>
  <si>
    <t>ELS</t>
  </si>
  <si>
    <t>DIAH</t>
  </si>
  <si>
    <t>PETERSON</t>
  </si>
  <si>
    <t>HENDRIX</t>
  </si>
  <si>
    <t>CHRISTY</t>
  </si>
  <si>
    <t>JUDSON</t>
  </si>
  <si>
    <t>MASON</t>
  </si>
  <si>
    <t>BROOME</t>
  </si>
  <si>
    <t>KIMBERLEY</t>
  </si>
  <si>
    <t>WILLER</t>
  </si>
  <si>
    <t>Life Association C All Other States</t>
  </si>
  <si>
    <t>SLAIS</t>
  </si>
  <si>
    <t>COLIN</t>
  </si>
  <si>
    <t>LIFE Association Membership - C 14956 PPO</t>
  </si>
  <si>
    <t>LARSON</t>
  </si>
  <si>
    <t>ANTOINETTE</t>
  </si>
  <si>
    <t>WAGNER</t>
  </si>
  <si>
    <t>LYNDON</t>
  </si>
  <si>
    <t>LYNN</t>
  </si>
  <si>
    <t>OBRIEN</t>
  </si>
  <si>
    <t>KY</t>
  </si>
  <si>
    <t>FABRITZ</t>
  </si>
  <si>
    <t>DOWDA</t>
  </si>
  <si>
    <t>DENEEN</t>
  </si>
  <si>
    <t>CARLSON</t>
  </si>
  <si>
    <t>ARTHUR</t>
  </si>
  <si>
    <t>HOEPPNER</t>
  </si>
  <si>
    <t>ANTHONY</t>
  </si>
  <si>
    <t>FINNIGAN</t>
  </si>
  <si>
    <t>DEWALD</t>
  </si>
  <si>
    <t>DEBBIE</t>
  </si>
  <si>
    <t>LIFE Association Membership - C 14956 LM</t>
  </si>
  <si>
    <t>JUWAN</t>
  </si>
  <si>
    <t>WILLIAMS</t>
  </si>
  <si>
    <t>KIMBERLY</t>
  </si>
  <si>
    <t>MITCHELL</t>
  </si>
  <si>
    <t>CLEON</t>
  </si>
  <si>
    <t>HEVELONE</t>
  </si>
  <si>
    <t>JODI</t>
  </si>
  <si>
    <t>O'REILLY</t>
  </si>
  <si>
    <t>JUDITH</t>
  </si>
  <si>
    <t>HANSFORD</t>
  </si>
  <si>
    <t>JADE</t>
  </si>
  <si>
    <t>LEVINSON</t>
  </si>
  <si>
    <t>SANTOS</t>
  </si>
  <si>
    <t>RICARDO</t>
  </si>
  <si>
    <t>PANICKER</t>
  </si>
  <si>
    <t>ISAAC</t>
  </si>
  <si>
    <t>A1</t>
  </si>
  <si>
    <t>PESZEK</t>
  </si>
  <si>
    <t>A10</t>
  </si>
  <si>
    <t>HOPKINS</t>
  </si>
  <si>
    <t>LEIGH</t>
  </si>
  <si>
    <t>Life Association C IN</t>
  </si>
  <si>
    <t>STACEY</t>
  </si>
  <si>
    <t>DE</t>
  </si>
  <si>
    <t>Life Association C OH</t>
  </si>
  <si>
    <t>EPLER</t>
  </si>
  <si>
    <t>NATHANIEL</t>
  </si>
  <si>
    <t>Carney</t>
  </si>
  <si>
    <t>Daniel</t>
  </si>
  <si>
    <t>FONTANINI</t>
  </si>
  <si>
    <t>BRANDEE</t>
  </si>
  <si>
    <t>WHITLOCK</t>
  </si>
  <si>
    <t>KIERSTON</t>
  </si>
  <si>
    <t>BELTZ</t>
  </si>
  <si>
    <t>MAGNOLIA</t>
  </si>
  <si>
    <t>DEBORAH</t>
  </si>
  <si>
    <t>PILLAY</t>
  </si>
  <si>
    <t>YEGENDREN</t>
  </si>
  <si>
    <t>FERNANDEZ</t>
  </si>
  <si>
    <t>FERNANDO</t>
  </si>
  <si>
    <t>MOUE</t>
  </si>
  <si>
    <t>SOLANGE</t>
  </si>
  <si>
    <t>RAMOS</t>
  </si>
  <si>
    <t>DULCE</t>
  </si>
  <si>
    <t>CROMARTE</t>
  </si>
  <si>
    <t>AIESHA</t>
  </si>
  <si>
    <t>BARNES</t>
  </si>
  <si>
    <t>LINDA</t>
  </si>
  <si>
    <t>CASTILLO</t>
  </si>
  <si>
    <t>HINTON</t>
  </si>
  <si>
    <t>EMMALINE</t>
  </si>
  <si>
    <t>GUILKEY</t>
  </si>
  <si>
    <t>BRENNAN</t>
  </si>
  <si>
    <t>SONG</t>
  </si>
  <si>
    <t>HOLLY</t>
  </si>
  <si>
    <t>BISCHOFFER</t>
  </si>
  <si>
    <t>FULLER</t>
  </si>
  <si>
    <t>SUSAN</t>
  </si>
  <si>
    <t>BLADES</t>
  </si>
  <si>
    <t>CHERYL</t>
  </si>
  <si>
    <t>SAGI</t>
  </si>
  <si>
    <t>CARRYER</t>
  </si>
  <si>
    <t>FIGUEROA</t>
  </si>
  <si>
    <t>SPIKER</t>
  </si>
  <si>
    <t>LANCELOT</t>
  </si>
  <si>
    <t>LOPEZ</t>
  </si>
  <si>
    <t>YACAVACE</t>
  </si>
  <si>
    <t>AGUGLIA</t>
  </si>
  <si>
    <t>MORGAN</t>
  </si>
  <si>
    <t>NOAH</t>
  </si>
  <si>
    <t>COFFMAN</t>
  </si>
  <si>
    <t>INSKIPT</t>
  </si>
  <si>
    <t>SORTO</t>
  </si>
  <si>
    <t>TONYA</t>
  </si>
  <si>
    <t>FARNAM</t>
  </si>
  <si>
    <t>DESOUSA</t>
  </si>
  <si>
    <t>KYLE</t>
  </si>
  <si>
    <t>STINSON</t>
  </si>
  <si>
    <t>EVAN</t>
  </si>
  <si>
    <t>BEJJANI</t>
  </si>
  <si>
    <t>ADELYNE</t>
  </si>
  <si>
    <t>STOFKA</t>
  </si>
  <si>
    <t>COPPLE</t>
  </si>
  <si>
    <t>HAWKINSON</t>
  </si>
  <si>
    <t>RICHARD</t>
  </si>
  <si>
    <t>NAIDOO</t>
  </si>
  <si>
    <t>JIOVANI</t>
  </si>
  <si>
    <t>HORVATH</t>
  </si>
  <si>
    <t>ROBERT</t>
  </si>
  <si>
    <t>KRYSIK</t>
  </si>
  <si>
    <t>CASILLAS</t>
  </si>
  <si>
    <t>CAROLINA</t>
  </si>
  <si>
    <t>REID-KAPLAN</t>
  </si>
  <si>
    <t>MAZILYN</t>
  </si>
  <si>
    <t>ESPINOZA</t>
  </si>
  <si>
    <t>MAITRELLY</t>
  </si>
  <si>
    <t>CHEN</t>
  </si>
  <si>
    <t>GARBO</t>
  </si>
  <si>
    <t>PISTORIUS</t>
  </si>
  <si>
    <t>ELIANA</t>
  </si>
  <si>
    <t>DODSON</t>
  </si>
  <si>
    <t>LORA</t>
  </si>
  <si>
    <t>WOODWARD</t>
  </si>
  <si>
    <t>OLIBUEL</t>
  </si>
  <si>
    <t>JACKSON-EILAND</t>
  </si>
  <si>
    <t>TINYA</t>
  </si>
  <si>
    <t>KEO</t>
  </si>
  <si>
    <t>PRANY</t>
  </si>
  <si>
    <t>THANADABOUTH</t>
  </si>
  <si>
    <t>PATSAMON</t>
  </si>
  <si>
    <t>CORNELL</t>
  </si>
  <si>
    <t>LINNEA</t>
  </si>
  <si>
    <t>MAXWELL</t>
  </si>
  <si>
    <t>KALMAN</t>
  </si>
  <si>
    <t>PAINTER</t>
  </si>
  <si>
    <t>DUNAVANT</t>
  </si>
  <si>
    <t>KATRINA</t>
  </si>
  <si>
    <t>HERRICK</t>
  </si>
  <si>
    <t>THOMSON</t>
  </si>
  <si>
    <t>MARTHA</t>
  </si>
  <si>
    <t>OLEVICH</t>
  </si>
  <si>
    <t>Drapac</t>
  </si>
  <si>
    <t>Stephanie</t>
  </si>
  <si>
    <t>BONILLA</t>
  </si>
  <si>
    <t>JANIE</t>
  </si>
  <si>
    <t>SCHARF</t>
  </si>
  <si>
    <t>DOMINGUEZ</t>
  </si>
  <si>
    <t>CLARK</t>
  </si>
  <si>
    <t>JAN</t>
  </si>
  <si>
    <t>GIANNELLI</t>
  </si>
  <si>
    <t>ANDREWS</t>
  </si>
  <si>
    <t>ALESI</t>
  </si>
  <si>
    <t>Horn</t>
  </si>
  <si>
    <t>Jeffrey</t>
  </si>
  <si>
    <t>NADINE</t>
  </si>
  <si>
    <t>TEHAN</t>
  </si>
  <si>
    <t>LIEZL</t>
  </si>
  <si>
    <t>ZISKA</t>
  </si>
  <si>
    <t>Shepard</t>
  </si>
  <si>
    <t>Jill</t>
  </si>
  <si>
    <t>RENITA</t>
  </si>
  <si>
    <t>BROWN</t>
  </si>
  <si>
    <t>RANDEL</t>
  </si>
  <si>
    <t>KAZBAI</t>
  </si>
  <si>
    <t>AGIN</t>
  </si>
  <si>
    <t>BUSSEY</t>
  </si>
  <si>
    <t>LILLY</t>
  </si>
  <si>
    <t>RENAE</t>
  </si>
  <si>
    <t>Facchini</t>
  </si>
  <si>
    <t>Kristen</t>
  </si>
  <si>
    <t>MCCLAIN</t>
  </si>
  <si>
    <t>WILLIE</t>
  </si>
  <si>
    <t>RICHES</t>
  </si>
  <si>
    <t>HOLDEN</t>
  </si>
  <si>
    <t>JOANN</t>
  </si>
  <si>
    <t>CERASANI</t>
  </si>
  <si>
    <t>PESINA</t>
  </si>
  <si>
    <t>MARLON</t>
  </si>
  <si>
    <t>GULLETTE-JOUHNSON</t>
  </si>
  <si>
    <t>PATTON</t>
  </si>
  <si>
    <t>SPILOTRO</t>
  </si>
  <si>
    <t>STELLA</t>
  </si>
  <si>
    <t>BLANCA</t>
  </si>
  <si>
    <t>CONAL</t>
  </si>
  <si>
    <t>HOMDUS</t>
  </si>
  <si>
    <t>ALMA</t>
  </si>
  <si>
    <t>WOLZEN</t>
  </si>
  <si>
    <t>Roller</t>
  </si>
  <si>
    <t>Jason</t>
  </si>
  <si>
    <t>PERKINS</t>
  </si>
  <si>
    <t>ROSS</t>
  </si>
  <si>
    <t>DEATON</t>
  </si>
  <si>
    <t>LONG</t>
  </si>
  <si>
    <t>AIDEN</t>
  </si>
  <si>
    <t>RESURRECCION</t>
  </si>
  <si>
    <t>ROSAL</t>
  </si>
  <si>
    <t>ZINTL</t>
  </si>
  <si>
    <t>QUINN</t>
  </si>
  <si>
    <t>WILLIAMSON</t>
  </si>
  <si>
    <t>BEVERLY</t>
  </si>
  <si>
    <t>HERNANDEZ</t>
  </si>
  <si>
    <t>JOSE</t>
  </si>
  <si>
    <t>BURROUGHS</t>
  </si>
  <si>
    <t>ANGELO</t>
  </si>
  <si>
    <t>FISCHER</t>
  </si>
  <si>
    <t>DANA</t>
  </si>
  <si>
    <t>WEBB</t>
  </si>
  <si>
    <t>BARRO</t>
  </si>
  <si>
    <t>WADE</t>
  </si>
  <si>
    <t>SHERI</t>
  </si>
  <si>
    <t>WOJCIECHOWSKI</t>
  </si>
  <si>
    <t>LAZAREVSKI</t>
  </si>
  <si>
    <t>TOMISLAV</t>
  </si>
  <si>
    <t>KOENEMAN</t>
  </si>
  <si>
    <t>STANGE</t>
  </si>
  <si>
    <t>GUNTHER</t>
  </si>
  <si>
    <t>KAUR</t>
  </si>
  <si>
    <t>MANJIT</t>
  </si>
  <si>
    <t>HECHT</t>
  </si>
  <si>
    <t>GALIINDO</t>
  </si>
  <si>
    <t>SERGIO</t>
  </si>
  <si>
    <t>BRENNER</t>
  </si>
  <si>
    <t>BARRY</t>
  </si>
  <si>
    <t>KALKOUNOS</t>
  </si>
  <si>
    <t>PEGGY</t>
  </si>
  <si>
    <t>JUAREZ</t>
  </si>
  <si>
    <t>ALTANSELEM</t>
  </si>
  <si>
    <t>DASHGAADAN</t>
  </si>
  <si>
    <t>ZANA</t>
  </si>
  <si>
    <t>NASANDELGER</t>
  </si>
  <si>
    <t>SHERMAN</t>
  </si>
  <si>
    <t>MALCOLM</t>
  </si>
  <si>
    <t>MCCORMACK</t>
  </si>
  <si>
    <t>KHATIB</t>
  </si>
  <si>
    <t>HANADA</t>
  </si>
  <si>
    <t>Abdul</t>
  </si>
  <si>
    <t>Saadia</t>
  </si>
  <si>
    <t>BARTOLACCI</t>
  </si>
  <si>
    <t>ARIANNA</t>
  </si>
  <si>
    <t>BELLO</t>
  </si>
  <si>
    <t>BOSE</t>
  </si>
  <si>
    <t>LATHAM</t>
  </si>
  <si>
    <t>WU</t>
  </si>
  <si>
    <t>TZU</t>
  </si>
  <si>
    <t>ELLIS</t>
  </si>
  <si>
    <t>JOYCE</t>
  </si>
  <si>
    <t>DORMAN</t>
  </si>
  <si>
    <t>KORAIJA</t>
  </si>
  <si>
    <t>CHULUUNBAT</t>
  </si>
  <si>
    <t>UNDRALTSETSEG</t>
  </si>
  <si>
    <t>SESSO</t>
  </si>
  <si>
    <t>CAROLYN</t>
  </si>
  <si>
    <t>SADDLER</t>
  </si>
  <si>
    <t>VANITA</t>
  </si>
  <si>
    <t>Saddler</t>
  </si>
  <si>
    <t>Vanita</t>
  </si>
  <si>
    <t>COTTER</t>
  </si>
  <si>
    <t>JURMED</t>
  </si>
  <si>
    <t>BATTULGA</t>
  </si>
  <si>
    <t>BOSLEY</t>
  </si>
  <si>
    <t>Karns</t>
  </si>
  <si>
    <t>DAWN</t>
  </si>
  <si>
    <t>HERROLD</t>
  </si>
  <si>
    <t>DASCEL</t>
  </si>
  <si>
    <t>MAZARIEGOS</t>
  </si>
  <si>
    <t>ROBERTO</t>
  </si>
  <si>
    <t>TORRES</t>
  </si>
  <si>
    <t>CUE</t>
  </si>
  <si>
    <t>BRUCE</t>
  </si>
  <si>
    <t>NHIC STM PPO All Other States Renewable</t>
  </si>
  <si>
    <t>NHIC STM PPO All Other States</t>
  </si>
  <si>
    <t>NHIC STM 2022 IN, UT Renewable</t>
  </si>
  <si>
    <t>NHIC STM 2022 IN, UT Single Term</t>
  </si>
  <si>
    <t>NHIC STM 2022 OH Single Term</t>
  </si>
  <si>
    <t>NHIC STM PPO MO-NC-OR-IN-TN</t>
  </si>
  <si>
    <t>Recuro 2022 IN Renewable</t>
  </si>
  <si>
    <t>Recuro 2022 IN Single Term</t>
  </si>
  <si>
    <t>PARKER</t>
  </si>
  <si>
    <t>Heidi</t>
  </si>
  <si>
    <t>Recuro  PPO MO-NC-OR-IN-TN</t>
  </si>
  <si>
    <t>HOLSENDOLPH</t>
  </si>
  <si>
    <t>DARRYL</t>
  </si>
  <si>
    <t>NHIC Dental 2020 DVH 65+</t>
  </si>
  <si>
    <t>WHIGHAM</t>
  </si>
  <si>
    <t>GEHRON</t>
  </si>
  <si>
    <t>AMIE</t>
  </si>
  <si>
    <t>SLOTT</t>
  </si>
  <si>
    <t>COLLETTA</t>
  </si>
  <si>
    <t>HENRY</t>
  </si>
  <si>
    <t>AFRASSIAB</t>
  </si>
  <si>
    <t>MONA</t>
  </si>
  <si>
    <t>BARBARA</t>
  </si>
  <si>
    <t>ANDERSON</t>
  </si>
  <si>
    <t>STEVEN</t>
  </si>
  <si>
    <t>NHIC LM 2021 SENIOR INDEMNITY 65+</t>
  </si>
  <si>
    <t>GUNTER</t>
  </si>
  <si>
    <t>DARRELL</t>
  </si>
  <si>
    <t>CBK</t>
  </si>
  <si>
    <t>Accident Fixed Benefit</t>
  </si>
  <si>
    <t>PEGRAM</t>
  </si>
  <si>
    <t>MARCELLUS</t>
  </si>
  <si>
    <t>METUIWE</t>
  </si>
  <si>
    <t>IFEANYICHUKWU</t>
  </si>
  <si>
    <t>LARRY</t>
  </si>
  <si>
    <t>STOKES</t>
  </si>
  <si>
    <t>ROBYN</t>
  </si>
  <si>
    <t>STEPHANIE</t>
  </si>
  <si>
    <t>MESEROLL</t>
  </si>
  <si>
    <t>SALMETE</t>
  </si>
  <si>
    <t>ACE</t>
  </si>
  <si>
    <t>GERALD</t>
  </si>
  <si>
    <t>SHOEMAKER</t>
  </si>
  <si>
    <t>DOMINIQUE</t>
  </si>
  <si>
    <t>BRADLEY</t>
  </si>
  <si>
    <t>JARES</t>
  </si>
  <si>
    <t>ELYASIAN</t>
  </si>
  <si>
    <t>YONATHAN</t>
  </si>
  <si>
    <t>Recuro PPO All Other States</t>
  </si>
  <si>
    <t>PAIGE</t>
  </si>
  <si>
    <t>RANDALYNN</t>
  </si>
  <si>
    <t>ELIAS</t>
  </si>
  <si>
    <t>OLOUGHLIN</t>
  </si>
  <si>
    <t>RIO-COOPER</t>
  </si>
  <si>
    <t>WENGERSKI</t>
  </si>
  <si>
    <t>ANITA</t>
  </si>
  <si>
    <t>ORZECHOWSKI</t>
  </si>
  <si>
    <t>ELISE</t>
  </si>
  <si>
    <t>STRUCHEN</t>
  </si>
  <si>
    <t>KELSEY</t>
  </si>
  <si>
    <t>Hodgman</t>
  </si>
  <si>
    <t>Timothy</t>
  </si>
  <si>
    <t>SELLS</t>
  </si>
  <si>
    <t>HEATHER</t>
  </si>
  <si>
    <t>SCHAEFFER</t>
  </si>
  <si>
    <t>MURATA</t>
  </si>
  <si>
    <t>FUENTES</t>
  </si>
  <si>
    <t>RABIN</t>
  </si>
  <si>
    <t>ALAN</t>
  </si>
  <si>
    <t>KINCAID</t>
  </si>
  <si>
    <t>KEVIN</t>
  </si>
  <si>
    <t>SAUL</t>
  </si>
  <si>
    <t>JESSICA</t>
  </si>
  <si>
    <t>FAUST</t>
  </si>
  <si>
    <t>AUDREY</t>
  </si>
  <si>
    <t>SHIPBAUGH</t>
  </si>
  <si>
    <t>BROOKE</t>
  </si>
  <si>
    <t>DIAZ</t>
  </si>
  <si>
    <t>DELIA</t>
  </si>
  <si>
    <t>TARPLEY</t>
  </si>
  <si>
    <t>SHAUN</t>
  </si>
  <si>
    <t>RICORDER</t>
  </si>
  <si>
    <t>GABRIEL</t>
  </si>
  <si>
    <t>Tigue</t>
  </si>
  <si>
    <t>Kirk</t>
  </si>
  <si>
    <t>BINEKEY</t>
  </si>
  <si>
    <t>ASHLEY</t>
  </si>
  <si>
    <t>BRANDY</t>
  </si>
  <si>
    <t>FARROW</t>
  </si>
  <si>
    <t>SARA</t>
  </si>
  <si>
    <t>RIVERA</t>
  </si>
  <si>
    <t>MATHIAS</t>
  </si>
  <si>
    <t>HIBBARD</t>
  </si>
  <si>
    <t>TIMMY</t>
  </si>
  <si>
    <t>Powers</t>
  </si>
  <si>
    <t>VAETH</t>
  </si>
  <si>
    <t>RUTH</t>
  </si>
  <si>
    <t>KIMMEL</t>
  </si>
  <si>
    <t>KAMRYN</t>
  </si>
  <si>
    <t>KRAMER</t>
  </si>
  <si>
    <t>STEVE</t>
  </si>
  <si>
    <t>SKOPIS</t>
  </si>
  <si>
    <t>CHRIS</t>
  </si>
  <si>
    <t>MERCEDES</t>
  </si>
  <si>
    <t>JONES</t>
  </si>
  <si>
    <t>AHSAKI</t>
  </si>
  <si>
    <t>YVETTE</t>
  </si>
  <si>
    <t>Weller</t>
  </si>
  <si>
    <t>Nathan</t>
  </si>
  <si>
    <t>SHERWOOD</t>
  </si>
  <si>
    <t>SAMANTHA</t>
  </si>
  <si>
    <t>BRADFORD</t>
  </si>
  <si>
    <t>PHONETHIP</t>
  </si>
  <si>
    <t>KHALIL</t>
  </si>
  <si>
    <t>NICHOLAS</t>
  </si>
  <si>
    <t>LEONS</t>
  </si>
  <si>
    <t>LOCKS</t>
  </si>
  <si>
    <t>DANIELLE</t>
  </si>
  <si>
    <t>HIGNIGHT</t>
  </si>
  <si>
    <t>JEREMY</t>
  </si>
  <si>
    <t>AR</t>
  </si>
  <si>
    <t>WILKINSON</t>
  </si>
  <si>
    <t>CANADY</t>
  </si>
  <si>
    <t>BOBBY</t>
  </si>
  <si>
    <t>HEATH</t>
  </si>
  <si>
    <t>WICK</t>
  </si>
  <si>
    <t>DOMENIC</t>
  </si>
  <si>
    <t>CANNIE</t>
  </si>
  <si>
    <t>QUINCY</t>
  </si>
  <si>
    <t>MOONEY</t>
  </si>
  <si>
    <t>WAKELEY</t>
  </si>
  <si>
    <t>FELICHA</t>
  </si>
  <si>
    <t>GREGG</t>
  </si>
  <si>
    <t>Allstate Health Access (GI)</t>
  </si>
  <si>
    <t>GUENOT</t>
  </si>
  <si>
    <t>TROY</t>
  </si>
  <si>
    <t>Henry</t>
  </si>
  <si>
    <t>Michael</t>
  </si>
  <si>
    <t>CIERVO</t>
  </si>
  <si>
    <t>MARA</t>
  </si>
  <si>
    <t>NACE</t>
  </si>
  <si>
    <t>CAHILL</t>
  </si>
  <si>
    <t>MADILYN</t>
  </si>
  <si>
    <t>Roccia</t>
  </si>
  <si>
    <t>Mark</t>
  </si>
  <si>
    <t>Medicare Supplement</t>
  </si>
  <si>
    <t>NHIC MedSupp 2022 IL Plan F, G Age 65-80</t>
  </si>
  <si>
    <t>OFZKY</t>
  </si>
  <si>
    <t>JUSTICE-BOWERS</t>
  </si>
  <si>
    <t>PHELPS</t>
  </si>
  <si>
    <t>ROGER</t>
  </si>
  <si>
    <t>MAERTENS</t>
  </si>
  <si>
    <t>CHRISTIANSEN</t>
  </si>
  <si>
    <t>BEST</t>
  </si>
  <si>
    <t>MICHAYLA</t>
  </si>
  <si>
    <t>STEAD</t>
  </si>
  <si>
    <t>HUMPHRIES</t>
  </si>
  <si>
    <t>WESTAWSKI</t>
  </si>
  <si>
    <t>JONI</t>
  </si>
  <si>
    <t>CORBIN</t>
  </si>
  <si>
    <t>BAYARSAIKHAN</t>
  </si>
  <si>
    <t>BATBOLD</t>
  </si>
  <si>
    <t>STOETZEL</t>
  </si>
  <si>
    <t>TYLLER</t>
  </si>
  <si>
    <t>SERRANO</t>
  </si>
  <si>
    <t>MAGDALENA</t>
  </si>
  <si>
    <t>COLLINS</t>
  </si>
  <si>
    <t>DEBRA</t>
  </si>
  <si>
    <t>DUKE</t>
  </si>
  <si>
    <t>QIGLEY</t>
  </si>
  <si>
    <t>MCDANIEL</t>
  </si>
  <si>
    <t>ROWAN</t>
  </si>
  <si>
    <t>MORRELL</t>
  </si>
  <si>
    <t>RINCHINDORJ</t>
  </si>
  <si>
    <t>YERUULT</t>
  </si>
  <si>
    <t>FLYNN</t>
  </si>
  <si>
    <t>BRION</t>
  </si>
  <si>
    <t>JAQUALINE</t>
  </si>
  <si>
    <t>SHEN</t>
  </si>
  <si>
    <t>LAUREN</t>
  </si>
  <si>
    <t>LARSEN</t>
  </si>
  <si>
    <t>DEVIN</t>
  </si>
  <si>
    <t>HERRERA-LARSEN</t>
  </si>
  <si>
    <t>MONTOYA</t>
  </si>
  <si>
    <t>JOHANNA</t>
  </si>
  <si>
    <t>ROSENAU</t>
  </si>
  <si>
    <t>JILL</t>
  </si>
  <si>
    <t>COCKRELL</t>
  </si>
  <si>
    <t>TERRY</t>
  </si>
  <si>
    <t>MS</t>
  </si>
  <si>
    <t>TINA</t>
  </si>
  <si>
    <t>EDWARD</t>
  </si>
  <si>
    <t>SPENCER</t>
  </si>
  <si>
    <t>AMARBAYASGALAN</t>
  </si>
  <si>
    <t>GANBOLD</t>
  </si>
  <si>
    <t>BOUNSINH</t>
  </si>
  <si>
    <t>LATSAMY</t>
  </si>
  <si>
    <t>SANDBERG</t>
  </si>
  <si>
    <t>MULLHAUSEN</t>
  </si>
  <si>
    <t>MERRITT</t>
  </si>
  <si>
    <t>ON</t>
  </si>
  <si>
    <t>SAEED</t>
  </si>
  <si>
    <t>SAADIA</t>
  </si>
  <si>
    <t>SCHAUDT</t>
  </si>
  <si>
    <t>KARISSA</t>
  </si>
  <si>
    <t>DARINGER</t>
  </si>
  <si>
    <t>BAYLOR</t>
  </si>
  <si>
    <t>JASMINE</t>
  </si>
  <si>
    <t>ROTHSTEIN</t>
  </si>
  <si>
    <t>RIECHERS</t>
  </si>
  <si>
    <t>KATELYN</t>
  </si>
  <si>
    <t>SCHNEIDER</t>
  </si>
  <si>
    <t>TONI</t>
  </si>
  <si>
    <t>BRINKMOELLER</t>
  </si>
  <si>
    <t>SYLVIA</t>
  </si>
  <si>
    <t>RANDY</t>
  </si>
  <si>
    <t>CONRAD</t>
  </si>
  <si>
    <t>EMALEE</t>
  </si>
  <si>
    <t>MORIETTA</t>
  </si>
  <si>
    <t>19278370old</t>
  </si>
  <si>
    <t>17886092OVR</t>
  </si>
  <si>
    <t>5442438O</t>
  </si>
  <si>
    <t>16633294AV6</t>
  </si>
  <si>
    <t>6634327AV6</t>
  </si>
  <si>
    <t>19200754AV6</t>
  </si>
  <si>
    <t>19586992AV6</t>
  </si>
  <si>
    <t>Allstate OVR</t>
  </si>
  <si>
    <t>Cancer and Heart-Stroke 20231</t>
  </si>
  <si>
    <t>Critical Illness with Term Life 21677</t>
  </si>
  <si>
    <t>Cancer and Heart-Stroke 20231 CO-FL-MN-MI</t>
  </si>
  <si>
    <t>Life Association C</t>
  </si>
  <si>
    <t>NHIC STM 2022 IN Single Term</t>
  </si>
  <si>
    <t>NHIC STM PPO IA</t>
  </si>
  <si>
    <t>National General GI Access Plan-All States</t>
  </si>
  <si>
    <t>NHIC MedSupp 2022 Plan F G Age 65-80</t>
  </si>
  <si>
    <t>18781057N</t>
  </si>
  <si>
    <t>8812322AV6L3</t>
  </si>
  <si>
    <t>19279958old</t>
  </si>
  <si>
    <t>21313588AV6</t>
  </si>
  <si>
    <t>19681796AV6</t>
  </si>
  <si>
    <t>7470776AV6</t>
  </si>
  <si>
    <t>16865615AV6</t>
  </si>
  <si>
    <t>18201929L2</t>
  </si>
  <si>
    <t>371819L4AV6</t>
  </si>
  <si>
    <t>8814784AV6</t>
  </si>
  <si>
    <t>17740520AV6</t>
  </si>
  <si>
    <t>16849453L5</t>
  </si>
  <si>
    <t>17554531AV6O</t>
  </si>
  <si>
    <t>16849453LAV6</t>
  </si>
  <si>
    <t>16912722AV6</t>
  </si>
  <si>
    <t>20724564AV6</t>
  </si>
  <si>
    <t>17117649AV6</t>
  </si>
  <si>
    <t>7146581AV6</t>
  </si>
  <si>
    <t>8325282AV6</t>
  </si>
  <si>
    <t>16849453AV6</t>
  </si>
  <si>
    <t>17425766OLD</t>
  </si>
  <si>
    <t>17425766old</t>
  </si>
  <si>
    <t>371819L4</t>
  </si>
  <si>
    <t>19645587AV6</t>
  </si>
  <si>
    <t>17094718AV6</t>
  </si>
  <si>
    <t>17126004AV6</t>
  </si>
  <si>
    <t>17143996AV6</t>
  </si>
  <si>
    <t>2158366AV6</t>
  </si>
  <si>
    <t>19279958AV6</t>
  </si>
  <si>
    <t>3333476AV6</t>
  </si>
  <si>
    <t>21718544AV6</t>
  </si>
  <si>
    <t>21648482AV6</t>
  </si>
  <si>
    <t>8244481AV6</t>
  </si>
  <si>
    <t>21104854AV6</t>
  </si>
  <si>
    <t>20220688AV6</t>
  </si>
  <si>
    <t>21283956old</t>
  </si>
  <si>
    <t>21348299old</t>
  </si>
  <si>
    <t>8971826N</t>
  </si>
  <si>
    <t>21345012OVR</t>
  </si>
  <si>
    <t>21421111AV6</t>
  </si>
  <si>
    <t>21777079AV6</t>
  </si>
  <si>
    <t>19219478AV6</t>
  </si>
  <si>
    <t>8405446AV6</t>
  </si>
  <si>
    <t>371819AV6</t>
  </si>
  <si>
    <t>20281936OVR</t>
  </si>
  <si>
    <t>18201929AV6OLD</t>
  </si>
  <si>
    <t>AE</t>
  </si>
  <si>
    <t>AV</t>
  </si>
  <si>
    <t>AV1</t>
  </si>
  <si>
    <t>NHIC LM 2025 SENIOR INDEMNITY GI</t>
  </si>
  <si>
    <t>18598357OVR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</si>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</sst>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9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4EC-0394-4AC4-8EF4-095173AD2D42}">
  <dimension ref="A1:AV937"/>
  <sheetViews>
    <sheetView tabSelected="1" topLeftCell="A9" workbookViewId="0">
      <selection activeCell="A33" sqref="A33:XFD33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5.8554687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46202</v>
      </c>
      <c r="B2" t="s">
        <v>48</v>
      </c>
      <c r="C2">
        <v>649163</v>
      </c>
      <c r="D2">
        <v>2036189763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650794</v>
      </c>
      <c r="L2" t="s">
        <v>55</v>
      </c>
      <c r="M2" t="s">
        <v>56</v>
      </c>
      <c r="N2" t="s">
        <v>57</v>
      </c>
      <c r="O2" s="1">
        <v>46197</v>
      </c>
      <c r="Q2" s="1">
        <v>46227</v>
      </c>
      <c r="R2" s="2">
        <v>42.45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152.82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25.47</v>
      </c>
      <c r="AM2" s="2">
        <v>0</v>
      </c>
      <c r="AN2" s="2">
        <v>152.82</v>
      </c>
      <c r="AO2" s="2">
        <v>0</v>
      </c>
      <c r="AP2" s="2">
        <v>0</v>
      </c>
      <c r="AQ2" s="2">
        <v>0</v>
      </c>
    </row>
    <row r="3" spans="1:48" x14ac:dyDescent="0.25">
      <c r="A3" s="1">
        <v>46202</v>
      </c>
      <c r="B3" t="s">
        <v>48</v>
      </c>
      <c r="C3">
        <v>649163</v>
      </c>
      <c r="D3">
        <v>2036247501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885445</v>
      </c>
      <c r="L3" t="s">
        <v>64</v>
      </c>
      <c r="M3" t="s">
        <v>65</v>
      </c>
      <c r="N3" t="s">
        <v>57</v>
      </c>
      <c r="O3" s="1">
        <v>46204</v>
      </c>
      <c r="Q3" s="1">
        <v>46235</v>
      </c>
      <c r="R3" s="2">
        <v>92.55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333.18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55.53</v>
      </c>
      <c r="AM3" s="2">
        <v>0</v>
      </c>
      <c r="AN3" s="2">
        <v>333.18</v>
      </c>
      <c r="AO3" s="2">
        <v>0</v>
      </c>
      <c r="AP3" s="2">
        <v>0</v>
      </c>
      <c r="AQ3" s="2">
        <v>0</v>
      </c>
    </row>
    <row r="4" spans="1:48" x14ac:dyDescent="0.25">
      <c r="A4" s="1">
        <v>46202</v>
      </c>
      <c r="B4" t="s">
        <v>48</v>
      </c>
      <c r="C4">
        <v>649163</v>
      </c>
      <c r="D4">
        <v>2035830506</v>
      </c>
      <c r="E4" t="s">
        <v>66</v>
      </c>
      <c r="F4" t="s">
        <v>67</v>
      </c>
      <c r="G4" t="s">
        <v>51</v>
      </c>
      <c r="H4" t="s">
        <v>68</v>
      </c>
      <c r="I4" t="s">
        <v>69</v>
      </c>
      <c r="J4" t="s">
        <v>70</v>
      </c>
      <c r="K4">
        <v>946134</v>
      </c>
      <c r="L4" t="s">
        <v>71</v>
      </c>
      <c r="M4" t="s">
        <v>72</v>
      </c>
      <c r="N4" t="s">
        <v>57</v>
      </c>
      <c r="O4" s="1">
        <v>46204</v>
      </c>
      <c r="Q4" s="1">
        <v>46235</v>
      </c>
      <c r="R4" s="2">
        <v>96.75</v>
      </c>
      <c r="S4">
        <v>1</v>
      </c>
      <c r="T4" t="s">
        <v>58</v>
      </c>
      <c r="U4" t="s">
        <v>59</v>
      </c>
      <c r="V4" s="3">
        <v>0.75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435.36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72.56</v>
      </c>
      <c r="AM4" s="2">
        <v>0</v>
      </c>
      <c r="AN4" s="2">
        <v>435.36</v>
      </c>
      <c r="AO4" s="2">
        <v>0</v>
      </c>
      <c r="AP4" s="2">
        <v>0</v>
      </c>
      <c r="AQ4" s="2">
        <v>0</v>
      </c>
    </row>
    <row r="5" spans="1:48" x14ac:dyDescent="0.25">
      <c r="A5" s="1">
        <v>46202</v>
      </c>
      <c r="B5" t="s">
        <v>48</v>
      </c>
      <c r="C5">
        <v>649163</v>
      </c>
      <c r="D5">
        <v>2035864462</v>
      </c>
      <c r="E5" t="s">
        <v>73</v>
      </c>
      <c r="F5" t="s">
        <v>74</v>
      </c>
      <c r="G5" t="s">
        <v>51</v>
      </c>
      <c r="H5" t="s">
        <v>75</v>
      </c>
      <c r="I5" t="s">
        <v>69</v>
      </c>
      <c r="J5" t="s">
        <v>70</v>
      </c>
      <c r="K5">
        <v>946134</v>
      </c>
      <c r="L5" t="s">
        <v>71</v>
      </c>
      <c r="M5" t="s">
        <v>72</v>
      </c>
      <c r="N5" t="s">
        <v>57</v>
      </c>
      <c r="O5" s="1">
        <v>46204</v>
      </c>
      <c r="Q5" s="1">
        <v>46235</v>
      </c>
      <c r="R5" s="2">
        <v>32.520000000000003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146.34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24.39</v>
      </c>
      <c r="AM5" s="2">
        <v>0</v>
      </c>
      <c r="AN5" s="2">
        <v>146.34</v>
      </c>
      <c r="AO5" s="2">
        <v>0</v>
      </c>
      <c r="AP5" s="2">
        <v>0</v>
      </c>
      <c r="AQ5" s="2">
        <v>0</v>
      </c>
    </row>
    <row r="6" spans="1:48" x14ac:dyDescent="0.25">
      <c r="A6" s="1">
        <v>46202</v>
      </c>
      <c r="B6" t="s">
        <v>48</v>
      </c>
      <c r="C6">
        <v>649163</v>
      </c>
      <c r="D6">
        <v>2035897011</v>
      </c>
      <c r="E6" t="s">
        <v>76</v>
      </c>
      <c r="F6" t="s">
        <v>77</v>
      </c>
      <c r="G6" t="s">
        <v>51</v>
      </c>
      <c r="H6" t="s">
        <v>78</v>
      </c>
      <c r="I6" t="s">
        <v>69</v>
      </c>
      <c r="J6" t="s">
        <v>79</v>
      </c>
      <c r="K6">
        <v>816021</v>
      </c>
      <c r="L6" t="s">
        <v>80</v>
      </c>
      <c r="M6" t="s">
        <v>81</v>
      </c>
      <c r="N6" t="s">
        <v>57</v>
      </c>
      <c r="O6" s="1">
        <v>46204</v>
      </c>
      <c r="Q6" s="1">
        <v>46235</v>
      </c>
      <c r="R6" s="2">
        <v>24.59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132.78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22.13</v>
      </c>
      <c r="AM6" s="2">
        <v>0</v>
      </c>
      <c r="AN6" s="2">
        <v>132.78</v>
      </c>
      <c r="AO6" s="2">
        <v>0</v>
      </c>
      <c r="AP6" s="2">
        <v>0</v>
      </c>
      <c r="AQ6" s="2">
        <v>0</v>
      </c>
    </row>
    <row r="7" spans="1:48" x14ac:dyDescent="0.25">
      <c r="A7" s="1">
        <v>46202</v>
      </c>
      <c r="B7" t="s">
        <v>48</v>
      </c>
      <c r="C7">
        <v>649163</v>
      </c>
      <c r="D7">
        <v>2035933033</v>
      </c>
      <c r="E7" t="s">
        <v>82</v>
      </c>
      <c r="F7" t="s">
        <v>83</v>
      </c>
      <c r="G7" t="s">
        <v>51</v>
      </c>
      <c r="H7" t="s">
        <v>84</v>
      </c>
      <c r="I7" t="s">
        <v>69</v>
      </c>
      <c r="J7" t="s">
        <v>70</v>
      </c>
      <c r="K7">
        <v>856824</v>
      </c>
      <c r="L7" t="s">
        <v>85</v>
      </c>
      <c r="M7" t="s">
        <v>86</v>
      </c>
      <c r="N7" t="s">
        <v>57</v>
      </c>
      <c r="O7" s="1">
        <v>46204</v>
      </c>
      <c r="Q7" s="1">
        <v>46235</v>
      </c>
      <c r="R7" s="2">
        <v>11.86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53.4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8.9</v>
      </c>
      <c r="AM7" s="2">
        <v>0</v>
      </c>
      <c r="AN7" s="2">
        <v>53.4</v>
      </c>
      <c r="AO7" s="2">
        <v>0</v>
      </c>
      <c r="AP7" s="2">
        <v>0</v>
      </c>
      <c r="AQ7" s="2">
        <v>0</v>
      </c>
    </row>
    <row r="8" spans="1:48" x14ac:dyDescent="0.25">
      <c r="A8" s="1">
        <v>46202</v>
      </c>
      <c r="B8" t="s">
        <v>48</v>
      </c>
      <c r="C8">
        <v>649163</v>
      </c>
      <c r="D8">
        <v>2036083728</v>
      </c>
      <c r="E8" t="s">
        <v>87</v>
      </c>
      <c r="F8" t="s">
        <v>88</v>
      </c>
      <c r="G8" t="s">
        <v>51</v>
      </c>
      <c r="H8" t="s">
        <v>89</v>
      </c>
      <c r="I8" t="s">
        <v>69</v>
      </c>
      <c r="J8" t="s">
        <v>79</v>
      </c>
      <c r="K8">
        <v>824062</v>
      </c>
      <c r="L8" t="s">
        <v>90</v>
      </c>
      <c r="M8" t="s">
        <v>91</v>
      </c>
      <c r="N8" t="s">
        <v>57</v>
      </c>
      <c r="O8" s="1">
        <v>46204</v>
      </c>
      <c r="Q8" s="1">
        <v>46235</v>
      </c>
      <c r="R8" s="2">
        <v>56.35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304.32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50.72</v>
      </c>
      <c r="AM8" s="2">
        <v>0</v>
      </c>
      <c r="AN8" s="2">
        <v>304.32</v>
      </c>
      <c r="AO8" s="2">
        <v>0</v>
      </c>
      <c r="AP8" s="2">
        <v>0</v>
      </c>
      <c r="AQ8" s="2">
        <v>0</v>
      </c>
    </row>
    <row r="9" spans="1:48" x14ac:dyDescent="0.25">
      <c r="A9" s="1">
        <v>46202</v>
      </c>
      <c r="B9" t="s">
        <v>48</v>
      </c>
      <c r="C9">
        <v>649163</v>
      </c>
      <c r="D9">
        <v>2036092536</v>
      </c>
      <c r="E9" t="s">
        <v>92</v>
      </c>
      <c r="F9" t="s">
        <v>93</v>
      </c>
      <c r="G9" t="s">
        <v>51</v>
      </c>
      <c r="H9" t="s">
        <v>94</v>
      </c>
      <c r="I9" t="s">
        <v>69</v>
      </c>
      <c r="J9" t="s">
        <v>70</v>
      </c>
      <c r="K9">
        <v>816021</v>
      </c>
      <c r="L9" t="s">
        <v>80</v>
      </c>
      <c r="M9" t="s">
        <v>81</v>
      </c>
      <c r="N9" t="s">
        <v>57</v>
      </c>
      <c r="O9" s="1">
        <v>46204</v>
      </c>
      <c r="Q9" s="1">
        <v>46235</v>
      </c>
      <c r="R9" s="2">
        <v>6.25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28.14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4.6900000000000004</v>
      </c>
      <c r="AM9" s="2">
        <v>0</v>
      </c>
      <c r="AN9" s="2">
        <v>28.14</v>
      </c>
      <c r="AO9" s="2">
        <v>0</v>
      </c>
      <c r="AP9" s="2">
        <v>0</v>
      </c>
      <c r="AQ9" s="2">
        <v>0</v>
      </c>
    </row>
    <row r="10" spans="1:48" x14ac:dyDescent="0.25">
      <c r="A10" s="1">
        <v>46202</v>
      </c>
      <c r="B10" t="s">
        <v>48</v>
      </c>
      <c r="C10">
        <v>649163</v>
      </c>
      <c r="D10">
        <v>2036110000</v>
      </c>
      <c r="E10" t="s">
        <v>95</v>
      </c>
      <c r="F10" t="s">
        <v>96</v>
      </c>
      <c r="G10" t="s">
        <v>51</v>
      </c>
      <c r="H10" t="s">
        <v>97</v>
      </c>
      <c r="I10" t="s">
        <v>69</v>
      </c>
      <c r="J10" t="s">
        <v>70</v>
      </c>
      <c r="K10">
        <v>946134</v>
      </c>
      <c r="L10" t="s">
        <v>71</v>
      </c>
      <c r="M10" t="s">
        <v>72</v>
      </c>
      <c r="N10" t="s">
        <v>57</v>
      </c>
      <c r="O10" s="1">
        <v>46204</v>
      </c>
      <c r="Q10" s="1">
        <v>46235</v>
      </c>
      <c r="R10" s="2">
        <v>143.38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645.24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107.54</v>
      </c>
      <c r="AM10" s="2">
        <v>0</v>
      </c>
      <c r="AN10" s="2">
        <v>645.24</v>
      </c>
      <c r="AO10" s="2">
        <v>0</v>
      </c>
      <c r="AP10" s="2">
        <v>0</v>
      </c>
      <c r="AQ10" s="2">
        <v>0</v>
      </c>
    </row>
    <row r="11" spans="1:48" x14ac:dyDescent="0.25">
      <c r="A11" s="1">
        <v>46202</v>
      </c>
      <c r="B11" t="s">
        <v>48</v>
      </c>
      <c r="C11">
        <v>649163</v>
      </c>
      <c r="D11">
        <v>2036136234</v>
      </c>
      <c r="E11" t="s">
        <v>98</v>
      </c>
      <c r="F11" t="s">
        <v>99</v>
      </c>
      <c r="G11" t="s">
        <v>51</v>
      </c>
      <c r="H11" t="s">
        <v>100</v>
      </c>
      <c r="I11" t="s">
        <v>69</v>
      </c>
      <c r="J11" t="s">
        <v>101</v>
      </c>
      <c r="K11">
        <v>673059</v>
      </c>
      <c r="L11" t="s">
        <v>102</v>
      </c>
      <c r="M11" t="s">
        <v>103</v>
      </c>
      <c r="N11" t="s">
        <v>57</v>
      </c>
      <c r="O11" s="1">
        <v>46235</v>
      </c>
      <c r="Q11" s="1">
        <v>46266</v>
      </c>
      <c r="R11" s="2">
        <v>15.91</v>
      </c>
      <c r="S11">
        <v>1</v>
      </c>
      <c r="T11" t="s">
        <v>58</v>
      </c>
      <c r="U11" t="s">
        <v>59</v>
      </c>
      <c r="V11" s="3">
        <v>0.65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62.04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10.34</v>
      </c>
      <c r="AM11" s="2">
        <v>0</v>
      </c>
      <c r="AN11" s="2">
        <v>62.04</v>
      </c>
      <c r="AO11" s="2">
        <v>0</v>
      </c>
      <c r="AP11" s="2">
        <v>0</v>
      </c>
      <c r="AQ11" s="2">
        <v>0</v>
      </c>
    </row>
    <row r="12" spans="1:48" x14ac:dyDescent="0.25">
      <c r="A12" s="1">
        <v>46202</v>
      </c>
      <c r="B12" t="s">
        <v>48</v>
      </c>
      <c r="C12">
        <v>649163</v>
      </c>
      <c r="D12">
        <v>2036169739</v>
      </c>
      <c r="E12" t="s">
        <v>104</v>
      </c>
      <c r="F12" t="s">
        <v>105</v>
      </c>
      <c r="G12" t="s">
        <v>51</v>
      </c>
      <c r="H12" t="s">
        <v>68</v>
      </c>
      <c r="I12" t="s">
        <v>69</v>
      </c>
      <c r="J12" t="s">
        <v>70</v>
      </c>
      <c r="K12">
        <v>946134</v>
      </c>
      <c r="L12" t="s">
        <v>71</v>
      </c>
      <c r="M12" t="s">
        <v>72</v>
      </c>
      <c r="N12" t="s">
        <v>57</v>
      </c>
      <c r="O12" s="1">
        <v>46204</v>
      </c>
      <c r="Q12" s="1">
        <v>46235</v>
      </c>
      <c r="R12" s="2">
        <v>59.1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265.92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44.32</v>
      </c>
      <c r="AM12" s="2">
        <v>0</v>
      </c>
      <c r="AN12" s="2">
        <v>265.92</v>
      </c>
      <c r="AO12" s="2">
        <v>0</v>
      </c>
      <c r="AP12" s="2">
        <v>0</v>
      </c>
      <c r="AQ12" s="2">
        <v>0</v>
      </c>
    </row>
    <row r="13" spans="1:48" x14ac:dyDescent="0.25">
      <c r="A13" s="1">
        <v>46202</v>
      </c>
      <c r="B13" t="s">
        <v>48</v>
      </c>
      <c r="C13">
        <v>649163</v>
      </c>
      <c r="D13">
        <v>2036182099</v>
      </c>
      <c r="E13" t="s">
        <v>106</v>
      </c>
      <c r="F13" t="s">
        <v>107</v>
      </c>
      <c r="G13" t="s">
        <v>51</v>
      </c>
      <c r="H13" t="s">
        <v>89</v>
      </c>
      <c r="I13" t="s">
        <v>69</v>
      </c>
      <c r="J13" t="s">
        <v>79</v>
      </c>
      <c r="K13">
        <v>824062</v>
      </c>
      <c r="L13" t="s">
        <v>90</v>
      </c>
      <c r="M13" t="s">
        <v>91</v>
      </c>
      <c r="N13" t="s">
        <v>57</v>
      </c>
      <c r="O13" s="1">
        <v>46198</v>
      </c>
      <c r="Q13" s="1">
        <v>46228</v>
      </c>
      <c r="R13" s="2">
        <v>59.42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320.88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53.48</v>
      </c>
      <c r="AM13" s="2">
        <v>0</v>
      </c>
      <c r="AN13" s="2">
        <v>320.88</v>
      </c>
      <c r="AO13" s="2">
        <v>0</v>
      </c>
      <c r="AP13" s="2">
        <v>0</v>
      </c>
      <c r="AQ13" s="2">
        <v>0</v>
      </c>
    </row>
    <row r="14" spans="1:48" x14ac:dyDescent="0.25">
      <c r="A14" s="1">
        <v>46202</v>
      </c>
      <c r="B14" t="s">
        <v>48</v>
      </c>
      <c r="C14">
        <v>649163</v>
      </c>
      <c r="D14">
        <v>2036185084</v>
      </c>
      <c r="E14" t="s">
        <v>108</v>
      </c>
      <c r="F14" t="s">
        <v>109</v>
      </c>
      <c r="G14" t="s">
        <v>51</v>
      </c>
      <c r="H14" t="s">
        <v>100</v>
      </c>
      <c r="I14" t="s">
        <v>69</v>
      </c>
      <c r="J14" t="s">
        <v>101</v>
      </c>
      <c r="K14">
        <v>673059</v>
      </c>
      <c r="L14" t="s">
        <v>102</v>
      </c>
      <c r="M14" t="s">
        <v>103</v>
      </c>
      <c r="N14" t="s">
        <v>57</v>
      </c>
      <c r="O14" s="1">
        <v>46204</v>
      </c>
      <c r="Q14" s="1">
        <v>46235</v>
      </c>
      <c r="R14" s="2">
        <v>25.96</v>
      </c>
      <c r="S14">
        <v>1</v>
      </c>
      <c r="T14" t="s">
        <v>58</v>
      </c>
      <c r="U14" t="s">
        <v>59</v>
      </c>
      <c r="V14" s="3">
        <v>0.65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101.22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16.87</v>
      </c>
      <c r="AM14" s="2">
        <v>0</v>
      </c>
      <c r="AN14" s="2">
        <v>101.22</v>
      </c>
      <c r="AO14" s="2">
        <v>0</v>
      </c>
      <c r="AP14" s="2">
        <v>0</v>
      </c>
      <c r="AQ14" s="2">
        <v>0</v>
      </c>
    </row>
    <row r="15" spans="1:48" x14ac:dyDescent="0.25">
      <c r="A15" s="1">
        <v>46202</v>
      </c>
      <c r="B15" t="s">
        <v>48</v>
      </c>
      <c r="C15">
        <v>649163</v>
      </c>
      <c r="D15">
        <v>2036199339</v>
      </c>
      <c r="E15" t="s">
        <v>106</v>
      </c>
      <c r="F15" t="s">
        <v>110</v>
      </c>
      <c r="G15" t="s">
        <v>51</v>
      </c>
      <c r="H15" t="s">
        <v>89</v>
      </c>
      <c r="I15" t="s">
        <v>69</v>
      </c>
      <c r="J15" t="s">
        <v>79</v>
      </c>
      <c r="K15">
        <v>824062</v>
      </c>
      <c r="L15" t="s">
        <v>90</v>
      </c>
      <c r="M15" t="s">
        <v>91</v>
      </c>
      <c r="N15" t="s">
        <v>57</v>
      </c>
      <c r="O15" s="1">
        <v>46198</v>
      </c>
      <c r="Q15" s="1">
        <v>46228</v>
      </c>
      <c r="R15" s="2">
        <v>54.33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293.39999999999998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48.9</v>
      </c>
      <c r="AM15" s="2">
        <v>0</v>
      </c>
      <c r="AN15" s="2">
        <v>293.39999999999998</v>
      </c>
      <c r="AO15" s="2">
        <v>0</v>
      </c>
      <c r="AP15" s="2">
        <v>0</v>
      </c>
      <c r="AQ15" s="2">
        <v>0</v>
      </c>
    </row>
    <row r="16" spans="1:48" x14ac:dyDescent="0.25">
      <c r="A16" s="1">
        <v>46202</v>
      </c>
      <c r="B16" t="s">
        <v>48</v>
      </c>
      <c r="C16">
        <v>649163</v>
      </c>
      <c r="D16">
        <v>2036200629</v>
      </c>
      <c r="E16" t="s">
        <v>111</v>
      </c>
      <c r="F16" t="s">
        <v>112</v>
      </c>
      <c r="G16" t="s">
        <v>51</v>
      </c>
      <c r="H16" t="s">
        <v>89</v>
      </c>
      <c r="I16" t="s">
        <v>69</v>
      </c>
      <c r="J16" t="s">
        <v>79</v>
      </c>
      <c r="K16">
        <v>823350</v>
      </c>
      <c r="L16" t="s">
        <v>113</v>
      </c>
      <c r="M16" t="s">
        <v>114</v>
      </c>
      <c r="N16" t="s">
        <v>57</v>
      </c>
      <c r="O16" s="1">
        <v>46196</v>
      </c>
      <c r="Q16" s="1">
        <v>46226</v>
      </c>
      <c r="R16" s="2">
        <v>50.16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270.83999999999997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45.14</v>
      </c>
      <c r="AM16" s="2">
        <v>0</v>
      </c>
      <c r="AN16" s="2">
        <v>270.83999999999997</v>
      </c>
      <c r="AO16" s="2">
        <v>0</v>
      </c>
      <c r="AP16" s="2">
        <v>0</v>
      </c>
      <c r="AQ16" s="2">
        <v>0</v>
      </c>
    </row>
    <row r="17" spans="1:43" x14ac:dyDescent="0.25">
      <c r="A17" s="1">
        <v>46202</v>
      </c>
      <c r="B17" t="s">
        <v>48</v>
      </c>
      <c r="C17">
        <v>649163</v>
      </c>
      <c r="D17">
        <v>2036202891</v>
      </c>
      <c r="E17" t="s">
        <v>115</v>
      </c>
      <c r="F17" t="s">
        <v>116</v>
      </c>
      <c r="G17" t="s">
        <v>51</v>
      </c>
      <c r="H17" t="s">
        <v>117</v>
      </c>
      <c r="I17" t="s">
        <v>69</v>
      </c>
      <c r="J17" t="s">
        <v>70</v>
      </c>
      <c r="K17">
        <v>946134</v>
      </c>
      <c r="L17" t="s">
        <v>71</v>
      </c>
      <c r="M17" t="s">
        <v>72</v>
      </c>
      <c r="N17" t="s">
        <v>57</v>
      </c>
      <c r="O17" s="1">
        <v>46204</v>
      </c>
      <c r="Q17" s="1">
        <v>46235</v>
      </c>
      <c r="R17" s="2">
        <v>146.35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658.56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109.76</v>
      </c>
      <c r="AM17" s="2">
        <v>0</v>
      </c>
      <c r="AN17" s="2">
        <v>658.56</v>
      </c>
      <c r="AO17" s="2">
        <v>0</v>
      </c>
      <c r="AP17" s="2">
        <v>0</v>
      </c>
      <c r="AQ17" s="2">
        <v>0</v>
      </c>
    </row>
    <row r="18" spans="1:43" x14ac:dyDescent="0.25">
      <c r="A18" s="1">
        <v>46202</v>
      </c>
      <c r="B18" t="s">
        <v>48</v>
      </c>
      <c r="C18">
        <v>649163</v>
      </c>
      <c r="D18">
        <v>2036203428</v>
      </c>
      <c r="E18" t="s">
        <v>118</v>
      </c>
      <c r="F18" t="s">
        <v>119</v>
      </c>
      <c r="G18" t="s">
        <v>51</v>
      </c>
      <c r="H18" t="s">
        <v>89</v>
      </c>
      <c r="I18" t="s">
        <v>69</v>
      </c>
      <c r="J18" t="s">
        <v>70</v>
      </c>
      <c r="K18">
        <v>893408</v>
      </c>
      <c r="L18" t="s">
        <v>120</v>
      </c>
      <c r="M18" t="s">
        <v>121</v>
      </c>
      <c r="N18" t="s">
        <v>57</v>
      </c>
      <c r="O18" s="1">
        <v>46198</v>
      </c>
      <c r="Q18" s="1">
        <v>46228</v>
      </c>
      <c r="R18" s="2">
        <v>12.3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55.32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9.2200000000000006</v>
      </c>
      <c r="AM18" s="2">
        <v>0</v>
      </c>
      <c r="AN18" s="2">
        <v>55.32</v>
      </c>
      <c r="AO18" s="2">
        <v>0</v>
      </c>
      <c r="AP18" s="2">
        <v>0</v>
      </c>
      <c r="AQ18" s="2">
        <v>0</v>
      </c>
    </row>
    <row r="19" spans="1:43" x14ac:dyDescent="0.25">
      <c r="A19" s="1">
        <v>46202</v>
      </c>
      <c r="B19" t="s">
        <v>48</v>
      </c>
      <c r="C19">
        <v>649163</v>
      </c>
      <c r="D19">
        <v>2036213108</v>
      </c>
      <c r="E19" t="s">
        <v>122</v>
      </c>
      <c r="F19" t="s">
        <v>123</v>
      </c>
      <c r="G19" t="s">
        <v>51</v>
      </c>
      <c r="H19" t="s">
        <v>124</v>
      </c>
      <c r="I19" t="s">
        <v>69</v>
      </c>
      <c r="J19" t="s">
        <v>70</v>
      </c>
      <c r="K19">
        <v>962426</v>
      </c>
      <c r="L19" t="s">
        <v>125</v>
      </c>
      <c r="M19" t="s">
        <v>126</v>
      </c>
      <c r="N19" t="s">
        <v>57</v>
      </c>
      <c r="O19" s="1">
        <v>46199</v>
      </c>
      <c r="Q19" s="1">
        <v>46229</v>
      </c>
      <c r="R19" s="2">
        <v>69.58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313.08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52.18</v>
      </c>
      <c r="AM19" s="2">
        <v>0</v>
      </c>
      <c r="AN19" s="2">
        <v>313.08</v>
      </c>
      <c r="AO19" s="2">
        <v>0</v>
      </c>
      <c r="AP19" s="2">
        <v>0</v>
      </c>
      <c r="AQ19" s="2">
        <v>0</v>
      </c>
    </row>
    <row r="20" spans="1:43" x14ac:dyDescent="0.25">
      <c r="A20" s="1">
        <v>46202</v>
      </c>
      <c r="B20" t="s">
        <v>48</v>
      </c>
      <c r="C20">
        <v>649163</v>
      </c>
      <c r="D20">
        <v>2036228776</v>
      </c>
      <c r="E20" t="s">
        <v>127</v>
      </c>
      <c r="F20" t="s">
        <v>128</v>
      </c>
      <c r="G20" t="s">
        <v>51</v>
      </c>
      <c r="H20" t="s">
        <v>94</v>
      </c>
      <c r="I20" t="s">
        <v>69</v>
      </c>
      <c r="J20" t="s">
        <v>101</v>
      </c>
      <c r="K20">
        <v>824082</v>
      </c>
      <c r="L20" t="s">
        <v>129</v>
      </c>
      <c r="M20" t="s">
        <v>130</v>
      </c>
      <c r="N20" t="s">
        <v>57</v>
      </c>
      <c r="O20" s="1">
        <v>46204</v>
      </c>
      <c r="Q20" s="1">
        <v>46235</v>
      </c>
      <c r="R20" s="2">
        <v>36.36</v>
      </c>
      <c r="S20">
        <v>1</v>
      </c>
      <c r="T20" t="s">
        <v>58</v>
      </c>
      <c r="U20" t="s">
        <v>59</v>
      </c>
      <c r="V20" s="3">
        <v>0.65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141.78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23.63</v>
      </c>
      <c r="AM20" s="2">
        <v>0</v>
      </c>
      <c r="AN20" s="2">
        <v>141.78</v>
      </c>
      <c r="AO20" s="2">
        <v>0</v>
      </c>
      <c r="AP20" s="2">
        <v>0</v>
      </c>
      <c r="AQ20" s="2">
        <v>0</v>
      </c>
    </row>
    <row r="21" spans="1:43" x14ac:dyDescent="0.25">
      <c r="A21" s="1">
        <v>46202</v>
      </c>
      <c r="B21" t="s">
        <v>48</v>
      </c>
      <c r="C21">
        <v>649163</v>
      </c>
      <c r="D21">
        <v>2036244751</v>
      </c>
      <c r="E21" t="s">
        <v>131</v>
      </c>
      <c r="F21" t="s">
        <v>132</v>
      </c>
      <c r="G21" t="s">
        <v>51</v>
      </c>
      <c r="H21" t="s">
        <v>68</v>
      </c>
      <c r="I21" t="s">
        <v>133</v>
      </c>
      <c r="J21" t="s">
        <v>134</v>
      </c>
      <c r="K21">
        <v>649270</v>
      </c>
      <c r="L21" t="s">
        <v>135</v>
      </c>
      <c r="M21" t="s">
        <v>136</v>
      </c>
      <c r="N21" t="s">
        <v>57</v>
      </c>
      <c r="O21" s="1">
        <v>46204</v>
      </c>
      <c r="Q21" s="1">
        <v>46235</v>
      </c>
      <c r="R21" s="2">
        <v>18.23</v>
      </c>
      <c r="S21">
        <v>1</v>
      </c>
      <c r="T21" t="s">
        <v>58</v>
      </c>
      <c r="U21" t="s">
        <v>59</v>
      </c>
      <c r="V21" s="4">
        <v>9.5000000000000001E-2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10.38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1.73</v>
      </c>
      <c r="AM21" s="2">
        <v>0</v>
      </c>
      <c r="AN21" s="2">
        <v>10.38</v>
      </c>
      <c r="AO21" s="2">
        <v>0</v>
      </c>
      <c r="AP21" s="2">
        <v>0</v>
      </c>
      <c r="AQ21" s="2">
        <v>0</v>
      </c>
    </row>
    <row r="22" spans="1:43" x14ac:dyDescent="0.25">
      <c r="A22" s="1">
        <v>46202</v>
      </c>
      <c r="B22" t="s">
        <v>48</v>
      </c>
      <c r="C22">
        <v>649163</v>
      </c>
      <c r="D22">
        <v>2036228792</v>
      </c>
      <c r="E22" t="s">
        <v>137</v>
      </c>
      <c r="F22" t="s">
        <v>138</v>
      </c>
      <c r="G22" t="s">
        <v>51</v>
      </c>
      <c r="H22" t="s">
        <v>100</v>
      </c>
      <c r="I22" t="s">
        <v>69</v>
      </c>
      <c r="J22" t="s">
        <v>101</v>
      </c>
      <c r="K22">
        <v>974687</v>
      </c>
      <c r="L22" t="s">
        <v>139</v>
      </c>
      <c r="M22" t="s">
        <v>140</v>
      </c>
      <c r="N22" t="s">
        <v>57</v>
      </c>
      <c r="O22" s="1">
        <v>46199</v>
      </c>
      <c r="Q22" s="1">
        <v>46229</v>
      </c>
      <c r="R22" s="2">
        <v>18.989999999999998</v>
      </c>
      <c r="S22">
        <v>1</v>
      </c>
      <c r="T22" t="s">
        <v>58</v>
      </c>
      <c r="U22" t="s">
        <v>59</v>
      </c>
      <c r="V22" s="3">
        <v>0.65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74.040000000000006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12.34</v>
      </c>
      <c r="AM22" s="2">
        <v>0</v>
      </c>
      <c r="AN22" s="2">
        <v>74.040000000000006</v>
      </c>
      <c r="AO22" s="2">
        <v>0</v>
      </c>
      <c r="AP22" s="2">
        <v>0</v>
      </c>
      <c r="AQ22" s="2">
        <v>0</v>
      </c>
    </row>
    <row r="23" spans="1:43" x14ac:dyDescent="0.25">
      <c r="A23" s="1">
        <v>46202</v>
      </c>
      <c r="B23" t="s">
        <v>48</v>
      </c>
      <c r="C23">
        <v>649163</v>
      </c>
      <c r="D23">
        <v>2036247398</v>
      </c>
      <c r="E23" t="s">
        <v>141</v>
      </c>
      <c r="F23" t="s">
        <v>142</v>
      </c>
      <c r="G23" t="s">
        <v>51</v>
      </c>
      <c r="H23" t="s">
        <v>143</v>
      </c>
      <c r="I23" t="s">
        <v>69</v>
      </c>
      <c r="J23" t="s">
        <v>70</v>
      </c>
      <c r="K23">
        <v>673059</v>
      </c>
      <c r="L23" t="s">
        <v>102</v>
      </c>
      <c r="M23" t="s">
        <v>103</v>
      </c>
      <c r="N23" t="s">
        <v>57</v>
      </c>
      <c r="O23" s="1">
        <v>46200</v>
      </c>
      <c r="Q23" s="1">
        <v>46230</v>
      </c>
      <c r="R23" s="2">
        <v>38.25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172.14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28.69</v>
      </c>
      <c r="AM23" s="2">
        <v>0</v>
      </c>
      <c r="AN23" s="2">
        <v>172.14</v>
      </c>
      <c r="AO23" s="2">
        <v>0</v>
      </c>
      <c r="AP23" s="2">
        <v>0</v>
      </c>
      <c r="AQ23" s="2">
        <v>0</v>
      </c>
    </row>
    <row r="24" spans="1:43" x14ac:dyDescent="0.25">
      <c r="A24" s="1">
        <v>46202</v>
      </c>
      <c r="B24" t="s">
        <v>48</v>
      </c>
      <c r="C24">
        <v>649163</v>
      </c>
      <c r="D24">
        <v>2036248139</v>
      </c>
      <c r="E24" t="s">
        <v>144</v>
      </c>
      <c r="F24" t="s">
        <v>145</v>
      </c>
      <c r="G24" t="s">
        <v>51</v>
      </c>
      <c r="H24" t="s">
        <v>146</v>
      </c>
      <c r="I24" t="s">
        <v>69</v>
      </c>
      <c r="J24" t="s">
        <v>79</v>
      </c>
      <c r="K24">
        <v>902625</v>
      </c>
      <c r="L24" t="s">
        <v>147</v>
      </c>
      <c r="M24" t="s">
        <v>148</v>
      </c>
      <c r="N24" t="s">
        <v>57</v>
      </c>
      <c r="O24" s="1">
        <v>46200</v>
      </c>
      <c r="Q24" s="1">
        <v>46230</v>
      </c>
      <c r="R24" s="2">
        <v>20.059999999999999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108.3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18.05</v>
      </c>
      <c r="AM24" s="2">
        <v>0</v>
      </c>
      <c r="AN24" s="2">
        <v>108.3</v>
      </c>
      <c r="AO24" s="2">
        <v>0</v>
      </c>
      <c r="AP24" s="2">
        <v>0</v>
      </c>
      <c r="AQ24" s="2">
        <v>0</v>
      </c>
    </row>
    <row r="25" spans="1:43" x14ac:dyDescent="0.25">
      <c r="A25" s="1">
        <v>46202</v>
      </c>
      <c r="B25" t="s">
        <v>48</v>
      </c>
      <c r="C25">
        <v>649163</v>
      </c>
      <c r="D25">
        <v>2036182104</v>
      </c>
      <c r="E25" t="s">
        <v>106</v>
      </c>
      <c r="F25" t="s">
        <v>107</v>
      </c>
      <c r="G25" t="s">
        <v>51</v>
      </c>
      <c r="H25" t="s">
        <v>89</v>
      </c>
      <c r="I25" t="s">
        <v>149</v>
      </c>
      <c r="J25" t="s">
        <v>150</v>
      </c>
      <c r="K25">
        <v>824062</v>
      </c>
      <c r="L25" t="s">
        <v>90</v>
      </c>
      <c r="M25" t="s">
        <v>91</v>
      </c>
      <c r="N25" t="s">
        <v>57</v>
      </c>
      <c r="O25" s="1">
        <v>46198</v>
      </c>
      <c r="Q25" s="1">
        <v>46228</v>
      </c>
      <c r="R25" s="2">
        <v>15</v>
      </c>
      <c r="S25">
        <v>1</v>
      </c>
      <c r="T25" t="s">
        <v>58</v>
      </c>
      <c r="U25" t="s">
        <v>151</v>
      </c>
      <c r="V25" s="3">
        <v>0.38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34.200000000000003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5.7</v>
      </c>
      <c r="AM25" s="2">
        <v>0</v>
      </c>
      <c r="AN25" s="2">
        <v>34.200000000000003</v>
      </c>
      <c r="AO25" s="2">
        <v>0</v>
      </c>
      <c r="AP25" s="2">
        <v>0</v>
      </c>
      <c r="AQ25" s="2">
        <v>0</v>
      </c>
    </row>
    <row r="26" spans="1:43" x14ac:dyDescent="0.25">
      <c r="A26" s="1">
        <v>46202</v>
      </c>
      <c r="B26" t="s">
        <v>48</v>
      </c>
      <c r="C26">
        <v>649163</v>
      </c>
      <c r="D26">
        <v>2036192232</v>
      </c>
      <c r="E26" t="s">
        <v>152</v>
      </c>
      <c r="F26" t="s">
        <v>88</v>
      </c>
      <c r="G26" t="s">
        <v>51</v>
      </c>
      <c r="H26" t="s">
        <v>89</v>
      </c>
      <c r="I26" t="s">
        <v>149</v>
      </c>
      <c r="J26" t="s">
        <v>150</v>
      </c>
      <c r="K26">
        <v>820873</v>
      </c>
      <c r="L26" t="s">
        <v>153</v>
      </c>
      <c r="M26" t="s">
        <v>154</v>
      </c>
      <c r="N26" t="s">
        <v>57</v>
      </c>
      <c r="O26" s="1">
        <v>46196</v>
      </c>
      <c r="Q26" s="1">
        <v>46226</v>
      </c>
      <c r="R26" s="2">
        <v>15</v>
      </c>
      <c r="S26">
        <v>1</v>
      </c>
      <c r="T26" t="s">
        <v>58</v>
      </c>
      <c r="U26" t="s">
        <v>151</v>
      </c>
      <c r="V26" s="3">
        <v>0.38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34.200000000000003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5.7</v>
      </c>
      <c r="AM26" s="2">
        <v>0</v>
      </c>
      <c r="AN26" s="2">
        <v>34.200000000000003</v>
      </c>
      <c r="AO26" s="2">
        <v>0</v>
      </c>
      <c r="AP26" s="2">
        <v>0</v>
      </c>
      <c r="AQ26" s="2">
        <v>0</v>
      </c>
    </row>
    <row r="27" spans="1:43" x14ac:dyDescent="0.25">
      <c r="A27" s="1">
        <v>46202</v>
      </c>
      <c r="B27" t="s">
        <v>48</v>
      </c>
      <c r="C27">
        <v>649163</v>
      </c>
      <c r="D27">
        <v>2036199340</v>
      </c>
      <c r="E27" t="s">
        <v>106</v>
      </c>
      <c r="F27" t="s">
        <v>110</v>
      </c>
      <c r="G27" t="s">
        <v>51</v>
      </c>
      <c r="H27" t="s">
        <v>89</v>
      </c>
      <c r="I27" t="s">
        <v>149</v>
      </c>
      <c r="J27" t="s">
        <v>150</v>
      </c>
      <c r="K27">
        <v>824062</v>
      </c>
      <c r="L27" t="s">
        <v>90</v>
      </c>
      <c r="M27" t="s">
        <v>91</v>
      </c>
      <c r="N27" t="s">
        <v>57</v>
      </c>
      <c r="O27" s="1">
        <v>46198</v>
      </c>
      <c r="Q27" s="1">
        <v>46228</v>
      </c>
      <c r="R27" s="2">
        <v>15</v>
      </c>
      <c r="S27">
        <v>1</v>
      </c>
      <c r="T27" t="s">
        <v>58</v>
      </c>
      <c r="U27" t="s">
        <v>151</v>
      </c>
      <c r="V27" s="3">
        <v>0.38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34.200000000000003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5.7</v>
      </c>
      <c r="AM27" s="2">
        <v>0</v>
      </c>
      <c r="AN27" s="2">
        <v>34.200000000000003</v>
      </c>
      <c r="AO27" s="2">
        <v>0</v>
      </c>
      <c r="AP27" s="2">
        <v>0</v>
      </c>
      <c r="AQ27" s="2">
        <v>0</v>
      </c>
    </row>
    <row r="28" spans="1:43" x14ac:dyDescent="0.25">
      <c r="A28" s="1">
        <v>46202</v>
      </c>
      <c r="B28" t="s">
        <v>48</v>
      </c>
      <c r="C28">
        <v>649163</v>
      </c>
      <c r="D28">
        <v>2036225951</v>
      </c>
      <c r="E28" t="s">
        <v>155</v>
      </c>
      <c r="F28" t="s">
        <v>156</v>
      </c>
      <c r="G28" t="s">
        <v>51</v>
      </c>
      <c r="H28" t="s">
        <v>89</v>
      </c>
      <c r="I28" t="s">
        <v>149</v>
      </c>
      <c r="J28" t="s">
        <v>157</v>
      </c>
      <c r="K28">
        <v>840313</v>
      </c>
      <c r="L28" t="s">
        <v>158</v>
      </c>
      <c r="M28" t="s">
        <v>159</v>
      </c>
      <c r="N28" t="s">
        <v>57</v>
      </c>
      <c r="O28" s="1">
        <v>46204</v>
      </c>
      <c r="Q28" s="1">
        <v>46235</v>
      </c>
      <c r="R28" s="2">
        <v>5.95</v>
      </c>
      <c r="S28">
        <v>1</v>
      </c>
      <c r="T28" t="s">
        <v>58</v>
      </c>
      <c r="U28" t="s">
        <v>59</v>
      </c>
      <c r="V28" s="3">
        <v>0.56000000000000005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19.98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3.33</v>
      </c>
      <c r="AM28" s="2">
        <v>0</v>
      </c>
      <c r="AN28" s="2">
        <v>19.98</v>
      </c>
      <c r="AO28" s="2">
        <v>0</v>
      </c>
      <c r="AP28" s="2">
        <v>0</v>
      </c>
      <c r="AQ28" s="2">
        <v>0</v>
      </c>
    </row>
    <row r="29" spans="1:43" x14ac:dyDescent="0.25">
      <c r="A29" s="1">
        <v>46202</v>
      </c>
      <c r="B29" t="s">
        <v>48</v>
      </c>
      <c r="C29">
        <v>649163</v>
      </c>
      <c r="D29">
        <v>2035830507</v>
      </c>
      <c r="E29" t="s">
        <v>66</v>
      </c>
      <c r="F29" t="s">
        <v>67</v>
      </c>
      <c r="G29" t="s">
        <v>51</v>
      </c>
      <c r="H29" t="s">
        <v>68</v>
      </c>
      <c r="I29" t="s">
        <v>133</v>
      </c>
      <c r="J29" t="s">
        <v>134</v>
      </c>
      <c r="K29">
        <v>946134</v>
      </c>
      <c r="L29" t="s">
        <v>71</v>
      </c>
      <c r="M29" t="s">
        <v>72</v>
      </c>
      <c r="N29" t="s">
        <v>57</v>
      </c>
      <c r="O29" s="1">
        <v>46204</v>
      </c>
      <c r="Q29" s="1">
        <v>46235</v>
      </c>
      <c r="R29" s="2">
        <v>35.119999999999997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79.02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13.17</v>
      </c>
      <c r="AM29" s="2">
        <v>0</v>
      </c>
      <c r="AN29" s="2">
        <v>79.02</v>
      </c>
      <c r="AO29" s="2">
        <v>0</v>
      </c>
      <c r="AP29" s="2">
        <v>0</v>
      </c>
      <c r="AQ29" s="2">
        <v>0</v>
      </c>
    </row>
    <row r="30" spans="1:43" x14ac:dyDescent="0.25">
      <c r="A30" s="1">
        <v>46202</v>
      </c>
      <c r="B30" t="s">
        <v>48</v>
      </c>
      <c r="C30">
        <v>649163</v>
      </c>
      <c r="D30">
        <v>2035897010</v>
      </c>
      <c r="E30" t="s">
        <v>76</v>
      </c>
      <c r="F30" t="s">
        <v>77</v>
      </c>
      <c r="G30" t="s">
        <v>51</v>
      </c>
      <c r="H30" t="s">
        <v>78</v>
      </c>
      <c r="I30" t="s">
        <v>133</v>
      </c>
      <c r="J30" t="s">
        <v>134</v>
      </c>
      <c r="K30">
        <v>816021</v>
      </c>
      <c r="L30" t="s">
        <v>80</v>
      </c>
      <c r="M30" t="s">
        <v>81</v>
      </c>
      <c r="N30" t="s">
        <v>57</v>
      </c>
      <c r="O30" s="1">
        <v>46204</v>
      </c>
      <c r="Q30" s="1">
        <v>46235</v>
      </c>
      <c r="R30" s="2">
        <v>64.87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145.97999999999999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24.33</v>
      </c>
      <c r="AM30" s="2">
        <v>0</v>
      </c>
      <c r="AN30" s="2">
        <v>145.97999999999999</v>
      </c>
      <c r="AO30" s="2">
        <v>0</v>
      </c>
      <c r="AP30" s="2">
        <v>0</v>
      </c>
      <c r="AQ30" s="2">
        <v>0</v>
      </c>
    </row>
    <row r="31" spans="1:43" x14ac:dyDescent="0.25">
      <c r="A31" s="1">
        <v>46202</v>
      </c>
      <c r="B31" t="s">
        <v>48</v>
      </c>
      <c r="C31">
        <v>649163</v>
      </c>
      <c r="D31">
        <v>2036083726</v>
      </c>
      <c r="E31" t="s">
        <v>87</v>
      </c>
      <c r="F31" t="s">
        <v>88</v>
      </c>
      <c r="G31" t="s">
        <v>51</v>
      </c>
      <c r="H31" t="s">
        <v>89</v>
      </c>
      <c r="I31" t="s">
        <v>133</v>
      </c>
      <c r="J31" t="s">
        <v>134</v>
      </c>
      <c r="K31">
        <v>824062</v>
      </c>
      <c r="L31" t="s">
        <v>90</v>
      </c>
      <c r="M31" t="s">
        <v>91</v>
      </c>
      <c r="N31" t="s">
        <v>57</v>
      </c>
      <c r="O31" s="1">
        <v>46204</v>
      </c>
      <c r="Q31" s="1">
        <v>46235</v>
      </c>
      <c r="R31" s="2">
        <v>265.58999999999997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597.6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99.6</v>
      </c>
      <c r="AM31" s="2">
        <v>0</v>
      </c>
      <c r="AN31" s="2">
        <v>597.6</v>
      </c>
      <c r="AO31" s="2">
        <v>0</v>
      </c>
      <c r="AP31" s="2">
        <v>0</v>
      </c>
      <c r="AQ31" s="2">
        <v>0</v>
      </c>
    </row>
    <row r="32" spans="1:43" x14ac:dyDescent="0.25">
      <c r="A32" s="1">
        <v>46202</v>
      </c>
      <c r="B32" t="s">
        <v>48</v>
      </c>
      <c r="C32">
        <v>649163</v>
      </c>
      <c r="D32">
        <v>2036168258</v>
      </c>
      <c r="E32" t="s">
        <v>160</v>
      </c>
      <c r="F32" t="s">
        <v>161</v>
      </c>
      <c r="G32" t="s">
        <v>51</v>
      </c>
      <c r="H32" t="s">
        <v>162</v>
      </c>
      <c r="I32" t="s">
        <v>133</v>
      </c>
      <c r="J32" t="s">
        <v>134</v>
      </c>
      <c r="K32">
        <v>938894</v>
      </c>
      <c r="L32" t="s">
        <v>163</v>
      </c>
      <c r="M32" t="s">
        <v>164</v>
      </c>
      <c r="N32" t="s">
        <v>57</v>
      </c>
      <c r="O32" s="1">
        <v>46204</v>
      </c>
      <c r="Q32" s="1">
        <v>46235</v>
      </c>
      <c r="R32" s="2">
        <v>149.33000000000001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336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56</v>
      </c>
      <c r="AM32" s="2">
        <v>0</v>
      </c>
      <c r="AN32" s="2">
        <v>336</v>
      </c>
      <c r="AO32" s="2">
        <v>0</v>
      </c>
      <c r="AP32" s="2">
        <v>0</v>
      </c>
      <c r="AQ32" s="2">
        <v>0</v>
      </c>
    </row>
    <row r="33" spans="1:43" s="5" customFormat="1" x14ac:dyDescent="0.25">
      <c r="A33" s="6">
        <v>46202</v>
      </c>
      <c r="B33" s="5" t="s">
        <v>48</v>
      </c>
      <c r="C33" s="5">
        <v>649163</v>
      </c>
      <c r="D33" s="5">
        <v>2036179324</v>
      </c>
      <c r="E33" s="5" t="s">
        <v>165</v>
      </c>
      <c r="F33" s="5" t="s">
        <v>166</v>
      </c>
      <c r="G33" s="5" t="s">
        <v>51</v>
      </c>
      <c r="H33" s="5" t="s">
        <v>167</v>
      </c>
      <c r="I33" s="5" t="s">
        <v>133</v>
      </c>
      <c r="J33" s="5" t="s">
        <v>134</v>
      </c>
      <c r="K33" s="5">
        <v>973563</v>
      </c>
      <c r="L33" s="5" t="s">
        <v>168</v>
      </c>
      <c r="M33" s="5" t="s">
        <v>169</v>
      </c>
      <c r="N33" s="5" t="s">
        <v>57</v>
      </c>
      <c r="O33" s="6">
        <v>46204</v>
      </c>
      <c r="Q33" s="6">
        <v>46235</v>
      </c>
      <c r="R33" s="7">
        <v>51.78</v>
      </c>
      <c r="S33" s="5">
        <v>1</v>
      </c>
      <c r="T33" s="5" t="s">
        <v>58</v>
      </c>
      <c r="U33" s="5" t="s">
        <v>59</v>
      </c>
      <c r="V33" s="16">
        <v>0.375</v>
      </c>
      <c r="W33" s="7">
        <v>0</v>
      </c>
      <c r="X33" s="5">
        <v>0</v>
      </c>
      <c r="Y33" s="5" t="s">
        <v>60</v>
      </c>
      <c r="Z33" s="5" t="s">
        <v>61</v>
      </c>
      <c r="AA33" s="5">
        <v>6</v>
      </c>
      <c r="AB33" s="7">
        <v>116.52</v>
      </c>
      <c r="AC33" s="7">
        <v>0</v>
      </c>
      <c r="AD33" s="15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19.420000000000002</v>
      </c>
      <c r="AM33" s="7">
        <v>0</v>
      </c>
      <c r="AN33" s="7">
        <v>116.52</v>
      </c>
      <c r="AO33" s="7">
        <v>0</v>
      </c>
      <c r="AP33" s="7">
        <v>0</v>
      </c>
      <c r="AQ33" s="7">
        <v>0</v>
      </c>
    </row>
    <row r="34" spans="1:43" x14ac:dyDescent="0.25">
      <c r="A34" s="1">
        <v>46202</v>
      </c>
      <c r="B34" t="s">
        <v>48</v>
      </c>
      <c r="C34">
        <v>649163</v>
      </c>
      <c r="D34">
        <v>2036182100</v>
      </c>
      <c r="E34" t="s">
        <v>106</v>
      </c>
      <c r="F34" t="s">
        <v>107</v>
      </c>
      <c r="G34" t="s">
        <v>51</v>
      </c>
      <c r="H34" t="s">
        <v>89</v>
      </c>
      <c r="I34" t="s">
        <v>133</v>
      </c>
      <c r="J34" t="s">
        <v>134</v>
      </c>
      <c r="K34">
        <v>824062</v>
      </c>
      <c r="L34" t="s">
        <v>90</v>
      </c>
      <c r="M34" t="s">
        <v>91</v>
      </c>
      <c r="N34" t="s">
        <v>57</v>
      </c>
      <c r="O34" s="1">
        <v>46198</v>
      </c>
      <c r="Q34" s="1">
        <v>46228</v>
      </c>
      <c r="R34" s="2">
        <v>78.760000000000005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177.24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29.54</v>
      </c>
      <c r="AM34" s="2">
        <v>0</v>
      </c>
      <c r="AN34" s="2">
        <v>177.24</v>
      </c>
      <c r="AO34" s="2">
        <v>0</v>
      </c>
      <c r="AP34" s="2">
        <v>0</v>
      </c>
      <c r="AQ34" s="2">
        <v>0</v>
      </c>
    </row>
    <row r="35" spans="1:43" x14ac:dyDescent="0.25">
      <c r="A35" s="1">
        <v>46202</v>
      </c>
      <c r="B35" t="s">
        <v>48</v>
      </c>
      <c r="C35">
        <v>649163</v>
      </c>
      <c r="D35">
        <v>2036182312</v>
      </c>
      <c r="E35" t="s">
        <v>170</v>
      </c>
      <c r="F35" t="s">
        <v>171</v>
      </c>
      <c r="G35" t="s">
        <v>51</v>
      </c>
      <c r="H35" t="s">
        <v>124</v>
      </c>
      <c r="I35" t="s">
        <v>133</v>
      </c>
      <c r="J35" t="s">
        <v>134</v>
      </c>
      <c r="K35">
        <v>821015</v>
      </c>
      <c r="L35" t="s">
        <v>172</v>
      </c>
      <c r="M35" t="s">
        <v>173</v>
      </c>
      <c r="N35" t="s">
        <v>57</v>
      </c>
      <c r="O35" s="1">
        <v>46204</v>
      </c>
      <c r="Q35" s="1">
        <v>46235</v>
      </c>
      <c r="R35" s="2">
        <v>71.55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160.97999999999999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26.83</v>
      </c>
      <c r="AM35" s="2">
        <v>0</v>
      </c>
      <c r="AN35" s="2">
        <v>160.97999999999999</v>
      </c>
      <c r="AO35" s="2">
        <v>0</v>
      </c>
      <c r="AP35" s="2">
        <v>0</v>
      </c>
      <c r="AQ35" s="2">
        <v>0</v>
      </c>
    </row>
    <row r="36" spans="1:43" x14ac:dyDescent="0.25">
      <c r="A36" s="1">
        <v>46202</v>
      </c>
      <c r="B36" t="s">
        <v>48</v>
      </c>
      <c r="C36">
        <v>649163</v>
      </c>
      <c r="D36">
        <v>2036198553</v>
      </c>
      <c r="E36" t="s">
        <v>174</v>
      </c>
      <c r="F36" t="s">
        <v>175</v>
      </c>
      <c r="G36" t="s">
        <v>51</v>
      </c>
      <c r="H36" t="s">
        <v>176</v>
      </c>
      <c r="I36" t="s">
        <v>133</v>
      </c>
      <c r="J36" t="s">
        <v>134</v>
      </c>
      <c r="K36">
        <v>970074</v>
      </c>
      <c r="L36" t="s">
        <v>177</v>
      </c>
      <c r="M36" t="s">
        <v>178</v>
      </c>
      <c r="N36" t="s">
        <v>57</v>
      </c>
      <c r="O36" s="1">
        <v>46204</v>
      </c>
      <c r="Q36" s="1">
        <v>46235</v>
      </c>
      <c r="R36" s="2">
        <v>113.66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255.72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42.62</v>
      </c>
      <c r="AM36" s="2">
        <v>0</v>
      </c>
      <c r="AN36" s="2">
        <v>255.72</v>
      </c>
      <c r="AO36" s="2">
        <v>0</v>
      </c>
      <c r="AP36" s="2">
        <v>0</v>
      </c>
      <c r="AQ36" s="2">
        <v>0</v>
      </c>
    </row>
    <row r="37" spans="1:43" x14ac:dyDescent="0.25">
      <c r="A37" s="1">
        <v>46202</v>
      </c>
      <c r="B37" t="s">
        <v>48</v>
      </c>
      <c r="C37">
        <v>649163</v>
      </c>
      <c r="D37">
        <v>2036199338</v>
      </c>
      <c r="E37" t="s">
        <v>106</v>
      </c>
      <c r="F37" t="s">
        <v>110</v>
      </c>
      <c r="G37" t="s">
        <v>51</v>
      </c>
      <c r="H37" t="s">
        <v>89</v>
      </c>
      <c r="I37" t="s">
        <v>133</v>
      </c>
      <c r="J37" t="s">
        <v>134</v>
      </c>
      <c r="K37">
        <v>824062</v>
      </c>
      <c r="L37" t="s">
        <v>90</v>
      </c>
      <c r="M37" t="s">
        <v>91</v>
      </c>
      <c r="N37" t="s">
        <v>57</v>
      </c>
      <c r="O37" s="1">
        <v>46198</v>
      </c>
      <c r="Q37" s="1">
        <v>46228</v>
      </c>
      <c r="R37" s="2">
        <v>78.760000000000005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177.24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29.54</v>
      </c>
      <c r="AM37" s="2">
        <v>0</v>
      </c>
      <c r="AN37" s="2">
        <v>177.24</v>
      </c>
      <c r="AO37" s="2">
        <v>0</v>
      </c>
      <c r="AP37" s="2">
        <v>0</v>
      </c>
      <c r="AQ37" s="2">
        <v>0</v>
      </c>
    </row>
    <row r="38" spans="1:43" x14ac:dyDescent="0.25">
      <c r="A38" s="1">
        <v>46202</v>
      </c>
      <c r="B38" t="s">
        <v>48</v>
      </c>
      <c r="C38">
        <v>649163</v>
      </c>
      <c r="D38">
        <v>2036203429</v>
      </c>
      <c r="E38" t="s">
        <v>118</v>
      </c>
      <c r="F38" t="s">
        <v>119</v>
      </c>
      <c r="G38" t="s">
        <v>51</v>
      </c>
      <c r="H38" t="s">
        <v>89</v>
      </c>
      <c r="I38" t="s">
        <v>133</v>
      </c>
      <c r="J38" t="s">
        <v>134</v>
      </c>
      <c r="K38">
        <v>893408</v>
      </c>
      <c r="L38" t="s">
        <v>120</v>
      </c>
      <c r="M38" t="s">
        <v>121</v>
      </c>
      <c r="N38" t="s">
        <v>57</v>
      </c>
      <c r="O38" s="1">
        <v>46198</v>
      </c>
      <c r="Q38" s="1">
        <v>46228</v>
      </c>
      <c r="R38" s="2">
        <v>78.760000000000005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177.24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29.54</v>
      </c>
      <c r="AM38" s="2">
        <v>0</v>
      </c>
      <c r="AN38" s="2">
        <v>177.24</v>
      </c>
      <c r="AO38" s="2">
        <v>0</v>
      </c>
      <c r="AP38" s="2">
        <v>0</v>
      </c>
      <c r="AQ38" s="2">
        <v>0</v>
      </c>
    </row>
    <row r="39" spans="1:43" x14ac:dyDescent="0.25">
      <c r="A39" s="1">
        <v>46202</v>
      </c>
      <c r="B39" t="s">
        <v>48</v>
      </c>
      <c r="C39">
        <v>649163</v>
      </c>
      <c r="D39">
        <v>2036209345</v>
      </c>
      <c r="E39" t="s">
        <v>179</v>
      </c>
      <c r="F39" t="s">
        <v>180</v>
      </c>
      <c r="G39" t="s">
        <v>51</v>
      </c>
      <c r="H39" t="s">
        <v>124</v>
      </c>
      <c r="I39" t="s">
        <v>133</v>
      </c>
      <c r="J39" t="s">
        <v>134</v>
      </c>
      <c r="K39">
        <v>812782</v>
      </c>
      <c r="L39" t="s">
        <v>181</v>
      </c>
      <c r="M39" t="s">
        <v>182</v>
      </c>
      <c r="N39" t="s">
        <v>57</v>
      </c>
      <c r="O39" s="1">
        <v>46198</v>
      </c>
      <c r="Q39" s="1">
        <v>46228</v>
      </c>
      <c r="R39" s="2">
        <v>51.4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115.68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19.28</v>
      </c>
      <c r="AM39" s="2">
        <v>0</v>
      </c>
      <c r="AN39" s="2">
        <v>115.68</v>
      </c>
      <c r="AO39" s="2">
        <v>0</v>
      </c>
      <c r="AP39" s="2">
        <v>0</v>
      </c>
      <c r="AQ39" s="2">
        <v>0</v>
      </c>
    </row>
    <row r="40" spans="1:43" x14ac:dyDescent="0.25">
      <c r="A40" s="1">
        <v>46202</v>
      </c>
      <c r="B40" t="s">
        <v>48</v>
      </c>
      <c r="C40">
        <v>649163</v>
      </c>
      <c r="D40">
        <v>2036228774</v>
      </c>
      <c r="E40" t="s">
        <v>127</v>
      </c>
      <c r="F40" t="s">
        <v>128</v>
      </c>
      <c r="G40" t="s">
        <v>51</v>
      </c>
      <c r="H40" t="s">
        <v>94</v>
      </c>
      <c r="I40" t="s">
        <v>133</v>
      </c>
      <c r="J40" t="s">
        <v>134</v>
      </c>
      <c r="K40">
        <v>824082</v>
      </c>
      <c r="L40" t="s">
        <v>129</v>
      </c>
      <c r="M40" t="s">
        <v>130</v>
      </c>
      <c r="N40" t="s">
        <v>57</v>
      </c>
      <c r="O40" s="1">
        <v>46204</v>
      </c>
      <c r="Q40" s="1">
        <v>46235</v>
      </c>
      <c r="R40" s="2">
        <v>74.260000000000005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167.1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27.85</v>
      </c>
      <c r="AM40" s="2">
        <v>0</v>
      </c>
      <c r="AN40" s="2">
        <v>167.1</v>
      </c>
      <c r="AO40" s="2">
        <v>0</v>
      </c>
      <c r="AP40" s="2">
        <v>0</v>
      </c>
      <c r="AQ40" s="2">
        <v>0</v>
      </c>
    </row>
    <row r="41" spans="1:43" x14ac:dyDescent="0.25">
      <c r="A41" s="1">
        <v>46202</v>
      </c>
      <c r="B41" t="s">
        <v>48</v>
      </c>
      <c r="C41">
        <v>649163</v>
      </c>
      <c r="D41">
        <v>2036228790</v>
      </c>
      <c r="E41" t="s">
        <v>137</v>
      </c>
      <c r="F41" t="s">
        <v>138</v>
      </c>
      <c r="G41" t="s">
        <v>51</v>
      </c>
      <c r="H41" t="s">
        <v>100</v>
      </c>
      <c r="I41" t="s">
        <v>133</v>
      </c>
      <c r="J41" t="s">
        <v>134</v>
      </c>
      <c r="K41">
        <v>974687</v>
      </c>
      <c r="L41" t="s">
        <v>139</v>
      </c>
      <c r="M41" t="s">
        <v>140</v>
      </c>
      <c r="N41" t="s">
        <v>57</v>
      </c>
      <c r="O41" s="1">
        <v>46199</v>
      </c>
      <c r="Q41" s="1">
        <v>46229</v>
      </c>
      <c r="R41" s="2">
        <v>52.62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118.38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19.73</v>
      </c>
      <c r="AM41" s="2">
        <v>0</v>
      </c>
      <c r="AN41" s="2">
        <v>118.38</v>
      </c>
      <c r="AO41" s="2">
        <v>0</v>
      </c>
      <c r="AP41" s="2">
        <v>0</v>
      </c>
      <c r="AQ41" s="2">
        <v>0</v>
      </c>
    </row>
    <row r="42" spans="1:43" x14ac:dyDescent="0.25">
      <c r="A42" s="1">
        <v>46202</v>
      </c>
      <c r="B42" t="s">
        <v>48</v>
      </c>
      <c r="C42">
        <v>649163</v>
      </c>
      <c r="D42">
        <v>2036247499</v>
      </c>
      <c r="E42" t="s">
        <v>62</v>
      </c>
      <c r="F42" t="s">
        <v>63</v>
      </c>
      <c r="G42" t="s">
        <v>51</v>
      </c>
      <c r="H42" t="s">
        <v>52</v>
      </c>
      <c r="I42" t="s">
        <v>133</v>
      </c>
      <c r="J42" t="s">
        <v>134</v>
      </c>
      <c r="K42">
        <v>885445</v>
      </c>
      <c r="L42" t="s">
        <v>64</v>
      </c>
      <c r="M42" t="s">
        <v>65</v>
      </c>
      <c r="N42" t="s">
        <v>57</v>
      </c>
      <c r="O42" s="1">
        <v>46204</v>
      </c>
      <c r="Q42" s="1">
        <v>46235</v>
      </c>
      <c r="R42" s="2">
        <v>141.19999999999999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317.7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52.95</v>
      </c>
      <c r="AM42" s="2">
        <v>0</v>
      </c>
      <c r="AN42" s="2">
        <v>317.7</v>
      </c>
      <c r="AO42" s="2">
        <v>0</v>
      </c>
      <c r="AP42" s="2">
        <v>0</v>
      </c>
      <c r="AQ42" s="2">
        <v>0</v>
      </c>
    </row>
    <row r="43" spans="1:43" x14ac:dyDescent="0.25">
      <c r="A43" s="1">
        <v>46202</v>
      </c>
      <c r="B43" t="s">
        <v>48</v>
      </c>
      <c r="C43">
        <v>649163</v>
      </c>
      <c r="D43">
        <v>2036251837</v>
      </c>
      <c r="E43" t="s">
        <v>183</v>
      </c>
      <c r="F43" t="s">
        <v>184</v>
      </c>
      <c r="G43" t="s">
        <v>51</v>
      </c>
      <c r="H43" t="s">
        <v>185</v>
      </c>
      <c r="I43" t="s">
        <v>133</v>
      </c>
      <c r="J43" t="s">
        <v>134</v>
      </c>
      <c r="K43">
        <v>812656</v>
      </c>
      <c r="L43" t="s">
        <v>186</v>
      </c>
      <c r="M43" t="s">
        <v>187</v>
      </c>
      <c r="N43" t="s">
        <v>57</v>
      </c>
      <c r="O43" s="1">
        <v>46200</v>
      </c>
      <c r="Q43" s="1">
        <v>46230</v>
      </c>
      <c r="R43" s="2">
        <v>54.54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122.7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20.45</v>
      </c>
      <c r="AM43" s="2">
        <v>0</v>
      </c>
      <c r="AN43" s="2">
        <v>122.7</v>
      </c>
      <c r="AO43" s="2">
        <v>0</v>
      </c>
      <c r="AP43" s="2">
        <v>0</v>
      </c>
      <c r="AQ43" s="2">
        <v>0</v>
      </c>
    </row>
    <row r="44" spans="1:43" x14ac:dyDescent="0.25">
      <c r="A44" s="1">
        <v>46202</v>
      </c>
      <c r="B44" t="s">
        <v>48</v>
      </c>
      <c r="C44">
        <v>649163</v>
      </c>
      <c r="D44">
        <v>2036092537</v>
      </c>
      <c r="E44" t="s">
        <v>92</v>
      </c>
      <c r="F44" t="s">
        <v>93</v>
      </c>
      <c r="G44" t="s">
        <v>51</v>
      </c>
      <c r="H44" t="s">
        <v>94</v>
      </c>
      <c r="I44" t="s">
        <v>188</v>
      </c>
      <c r="J44" t="s">
        <v>189</v>
      </c>
      <c r="K44">
        <v>816021</v>
      </c>
      <c r="L44" t="s">
        <v>80</v>
      </c>
      <c r="M44" t="s">
        <v>81</v>
      </c>
      <c r="N44" t="s">
        <v>57</v>
      </c>
      <c r="O44" s="1">
        <v>46204</v>
      </c>
      <c r="Q44" s="1">
        <v>46235</v>
      </c>
      <c r="R44" s="2">
        <v>13.63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31.08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5.18</v>
      </c>
      <c r="AM44" s="2">
        <v>0</v>
      </c>
      <c r="AN44" s="2">
        <v>31.08</v>
      </c>
      <c r="AO44" s="2">
        <v>0</v>
      </c>
      <c r="AP44" s="2">
        <v>0</v>
      </c>
      <c r="AQ44" s="2">
        <v>0</v>
      </c>
    </row>
    <row r="45" spans="1:43" x14ac:dyDescent="0.25">
      <c r="A45" s="1">
        <v>46202</v>
      </c>
      <c r="B45" t="s">
        <v>48</v>
      </c>
      <c r="C45">
        <v>649163</v>
      </c>
      <c r="D45">
        <v>2036136236</v>
      </c>
      <c r="E45" t="s">
        <v>98</v>
      </c>
      <c r="F45" t="s">
        <v>99</v>
      </c>
      <c r="G45" t="s">
        <v>51</v>
      </c>
      <c r="H45" t="s">
        <v>100</v>
      </c>
      <c r="I45" t="s">
        <v>188</v>
      </c>
      <c r="J45" t="s">
        <v>189</v>
      </c>
      <c r="K45">
        <v>673059</v>
      </c>
      <c r="L45" t="s">
        <v>102</v>
      </c>
      <c r="M45" t="s">
        <v>103</v>
      </c>
      <c r="N45" t="s">
        <v>57</v>
      </c>
      <c r="O45" s="1">
        <v>46235</v>
      </c>
      <c r="Q45" s="1">
        <v>46266</v>
      </c>
      <c r="R45" s="2">
        <v>11.71</v>
      </c>
      <c r="S45">
        <v>1</v>
      </c>
      <c r="T45" t="s">
        <v>58</v>
      </c>
      <c r="U45" t="s">
        <v>59</v>
      </c>
      <c r="V45" s="3">
        <v>0.38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26.7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4.45</v>
      </c>
      <c r="AM45" s="2">
        <v>0</v>
      </c>
      <c r="AN45" s="2">
        <v>26.7</v>
      </c>
      <c r="AO45" s="2">
        <v>0</v>
      </c>
      <c r="AP45" s="2">
        <v>0</v>
      </c>
      <c r="AQ45" s="2">
        <v>0</v>
      </c>
    </row>
    <row r="46" spans="1:43" x14ac:dyDescent="0.25">
      <c r="A46" s="1">
        <v>46202</v>
      </c>
      <c r="B46" t="s">
        <v>48</v>
      </c>
      <c r="C46">
        <v>649163</v>
      </c>
      <c r="D46">
        <v>2036182101</v>
      </c>
      <c r="E46" t="s">
        <v>106</v>
      </c>
      <c r="F46" t="s">
        <v>107</v>
      </c>
      <c r="G46" t="s">
        <v>51</v>
      </c>
      <c r="H46" t="s">
        <v>89</v>
      </c>
      <c r="I46" t="s">
        <v>188</v>
      </c>
      <c r="J46" t="s">
        <v>190</v>
      </c>
      <c r="K46">
        <v>824062</v>
      </c>
      <c r="L46" t="s">
        <v>90</v>
      </c>
      <c r="M46" t="s">
        <v>91</v>
      </c>
      <c r="N46" t="s">
        <v>57</v>
      </c>
      <c r="O46" s="1">
        <v>46198</v>
      </c>
      <c r="Q46" s="1">
        <v>46228</v>
      </c>
      <c r="R46" s="2">
        <v>131.32</v>
      </c>
      <c r="S46">
        <v>1</v>
      </c>
      <c r="T46" t="s">
        <v>58</v>
      </c>
      <c r="U46" t="s">
        <v>59</v>
      </c>
      <c r="V46" s="3">
        <v>0.38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299.39999999999998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49.9</v>
      </c>
      <c r="AM46" s="2">
        <v>0</v>
      </c>
      <c r="AN46" s="2">
        <v>299.39999999999998</v>
      </c>
      <c r="AO46" s="2">
        <v>0</v>
      </c>
      <c r="AP46" s="2">
        <v>0</v>
      </c>
      <c r="AQ46" s="2">
        <v>0</v>
      </c>
    </row>
    <row r="47" spans="1:43" x14ac:dyDescent="0.25">
      <c r="A47" s="1">
        <v>46202</v>
      </c>
      <c r="B47" t="s">
        <v>48</v>
      </c>
      <c r="C47">
        <v>649163</v>
      </c>
      <c r="D47">
        <v>2036182102</v>
      </c>
      <c r="E47" t="s">
        <v>106</v>
      </c>
      <c r="F47" t="s">
        <v>107</v>
      </c>
      <c r="G47" t="s">
        <v>51</v>
      </c>
      <c r="H47" t="s">
        <v>89</v>
      </c>
      <c r="I47" t="s">
        <v>188</v>
      </c>
      <c r="J47" t="s">
        <v>191</v>
      </c>
      <c r="K47">
        <v>824062</v>
      </c>
      <c r="L47" t="s">
        <v>90</v>
      </c>
      <c r="M47" t="s">
        <v>91</v>
      </c>
      <c r="N47" t="s">
        <v>57</v>
      </c>
      <c r="O47" s="1">
        <v>46198</v>
      </c>
      <c r="Q47" s="1">
        <v>46228</v>
      </c>
      <c r="R47" s="2">
        <v>9.9499999999999993</v>
      </c>
      <c r="S47">
        <v>1</v>
      </c>
      <c r="T47" t="s">
        <v>58</v>
      </c>
      <c r="U47" t="s">
        <v>59</v>
      </c>
      <c r="V47" s="3">
        <v>0.38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22.68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3.78</v>
      </c>
      <c r="AM47" s="2">
        <v>0</v>
      </c>
      <c r="AN47" s="2">
        <v>22.68</v>
      </c>
      <c r="AO47" s="2">
        <v>0</v>
      </c>
      <c r="AP47" s="2">
        <v>0</v>
      </c>
      <c r="AQ47" s="2">
        <v>0</v>
      </c>
    </row>
    <row r="48" spans="1:43" x14ac:dyDescent="0.25">
      <c r="A48" s="1">
        <v>46202</v>
      </c>
      <c r="B48" t="s">
        <v>48</v>
      </c>
      <c r="C48">
        <v>649163</v>
      </c>
      <c r="D48">
        <v>2036182103</v>
      </c>
      <c r="E48" t="s">
        <v>106</v>
      </c>
      <c r="F48" t="s">
        <v>107</v>
      </c>
      <c r="G48" t="s">
        <v>51</v>
      </c>
      <c r="H48" t="s">
        <v>89</v>
      </c>
      <c r="I48" t="s">
        <v>188</v>
      </c>
      <c r="J48" t="s">
        <v>191</v>
      </c>
      <c r="K48">
        <v>824062</v>
      </c>
      <c r="L48" t="s">
        <v>90</v>
      </c>
      <c r="M48" t="s">
        <v>91</v>
      </c>
      <c r="N48" t="s">
        <v>57</v>
      </c>
      <c r="O48" s="1">
        <v>46198</v>
      </c>
      <c r="Q48" s="1">
        <v>46228</v>
      </c>
      <c r="R48" s="2">
        <v>5</v>
      </c>
      <c r="S48">
        <v>1</v>
      </c>
      <c r="T48" t="s">
        <v>58</v>
      </c>
      <c r="U48" t="s">
        <v>59</v>
      </c>
      <c r="V48" s="3">
        <v>0.38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11.4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1.9</v>
      </c>
      <c r="AM48" s="2">
        <v>0</v>
      </c>
      <c r="AN48" s="2">
        <v>11.4</v>
      </c>
      <c r="AO48" s="2">
        <v>0</v>
      </c>
      <c r="AP48" s="2">
        <v>0</v>
      </c>
      <c r="AQ48" s="2">
        <v>0</v>
      </c>
    </row>
    <row r="49" spans="1:43" x14ac:dyDescent="0.25">
      <c r="A49" s="1">
        <v>46202</v>
      </c>
      <c r="B49" t="s">
        <v>48</v>
      </c>
      <c r="C49">
        <v>649163</v>
      </c>
      <c r="D49">
        <v>2036192230</v>
      </c>
      <c r="E49" t="s">
        <v>152</v>
      </c>
      <c r="F49" t="s">
        <v>88</v>
      </c>
      <c r="G49" t="s">
        <v>51</v>
      </c>
      <c r="H49" t="s">
        <v>89</v>
      </c>
      <c r="I49" t="s">
        <v>188</v>
      </c>
      <c r="J49" t="s">
        <v>190</v>
      </c>
      <c r="K49">
        <v>820873</v>
      </c>
      <c r="L49" t="s">
        <v>153</v>
      </c>
      <c r="M49" t="s">
        <v>154</v>
      </c>
      <c r="N49" t="s">
        <v>57</v>
      </c>
      <c r="O49" s="1">
        <v>46196</v>
      </c>
      <c r="Q49" s="1">
        <v>46226</v>
      </c>
      <c r="R49" s="2">
        <v>87.01</v>
      </c>
      <c r="S49">
        <v>1</v>
      </c>
      <c r="T49" t="s">
        <v>58</v>
      </c>
      <c r="U49" t="s">
        <v>59</v>
      </c>
      <c r="V49" s="3">
        <v>0.38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198.36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33.06</v>
      </c>
      <c r="AM49" s="2">
        <v>0</v>
      </c>
      <c r="AN49" s="2">
        <v>198.36</v>
      </c>
      <c r="AO49" s="2">
        <v>0</v>
      </c>
      <c r="AP49" s="2">
        <v>0</v>
      </c>
      <c r="AQ49" s="2">
        <v>0</v>
      </c>
    </row>
    <row r="50" spans="1:43" x14ac:dyDescent="0.25">
      <c r="A50" s="1">
        <v>46202</v>
      </c>
      <c r="B50" t="s">
        <v>48</v>
      </c>
      <c r="C50">
        <v>649163</v>
      </c>
      <c r="D50">
        <v>2036192231</v>
      </c>
      <c r="E50" t="s">
        <v>152</v>
      </c>
      <c r="F50" t="s">
        <v>88</v>
      </c>
      <c r="G50" t="s">
        <v>51</v>
      </c>
      <c r="H50" t="s">
        <v>89</v>
      </c>
      <c r="I50" t="s">
        <v>188</v>
      </c>
      <c r="J50" t="s">
        <v>191</v>
      </c>
      <c r="K50">
        <v>820873</v>
      </c>
      <c r="L50" t="s">
        <v>153</v>
      </c>
      <c r="M50" t="s">
        <v>154</v>
      </c>
      <c r="N50" t="s">
        <v>57</v>
      </c>
      <c r="O50" s="1">
        <v>46196</v>
      </c>
      <c r="Q50" s="1">
        <v>46226</v>
      </c>
      <c r="R50" s="2">
        <v>9.9499999999999993</v>
      </c>
      <c r="S50">
        <v>1</v>
      </c>
      <c r="T50" t="s">
        <v>58</v>
      </c>
      <c r="U50" t="s">
        <v>59</v>
      </c>
      <c r="V50" s="3">
        <v>0.38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22.68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3.78</v>
      </c>
      <c r="AM50" s="2">
        <v>0</v>
      </c>
      <c r="AN50" s="2">
        <v>22.68</v>
      </c>
      <c r="AO50" s="2">
        <v>0</v>
      </c>
      <c r="AP50" s="2">
        <v>0</v>
      </c>
      <c r="AQ50" s="2">
        <v>0</v>
      </c>
    </row>
    <row r="51" spans="1:43" x14ac:dyDescent="0.25">
      <c r="A51" s="1">
        <v>46202</v>
      </c>
      <c r="B51" t="s">
        <v>48</v>
      </c>
      <c r="C51">
        <v>649163</v>
      </c>
      <c r="D51">
        <v>2036199335</v>
      </c>
      <c r="E51" t="s">
        <v>106</v>
      </c>
      <c r="F51" t="s">
        <v>110</v>
      </c>
      <c r="G51" t="s">
        <v>51</v>
      </c>
      <c r="H51" t="s">
        <v>89</v>
      </c>
      <c r="I51" t="s">
        <v>188</v>
      </c>
      <c r="J51" t="s">
        <v>190</v>
      </c>
      <c r="K51">
        <v>824062</v>
      </c>
      <c r="L51" t="s">
        <v>90</v>
      </c>
      <c r="M51" t="s">
        <v>91</v>
      </c>
      <c r="N51" t="s">
        <v>57</v>
      </c>
      <c r="O51" s="1">
        <v>46198</v>
      </c>
      <c r="Q51" s="1">
        <v>46228</v>
      </c>
      <c r="R51" s="2">
        <v>131.32</v>
      </c>
      <c r="S51">
        <v>1</v>
      </c>
      <c r="T51" t="s">
        <v>58</v>
      </c>
      <c r="U51" t="s">
        <v>59</v>
      </c>
      <c r="V51" s="3">
        <v>0.38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299.39999999999998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49.9</v>
      </c>
      <c r="AM51" s="2">
        <v>0</v>
      </c>
      <c r="AN51" s="2">
        <v>299.39999999999998</v>
      </c>
      <c r="AO51" s="2">
        <v>0</v>
      </c>
      <c r="AP51" s="2">
        <v>0</v>
      </c>
      <c r="AQ51" s="2">
        <v>0</v>
      </c>
    </row>
    <row r="52" spans="1:43" x14ac:dyDescent="0.25">
      <c r="A52" s="1">
        <v>46202</v>
      </c>
      <c r="B52" t="s">
        <v>48</v>
      </c>
      <c r="C52">
        <v>649163</v>
      </c>
      <c r="D52">
        <v>2036199336</v>
      </c>
      <c r="E52" t="s">
        <v>106</v>
      </c>
      <c r="F52" t="s">
        <v>110</v>
      </c>
      <c r="G52" t="s">
        <v>51</v>
      </c>
      <c r="H52" t="s">
        <v>89</v>
      </c>
      <c r="I52" t="s">
        <v>188</v>
      </c>
      <c r="J52" t="s">
        <v>191</v>
      </c>
      <c r="K52">
        <v>824062</v>
      </c>
      <c r="L52" t="s">
        <v>90</v>
      </c>
      <c r="M52" t="s">
        <v>91</v>
      </c>
      <c r="N52" t="s">
        <v>57</v>
      </c>
      <c r="O52" s="1">
        <v>46198</v>
      </c>
      <c r="Q52" s="1">
        <v>46228</v>
      </c>
      <c r="R52" s="2">
        <v>9.9499999999999993</v>
      </c>
      <c r="S52">
        <v>1</v>
      </c>
      <c r="T52" t="s">
        <v>58</v>
      </c>
      <c r="U52" t="s">
        <v>59</v>
      </c>
      <c r="V52" s="3">
        <v>0.38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22.68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3.78</v>
      </c>
      <c r="AM52" s="2">
        <v>0</v>
      </c>
      <c r="AN52" s="2">
        <v>22.68</v>
      </c>
      <c r="AO52" s="2">
        <v>0</v>
      </c>
      <c r="AP52" s="2">
        <v>0</v>
      </c>
      <c r="AQ52" s="2">
        <v>0</v>
      </c>
    </row>
    <row r="53" spans="1:43" x14ac:dyDescent="0.25">
      <c r="A53" s="1">
        <v>46202</v>
      </c>
      <c r="B53" t="s">
        <v>48</v>
      </c>
      <c r="C53">
        <v>649163</v>
      </c>
      <c r="D53">
        <v>2036247500</v>
      </c>
      <c r="E53" t="s">
        <v>62</v>
      </c>
      <c r="F53" t="s">
        <v>63</v>
      </c>
      <c r="G53" t="s">
        <v>51</v>
      </c>
      <c r="H53" t="s">
        <v>52</v>
      </c>
      <c r="I53" t="s">
        <v>188</v>
      </c>
      <c r="J53" t="s">
        <v>189</v>
      </c>
      <c r="K53">
        <v>885445</v>
      </c>
      <c r="L53" t="s">
        <v>64</v>
      </c>
      <c r="M53" t="s">
        <v>65</v>
      </c>
      <c r="N53" t="s">
        <v>57</v>
      </c>
      <c r="O53" s="1">
        <v>46204</v>
      </c>
      <c r="Q53" s="1">
        <v>46235</v>
      </c>
      <c r="R53" s="2">
        <v>91.94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209.64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34.94</v>
      </c>
      <c r="AM53" s="2">
        <v>0</v>
      </c>
      <c r="AN53" s="2">
        <v>209.64</v>
      </c>
      <c r="AO53" s="2">
        <v>0</v>
      </c>
      <c r="AP53" s="2">
        <v>0</v>
      </c>
      <c r="AQ53" s="2">
        <v>0</v>
      </c>
    </row>
    <row r="54" spans="1:43" x14ac:dyDescent="0.25">
      <c r="A54" s="1">
        <v>46202</v>
      </c>
      <c r="B54" t="s">
        <v>48</v>
      </c>
      <c r="C54">
        <v>649163</v>
      </c>
      <c r="D54">
        <v>2035604881</v>
      </c>
      <c r="E54" t="s">
        <v>192</v>
      </c>
      <c r="F54" t="s">
        <v>193</v>
      </c>
      <c r="G54" t="s">
        <v>51</v>
      </c>
      <c r="H54" t="s">
        <v>89</v>
      </c>
      <c r="I54" t="s">
        <v>194</v>
      </c>
      <c r="J54" t="s">
        <v>195</v>
      </c>
      <c r="K54">
        <v>875334</v>
      </c>
      <c r="L54" t="s">
        <v>196</v>
      </c>
      <c r="M54" t="s">
        <v>197</v>
      </c>
      <c r="N54" t="s">
        <v>57</v>
      </c>
      <c r="O54" s="1">
        <v>46204</v>
      </c>
      <c r="Q54" s="1">
        <v>46235</v>
      </c>
      <c r="R54" s="2">
        <v>209.78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881.1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146.85</v>
      </c>
      <c r="AM54" s="2">
        <v>0</v>
      </c>
      <c r="AN54" s="2">
        <v>881.1</v>
      </c>
      <c r="AO54" s="2">
        <v>0</v>
      </c>
      <c r="AP54" s="2">
        <v>0</v>
      </c>
      <c r="AQ54" s="2">
        <v>0</v>
      </c>
    </row>
    <row r="55" spans="1:43" x14ac:dyDescent="0.25">
      <c r="A55" s="1">
        <v>46202</v>
      </c>
      <c r="B55" t="s">
        <v>48</v>
      </c>
      <c r="C55">
        <v>649163</v>
      </c>
      <c r="D55">
        <v>2035624361</v>
      </c>
      <c r="E55" t="s">
        <v>198</v>
      </c>
      <c r="F55" t="s">
        <v>199</v>
      </c>
      <c r="G55" t="s">
        <v>51</v>
      </c>
      <c r="H55" t="s">
        <v>200</v>
      </c>
      <c r="I55" t="s">
        <v>194</v>
      </c>
      <c r="J55" t="s">
        <v>195</v>
      </c>
      <c r="K55">
        <v>673059</v>
      </c>
      <c r="L55" t="s">
        <v>102</v>
      </c>
      <c r="M55" t="s">
        <v>103</v>
      </c>
      <c r="N55" t="s">
        <v>57</v>
      </c>
      <c r="O55" s="1">
        <v>46198</v>
      </c>
      <c r="Q55" s="1">
        <v>46228</v>
      </c>
      <c r="R55" s="2">
        <v>19.68</v>
      </c>
      <c r="S55">
        <v>1</v>
      </c>
      <c r="T55" t="s">
        <v>58</v>
      </c>
      <c r="U55" t="s">
        <v>59</v>
      </c>
      <c r="V55" s="3">
        <v>0.7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82.68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13.78</v>
      </c>
      <c r="AM55" s="2">
        <v>0</v>
      </c>
      <c r="AN55" s="2">
        <v>82.68</v>
      </c>
      <c r="AO55" s="2">
        <v>0</v>
      </c>
      <c r="AP55" s="2">
        <v>0</v>
      </c>
      <c r="AQ55" s="2">
        <v>0</v>
      </c>
    </row>
    <row r="56" spans="1:43" x14ac:dyDescent="0.25">
      <c r="A56" s="1">
        <v>46202</v>
      </c>
      <c r="B56" t="s">
        <v>48</v>
      </c>
      <c r="C56">
        <v>649163</v>
      </c>
      <c r="D56">
        <v>2035830505</v>
      </c>
      <c r="E56" t="s">
        <v>66</v>
      </c>
      <c r="F56" t="s">
        <v>67</v>
      </c>
      <c r="G56" t="s">
        <v>51</v>
      </c>
      <c r="H56" t="s">
        <v>68</v>
      </c>
      <c r="I56" t="s">
        <v>194</v>
      </c>
      <c r="J56" t="s">
        <v>195</v>
      </c>
      <c r="K56">
        <v>946134</v>
      </c>
      <c r="L56" t="s">
        <v>71</v>
      </c>
      <c r="M56" t="s">
        <v>72</v>
      </c>
      <c r="N56" t="s">
        <v>57</v>
      </c>
      <c r="O56" s="1">
        <v>46204</v>
      </c>
      <c r="Q56" s="1">
        <v>46235</v>
      </c>
      <c r="R56" s="2">
        <v>122.88</v>
      </c>
      <c r="S56">
        <v>1</v>
      </c>
      <c r="T56" t="s">
        <v>58</v>
      </c>
      <c r="U56" t="s">
        <v>59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516.12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86.02</v>
      </c>
      <c r="AM56" s="2">
        <v>0</v>
      </c>
      <c r="AN56" s="2">
        <v>516.12</v>
      </c>
      <c r="AO56" s="2">
        <v>0</v>
      </c>
      <c r="AP56" s="2">
        <v>0</v>
      </c>
      <c r="AQ56" s="2">
        <v>0</v>
      </c>
    </row>
    <row r="57" spans="1:43" x14ac:dyDescent="0.25">
      <c r="A57" s="1">
        <v>46202</v>
      </c>
      <c r="B57" t="s">
        <v>48</v>
      </c>
      <c r="C57">
        <v>649163</v>
      </c>
      <c r="D57">
        <v>2035864461</v>
      </c>
      <c r="E57" t="s">
        <v>73</v>
      </c>
      <c r="F57" t="s">
        <v>74</v>
      </c>
      <c r="G57" t="s">
        <v>51</v>
      </c>
      <c r="H57" t="s">
        <v>75</v>
      </c>
      <c r="I57" t="s">
        <v>194</v>
      </c>
      <c r="J57" t="s">
        <v>195</v>
      </c>
      <c r="K57">
        <v>946134</v>
      </c>
      <c r="L57" t="s">
        <v>71</v>
      </c>
      <c r="M57" t="s">
        <v>72</v>
      </c>
      <c r="N57" t="s">
        <v>57</v>
      </c>
      <c r="O57" s="1">
        <v>46204</v>
      </c>
      <c r="Q57" s="1">
        <v>46235</v>
      </c>
      <c r="R57" s="2">
        <v>30.68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128.88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21.48</v>
      </c>
      <c r="AM57" s="2">
        <v>0</v>
      </c>
      <c r="AN57" s="2">
        <v>128.88</v>
      </c>
      <c r="AO57" s="2">
        <v>0</v>
      </c>
      <c r="AP57" s="2">
        <v>0</v>
      </c>
      <c r="AQ57" s="2">
        <v>0</v>
      </c>
    </row>
    <row r="58" spans="1:43" x14ac:dyDescent="0.25">
      <c r="A58" s="1">
        <v>46202</v>
      </c>
      <c r="B58" t="s">
        <v>48</v>
      </c>
      <c r="C58">
        <v>649163</v>
      </c>
      <c r="D58">
        <v>2035897012</v>
      </c>
      <c r="E58" t="s">
        <v>76</v>
      </c>
      <c r="F58" t="s">
        <v>77</v>
      </c>
      <c r="G58" t="s">
        <v>51</v>
      </c>
      <c r="H58" t="s">
        <v>78</v>
      </c>
      <c r="I58" t="s">
        <v>194</v>
      </c>
      <c r="J58" t="s">
        <v>195</v>
      </c>
      <c r="K58">
        <v>816021</v>
      </c>
      <c r="L58" t="s">
        <v>80</v>
      </c>
      <c r="M58" t="s">
        <v>81</v>
      </c>
      <c r="N58" t="s">
        <v>57</v>
      </c>
      <c r="O58" s="1">
        <v>46204</v>
      </c>
      <c r="Q58" s="1">
        <v>46235</v>
      </c>
      <c r="R58" s="2">
        <v>50.62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212.58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35.43</v>
      </c>
      <c r="AM58" s="2">
        <v>0</v>
      </c>
      <c r="AN58" s="2">
        <v>212.58</v>
      </c>
      <c r="AO58" s="2">
        <v>0</v>
      </c>
      <c r="AP58" s="2">
        <v>0</v>
      </c>
      <c r="AQ58" s="2">
        <v>0</v>
      </c>
    </row>
    <row r="59" spans="1:43" x14ac:dyDescent="0.25">
      <c r="A59" s="1">
        <v>46202</v>
      </c>
      <c r="B59" t="s">
        <v>48</v>
      </c>
      <c r="C59">
        <v>649163</v>
      </c>
      <c r="D59">
        <v>2036083727</v>
      </c>
      <c r="E59" t="s">
        <v>87</v>
      </c>
      <c r="F59" t="s">
        <v>88</v>
      </c>
      <c r="G59" t="s">
        <v>51</v>
      </c>
      <c r="H59" t="s">
        <v>89</v>
      </c>
      <c r="I59" t="s">
        <v>194</v>
      </c>
      <c r="J59" t="s">
        <v>195</v>
      </c>
      <c r="K59">
        <v>824062</v>
      </c>
      <c r="L59" t="s">
        <v>90</v>
      </c>
      <c r="M59" t="s">
        <v>91</v>
      </c>
      <c r="N59" t="s">
        <v>57</v>
      </c>
      <c r="O59" s="1">
        <v>46204</v>
      </c>
      <c r="Q59" s="1">
        <v>46235</v>
      </c>
      <c r="R59" s="2">
        <v>27.5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115.5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19.25</v>
      </c>
      <c r="AM59" s="2">
        <v>0</v>
      </c>
      <c r="AN59" s="2">
        <v>115.5</v>
      </c>
      <c r="AO59" s="2">
        <v>0</v>
      </c>
      <c r="AP59" s="2">
        <v>0</v>
      </c>
      <c r="AQ59" s="2">
        <v>0</v>
      </c>
    </row>
    <row r="60" spans="1:43" x14ac:dyDescent="0.25">
      <c r="A60" s="1">
        <v>46202</v>
      </c>
      <c r="B60" t="s">
        <v>48</v>
      </c>
      <c r="C60">
        <v>649163</v>
      </c>
      <c r="D60">
        <v>2036094810</v>
      </c>
      <c r="E60" t="s">
        <v>201</v>
      </c>
      <c r="F60" t="s">
        <v>202</v>
      </c>
      <c r="G60" t="s">
        <v>51</v>
      </c>
      <c r="H60" t="s">
        <v>94</v>
      </c>
      <c r="I60" t="s">
        <v>194</v>
      </c>
      <c r="J60" t="s">
        <v>195</v>
      </c>
      <c r="K60">
        <v>816021</v>
      </c>
      <c r="L60" t="s">
        <v>80</v>
      </c>
      <c r="M60" t="s">
        <v>81</v>
      </c>
      <c r="N60" t="s">
        <v>57</v>
      </c>
      <c r="O60" s="1">
        <v>46204</v>
      </c>
      <c r="Q60" s="1">
        <v>46235</v>
      </c>
      <c r="R60" s="2">
        <v>9.1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38.22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6.37</v>
      </c>
      <c r="AM60" s="2">
        <v>0</v>
      </c>
      <c r="AN60" s="2">
        <v>38.22</v>
      </c>
      <c r="AO60" s="2">
        <v>0</v>
      </c>
      <c r="AP60" s="2">
        <v>0</v>
      </c>
      <c r="AQ60" s="2">
        <v>0</v>
      </c>
    </row>
    <row r="61" spans="1:43" x14ac:dyDescent="0.25">
      <c r="A61" s="1">
        <v>46202</v>
      </c>
      <c r="B61" t="s">
        <v>48</v>
      </c>
      <c r="C61">
        <v>649163</v>
      </c>
      <c r="D61">
        <v>2036109999</v>
      </c>
      <c r="E61" t="s">
        <v>95</v>
      </c>
      <c r="F61" t="s">
        <v>96</v>
      </c>
      <c r="G61" t="s">
        <v>51</v>
      </c>
      <c r="H61" t="s">
        <v>97</v>
      </c>
      <c r="I61" t="s">
        <v>194</v>
      </c>
      <c r="J61" t="s">
        <v>195</v>
      </c>
      <c r="K61">
        <v>946134</v>
      </c>
      <c r="L61" t="s">
        <v>71</v>
      </c>
      <c r="M61" t="s">
        <v>72</v>
      </c>
      <c r="N61" t="s">
        <v>57</v>
      </c>
      <c r="O61" s="1">
        <v>46204</v>
      </c>
      <c r="Q61" s="1">
        <v>46235</v>
      </c>
      <c r="R61" s="2">
        <v>252.24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1059.42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176.57</v>
      </c>
      <c r="AM61" s="2">
        <v>0</v>
      </c>
      <c r="AN61" s="2">
        <v>1059.42</v>
      </c>
      <c r="AO61" s="2">
        <v>0</v>
      </c>
      <c r="AP61" s="2">
        <v>0</v>
      </c>
      <c r="AQ61" s="2">
        <v>0</v>
      </c>
    </row>
    <row r="62" spans="1:43" x14ac:dyDescent="0.25">
      <c r="A62" s="1">
        <v>46202</v>
      </c>
      <c r="B62" t="s">
        <v>48</v>
      </c>
      <c r="C62">
        <v>649163</v>
      </c>
      <c r="D62">
        <v>2036136233</v>
      </c>
      <c r="E62" t="s">
        <v>98</v>
      </c>
      <c r="F62" t="s">
        <v>99</v>
      </c>
      <c r="G62" t="s">
        <v>51</v>
      </c>
      <c r="H62" t="s">
        <v>100</v>
      </c>
      <c r="I62" t="s">
        <v>194</v>
      </c>
      <c r="J62" t="s">
        <v>203</v>
      </c>
      <c r="K62">
        <v>673059</v>
      </c>
      <c r="L62" t="s">
        <v>102</v>
      </c>
      <c r="M62" t="s">
        <v>103</v>
      </c>
      <c r="N62" t="s">
        <v>57</v>
      </c>
      <c r="O62" s="1">
        <v>46235</v>
      </c>
      <c r="Q62" s="1">
        <v>46266</v>
      </c>
      <c r="R62" s="2">
        <v>25.73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108.06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18.010000000000002</v>
      </c>
      <c r="AM62" s="2">
        <v>0</v>
      </c>
      <c r="AN62" s="2">
        <v>108.06</v>
      </c>
      <c r="AO62" s="2">
        <v>0</v>
      </c>
      <c r="AP62" s="2">
        <v>0</v>
      </c>
      <c r="AQ62" s="2">
        <v>0</v>
      </c>
    </row>
    <row r="63" spans="1:43" x14ac:dyDescent="0.25">
      <c r="A63" s="1">
        <v>46202</v>
      </c>
      <c r="B63" t="s">
        <v>48</v>
      </c>
      <c r="C63">
        <v>649163</v>
      </c>
      <c r="D63">
        <v>2036136235</v>
      </c>
      <c r="E63" t="s">
        <v>98</v>
      </c>
      <c r="F63" t="s">
        <v>99</v>
      </c>
      <c r="G63" t="s">
        <v>51</v>
      </c>
      <c r="H63" t="s">
        <v>100</v>
      </c>
      <c r="I63" t="s">
        <v>194</v>
      </c>
      <c r="J63" t="s">
        <v>195</v>
      </c>
      <c r="K63">
        <v>673059</v>
      </c>
      <c r="L63" t="s">
        <v>102</v>
      </c>
      <c r="M63" t="s">
        <v>103</v>
      </c>
      <c r="N63" t="s">
        <v>57</v>
      </c>
      <c r="O63" s="1">
        <v>46235</v>
      </c>
      <c r="Q63" s="1">
        <v>46266</v>
      </c>
      <c r="R63" s="2">
        <v>22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92.4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15.4</v>
      </c>
      <c r="AM63" s="2">
        <v>0</v>
      </c>
      <c r="AN63" s="2">
        <v>92.4</v>
      </c>
      <c r="AO63" s="2">
        <v>0</v>
      </c>
      <c r="AP63" s="2">
        <v>0</v>
      </c>
      <c r="AQ63" s="2">
        <v>0</v>
      </c>
    </row>
    <row r="64" spans="1:43" x14ac:dyDescent="0.25">
      <c r="A64" s="1">
        <v>46202</v>
      </c>
      <c r="B64" t="s">
        <v>48</v>
      </c>
      <c r="C64">
        <v>649163</v>
      </c>
      <c r="D64">
        <v>2036149982</v>
      </c>
      <c r="E64" t="s">
        <v>204</v>
      </c>
      <c r="F64" t="s">
        <v>205</v>
      </c>
      <c r="G64" t="s">
        <v>51</v>
      </c>
      <c r="H64" t="s">
        <v>89</v>
      </c>
      <c r="I64" t="s">
        <v>194</v>
      </c>
      <c r="J64" t="s">
        <v>195</v>
      </c>
      <c r="K64">
        <v>768271</v>
      </c>
      <c r="L64" t="s">
        <v>206</v>
      </c>
      <c r="M64" t="s">
        <v>207</v>
      </c>
      <c r="N64" t="s">
        <v>57</v>
      </c>
      <c r="O64" s="1">
        <v>46204</v>
      </c>
      <c r="Q64" s="1">
        <v>46235</v>
      </c>
      <c r="R64" s="2">
        <v>74.58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313.26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52.21</v>
      </c>
      <c r="AM64" s="2">
        <v>0</v>
      </c>
      <c r="AN64" s="2">
        <v>313.26</v>
      </c>
      <c r="AO64" s="2">
        <v>0</v>
      </c>
      <c r="AP64" s="2">
        <v>0</v>
      </c>
      <c r="AQ64" s="2">
        <v>0</v>
      </c>
    </row>
    <row r="65" spans="1:43" x14ac:dyDescent="0.25">
      <c r="A65" s="1">
        <v>46202</v>
      </c>
      <c r="B65" t="s">
        <v>48</v>
      </c>
      <c r="C65">
        <v>649163</v>
      </c>
      <c r="D65">
        <v>2036168259</v>
      </c>
      <c r="E65" t="s">
        <v>160</v>
      </c>
      <c r="F65" t="s">
        <v>161</v>
      </c>
      <c r="G65" t="s">
        <v>51</v>
      </c>
      <c r="H65" t="s">
        <v>162</v>
      </c>
      <c r="I65" t="s">
        <v>194</v>
      </c>
      <c r="J65" t="s">
        <v>195</v>
      </c>
      <c r="K65">
        <v>938894</v>
      </c>
      <c r="L65" t="s">
        <v>163</v>
      </c>
      <c r="M65" t="s">
        <v>164</v>
      </c>
      <c r="N65" t="s">
        <v>57</v>
      </c>
      <c r="O65" s="1">
        <v>46204</v>
      </c>
      <c r="Q65" s="1">
        <v>46235</v>
      </c>
      <c r="R65" s="2">
        <v>46.17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193.92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32.32</v>
      </c>
      <c r="AM65" s="2">
        <v>0</v>
      </c>
      <c r="AN65" s="2">
        <v>193.92</v>
      </c>
      <c r="AO65" s="2">
        <v>0</v>
      </c>
      <c r="AP65" s="2">
        <v>0</v>
      </c>
      <c r="AQ65" s="2">
        <v>0</v>
      </c>
    </row>
    <row r="66" spans="1:43" x14ac:dyDescent="0.25">
      <c r="A66" s="1">
        <v>46202</v>
      </c>
      <c r="B66" t="s">
        <v>48</v>
      </c>
      <c r="C66">
        <v>649163</v>
      </c>
      <c r="D66">
        <v>2036169738</v>
      </c>
      <c r="E66" t="s">
        <v>104</v>
      </c>
      <c r="F66" t="s">
        <v>105</v>
      </c>
      <c r="G66" t="s">
        <v>51</v>
      </c>
      <c r="H66" t="s">
        <v>68</v>
      </c>
      <c r="I66" t="s">
        <v>194</v>
      </c>
      <c r="J66" t="s">
        <v>195</v>
      </c>
      <c r="K66">
        <v>946134</v>
      </c>
      <c r="L66" t="s">
        <v>71</v>
      </c>
      <c r="M66" t="s">
        <v>72</v>
      </c>
      <c r="N66" t="s">
        <v>57</v>
      </c>
      <c r="O66" s="1">
        <v>46204</v>
      </c>
      <c r="Q66" s="1">
        <v>46235</v>
      </c>
      <c r="R66" s="2">
        <v>122.88</v>
      </c>
      <c r="S66">
        <v>1</v>
      </c>
      <c r="T66" t="s">
        <v>58</v>
      </c>
      <c r="U66" t="s">
        <v>59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516.12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86.02</v>
      </c>
      <c r="AM66" s="2">
        <v>0</v>
      </c>
      <c r="AN66" s="2">
        <v>516.12</v>
      </c>
      <c r="AO66" s="2">
        <v>0</v>
      </c>
      <c r="AP66" s="2">
        <v>0</v>
      </c>
      <c r="AQ66" s="2">
        <v>0</v>
      </c>
    </row>
    <row r="67" spans="1:43" x14ac:dyDescent="0.25">
      <c r="A67" s="1">
        <v>46202</v>
      </c>
      <c r="B67" t="s">
        <v>48</v>
      </c>
      <c r="C67">
        <v>649163</v>
      </c>
      <c r="D67">
        <v>2036180130</v>
      </c>
      <c r="E67" t="s">
        <v>208</v>
      </c>
      <c r="F67" t="s">
        <v>209</v>
      </c>
      <c r="G67" t="s">
        <v>51</v>
      </c>
      <c r="H67" t="s">
        <v>124</v>
      </c>
      <c r="I67" t="s">
        <v>194</v>
      </c>
      <c r="J67" t="s">
        <v>195</v>
      </c>
      <c r="K67">
        <v>651818</v>
      </c>
      <c r="L67" t="s">
        <v>210</v>
      </c>
      <c r="M67" t="s">
        <v>211</v>
      </c>
      <c r="N67" t="s">
        <v>57</v>
      </c>
      <c r="O67" s="1">
        <v>46204</v>
      </c>
      <c r="Q67" s="1">
        <v>46235</v>
      </c>
      <c r="R67" s="2">
        <v>220.14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924.6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154.1</v>
      </c>
      <c r="AM67" s="2">
        <v>0</v>
      </c>
      <c r="AN67" s="2">
        <v>924.6</v>
      </c>
      <c r="AO67" s="2">
        <v>0</v>
      </c>
      <c r="AP67" s="2">
        <v>0</v>
      </c>
      <c r="AQ67" s="2">
        <v>0</v>
      </c>
    </row>
    <row r="68" spans="1:43" x14ac:dyDescent="0.25">
      <c r="A68" s="1">
        <v>46202</v>
      </c>
      <c r="B68" t="s">
        <v>48</v>
      </c>
      <c r="C68">
        <v>649163</v>
      </c>
      <c r="D68">
        <v>2036180512</v>
      </c>
      <c r="E68" t="s">
        <v>212</v>
      </c>
      <c r="F68" t="s">
        <v>209</v>
      </c>
      <c r="G68" t="s">
        <v>51</v>
      </c>
      <c r="H68" t="s">
        <v>89</v>
      </c>
      <c r="I68" t="s">
        <v>194</v>
      </c>
      <c r="J68" t="s">
        <v>195</v>
      </c>
      <c r="K68">
        <v>843573</v>
      </c>
      <c r="L68" t="s">
        <v>213</v>
      </c>
      <c r="M68" t="s">
        <v>214</v>
      </c>
      <c r="N68" t="s">
        <v>57</v>
      </c>
      <c r="O68" s="1">
        <v>46197</v>
      </c>
      <c r="Q68" s="1">
        <v>46227</v>
      </c>
      <c r="R68" s="2">
        <v>26.5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111.3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18.55</v>
      </c>
      <c r="AM68" s="2">
        <v>0</v>
      </c>
      <c r="AN68" s="2">
        <v>111.3</v>
      </c>
      <c r="AO68" s="2">
        <v>0</v>
      </c>
      <c r="AP68" s="2">
        <v>0</v>
      </c>
      <c r="AQ68" s="2">
        <v>0</v>
      </c>
    </row>
    <row r="69" spans="1:43" x14ac:dyDescent="0.25">
      <c r="A69" s="1">
        <v>46202</v>
      </c>
      <c r="B69" t="s">
        <v>48</v>
      </c>
      <c r="C69">
        <v>649163</v>
      </c>
      <c r="D69">
        <v>2036182098</v>
      </c>
      <c r="E69" t="s">
        <v>106</v>
      </c>
      <c r="F69" t="s">
        <v>107</v>
      </c>
      <c r="G69" t="s">
        <v>51</v>
      </c>
      <c r="H69" t="s">
        <v>89</v>
      </c>
      <c r="I69" t="s">
        <v>194</v>
      </c>
      <c r="J69" t="s">
        <v>195</v>
      </c>
      <c r="K69">
        <v>824062</v>
      </c>
      <c r="L69" t="s">
        <v>90</v>
      </c>
      <c r="M69" t="s">
        <v>91</v>
      </c>
      <c r="N69" t="s">
        <v>57</v>
      </c>
      <c r="O69" s="1">
        <v>46198</v>
      </c>
      <c r="Q69" s="1">
        <v>46228</v>
      </c>
      <c r="R69" s="2">
        <v>11.5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48.3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8.0500000000000007</v>
      </c>
      <c r="AM69" s="2">
        <v>0</v>
      </c>
      <c r="AN69" s="2">
        <v>48.3</v>
      </c>
      <c r="AO69" s="2">
        <v>0</v>
      </c>
      <c r="AP69" s="2">
        <v>0</v>
      </c>
      <c r="AQ69" s="2">
        <v>0</v>
      </c>
    </row>
    <row r="70" spans="1:43" x14ac:dyDescent="0.25">
      <c r="A70" s="1">
        <v>46202</v>
      </c>
      <c r="B70" t="s">
        <v>48</v>
      </c>
      <c r="C70">
        <v>649163</v>
      </c>
      <c r="D70">
        <v>2036182311</v>
      </c>
      <c r="E70" t="s">
        <v>170</v>
      </c>
      <c r="F70" t="s">
        <v>171</v>
      </c>
      <c r="G70" t="s">
        <v>51</v>
      </c>
      <c r="H70" t="s">
        <v>124</v>
      </c>
      <c r="I70" t="s">
        <v>194</v>
      </c>
      <c r="J70" t="s">
        <v>195</v>
      </c>
      <c r="K70">
        <v>821015</v>
      </c>
      <c r="L70" t="s">
        <v>172</v>
      </c>
      <c r="M70" t="s">
        <v>173</v>
      </c>
      <c r="N70" t="s">
        <v>57</v>
      </c>
      <c r="O70" s="1">
        <v>46204</v>
      </c>
      <c r="Q70" s="1">
        <v>46235</v>
      </c>
      <c r="R70" s="2">
        <v>89.52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375.96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62.66</v>
      </c>
      <c r="AM70" s="2">
        <v>0</v>
      </c>
      <c r="AN70" s="2">
        <v>375.96</v>
      </c>
      <c r="AO70" s="2">
        <v>0</v>
      </c>
      <c r="AP70" s="2">
        <v>0</v>
      </c>
      <c r="AQ70" s="2">
        <v>0</v>
      </c>
    </row>
    <row r="71" spans="1:43" x14ac:dyDescent="0.25">
      <c r="A71" s="1">
        <v>46202</v>
      </c>
      <c r="B71" t="s">
        <v>48</v>
      </c>
      <c r="C71">
        <v>649163</v>
      </c>
      <c r="D71">
        <v>2036185083</v>
      </c>
      <c r="E71" t="s">
        <v>108</v>
      </c>
      <c r="F71" t="s">
        <v>109</v>
      </c>
      <c r="G71" t="s">
        <v>51</v>
      </c>
      <c r="H71" t="s">
        <v>100</v>
      </c>
      <c r="I71" t="s">
        <v>194</v>
      </c>
      <c r="J71" t="s">
        <v>203</v>
      </c>
      <c r="K71">
        <v>673059</v>
      </c>
      <c r="L71" t="s">
        <v>102</v>
      </c>
      <c r="M71" t="s">
        <v>103</v>
      </c>
      <c r="N71" t="s">
        <v>57</v>
      </c>
      <c r="O71" s="1">
        <v>46204</v>
      </c>
      <c r="Q71" s="1">
        <v>46235</v>
      </c>
      <c r="R71" s="2">
        <v>25.73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108.06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18.010000000000002</v>
      </c>
      <c r="AM71" s="2">
        <v>0</v>
      </c>
      <c r="AN71" s="2">
        <v>108.06</v>
      </c>
      <c r="AO71" s="2">
        <v>0</v>
      </c>
      <c r="AP71" s="2">
        <v>0</v>
      </c>
      <c r="AQ71" s="2">
        <v>0</v>
      </c>
    </row>
    <row r="72" spans="1:43" x14ac:dyDescent="0.25">
      <c r="A72" s="1">
        <v>46202</v>
      </c>
      <c r="B72" t="s">
        <v>48</v>
      </c>
      <c r="C72">
        <v>649163</v>
      </c>
      <c r="D72">
        <v>2036185085</v>
      </c>
      <c r="E72" t="s">
        <v>108</v>
      </c>
      <c r="F72" t="s">
        <v>109</v>
      </c>
      <c r="G72" t="s">
        <v>51</v>
      </c>
      <c r="H72" t="s">
        <v>100</v>
      </c>
      <c r="I72" t="s">
        <v>194</v>
      </c>
      <c r="J72" t="s">
        <v>195</v>
      </c>
      <c r="K72">
        <v>673059</v>
      </c>
      <c r="L72" t="s">
        <v>102</v>
      </c>
      <c r="M72" t="s">
        <v>103</v>
      </c>
      <c r="N72" t="s">
        <v>57</v>
      </c>
      <c r="O72" s="1">
        <v>46204</v>
      </c>
      <c r="Q72" s="1">
        <v>46235</v>
      </c>
      <c r="R72" s="2">
        <v>27.25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114.48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19.079999999999998</v>
      </c>
      <c r="AM72" s="2">
        <v>0</v>
      </c>
      <c r="AN72" s="2">
        <v>114.48</v>
      </c>
      <c r="AO72" s="2">
        <v>0</v>
      </c>
      <c r="AP72" s="2">
        <v>0</v>
      </c>
      <c r="AQ72" s="2">
        <v>0</v>
      </c>
    </row>
    <row r="73" spans="1:43" x14ac:dyDescent="0.25">
      <c r="A73" s="1">
        <v>46202</v>
      </c>
      <c r="B73" t="s">
        <v>48</v>
      </c>
      <c r="C73">
        <v>649163</v>
      </c>
      <c r="D73">
        <v>2036190495</v>
      </c>
      <c r="E73" t="s">
        <v>215</v>
      </c>
      <c r="F73" t="s">
        <v>216</v>
      </c>
      <c r="G73" t="s">
        <v>51</v>
      </c>
      <c r="H73" t="s">
        <v>89</v>
      </c>
      <c r="I73" t="s">
        <v>194</v>
      </c>
      <c r="J73" t="s">
        <v>195</v>
      </c>
      <c r="K73">
        <v>821015</v>
      </c>
      <c r="L73" t="s">
        <v>172</v>
      </c>
      <c r="M73" t="s">
        <v>173</v>
      </c>
      <c r="N73" t="s">
        <v>57</v>
      </c>
      <c r="O73" s="1">
        <v>46204</v>
      </c>
      <c r="Q73" s="1">
        <v>46235</v>
      </c>
      <c r="R73" s="2">
        <v>198.36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833.1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138.85</v>
      </c>
      <c r="AM73" s="2">
        <v>0</v>
      </c>
      <c r="AN73" s="2">
        <v>833.1</v>
      </c>
      <c r="AO73" s="2">
        <v>0</v>
      </c>
      <c r="AP73" s="2">
        <v>0</v>
      </c>
      <c r="AQ73" s="2">
        <v>0</v>
      </c>
    </row>
    <row r="74" spans="1:43" x14ac:dyDescent="0.25">
      <c r="A74" s="1">
        <v>46202</v>
      </c>
      <c r="B74" t="s">
        <v>48</v>
      </c>
      <c r="C74">
        <v>649163</v>
      </c>
      <c r="D74">
        <v>2036198554</v>
      </c>
      <c r="E74" t="s">
        <v>174</v>
      </c>
      <c r="F74" t="s">
        <v>175</v>
      </c>
      <c r="G74" t="s">
        <v>51</v>
      </c>
      <c r="H74" t="s">
        <v>176</v>
      </c>
      <c r="I74" t="s">
        <v>194</v>
      </c>
      <c r="J74" t="s">
        <v>217</v>
      </c>
      <c r="K74">
        <v>970074</v>
      </c>
      <c r="L74" t="s">
        <v>177</v>
      </c>
      <c r="M74" t="s">
        <v>178</v>
      </c>
      <c r="N74" t="s">
        <v>57</v>
      </c>
      <c r="O74" s="1">
        <v>46204</v>
      </c>
      <c r="Q74" s="1">
        <v>46235</v>
      </c>
      <c r="R74" s="2">
        <v>95.38</v>
      </c>
      <c r="S74">
        <v>1</v>
      </c>
      <c r="T74" t="s">
        <v>58</v>
      </c>
      <c r="U74" t="s">
        <v>59</v>
      </c>
      <c r="V74" s="3">
        <v>0.9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515.04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85.84</v>
      </c>
      <c r="AM74" s="2">
        <v>0</v>
      </c>
      <c r="AN74" s="2">
        <v>515.04</v>
      </c>
      <c r="AO74" s="2">
        <v>0</v>
      </c>
      <c r="AP74" s="2">
        <v>0</v>
      </c>
      <c r="AQ74" s="2">
        <v>0</v>
      </c>
    </row>
    <row r="75" spans="1:43" x14ac:dyDescent="0.25">
      <c r="A75" s="1">
        <v>46202</v>
      </c>
      <c r="B75" t="s">
        <v>48</v>
      </c>
      <c r="C75">
        <v>649163</v>
      </c>
      <c r="D75">
        <v>2036199337</v>
      </c>
      <c r="E75" t="s">
        <v>106</v>
      </c>
      <c r="F75" t="s">
        <v>110</v>
      </c>
      <c r="G75" t="s">
        <v>51</v>
      </c>
      <c r="H75" t="s">
        <v>89</v>
      </c>
      <c r="I75" t="s">
        <v>194</v>
      </c>
      <c r="J75" t="s">
        <v>195</v>
      </c>
      <c r="K75">
        <v>824062</v>
      </c>
      <c r="L75" t="s">
        <v>90</v>
      </c>
      <c r="M75" t="s">
        <v>91</v>
      </c>
      <c r="N75" t="s">
        <v>57</v>
      </c>
      <c r="O75" s="1">
        <v>46198</v>
      </c>
      <c r="Q75" s="1">
        <v>46228</v>
      </c>
      <c r="R75" s="2">
        <v>11.5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48.3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8.0500000000000007</v>
      </c>
      <c r="AM75" s="2">
        <v>0</v>
      </c>
      <c r="AN75" s="2">
        <v>48.3</v>
      </c>
      <c r="AO75" s="2">
        <v>0</v>
      </c>
      <c r="AP75" s="2">
        <v>0</v>
      </c>
      <c r="AQ75" s="2">
        <v>0</v>
      </c>
    </row>
    <row r="76" spans="1:43" x14ac:dyDescent="0.25">
      <c r="A76" s="1">
        <v>46202</v>
      </c>
      <c r="B76" t="s">
        <v>48</v>
      </c>
      <c r="C76">
        <v>649163</v>
      </c>
      <c r="D76">
        <v>2036200628</v>
      </c>
      <c r="E76" t="s">
        <v>111</v>
      </c>
      <c r="F76" t="s">
        <v>112</v>
      </c>
      <c r="G76" t="s">
        <v>51</v>
      </c>
      <c r="H76" t="s">
        <v>89</v>
      </c>
      <c r="I76" t="s">
        <v>194</v>
      </c>
      <c r="J76" t="s">
        <v>195</v>
      </c>
      <c r="K76">
        <v>823350</v>
      </c>
      <c r="L76" t="s">
        <v>113</v>
      </c>
      <c r="M76" t="s">
        <v>114</v>
      </c>
      <c r="N76" t="s">
        <v>57</v>
      </c>
      <c r="O76" s="1">
        <v>46196</v>
      </c>
      <c r="Q76" s="1">
        <v>46226</v>
      </c>
      <c r="R76" s="2">
        <v>81.150000000000006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340.8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56.8</v>
      </c>
      <c r="AM76" s="2">
        <v>0</v>
      </c>
      <c r="AN76" s="2">
        <v>340.8</v>
      </c>
      <c r="AO76" s="2">
        <v>0</v>
      </c>
      <c r="AP76" s="2">
        <v>0</v>
      </c>
      <c r="AQ76" s="2">
        <v>0</v>
      </c>
    </row>
    <row r="77" spans="1:43" x14ac:dyDescent="0.25">
      <c r="A77" s="1">
        <v>46202</v>
      </c>
      <c r="B77" t="s">
        <v>48</v>
      </c>
      <c r="C77">
        <v>649163</v>
      </c>
      <c r="D77">
        <v>2036202890</v>
      </c>
      <c r="E77" t="s">
        <v>115</v>
      </c>
      <c r="F77" t="s">
        <v>116</v>
      </c>
      <c r="G77" t="s">
        <v>51</v>
      </c>
      <c r="H77" t="s">
        <v>117</v>
      </c>
      <c r="I77" t="s">
        <v>194</v>
      </c>
      <c r="J77" t="s">
        <v>195</v>
      </c>
      <c r="K77">
        <v>946134</v>
      </c>
      <c r="L77" t="s">
        <v>71</v>
      </c>
      <c r="M77" t="s">
        <v>72</v>
      </c>
      <c r="N77" t="s">
        <v>57</v>
      </c>
      <c r="O77" s="1">
        <v>46204</v>
      </c>
      <c r="Q77" s="1">
        <v>46235</v>
      </c>
      <c r="R77" s="2">
        <v>65.959999999999994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277.02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46.17</v>
      </c>
      <c r="AM77" s="2">
        <v>0</v>
      </c>
      <c r="AN77" s="2">
        <v>277.02</v>
      </c>
      <c r="AO77" s="2">
        <v>0</v>
      </c>
      <c r="AP77" s="2">
        <v>0</v>
      </c>
      <c r="AQ77" s="2">
        <v>0</v>
      </c>
    </row>
    <row r="78" spans="1:43" x14ac:dyDescent="0.25">
      <c r="A78" s="1">
        <v>46202</v>
      </c>
      <c r="B78" t="s">
        <v>48</v>
      </c>
      <c r="C78">
        <v>649163</v>
      </c>
      <c r="D78">
        <v>2036203426</v>
      </c>
      <c r="E78" t="s">
        <v>118</v>
      </c>
      <c r="F78" t="s">
        <v>119</v>
      </c>
      <c r="G78" t="s">
        <v>51</v>
      </c>
      <c r="H78" t="s">
        <v>89</v>
      </c>
      <c r="I78" t="s">
        <v>194</v>
      </c>
      <c r="J78" t="s">
        <v>195</v>
      </c>
      <c r="K78">
        <v>893408</v>
      </c>
      <c r="L78" t="s">
        <v>120</v>
      </c>
      <c r="M78" t="s">
        <v>121</v>
      </c>
      <c r="N78" t="s">
        <v>57</v>
      </c>
      <c r="O78" s="1">
        <v>46198</v>
      </c>
      <c r="Q78" s="1">
        <v>46228</v>
      </c>
      <c r="R78" s="2">
        <v>52.31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219.72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36.619999999999997</v>
      </c>
      <c r="AM78" s="2">
        <v>0</v>
      </c>
      <c r="AN78" s="2">
        <v>219.72</v>
      </c>
      <c r="AO78" s="2">
        <v>0</v>
      </c>
      <c r="AP78" s="2">
        <v>0</v>
      </c>
      <c r="AQ78" s="2">
        <v>0</v>
      </c>
    </row>
    <row r="79" spans="1:43" x14ac:dyDescent="0.25">
      <c r="A79" s="1">
        <v>46202</v>
      </c>
      <c r="B79" t="s">
        <v>48</v>
      </c>
      <c r="C79">
        <v>649163</v>
      </c>
      <c r="D79">
        <v>2036203427</v>
      </c>
      <c r="E79" t="s">
        <v>118</v>
      </c>
      <c r="F79" t="s">
        <v>119</v>
      </c>
      <c r="G79" t="s">
        <v>51</v>
      </c>
      <c r="H79" t="s">
        <v>89</v>
      </c>
      <c r="I79" t="s">
        <v>194</v>
      </c>
      <c r="J79" t="s">
        <v>217</v>
      </c>
      <c r="K79">
        <v>893408</v>
      </c>
      <c r="L79" t="s">
        <v>120</v>
      </c>
      <c r="M79" t="s">
        <v>121</v>
      </c>
      <c r="N79" t="s">
        <v>57</v>
      </c>
      <c r="O79" s="1">
        <v>46198</v>
      </c>
      <c r="Q79" s="1">
        <v>46228</v>
      </c>
      <c r="R79" s="2">
        <v>21.83</v>
      </c>
      <c r="S79">
        <v>1</v>
      </c>
      <c r="T79" t="s">
        <v>58</v>
      </c>
      <c r="U79" t="s">
        <v>59</v>
      </c>
      <c r="V79" s="3">
        <v>0.9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117.9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19.649999999999999</v>
      </c>
      <c r="AM79" s="2">
        <v>0</v>
      </c>
      <c r="AN79" s="2">
        <v>117.9</v>
      </c>
      <c r="AO79" s="2">
        <v>0</v>
      </c>
      <c r="AP79" s="2">
        <v>0</v>
      </c>
      <c r="AQ79" s="2">
        <v>0</v>
      </c>
    </row>
    <row r="80" spans="1:43" x14ac:dyDescent="0.25">
      <c r="A80" s="1">
        <v>46202</v>
      </c>
      <c r="B80" t="s">
        <v>48</v>
      </c>
      <c r="C80">
        <v>649163</v>
      </c>
      <c r="D80">
        <v>2036209346</v>
      </c>
      <c r="E80" t="s">
        <v>179</v>
      </c>
      <c r="F80" t="s">
        <v>180</v>
      </c>
      <c r="G80" t="s">
        <v>51</v>
      </c>
      <c r="H80" t="s">
        <v>124</v>
      </c>
      <c r="I80" t="s">
        <v>194</v>
      </c>
      <c r="J80" t="s">
        <v>195</v>
      </c>
      <c r="K80">
        <v>812782</v>
      </c>
      <c r="L80" t="s">
        <v>181</v>
      </c>
      <c r="M80" t="s">
        <v>182</v>
      </c>
      <c r="N80" t="s">
        <v>57</v>
      </c>
      <c r="O80" s="1">
        <v>46198</v>
      </c>
      <c r="Q80" s="1">
        <v>46228</v>
      </c>
      <c r="R80" s="2">
        <v>13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54.6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9.1</v>
      </c>
      <c r="AM80" s="2">
        <v>0</v>
      </c>
      <c r="AN80" s="2">
        <v>54.6</v>
      </c>
      <c r="AO80" s="2">
        <v>0</v>
      </c>
      <c r="AP80" s="2">
        <v>0</v>
      </c>
      <c r="AQ80" s="2">
        <v>0</v>
      </c>
    </row>
    <row r="81" spans="1:43" x14ac:dyDescent="0.25">
      <c r="A81" s="1">
        <v>46202</v>
      </c>
      <c r="B81" t="s">
        <v>48</v>
      </c>
      <c r="C81">
        <v>649163</v>
      </c>
      <c r="D81">
        <v>2036210150</v>
      </c>
      <c r="E81" t="s">
        <v>218</v>
      </c>
      <c r="F81" t="s">
        <v>219</v>
      </c>
      <c r="G81" t="s">
        <v>51</v>
      </c>
      <c r="H81" t="s">
        <v>100</v>
      </c>
      <c r="I81" t="s">
        <v>194</v>
      </c>
      <c r="J81" t="s">
        <v>195</v>
      </c>
      <c r="K81">
        <v>878036</v>
      </c>
      <c r="L81" t="s">
        <v>220</v>
      </c>
      <c r="M81" t="s">
        <v>221</v>
      </c>
      <c r="N81" t="s">
        <v>57</v>
      </c>
      <c r="O81" s="1">
        <v>46198</v>
      </c>
      <c r="Q81" s="1">
        <v>46228</v>
      </c>
      <c r="R81" s="2">
        <v>30.54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128.28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21.38</v>
      </c>
      <c r="AM81" s="2">
        <v>0</v>
      </c>
      <c r="AN81" s="2">
        <v>128.28</v>
      </c>
      <c r="AO81" s="2">
        <v>0</v>
      </c>
      <c r="AP81" s="2">
        <v>0</v>
      </c>
      <c r="AQ81" s="2">
        <v>0</v>
      </c>
    </row>
    <row r="82" spans="1:43" x14ac:dyDescent="0.25">
      <c r="A82" s="1">
        <v>46202</v>
      </c>
      <c r="B82" t="s">
        <v>48</v>
      </c>
      <c r="C82">
        <v>649163</v>
      </c>
      <c r="D82">
        <v>2036210311</v>
      </c>
      <c r="E82" t="s">
        <v>222</v>
      </c>
      <c r="F82" t="s">
        <v>223</v>
      </c>
      <c r="G82" t="s">
        <v>51</v>
      </c>
      <c r="H82" t="s">
        <v>89</v>
      </c>
      <c r="I82" t="s">
        <v>194</v>
      </c>
      <c r="J82" t="s">
        <v>195</v>
      </c>
      <c r="K82">
        <v>812656</v>
      </c>
      <c r="L82" t="s">
        <v>186</v>
      </c>
      <c r="M82" t="s">
        <v>187</v>
      </c>
      <c r="N82" t="s">
        <v>57</v>
      </c>
      <c r="O82" s="1">
        <v>46204</v>
      </c>
      <c r="Q82" s="1">
        <v>46235</v>
      </c>
      <c r="R82" s="2">
        <v>150.77000000000001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633.24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105.54</v>
      </c>
      <c r="AM82" s="2">
        <v>0</v>
      </c>
      <c r="AN82" s="2">
        <v>633.24</v>
      </c>
      <c r="AO82" s="2">
        <v>0</v>
      </c>
      <c r="AP82" s="2">
        <v>0</v>
      </c>
      <c r="AQ82" s="2">
        <v>0</v>
      </c>
    </row>
    <row r="83" spans="1:43" x14ac:dyDescent="0.25">
      <c r="A83" s="1">
        <v>46202</v>
      </c>
      <c r="B83" t="s">
        <v>48</v>
      </c>
      <c r="C83">
        <v>649163</v>
      </c>
      <c r="D83">
        <v>2036228394</v>
      </c>
      <c r="E83" t="s">
        <v>224</v>
      </c>
      <c r="F83" t="s">
        <v>225</v>
      </c>
      <c r="G83" t="s">
        <v>51</v>
      </c>
      <c r="H83" t="s">
        <v>146</v>
      </c>
      <c r="I83" t="s">
        <v>194</v>
      </c>
      <c r="J83" t="s">
        <v>203</v>
      </c>
      <c r="K83">
        <v>902625</v>
      </c>
      <c r="L83" t="s">
        <v>147</v>
      </c>
      <c r="M83" t="s">
        <v>148</v>
      </c>
      <c r="N83" t="s">
        <v>57</v>
      </c>
      <c r="O83" s="1">
        <v>46199</v>
      </c>
      <c r="Q83" s="1">
        <v>46229</v>
      </c>
      <c r="R83" s="2">
        <v>24.61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103.38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17.23</v>
      </c>
      <c r="AM83" s="2">
        <v>0</v>
      </c>
      <c r="AN83" s="2">
        <v>103.38</v>
      </c>
      <c r="AO83" s="2">
        <v>0</v>
      </c>
      <c r="AP83" s="2">
        <v>0</v>
      </c>
      <c r="AQ83" s="2">
        <v>0</v>
      </c>
    </row>
    <row r="84" spans="1:43" x14ac:dyDescent="0.25">
      <c r="A84" s="1">
        <v>46202</v>
      </c>
      <c r="B84" t="s">
        <v>48</v>
      </c>
      <c r="C84">
        <v>649163</v>
      </c>
      <c r="D84">
        <v>2036228395</v>
      </c>
      <c r="E84" t="s">
        <v>224</v>
      </c>
      <c r="F84" t="s">
        <v>225</v>
      </c>
      <c r="G84" t="s">
        <v>51</v>
      </c>
      <c r="H84" t="s">
        <v>146</v>
      </c>
      <c r="I84" t="s">
        <v>194</v>
      </c>
      <c r="J84" t="s">
        <v>217</v>
      </c>
      <c r="K84">
        <v>902625</v>
      </c>
      <c r="L84" t="s">
        <v>147</v>
      </c>
      <c r="M84" t="s">
        <v>148</v>
      </c>
      <c r="N84" t="s">
        <v>57</v>
      </c>
      <c r="O84" s="1">
        <v>46199</v>
      </c>
      <c r="Q84" s="1">
        <v>46229</v>
      </c>
      <c r="R84" s="2">
        <v>30.75</v>
      </c>
      <c r="S84">
        <v>1</v>
      </c>
      <c r="T84" t="s">
        <v>58</v>
      </c>
      <c r="U84" t="s">
        <v>59</v>
      </c>
      <c r="V84" s="3">
        <v>0.9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166.08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27.68</v>
      </c>
      <c r="AM84" s="2">
        <v>0</v>
      </c>
      <c r="AN84" s="2">
        <v>166.08</v>
      </c>
      <c r="AO84" s="2">
        <v>0</v>
      </c>
      <c r="AP84" s="2">
        <v>0</v>
      </c>
      <c r="AQ84" s="2">
        <v>0</v>
      </c>
    </row>
    <row r="85" spans="1:43" x14ac:dyDescent="0.25">
      <c r="A85" s="1">
        <v>46202</v>
      </c>
      <c r="B85" t="s">
        <v>48</v>
      </c>
      <c r="C85">
        <v>649163</v>
      </c>
      <c r="D85">
        <v>2036228775</v>
      </c>
      <c r="E85" t="s">
        <v>127</v>
      </c>
      <c r="F85" t="s">
        <v>128</v>
      </c>
      <c r="G85" t="s">
        <v>51</v>
      </c>
      <c r="H85" t="s">
        <v>94</v>
      </c>
      <c r="I85" t="s">
        <v>194</v>
      </c>
      <c r="J85" t="s">
        <v>195</v>
      </c>
      <c r="K85">
        <v>824082</v>
      </c>
      <c r="L85" t="s">
        <v>129</v>
      </c>
      <c r="M85" t="s">
        <v>130</v>
      </c>
      <c r="N85" t="s">
        <v>57</v>
      </c>
      <c r="O85" s="1">
        <v>46204</v>
      </c>
      <c r="Q85" s="1">
        <v>46235</v>
      </c>
      <c r="R85" s="2">
        <v>9.6999999999999993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40.74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6.79</v>
      </c>
      <c r="AM85" s="2">
        <v>0</v>
      </c>
      <c r="AN85" s="2">
        <v>40.74</v>
      </c>
      <c r="AO85" s="2">
        <v>0</v>
      </c>
      <c r="AP85" s="2">
        <v>0</v>
      </c>
      <c r="AQ85" s="2">
        <v>0</v>
      </c>
    </row>
    <row r="86" spans="1:43" x14ac:dyDescent="0.25">
      <c r="A86" s="1">
        <v>46202</v>
      </c>
      <c r="B86" t="s">
        <v>48</v>
      </c>
      <c r="C86">
        <v>649163</v>
      </c>
      <c r="D86">
        <v>2036228791</v>
      </c>
      <c r="E86" t="s">
        <v>137</v>
      </c>
      <c r="F86" t="s">
        <v>138</v>
      </c>
      <c r="G86" t="s">
        <v>51</v>
      </c>
      <c r="H86" t="s">
        <v>100</v>
      </c>
      <c r="I86" t="s">
        <v>194</v>
      </c>
      <c r="J86" t="s">
        <v>195</v>
      </c>
      <c r="K86">
        <v>974687</v>
      </c>
      <c r="L86" t="s">
        <v>139</v>
      </c>
      <c r="M86" t="s">
        <v>140</v>
      </c>
      <c r="N86" t="s">
        <v>57</v>
      </c>
      <c r="O86" s="1">
        <v>46199</v>
      </c>
      <c r="Q86" s="1">
        <v>46229</v>
      </c>
      <c r="R86" s="2">
        <v>22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92.4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15.4</v>
      </c>
      <c r="AM86" s="2">
        <v>0</v>
      </c>
      <c r="AN86" s="2">
        <v>92.4</v>
      </c>
      <c r="AO86" s="2">
        <v>0</v>
      </c>
      <c r="AP86" s="2">
        <v>0</v>
      </c>
      <c r="AQ86" s="2">
        <v>0</v>
      </c>
    </row>
    <row r="87" spans="1:43" x14ac:dyDescent="0.25">
      <c r="A87" s="1">
        <v>46202</v>
      </c>
      <c r="B87" t="s">
        <v>48</v>
      </c>
      <c r="C87">
        <v>649163</v>
      </c>
      <c r="D87">
        <v>2036240542</v>
      </c>
      <c r="E87" t="s">
        <v>226</v>
      </c>
      <c r="F87" t="s">
        <v>227</v>
      </c>
      <c r="G87" t="s">
        <v>51</v>
      </c>
      <c r="H87" t="s">
        <v>89</v>
      </c>
      <c r="I87" t="s">
        <v>194</v>
      </c>
      <c r="J87" t="s">
        <v>228</v>
      </c>
      <c r="K87">
        <v>822733</v>
      </c>
      <c r="L87" t="s">
        <v>229</v>
      </c>
      <c r="M87" t="s">
        <v>230</v>
      </c>
      <c r="N87" t="s">
        <v>57</v>
      </c>
      <c r="O87" s="1">
        <v>46200</v>
      </c>
      <c r="Q87" s="1">
        <v>46230</v>
      </c>
      <c r="R87" s="2">
        <v>71.81</v>
      </c>
      <c r="S87">
        <v>1</v>
      </c>
      <c r="T87" t="s">
        <v>58</v>
      </c>
      <c r="U87" t="s">
        <v>59</v>
      </c>
      <c r="V87" s="3">
        <v>0.42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180.96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30.16</v>
      </c>
      <c r="AM87" s="2">
        <v>0</v>
      </c>
      <c r="AN87" s="2">
        <v>180.96</v>
      </c>
      <c r="AO87" s="2">
        <v>0</v>
      </c>
      <c r="AP87" s="2">
        <v>0</v>
      </c>
      <c r="AQ87" s="2">
        <v>0</v>
      </c>
    </row>
    <row r="88" spans="1:43" x14ac:dyDescent="0.25">
      <c r="A88" s="1">
        <v>46202</v>
      </c>
      <c r="B88" t="s">
        <v>48</v>
      </c>
      <c r="C88">
        <v>649163</v>
      </c>
      <c r="D88">
        <v>2036244944</v>
      </c>
      <c r="E88" t="s">
        <v>231</v>
      </c>
      <c r="F88" t="s">
        <v>232</v>
      </c>
      <c r="G88" t="s">
        <v>51</v>
      </c>
      <c r="H88" t="s">
        <v>97</v>
      </c>
      <c r="I88" t="s">
        <v>194</v>
      </c>
      <c r="J88" t="s">
        <v>195</v>
      </c>
      <c r="K88">
        <v>963812</v>
      </c>
      <c r="L88" t="s">
        <v>233</v>
      </c>
      <c r="M88" t="s">
        <v>234</v>
      </c>
      <c r="N88" t="s">
        <v>57</v>
      </c>
      <c r="O88" s="1">
        <v>46204</v>
      </c>
      <c r="Q88" s="1">
        <v>46235</v>
      </c>
      <c r="R88" s="2">
        <v>36.770000000000003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154.44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25.74</v>
      </c>
      <c r="AM88" s="2">
        <v>0</v>
      </c>
      <c r="AN88" s="2">
        <v>154.44</v>
      </c>
      <c r="AO88" s="2">
        <v>0</v>
      </c>
      <c r="AP88" s="2">
        <v>0</v>
      </c>
      <c r="AQ88" s="2">
        <v>0</v>
      </c>
    </row>
    <row r="89" spans="1:43" x14ac:dyDescent="0.25">
      <c r="A89" s="1">
        <v>46202</v>
      </c>
      <c r="B89" t="s">
        <v>48</v>
      </c>
      <c r="C89">
        <v>649163</v>
      </c>
      <c r="D89">
        <v>2036247397</v>
      </c>
      <c r="E89" t="s">
        <v>141</v>
      </c>
      <c r="F89" t="s">
        <v>142</v>
      </c>
      <c r="G89" t="s">
        <v>51</v>
      </c>
      <c r="H89" t="s">
        <v>143</v>
      </c>
      <c r="I89" t="s">
        <v>194</v>
      </c>
      <c r="J89" t="s">
        <v>195</v>
      </c>
      <c r="K89">
        <v>673059</v>
      </c>
      <c r="L89" t="s">
        <v>102</v>
      </c>
      <c r="M89" t="s">
        <v>103</v>
      </c>
      <c r="N89" t="s">
        <v>57</v>
      </c>
      <c r="O89" s="1">
        <v>46200</v>
      </c>
      <c r="Q89" s="1">
        <v>46230</v>
      </c>
      <c r="R89" s="2">
        <v>62.15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261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43.5</v>
      </c>
      <c r="AM89" s="2">
        <v>0</v>
      </c>
      <c r="AN89" s="2">
        <v>261</v>
      </c>
      <c r="AO89" s="2">
        <v>0</v>
      </c>
      <c r="AP89" s="2">
        <v>0</v>
      </c>
      <c r="AQ89" s="2">
        <v>0</v>
      </c>
    </row>
    <row r="90" spans="1:43" x14ac:dyDescent="0.25">
      <c r="A90" s="1">
        <v>46202</v>
      </c>
      <c r="B90" t="s">
        <v>48</v>
      </c>
      <c r="C90">
        <v>649163</v>
      </c>
      <c r="D90">
        <v>2036247502</v>
      </c>
      <c r="E90" t="s">
        <v>62</v>
      </c>
      <c r="F90" t="s">
        <v>63</v>
      </c>
      <c r="G90" t="s">
        <v>51</v>
      </c>
      <c r="H90" t="s">
        <v>52</v>
      </c>
      <c r="I90" t="s">
        <v>194</v>
      </c>
      <c r="J90" t="s">
        <v>217</v>
      </c>
      <c r="K90">
        <v>885445</v>
      </c>
      <c r="L90" t="s">
        <v>64</v>
      </c>
      <c r="M90" t="s">
        <v>65</v>
      </c>
      <c r="N90" t="s">
        <v>57</v>
      </c>
      <c r="O90" s="1">
        <v>46204</v>
      </c>
      <c r="Q90" s="1">
        <v>46235</v>
      </c>
      <c r="R90" s="2">
        <v>76.63</v>
      </c>
      <c r="S90">
        <v>1</v>
      </c>
      <c r="T90" t="s">
        <v>58</v>
      </c>
      <c r="U90" t="s">
        <v>59</v>
      </c>
      <c r="V90" s="3">
        <v>0.9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413.82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68.97</v>
      </c>
      <c r="AM90" s="2">
        <v>0</v>
      </c>
      <c r="AN90" s="2">
        <v>413.82</v>
      </c>
      <c r="AO90" s="2">
        <v>0</v>
      </c>
      <c r="AP90" s="2">
        <v>0</v>
      </c>
      <c r="AQ90" s="2">
        <v>0</v>
      </c>
    </row>
    <row r="91" spans="1:43" x14ac:dyDescent="0.25">
      <c r="A91" s="1">
        <v>46202</v>
      </c>
      <c r="B91" t="s">
        <v>48</v>
      </c>
      <c r="C91">
        <v>649163</v>
      </c>
      <c r="D91">
        <v>2036248138</v>
      </c>
      <c r="E91" t="s">
        <v>144</v>
      </c>
      <c r="F91" t="s">
        <v>145</v>
      </c>
      <c r="G91" t="s">
        <v>51</v>
      </c>
      <c r="H91" t="s">
        <v>146</v>
      </c>
      <c r="I91" t="s">
        <v>194</v>
      </c>
      <c r="J91" t="s">
        <v>203</v>
      </c>
      <c r="K91">
        <v>902625</v>
      </c>
      <c r="L91" t="s">
        <v>147</v>
      </c>
      <c r="M91" t="s">
        <v>148</v>
      </c>
      <c r="N91" t="s">
        <v>57</v>
      </c>
      <c r="O91" s="1">
        <v>46200</v>
      </c>
      <c r="Q91" s="1">
        <v>46230</v>
      </c>
      <c r="R91" s="2">
        <v>24.61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103.38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17.23</v>
      </c>
      <c r="AM91" s="2">
        <v>0</v>
      </c>
      <c r="AN91" s="2">
        <v>103.38</v>
      </c>
      <c r="AO91" s="2">
        <v>0</v>
      </c>
      <c r="AP91" s="2">
        <v>0</v>
      </c>
      <c r="AQ91" s="2">
        <v>0</v>
      </c>
    </row>
    <row r="92" spans="1:43" x14ac:dyDescent="0.25">
      <c r="A92" s="1">
        <v>46202</v>
      </c>
      <c r="B92" t="s">
        <v>48</v>
      </c>
      <c r="C92">
        <v>649163</v>
      </c>
      <c r="D92">
        <v>2036251838</v>
      </c>
      <c r="E92" t="s">
        <v>183</v>
      </c>
      <c r="F92" t="s">
        <v>184</v>
      </c>
      <c r="G92" t="s">
        <v>51</v>
      </c>
      <c r="H92" t="s">
        <v>185</v>
      </c>
      <c r="I92" t="s">
        <v>194</v>
      </c>
      <c r="J92" t="s">
        <v>217</v>
      </c>
      <c r="K92">
        <v>812656</v>
      </c>
      <c r="L92" t="s">
        <v>186</v>
      </c>
      <c r="M92" t="s">
        <v>187</v>
      </c>
      <c r="N92" t="s">
        <v>57</v>
      </c>
      <c r="O92" s="1">
        <v>46200</v>
      </c>
      <c r="Q92" s="1">
        <v>46230</v>
      </c>
      <c r="R92" s="2">
        <v>9.0500000000000007</v>
      </c>
      <c r="S92">
        <v>1</v>
      </c>
      <c r="T92" t="s">
        <v>58</v>
      </c>
      <c r="U92" t="s">
        <v>59</v>
      </c>
      <c r="V92" s="3">
        <v>0.9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48.84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8.14</v>
      </c>
      <c r="AM92" s="2">
        <v>0</v>
      </c>
      <c r="AN92" s="2">
        <v>48.84</v>
      </c>
      <c r="AO92" s="2">
        <v>0</v>
      </c>
      <c r="AP92" s="2">
        <v>0</v>
      </c>
      <c r="AQ92" s="2">
        <v>0</v>
      </c>
    </row>
    <row r="93" spans="1:43" x14ac:dyDescent="0.25">
      <c r="A93" s="1">
        <v>46202</v>
      </c>
      <c r="B93" t="s">
        <v>48</v>
      </c>
      <c r="C93">
        <v>649163</v>
      </c>
      <c r="D93">
        <v>2036244909</v>
      </c>
      <c r="E93" t="s">
        <v>235</v>
      </c>
      <c r="F93" t="s">
        <v>236</v>
      </c>
      <c r="G93" t="s">
        <v>51</v>
      </c>
      <c r="H93" t="s">
        <v>146</v>
      </c>
      <c r="I93" t="s">
        <v>237</v>
      </c>
      <c r="J93" t="s">
        <v>238</v>
      </c>
      <c r="K93">
        <v>902625</v>
      </c>
      <c r="L93" t="s">
        <v>147</v>
      </c>
      <c r="M93" t="s">
        <v>148</v>
      </c>
      <c r="N93" t="s">
        <v>57</v>
      </c>
      <c r="O93" s="1">
        <v>46200</v>
      </c>
      <c r="Q93" s="1">
        <v>46230</v>
      </c>
      <c r="R93" s="2">
        <v>190.07</v>
      </c>
      <c r="S93">
        <v>1</v>
      </c>
      <c r="T93" t="s">
        <v>58</v>
      </c>
      <c r="U93" t="s">
        <v>239</v>
      </c>
      <c r="V93" s="3">
        <v>0.27</v>
      </c>
      <c r="W93" s="2">
        <v>0</v>
      </c>
      <c r="X93">
        <v>0</v>
      </c>
      <c r="Y93" t="s">
        <v>60</v>
      </c>
      <c r="Z93" t="s">
        <v>61</v>
      </c>
      <c r="AA93">
        <v>3</v>
      </c>
      <c r="AB93" s="2">
        <v>153.96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51.32</v>
      </c>
      <c r="AM93" s="2">
        <v>0</v>
      </c>
      <c r="AN93" s="2">
        <v>153.96</v>
      </c>
      <c r="AO93" s="2">
        <v>0</v>
      </c>
      <c r="AP93" s="2">
        <v>0</v>
      </c>
      <c r="AQ93" s="2">
        <v>0</v>
      </c>
    </row>
    <row r="94" spans="1:43" x14ac:dyDescent="0.25">
      <c r="A94" s="1">
        <v>46202</v>
      </c>
      <c r="B94" t="s">
        <v>48</v>
      </c>
      <c r="C94">
        <v>649163</v>
      </c>
      <c r="D94">
        <v>2036248140</v>
      </c>
      <c r="E94" t="s">
        <v>144</v>
      </c>
      <c r="F94" t="s">
        <v>145</v>
      </c>
      <c r="G94" t="s">
        <v>51</v>
      </c>
      <c r="H94" t="s">
        <v>146</v>
      </c>
      <c r="I94" t="s">
        <v>237</v>
      </c>
      <c r="J94" t="s">
        <v>238</v>
      </c>
      <c r="K94">
        <v>902625</v>
      </c>
      <c r="L94" t="s">
        <v>147</v>
      </c>
      <c r="M94" t="s">
        <v>148</v>
      </c>
      <c r="N94" t="s">
        <v>57</v>
      </c>
      <c r="O94" s="1">
        <v>46200</v>
      </c>
      <c r="Q94" s="1">
        <v>46230</v>
      </c>
      <c r="R94" s="2">
        <v>52.31</v>
      </c>
      <c r="S94">
        <v>1</v>
      </c>
      <c r="T94" t="s">
        <v>58</v>
      </c>
      <c r="U94" t="s">
        <v>239</v>
      </c>
      <c r="V94" s="3">
        <v>0.27</v>
      </c>
      <c r="W94" s="2">
        <v>0</v>
      </c>
      <c r="X94">
        <v>0</v>
      </c>
      <c r="Y94" t="s">
        <v>60</v>
      </c>
      <c r="Z94" t="s">
        <v>61</v>
      </c>
      <c r="AA94">
        <v>3</v>
      </c>
      <c r="AB94" s="2">
        <v>42.36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14.12</v>
      </c>
      <c r="AM94" s="2">
        <v>0</v>
      </c>
      <c r="AN94" s="2">
        <v>42.36</v>
      </c>
      <c r="AO94" s="2">
        <v>0</v>
      </c>
      <c r="AP94" s="2">
        <v>0</v>
      </c>
      <c r="AQ94" s="2">
        <v>0</v>
      </c>
    </row>
    <row r="95" spans="1:43" x14ac:dyDescent="0.25">
      <c r="A95" s="1">
        <v>46202</v>
      </c>
      <c r="B95" t="s">
        <v>48</v>
      </c>
      <c r="C95">
        <v>649163</v>
      </c>
      <c r="D95">
        <v>2036225950</v>
      </c>
      <c r="E95" t="s">
        <v>155</v>
      </c>
      <c r="F95" t="s">
        <v>156</v>
      </c>
      <c r="G95" t="s">
        <v>51</v>
      </c>
      <c r="H95" t="s">
        <v>89</v>
      </c>
      <c r="I95" t="s">
        <v>240</v>
      </c>
      <c r="J95" t="s">
        <v>241</v>
      </c>
      <c r="K95">
        <v>840313</v>
      </c>
      <c r="L95" t="s">
        <v>158</v>
      </c>
      <c r="M95" t="s">
        <v>159</v>
      </c>
      <c r="N95" t="s">
        <v>57</v>
      </c>
      <c r="O95" s="1">
        <v>46204</v>
      </c>
      <c r="Q95" s="1">
        <v>46235</v>
      </c>
      <c r="R95" s="2">
        <v>31.71</v>
      </c>
      <c r="S95">
        <v>1</v>
      </c>
      <c r="T95" t="s">
        <v>58</v>
      </c>
      <c r="U95" t="s">
        <v>59</v>
      </c>
      <c r="V95" s="3">
        <v>0.56000000000000005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106.56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17.760000000000002</v>
      </c>
      <c r="AM95" s="2">
        <v>0</v>
      </c>
      <c r="AN95" s="2">
        <v>106.56</v>
      </c>
      <c r="AO95" s="2">
        <v>0</v>
      </c>
      <c r="AP95" s="2">
        <v>0</v>
      </c>
      <c r="AQ95" s="2">
        <v>0</v>
      </c>
    </row>
    <row r="96" spans="1:43" x14ac:dyDescent="0.25">
      <c r="A96" s="1">
        <v>46202</v>
      </c>
      <c r="B96" t="s">
        <v>48</v>
      </c>
      <c r="C96">
        <v>649163</v>
      </c>
      <c r="D96">
        <v>2017126555</v>
      </c>
      <c r="E96" t="s">
        <v>242</v>
      </c>
      <c r="F96" t="s">
        <v>243</v>
      </c>
      <c r="G96" t="s">
        <v>51</v>
      </c>
      <c r="H96" t="s">
        <v>52</v>
      </c>
      <c r="I96" t="s">
        <v>53</v>
      </c>
      <c r="J96" t="s">
        <v>54</v>
      </c>
      <c r="K96">
        <v>649164</v>
      </c>
      <c r="L96" t="s">
        <v>244</v>
      </c>
      <c r="M96" t="s">
        <v>245</v>
      </c>
      <c r="N96" t="s">
        <v>57</v>
      </c>
      <c r="O96" s="1">
        <v>44958</v>
      </c>
      <c r="Q96" s="1">
        <v>46235</v>
      </c>
      <c r="R96" s="2">
        <v>92.55</v>
      </c>
      <c r="S96">
        <v>1</v>
      </c>
      <c r="T96" t="s">
        <v>58</v>
      </c>
      <c r="U96" t="s">
        <v>246</v>
      </c>
      <c r="V96" s="4">
        <v>6.5000000000000002E-2</v>
      </c>
      <c r="W96" s="2">
        <v>0</v>
      </c>
      <c r="X96">
        <v>0</v>
      </c>
      <c r="Y96" t="s">
        <v>247</v>
      </c>
      <c r="Z96" t="s">
        <v>248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6.02</v>
      </c>
      <c r="AN96" s="2">
        <v>6.02</v>
      </c>
      <c r="AO96" s="2">
        <v>0</v>
      </c>
      <c r="AP96" s="2">
        <v>0</v>
      </c>
      <c r="AQ96" s="2">
        <v>0</v>
      </c>
    </row>
    <row r="97" spans="1:43" x14ac:dyDescent="0.25">
      <c r="A97" s="1">
        <v>46202</v>
      </c>
      <c r="B97" t="s">
        <v>48</v>
      </c>
      <c r="C97">
        <v>649163</v>
      </c>
      <c r="D97">
        <v>2017340029</v>
      </c>
      <c r="E97" t="s">
        <v>249</v>
      </c>
      <c r="F97" t="s">
        <v>250</v>
      </c>
      <c r="G97" t="s">
        <v>51</v>
      </c>
      <c r="H97" t="s">
        <v>52</v>
      </c>
      <c r="I97" t="s">
        <v>53</v>
      </c>
      <c r="J97" t="s">
        <v>251</v>
      </c>
      <c r="K97">
        <v>652037</v>
      </c>
      <c r="L97" t="s">
        <v>55</v>
      </c>
      <c r="M97" t="s">
        <v>252</v>
      </c>
      <c r="N97" t="s">
        <v>57</v>
      </c>
      <c r="O97" s="1">
        <v>44958</v>
      </c>
      <c r="Q97" s="1">
        <v>46235</v>
      </c>
      <c r="R97" s="2">
        <v>71.69</v>
      </c>
      <c r="S97">
        <v>1</v>
      </c>
      <c r="T97" t="s">
        <v>58</v>
      </c>
      <c r="U97" t="s">
        <v>246</v>
      </c>
      <c r="V97" s="4">
        <v>6.5000000000000002E-2</v>
      </c>
      <c r="W97" s="2">
        <v>0</v>
      </c>
      <c r="X97">
        <v>0</v>
      </c>
      <c r="Y97" t="s">
        <v>247</v>
      </c>
      <c r="Z97" t="s">
        <v>248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4.66</v>
      </c>
      <c r="AN97" s="2">
        <v>4.66</v>
      </c>
      <c r="AO97" s="2">
        <v>0</v>
      </c>
      <c r="AP97" s="2">
        <v>0</v>
      </c>
      <c r="AQ97" s="2">
        <v>0</v>
      </c>
    </row>
    <row r="98" spans="1:43" x14ac:dyDescent="0.25">
      <c r="A98" s="1">
        <v>46202</v>
      </c>
      <c r="B98" t="s">
        <v>48</v>
      </c>
      <c r="C98">
        <v>649163</v>
      </c>
      <c r="D98">
        <v>2019154309</v>
      </c>
      <c r="E98" t="s">
        <v>253</v>
      </c>
      <c r="F98" t="s">
        <v>254</v>
      </c>
      <c r="G98" t="s">
        <v>51</v>
      </c>
      <c r="H98" t="s">
        <v>52</v>
      </c>
      <c r="I98" t="s">
        <v>53</v>
      </c>
      <c r="J98" t="s">
        <v>54</v>
      </c>
      <c r="K98">
        <v>649247</v>
      </c>
      <c r="L98" t="s">
        <v>255</v>
      </c>
      <c r="M98" t="s">
        <v>256</v>
      </c>
      <c r="N98" t="s">
        <v>257</v>
      </c>
      <c r="O98" s="1">
        <v>45108</v>
      </c>
      <c r="P98" s="1">
        <v>46202</v>
      </c>
      <c r="Q98" s="1">
        <v>46204</v>
      </c>
      <c r="R98" s="2">
        <v>-55.41</v>
      </c>
      <c r="S98">
        <v>1</v>
      </c>
      <c r="T98" t="s">
        <v>58</v>
      </c>
      <c r="U98" t="s">
        <v>246</v>
      </c>
      <c r="V98" s="4">
        <v>6.5000000000000002E-2</v>
      </c>
      <c r="W98" s="2">
        <v>0</v>
      </c>
      <c r="X98">
        <v>-1</v>
      </c>
      <c r="Y98" t="s">
        <v>247</v>
      </c>
      <c r="Z98" t="s">
        <v>248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-3.6</v>
      </c>
      <c r="AN98" s="2">
        <v>-3.6</v>
      </c>
      <c r="AO98" s="2">
        <v>0</v>
      </c>
      <c r="AP98" s="2">
        <v>0</v>
      </c>
      <c r="AQ98" s="2">
        <v>0</v>
      </c>
    </row>
    <row r="99" spans="1:43" x14ac:dyDescent="0.25">
      <c r="A99" s="1">
        <v>46202</v>
      </c>
      <c r="B99" t="s">
        <v>48</v>
      </c>
      <c r="C99">
        <v>649163</v>
      </c>
      <c r="D99">
        <v>2019754489</v>
      </c>
      <c r="E99" t="s">
        <v>258</v>
      </c>
      <c r="F99" t="s">
        <v>259</v>
      </c>
      <c r="G99" t="s">
        <v>51</v>
      </c>
      <c r="H99" t="s">
        <v>52</v>
      </c>
      <c r="I99" t="s">
        <v>53</v>
      </c>
      <c r="J99" t="s">
        <v>54</v>
      </c>
      <c r="K99">
        <v>649164</v>
      </c>
      <c r="L99" t="s">
        <v>244</v>
      </c>
      <c r="M99" t="s">
        <v>245</v>
      </c>
      <c r="N99" t="s">
        <v>57</v>
      </c>
      <c r="O99" s="1">
        <v>45170</v>
      </c>
      <c r="Q99" s="1">
        <v>46235</v>
      </c>
      <c r="R99" s="2">
        <v>52.69</v>
      </c>
      <c r="S99">
        <v>1</v>
      </c>
      <c r="T99" t="s">
        <v>58</v>
      </c>
      <c r="U99" t="s">
        <v>246</v>
      </c>
      <c r="V99" s="4">
        <v>6.5000000000000002E-2</v>
      </c>
      <c r="W99" s="2">
        <v>0</v>
      </c>
      <c r="X99">
        <v>0</v>
      </c>
      <c r="Y99" t="s">
        <v>247</v>
      </c>
      <c r="Z99" t="s">
        <v>248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3.42</v>
      </c>
      <c r="AN99" s="2">
        <v>3.42</v>
      </c>
      <c r="AO99" s="2">
        <v>0</v>
      </c>
      <c r="AP99" s="2">
        <v>0</v>
      </c>
      <c r="AQ99" s="2">
        <v>0</v>
      </c>
    </row>
    <row r="100" spans="1:43" x14ac:dyDescent="0.25">
      <c r="A100" s="1">
        <v>46202</v>
      </c>
      <c r="B100" t="s">
        <v>48</v>
      </c>
      <c r="C100">
        <v>649163</v>
      </c>
      <c r="D100">
        <v>2021515733</v>
      </c>
      <c r="E100" t="s">
        <v>260</v>
      </c>
      <c r="F100" t="s">
        <v>261</v>
      </c>
      <c r="G100" t="s">
        <v>51</v>
      </c>
      <c r="H100" t="s">
        <v>52</v>
      </c>
      <c r="I100" t="s">
        <v>53</v>
      </c>
      <c r="J100" t="s">
        <v>54</v>
      </c>
      <c r="K100">
        <v>649247</v>
      </c>
      <c r="L100" t="s">
        <v>255</v>
      </c>
      <c r="M100" t="s">
        <v>256</v>
      </c>
      <c r="N100" t="s">
        <v>57</v>
      </c>
      <c r="O100" s="1">
        <v>45315</v>
      </c>
      <c r="Q100" s="1">
        <v>46227</v>
      </c>
      <c r="R100" s="2">
        <v>42.45</v>
      </c>
      <c r="S100">
        <v>1</v>
      </c>
      <c r="T100" t="s">
        <v>58</v>
      </c>
      <c r="U100" t="s">
        <v>246</v>
      </c>
      <c r="V100" s="4">
        <v>6.5000000000000002E-2</v>
      </c>
      <c r="W100" s="2">
        <v>0</v>
      </c>
      <c r="X100">
        <v>0</v>
      </c>
      <c r="Y100" t="s">
        <v>247</v>
      </c>
      <c r="Z100" t="s">
        <v>248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2.76</v>
      </c>
      <c r="AN100" s="2">
        <v>2.76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46202</v>
      </c>
      <c r="B101" t="s">
        <v>48</v>
      </c>
      <c r="C101">
        <v>649163</v>
      </c>
      <c r="D101">
        <v>2022933292</v>
      </c>
      <c r="E101" t="s">
        <v>262</v>
      </c>
      <c r="F101" t="s">
        <v>263</v>
      </c>
      <c r="G101" t="s">
        <v>51</v>
      </c>
      <c r="H101" t="s">
        <v>52</v>
      </c>
      <c r="I101" t="s">
        <v>53</v>
      </c>
      <c r="J101" t="s">
        <v>54</v>
      </c>
      <c r="K101">
        <v>649164</v>
      </c>
      <c r="L101" t="s">
        <v>244</v>
      </c>
      <c r="M101" t="s">
        <v>245</v>
      </c>
      <c r="N101" t="s">
        <v>57</v>
      </c>
      <c r="O101" s="1">
        <v>45444</v>
      </c>
      <c r="Q101" s="1">
        <v>46235</v>
      </c>
      <c r="R101" s="2">
        <v>75.75</v>
      </c>
      <c r="S101">
        <v>1</v>
      </c>
      <c r="T101" t="s">
        <v>58</v>
      </c>
      <c r="U101" t="s">
        <v>246</v>
      </c>
      <c r="V101" s="4">
        <v>6.5000000000000002E-2</v>
      </c>
      <c r="W101" s="2">
        <v>0</v>
      </c>
      <c r="X101">
        <v>0</v>
      </c>
      <c r="Y101" t="s">
        <v>247</v>
      </c>
      <c r="Z101" t="s">
        <v>248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4.92</v>
      </c>
      <c r="AN101" s="2">
        <v>4.92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46202</v>
      </c>
      <c r="B102" t="s">
        <v>48</v>
      </c>
      <c r="C102">
        <v>649163</v>
      </c>
      <c r="D102">
        <v>2023369901</v>
      </c>
      <c r="E102" t="s">
        <v>264</v>
      </c>
      <c r="F102" t="s">
        <v>265</v>
      </c>
      <c r="G102" t="s">
        <v>51</v>
      </c>
      <c r="H102" t="s">
        <v>52</v>
      </c>
      <c r="I102" t="s">
        <v>53</v>
      </c>
      <c r="J102" t="s">
        <v>54</v>
      </c>
      <c r="K102">
        <v>650218</v>
      </c>
      <c r="L102" t="s">
        <v>266</v>
      </c>
      <c r="M102" t="s">
        <v>267</v>
      </c>
      <c r="N102" t="s">
        <v>57</v>
      </c>
      <c r="O102" s="1">
        <v>45447</v>
      </c>
      <c r="Q102" s="1">
        <v>46238</v>
      </c>
      <c r="R102" s="2">
        <v>40.159999999999997</v>
      </c>
      <c r="S102">
        <v>1</v>
      </c>
      <c r="T102" t="s">
        <v>58</v>
      </c>
      <c r="U102" t="s">
        <v>246</v>
      </c>
      <c r="V102" s="4">
        <v>6.5000000000000002E-2</v>
      </c>
      <c r="W102" s="2">
        <v>0</v>
      </c>
      <c r="X102">
        <v>0</v>
      </c>
      <c r="Y102" t="s">
        <v>247</v>
      </c>
      <c r="Z102" t="s">
        <v>248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2.61</v>
      </c>
      <c r="AN102" s="2">
        <v>2.61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46202</v>
      </c>
      <c r="B103" t="s">
        <v>48</v>
      </c>
      <c r="C103">
        <v>649163</v>
      </c>
      <c r="D103">
        <v>2023391302</v>
      </c>
      <c r="E103" t="s">
        <v>268</v>
      </c>
      <c r="F103" t="s">
        <v>269</v>
      </c>
      <c r="G103" t="s">
        <v>51</v>
      </c>
      <c r="H103" t="s">
        <v>52</v>
      </c>
      <c r="I103" t="s">
        <v>53</v>
      </c>
      <c r="J103" t="s">
        <v>54</v>
      </c>
      <c r="K103">
        <v>650218</v>
      </c>
      <c r="L103" t="s">
        <v>266</v>
      </c>
      <c r="M103" t="s">
        <v>267</v>
      </c>
      <c r="N103" t="s">
        <v>57</v>
      </c>
      <c r="O103" s="1">
        <v>45474</v>
      </c>
      <c r="Q103" s="1">
        <v>46235</v>
      </c>
      <c r="R103" s="2">
        <v>52.69</v>
      </c>
      <c r="S103">
        <v>1</v>
      </c>
      <c r="T103" t="s">
        <v>58</v>
      </c>
      <c r="U103" t="s">
        <v>246</v>
      </c>
      <c r="V103" s="4">
        <v>6.5000000000000002E-2</v>
      </c>
      <c r="W103" s="2">
        <v>0</v>
      </c>
      <c r="X103">
        <v>0</v>
      </c>
      <c r="Y103" t="s">
        <v>247</v>
      </c>
      <c r="Z103" t="s">
        <v>248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3.42</v>
      </c>
      <c r="AN103" s="2">
        <v>3.42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46202</v>
      </c>
      <c r="B104" t="s">
        <v>48</v>
      </c>
      <c r="C104">
        <v>649163</v>
      </c>
      <c r="D104">
        <v>2023668688</v>
      </c>
      <c r="E104" t="s">
        <v>270</v>
      </c>
      <c r="F104" t="s">
        <v>271</v>
      </c>
      <c r="G104" t="s">
        <v>51</v>
      </c>
      <c r="H104" t="s">
        <v>167</v>
      </c>
      <c r="I104" t="s">
        <v>53</v>
      </c>
      <c r="J104" t="s">
        <v>54</v>
      </c>
      <c r="K104">
        <v>751867</v>
      </c>
      <c r="L104" t="s">
        <v>272</v>
      </c>
      <c r="M104" t="s">
        <v>209</v>
      </c>
      <c r="N104" t="s">
        <v>57</v>
      </c>
      <c r="O104" s="1">
        <v>45474</v>
      </c>
      <c r="Q104" s="1">
        <v>46235</v>
      </c>
      <c r="R104" s="2">
        <v>40.159999999999997</v>
      </c>
      <c r="S104">
        <v>1</v>
      </c>
      <c r="T104" t="s">
        <v>58</v>
      </c>
      <c r="U104" t="s">
        <v>246</v>
      </c>
      <c r="V104" s="4">
        <v>6.5000000000000002E-2</v>
      </c>
      <c r="W104" s="2">
        <v>0</v>
      </c>
      <c r="X104">
        <v>0</v>
      </c>
      <c r="Y104" t="s">
        <v>247</v>
      </c>
      <c r="Z104" t="s">
        <v>248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2.61</v>
      </c>
      <c r="AN104" s="2">
        <v>2.61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46202</v>
      </c>
      <c r="B105" t="s">
        <v>48</v>
      </c>
      <c r="C105">
        <v>649163</v>
      </c>
      <c r="D105">
        <v>2023719131</v>
      </c>
      <c r="E105" t="s">
        <v>231</v>
      </c>
      <c r="F105" t="s">
        <v>273</v>
      </c>
      <c r="G105" t="s">
        <v>51</v>
      </c>
      <c r="H105" t="s">
        <v>124</v>
      </c>
      <c r="I105" t="s">
        <v>53</v>
      </c>
      <c r="J105" t="s">
        <v>54</v>
      </c>
      <c r="K105">
        <v>751867</v>
      </c>
      <c r="L105" t="s">
        <v>272</v>
      </c>
      <c r="M105" t="s">
        <v>209</v>
      </c>
      <c r="N105" t="s">
        <v>57</v>
      </c>
      <c r="O105" s="1">
        <v>45474</v>
      </c>
      <c r="Q105" s="1">
        <v>46235</v>
      </c>
      <c r="R105" s="2">
        <v>96.55</v>
      </c>
      <c r="S105">
        <v>1</v>
      </c>
      <c r="T105" t="s">
        <v>58</v>
      </c>
      <c r="U105" t="s">
        <v>246</v>
      </c>
      <c r="V105" s="4">
        <v>6.5000000000000002E-2</v>
      </c>
      <c r="W105" s="2">
        <v>0</v>
      </c>
      <c r="X105">
        <v>0</v>
      </c>
      <c r="Y105" t="s">
        <v>247</v>
      </c>
      <c r="Z105" t="s">
        <v>248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6.28</v>
      </c>
      <c r="AN105" s="2">
        <v>6.28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46202</v>
      </c>
      <c r="B106" t="s">
        <v>48</v>
      </c>
      <c r="C106">
        <v>649163</v>
      </c>
      <c r="D106">
        <v>2024382486</v>
      </c>
      <c r="E106" t="s">
        <v>274</v>
      </c>
      <c r="F106" t="s">
        <v>275</v>
      </c>
      <c r="G106" t="s">
        <v>51</v>
      </c>
      <c r="H106" t="s">
        <v>52</v>
      </c>
      <c r="I106" t="s">
        <v>53</v>
      </c>
      <c r="J106" t="s">
        <v>54</v>
      </c>
      <c r="K106">
        <v>649247</v>
      </c>
      <c r="L106" t="s">
        <v>255</v>
      </c>
      <c r="M106" t="s">
        <v>256</v>
      </c>
      <c r="N106" t="s">
        <v>57</v>
      </c>
      <c r="O106" s="1">
        <v>45536</v>
      </c>
      <c r="Q106" s="1">
        <v>46235</v>
      </c>
      <c r="R106" s="2">
        <v>42.45</v>
      </c>
      <c r="S106">
        <v>1</v>
      </c>
      <c r="T106" t="s">
        <v>58</v>
      </c>
      <c r="U106" t="s">
        <v>246</v>
      </c>
      <c r="V106" s="4">
        <v>6.5000000000000002E-2</v>
      </c>
      <c r="W106" s="2">
        <v>0</v>
      </c>
      <c r="X106">
        <v>0</v>
      </c>
      <c r="Y106" t="s">
        <v>247</v>
      </c>
      <c r="Z106" t="s">
        <v>248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2.76</v>
      </c>
      <c r="AN106" s="2">
        <v>2.76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46202</v>
      </c>
      <c r="B107" t="s">
        <v>48</v>
      </c>
      <c r="C107">
        <v>649163</v>
      </c>
      <c r="D107">
        <v>2024915569</v>
      </c>
      <c r="E107" t="s">
        <v>276</v>
      </c>
      <c r="F107" t="s">
        <v>182</v>
      </c>
      <c r="G107" t="s">
        <v>51</v>
      </c>
      <c r="H107" t="s">
        <v>52</v>
      </c>
      <c r="I107" t="s">
        <v>53</v>
      </c>
      <c r="J107" t="s">
        <v>54</v>
      </c>
      <c r="K107">
        <v>650218</v>
      </c>
      <c r="L107" t="s">
        <v>266</v>
      </c>
      <c r="M107" t="s">
        <v>267</v>
      </c>
      <c r="N107" t="s">
        <v>57</v>
      </c>
      <c r="O107" s="1">
        <v>45566</v>
      </c>
      <c r="Q107" s="1">
        <v>46235</v>
      </c>
      <c r="R107" s="2">
        <v>52.69</v>
      </c>
      <c r="S107">
        <v>1</v>
      </c>
      <c r="T107" t="s">
        <v>58</v>
      </c>
      <c r="U107" t="s">
        <v>246</v>
      </c>
      <c r="V107" s="4">
        <v>6.5000000000000002E-2</v>
      </c>
      <c r="W107" s="2">
        <v>0</v>
      </c>
      <c r="X107">
        <v>0</v>
      </c>
      <c r="Y107" t="s">
        <v>247</v>
      </c>
      <c r="Z107" t="s">
        <v>248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3.42</v>
      </c>
      <c r="AN107" s="2">
        <v>3.42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46202</v>
      </c>
      <c r="B108" t="s">
        <v>48</v>
      </c>
      <c r="C108">
        <v>649163</v>
      </c>
      <c r="D108">
        <v>2025046020</v>
      </c>
      <c r="E108" t="s">
        <v>277</v>
      </c>
      <c r="F108" t="s">
        <v>278</v>
      </c>
      <c r="G108" t="s">
        <v>51</v>
      </c>
      <c r="H108" t="s">
        <v>52</v>
      </c>
      <c r="I108" t="s">
        <v>53</v>
      </c>
      <c r="J108" t="s">
        <v>251</v>
      </c>
      <c r="K108">
        <v>649247</v>
      </c>
      <c r="L108" t="s">
        <v>255</v>
      </c>
      <c r="M108" t="s">
        <v>256</v>
      </c>
      <c r="N108" t="s">
        <v>57</v>
      </c>
      <c r="O108" s="1">
        <v>45566</v>
      </c>
      <c r="Q108" s="1">
        <v>46235</v>
      </c>
      <c r="R108" s="2">
        <v>88.27</v>
      </c>
      <c r="S108">
        <v>1</v>
      </c>
      <c r="T108" t="s">
        <v>58</v>
      </c>
      <c r="U108" t="s">
        <v>246</v>
      </c>
      <c r="V108" s="4">
        <v>6.5000000000000002E-2</v>
      </c>
      <c r="W108" s="2">
        <v>0</v>
      </c>
      <c r="X108">
        <v>0</v>
      </c>
      <c r="Y108" t="s">
        <v>247</v>
      </c>
      <c r="Z108" t="s">
        <v>248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5.74</v>
      </c>
      <c r="AN108" s="2">
        <v>5.74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46202</v>
      </c>
      <c r="B109" t="s">
        <v>48</v>
      </c>
      <c r="C109">
        <v>649163</v>
      </c>
      <c r="D109">
        <v>2025303844</v>
      </c>
      <c r="E109" t="s">
        <v>279</v>
      </c>
      <c r="F109" t="s">
        <v>280</v>
      </c>
      <c r="G109" t="s">
        <v>51</v>
      </c>
      <c r="H109" t="s">
        <v>52</v>
      </c>
      <c r="I109" t="s">
        <v>53</v>
      </c>
      <c r="J109" t="s">
        <v>54</v>
      </c>
      <c r="K109">
        <v>650218</v>
      </c>
      <c r="L109" t="s">
        <v>266</v>
      </c>
      <c r="M109" t="s">
        <v>267</v>
      </c>
      <c r="N109" t="s">
        <v>57</v>
      </c>
      <c r="O109" s="1">
        <v>45597</v>
      </c>
      <c r="Q109" s="1">
        <v>46235</v>
      </c>
      <c r="R109" s="2">
        <v>56.69</v>
      </c>
      <c r="S109">
        <v>1</v>
      </c>
      <c r="T109" t="s">
        <v>58</v>
      </c>
      <c r="U109" t="s">
        <v>246</v>
      </c>
      <c r="V109" s="4">
        <v>6.5000000000000002E-2</v>
      </c>
      <c r="W109" s="2">
        <v>0</v>
      </c>
      <c r="X109">
        <v>0</v>
      </c>
      <c r="Y109" t="s">
        <v>247</v>
      </c>
      <c r="Z109" t="s">
        <v>248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3.68</v>
      </c>
      <c r="AN109" s="2">
        <v>3.68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46202</v>
      </c>
      <c r="B110" t="s">
        <v>48</v>
      </c>
      <c r="C110">
        <v>649163</v>
      </c>
      <c r="D110">
        <v>2025786350</v>
      </c>
      <c r="E110" t="s">
        <v>281</v>
      </c>
      <c r="F110" t="s">
        <v>282</v>
      </c>
      <c r="G110" t="s">
        <v>51</v>
      </c>
      <c r="H110" t="s">
        <v>52</v>
      </c>
      <c r="I110" t="s">
        <v>53</v>
      </c>
      <c r="J110" t="s">
        <v>54</v>
      </c>
      <c r="K110">
        <v>649164</v>
      </c>
      <c r="L110" t="s">
        <v>244</v>
      </c>
      <c r="M110" t="s">
        <v>245</v>
      </c>
      <c r="N110" t="s">
        <v>57</v>
      </c>
      <c r="O110" s="1">
        <v>45627</v>
      </c>
      <c r="Q110" s="1">
        <v>46235</v>
      </c>
      <c r="R110" s="2">
        <v>52.69</v>
      </c>
      <c r="S110">
        <v>1</v>
      </c>
      <c r="T110" t="s">
        <v>58</v>
      </c>
      <c r="U110" t="s">
        <v>246</v>
      </c>
      <c r="V110" s="4">
        <v>6.5000000000000002E-2</v>
      </c>
      <c r="W110" s="2">
        <v>0</v>
      </c>
      <c r="X110">
        <v>0</v>
      </c>
      <c r="Y110" t="s">
        <v>247</v>
      </c>
      <c r="Z110" t="s">
        <v>248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3.42</v>
      </c>
      <c r="AN110" s="2">
        <v>3.42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46202</v>
      </c>
      <c r="B111" t="s">
        <v>48</v>
      </c>
      <c r="C111">
        <v>649163</v>
      </c>
      <c r="D111">
        <v>2025845087</v>
      </c>
      <c r="E111" t="s">
        <v>283</v>
      </c>
      <c r="F111" t="s">
        <v>284</v>
      </c>
      <c r="G111" t="s">
        <v>51</v>
      </c>
      <c r="H111" t="s">
        <v>52</v>
      </c>
      <c r="I111" t="s">
        <v>53</v>
      </c>
      <c r="J111" t="s">
        <v>54</v>
      </c>
      <c r="K111">
        <v>649164</v>
      </c>
      <c r="L111" t="s">
        <v>244</v>
      </c>
      <c r="M111" t="s">
        <v>245</v>
      </c>
      <c r="N111" t="s">
        <v>57</v>
      </c>
      <c r="O111" s="1">
        <v>45658</v>
      </c>
      <c r="Q111" s="1">
        <v>46235</v>
      </c>
      <c r="R111" s="2">
        <v>75.75</v>
      </c>
      <c r="S111">
        <v>1</v>
      </c>
      <c r="T111" t="s">
        <v>58</v>
      </c>
      <c r="U111" t="s">
        <v>246</v>
      </c>
      <c r="V111" s="4">
        <v>6.5000000000000002E-2</v>
      </c>
      <c r="W111" s="2">
        <v>0</v>
      </c>
      <c r="X111">
        <v>0</v>
      </c>
      <c r="Y111" t="s">
        <v>247</v>
      </c>
      <c r="Z111" t="s">
        <v>248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4.92</v>
      </c>
      <c r="AN111" s="2">
        <v>4.92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46202</v>
      </c>
      <c r="B112" t="s">
        <v>48</v>
      </c>
      <c r="C112">
        <v>649163</v>
      </c>
      <c r="D112">
        <v>2026471872</v>
      </c>
      <c r="E112" t="s">
        <v>285</v>
      </c>
      <c r="F112" t="s">
        <v>286</v>
      </c>
      <c r="G112" t="s">
        <v>51</v>
      </c>
      <c r="H112" t="s">
        <v>117</v>
      </c>
      <c r="I112" t="s">
        <v>53</v>
      </c>
      <c r="J112" t="s">
        <v>287</v>
      </c>
      <c r="K112">
        <v>673059</v>
      </c>
      <c r="L112" t="s">
        <v>102</v>
      </c>
      <c r="M112" t="s">
        <v>103</v>
      </c>
      <c r="N112" t="s">
        <v>57</v>
      </c>
      <c r="O112" s="1">
        <v>45689</v>
      </c>
      <c r="Q112" s="1">
        <v>46235</v>
      </c>
      <c r="R112" s="2">
        <v>37.81</v>
      </c>
      <c r="S112">
        <v>1</v>
      </c>
      <c r="T112" t="s">
        <v>58</v>
      </c>
      <c r="U112" t="s">
        <v>246</v>
      </c>
      <c r="V112" s="4">
        <v>6.5000000000000002E-2</v>
      </c>
      <c r="W112" s="2">
        <v>0</v>
      </c>
      <c r="X112">
        <v>0</v>
      </c>
      <c r="Y112" t="s">
        <v>247</v>
      </c>
      <c r="Z112" t="s">
        <v>248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2.46</v>
      </c>
      <c r="AN112" s="2">
        <v>2.46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46202</v>
      </c>
      <c r="B113" t="s">
        <v>48</v>
      </c>
      <c r="C113">
        <v>649163</v>
      </c>
      <c r="D113">
        <v>2026610948</v>
      </c>
      <c r="E113" t="s">
        <v>288</v>
      </c>
      <c r="F113" t="s">
        <v>289</v>
      </c>
      <c r="G113" t="s">
        <v>51</v>
      </c>
      <c r="H113" t="s">
        <v>52</v>
      </c>
      <c r="I113" t="s">
        <v>53</v>
      </c>
      <c r="J113" t="s">
        <v>54</v>
      </c>
      <c r="K113">
        <v>751867</v>
      </c>
      <c r="L113" t="s">
        <v>272</v>
      </c>
      <c r="M113" t="s">
        <v>209</v>
      </c>
      <c r="N113" t="s">
        <v>57</v>
      </c>
      <c r="O113" s="1">
        <v>45689</v>
      </c>
      <c r="Q113" s="1">
        <v>46235</v>
      </c>
      <c r="R113" s="2">
        <v>46.45</v>
      </c>
      <c r="S113">
        <v>1</v>
      </c>
      <c r="T113" t="s">
        <v>58</v>
      </c>
      <c r="U113" t="s">
        <v>246</v>
      </c>
      <c r="V113" s="4">
        <v>6.5000000000000002E-2</v>
      </c>
      <c r="W113" s="2">
        <v>0</v>
      </c>
      <c r="X113">
        <v>0</v>
      </c>
      <c r="Y113" t="s">
        <v>247</v>
      </c>
      <c r="Z113" t="s">
        <v>248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3.02</v>
      </c>
      <c r="AN113" s="2">
        <v>3.02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46202</v>
      </c>
      <c r="B114" t="s">
        <v>48</v>
      </c>
      <c r="C114">
        <v>649163</v>
      </c>
      <c r="D114">
        <v>2026649887</v>
      </c>
      <c r="E114" t="s">
        <v>290</v>
      </c>
      <c r="F114" t="s">
        <v>291</v>
      </c>
      <c r="G114" t="s">
        <v>51</v>
      </c>
      <c r="H114" t="s">
        <v>167</v>
      </c>
      <c r="I114" t="s">
        <v>53</v>
      </c>
      <c r="J114" t="s">
        <v>54</v>
      </c>
      <c r="K114">
        <v>650218</v>
      </c>
      <c r="L114" t="s">
        <v>266</v>
      </c>
      <c r="M114" t="s">
        <v>267</v>
      </c>
      <c r="N114" t="s">
        <v>57</v>
      </c>
      <c r="O114" s="1">
        <v>45689</v>
      </c>
      <c r="Q114" s="1">
        <v>46235</v>
      </c>
      <c r="R114" s="2">
        <v>56.69</v>
      </c>
      <c r="S114">
        <v>1</v>
      </c>
      <c r="T114" t="s">
        <v>58</v>
      </c>
      <c r="U114" t="s">
        <v>246</v>
      </c>
      <c r="V114" s="4">
        <v>6.5000000000000002E-2</v>
      </c>
      <c r="W114" s="2">
        <v>0</v>
      </c>
      <c r="X114">
        <v>0</v>
      </c>
      <c r="Y114" t="s">
        <v>247</v>
      </c>
      <c r="Z114" t="s">
        <v>248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3.68</v>
      </c>
      <c r="AN114" s="2">
        <v>3.68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46202</v>
      </c>
      <c r="B115" t="s">
        <v>48</v>
      </c>
      <c r="C115">
        <v>649163</v>
      </c>
      <c r="D115">
        <v>2026748270</v>
      </c>
      <c r="E115" t="s">
        <v>292</v>
      </c>
      <c r="F115" t="s">
        <v>293</v>
      </c>
      <c r="G115" t="s">
        <v>51</v>
      </c>
      <c r="H115" t="s">
        <v>52</v>
      </c>
      <c r="I115" t="s">
        <v>53</v>
      </c>
      <c r="J115" t="s">
        <v>54</v>
      </c>
      <c r="K115">
        <v>649247</v>
      </c>
      <c r="L115" t="s">
        <v>255</v>
      </c>
      <c r="M115" t="s">
        <v>256</v>
      </c>
      <c r="N115" t="s">
        <v>57</v>
      </c>
      <c r="O115" s="1">
        <v>45689</v>
      </c>
      <c r="Q115" s="1">
        <v>46235</v>
      </c>
      <c r="R115" s="2">
        <v>71.510000000000005</v>
      </c>
      <c r="S115">
        <v>1</v>
      </c>
      <c r="T115" t="s">
        <v>58</v>
      </c>
      <c r="U115" t="s">
        <v>246</v>
      </c>
      <c r="V115" s="4">
        <v>6.5000000000000002E-2</v>
      </c>
      <c r="W115" s="2">
        <v>0</v>
      </c>
      <c r="X115">
        <v>0</v>
      </c>
      <c r="Y115" t="s">
        <v>247</v>
      </c>
      <c r="Z115" t="s">
        <v>248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4.6500000000000004</v>
      </c>
      <c r="AN115" s="2">
        <v>4.6500000000000004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46202</v>
      </c>
      <c r="B116" t="s">
        <v>48</v>
      </c>
      <c r="C116">
        <v>649163</v>
      </c>
      <c r="D116">
        <v>2026958695</v>
      </c>
      <c r="E116" t="s">
        <v>294</v>
      </c>
      <c r="F116" t="s">
        <v>67</v>
      </c>
      <c r="G116" t="s">
        <v>51</v>
      </c>
      <c r="H116" t="s">
        <v>52</v>
      </c>
      <c r="I116" t="s">
        <v>53</v>
      </c>
      <c r="J116" t="s">
        <v>54</v>
      </c>
      <c r="K116">
        <v>677095</v>
      </c>
      <c r="L116" t="s">
        <v>295</v>
      </c>
      <c r="M116" t="s">
        <v>296</v>
      </c>
      <c r="N116" t="s">
        <v>257</v>
      </c>
      <c r="O116" s="1">
        <v>45702</v>
      </c>
      <c r="P116" s="1">
        <v>46202</v>
      </c>
      <c r="Q116" s="1">
        <v>46217</v>
      </c>
      <c r="R116" s="2">
        <v>-52.69</v>
      </c>
      <c r="S116">
        <v>1</v>
      </c>
      <c r="T116" t="s">
        <v>58</v>
      </c>
      <c r="U116" t="s">
        <v>246</v>
      </c>
      <c r="V116" s="4">
        <v>2.5000000000000001E-2</v>
      </c>
      <c r="W116" s="2">
        <v>0</v>
      </c>
      <c r="X116">
        <v>-1</v>
      </c>
      <c r="Y116" t="s">
        <v>247</v>
      </c>
      <c r="Z116" t="s">
        <v>248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-1.32</v>
      </c>
      <c r="AN116" s="2">
        <v>-1.32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46202</v>
      </c>
      <c r="B117" t="s">
        <v>48</v>
      </c>
      <c r="C117">
        <v>649163</v>
      </c>
      <c r="D117">
        <v>2027665174</v>
      </c>
      <c r="E117" t="s">
        <v>297</v>
      </c>
      <c r="F117" t="s">
        <v>298</v>
      </c>
      <c r="G117" t="s">
        <v>51</v>
      </c>
      <c r="H117" t="s">
        <v>100</v>
      </c>
      <c r="I117" t="s">
        <v>53</v>
      </c>
      <c r="J117" t="s">
        <v>54</v>
      </c>
      <c r="K117">
        <v>751867</v>
      </c>
      <c r="L117" t="s">
        <v>272</v>
      </c>
      <c r="M117" t="s">
        <v>209</v>
      </c>
      <c r="N117" t="s">
        <v>57</v>
      </c>
      <c r="O117" s="1">
        <v>45748</v>
      </c>
      <c r="Q117" s="1">
        <v>46235</v>
      </c>
      <c r="R117" s="2">
        <v>46.45</v>
      </c>
      <c r="S117">
        <v>1</v>
      </c>
      <c r="T117" t="s">
        <v>58</v>
      </c>
      <c r="U117" t="s">
        <v>246</v>
      </c>
      <c r="V117" s="4">
        <v>6.5000000000000002E-2</v>
      </c>
      <c r="W117" s="2">
        <v>0</v>
      </c>
      <c r="X117">
        <v>0</v>
      </c>
      <c r="Y117" t="s">
        <v>247</v>
      </c>
      <c r="Z117" t="s">
        <v>248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3.02</v>
      </c>
      <c r="AN117" s="2">
        <v>3.02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46202</v>
      </c>
      <c r="B118" t="s">
        <v>48</v>
      </c>
      <c r="C118">
        <v>649163</v>
      </c>
      <c r="D118">
        <v>2027762075</v>
      </c>
      <c r="E118" t="s">
        <v>299</v>
      </c>
      <c r="F118" t="s">
        <v>300</v>
      </c>
      <c r="G118" t="s">
        <v>51</v>
      </c>
      <c r="H118" t="s">
        <v>52</v>
      </c>
      <c r="I118" t="s">
        <v>53</v>
      </c>
      <c r="J118" t="s">
        <v>54</v>
      </c>
      <c r="K118">
        <v>751867</v>
      </c>
      <c r="L118" t="s">
        <v>272</v>
      </c>
      <c r="M118" t="s">
        <v>209</v>
      </c>
      <c r="N118" t="s">
        <v>57</v>
      </c>
      <c r="O118" s="1">
        <v>45748</v>
      </c>
      <c r="Q118" s="1">
        <v>46235</v>
      </c>
      <c r="R118" s="2">
        <v>62.54</v>
      </c>
      <c r="S118">
        <v>1</v>
      </c>
      <c r="T118" t="s">
        <v>58</v>
      </c>
      <c r="U118" t="s">
        <v>246</v>
      </c>
      <c r="V118" s="4">
        <v>6.5000000000000002E-2</v>
      </c>
      <c r="W118" s="2">
        <v>0</v>
      </c>
      <c r="X118">
        <v>0</v>
      </c>
      <c r="Y118" t="s">
        <v>247</v>
      </c>
      <c r="Z118" t="s">
        <v>248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4.07</v>
      </c>
      <c r="AN118" s="2">
        <v>4.07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46202</v>
      </c>
      <c r="B119" t="s">
        <v>48</v>
      </c>
      <c r="C119">
        <v>649163</v>
      </c>
      <c r="D119">
        <v>2032098956</v>
      </c>
      <c r="E119" t="s">
        <v>301</v>
      </c>
      <c r="F119" t="s">
        <v>209</v>
      </c>
      <c r="G119" t="s">
        <v>51</v>
      </c>
      <c r="H119" t="s">
        <v>302</v>
      </c>
      <c r="I119" t="s">
        <v>53</v>
      </c>
      <c r="J119" t="s">
        <v>54</v>
      </c>
      <c r="K119">
        <v>673059</v>
      </c>
      <c r="L119" t="s">
        <v>102</v>
      </c>
      <c r="M119" t="s">
        <v>103</v>
      </c>
      <c r="N119" t="s">
        <v>57</v>
      </c>
      <c r="O119" s="1">
        <v>46054</v>
      </c>
      <c r="Q119" s="1">
        <v>46235</v>
      </c>
      <c r="R119" s="2">
        <v>75.67</v>
      </c>
      <c r="S119">
        <v>1</v>
      </c>
      <c r="T119" t="s">
        <v>58</v>
      </c>
      <c r="U119" t="s">
        <v>59</v>
      </c>
      <c r="V119" s="3">
        <v>0.6</v>
      </c>
      <c r="W119" s="2">
        <v>0</v>
      </c>
      <c r="X119">
        <v>0</v>
      </c>
      <c r="Y119" t="s">
        <v>60</v>
      </c>
      <c r="Z119" t="s">
        <v>248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45.4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46202</v>
      </c>
      <c r="B120" t="s">
        <v>48</v>
      </c>
      <c r="C120">
        <v>649163</v>
      </c>
      <c r="D120">
        <v>2032987490</v>
      </c>
      <c r="E120" t="s">
        <v>303</v>
      </c>
      <c r="F120" t="s">
        <v>202</v>
      </c>
      <c r="G120" t="s">
        <v>51</v>
      </c>
      <c r="H120" t="s">
        <v>52</v>
      </c>
      <c r="I120" t="s">
        <v>53</v>
      </c>
      <c r="J120" t="s">
        <v>54</v>
      </c>
      <c r="K120">
        <v>929503</v>
      </c>
      <c r="L120" t="s">
        <v>304</v>
      </c>
      <c r="M120" t="s">
        <v>305</v>
      </c>
      <c r="N120" t="s">
        <v>57</v>
      </c>
      <c r="O120" s="1">
        <v>46054</v>
      </c>
      <c r="Q120" s="1">
        <v>46235</v>
      </c>
      <c r="R120" s="2">
        <v>56.69</v>
      </c>
      <c r="S120">
        <v>1</v>
      </c>
      <c r="T120" t="s">
        <v>58</v>
      </c>
      <c r="U120" t="s">
        <v>59</v>
      </c>
      <c r="V120" s="3">
        <v>0.6</v>
      </c>
      <c r="W120" s="2">
        <v>0</v>
      </c>
      <c r="X120">
        <v>0</v>
      </c>
      <c r="Y120" t="s">
        <v>60</v>
      </c>
      <c r="Z120" t="s">
        <v>248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34.01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46202</v>
      </c>
      <c r="B121" t="s">
        <v>48</v>
      </c>
      <c r="C121">
        <v>649163</v>
      </c>
      <c r="D121">
        <v>2032990889</v>
      </c>
      <c r="E121" t="s">
        <v>306</v>
      </c>
      <c r="F121" t="s">
        <v>103</v>
      </c>
      <c r="G121" t="s">
        <v>51</v>
      </c>
      <c r="H121" t="s">
        <v>52</v>
      </c>
      <c r="I121" t="s">
        <v>53</v>
      </c>
      <c r="J121" t="s">
        <v>54</v>
      </c>
      <c r="K121">
        <v>929503</v>
      </c>
      <c r="L121" t="s">
        <v>304</v>
      </c>
      <c r="M121" t="s">
        <v>305</v>
      </c>
      <c r="N121" t="s">
        <v>57</v>
      </c>
      <c r="O121" s="1">
        <v>46054</v>
      </c>
      <c r="Q121" s="1">
        <v>46235</v>
      </c>
      <c r="R121" s="2">
        <v>108.52</v>
      </c>
      <c r="S121">
        <v>1</v>
      </c>
      <c r="T121" t="s">
        <v>58</v>
      </c>
      <c r="U121" t="s">
        <v>59</v>
      </c>
      <c r="V121" s="3">
        <v>0.6</v>
      </c>
      <c r="W121" s="2">
        <v>0</v>
      </c>
      <c r="X121">
        <v>0</v>
      </c>
      <c r="Y121" t="s">
        <v>60</v>
      </c>
      <c r="Z121" t="s">
        <v>248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65.11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46202</v>
      </c>
      <c r="B122" t="s">
        <v>48</v>
      </c>
      <c r="C122">
        <v>649163</v>
      </c>
      <c r="D122">
        <v>2033053091</v>
      </c>
      <c r="E122" t="s">
        <v>307</v>
      </c>
      <c r="F122" t="s">
        <v>308</v>
      </c>
      <c r="G122" t="s">
        <v>51</v>
      </c>
      <c r="H122" t="s">
        <v>52</v>
      </c>
      <c r="I122" t="s">
        <v>53</v>
      </c>
      <c r="J122" t="s">
        <v>54</v>
      </c>
      <c r="K122">
        <v>929503</v>
      </c>
      <c r="L122" t="s">
        <v>304</v>
      </c>
      <c r="M122" t="s">
        <v>305</v>
      </c>
      <c r="N122" t="s">
        <v>57</v>
      </c>
      <c r="O122" s="1">
        <v>46054</v>
      </c>
      <c r="Q122" s="1">
        <v>46235</v>
      </c>
      <c r="R122" s="2">
        <v>56.69</v>
      </c>
      <c r="S122">
        <v>1</v>
      </c>
      <c r="T122" t="s">
        <v>58</v>
      </c>
      <c r="U122" t="s">
        <v>59</v>
      </c>
      <c r="V122" s="3">
        <v>0.6</v>
      </c>
      <c r="W122" s="2">
        <v>0</v>
      </c>
      <c r="X122">
        <v>0</v>
      </c>
      <c r="Y122" t="s">
        <v>60</v>
      </c>
      <c r="Z122" t="s">
        <v>248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34.01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46202</v>
      </c>
      <c r="B123" t="s">
        <v>48</v>
      </c>
      <c r="C123">
        <v>649163</v>
      </c>
      <c r="D123">
        <v>2033079544</v>
      </c>
      <c r="E123" t="s">
        <v>309</v>
      </c>
      <c r="F123" t="s">
        <v>310</v>
      </c>
      <c r="G123" t="s">
        <v>51</v>
      </c>
      <c r="H123" t="s">
        <v>311</v>
      </c>
      <c r="I123" t="s">
        <v>53</v>
      </c>
      <c r="J123" t="s">
        <v>54</v>
      </c>
      <c r="K123">
        <v>652037</v>
      </c>
      <c r="L123" t="s">
        <v>55</v>
      </c>
      <c r="M123" t="s">
        <v>252</v>
      </c>
      <c r="N123" t="s">
        <v>57</v>
      </c>
      <c r="O123" s="1">
        <v>46054</v>
      </c>
      <c r="Q123" s="1">
        <v>46235</v>
      </c>
      <c r="R123" s="2">
        <v>55.74</v>
      </c>
      <c r="S123">
        <v>1</v>
      </c>
      <c r="T123" t="s">
        <v>58</v>
      </c>
      <c r="U123" t="s">
        <v>59</v>
      </c>
      <c r="V123" s="3">
        <v>0.6</v>
      </c>
      <c r="W123" s="2">
        <v>0</v>
      </c>
      <c r="X123">
        <v>0</v>
      </c>
      <c r="Y123" t="s">
        <v>60</v>
      </c>
      <c r="Z123" t="s">
        <v>248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33.44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46202</v>
      </c>
      <c r="B124" t="s">
        <v>48</v>
      </c>
      <c r="C124">
        <v>649163</v>
      </c>
      <c r="D124">
        <v>2033135808</v>
      </c>
      <c r="E124" t="s">
        <v>312</v>
      </c>
      <c r="F124" t="s">
        <v>313</v>
      </c>
      <c r="G124" t="s">
        <v>51</v>
      </c>
      <c r="H124" t="s">
        <v>100</v>
      </c>
      <c r="I124" t="s">
        <v>53</v>
      </c>
      <c r="J124" t="s">
        <v>54</v>
      </c>
      <c r="K124">
        <v>673059</v>
      </c>
      <c r="L124" t="s">
        <v>102</v>
      </c>
      <c r="M124" t="s">
        <v>103</v>
      </c>
      <c r="N124" t="s">
        <v>57</v>
      </c>
      <c r="O124" s="1">
        <v>46054</v>
      </c>
      <c r="Q124" s="1">
        <v>46235</v>
      </c>
      <c r="R124" s="2">
        <v>75.67</v>
      </c>
      <c r="S124">
        <v>1</v>
      </c>
      <c r="T124" t="s">
        <v>58</v>
      </c>
      <c r="U124" t="s">
        <v>59</v>
      </c>
      <c r="V124" s="3">
        <v>0.6</v>
      </c>
      <c r="W124" s="2">
        <v>0</v>
      </c>
      <c r="X124">
        <v>0</v>
      </c>
      <c r="Y124" t="s">
        <v>60</v>
      </c>
      <c r="Z124" t="s">
        <v>248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45.4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46202</v>
      </c>
      <c r="B125" t="s">
        <v>48</v>
      </c>
      <c r="C125">
        <v>649163</v>
      </c>
      <c r="D125">
        <v>2033163405</v>
      </c>
      <c r="E125" t="s">
        <v>314</v>
      </c>
      <c r="F125" t="s">
        <v>315</v>
      </c>
      <c r="G125" t="s">
        <v>51</v>
      </c>
      <c r="H125" t="s">
        <v>89</v>
      </c>
      <c r="I125" t="s">
        <v>53</v>
      </c>
      <c r="J125" t="s">
        <v>54</v>
      </c>
      <c r="K125">
        <v>894525</v>
      </c>
      <c r="L125" t="s">
        <v>316</v>
      </c>
      <c r="M125" t="s">
        <v>317</v>
      </c>
      <c r="N125" t="s">
        <v>57</v>
      </c>
      <c r="O125" s="1">
        <v>46054</v>
      </c>
      <c r="Q125" s="1">
        <v>46235</v>
      </c>
      <c r="R125" s="2">
        <v>126.06</v>
      </c>
      <c r="S125">
        <v>1</v>
      </c>
      <c r="T125" t="s">
        <v>58</v>
      </c>
      <c r="U125" t="s">
        <v>59</v>
      </c>
      <c r="V125" s="3">
        <v>0.6</v>
      </c>
      <c r="W125" s="2">
        <v>0</v>
      </c>
      <c r="X125">
        <v>0</v>
      </c>
      <c r="Y125" t="s">
        <v>60</v>
      </c>
      <c r="Z125" t="s">
        <v>248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75.64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46202</v>
      </c>
      <c r="B126" t="s">
        <v>48</v>
      </c>
      <c r="C126">
        <v>649163</v>
      </c>
      <c r="D126">
        <v>2033226443</v>
      </c>
      <c r="E126" t="s">
        <v>318</v>
      </c>
      <c r="F126" t="s">
        <v>319</v>
      </c>
      <c r="G126" t="s">
        <v>51</v>
      </c>
      <c r="H126" t="s">
        <v>52</v>
      </c>
      <c r="I126" t="s">
        <v>53</v>
      </c>
      <c r="J126" t="s">
        <v>54</v>
      </c>
      <c r="K126">
        <v>650218</v>
      </c>
      <c r="L126" t="s">
        <v>266</v>
      </c>
      <c r="M126" t="s">
        <v>267</v>
      </c>
      <c r="N126" t="s">
        <v>57</v>
      </c>
      <c r="O126" s="1">
        <v>46054</v>
      </c>
      <c r="Q126" s="1">
        <v>46235</v>
      </c>
      <c r="R126" s="2">
        <v>79.67</v>
      </c>
      <c r="S126">
        <v>1</v>
      </c>
      <c r="T126" t="s">
        <v>58</v>
      </c>
      <c r="U126" t="s">
        <v>59</v>
      </c>
      <c r="V126" s="3">
        <v>0.6</v>
      </c>
      <c r="W126" s="2">
        <v>0</v>
      </c>
      <c r="X126">
        <v>0</v>
      </c>
      <c r="Y126" t="s">
        <v>60</v>
      </c>
      <c r="Z126" t="s">
        <v>248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47.8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46202</v>
      </c>
      <c r="B127" t="s">
        <v>48</v>
      </c>
      <c r="C127">
        <v>649163</v>
      </c>
      <c r="D127">
        <v>2033229538</v>
      </c>
      <c r="E127" t="s">
        <v>320</v>
      </c>
      <c r="F127" t="s">
        <v>321</v>
      </c>
      <c r="G127" t="s">
        <v>51</v>
      </c>
      <c r="H127" t="s">
        <v>52</v>
      </c>
      <c r="I127" t="s">
        <v>53</v>
      </c>
      <c r="J127" t="s">
        <v>54</v>
      </c>
      <c r="K127">
        <v>929503</v>
      </c>
      <c r="L127" t="s">
        <v>304</v>
      </c>
      <c r="M127" t="s">
        <v>305</v>
      </c>
      <c r="N127" t="s">
        <v>57</v>
      </c>
      <c r="O127" s="1">
        <v>46054</v>
      </c>
      <c r="Q127" s="1">
        <v>46235</v>
      </c>
      <c r="R127" s="2">
        <v>56.69</v>
      </c>
      <c r="S127">
        <v>1</v>
      </c>
      <c r="T127" t="s">
        <v>58</v>
      </c>
      <c r="U127" t="s">
        <v>59</v>
      </c>
      <c r="V127" s="3">
        <v>0.6</v>
      </c>
      <c r="W127" s="2">
        <v>0</v>
      </c>
      <c r="X127">
        <v>0</v>
      </c>
      <c r="Y127" t="s">
        <v>60</v>
      </c>
      <c r="Z127" t="s">
        <v>248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34.01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46202</v>
      </c>
      <c r="B128" t="s">
        <v>48</v>
      </c>
      <c r="C128">
        <v>649163</v>
      </c>
      <c r="D128">
        <v>2033259519</v>
      </c>
      <c r="E128" t="s">
        <v>322</v>
      </c>
      <c r="F128" t="s">
        <v>323</v>
      </c>
      <c r="G128" t="s">
        <v>51</v>
      </c>
      <c r="H128" t="s">
        <v>52</v>
      </c>
      <c r="I128" t="s">
        <v>53</v>
      </c>
      <c r="J128" t="s">
        <v>54</v>
      </c>
      <c r="K128">
        <v>650218</v>
      </c>
      <c r="L128" t="s">
        <v>266</v>
      </c>
      <c r="M128" t="s">
        <v>267</v>
      </c>
      <c r="N128" t="s">
        <v>57</v>
      </c>
      <c r="O128" s="1">
        <v>46054</v>
      </c>
      <c r="Q128" s="1">
        <v>46235</v>
      </c>
      <c r="R128" s="2">
        <v>79.67</v>
      </c>
      <c r="S128">
        <v>1</v>
      </c>
      <c r="T128" t="s">
        <v>58</v>
      </c>
      <c r="U128" t="s">
        <v>59</v>
      </c>
      <c r="V128" s="3">
        <v>0.6</v>
      </c>
      <c r="W128" s="2">
        <v>0</v>
      </c>
      <c r="X128">
        <v>0</v>
      </c>
      <c r="Y128" t="s">
        <v>60</v>
      </c>
      <c r="Z128" t="s">
        <v>248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47.8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46202</v>
      </c>
      <c r="B129" t="s">
        <v>48</v>
      </c>
      <c r="C129">
        <v>649163</v>
      </c>
      <c r="D129">
        <v>2033349301</v>
      </c>
      <c r="E129" t="s">
        <v>324</v>
      </c>
      <c r="F129" t="s">
        <v>325</v>
      </c>
      <c r="G129" t="s">
        <v>51</v>
      </c>
      <c r="H129" t="s">
        <v>89</v>
      </c>
      <c r="I129" t="s">
        <v>53</v>
      </c>
      <c r="J129" t="s">
        <v>54</v>
      </c>
      <c r="K129">
        <v>894525</v>
      </c>
      <c r="L129" t="s">
        <v>316</v>
      </c>
      <c r="M129" t="s">
        <v>317</v>
      </c>
      <c r="N129" t="s">
        <v>57</v>
      </c>
      <c r="O129" s="1">
        <v>46054</v>
      </c>
      <c r="Q129" s="1">
        <v>46235</v>
      </c>
      <c r="R129" s="2">
        <v>52.69</v>
      </c>
      <c r="S129">
        <v>1</v>
      </c>
      <c r="T129" t="s">
        <v>58</v>
      </c>
      <c r="U129" t="s">
        <v>59</v>
      </c>
      <c r="V129" s="3">
        <v>0.6</v>
      </c>
      <c r="W129" s="2">
        <v>0</v>
      </c>
      <c r="X129">
        <v>0</v>
      </c>
      <c r="Y129" t="s">
        <v>60</v>
      </c>
      <c r="Z129" t="s">
        <v>248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31.61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46202</v>
      </c>
      <c r="B130" t="s">
        <v>48</v>
      </c>
      <c r="C130">
        <v>649163</v>
      </c>
      <c r="D130">
        <v>2033357626</v>
      </c>
      <c r="E130" t="s">
        <v>326</v>
      </c>
      <c r="F130" t="s">
        <v>327</v>
      </c>
      <c r="G130" t="s">
        <v>51</v>
      </c>
      <c r="H130" t="s">
        <v>89</v>
      </c>
      <c r="I130" t="s">
        <v>53</v>
      </c>
      <c r="J130" t="s">
        <v>54</v>
      </c>
      <c r="K130">
        <v>894525</v>
      </c>
      <c r="L130" t="s">
        <v>316</v>
      </c>
      <c r="M130" t="s">
        <v>317</v>
      </c>
      <c r="N130" t="s">
        <v>57</v>
      </c>
      <c r="O130" s="1">
        <v>46054</v>
      </c>
      <c r="Q130" s="1">
        <v>46235</v>
      </c>
      <c r="R130" s="2">
        <v>108.52</v>
      </c>
      <c r="S130">
        <v>1</v>
      </c>
      <c r="T130" t="s">
        <v>58</v>
      </c>
      <c r="U130" t="s">
        <v>59</v>
      </c>
      <c r="V130" s="3">
        <v>0.6</v>
      </c>
      <c r="W130" s="2">
        <v>0</v>
      </c>
      <c r="X130">
        <v>0</v>
      </c>
      <c r="Y130" t="s">
        <v>60</v>
      </c>
      <c r="Z130" t="s">
        <v>248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65.11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46202</v>
      </c>
      <c r="B131" t="s">
        <v>48</v>
      </c>
      <c r="C131">
        <v>649163</v>
      </c>
      <c r="D131">
        <v>2034634162</v>
      </c>
      <c r="E131" t="s">
        <v>328</v>
      </c>
      <c r="F131" t="s">
        <v>329</v>
      </c>
      <c r="G131" t="s">
        <v>51</v>
      </c>
      <c r="H131" t="s">
        <v>117</v>
      </c>
      <c r="I131" t="s">
        <v>53</v>
      </c>
      <c r="J131" t="s">
        <v>54</v>
      </c>
      <c r="K131">
        <v>822733</v>
      </c>
      <c r="L131" t="s">
        <v>229</v>
      </c>
      <c r="M131" t="s">
        <v>230</v>
      </c>
      <c r="N131" t="s">
        <v>57</v>
      </c>
      <c r="O131" s="1">
        <v>46111</v>
      </c>
      <c r="Q131" s="1">
        <v>46233</v>
      </c>
      <c r="R131" s="2">
        <v>52.69</v>
      </c>
      <c r="S131">
        <v>1</v>
      </c>
      <c r="T131" t="s">
        <v>58</v>
      </c>
      <c r="U131" t="s">
        <v>59</v>
      </c>
      <c r="V131" s="3">
        <v>0.6</v>
      </c>
      <c r="W131" s="2">
        <v>0</v>
      </c>
      <c r="X131">
        <v>0</v>
      </c>
      <c r="Y131" t="s">
        <v>60</v>
      </c>
      <c r="Z131" t="s">
        <v>248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31.61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46202</v>
      </c>
      <c r="B132" t="s">
        <v>48</v>
      </c>
      <c r="C132">
        <v>649163</v>
      </c>
      <c r="D132">
        <v>2017333575</v>
      </c>
      <c r="E132" t="s">
        <v>330</v>
      </c>
      <c r="F132" t="s">
        <v>331</v>
      </c>
      <c r="G132" t="s">
        <v>51</v>
      </c>
      <c r="H132" t="s">
        <v>332</v>
      </c>
      <c r="I132" t="s">
        <v>69</v>
      </c>
      <c r="J132" t="s">
        <v>79</v>
      </c>
      <c r="K132">
        <v>649793</v>
      </c>
      <c r="L132" t="s">
        <v>102</v>
      </c>
      <c r="M132" t="s">
        <v>333</v>
      </c>
      <c r="N132" t="s">
        <v>57</v>
      </c>
      <c r="O132" s="1">
        <v>44958</v>
      </c>
      <c r="Q132" s="1">
        <v>46235</v>
      </c>
      <c r="R132" s="2">
        <v>152.54</v>
      </c>
      <c r="S132">
        <v>1</v>
      </c>
      <c r="T132" t="s">
        <v>58</v>
      </c>
      <c r="U132" t="s">
        <v>246</v>
      </c>
      <c r="V132" s="3">
        <v>0.1</v>
      </c>
      <c r="W132" s="2">
        <v>0</v>
      </c>
      <c r="X132">
        <v>0</v>
      </c>
      <c r="Y132" t="s">
        <v>247</v>
      </c>
      <c r="Z132" t="s">
        <v>248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15.25</v>
      </c>
      <c r="AN132" s="2">
        <v>15.25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46202</v>
      </c>
      <c r="B133" t="s">
        <v>48</v>
      </c>
      <c r="C133">
        <v>649163</v>
      </c>
      <c r="D133">
        <v>2017351925</v>
      </c>
      <c r="E133" t="s">
        <v>334</v>
      </c>
      <c r="F133" t="s">
        <v>335</v>
      </c>
      <c r="G133" t="s">
        <v>51</v>
      </c>
      <c r="H133" t="s">
        <v>146</v>
      </c>
      <c r="I133" t="s">
        <v>69</v>
      </c>
      <c r="J133" t="s">
        <v>79</v>
      </c>
      <c r="K133">
        <v>652037</v>
      </c>
      <c r="L133" t="s">
        <v>55</v>
      </c>
      <c r="M133" t="s">
        <v>252</v>
      </c>
      <c r="N133" t="s">
        <v>57</v>
      </c>
      <c r="O133" s="1">
        <v>44958</v>
      </c>
      <c r="Q133" s="1">
        <v>46235</v>
      </c>
      <c r="R133" s="2">
        <v>73.08</v>
      </c>
      <c r="S133">
        <v>1</v>
      </c>
      <c r="T133" t="s">
        <v>58</v>
      </c>
      <c r="U133" t="s">
        <v>246</v>
      </c>
      <c r="V133" s="3">
        <v>0.1</v>
      </c>
      <c r="W133" s="2">
        <v>0</v>
      </c>
      <c r="X133">
        <v>0</v>
      </c>
      <c r="Y133" t="s">
        <v>247</v>
      </c>
      <c r="Z133" t="s">
        <v>248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7.31</v>
      </c>
      <c r="AN133" s="2">
        <v>7.31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46202</v>
      </c>
      <c r="B134" t="s">
        <v>48</v>
      </c>
      <c r="C134">
        <v>649163</v>
      </c>
      <c r="D134">
        <v>2018192802</v>
      </c>
      <c r="E134" t="s">
        <v>336</v>
      </c>
      <c r="F134" t="s">
        <v>337</v>
      </c>
      <c r="G134" t="s">
        <v>51</v>
      </c>
      <c r="H134" t="s">
        <v>124</v>
      </c>
      <c r="I134" t="s">
        <v>69</v>
      </c>
      <c r="J134" t="s">
        <v>338</v>
      </c>
      <c r="K134">
        <v>651818</v>
      </c>
      <c r="L134" t="s">
        <v>210</v>
      </c>
      <c r="M134" t="s">
        <v>211</v>
      </c>
      <c r="N134" t="s">
        <v>57</v>
      </c>
      <c r="O134" s="1">
        <v>45015</v>
      </c>
      <c r="Q134" s="1">
        <v>46233</v>
      </c>
      <c r="R134" s="2">
        <v>206.88</v>
      </c>
      <c r="S134">
        <v>1</v>
      </c>
      <c r="T134" t="s">
        <v>58</v>
      </c>
      <c r="U134" t="s">
        <v>246</v>
      </c>
      <c r="V134" s="3">
        <v>0.1</v>
      </c>
      <c r="W134" s="2">
        <v>0</v>
      </c>
      <c r="X134">
        <v>0</v>
      </c>
      <c r="Y134" t="s">
        <v>247</v>
      </c>
      <c r="Z134" t="s">
        <v>248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20.69</v>
      </c>
      <c r="AN134" s="2">
        <v>20.69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46202</v>
      </c>
      <c r="B135" t="s">
        <v>48</v>
      </c>
      <c r="C135">
        <v>649163</v>
      </c>
      <c r="D135">
        <v>2018732056</v>
      </c>
      <c r="E135" t="s">
        <v>339</v>
      </c>
      <c r="F135" t="s">
        <v>138</v>
      </c>
      <c r="G135" t="s">
        <v>51</v>
      </c>
      <c r="I135" t="s">
        <v>69</v>
      </c>
      <c r="J135" t="s">
        <v>338</v>
      </c>
      <c r="K135">
        <v>651818</v>
      </c>
      <c r="L135" t="s">
        <v>210</v>
      </c>
      <c r="M135" t="s">
        <v>211</v>
      </c>
      <c r="N135" t="s">
        <v>257</v>
      </c>
      <c r="O135" s="1">
        <v>45081</v>
      </c>
      <c r="P135" s="1">
        <v>46202</v>
      </c>
      <c r="Q135" s="1">
        <v>46207</v>
      </c>
      <c r="R135" s="2">
        <v>-5.51</v>
      </c>
      <c r="S135">
        <v>1</v>
      </c>
      <c r="T135" t="s">
        <v>58</v>
      </c>
      <c r="U135" t="s">
        <v>246</v>
      </c>
      <c r="V135" s="3">
        <v>0.1</v>
      </c>
      <c r="W135" s="2">
        <v>0</v>
      </c>
      <c r="X135">
        <v>-1</v>
      </c>
      <c r="Y135" t="s">
        <v>247</v>
      </c>
      <c r="Z135" t="s">
        <v>248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-0.55000000000000004</v>
      </c>
      <c r="AN135" s="2">
        <v>-0.55000000000000004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46202</v>
      </c>
      <c r="B136" t="s">
        <v>48</v>
      </c>
      <c r="C136">
        <v>649163</v>
      </c>
      <c r="D136">
        <v>2023647898</v>
      </c>
      <c r="E136" t="s">
        <v>340</v>
      </c>
      <c r="F136" t="s">
        <v>341</v>
      </c>
      <c r="G136" t="s">
        <v>51</v>
      </c>
      <c r="H136" t="s">
        <v>167</v>
      </c>
      <c r="I136" t="s">
        <v>69</v>
      </c>
      <c r="J136" t="s">
        <v>338</v>
      </c>
      <c r="K136">
        <v>651818</v>
      </c>
      <c r="L136" t="s">
        <v>210</v>
      </c>
      <c r="M136" t="s">
        <v>211</v>
      </c>
      <c r="N136" t="s">
        <v>57</v>
      </c>
      <c r="O136" s="1">
        <v>45474</v>
      </c>
      <c r="Q136" s="1">
        <v>46235</v>
      </c>
      <c r="R136" s="2">
        <v>28.75</v>
      </c>
      <c r="S136">
        <v>1</v>
      </c>
      <c r="T136" t="s">
        <v>58</v>
      </c>
      <c r="U136" t="s">
        <v>246</v>
      </c>
      <c r="V136" s="3">
        <v>0.1</v>
      </c>
      <c r="W136" s="2">
        <v>0</v>
      </c>
      <c r="X136">
        <v>0</v>
      </c>
      <c r="Y136" t="s">
        <v>247</v>
      </c>
      <c r="Z136" t="s">
        <v>248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2.88</v>
      </c>
      <c r="AN136" s="2">
        <v>2.88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46202</v>
      </c>
      <c r="B137" t="s">
        <v>48</v>
      </c>
      <c r="C137">
        <v>649163</v>
      </c>
      <c r="D137">
        <v>2025689180</v>
      </c>
      <c r="E137" t="s">
        <v>342</v>
      </c>
      <c r="F137" t="s">
        <v>343</v>
      </c>
      <c r="G137" t="s">
        <v>51</v>
      </c>
      <c r="H137" t="s">
        <v>94</v>
      </c>
      <c r="I137" t="s">
        <v>69</v>
      </c>
      <c r="J137" t="s">
        <v>101</v>
      </c>
      <c r="K137">
        <v>796984</v>
      </c>
      <c r="L137" t="s">
        <v>344</v>
      </c>
      <c r="M137" t="s">
        <v>171</v>
      </c>
      <c r="N137" t="s">
        <v>57</v>
      </c>
      <c r="O137" s="1">
        <v>45627</v>
      </c>
      <c r="Q137" s="1">
        <v>46235</v>
      </c>
      <c r="R137" s="2">
        <v>38.229999999999997</v>
      </c>
      <c r="S137">
        <v>1</v>
      </c>
      <c r="T137" t="s">
        <v>58</v>
      </c>
      <c r="U137" t="s">
        <v>246</v>
      </c>
      <c r="V137" s="3">
        <v>0.1</v>
      </c>
      <c r="W137" s="2">
        <v>0</v>
      </c>
      <c r="X137">
        <v>0</v>
      </c>
      <c r="Y137" t="s">
        <v>247</v>
      </c>
      <c r="Z137" t="s">
        <v>248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3.82</v>
      </c>
      <c r="AN137" s="2">
        <v>3.82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46202</v>
      </c>
      <c r="B138" t="s">
        <v>48</v>
      </c>
      <c r="C138">
        <v>649163</v>
      </c>
      <c r="D138">
        <v>2025708055</v>
      </c>
      <c r="E138" t="s">
        <v>345</v>
      </c>
      <c r="F138" t="s">
        <v>199</v>
      </c>
      <c r="G138" t="s">
        <v>51</v>
      </c>
      <c r="H138" t="s">
        <v>94</v>
      </c>
      <c r="I138" t="s">
        <v>69</v>
      </c>
      <c r="J138" t="s">
        <v>101</v>
      </c>
      <c r="K138">
        <v>796984</v>
      </c>
      <c r="L138" t="s">
        <v>344</v>
      </c>
      <c r="M138" t="s">
        <v>171</v>
      </c>
      <c r="N138" t="s">
        <v>57</v>
      </c>
      <c r="O138" s="1">
        <v>45658</v>
      </c>
      <c r="Q138" s="1">
        <v>46235</v>
      </c>
      <c r="R138" s="2">
        <v>73.58</v>
      </c>
      <c r="S138">
        <v>1</v>
      </c>
      <c r="T138" t="s">
        <v>58</v>
      </c>
      <c r="U138" t="s">
        <v>246</v>
      </c>
      <c r="V138" s="3">
        <v>0.1</v>
      </c>
      <c r="W138" s="2">
        <v>0</v>
      </c>
      <c r="X138">
        <v>0</v>
      </c>
      <c r="Y138" t="s">
        <v>247</v>
      </c>
      <c r="Z138" t="s">
        <v>248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7.36</v>
      </c>
      <c r="AN138" s="2">
        <v>7.36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46202</v>
      </c>
      <c r="B139" t="s">
        <v>48</v>
      </c>
      <c r="C139">
        <v>649163</v>
      </c>
      <c r="D139">
        <v>2025787184</v>
      </c>
      <c r="E139" t="s">
        <v>346</v>
      </c>
      <c r="F139" t="s">
        <v>347</v>
      </c>
      <c r="G139" t="s">
        <v>51</v>
      </c>
      <c r="H139" t="s">
        <v>94</v>
      </c>
      <c r="I139" t="s">
        <v>69</v>
      </c>
      <c r="J139" t="s">
        <v>101</v>
      </c>
      <c r="K139">
        <v>796984</v>
      </c>
      <c r="L139" t="s">
        <v>344</v>
      </c>
      <c r="M139" t="s">
        <v>171</v>
      </c>
      <c r="N139" t="s">
        <v>57</v>
      </c>
      <c r="O139" s="1">
        <v>45627</v>
      </c>
      <c r="Q139" s="1">
        <v>46235</v>
      </c>
      <c r="R139" s="2">
        <v>20.350000000000001</v>
      </c>
      <c r="S139">
        <v>1</v>
      </c>
      <c r="T139" t="s">
        <v>58</v>
      </c>
      <c r="U139" t="s">
        <v>246</v>
      </c>
      <c r="V139" s="3">
        <v>0.1</v>
      </c>
      <c r="W139" s="2">
        <v>0</v>
      </c>
      <c r="X139">
        <v>0</v>
      </c>
      <c r="Y139" t="s">
        <v>247</v>
      </c>
      <c r="Z139" t="s">
        <v>248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2.04</v>
      </c>
      <c r="AN139" s="2">
        <v>2.04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46202</v>
      </c>
      <c r="B140" t="s">
        <v>48</v>
      </c>
      <c r="C140">
        <v>649163</v>
      </c>
      <c r="D140">
        <v>2025997429</v>
      </c>
      <c r="E140" t="s">
        <v>348</v>
      </c>
      <c r="F140" t="s">
        <v>335</v>
      </c>
      <c r="G140" t="s">
        <v>51</v>
      </c>
      <c r="H140" t="s">
        <v>349</v>
      </c>
      <c r="I140" t="s">
        <v>69</v>
      </c>
      <c r="J140" t="s">
        <v>338</v>
      </c>
      <c r="K140">
        <v>673059</v>
      </c>
      <c r="L140" t="s">
        <v>102</v>
      </c>
      <c r="M140" t="s">
        <v>103</v>
      </c>
      <c r="N140" t="s">
        <v>57</v>
      </c>
      <c r="O140" s="1">
        <v>45689</v>
      </c>
      <c r="Q140" s="1">
        <v>46235</v>
      </c>
      <c r="R140" s="2">
        <v>224.85</v>
      </c>
      <c r="S140">
        <v>1</v>
      </c>
      <c r="T140" t="s">
        <v>58</v>
      </c>
      <c r="U140" t="s">
        <v>246</v>
      </c>
      <c r="V140" s="3">
        <v>0.1</v>
      </c>
      <c r="W140" s="2">
        <v>0</v>
      </c>
      <c r="X140">
        <v>0</v>
      </c>
      <c r="Y140" t="s">
        <v>247</v>
      </c>
      <c r="Z140" t="s">
        <v>248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22.48</v>
      </c>
      <c r="AN140" s="2">
        <v>22.48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46202</v>
      </c>
      <c r="B141" t="s">
        <v>48</v>
      </c>
      <c r="C141">
        <v>649163</v>
      </c>
      <c r="D141">
        <v>2026471869</v>
      </c>
      <c r="E141" t="s">
        <v>285</v>
      </c>
      <c r="F141" t="s">
        <v>286</v>
      </c>
      <c r="G141" t="s">
        <v>51</v>
      </c>
      <c r="H141" t="s">
        <v>117</v>
      </c>
      <c r="I141" t="s">
        <v>69</v>
      </c>
      <c r="J141" t="s">
        <v>101</v>
      </c>
      <c r="K141">
        <v>673059</v>
      </c>
      <c r="L141" t="s">
        <v>102</v>
      </c>
      <c r="M141" t="s">
        <v>103</v>
      </c>
      <c r="N141" t="s">
        <v>57</v>
      </c>
      <c r="O141" s="1">
        <v>45689</v>
      </c>
      <c r="Q141" s="1">
        <v>46235</v>
      </c>
      <c r="R141" s="2">
        <v>17.25</v>
      </c>
      <c r="S141">
        <v>1</v>
      </c>
      <c r="T141" t="s">
        <v>58</v>
      </c>
      <c r="U141" t="s">
        <v>246</v>
      </c>
      <c r="V141" s="3">
        <v>0.1</v>
      </c>
      <c r="W141" s="2">
        <v>0</v>
      </c>
      <c r="X141">
        <v>0</v>
      </c>
      <c r="Y141" t="s">
        <v>247</v>
      </c>
      <c r="Z141" t="s">
        <v>248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1.72</v>
      </c>
      <c r="AN141" s="2">
        <v>1.72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46202</v>
      </c>
      <c r="B142" t="s">
        <v>48</v>
      </c>
      <c r="C142">
        <v>649163</v>
      </c>
      <c r="D142">
        <v>2026605720</v>
      </c>
      <c r="E142" t="s">
        <v>350</v>
      </c>
      <c r="F142" t="s">
        <v>351</v>
      </c>
      <c r="G142" t="s">
        <v>51</v>
      </c>
      <c r="H142" t="s">
        <v>94</v>
      </c>
      <c r="I142" t="s">
        <v>69</v>
      </c>
      <c r="J142" t="s">
        <v>101</v>
      </c>
      <c r="K142">
        <v>816021</v>
      </c>
      <c r="L142" t="s">
        <v>80</v>
      </c>
      <c r="M142" t="s">
        <v>81</v>
      </c>
      <c r="N142" t="s">
        <v>57</v>
      </c>
      <c r="O142" s="1">
        <v>45689</v>
      </c>
      <c r="Q142" s="1">
        <v>46235</v>
      </c>
      <c r="R142" s="2">
        <v>11.98</v>
      </c>
      <c r="S142">
        <v>1</v>
      </c>
      <c r="T142" t="s">
        <v>58</v>
      </c>
      <c r="U142" t="s">
        <v>246</v>
      </c>
      <c r="V142" s="3">
        <v>0.1</v>
      </c>
      <c r="W142" s="2">
        <v>0</v>
      </c>
      <c r="X142">
        <v>0</v>
      </c>
      <c r="Y142" t="s">
        <v>247</v>
      </c>
      <c r="Z142" t="s">
        <v>248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1.2</v>
      </c>
      <c r="AN142" s="2">
        <v>1.2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46202</v>
      </c>
      <c r="B143" t="s">
        <v>48</v>
      </c>
      <c r="C143">
        <v>649163</v>
      </c>
      <c r="D143">
        <v>2026615271</v>
      </c>
      <c r="E143" t="s">
        <v>352</v>
      </c>
      <c r="F143" t="s">
        <v>353</v>
      </c>
      <c r="G143" t="s">
        <v>51</v>
      </c>
      <c r="H143" t="s">
        <v>94</v>
      </c>
      <c r="I143" t="s">
        <v>69</v>
      </c>
      <c r="J143" t="s">
        <v>101</v>
      </c>
      <c r="K143">
        <v>816021</v>
      </c>
      <c r="L143" t="s">
        <v>80</v>
      </c>
      <c r="M143" t="s">
        <v>81</v>
      </c>
      <c r="N143" t="s">
        <v>57</v>
      </c>
      <c r="O143" s="1">
        <v>45689</v>
      </c>
      <c r="Q143" s="1">
        <v>46235</v>
      </c>
      <c r="R143" s="2">
        <v>31.48</v>
      </c>
      <c r="S143">
        <v>1</v>
      </c>
      <c r="T143" t="s">
        <v>58</v>
      </c>
      <c r="U143" t="s">
        <v>246</v>
      </c>
      <c r="V143" s="3">
        <v>0.1</v>
      </c>
      <c r="W143" s="2">
        <v>0</v>
      </c>
      <c r="X143">
        <v>0</v>
      </c>
      <c r="Y143" t="s">
        <v>247</v>
      </c>
      <c r="Z143" t="s">
        <v>248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3.15</v>
      </c>
      <c r="AN143" s="2">
        <v>3.15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46202</v>
      </c>
      <c r="B144" t="s">
        <v>48</v>
      </c>
      <c r="C144">
        <v>649163</v>
      </c>
      <c r="D144">
        <v>2026616495</v>
      </c>
      <c r="E144" t="s">
        <v>354</v>
      </c>
      <c r="F144" t="s">
        <v>355</v>
      </c>
      <c r="G144" t="s">
        <v>51</v>
      </c>
      <c r="H144" t="s">
        <v>117</v>
      </c>
      <c r="I144" t="s">
        <v>69</v>
      </c>
      <c r="J144" t="s">
        <v>79</v>
      </c>
      <c r="K144">
        <v>673059</v>
      </c>
      <c r="L144" t="s">
        <v>102</v>
      </c>
      <c r="M144" t="s">
        <v>103</v>
      </c>
      <c r="N144" t="s">
        <v>57</v>
      </c>
      <c r="O144" s="1">
        <v>45689</v>
      </c>
      <c r="Q144" s="1">
        <v>46235</v>
      </c>
      <c r="R144" s="2">
        <v>60.43</v>
      </c>
      <c r="S144">
        <v>1</v>
      </c>
      <c r="T144" t="s">
        <v>58</v>
      </c>
      <c r="U144" t="s">
        <v>246</v>
      </c>
      <c r="V144" s="3">
        <v>0.1</v>
      </c>
      <c r="W144" s="2">
        <v>0</v>
      </c>
      <c r="X144">
        <v>0</v>
      </c>
      <c r="Y144" t="s">
        <v>247</v>
      </c>
      <c r="Z144" t="s">
        <v>248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6.04</v>
      </c>
      <c r="AN144" s="2">
        <v>6.04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46202</v>
      </c>
      <c r="B145" t="s">
        <v>48</v>
      </c>
      <c r="C145">
        <v>649163</v>
      </c>
      <c r="D145">
        <v>2026617313</v>
      </c>
      <c r="E145" t="s">
        <v>356</v>
      </c>
      <c r="F145" t="s">
        <v>357</v>
      </c>
      <c r="G145" t="s">
        <v>51</v>
      </c>
      <c r="H145" t="s">
        <v>75</v>
      </c>
      <c r="I145" t="s">
        <v>69</v>
      </c>
      <c r="J145" t="s">
        <v>338</v>
      </c>
      <c r="K145">
        <v>753748</v>
      </c>
      <c r="L145" t="s">
        <v>358</v>
      </c>
      <c r="M145" t="s">
        <v>359</v>
      </c>
      <c r="N145" t="s">
        <v>57</v>
      </c>
      <c r="O145" s="1">
        <v>45689</v>
      </c>
      <c r="Q145" s="1">
        <v>46235</v>
      </c>
      <c r="R145" s="2">
        <v>78.28</v>
      </c>
      <c r="S145">
        <v>1</v>
      </c>
      <c r="T145" t="s">
        <v>58</v>
      </c>
      <c r="U145" t="s">
        <v>246</v>
      </c>
      <c r="V145" s="3">
        <v>0.1</v>
      </c>
      <c r="W145" s="2">
        <v>0</v>
      </c>
      <c r="X145">
        <v>0</v>
      </c>
      <c r="Y145" t="s">
        <v>247</v>
      </c>
      <c r="Z145" t="s">
        <v>248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7.83</v>
      </c>
      <c r="AN145" s="2">
        <v>7.83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46202</v>
      </c>
      <c r="B146" t="s">
        <v>48</v>
      </c>
      <c r="C146">
        <v>649163</v>
      </c>
      <c r="D146">
        <v>2026618580</v>
      </c>
      <c r="E146" t="s">
        <v>360</v>
      </c>
      <c r="F146" t="s">
        <v>361</v>
      </c>
      <c r="G146" t="s">
        <v>51</v>
      </c>
      <c r="H146" t="s">
        <v>75</v>
      </c>
      <c r="I146" t="s">
        <v>69</v>
      </c>
      <c r="J146" t="s">
        <v>79</v>
      </c>
      <c r="K146">
        <v>753748</v>
      </c>
      <c r="L146" t="s">
        <v>358</v>
      </c>
      <c r="M146" t="s">
        <v>359</v>
      </c>
      <c r="N146" t="s">
        <v>57</v>
      </c>
      <c r="O146" s="1">
        <v>45689</v>
      </c>
      <c r="Q146" s="1">
        <v>46235</v>
      </c>
      <c r="R146" s="2">
        <v>81.5</v>
      </c>
      <c r="S146">
        <v>1</v>
      </c>
      <c r="T146" t="s">
        <v>58</v>
      </c>
      <c r="U146" t="s">
        <v>246</v>
      </c>
      <c r="V146" s="3">
        <v>0.1</v>
      </c>
      <c r="W146" s="2">
        <v>0</v>
      </c>
      <c r="X146">
        <v>0</v>
      </c>
      <c r="Y146" t="s">
        <v>247</v>
      </c>
      <c r="Z146" t="s">
        <v>248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8.15</v>
      </c>
      <c r="AN146" s="2">
        <v>8.15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46202</v>
      </c>
      <c r="B147" t="s">
        <v>48</v>
      </c>
      <c r="C147">
        <v>649163</v>
      </c>
      <c r="D147">
        <v>2026619110</v>
      </c>
      <c r="E147" t="s">
        <v>362</v>
      </c>
      <c r="F147" t="s">
        <v>363</v>
      </c>
      <c r="G147" t="s">
        <v>51</v>
      </c>
      <c r="H147" t="s">
        <v>124</v>
      </c>
      <c r="I147" t="s">
        <v>69</v>
      </c>
      <c r="J147" t="s">
        <v>338</v>
      </c>
      <c r="K147">
        <v>673059</v>
      </c>
      <c r="L147" t="s">
        <v>102</v>
      </c>
      <c r="M147" t="s">
        <v>103</v>
      </c>
      <c r="N147" t="s">
        <v>57</v>
      </c>
      <c r="O147" s="1">
        <v>45689</v>
      </c>
      <c r="Q147" s="1">
        <v>46235</v>
      </c>
      <c r="R147" s="2">
        <v>168.15</v>
      </c>
      <c r="S147">
        <v>1</v>
      </c>
      <c r="T147" t="s">
        <v>58</v>
      </c>
      <c r="U147" t="s">
        <v>246</v>
      </c>
      <c r="V147" s="3">
        <v>0.1</v>
      </c>
      <c r="W147" s="2">
        <v>0</v>
      </c>
      <c r="X147">
        <v>0</v>
      </c>
      <c r="Y147" t="s">
        <v>247</v>
      </c>
      <c r="Z147" t="s">
        <v>248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16.82</v>
      </c>
      <c r="AN147" s="2">
        <v>16.82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46202</v>
      </c>
      <c r="B148" t="s">
        <v>48</v>
      </c>
      <c r="C148">
        <v>649163</v>
      </c>
      <c r="D148">
        <v>2026701619</v>
      </c>
      <c r="E148" t="s">
        <v>364</v>
      </c>
      <c r="F148" t="s">
        <v>365</v>
      </c>
      <c r="G148" t="s">
        <v>51</v>
      </c>
      <c r="H148" t="s">
        <v>89</v>
      </c>
      <c r="I148" t="s">
        <v>69</v>
      </c>
      <c r="J148" t="s">
        <v>338</v>
      </c>
      <c r="K148">
        <v>753748</v>
      </c>
      <c r="L148" t="s">
        <v>358</v>
      </c>
      <c r="M148" t="s">
        <v>359</v>
      </c>
      <c r="N148" t="s">
        <v>57</v>
      </c>
      <c r="O148" s="1">
        <v>45689</v>
      </c>
      <c r="Q148" s="1">
        <v>46235</v>
      </c>
      <c r="R148" s="2">
        <v>141.44999999999999</v>
      </c>
      <c r="S148">
        <v>1</v>
      </c>
      <c r="T148" t="s">
        <v>58</v>
      </c>
      <c r="U148" t="s">
        <v>246</v>
      </c>
      <c r="V148" s="3">
        <v>0.1</v>
      </c>
      <c r="W148" s="2">
        <v>0</v>
      </c>
      <c r="X148">
        <v>0</v>
      </c>
      <c r="Y148" t="s">
        <v>247</v>
      </c>
      <c r="Z148" t="s">
        <v>248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14.14</v>
      </c>
      <c r="AN148" s="2">
        <v>14.14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46202</v>
      </c>
      <c r="B149" t="s">
        <v>48</v>
      </c>
      <c r="C149">
        <v>649163</v>
      </c>
      <c r="D149">
        <v>2026734343</v>
      </c>
      <c r="E149" t="s">
        <v>366</v>
      </c>
      <c r="F149" t="s">
        <v>367</v>
      </c>
      <c r="G149" t="s">
        <v>51</v>
      </c>
      <c r="H149" t="s">
        <v>100</v>
      </c>
      <c r="I149" t="s">
        <v>69</v>
      </c>
      <c r="J149" t="s">
        <v>101</v>
      </c>
      <c r="K149">
        <v>768887</v>
      </c>
      <c r="L149" t="s">
        <v>368</v>
      </c>
      <c r="M149" t="s">
        <v>369</v>
      </c>
      <c r="N149" t="s">
        <v>57</v>
      </c>
      <c r="O149" s="1">
        <v>45689</v>
      </c>
      <c r="Q149" s="1">
        <v>46235</v>
      </c>
      <c r="R149" s="2">
        <v>53.56</v>
      </c>
      <c r="S149">
        <v>1</v>
      </c>
      <c r="T149" t="s">
        <v>58</v>
      </c>
      <c r="U149" t="s">
        <v>246</v>
      </c>
      <c r="V149" s="3">
        <v>0.1</v>
      </c>
      <c r="W149" s="2">
        <v>0</v>
      </c>
      <c r="X149">
        <v>0</v>
      </c>
      <c r="Y149" t="s">
        <v>247</v>
      </c>
      <c r="Z149" t="s">
        <v>248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5.36</v>
      </c>
      <c r="AN149" s="2">
        <v>5.36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46202</v>
      </c>
      <c r="B150" t="s">
        <v>48</v>
      </c>
      <c r="C150">
        <v>649163</v>
      </c>
      <c r="D150">
        <v>2026735219</v>
      </c>
      <c r="E150" t="s">
        <v>370</v>
      </c>
      <c r="F150" t="s">
        <v>371</v>
      </c>
      <c r="G150" t="s">
        <v>51</v>
      </c>
      <c r="H150" t="s">
        <v>94</v>
      </c>
      <c r="I150" t="s">
        <v>69</v>
      </c>
      <c r="J150" t="s">
        <v>101</v>
      </c>
      <c r="K150">
        <v>816021</v>
      </c>
      <c r="L150" t="s">
        <v>80</v>
      </c>
      <c r="M150" t="s">
        <v>81</v>
      </c>
      <c r="N150" t="s">
        <v>57</v>
      </c>
      <c r="O150" s="1">
        <v>45689</v>
      </c>
      <c r="Q150" s="1">
        <v>46235</v>
      </c>
      <c r="R150" s="2">
        <v>46.03</v>
      </c>
      <c r="S150">
        <v>1</v>
      </c>
      <c r="T150" t="s">
        <v>58</v>
      </c>
      <c r="U150" t="s">
        <v>246</v>
      </c>
      <c r="V150" s="3">
        <v>0.1</v>
      </c>
      <c r="W150" s="2">
        <v>0</v>
      </c>
      <c r="X150">
        <v>0</v>
      </c>
      <c r="Y150" t="s">
        <v>247</v>
      </c>
      <c r="Z150" t="s">
        <v>248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4.5999999999999996</v>
      </c>
      <c r="AN150" s="2">
        <v>4.5999999999999996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46202</v>
      </c>
      <c r="B151" t="s">
        <v>48</v>
      </c>
      <c r="C151">
        <v>649163</v>
      </c>
      <c r="D151">
        <v>2026811339</v>
      </c>
      <c r="E151" t="s">
        <v>372</v>
      </c>
      <c r="F151" t="s">
        <v>284</v>
      </c>
      <c r="G151" t="s">
        <v>51</v>
      </c>
      <c r="H151" t="s">
        <v>94</v>
      </c>
      <c r="I151" t="s">
        <v>69</v>
      </c>
      <c r="J151" t="s">
        <v>101</v>
      </c>
      <c r="K151">
        <v>816021</v>
      </c>
      <c r="L151" t="s">
        <v>80</v>
      </c>
      <c r="M151" t="s">
        <v>81</v>
      </c>
      <c r="N151" t="s">
        <v>57</v>
      </c>
      <c r="O151" s="1">
        <v>45690</v>
      </c>
      <c r="Q151" s="1">
        <v>46236</v>
      </c>
      <c r="R151" s="2">
        <v>49.81</v>
      </c>
      <c r="S151">
        <v>1</v>
      </c>
      <c r="T151" t="s">
        <v>58</v>
      </c>
      <c r="U151" t="s">
        <v>246</v>
      </c>
      <c r="V151" s="3">
        <v>0.1</v>
      </c>
      <c r="W151" s="2">
        <v>0</v>
      </c>
      <c r="X151">
        <v>0</v>
      </c>
      <c r="Y151" t="s">
        <v>247</v>
      </c>
      <c r="Z151" t="s">
        <v>248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4.9800000000000004</v>
      </c>
      <c r="AN151" s="2">
        <v>4.9800000000000004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46202</v>
      </c>
      <c r="B152" t="s">
        <v>48</v>
      </c>
      <c r="C152">
        <v>649163</v>
      </c>
      <c r="D152">
        <v>2026812433</v>
      </c>
      <c r="E152" t="s">
        <v>373</v>
      </c>
      <c r="F152" t="s">
        <v>374</v>
      </c>
      <c r="G152" t="s">
        <v>51</v>
      </c>
      <c r="H152" t="s">
        <v>94</v>
      </c>
      <c r="I152" t="s">
        <v>69</v>
      </c>
      <c r="J152" t="s">
        <v>101</v>
      </c>
      <c r="K152">
        <v>816021</v>
      </c>
      <c r="L152" t="s">
        <v>80</v>
      </c>
      <c r="M152" t="s">
        <v>81</v>
      </c>
      <c r="N152" t="s">
        <v>57</v>
      </c>
      <c r="O152" s="1">
        <v>45690</v>
      </c>
      <c r="Q152" s="1">
        <v>46236</v>
      </c>
      <c r="R152" s="2">
        <v>91.88</v>
      </c>
      <c r="S152">
        <v>1</v>
      </c>
      <c r="T152" t="s">
        <v>58</v>
      </c>
      <c r="U152" t="s">
        <v>246</v>
      </c>
      <c r="V152" s="3">
        <v>0.1</v>
      </c>
      <c r="W152" s="2">
        <v>0</v>
      </c>
      <c r="X152">
        <v>0</v>
      </c>
      <c r="Y152" t="s">
        <v>247</v>
      </c>
      <c r="Z152" t="s">
        <v>248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9.19</v>
      </c>
      <c r="AN152" s="2">
        <v>9.19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46202</v>
      </c>
      <c r="B153" t="s">
        <v>48</v>
      </c>
      <c r="C153">
        <v>649163</v>
      </c>
      <c r="D153">
        <v>2026817010</v>
      </c>
      <c r="E153" t="s">
        <v>375</v>
      </c>
      <c r="F153" t="s">
        <v>376</v>
      </c>
      <c r="G153" t="s">
        <v>51</v>
      </c>
      <c r="H153" t="s">
        <v>94</v>
      </c>
      <c r="I153" t="s">
        <v>69</v>
      </c>
      <c r="J153" t="s">
        <v>101</v>
      </c>
      <c r="K153">
        <v>796984</v>
      </c>
      <c r="L153" t="s">
        <v>344</v>
      </c>
      <c r="M153" t="s">
        <v>171</v>
      </c>
      <c r="N153" t="s">
        <v>57</v>
      </c>
      <c r="O153" s="1">
        <v>45689</v>
      </c>
      <c r="Q153" s="1">
        <v>46235</v>
      </c>
      <c r="R153" s="2">
        <v>36.18</v>
      </c>
      <c r="S153">
        <v>1</v>
      </c>
      <c r="T153" t="s">
        <v>58</v>
      </c>
      <c r="U153" t="s">
        <v>246</v>
      </c>
      <c r="V153" s="3">
        <v>0.1</v>
      </c>
      <c r="W153" s="2">
        <v>0</v>
      </c>
      <c r="X153">
        <v>0</v>
      </c>
      <c r="Y153" t="s">
        <v>247</v>
      </c>
      <c r="Z153" t="s">
        <v>248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3.62</v>
      </c>
      <c r="AN153" s="2">
        <v>3.62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46202</v>
      </c>
      <c r="B154" t="s">
        <v>48</v>
      </c>
      <c r="C154">
        <v>649163</v>
      </c>
      <c r="D154">
        <v>2027920264</v>
      </c>
      <c r="E154" t="s">
        <v>377</v>
      </c>
      <c r="F154" t="s">
        <v>378</v>
      </c>
      <c r="G154" t="s">
        <v>51</v>
      </c>
      <c r="H154" t="s">
        <v>94</v>
      </c>
      <c r="I154" t="s">
        <v>69</v>
      </c>
      <c r="J154" t="s">
        <v>101</v>
      </c>
      <c r="K154">
        <v>816021</v>
      </c>
      <c r="L154" t="s">
        <v>80</v>
      </c>
      <c r="M154" t="s">
        <v>81</v>
      </c>
      <c r="N154" t="s">
        <v>57</v>
      </c>
      <c r="O154" s="1">
        <v>45744</v>
      </c>
      <c r="Q154" s="1">
        <v>46231</v>
      </c>
      <c r="R154" s="2">
        <v>65.28</v>
      </c>
      <c r="S154">
        <v>1</v>
      </c>
      <c r="T154" t="s">
        <v>58</v>
      </c>
      <c r="U154" t="s">
        <v>246</v>
      </c>
      <c r="V154" s="3">
        <v>0.1</v>
      </c>
      <c r="W154" s="2">
        <v>0</v>
      </c>
      <c r="X154">
        <v>0</v>
      </c>
      <c r="Y154" t="s">
        <v>247</v>
      </c>
      <c r="Z154" t="s">
        <v>248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6.53</v>
      </c>
      <c r="AN154" s="2">
        <v>6.53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46202</v>
      </c>
      <c r="B155" t="s">
        <v>48</v>
      </c>
      <c r="C155">
        <v>649163</v>
      </c>
      <c r="D155">
        <v>2027996022</v>
      </c>
      <c r="E155" t="s">
        <v>379</v>
      </c>
      <c r="F155" t="s">
        <v>132</v>
      </c>
      <c r="G155" t="s">
        <v>51</v>
      </c>
      <c r="H155" t="s">
        <v>100</v>
      </c>
      <c r="I155" t="s">
        <v>69</v>
      </c>
      <c r="J155" t="s">
        <v>101</v>
      </c>
      <c r="K155">
        <v>821015</v>
      </c>
      <c r="L155" t="s">
        <v>172</v>
      </c>
      <c r="M155" t="s">
        <v>173</v>
      </c>
      <c r="N155" t="s">
        <v>57</v>
      </c>
      <c r="O155" s="1">
        <v>45743</v>
      </c>
      <c r="Q155" s="1">
        <v>46230</v>
      </c>
      <c r="R155" s="2">
        <v>16.29</v>
      </c>
      <c r="S155">
        <v>1</v>
      </c>
      <c r="T155" t="s">
        <v>58</v>
      </c>
      <c r="U155" t="s">
        <v>246</v>
      </c>
      <c r="V155" s="3">
        <v>0.1</v>
      </c>
      <c r="W155" s="2">
        <v>0</v>
      </c>
      <c r="X155">
        <v>0</v>
      </c>
      <c r="Y155" t="s">
        <v>247</v>
      </c>
      <c r="Z155" t="s">
        <v>248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1.63</v>
      </c>
      <c r="AN155" s="2">
        <v>1.63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46202</v>
      </c>
      <c r="B156" t="s">
        <v>48</v>
      </c>
      <c r="C156">
        <v>649163</v>
      </c>
      <c r="D156">
        <v>2028958358</v>
      </c>
      <c r="E156" t="s">
        <v>380</v>
      </c>
      <c r="F156" t="s">
        <v>381</v>
      </c>
      <c r="G156" t="s">
        <v>51</v>
      </c>
      <c r="H156" t="s">
        <v>89</v>
      </c>
      <c r="I156" t="s">
        <v>69</v>
      </c>
      <c r="J156" t="s">
        <v>79</v>
      </c>
      <c r="K156">
        <v>673059</v>
      </c>
      <c r="L156" t="s">
        <v>102</v>
      </c>
      <c r="M156" t="s">
        <v>103</v>
      </c>
      <c r="N156" t="s">
        <v>257</v>
      </c>
      <c r="O156" s="1">
        <v>45793</v>
      </c>
      <c r="P156" s="1">
        <v>46202</v>
      </c>
      <c r="Q156" s="1">
        <v>46219</v>
      </c>
      <c r="R156" s="2">
        <v>-35.67</v>
      </c>
      <c r="S156">
        <v>1</v>
      </c>
      <c r="T156" t="s">
        <v>58</v>
      </c>
      <c r="U156" t="s">
        <v>246</v>
      </c>
      <c r="V156" s="3">
        <v>0.1</v>
      </c>
      <c r="W156" s="2">
        <v>0</v>
      </c>
      <c r="X156">
        <v>-1</v>
      </c>
      <c r="Y156" t="s">
        <v>247</v>
      </c>
      <c r="Z156" t="s">
        <v>248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-3.57</v>
      </c>
      <c r="AN156" s="2">
        <v>-3.57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46202</v>
      </c>
      <c r="B157" t="s">
        <v>48</v>
      </c>
      <c r="C157">
        <v>649163</v>
      </c>
      <c r="D157">
        <v>2030199536</v>
      </c>
      <c r="E157" t="s">
        <v>381</v>
      </c>
      <c r="F157" t="s">
        <v>382</v>
      </c>
      <c r="G157" t="s">
        <v>51</v>
      </c>
      <c r="H157" t="s">
        <v>84</v>
      </c>
      <c r="I157" t="s">
        <v>69</v>
      </c>
      <c r="J157" t="s">
        <v>70</v>
      </c>
      <c r="K157">
        <v>756418</v>
      </c>
      <c r="L157" t="s">
        <v>383</v>
      </c>
      <c r="M157" t="s">
        <v>384</v>
      </c>
      <c r="N157" t="s">
        <v>57</v>
      </c>
      <c r="O157" s="1">
        <v>45868</v>
      </c>
      <c r="Q157" s="1">
        <v>46233</v>
      </c>
      <c r="R157" s="2">
        <v>152.33000000000001</v>
      </c>
      <c r="S157">
        <v>1</v>
      </c>
      <c r="T157" t="s">
        <v>58</v>
      </c>
      <c r="U157" t="s">
        <v>246</v>
      </c>
      <c r="V157" s="3">
        <v>0.75</v>
      </c>
      <c r="W157" s="2">
        <v>0</v>
      </c>
      <c r="X157">
        <v>0</v>
      </c>
      <c r="Y157" t="s">
        <v>60</v>
      </c>
      <c r="Z157" t="s">
        <v>248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114.25</v>
      </c>
      <c r="AN157" s="2">
        <v>114.25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46202</v>
      </c>
      <c r="B158" t="s">
        <v>48</v>
      </c>
      <c r="C158">
        <v>649163</v>
      </c>
      <c r="D158">
        <v>2030366107</v>
      </c>
      <c r="E158" t="s">
        <v>385</v>
      </c>
      <c r="F158" t="s">
        <v>386</v>
      </c>
      <c r="G158" t="s">
        <v>51</v>
      </c>
      <c r="H158" t="s">
        <v>124</v>
      </c>
      <c r="I158" t="s">
        <v>69</v>
      </c>
      <c r="J158" t="s">
        <v>79</v>
      </c>
      <c r="K158">
        <v>651818</v>
      </c>
      <c r="L158" t="s">
        <v>210</v>
      </c>
      <c r="M158" t="s">
        <v>211</v>
      </c>
      <c r="N158" t="s">
        <v>257</v>
      </c>
      <c r="O158" s="1">
        <v>45878</v>
      </c>
      <c r="P158" s="1">
        <v>46202</v>
      </c>
      <c r="Q158" s="1">
        <v>46212</v>
      </c>
      <c r="R158" s="2">
        <v>-27.73</v>
      </c>
      <c r="S158">
        <v>1</v>
      </c>
      <c r="T158" t="s">
        <v>58</v>
      </c>
      <c r="U158" t="s">
        <v>246</v>
      </c>
      <c r="V158" s="3">
        <v>0.9</v>
      </c>
      <c r="W158" s="2">
        <v>0</v>
      </c>
      <c r="X158">
        <v>-1</v>
      </c>
      <c r="Y158" t="s">
        <v>60</v>
      </c>
      <c r="Z158" t="s">
        <v>248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-24.96</v>
      </c>
      <c r="AN158" s="2">
        <v>-24.96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46202</v>
      </c>
      <c r="B159" t="s">
        <v>48</v>
      </c>
      <c r="C159">
        <v>649163</v>
      </c>
      <c r="D159">
        <v>2030450006</v>
      </c>
      <c r="E159" t="s">
        <v>387</v>
      </c>
      <c r="F159" t="s">
        <v>388</v>
      </c>
      <c r="G159" t="s">
        <v>51</v>
      </c>
      <c r="H159" t="s">
        <v>146</v>
      </c>
      <c r="I159" t="s">
        <v>69</v>
      </c>
      <c r="J159" t="s">
        <v>79</v>
      </c>
      <c r="K159">
        <v>823068</v>
      </c>
      <c r="L159" t="s">
        <v>389</v>
      </c>
      <c r="M159" t="s">
        <v>390</v>
      </c>
      <c r="N159" t="s">
        <v>257</v>
      </c>
      <c r="O159" s="1">
        <v>45888</v>
      </c>
      <c r="P159" s="1">
        <v>46202</v>
      </c>
      <c r="Q159" s="1">
        <v>46222</v>
      </c>
      <c r="R159" s="2">
        <v>-32.79</v>
      </c>
      <c r="S159">
        <v>1</v>
      </c>
      <c r="T159" t="s">
        <v>58</v>
      </c>
      <c r="U159" t="s">
        <v>246</v>
      </c>
      <c r="V159" s="3">
        <v>0.9</v>
      </c>
      <c r="W159" s="2">
        <v>0</v>
      </c>
      <c r="X159">
        <v>-1</v>
      </c>
      <c r="Y159" t="s">
        <v>60</v>
      </c>
      <c r="Z159" t="s">
        <v>248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-29.51</v>
      </c>
      <c r="AN159" s="2">
        <v>-29.51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46202</v>
      </c>
      <c r="B160" t="s">
        <v>48</v>
      </c>
      <c r="C160">
        <v>649163</v>
      </c>
      <c r="D160">
        <v>2032220270</v>
      </c>
      <c r="E160" t="s">
        <v>391</v>
      </c>
      <c r="F160" t="s">
        <v>392</v>
      </c>
      <c r="G160" t="s">
        <v>51</v>
      </c>
      <c r="H160" t="s">
        <v>100</v>
      </c>
      <c r="I160" t="s">
        <v>69</v>
      </c>
      <c r="J160" t="s">
        <v>70</v>
      </c>
      <c r="K160">
        <v>651818</v>
      </c>
      <c r="L160" t="s">
        <v>210</v>
      </c>
      <c r="M160" t="s">
        <v>211</v>
      </c>
      <c r="N160" t="s">
        <v>57</v>
      </c>
      <c r="O160" s="1">
        <v>45992</v>
      </c>
      <c r="Q160" s="1">
        <v>46235</v>
      </c>
      <c r="R160" s="2">
        <v>49.27</v>
      </c>
      <c r="S160">
        <v>1</v>
      </c>
      <c r="T160" t="s">
        <v>58</v>
      </c>
      <c r="U160" t="s">
        <v>59</v>
      </c>
      <c r="V160" s="3">
        <v>0.75</v>
      </c>
      <c r="W160" s="2">
        <v>0</v>
      </c>
      <c r="X160">
        <v>0</v>
      </c>
      <c r="Y160" t="s">
        <v>60</v>
      </c>
      <c r="Z160" t="s">
        <v>248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36.950000000000003</v>
      </c>
      <c r="AN160" s="2">
        <v>36.950000000000003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46202</v>
      </c>
      <c r="B161" t="s">
        <v>48</v>
      </c>
      <c r="C161">
        <v>649163</v>
      </c>
      <c r="D161">
        <v>2032360822</v>
      </c>
      <c r="E161" t="s">
        <v>393</v>
      </c>
      <c r="F161" t="s">
        <v>394</v>
      </c>
      <c r="G161" t="s">
        <v>51</v>
      </c>
      <c r="H161" t="s">
        <v>94</v>
      </c>
      <c r="I161" t="s">
        <v>69</v>
      </c>
      <c r="J161" t="s">
        <v>70</v>
      </c>
      <c r="K161">
        <v>796984</v>
      </c>
      <c r="L161" t="s">
        <v>344</v>
      </c>
      <c r="M161" t="s">
        <v>171</v>
      </c>
      <c r="N161" t="s">
        <v>57</v>
      </c>
      <c r="O161" s="1">
        <v>46023</v>
      </c>
      <c r="Q161" s="1">
        <v>46235</v>
      </c>
      <c r="R161" s="2">
        <v>71.680000000000007</v>
      </c>
      <c r="S161">
        <v>1</v>
      </c>
      <c r="T161" t="s">
        <v>58</v>
      </c>
      <c r="U161" t="s">
        <v>59</v>
      </c>
      <c r="V161" s="3">
        <v>0.75</v>
      </c>
      <c r="W161" s="2">
        <v>0</v>
      </c>
      <c r="X161">
        <v>0</v>
      </c>
      <c r="Y161" t="s">
        <v>60</v>
      </c>
      <c r="Z161" t="s">
        <v>248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53.76</v>
      </c>
      <c r="AN161" s="2">
        <v>53.76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46202</v>
      </c>
      <c r="B162" t="s">
        <v>48</v>
      </c>
      <c r="C162">
        <v>649163</v>
      </c>
      <c r="D162">
        <v>2032398127</v>
      </c>
      <c r="E162" t="s">
        <v>395</v>
      </c>
      <c r="F162" t="s">
        <v>396</v>
      </c>
      <c r="G162" t="s">
        <v>51</v>
      </c>
      <c r="H162" t="s">
        <v>397</v>
      </c>
      <c r="I162" t="s">
        <v>69</v>
      </c>
      <c r="J162" t="s">
        <v>70</v>
      </c>
      <c r="K162">
        <v>813184</v>
      </c>
      <c r="L162" t="s">
        <v>398</v>
      </c>
      <c r="M162" t="s">
        <v>399</v>
      </c>
      <c r="N162" t="s">
        <v>57</v>
      </c>
      <c r="O162" s="1">
        <v>45990</v>
      </c>
      <c r="Q162" s="1">
        <v>46232</v>
      </c>
      <c r="R162" s="2">
        <v>85.15</v>
      </c>
      <c r="S162">
        <v>1</v>
      </c>
      <c r="T162" t="s">
        <v>58</v>
      </c>
      <c r="U162" t="s">
        <v>59</v>
      </c>
      <c r="V162" s="3">
        <v>0.75</v>
      </c>
      <c r="W162" s="2">
        <v>0</v>
      </c>
      <c r="X162">
        <v>0</v>
      </c>
      <c r="Y162" t="s">
        <v>60</v>
      </c>
      <c r="Z162" t="s">
        <v>248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63.86</v>
      </c>
      <c r="AN162" s="2">
        <v>63.86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46202</v>
      </c>
      <c r="B163" t="s">
        <v>48</v>
      </c>
      <c r="C163">
        <v>649163</v>
      </c>
      <c r="D163">
        <v>2032542234</v>
      </c>
      <c r="E163" t="s">
        <v>400</v>
      </c>
      <c r="F163" t="s">
        <v>401</v>
      </c>
      <c r="G163" t="s">
        <v>51</v>
      </c>
      <c r="H163" t="s">
        <v>124</v>
      </c>
      <c r="I163" t="s">
        <v>69</v>
      </c>
      <c r="J163" t="s">
        <v>79</v>
      </c>
      <c r="K163">
        <v>753748</v>
      </c>
      <c r="L163" t="s">
        <v>358</v>
      </c>
      <c r="M163" t="s">
        <v>359</v>
      </c>
      <c r="N163" t="s">
        <v>57</v>
      </c>
      <c r="O163" s="1">
        <v>46054</v>
      </c>
      <c r="Q163" s="1">
        <v>46235</v>
      </c>
      <c r="R163" s="2">
        <v>165.31</v>
      </c>
      <c r="S163">
        <v>1</v>
      </c>
      <c r="T163" t="s">
        <v>58</v>
      </c>
      <c r="U163" t="s">
        <v>59</v>
      </c>
      <c r="V163" s="3">
        <v>0.9</v>
      </c>
      <c r="W163" s="2">
        <v>0</v>
      </c>
      <c r="X163">
        <v>0</v>
      </c>
      <c r="Y163" t="s">
        <v>60</v>
      </c>
      <c r="Z163" t="s">
        <v>248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148.78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46202</v>
      </c>
      <c r="B164" t="s">
        <v>48</v>
      </c>
      <c r="C164">
        <v>649163</v>
      </c>
      <c r="D164">
        <v>2032554422</v>
      </c>
      <c r="E164" t="s">
        <v>402</v>
      </c>
      <c r="F164" t="s">
        <v>403</v>
      </c>
      <c r="G164" t="s">
        <v>51</v>
      </c>
      <c r="H164" t="s">
        <v>404</v>
      </c>
      <c r="I164" t="s">
        <v>69</v>
      </c>
      <c r="J164" t="s">
        <v>79</v>
      </c>
      <c r="K164">
        <v>753748</v>
      </c>
      <c r="L164" t="s">
        <v>358</v>
      </c>
      <c r="M164" t="s">
        <v>359</v>
      </c>
      <c r="N164" t="s">
        <v>57</v>
      </c>
      <c r="O164" s="1">
        <v>46023</v>
      </c>
      <c r="Q164" s="1">
        <v>46235</v>
      </c>
      <c r="R164" s="2">
        <v>206.87</v>
      </c>
      <c r="S164">
        <v>1</v>
      </c>
      <c r="T164" t="s">
        <v>58</v>
      </c>
      <c r="U164" t="s">
        <v>59</v>
      </c>
      <c r="V164" s="3">
        <v>0.9</v>
      </c>
      <c r="W164" s="2">
        <v>0</v>
      </c>
      <c r="X164">
        <v>0</v>
      </c>
      <c r="Y164" t="s">
        <v>60</v>
      </c>
      <c r="Z164" t="s">
        <v>248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186.18</v>
      </c>
      <c r="AN164" s="2">
        <v>186.18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46202</v>
      </c>
      <c r="B165" t="s">
        <v>48</v>
      </c>
      <c r="C165">
        <v>649163</v>
      </c>
      <c r="D165">
        <v>2032622443</v>
      </c>
      <c r="E165" t="s">
        <v>405</v>
      </c>
      <c r="F165" t="s">
        <v>406</v>
      </c>
      <c r="G165" t="s">
        <v>51</v>
      </c>
      <c r="H165" t="s">
        <v>89</v>
      </c>
      <c r="I165" t="s">
        <v>69</v>
      </c>
      <c r="J165" t="s">
        <v>70</v>
      </c>
      <c r="K165">
        <v>823350</v>
      </c>
      <c r="L165" t="s">
        <v>113</v>
      </c>
      <c r="M165" t="s">
        <v>114</v>
      </c>
      <c r="N165" t="s">
        <v>57</v>
      </c>
      <c r="O165" s="1">
        <v>46019</v>
      </c>
      <c r="Q165" s="1">
        <v>46231</v>
      </c>
      <c r="R165" s="2">
        <v>78.430000000000007</v>
      </c>
      <c r="S165">
        <v>1</v>
      </c>
      <c r="T165" t="s">
        <v>58</v>
      </c>
      <c r="U165" t="s">
        <v>59</v>
      </c>
      <c r="V165" s="3">
        <v>0.75</v>
      </c>
      <c r="W165" s="2">
        <v>0</v>
      </c>
      <c r="X165">
        <v>0</v>
      </c>
      <c r="Y165" t="s">
        <v>60</v>
      </c>
      <c r="Z165" t="s">
        <v>248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58.82</v>
      </c>
      <c r="AN165" s="2">
        <v>58.82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46202</v>
      </c>
      <c r="B166" t="s">
        <v>48</v>
      </c>
      <c r="C166">
        <v>649163</v>
      </c>
      <c r="D166">
        <v>2032626950</v>
      </c>
      <c r="E166" t="s">
        <v>407</v>
      </c>
      <c r="F166" t="s">
        <v>408</v>
      </c>
      <c r="G166" t="s">
        <v>51</v>
      </c>
      <c r="H166" t="s">
        <v>89</v>
      </c>
      <c r="I166" t="s">
        <v>69</v>
      </c>
      <c r="J166" t="s">
        <v>338</v>
      </c>
      <c r="K166">
        <v>673059</v>
      </c>
      <c r="L166" t="s">
        <v>102</v>
      </c>
      <c r="M166" t="s">
        <v>103</v>
      </c>
      <c r="N166" t="s">
        <v>57</v>
      </c>
      <c r="O166" s="1">
        <v>46023</v>
      </c>
      <c r="Q166" s="1">
        <v>46235</v>
      </c>
      <c r="R166" s="2">
        <v>22.3</v>
      </c>
      <c r="S166">
        <v>1</v>
      </c>
      <c r="T166" t="s">
        <v>58</v>
      </c>
      <c r="U166" t="s">
        <v>59</v>
      </c>
      <c r="V166" s="3">
        <v>0.75</v>
      </c>
      <c r="W166" s="2">
        <v>0</v>
      </c>
      <c r="X166">
        <v>0</v>
      </c>
      <c r="Y166" t="s">
        <v>60</v>
      </c>
      <c r="Z166" t="s">
        <v>248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16.72</v>
      </c>
      <c r="AN166" s="2">
        <v>16.72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46202</v>
      </c>
      <c r="B167" t="s">
        <v>48</v>
      </c>
      <c r="C167">
        <v>649163</v>
      </c>
      <c r="D167">
        <v>2032725734</v>
      </c>
      <c r="E167" t="s">
        <v>409</v>
      </c>
      <c r="F167" t="s">
        <v>243</v>
      </c>
      <c r="G167" t="s">
        <v>51</v>
      </c>
      <c r="H167" t="s">
        <v>146</v>
      </c>
      <c r="I167" t="s">
        <v>69</v>
      </c>
      <c r="J167" t="s">
        <v>79</v>
      </c>
      <c r="K167">
        <v>823068</v>
      </c>
      <c r="L167" t="s">
        <v>389</v>
      </c>
      <c r="M167" t="s">
        <v>390</v>
      </c>
      <c r="N167" t="s">
        <v>57</v>
      </c>
      <c r="O167" s="1">
        <v>46019</v>
      </c>
      <c r="Q167" s="1">
        <v>46231</v>
      </c>
      <c r="R167" s="2">
        <v>71.010000000000005</v>
      </c>
      <c r="S167">
        <v>1</v>
      </c>
      <c r="T167" t="s">
        <v>58</v>
      </c>
      <c r="U167" t="s">
        <v>59</v>
      </c>
      <c r="V167" s="3">
        <v>0.9</v>
      </c>
      <c r="W167" s="2">
        <v>0</v>
      </c>
      <c r="X167">
        <v>0</v>
      </c>
      <c r="Y167" t="s">
        <v>60</v>
      </c>
      <c r="Z167" t="s">
        <v>248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63.91</v>
      </c>
      <c r="AN167" s="2">
        <v>63.91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46202</v>
      </c>
      <c r="B168" t="s">
        <v>48</v>
      </c>
      <c r="C168">
        <v>649163</v>
      </c>
      <c r="D168">
        <v>2032827917</v>
      </c>
      <c r="E168" t="s">
        <v>410</v>
      </c>
      <c r="F168" t="s">
        <v>411</v>
      </c>
      <c r="G168" t="s">
        <v>51</v>
      </c>
      <c r="H168" t="s">
        <v>332</v>
      </c>
      <c r="I168" t="s">
        <v>69</v>
      </c>
      <c r="J168" t="s">
        <v>412</v>
      </c>
      <c r="K168">
        <v>673059</v>
      </c>
      <c r="L168" t="s">
        <v>102</v>
      </c>
      <c r="M168" t="s">
        <v>103</v>
      </c>
      <c r="N168" t="s">
        <v>57</v>
      </c>
      <c r="O168" s="1">
        <v>46054</v>
      </c>
      <c r="Q168" s="1">
        <v>46235</v>
      </c>
      <c r="R168" s="2">
        <v>6.39</v>
      </c>
      <c r="S168">
        <v>1</v>
      </c>
      <c r="T168" t="s">
        <v>58</v>
      </c>
      <c r="U168" t="s">
        <v>59</v>
      </c>
      <c r="V168" s="3">
        <v>0.75</v>
      </c>
      <c r="W168" s="2">
        <v>0</v>
      </c>
      <c r="X168">
        <v>0</v>
      </c>
      <c r="Y168" t="s">
        <v>60</v>
      </c>
      <c r="Z168" t="s">
        <v>248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4.79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46202</v>
      </c>
      <c r="B169" t="s">
        <v>48</v>
      </c>
      <c r="C169">
        <v>649163</v>
      </c>
      <c r="D169">
        <v>2032875251</v>
      </c>
      <c r="E169" t="s">
        <v>413</v>
      </c>
      <c r="F169" t="s">
        <v>414</v>
      </c>
      <c r="G169" t="s">
        <v>51</v>
      </c>
      <c r="H169" t="s">
        <v>146</v>
      </c>
      <c r="I169" t="s">
        <v>69</v>
      </c>
      <c r="J169" t="s">
        <v>79</v>
      </c>
      <c r="K169">
        <v>823068</v>
      </c>
      <c r="L169" t="s">
        <v>389</v>
      </c>
      <c r="M169" t="s">
        <v>390</v>
      </c>
      <c r="N169" t="s">
        <v>57</v>
      </c>
      <c r="O169" s="1">
        <v>46021</v>
      </c>
      <c r="Q169" s="1">
        <v>46233</v>
      </c>
      <c r="R169" s="2">
        <v>209.96</v>
      </c>
      <c r="S169">
        <v>1</v>
      </c>
      <c r="T169" t="s">
        <v>58</v>
      </c>
      <c r="U169" t="s">
        <v>59</v>
      </c>
      <c r="V169" s="3">
        <v>0.9</v>
      </c>
      <c r="W169" s="2">
        <v>0</v>
      </c>
      <c r="X169">
        <v>0</v>
      </c>
      <c r="Y169" t="s">
        <v>60</v>
      </c>
      <c r="Z169" t="s">
        <v>248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188.96</v>
      </c>
      <c r="AN169" s="2">
        <v>188.96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46202</v>
      </c>
      <c r="B170" t="s">
        <v>48</v>
      </c>
      <c r="C170">
        <v>649163</v>
      </c>
      <c r="D170">
        <v>2032877023</v>
      </c>
      <c r="E170" t="s">
        <v>415</v>
      </c>
      <c r="F170" t="s">
        <v>175</v>
      </c>
      <c r="G170" t="s">
        <v>51</v>
      </c>
      <c r="H170" t="s">
        <v>146</v>
      </c>
      <c r="I170" t="s">
        <v>69</v>
      </c>
      <c r="J170" t="s">
        <v>79</v>
      </c>
      <c r="K170">
        <v>823068</v>
      </c>
      <c r="L170" t="s">
        <v>389</v>
      </c>
      <c r="M170" t="s">
        <v>390</v>
      </c>
      <c r="N170" t="s">
        <v>57</v>
      </c>
      <c r="O170" s="1">
        <v>46021</v>
      </c>
      <c r="Q170" s="1">
        <v>46233</v>
      </c>
      <c r="R170" s="2">
        <v>67.42</v>
      </c>
      <c r="S170">
        <v>1</v>
      </c>
      <c r="T170" t="s">
        <v>58</v>
      </c>
      <c r="U170" t="s">
        <v>59</v>
      </c>
      <c r="V170" s="3">
        <v>0.9</v>
      </c>
      <c r="W170" s="2">
        <v>0</v>
      </c>
      <c r="X170">
        <v>0</v>
      </c>
      <c r="Y170" t="s">
        <v>60</v>
      </c>
      <c r="Z170" t="s">
        <v>248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60.68</v>
      </c>
      <c r="AN170" s="2">
        <v>60.68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46202</v>
      </c>
      <c r="B171" t="s">
        <v>48</v>
      </c>
      <c r="C171">
        <v>649163</v>
      </c>
      <c r="D171">
        <v>2032948957</v>
      </c>
      <c r="E171" t="s">
        <v>416</v>
      </c>
      <c r="F171" t="s">
        <v>187</v>
      </c>
      <c r="G171" t="s">
        <v>51</v>
      </c>
      <c r="H171" t="s">
        <v>167</v>
      </c>
      <c r="I171" t="s">
        <v>69</v>
      </c>
      <c r="J171" t="s">
        <v>79</v>
      </c>
      <c r="K171">
        <v>753748</v>
      </c>
      <c r="L171" t="s">
        <v>358</v>
      </c>
      <c r="M171" t="s">
        <v>359</v>
      </c>
      <c r="N171" t="s">
        <v>57</v>
      </c>
      <c r="O171" s="1">
        <v>46054</v>
      </c>
      <c r="Q171" s="1">
        <v>46235</v>
      </c>
      <c r="R171" s="2">
        <v>129.5</v>
      </c>
      <c r="S171">
        <v>1</v>
      </c>
      <c r="T171" t="s">
        <v>58</v>
      </c>
      <c r="U171" t="s">
        <v>59</v>
      </c>
      <c r="V171" s="3">
        <v>0.9</v>
      </c>
      <c r="W171" s="2">
        <v>0</v>
      </c>
      <c r="X171">
        <v>0</v>
      </c>
      <c r="Y171" t="s">
        <v>60</v>
      </c>
      <c r="Z171" t="s">
        <v>248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116.55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46202</v>
      </c>
      <c r="B172" t="s">
        <v>48</v>
      </c>
      <c r="C172">
        <v>649163</v>
      </c>
      <c r="D172">
        <v>2032954748</v>
      </c>
      <c r="E172" t="s">
        <v>417</v>
      </c>
      <c r="F172" t="s">
        <v>418</v>
      </c>
      <c r="G172" t="s">
        <v>51</v>
      </c>
      <c r="H172" t="s">
        <v>68</v>
      </c>
      <c r="I172" t="s">
        <v>69</v>
      </c>
      <c r="J172" t="s">
        <v>338</v>
      </c>
      <c r="K172">
        <v>753748</v>
      </c>
      <c r="L172" t="s">
        <v>358</v>
      </c>
      <c r="M172" t="s">
        <v>359</v>
      </c>
      <c r="N172" t="s">
        <v>57</v>
      </c>
      <c r="O172" s="1">
        <v>46054</v>
      </c>
      <c r="Q172" s="1">
        <v>46235</v>
      </c>
      <c r="R172" s="2">
        <v>52.98</v>
      </c>
      <c r="S172">
        <v>1</v>
      </c>
      <c r="T172" t="s">
        <v>58</v>
      </c>
      <c r="U172" t="s">
        <v>59</v>
      </c>
      <c r="V172" s="3">
        <v>0.75</v>
      </c>
      <c r="W172" s="2">
        <v>0</v>
      </c>
      <c r="X172">
        <v>0</v>
      </c>
      <c r="Y172" t="s">
        <v>60</v>
      </c>
      <c r="Z172" t="s">
        <v>248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39.74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46202</v>
      </c>
      <c r="B173" t="s">
        <v>48</v>
      </c>
      <c r="C173">
        <v>649163</v>
      </c>
      <c r="D173">
        <v>2032959559</v>
      </c>
      <c r="E173" t="s">
        <v>419</v>
      </c>
      <c r="F173" t="s">
        <v>420</v>
      </c>
      <c r="G173" t="s">
        <v>51</v>
      </c>
      <c r="H173" t="s">
        <v>200</v>
      </c>
      <c r="I173" t="s">
        <v>69</v>
      </c>
      <c r="J173" t="s">
        <v>70</v>
      </c>
      <c r="K173">
        <v>673059</v>
      </c>
      <c r="L173" t="s">
        <v>102</v>
      </c>
      <c r="M173" t="s">
        <v>103</v>
      </c>
      <c r="N173" t="s">
        <v>57</v>
      </c>
      <c r="O173" s="1">
        <v>46054</v>
      </c>
      <c r="Q173" s="1">
        <v>46235</v>
      </c>
      <c r="R173" s="2">
        <v>34.46</v>
      </c>
      <c r="S173">
        <v>1</v>
      </c>
      <c r="T173" t="s">
        <v>58</v>
      </c>
      <c r="U173" t="s">
        <v>59</v>
      </c>
      <c r="V173" s="3">
        <v>0.75</v>
      </c>
      <c r="W173" s="2">
        <v>0</v>
      </c>
      <c r="X173">
        <v>0</v>
      </c>
      <c r="Y173" t="s">
        <v>60</v>
      </c>
      <c r="Z173" t="s">
        <v>248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25.84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46202</v>
      </c>
      <c r="B174" t="s">
        <v>48</v>
      </c>
      <c r="C174">
        <v>649163</v>
      </c>
      <c r="D174">
        <v>2032959578</v>
      </c>
      <c r="E174" t="s">
        <v>421</v>
      </c>
      <c r="F174" t="s">
        <v>422</v>
      </c>
      <c r="G174" t="s">
        <v>51</v>
      </c>
      <c r="H174" t="s">
        <v>94</v>
      </c>
      <c r="I174" t="s">
        <v>69</v>
      </c>
      <c r="J174" t="s">
        <v>70</v>
      </c>
      <c r="K174">
        <v>753748</v>
      </c>
      <c r="L174" t="s">
        <v>358</v>
      </c>
      <c r="M174" t="s">
        <v>359</v>
      </c>
      <c r="N174" t="s">
        <v>57</v>
      </c>
      <c r="O174" s="1">
        <v>46054</v>
      </c>
      <c r="Q174" s="1">
        <v>46235</v>
      </c>
      <c r="R174" s="2">
        <v>34.659999999999997</v>
      </c>
      <c r="S174">
        <v>1</v>
      </c>
      <c r="T174" t="s">
        <v>58</v>
      </c>
      <c r="U174" t="s">
        <v>59</v>
      </c>
      <c r="V174" s="3">
        <v>0.75</v>
      </c>
      <c r="W174" s="2">
        <v>0</v>
      </c>
      <c r="X174">
        <v>0</v>
      </c>
      <c r="Y174" t="s">
        <v>60</v>
      </c>
      <c r="Z174" t="s">
        <v>248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26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46202</v>
      </c>
      <c r="B175" t="s">
        <v>48</v>
      </c>
      <c r="C175">
        <v>649163</v>
      </c>
      <c r="D175">
        <v>2032984364</v>
      </c>
      <c r="E175" t="s">
        <v>423</v>
      </c>
      <c r="F175" t="s">
        <v>424</v>
      </c>
      <c r="G175" t="s">
        <v>51</v>
      </c>
      <c r="H175" t="s">
        <v>425</v>
      </c>
      <c r="I175" t="s">
        <v>69</v>
      </c>
      <c r="J175" t="s">
        <v>79</v>
      </c>
      <c r="K175">
        <v>753748</v>
      </c>
      <c r="L175" t="s">
        <v>358</v>
      </c>
      <c r="M175" t="s">
        <v>359</v>
      </c>
      <c r="N175" t="s">
        <v>57</v>
      </c>
      <c r="O175" s="1">
        <v>46054</v>
      </c>
      <c r="Q175" s="1">
        <v>46235</v>
      </c>
      <c r="R175" s="2">
        <v>110.12</v>
      </c>
      <c r="S175">
        <v>1</v>
      </c>
      <c r="T175" t="s">
        <v>58</v>
      </c>
      <c r="U175" t="s">
        <v>59</v>
      </c>
      <c r="V175" s="3">
        <v>0.9</v>
      </c>
      <c r="W175" s="2">
        <v>0</v>
      </c>
      <c r="X175">
        <v>0</v>
      </c>
      <c r="Y175" t="s">
        <v>60</v>
      </c>
      <c r="Z175" t="s">
        <v>248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99.11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46202</v>
      </c>
      <c r="B176" t="s">
        <v>48</v>
      </c>
      <c r="C176">
        <v>649163</v>
      </c>
      <c r="D176">
        <v>2032987594</v>
      </c>
      <c r="E176" t="s">
        <v>426</v>
      </c>
      <c r="F176" t="s">
        <v>427</v>
      </c>
      <c r="G176" t="s">
        <v>51</v>
      </c>
      <c r="H176" t="s">
        <v>143</v>
      </c>
      <c r="I176" t="s">
        <v>69</v>
      </c>
      <c r="J176" t="s">
        <v>79</v>
      </c>
      <c r="K176">
        <v>673059</v>
      </c>
      <c r="L176" t="s">
        <v>102</v>
      </c>
      <c r="M176" t="s">
        <v>103</v>
      </c>
      <c r="N176" t="s">
        <v>57</v>
      </c>
      <c r="O176" s="1">
        <v>46054</v>
      </c>
      <c r="Q176" s="1">
        <v>46235</v>
      </c>
      <c r="R176" s="2">
        <v>43.66</v>
      </c>
      <c r="S176">
        <v>1</v>
      </c>
      <c r="T176" t="s">
        <v>58</v>
      </c>
      <c r="U176" t="s">
        <v>59</v>
      </c>
      <c r="V176" s="3">
        <v>0.9</v>
      </c>
      <c r="W176" s="2">
        <v>0</v>
      </c>
      <c r="X176">
        <v>0</v>
      </c>
      <c r="Y176" t="s">
        <v>60</v>
      </c>
      <c r="Z176" t="s">
        <v>248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39.29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46202</v>
      </c>
      <c r="B177" t="s">
        <v>48</v>
      </c>
      <c r="C177">
        <v>649163</v>
      </c>
      <c r="D177">
        <v>2032992400</v>
      </c>
      <c r="E177" t="s">
        <v>428</v>
      </c>
      <c r="F177" t="s">
        <v>429</v>
      </c>
      <c r="G177" t="s">
        <v>51</v>
      </c>
      <c r="H177" t="s">
        <v>167</v>
      </c>
      <c r="I177" t="s">
        <v>69</v>
      </c>
      <c r="J177" t="s">
        <v>79</v>
      </c>
      <c r="K177">
        <v>753748</v>
      </c>
      <c r="L177" t="s">
        <v>358</v>
      </c>
      <c r="M177" t="s">
        <v>359</v>
      </c>
      <c r="N177" t="s">
        <v>57</v>
      </c>
      <c r="O177" s="1">
        <v>46054</v>
      </c>
      <c r="Q177" s="1">
        <v>46235</v>
      </c>
      <c r="R177" s="2">
        <v>175</v>
      </c>
      <c r="S177">
        <v>1</v>
      </c>
      <c r="T177" t="s">
        <v>58</v>
      </c>
      <c r="U177" t="s">
        <v>59</v>
      </c>
      <c r="V177" s="3">
        <v>0.9</v>
      </c>
      <c r="W177" s="2">
        <v>0</v>
      </c>
      <c r="X177">
        <v>0</v>
      </c>
      <c r="Y177" t="s">
        <v>60</v>
      </c>
      <c r="Z177" t="s">
        <v>248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157.5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46202</v>
      </c>
      <c r="B178" t="s">
        <v>48</v>
      </c>
      <c r="C178">
        <v>649163</v>
      </c>
      <c r="D178">
        <v>2033010311</v>
      </c>
      <c r="E178" t="s">
        <v>430</v>
      </c>
      <c r="F178" t="s">
        <v>431</v>
      </c>
      <c r="G178" t="s">
        <v>51</v>
      </c>
      <c r="H178" t="s">
        <v>89</v>
      </c>
      <c r="I178" t="s">
        <v>69</v>
      </c>
      <c r="J178" t="s">
        <v>70</v>
      </c>
      <c r="K178">
        <v>823350</v>
      </c>
      <c r="L178" t="s">
        <v>113</v>
      </c>
      <c r="M178" t="s">
        <v>114</v>
      </c>
      <c r="N178" t="s">
        <v>257</v>
      </c>
      <c r="O178" s="1">
        <v>46032</v>
      </c>
      <c r="P178" s="1">
        <v>46202</v>
      </c>
      <c r="Q178" s="1">
        <v>46213</v>
      </c>
      <c r="R178" s="2">
        <v>-9.2899999999999991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-1</v>
      </c>
      <c r="Y178" t="s">
        <v>60</v>
      </c>
      <c r="Z178" t="s">
        <v>248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-6.97</v>
      </c>
      <c r="AN178" s="2">
        <v>-6.97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46202</v>
      </c>
      <c r="B179" t="s">
        <v>48</v>
      </c>
      <c r="C179">
        <v>649163</v>
      </c>
      <c r="D179">
        <v>2033013432</v>
      </c>
      <c r="E179" t="s">
        <v>432</v>
      </c>
      <c r="F179" t="s">
        <v>433</v>
      </c>
      <c r="G179" t="s">
        <v>51</v>
      </c>
      <c r="H179" t="s">
        <v>434</v>
      </c>
      <c r="I179" t="s">
        <v>69</v>
      </c>
      <c r="J179" t="s">
        <v>70</v>
      </c>
      <c r="K179">
        <v>753748</v>
      </c>
      <c r="L179" t="s">
        <v>358</v>
      </c>
      <c r="M179" t="s">
        <v>359</v>
      </c>
      <c r="N179" t="s">
        <v>57</v>
      </c>
      <c r="O179" s="1">
        <v>46054</v>
      </c>
      <c r="Q179" s="1">
        <v>46235</v>
      </c>
      <c r="R179" s="2">
        <v>76.3</v>
      </c>
      <c r="S179">
        <v>1</v>
      </c>
      <c r="T179" t="s">
        <v>58</v>
      </c>
      <c r="U179" t="s">
        <v>59</v>
      </c>
      <c r="V179" s="3">
        <v>0.75</v>
      </c>
      <c r="W179" s="2">
        <v>0</v>
      </c>
      <c r="X179">
        <v>0</v>
      </c>
      <c r="Y179" t="s">
        <v>60</v>
      </c>
      <c r="Z179" t="s">
        <v>248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57.22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46202</v>
      </c>
      <c r="B180" t="s">
        <v>48</v>
      </c>
      <c r="C180">
        <v>649163</v>
      </c>
      <c r="D180">
        <v>2033017016</v>
      </c>
      <c r="E180" t="s">
        <v>435</v>
      </c>
      <c r="F180" t="s">
        <v>205</v>
      </c>
      <c r="G180" t="s">
        <v>51</v>
      </c>
      <c r="H180" t="s">
        <v>425</v>
      </c>
      <c r="I180" t="s">
        <v>69</v>
      </c>
      <c r="J180" t="s">
        <v>79</v>
      </c>
      <c r="K180">
        <v>753748</v>
      </c>
      <c r="L180" t="s">
        <v>358</v>
      </c>
      <c r="M180" t="s">
        <v>359</v>
      </c>
      <c r="N180" t="s">
        <v>57</v>
      </c>
      <c r="O180" s="1">
        <v>46054</v>
      </c>
      <c r="Q180" s="1">
        <v>46235</v>
      </c>
      <c r="R180" s="2">
        <v>64.42</v>
      </c>
      <c r="S180">
        <v>1</v>
      </c>
      <c r="T180" t="s">
        <v>58</v>
      </c>
      <c r="U180" t="s">
        <v>59</v>
      </c>
      <c r="V180" s="3">
        <v>0.9</v>
      </c>
      <c r="W180" s="2">
        <v>0</v>
      </c>
      <c r="X180">
        <v>0</v>
      </c>
      <c r="Y180" t="s">
        <v>60</v>
      </c>
      <c r="Z180" t="s">
        <v>248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57.98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46202</v>
      </c>
      <c r="B181" t="s">
        <v>48</v>
      </c>
      <c r="C181">
        <v>649163</v>
      </c>
      <c r="D181">
        <v>2033020520</v>
      </c>
      <c r="E181" t="s">
        <v>436</v>
      </c>
      <c r="F181" t="s">
        <v>437</v>
      </c>
      <c r="G181" t="s">
        <v>51</v>
      </c>
      <c r="H181" t="s">
        <v>143</v>
      </c>
      <c r="I181" t="s">
        <v>69</v>
      </c>
      <c r="J181" t="s">
        <v>338</v>
      </c>
      <c r="K181">
        <v>673059</v>
      </c>
      <c r="L181" t="s">
        <v>102</v>
      </c>
      <c r="M181" t="s">
        <v>103</v>
      </c>
      <c r="N181" t="s">
        <v>57</v>
      </c>
      <c r="O181" s="1">
        <v>46054</v>
      </c>
      <c r="Q181" s="1">
        <v>46235</v>
      </c>
      <c r="R181" s="2">
        <v>29.5</v>
      </c>
      <c r="S181">
        <v>1</v>
      </c>
      <c r="T181" t="s">
        <v>58</v>
      </c>
      <c r="U181" t="s">
        <v>59</v>
      </c>
      <c r="V181" s="3">
        <v>0.75</v>
      </c>
      <c r="W181" s="2">
        <v>0</v>
      </c>
      <c r="X181">
        <v>0</v>
      </c>
      <c r="Y181" t="s">
        <v>60</v>
      </c>
      <c r="Z181" t="s">
        <v>248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22.12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46202</v>
      </c>
      <c r="B182" t="s">
        <v>48</v>
      </c>
      <c r="C182">
        <v>649163</v>
      </c>
      <c r="D182">
        <v>2033025112</v>
      </c>
      <c r="E182" t="s">
        <v>438</v>
      </c>
      <c r="F182" t="s">
        <v>250</v>
      </c>
      <c r="G182" t="s">
        <v>51</v>
      </c>
      <c r="H182" t="s">
        <v>89</v>
      </c>
      <c r="I182" t="s">
        <v>69</v>
      </c>
      <c r="J182" t="s">
        <v>79</v>
      </c>
      <c r="K182">
        <v>673059</v>
      </c>
      <c r="L182" t="s">
        <v>102</v>
      </c>
      <c r="M182" t="s">
        <v>103</v>
      </c>
      <c r="N182" t="s">
        <v>57</v>
      </c>
      <c r="O182" s="1">
        <v>46054</v>
      </c>
      <c r="Q182" s="1">
        <v>46235</v>
      </c>
      <c r="R182" s="2">
        <v>68.16</v>
      </c>
      <c r="S182">
        <v>1</v>
      </c>
      <c r="T182" t="s">
        <v>58</v>
      </c>
      <c r="U182" t="s">
        <v>59</v>
      </c>
      <c r="V182" s="3">
        <v>0.9</v>
      </c>
      <c r="W182" s="2">
        <v>0</v>
      </c>
      <c r="X182">
        <v>0</v>
      </c>
      <c r="Y182" t="s">
        <v>60</v>
      </c>
      <c r="Z182" t="s">
        <v>248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61.34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46202</v>
      </c>
      <c r="B183" t="s">
        <v>48</v>
      </c>
      <c r="C183">
        <v>649163</v>
      </c>
      <c r="D183">
        <v>2033035526</v>
      </c>
      <c r="E183" t="s">
        <v>439</v>
      </c>
      <c r="F183" t="s">
        <v>440</v>
      </c>
      <c r="G183" t="s">
        <v>51</v>
      </c>
      <c r="H183" t="s">
        <v>143</v>
      </c>
      <c r="I183" t="s">
        <v>69</v>
      </c>
      <c r="J183" t="s">
        <v>79</v>
      </c>
      <c r="K183">
        <v>753748</v>
      </c>
      <c r="L183" t="s">
        <v>358</v>
      </c>
      <c r="M183" t="s">
        <v>359</v>
      </c>
      <c r="N183" t="s">
        <v>57</v>
      </c>
      <c r="O183" s="1">
        <v>46054</v>
      </c>
      <c r="Q183" s="1">
        <v>46235</v>
      </c>
      <c r="R183" s="2">
        <v>143.16</v>
      </c>
      <c r="S183">
        <v>1</v>
      </c>
      <c r="T183" t="s">
        <v>58</v>
      </c>
      <c r="U183" t="s">
        <v>59</v>
      </c>
      <c r="V183" s="3">
        <v>0.9</v>
      </c>
      <c r="W183" s="2">
        <v>0</v>
      </c>
      <c r="X183">
        <v>0</v>
      </c>
      <c r="Y183" t="s">
        <v>60</v>
      </c>
      <c r="Z183" t="s">
        <v>248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128.84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46202</v>
      </c>
      <c r="B184" t="s">
        <v>48</v>
      </c>
      <c r="C184">
        <v>649163</v>
      </c>
      <c r="D184">
        <v>2033051157</v>
      </c>
      <c r="E184" t="s">
        <v>179</v>
      </c>
      <c r="F184" t="s">
        <v>441</v>
      </c>
      <c r="G184" t="s">
        <v>51</v>
      </c>
      <c r="H184" t="s">
        <v>425</v>
      </c>
      <c r="I184" t="s">
        <v>69</v>
      </c>
      <c r="J184" t="s">
        <v>79</v>
      </c>
      <c r="K184">
        <v>753748</v>
      </c>
      <c r="L184" t="s">
        <v>358</v>
      </c>
      <c r="M184" t="s">
        <v>359</v>
      </c>
      <c r="N184" t="s">
        <v>57</v>
      </c>
      <c r="O184" s="1">
        <v>46054</v>
      </c>
      <c r="Q184" s="1">
        <v>46235</v>
      </c>
      <c r="R184" s="2">
        <v>257.75</v>
      </c>
      <c r="S184">
        <v>1</v>
      </c>
      <c r="T184" t="s">
        <v>58</v>
      </c>
      <c r="U184" t="s">
        <v>59</v>
      </c>
      <c r="V184" s="3">
        <v>0.9</v>
      </c>
      <c r="W184" s="2">
        <v>0</v>
      </c>
      <c r="X184">
        <v>0</v>
      </c>
      <c r="Y184" t="s">
        <v>60</v>
      </c>
      <c r="Z184" t="s">
        <v>248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231.98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46202</v>
      </c>
      <c r="B185" t="s">
        <v>48</v>
      </c>
      <c r="C185">
        <v>649163</v>
      </c>
      <c r="D185">
        <v>2033053980</v>
      </c>
      <c r="E185" t="s">
        <v>442</v>
      </c>
      <c r="F185" t="s">
        <v>443</v>
      </c>
      <c r="G185" t="s">
        <v>51</v>
      </c>
      <c r="H185" t="s">
        <v>332</v>
      </c>
      <c r="I185" t="s">
        <v>69</v>
      </c>
      <c r="J185" t="s">
        <v>79</v>
      </c>
      <c r="K185">
        <v>824062</v>
      </c>
      <c r="L185" t="s">
        <v>90</v>
      </c>
      <c r="M185" t="s">
        <v>91</v>
      </c>
      <c r="N185" t="s">
        <v>57</v>
      </c>
      <c r="O185" s="1">
        <v>46054</v>
      </c>
      <c r="Q185" s="1">
        <v>46235</v>
      </c>
      <c r="R185" s="2">
        <v>306.13</v>
      </c>
      <c r="S185">
        <v>1</v>
      </c>
      <c r="T185" t="s">
        <v>58</v>
      </c>
      <c r="U185" t="s">
        <v>59</v>
      </c>
      <c r="V185" s="3">
        <v>0.9</v>
      </c>
      <c r="W185" s="2">
        <v>0</v>
      </c>
      <c r="X185">
        <v>0</v>
      </c>
      <c r="Y185" t="s">
        <v>60</v>
      </c>
      <c r="Z185" t="s">
        <v>248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275.52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46202</v>
      </c>
      <c r="B186" t="s">
        <v>48</v>
      </c>
      <c r="C186">
        <v>649163</v>
      </c>
      <c r="D186">
        <v>2033055077</v>
      </c>
      <c r="E186" t="s">
        <v>444</v>
      </c>
      <c r="F186" t="s">
        <v>445</v>
      </c>
      <c r="G186" t="s">
        <v>51</v>
      </c>
      <c r="H186" t="s">
        <v>425</v>
      </c>
      <c r="I186" t="s">
        <v>69</v>
      </c>
      <c r="J186" t="s">
        <v>79</v>
      </c>
      <c r="K186">
        <v>753748</v>
      </c>
      <c r="L186" t="s">
        <v>358</v>
      </c>
      <c r="M186" t="s">
        <v>359</v>
      </c>
      <c r="N186" t="s">
        <v>57</v>
      </c>
      <c r="O186" s="1">
        <v>46054</v>
      </c>
      <c r="Q186" s="1">
        <v>46235</v>
      </c>
      <c r="R186" s="2">
        <v>74.91</v>
      </c>
      <c r="S186">
        <v>1</v>
      </c>
      <c r="T186" t="s">
        <v>58</v>
      </c>
      <c r="U186" t="s">
        <v>59</v>
      </c>
      <c r="V186" s="3">
        <v>0.9</v>
      </c>
      <c r="W186" s="2">
        <v>0</v>
      </c>
      <c r="X186">
        <v>0</v>
      </c>
      <c r="Y186" t="s">
        <v>60</v>
      </c>
      <c r="Z186" t="s">
        <v>248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67.42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46202</v>
      </c>
      <c r="B187" t="s">
        <v>48</v>
      </c>
      <c r="C187">
        <v>649163</v>
      </c>
      <c r="D187">
        <v>2033057791</v>
      </c>
      <c r="E187" t="s">
        <v>446</v>
      </c>
      <c r="F187" t="s">
        <v>433</v>
      </c>
      <c r="G187" t="s">
        <v>51</v>
      </c>
      <c r="H187" t="s">
        <v>89</v>
      </c>
      <c r="I187" t="s">
        <v>69</v>
      </c>
      <c r="J187" t="s">
        <v>70</v>
      </c>
      <c r="K187">
        <v>673059</v>
      </c>
      <c r="L187" t="s">
        <v>102</v>
      </c>
      <c r="M187" t="s">
        <v>103</v>
      </c>
      <c r="N187" t="s">
        <v>57</v>
      </c>
      <c r="O187" s="1">
        <v>46054</v>
      </c>
      <c r="Q187" s="1">
        <v>46235</v>
      </c>
      <c r="R187" s="2">
        <v>72.73</v>
      </c>
      <c r="S187">
        <v>1</v>
      </c>
      <c r="T187" t="s">
        <v>58</v>
      </c>
      <c r="U187" t="s">
        <v>59</v>
      </c>
      <c r="V187" s="3">
        <v>0.75</v>
      </c>
      <c r="W187" s="2">
        <v>0</v>
      </c>
      <c r="X187">
        <v>0</v>
      </c>
      <c r="Y187" t="s">
        <v>60</v>
      </c>
      <c r="Z187" t="s">
        <v>248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54.55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46202</v>
      </c>
      <c r="B188" t="s">
        <v>48</v>
      </c>
      <c r="C188">
        <v>649163</v>
      </c>
      <c r="D188">
        <v>2033067683</v>
      </c>
      <c r="E188" t="s">
        <v>447</v>
      </c>
      <c r="F188" t="s">
        <v>365</v>
      </c>
      <c r="G188" t="s">
        <v>51</v>
      </c>
      <c r="H188" t="s">
        <v>89</v>
      </c>
      <c r="I188" t="s">
        <v>69</v>
      </c>
      <c r="J188" t="s">
        <v>79</v>
      </c>
      <c r="K188">
        <v>824062</v>
      </c>
      <c r="L188" t="s">
        <v>90</v>
      </c>
      <c r="M188" t="s">
        <v>91</v>
      </c>
      <c r="N188" t="s">
        <v>57</v>
      </c>
      <c r="O188" s="1">
        <v>46054</v>
      </c>
      <c r="Q188" s="1">
        <v>46235</v>
      </c>
      <c r="R188" s="2">
        <v>100.13</v>
      </c>
      <c r="S188">
        <v>1</v>
      </c>
      <c r="T188" t="s">
        <v>58</v>
      </c>
      <c r="U188" t="s">
        <v>59</v>
      </c>
      <c r="V188" s="3">
        <v>0.9</v>
      </c>
      <c r="W188" s="2">
        <v>0</v>
      </c>
      <c r="X188">
        <v>0</v>
      </c>
      <c r="Y188" t="s">
        <v>60</v>
      </c>
      <c r="Z188" t="s">
        <v>248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90.12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46202</v>
      </c>
      <c r="B189" t="s">
        <v>48</v>
      </c>
      <c r="C189">
        <v>649163</v>
      </c>
      <c r="D189">
        <v>2033068351</v>
      </c>
      <c r="E189" t="s">
        <v>448</v>
      </c>
      <c r="F189" t="s">
        <v>449</v>
      </c>
      <c r="G189" t="s">
        <v>51</v>
      </c>
      <c r="H189" t="s">
        <v>94</v>
      </c>
      <c r="I189" t="s">
        <v>69</v>
      </c>
      <c r="J189" t="s">
        <v>70</v>
      </c>
      <c r="K189">
        <v>816021</v>
      </c>
      <c r="L189" t="s">
        <v>80</v>
      </c>
      <c r="M189" t="s">
        <v>81</v>
      </c>
      <c r="N189" t="s">
        <v>57</v>
      </c>
      <c r="O189" s="1">
        <v>46054</v>
      </c>
      <c r="Q189" s="1">
        <v>46235</v>
      </c>
      <c r="R189" s="2">
        <v>10.210000000000001</v>
      </c>
      <c r="S189">
        <v>1</v>
      </c>
      <c r="T189" t="s">
        <v>58</v>
      </c>
      <c r="U189" t="s">
        <v>59</v>
      </c>
      <c r="V189" s="3">
        <v>0.75</v>
      </c>
      <c r="W189" s="2">
        <v>0</v>
      </c>
      <c r="X189">
        <v>0</v>
      </c>
      <c r="Y189" t="s">
        <v>60</v>
      </c>
      <c r="Z189" t="s">
        <v>248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7.66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46202</v>
      </c>
      <c r="B190" t="s">
        <v>48</v>
      </c>
      <c r="C190">
        <v>649163</v>
      </c>
      <c r="D190">
        <v>2033071352</v>
      </c>
      <c r="E190" t="s">
        <v>450</v>
      </c>
      <c r="F190" t="s">
        <v>451</v>
      </c>
      <c r="G190" t="s">
        <v>51</v>
      </c>
      <c r="H190" t="s">
        <v>97</v>
      </c>
      <c r="I190" t="s">
        <v>69</v>
      </c>
      <c r="J190" t="s">
        <v>70</v>
      </c>
      <c r="K190">
        <v>856163</v>
      </c>
      <c r="L190" t="s">
        <v>113</v>
      </c>
      <c r="M190" t="s">
        <v>452</v>
      </c>
      <c r="N190" t="s">
        <v>57</v>
      </c>
      <c r="O190" s="1">
        <v>46054</v>
      </c>
      <c r="Q190" s="1">
        <v>46235</v>
      </c>
      <c r="R190" s="2">
        <v>62.93</v>
      </c>
      <c r="S190">
        <v>1</v>
      </c>
      <c r="T190" t="s">
        <v>58</v>
      </c>
      <c r="U190" t="s">
        <v>59</v>
      </c>
      <c r="V190" s="3">
        <v>0.75</v>
      </c>
      <c r="W190" s="2">
        <v>0</v>
      </c>
      <c r="X190">
        <v>0</v>
      </c>
      <c r="Y190" t="s">
        <v>60</v>
      </c>
      <c r="Z190" t="s">
        <v>248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47.2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46202</v>
      </c>
      <c r="B191" t="s">
        <v>48</v>
      </c>
      <c r="C191">
        <v>649163</v>
      </c>
      <c r="D191">
        <v>2033072264</v>
      </c>
      <c r="E191" t="s">
        <v>453</v>
      </c>
      <c r="F191" t="s">
        <v>454</v>
      </c>
      <c r="G191" t="s">
        <v>51</v>
      </c>
      <c r="H191" t="s">
        <v>89</v>
      </c>
      <c r="I191" t="s">
        <v>69</v>
      </c>
      <c r="J191" t="s">
        <v>70</v>
      </c>
      <c r="K191">
        <v>673059</v>
      </c>
      <c r="L191" t="s">
        <v>102</v>
      </c>
      <c r="M191" t="s">
        <v>103</v>
      </c>
      <c r="N191" t="s">
        <v>57</v>
      </c>
      <c r="O191" s="1">
        <v>46049</v>
      </c>
      <c r="Q191" s="1">
        <v>46230</v>
      </c>
      <c r="R191" s="2">
        <v>33.9</v>
      </c>
      <c r="S191">
        <v>1</v>
      </c>
      <c r="T191" t="s">
        <v>58</v>
      </c>
      <c r="U191" t="s">
        <v>59</v>
      </c>
      <c r="V191" s="3">
        <v>0.75</v>
      </c>
      <c r="W191" s="2">
        <v>0</v>
      </c>
      <c r="X191">
        <v>0</v>
      </c>
      <c r="Y191" t="s">
        <v>60</v>
      </c>
      <c r="Z191" t="s">
        <v>248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25.42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46202</v>
      </c>
      <c r="B192" t="s">
        <v>48</v>
      </c>
      <c r="C192">
        <v>649163</v>
      </c>
      <c r="D192">
        <v>2033109904</v>
      </c>
      <c r="E192" t="s">
        <v>391</v>
      </c>
      <c r="F192" t="s">
        <v>455</v>
      </c>
      <c r="G192" t="s">
        <v>51</v>
      </c>
      <c r="H192" t="s">
        <v>94</v>
      </c>
      <c r="I192" t="s">
        <v>69</v>
      </c>
      <c r="J192" t="s">
        <v>70</v>
      </c>
      <c r="K192">
        <v>816021</v>
      </c>
      <c r="L192" t="s">
        <v>80</v>
      </c>
      <c r="M192" t="s">
        <v>81</v>
      </c>
      <c r="N192" t="s">
        <v>57</v>
      </c>
      <c r="O192" s="1">
        <v>46054</v>
      </c>
      <c r="Q192" s="1">
        <v>46235</v>
      </c>
      <c r="R192" s="2">
        <v>10.84</v>
      </c>
      <c r="S192">
        <v>1</v>
      </c>
      <c r="T192" t="s">
        <v>58</v>
      </c>
      <c r="U192" t="s">
        <v>59</v>
      </c>
      <c r="V192" s="3">
        <v>0.75</v>
      </c>
      <c r="W192" s="2">
        <v>0</v>
      </c>
      <c r="X192">
        <v>0</v>
      </c>
      <c r="Y192" t="s">
        <v>60</v>
      </c>
      <c r="Z192" t="s">
        <v>248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8.1300000000000008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46202</v>
      </c>
      <c r="B193" t="s">
        <v>48</v>
      </c>
      <c r="C193">
        <v>649163</v>
      </c>
      <c r="D193">
        <v>2033116315</v>
      </c>
      <c r="E193" t="s">
        <v>456</v>
      </c>
      <c r="F193" t="s">
        <v>457</v>
      </c>
      <c r="G193" t="s">
        <v>51</v>
      </c>
      <c r="H193" t="s">
        <v>84</v>
      </c>
      <c r="I193" t="s">
        <v>69</v>
      </c>
      <c r="J193" t="s">
        <v>338</v>
      </c>
      <c r="K193">
        <v>856824</v>
      </c>
      <c r="L193" t="s">
        <v>85</v>
      </c>
      <c r="M193" t="s">
        <v>86</v>
      </c>
      <c r="N193" t="s">
        <v>57</v>
      </c>
      <c r="O193" s="1">
        <v>46054</v>
      </c>
      <c r="Q193" s="1">
        <v>46235</v>
      </c>
      <c r="R193" s="2">
        <v>136.80000000000001</v>
      </c>
      <c r="S193">
        <v>1</v>
      </c>
      <c r="T193" t="s">
        <v>58</v>
      </c>
      <c r="U193" t="s">
        <v>59</v>
      </c>
      <c r="V193" s="3">
        <v>0.75</v>
      </c>
      <c r="W193" s="2">
        <v>0</v>
      </c>
      <c r="X193">
        <v>0</v>
      </c>
      <c r="Y193" t="s">
        <v>60</v>
      </c>
      <c r="Z193" t="s">
        <v>248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102.6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46202</v>
      </c>
      <c r="B194" t="s">
        <v>48</v>
      </c>
      <c r="C194">
        <v>649163</v>
      </c>
      <c r="D194">
        <v>2033118501</v>
      </c>
      <c r="E194" t="s">
        <v>458</v>
      </c>
      <c r="F194" t="s">
        <v>459</v>
      </c>
      <c r="G194" t="s">
        <v>51</v>
      </c>
      <c r="H194" t="s">
        <v>94</v>
      </c>
      <c r="I194" t="s">
        <v>69</v>
      </c>
      <c r="J194" t="s">
        <v>70</v>
      </c>
      <c r="K194">
        <v>753748</v>
      </c>
      <c r="L194" t="s">
        <v>358</v>
      </c>
      <c r="M194" t="s">
        <v>359</v>
      </c>
      <c r="N194" t="s">
        <v>57</v>
      </c>
      <c r="O194" s="1">
        <v>46054</v>
      </c>
      <c r="Q194" s="1">
        <v>46235</v>
      </c>
      <c r="R194" s="2">
        <v>49.81</v>
      </c>
      <c r="S194">
        <v>1</v>
      </c>
      <c r="T194" t="s">
        <v>58</v>
      </c>
      <c r="U194" t="s">
        <v>59</v>
      </c>
      <c r="V194" s="3">
        <v>0.75</v>
      </c>
      <c r="W194" s="2">
        <v>0</v>
      </c>
      <c r="X194">
        <v>0</v>
      </c>
      <c r="Y194" t="s">
        <v>60</v>
      </c>
      <c r="Z194" t="s">
        <v>248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37.36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46202</v>
      </c>
      <c r="B195" t="s">
        <v>48</v>
      </c>
      <c r="C195">
        <v>649163</v>
      </c>
      <c r="D195">
        <v>2033124170</v>
      </c>
      <c r="E195" t="s">
        <v>460</v>
      </c>
      <c r="F195" t="s">
        <v>250</v>
      </c>
      <c r="G195" t="s">
        <v>51</v>
      </c>
      <c r="H195" t="s">
        <v>89</v>
      </c>
      <c r="I195" t="s">
        <v>69</v>
      </c>
      <c r="J195" t="s">
        <v>338</v>
      </c>
      <c r="K195">
        <v>812782</v>
      </c>
      <c r="L195" t="s">
        <v>181</v>
      </c>
      <c r="M195" t="s">
        <v>182</v>
      </c>
      <c r="N195" t="s">
        <v>57</v>
      </c>
      <c r="O195" s="1">
        <v>46054</v>
      </c>
      <c r="Q195" s="1">
        <v>46235</v>
      </c>
      <c r="R195" s="2">
        <v>36.4</v>
      </c>
      <c r="S195">
        <v>1</v>
      </c>
      <c r="T195" t="s">
        <v>58</v>
      </c>
      <c r="U195" t="s">
        <v>59</v>
      </c>
      <c r="V195" s="3">
        <v>0.75</v>
      </c>
      <c r="W195" s="2">
        <v>0</v>
      </c>
      <c r="X195">
        <v>0</v>
      </c>
      <c r="Y195" t="s">
        <v>60</v>
      </c>
      <c r="Z195" t="s">
        <v>248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27.3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46202</v>
      </c>
      <c r="B196" t="s">
        <v>48</v>
      </c>
      <c r="C196">
        <v>649163</v>
      </c>
      <c r="D196">
        <v>2033127195</v>
      </c>
      <c r="E196" t="s">
        <v>461</v>
      </c>
      <c r="F196" t="s">
        <v>462</v>
      </c>
      <c r="G196" t="s">
        <v>51</v>
      </c>
      <c r="H196" t="s">
        <v>332</v>
      </c>
      <c r="I196" t="s">
        <v>69</v>
      </c>
      <c r="J196" t="s">
        <v>70</v>
      </c>
      <c r="K196">
        <v>753748</v>
      </c>
      <c r="L196" t="s">
        <v>358</v>
      </c>
      <c r="M196" t="s">
        <v>359</v>
      </c>
      <c r="N196" t="s">
        <v>57</v>
      </c>
      <c r="O196" s="1">
        <v>46054</v>
      </c>
      <c r="Q196" s="1">
        <v>46235</v>
      </c>
      <c r="R196" s="2">
        <v>54.85</v>
      </c>
      <c r="S196">
        <v>1</v>
      </c>
      <c r="T196" t="s">
        <v>58</v>
      </c>
      <c r="U196" t="s">
        <v>59</v>
      </c>
      <c r="V196" s="3">
        <v>0.75</v>
      </c>
      <c r="W196" s="2">
        <v>0</v>
      </c>
      <c r="X196">
        <v>0</v>
      </c>
      <c r="Y196" t="s">
        <v>60</v>
      </c>
      <c r="Z196" t="s">
        <v>248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41.14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46202</v>
      </c>
      <c r="B197" t="s">
        <v>48</v>
      </c>
      <c r="C197">
        <v>649163</v>
      </c>
      <c r="D197">
        <v>2033129808</v>
      </c>
      <c r="E197" t="s">
        <v>463</v>
      </c>
      <c r="F197" t="s">
        <v>464</v>
      </c>
      <c r="G197" t="s">
        <v>51</v>
      </c>
      <c r="H197" t="s">
        <v>425</v>
      </c>
      <c r="I197" t="s">
        <v>69</v>
      </c>
      <c r="J197" t="s">
        <v>79</v>
      </c>
      <c r="K197">
        <v>753748</v>
      </c>
      <c r="L197" t="s">
        <v>358</v>
      </c>
      <c r="M197" t="s">
        <v>359</v>
      </c>
      <c r="N197" t="s">
        <v>57</v>
      </c>
      <c r="O197" s="1">
        <v>46054</v>
      </c>
      <c r="Q197" s="1">
        <v>46235</v>
      </c>
      <c r="R197" s="2">
        <v>76.88</v>
      </c>
      <c r="S197">
        <v>1</v>
      </c>
      <c r="T197" t="s">
        <v>58</v>
      </c>
      <c r="U197" t="s">
        <v>59</v>
      </c>
      <c r="V197" s="3">
        <v>0.9</v>
      </c>
      <c r="W197" s="2">
        <v>0</v>
      </c>
      <c r="X197">
        <v>0</v>
      </c>
      <c r="Y197" t="s">
        <v>60</v>
      </c>
      <c r="Z197" t="s">
        <v>248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69.19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46202</v>
      </c>
      <c r="B198" t="s">
        <v>48</v>
      </c>
      <c r="C198">
        <v>649163</v>
      </c>
      <c r="D198">
        <v>2033133905</v>
      </c>
      <c r="E198" t="s">
        <v>465</v>
      </c>
      <c r="F198" t="s">
        <v>466</v>
      </c>
      <c r="G198" t="s">
        <v>51</v>
      </c>
      <c r="H198" t="s">
        <v>434</v>
      </c>
      <c r="I198" t="s">
        <v>69</v>
      </c>
      <c r="J198" t="s">
        <v>70</v>
      </c>
      <c r="K198">
        <v>753748</v>
      </c>
      <c r="L198" t="s">
        <v>358</v>
      </c>
      <c r="M198" t="s">
        <v>359</v>
      </c>
      <c r="N198" t="s">
        <v>57</v>
      </c>
      <c r="O198" s="1">
        <v>46054</v>
      </c>
      <c r="Q198" s="1">
        <v>46235</v>
      </c>
      <c r="R198" s="2">
        <v>129.33000000000001</v>
      </c>
      <c r="S198">
        <v>1</v>
      </c>
      <c r="T198" t="s">
        <v>58</v>
      </c>
      <c r="U198" t="s">
        <v>59</v>
      </c>
      <c r="V198" s="3">
        <v>0.75</v>
      </c>
      <c r="W198" s="2">
        <v>0</v>
      </c>
      <c r="X198">
        <v>0</v>
      </c>
      <c r="Y198" t="s">
        <v>60</v>
      </c>
      <c r="Z198" t="s">
        <v>248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97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46202</v>
      </c>
      <c r="B199" t="s">
        <v>48</v>
      </c>
      <c r="C199">
        <v>649163</v>
      </c>
      <c r="D199">
        <v>2033135807</v>
      </c>
      <c r="E199" t="s">
        <v>312</v>
      </c>
      <c r="F199" t="s">
        <v>313</v>
      </c>
      <c r="G199" t="s">
        <v>51</v>
      </c>
      <c r="H199" t="s">
        <v>100</v>
      </c>
      <c r="I199" t="s">
        <v>69</v>
      </c>
      <c r="J199" t="s">
        <v>70</v>
      </c>
      <c r="K199">
        <v>673059</v>
      </c>
      <c r="L199" t="s">
        <v>102</v>
      </c>
      <c r="M199" t="s">
        <v>103</v>
      </c>
      <c r="N199" t="s">
        <v>57</v>
      </c>
      <c r="O199" s="1">
        <v>46054</v>
      </c>
      <c r="Q199" s="1">
        <v>46235</v>
      </c>
      <c r="R199" s="2">
        <v>13.93</v>
      </c>
      <c r="S199">
        <v>1</v>
      </c>
      <c r="T199" t="s">
        <v>58</v>
      </c>
      <c r="U199" t="s">
        <v>59</v>
      </c>
      <c r="V199" s="3">
        <v>0.75</v>
      </c>
      <c r="W199" s="2">
        <v>0</v>
      </c>
      <c r="X199">
        <v>0</v>
      </c>
      <c r="Y199" t="s">
        <v>60</v>
      </c>
      <c r="Z199" t="s">
        <v>248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10.45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46202</v>
      </c>
      <c r="B200" t="s">
        <v>48</v>
      </c>
      <c r="C200">
        <v>649163</v>
      </c>
      <c r="D200">
        <v>2033137933</v>
      </c>
      <c r="E200" t="s">
        <v>467</v>
      </c>
      <c r="F200" t="s">
        <v>171</v>
      </c>
      <c r="G200" t="s">
        <v>51</v>
      </c>
      <c r="H200" t="s">
        <v>68</v>
      </c>
      <c r="I200" t="s">
        <v>69</v>
      </c>
      <c r="J200" t="s">
        <v>70</v>
      </c>
      <c r="K200">
        <v>874230</v>
      </c>
      <c r="L200" t="s">
        <v>468</v>
      </c>
      <c r="M200" t="s">
        <v>469</v>
      </c>
      <c r="N200" t="s">
        <v>57</v>
      </c>
      <c r="O200" s="1">
        <v>46055</v>
      </c>
      <c r="Q200" s="1">
        <v>46236</v>
      </c>
      <c r="R200" s="2">
        <v>21.91</v>
      </c>
      <c r="S200">
        <v>1</v>
      </c>
      <c r="T200" t="s">
        <v>58</v>
      </c>
      <c r="U200" t="s">
        <v>59</v>
      </c>
      <c r="V200" s="3">
        <v>0.75</v>
      </c>
      <c r="W200" s="2">
        <v>0</v>
      </c>
      <c r="X200">
        <v>0</v>
      </c>
      <c r="Y200" t="s">
        <v>60</v>
      </c>
      <c r="Z200" t="s">
        <v>248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16.43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46202</v>
      </c>
      <c r="B201" t="s">
        <v>48</v>
      </c>
      <c r="C201">
        <v>649163</v>
      </c>
      <c r="D201">
        <v>2033145360</v>
      </c>
      <c r="E201" t="s">
        <v>470</v>
      </c>
      <c r="F201" t="s">
        <v>471</v>
      </c>
      <c r="G201" t="s">
        <v>51</v>
      </c>
      <c r="H201" t="s">
        <v>89</v>
      </c>
      <c r="I201" t="s">
        <v>69</v>
      </c>
      <c r="J201" t="s">
        <v>79</v>
      </c>
      <c r="K201">
        <v>673059</v>
      </c>
      <c r="L201" t="s">
        <v>102</v>
      </c>
      <c r="M201" t="s">
        <v>103</v>
      </c>
      <c r="N201" t="s">
        <v>57</v>
      </c>
      <c r="O201" s="1">
        <v>46054</v>
      </c>
      <c r="Q201" s="1">
        <v>46235</v>
      </c>
      <c r="R201" s="2">
        <v>37.92</v>
      </c>
      <c r="S201">
        <v>1</v>
      </c>
      <c r="T201" t="s">
        <v>58</v>
      </c>
      <c r="U201" t="s">
        <v>59</v>
      </c>
      <c r="V201" s="3">
        <v>0.9</v>
      </c>
      <c r="W201" s="2">
        <v>0</v>
      </c>
      <c r="X201">
        <v>0</v>
      </c>
      <c r="Y201" t="s">
        <v>60</v>
      </c>
      <c r="Z201" t="s">
        <v>248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34.130000000000003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46202</v>
      </c>
      <c r="B202" t="s">
        <v>48</v>
      </c>
      <c r="C202">
        <v>649163</v>
      </c>
      <c r="D202">
        <v>2033148159</v>
      </c>
      <c r="E202" t="s">
        <v>472</v>
      </c>
      <c r="F202" t="s">
        <v>473</v>
      </c>
      <c r="G202" t="s">
        <v>51</v>
      </c>
      <c r="H202" t="s">
        <v>68</v>
      </c>
      <c r="I202" t="s">
        <v>69</v>
      </c>
      <c r="J202" t="s">
        <v>70</v>
      </c>
      <c r="K202">
        <v>874230</v>
      </c>
      <c r="L202" t="s">
        <v>468</v>
      </c>
      <c r="M202" t="s">
        <v>469</v>
      </c>
      <c r="N202" t="s">
        <v>57</v>
      </c>
      <c r="O202" s="1">
        <v>46054</v>
      </c>
      <c r="Q202" s="1">
        <v>46235</v>
      </c>
      <c r="R202" s="2">
        <v>19.45</v>
      </c>
      <c r="S202">
        <v>1</v>
      </c>
      <c r="T202" t="s">
        <v>58</v>
      </c>
      <c r="U202" t="s">
        <v>59</v>
      </c>
      <c r="V202" s="3">
        <v>0.75</v>
      </c>
      <c r="W202" s="2">
        <v>0</v>
      </c>
      <c r="X202">
        <v>0</v>
      </c>
      <c r="Y202" t="s">
        <v>60</v>
      </c>
      <c r="Z202" t="s">
        <v>248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14.59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46202</v>
      </c>
      <c r="B203" t="s">
        <v>48</v>
      </c>
      <c r="C203">
        <v>649163</v>
      </c>
      <c r="D203">
        <v>2033150236</v>
      </c>
      <c r="E203" t="s">
        <v>474</v>
      </c>
      <c r="F203" t="s">
        <v>199</v>
      </c>
      <c r="G203" t="s">
        <v>51</v>
      </c>
      <c r="H203" t="s">
        <v>89</v>
      </c>
      <c r="I203" t="s">
        <v>69</v>
      </c>
      <c r="J203" t="s">
        <v>70</v>
      </c>
      <c r="K203">
        <v>812782</v>
      </c>
      <c r="L203" t="s">
        <v>181</v>
      </c>
      <c r="M203" t="s">
        <v>182</v>
      </c>
      <c r="N203" t="s">
        <v>57</v>
      </c>
      <c r="O203" s="1">
        <v>46054</v>
      </c>
      <c r="Q203" s="1">
        <v>46235</v>
      </c>
      <c r="R203" s="2">
        <v>59.85</v>
      </c>
      <c r="S203">
        <v>1</v>
      </c>
      <c r="T203" t="s">
        <v>58</v>
      </c>
      <c r="U203" t="s">
        <v>59</v>
      </c>
      <c r="V203" s="3">
        <v>0.75</v>
      </c>
      <c r="W203" s="2">
        <v>0</v>
      </c>
      <c r="X203">
        <v>0</v>
      </c>
      <c r="Y203" t="s">
        <v>60</v>
      </c>
      <c r="Z203" t="s">
        <v>248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44.89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46202</v>
      </c>
      <c r="B204" t="s">
        <v>48</v>
      </c>
      <c r="C204">
        <v>649163</v>
      </c>
      <c r="D204">
        <v>2033150716</v>
      </c>
      <c r="E204" t="s">
        <v>475</v>
      </c>
      <c r="F204" t="s">
        <v>476</v>
      </c>
      <c r="G204" t="s">
        <v>51</v>
      </c>
      <c r="H204" t="s">
        <v>143</v>
      </c>
      <c r="I204" t="s">
        <v>69</v>
      </c>
      <c r="J204" t="s">
        <v>79</v>
      </c>
      <c r="K204">
        <v>673059</v>
      </c>
      <c r="L204" t="s">
        <v>102</v>
      </c>
      <c r="M204" t="s">
        <v>103</v>
      </c>
      <c r="N204" t="s">
        <v>57</v>
      </c>
      <c r="O204" s="1">
        <v>46054</v>
      </c>
      <c r="Q204" s="1">
        <v>46235</v>
      </c>
      <c r="R204" s="2">
        <v>56.5</v>
      </c>
      <c r="S204">
        <v>1</v>
      </c>
      <c r="T204" t="s">
        <v>58</v>
      </c>
      <c r="U204" t="s">
        <v>59</v>
      </c>
      <c r="V204" s="3">
        <v>0.9</v>
      </c>
      <c r="W204" s="2">
        <v>0</v>
      </c>
      <c r="X204">
        <v>0</v>
      </c>
      <c r="Y204" t="s">
        <v>60</v>
      </c>
      <c r="Z204" t="s">
        <v>248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50.85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46202</v>
      </c>
      <c r="B205" t="s">
        <v>48</v>
      </c>
      <c r="C205">
        <v>649163</v>
      </c>
      <c r="D205">
        <v>2033151609</v>
      </c>
      <c r="E205" t="s">
        <v>477</v>
      </c>
      <c r="F205" t="s">
        <v>478</v>
      </c>
      <c r="G205" t="s">
        <v>51</v>
      </c>
      <c r="H205" t="s">
        <v>479</v>
      </c>
      <c r="I205" t="s">
        <v>69</v>
      </c>
      <c r="J205" t="s">
        <v>79</v>
      </c>
      <c r="K205">
        <v>753748</v>
      </c>
      <c r="L205" t="s">
        <v>358</v>
      </c>
      <c r="M205" t="s">
        <v>359</v>
      </c>
      <c r="N205" t="s">
        <v>57</v>
      </c>
      <c r="O205" s="1">
        <v>46054</v>
      </c>
      <c r="Q205" s="1">
        <v>46235</v>
      </c>
      <c r="R205" s="2">
        <v>169.38</v>
      </c>
      <c r="S205">
        <v>1</v>
      </c>
      <c r="T205" t="s">
        <v>58</v>
      </c>
      <c r="U205" t="s">
        <v>59</v>
      </c>
      <c r="V205" s="3">
        <v>0.9</v>
      </c>
      <c r="W205" s="2">
        <v>0</v>
      </c>
      <c r="X205">
        <v>0</v>
      </c>
      <c r="Y205" t="s">
        <v>60</v>
      </c>
      <c r="Z205" t="s">
        <v>248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152.44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46202</v>
      </c>
      <c r="B206" t="s">
        <v>48</v>
      </c>
      <c r="C206">
        <v>649163</v>
      </c>
      <c r="D206">
        <v>2033165019</v>
      </c>
      <c r="E206" t="s">
        <v>231</v>
      </c>
      <c r="F206" t="s">
        <v>171</v>
      </c>
      <c r="G206" t="s">
        <v>51</v>
      </c>
      <c r="H206" t="s">
        <v>479</v>
      </c>
      <c r="I206" t="s">
        <v>69</v>
      </c>
      <c r="J206" t="s">
        <v>79</v>
      </c>
      <c r="K206">
        <v>753748</v>
      </c>
      <c r="L206" t="s">
        <v>358</v>
      </c>
      <c r="M206" t="s">
        <v>359</v>
      </c>
      <c r="N206" t="s">
        <v>57</v>
      </c>
      <c r="O206" s="1">
        <v>46054</v>
      </c>
      <c r="Q206" s="1">
        <v>46235</v>
      </c>
      <c r="R206" s="2">
        <v>105.08</v>
      </c>
      <c r="S206">
        <v>1</v>
      </c>
      <c r="T206" t="s">
        <v>58</v>
      </c>
      <c r="U206" t="s">
        <v>59</v>
      </c>
      <c r="V206" s="3">
        <v>0.9</v>
      </c>
      <c r="W206" s="2">
        <v>0</v>
      </c>
      <c r="X206">
        <v>0</v>
      </c>
      <c r="Y206" t="s">
        <v>60</v>
      </c>
      <c r="Z206" t="s">
        <v>248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94.57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46202</v>
      </c>
      <c r="B207" t="s">
        <v>48</v>
      </c>
      <c r="C207">
        <v>649163</v>
      </c>
      <c r="D207">
        <v>2033165802</v>
      </c>
      <c r="E207" t="s">
        <v>435</v>
      </c>
      <c r="F207" t="s">
        <v>480</v>
      </c>
      <c r="G207" t="s">
        <v>51</v>
      </c>
      <c r="H207" t="s">
        <v>84</v>
      </c>
      <c r="I207" t="s">
        <v>69</v>
      </c>
      <c r="J207" t="s">
        <v>70</v>
      </c>
      <c r="K207">
        <v>856824</v>
      </c>
      <c r="L207" t="s">
        <v>85</v>
      </c>
      <c r="M207" t="s">
        <v>86</v>
      </c>
      <c r="N207" t="s">
        <v>57</v>
      </c>
      <c r="O207" s="1">
        <v>46054</v>
      </c>
      <c r="Q207" s="1">
        <v>46235</v>
      </c>
      <c r="R207" s="2">
        <v>20.32</v>
      </c>
      <c r="S207">
        <v>1</v>
      </c>
      <c r="T207" t="s">
        <v>58</v>
      </c>
      <c r="U207" t="s">
        <v>59</v>
      </c>
      <c r="V207" s="3">
        <v>0.75</v>
      </c>
      <c r="W207" s="2">
        <v>0</v>
      </c>
      <c r="X207">
        <v>0</v>
      </c>
      <c r="Y207" t="s">
        <v>60</v>
      </c>
      <c r="Z207" t="s">
        <v>248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15.24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46202</v>
      </c>
      <c r="B208" t="s">
        <v>48</v>
      </c>
      <c r="C208">
        <v>649163</v>
      </c>
      <c r="D208">
        <v>2033166590</v>
      </c>
      <c r="E208" t="s">
        <v>481</v>
      </c>
      <c r="F208" t="s">
        <v>482</v>
      </c>
      <c r="G208" t="s">
        <v>51</v>
      </c>
      <c r="H208" t="s">
        <v>117</v>
      </c>
      <c r="I208" t="s">
        <v>69</v>
      </c>
      <c r="J208" t="s">
        <v>70</v>
      </c>
      <c r="K208">
        <v>856163</v>
      </c>
      <c r="L208" t="s">
        <v>113</v>
      </c>
      <c r="M208" t="s">
        <v>452</v>
      </c>
      <c r="N208" t="s">
        <v>57</v>
      </c>
      <c r="O208" s="1">
        <v>46054</v>
      </c>
      <c r="Q208" s="1">
        <v>46235</v>
      </c>
      <c r="R208" s="2">
        <v>30.53</v>
      </c>
      <c r="S208">
        <v>1</v>
      </c>
      <c r="T208" t="s">
        <v>58</v>
      </c>
      <c r="U208" t="s">
        <v>59</v>
      </c>
      <c r="V208" s="3">
        <v>0.75</v>
      </c>
      <c r="W208" s="2">
        <v>0</v>
      </c>
      <c r="X208">
        <v>0</v>
      </c>
      <c r="Y208" t="s">
        <v>60</v>
      </c>
      <c r="Z208" t="s">
        <v>248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22.9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46202</v>
      </c>
      <c r="B209" t="s">
        <v>48</v>
      </c>
      <c r="C209">
        <v>649163</v>
      </c>
      <c r="D209">
        <v>2033177150</v>
      </c>
      <c r="E209" t="s">
        <v>483</v>
      </c>
      <c r="F209" t="s">
        <v>484</v>
      </c>
      <c r="G209" t="s">
        <v>51</v>
      </c>
      <c r="H209" t="s">
        <v>425</v>
      </c>
      <c r="I209" t="s">
        <v>69</v>
      </c>
      <c r="J209" t="s">
        <v>70</v>
      </c>
      <c r="K209">
        <v>856824</v>
      </c>
      <c r="L209" t="s">
        <v>85</v>
      </c>
      <c r="M209" t="s">
        <v>86</v>
      </c>
      <c r="N209" t="s">
        <v>57</v>
      </c>
      <c r="O209" s="1">
        <v>46054</v>
      </c>
      <c r="Q209" s="1">
        <v>46235</v>
      </c>
      <c r="R209" s="2">
        <v>45.28</v>
      </c>
      <c r="S209">
        <v>1</v>
      </c>
      <c r="T209" t="s">
        <v>58</v>
      </c>
      <c r="U209" t="s">
        <v>59</v>
      </c>
      <c r="V209" s="3">
        <v>0.75</v>
      </c>
      <c r="W209" s="2">
        <v>0</v>
      </c>
      <c r="X209">
        <v>0</v>
      </c>
      <c r="Y209" t="s">
        <v>60</v>
      </c>
      <c r="Z209" t="s">
        <v>248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33.96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46202</v>
      </c>
      <c r="B210" t="s">
        <v>48</v>
      </c>
      <c r="C210">
        <v>649163</v>
      </c>
      <c r="D210">
        <v>2033177645</v>
      </c>
      <c r="E210" t="s">
        <v>485</v>
      </c>
      <c r="F210" t="s">
        <v>209</v>
      </c>
      <c r="G210" t="s">
        <v>51</v>
      </c>
      <c r="H210" t="s">
        <v>124</v>
      </c>
      <c r="I210" t="s">
        <v>69</v>
      </c>
      <c r="J210" t="s">
        <v>79</v>
      </c>
      <c r="K210">
        <v>767312</v>
      </c>
      <c r="L210" t="s">
        <v>486</v>
      </c>
      <c r="M210" t="s">
        <v>379</v>
      </c>
      <c r="N210" t="s">
        <v>57</v>
      </c>
      <c r="O210" s="1">
        <v>46054</v>
      </c>
      <c r="Q210" s="1">
        <v>46235</v>
      </c>
      <c r="R210" s="2">
        <v>49.33</v>
      </c>
      <c r="S210">
        <v>1</v>
      </c>
      <c r="T210" t="s">
        <v>58</v>
      </c>
      <c r="U210" t="s">
        <v>59</v>
      </c>
      <c r="V210" s="3">
        <v>0.9</v>
      </c>
      <c r="W210" s="2">
        <v>0</v>
      </c>
      <c r="X210">
        <v>0</v>
      </c>
      <c r="Y210" t="s">
        <v>60</v>
      </c>
      <c r="Z210" t="s">
        <v>248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44.4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46202</v>
      </c>
      <c r="B211" t="s">
        <v>48</v>
      </c>
      <c r="C211">
        <v>649163</v>
      </c>
      <c r="D211">
        <v>2033177687</v>
      </c>
      <c r="E211" t="s">
        <v>485</v>
      </c>
      <c r="F211" t="s">
        <v>487</v>
      </c>
      <c r="G211" t="s">
        <v>51</v>
      </c>
      <c r="H211" t="s">
        <v>124</v>
      </c>
      <c r="I211" t="s">
        <v>69</v>
      </c>
      <c r="J211" t="s">
        <v>79</v>
      </c>
      <c r="K211">
        <v>767312</v>
      </c>
      <c r="L211" t="s">
        <v>486</v>
      </c>
      <c r="M211" t="s">
        <v>379</v>
      </c>
      <c r="N211" t="s">
        <v>57</v>
      </c>
      <c r="O211" s="1">
        <v>46054</v>
      </c>
      <c r="Q211" s="1">
        <v>46235</v>
      </c>
      <c r="R211" s="2">
        <v>135.21</v>
      </c>
      <c r="S211">
        <v>1</v>
      </c>
      <c r="T211" t="s">
        <v>58</v>
      </c>
      <c r="U211" t="s">
        <v>59</v>
      </c>
      <c r="V211" s="3">
        <v>0.9</v>
      </c>
      <c r="W211" s="2">
        <v>0</v>
      </c>
      <c r="X211">
        <v>0</v>
      </c>
      <c r="Y211" t="s">
        <v>60</v>
      </c>
      <c r="Z211" t="s">
        <v>248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121.69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46202</v>
      </c>
      <c r="B212" t="s">
        <v>48</v>
      </c>
      <c r="C212">
        <v>649163</v>
      </c>
      <c r="D212">
        <v>2033178948</v>
      </c>
      <c r="E212" t="s">
        <v>488</v>
      </c>
      <c r="F212" t="s">
        <v>489</v>
      </c>
      <c r="G212" t="s">
        <v>51</v>
      </c>
      <c r="H212" t="s">
        <v>89</v>
      </c>
      <c r="I212" t="s">
        <v>69</v>
      </c>
      <c r="J212" t="s">
        <v>70</v>
      </c>
      <c r="K212">
        <v>814033</v>
      </c>
      <c r="L212" t="s">
        <v>490</v>
      </c>
      <c r="M212" t="s">
        <v>491</v>
      </c>
      <c r="N212" t="s">
        <v>57</v>
      </c>
      <c r="O212" s="1">
        <v>46054</v>
      </c>
      <c r="Q212" s="1">
        <v>46235</v>
      </c>
      <c r="R212" s="2">
        <v>20.75</v>
      </c>
      <c r="S212">
        <v>1</v>
      </c>
      <c r="T212" t="s">
        <v>58</v>
      </c>
      <c r="U212" t="s">
        <v>59</v>
      </c>
      <c r="V212" s="3">
        <v>0.75</v>
      </c>
      <c r="W212" s="2">
        <v>0</v>
      </c>
      <c r="X212">
        <v>0</v>
      </c>
      <c r="Y212" t="s">
        <v>60</v>
      </c>
      <c r="Z212" t="s">
        <v>248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15.56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46202</v>
      </c>
      <c r="B213" t="s">
        <v>48</v>
      </c>
      <c r="C213">
        <v>649163</v>
      </c>
      <c r="D213">
        <v>2033179428</v>
      </c>
      <c r="E213" t="s">
        <v>492</v>
      </c>
      <c r="F213" t="s">
        <v>493</v>
      </c>
      <c r="G213" t="s">
        <v>51</v>
      </c>
      <c r="H213" t="s">
        <v>78</v>
      </c>
      <c r="I213" t="s">
        <v>69</v>
      </c>
      <c r="J213" t="s">
        <v>70</v>
      </c>
      <c r="K213">
        <v>856824</v>
      </c>
      <c r="L213" t="s">
        <v>85</v>
      </c>
      <c r="M213" t="s">
        <v>86</v>
      </c>
      <c r="N213" t="s">
        <v>57</v>
      </c>
      <c r="O213" s="1">
        <v>46054</v>
      </c>
      <c r="Q213" s="1">
        <v>46235</v>
      </c>
      <c r="R213" s="2">
        <v>55.08</v>
      </c>
      <c r="S213">
        <v>1</v>
      </c>
      <c r="T213" t="s">
        <v>58</v>
      </c>
      <c r="U213" t="s">
        <v>59</v>
      </c>
      <c r="V213" s="3">
        <v>0.75</v>
      </c>
      <c r="W213" s="2">
        <v>0</v>
      </c>
      <c r="X213">
        <v>0</v>
      </c>
      <c r="Y213" t="s">
        <v>60</v>
      </c>
      <c r="Z213" t="s">
        <v>248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41.31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46202</v>
      </c>
      <c r="B214" t="s">
        <v>48</v>
      </c>
      <c r="C214">
        <v>649163</v>
      </c>
      <c r="D214">
        <v>2033179605</v>
      </c>
      <c r="E214" t="s">
        <v>494</v>
      </c>
      <c r="F214" t="s">
        <v>495</v>
      </c>
      <c r="G214" t="s">
        <v>51</v>
      </c>
      <c r="H214" t="s">
        <v>496</v>
      </c>
      <c r="I214" t="s">
        <v>69</v>
      </c>
      <c r="J214" t="s">
        <v>338</v>
      </c>
      <c r="K214">
        <v>651818</v>
      </c>
      <c r="L214" t="s">
        <v>210</v>
      </c>
      <c r="M214" t="s">
        <v>211</v>
      </c>
      <c r="N214" t="s">
        <v>57</v>
      </c>
      <c r="O214" s="1">
        <v>46054</v>
      </c>
      <c r="Q214" s="1">
        <v>46235</v>
      </c>
      <c r="R214" s="2">
        <v>93.15</v>
      </c>
      <c r="S214">
        <v>1</v>
      </c>
      <c r="T214" t="s">
        <v>58</v>
      </c>
      <c r="U214" t="s">
        <v>59</v>
      </c>
      <c r="V214" s="3">
        <v>0.75</v>
      </c>
      <c r="W214" s="2">
        <v>0</v>
      </c>
      <c r="X214">
        <v>0</v>
      </c>
      <c r="Y214" t="s">
        <v>60</v>
      </c>
      <c r="Z214" t="s">
        <v>248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69.86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46202</v>
      </c>
      <c r="B215" t="s">
        <v>48</v>
      </c>
      <c r="C215">
        <v>649163</v>
      </c>
      <c r="D215">
        <v>2033180214</v>
      </c>
      <c r="E215" t="s">
        <v>497</v>
      </c>
      <c r="F215" t="s">
        <v>471</v>
      </c>
      <c r="G215" t="s">
        <v>51</v>
      </c>
      <c r="H215" t="s">
        <v>425</v>
      </c>
      <c r="I215" t="s">
        <v>69</v>
      </c>
      <c r="J215" t="s">
        <v>79</v>
      </c>
      <c r="K215">
        <v>753748</v>
      </c>
      <c r="L215" t="s">
        <v>358</v>
      </c>
      <c r="M215" t="s">
        <v>359</v>
      </c>
      <c r="N215" t="s">
        <v>57</v>
      </c>
      <c r="O215" s="1">
        <v>46054</v>
      </c>
      <c r="Q215" s="1">
        <v>46235</v>
      </c>
      <c r="R215" s="2">
        <v>306.13</v>
      </c>
      <c r="S215">
        <v>1</v>
      </c>
      <c r="T215" t="s">
        <v>58</v>
      </c>
      <c r="U215" t="s">
        <v>59</v>
      </c>
      <c r="V215" s="3">
        <v>0.9</v>
      </c>
      <c r="W215" s="2">
        <v>0</v>
      </c>
      <c r="X215">
        <v>0</v>
      </c>
      <c r="Y215" t="s">
        <v>60</v>
      </c>
      <c r="Z215" t="s">
        <v>248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275.52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46202</v>
      </c>
      <c r="B216" t="s">
        <v>48</v>
      </c>
      <c r="C216">
        <v>649163</v>
      </c>
      <c r="D216">
        <v>2033211921</v>
      </c>
      <c r="E216" t="s">
        <v>231</v>
      </c>
      <c r="F216" t="s">
        <v>489</v>
      </c>
      <c r="G216" t="s">
        <v>51</v>
      </c>
      <c r="H216" t="s">
        <v>89</v>
      </c>
      <c r="I216" t="s">
        <v>69</v>
      </c>
      <c r="J216" t="s">
        <v>70</v>
      </c>
      <c r="K216">
        <v>821015</v>
      </c>
      <c r="L216" t="s">
        <v>172</v>
      </c>
      <c r="M216" t="s">
        <v>173</v>
      </c>
      <c r="N216" t="s">
        <v>57</v>
      </c>
      <c r="O216" s="1">
        <v>46054</v>
      </c>
      <c r="Q216" s="1">
        <v>46235</v>
      </c>
      <c r="R216" s="2">
        <v>107.62</v>
      </c>
      <c r="S216">
        <v>1</v>
      </c>
      <c r="T216" t="s">
        <v>58</v>
      </c>
      <c r="U216" t="s">
        <v>59</v>
      </c>
      <c r="V216" s="3">
        <v>0.75</v>
      </c>
      <c r="W216" s="2">
        <v>0</v>
      </c>
      <c r="X216">
        <v>0</v>
      </c>
      <c r="Y216" t="s">
        <v>60</v>
      </c>
      <c r="Z216" t="s">
        <v>248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80.72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46202</v>
      </c>
      <c r="B217" t="s">
        <v>48</v>
      </c>
      <c r="C217">
        <v>649163</v>
      </c>
      <c r="D217">
        <v>2033220370</v>
      </c>
      <c r="E217" t="s">
        <v>498</v>
      </c>
      <c r="F217" t="s">
        <v>216</v>
      </c>
      <c r="G217" t="s">
        <v>51</v>
      </c>
      <c r="H217" t="s">
        <v>100</v>
      </c>
      <c r="I217" t="s">
        <v>69</v>
      </c>
      <c r="J217" t="s">
        <v>70</v>
      </c>
      <c r="K217">
        <v>897926</v>
      </c>
      <c r="L217" t="s">
        <v>499</v>
      </c>
      <c r="M217" t="s">
        <v>469</v>
      </c>
      <c r="N217" t="s">
        <v>57</v>
      </c>
      <c r="O217" s="1">
        <v>46054</v>
      </c>
      <c r="Q217" s="1">
        <v>46235</v>
      </c>
      <c r="R217" s="2">
        <v>59.86</v>
      </c>
      <c r="S217">
        <v>1</v>
      </c>
      <c r="T217" t="s">
        <v>58</v>
      </c>
      <c r="U217" t="s">
        <v>59</v>
      </c>
      <c r="V217" s="3">
        <v>0.75</v>
      </c>
      <c r="W217" s="2">
        <v>0</v>
      </c>
      <c r="X217">
        <v>0</v>
      </c>
      <c r="Y217" t="s">
        <v>60</v>
      </c>
      <c r="Z217" t="s">
        <v>248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44.9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46202</v>
      </c>
      <c r="B218" t="s">
        <v>48</v>
      </c>
      <c r="C218">
        <v>649163</v>
      </c>
      <c r="D218">
        <v>2033222450</v>
      </c>
      <c r="E218" t="s">
        <v>500</v>
      </c>
      <c r="F218" t="s">
        <v>182</v>
      </c>
      <c r="G218" t="s">
        <v>51</v>
      </c>
      <c r="H218" t="s">
        <v>89</v>
      </c>
      <c r="I218" t="s">
        <v>69</v>
      </c>
      <c r="J218" t="s">
        <v>79</v>
      </c>
      <c r="K218">
        <v>824062</v>
      </c>
      <c r="L218" t="s">
        <v>90</v>
      </c>
      <c r="M218" t="s">
        <v>91</v>
      </c>
      <c r="N218" t="s">
        <v>57</v>
      </c>
      <c r="O218" s="1">
        <v>46054</v>
      </c>
      <c r="Q218" s="1">
        <v>46235</v>
      </c>
      <c r="R218" s="2">
        <v>73.27</v>
      </c>
      <c r="S218">
        <v>1</v>
      </c>
      <c r="T218" t="s">
        <v>58</v>
      </c>
      <c r="U218" t="s">
        <v>59</v>
      </c>
      <c r="V218" s="3">
        <v>0.9</v>
      </c>
      <c r="W218" s="2">
        <v>0</v>
      </c>
      <c r="X218">
        <v>0</v>
      </c>
      <c r="Y218" t="s">
        <v>60</v>
      </c>
      <c r="Z218" t="s">
        <v>248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65.94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46202</v>
      </c>
      <c r="B219" t="s">
        <v>48</v>
      </c>
      <c r="C219">
        <v>649163</v>
      </c>
      <c r="D219">
        <v>2033228525</v>
      </c>
      <c r="E219" t="s">
        <v>501</v>
      </c>
      <c r="F219" t="s">
        <v>254</v>
      </c>
      <c r="G219" t="s">
        <v>51</v>
      </c>
      <c r="H219" t="s">
        <v>146</v>
      </c>
      <c r="I219" t="s">
        <v>69</v>
      </c>
      <c r="J219" t="s">
        <v>79</v>
      </c>
      <c r="K219">
        <v>652037</v>
      </c>
      <c r="L219" t="s">
        <v>55</v>
      </c>
      <c r="M219" t="s">
        <v>252</v>
      </c>
      <c r="N219" t="s">
        <v>57</v>
      </c>
      <c r="O219" s="1">
        <v>46054</v>
      </c>
      <c r="Q219" s="1">
        <v>46235</v>
      </c>
      <c r="R219" s="2">
        <v>49.09</v>
      </c>
      <c r="S219">
        <v>1</v>
      </c>
      <c r="T219" t="s">
        <v>58</v>
      </c>
      <c r="U219" t="s">
        <v>59</v>
      </c>
      <c r="V219" s="3">
        <v>0.9</v>
      </c>
      <c r="W219" s="2">
        <v>0</v>
      </c>
      <c r="X219">
        <v>0</v>
      </c>
      <c r="Y219" t="s">
        <v>60</v>
      </c>
      <c r="Z219" t="s">
        <v>248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44.18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46202</v>
      </c>
      <c r="B220" t="s">
        <v>48</v>
      </c>
      <c r="C220">
        <v>649163</v>
      </c>
      <c r="D220">
        <v>2033234587</v>
      </c>
      <c r="E220" t="s">
        <v>502</v>
      </c>
      <c r="F220" t="s">
        <v>250</v>
      </c>
      <c r="G220" t="s">
        <v>51</v>
      </c>
      <c r="H220" t="s">
        <v>146</v>
      </c>
      <c r="I220" t="s">
        <v>69</v>
      </c>
      <c r="J220" t="s">
        <v>79</v>
      </c>
      <c r="K220">
        <v>823068</v>
      </c>
      <c r="L220" t="s">
        <v>389</v>
      </c>
      <c r="M220" t="s">
        <v>390</v>
      </c>
      <c r="N220" t="s">
        <v>57</v>
      </c>
      <c r="O220" s="1">
        <v>46054</v>
      </c>
      <c r="Q220" s="1">
        <v>46235</v>
      </c>
      <c r="R220" s="2">
        <v>48.38</v>
      </c>
      <c r="S220">
        <v>1</v>
      </c>
      <c r="T220" t="s">
        <v>58</v>
      </c>
      <c r="U220" t="s">
        <v>59</v>
      </c>
      <c r="V220" s="3">
        <v>0.9</v>
      </c>
      <c r="W220" s="2">
        <v>0</v>
      </c>
      <c r="X220">
        <v>0</v>
      </c>
      <c r="Y220" t="s">
        <v>60</v>
      </c>
      <c r="Z220" t="s">
        <v>248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43.54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46202</v>
      </c>
      <c r="B221" t="s">
        <v>48</v>
      </c>
      <c r="C221">
        <v>649163</v>
      </c>
      <c r="D221">
        <v>2033235204</v>
      </c>
      <c r="E221" t="s">
        <v>503</v>
      </c>
      <c r="F221" t="s">
        <v>504</v>
      </c>
      <c r="G221" t="s">
        <v>51</v>
      </c>
      <c r="H221" t="s">
        <v>200</v>
      </c>
      <c r="I221" t="s">
        <v>69</v>
      </c>
      <c r="J221" t="s">
        <v>338</v>
      </c>
      <c r="K221">
        <v>942810</v>
      </c>
      <c r="L221" t="s">
        <v>505</v>
      </c>
      <c r="M221" t="s">
        <v>506</v>
      </c>
      <c r="N221" t="s">
        <v>57</v>
      </c>
      <c r="O221" s="1">
        <v>46054</v>
      </c>
      <c r="Q221" s="1">
        <v>46235</v>
      </c>
      <c r="R221" s="2">
        <v>56.3</v>
      </c>
      <c r="S221">
        <v>1</v>
      </c>
      <c r="T221" t="s">
        <v>58</v>
      </c>
      <c r="U221" t="s">
        <v>59</v>
      </c>
      <c r="V221" s="3">
        <v>0.75</v>
      </c>
      <c r="W221" s="2">
        <v>0</v>
      </c>
      <c r="X221">
        <v>0</v>
      </c>
      <c r="Y221" t="s">
        <v>60</v>
      </c>
      <c r="Z221" t="s">
        <v>248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42.22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46202</v>
      </c>
      <c r="B222" t="s">
        <v>48</v>
      </c>
      <c r="C222">
        <v>649163</v>
      </c>
      <c r="D222">
        <v>2033238959</v>
      </c>
      <c r="E222" t="s">
        <v>507</v>
      </c>
      <c r="F222" t="s">
        <v>508</v>
      </c>
      <c r="G222" t="s">
        <v>51</v>
      </c>
      <c r="H222" t="s">
        <v>146</v>
      </c>
      <c r="I222" t="s">
        <v>69</v>
      </c>
      <c r="J222" t="s">
        <v>79</v>
      </c>
      <c r="K222">
        <v>652037</v>
      </c>
      <c r="L222" t="s">
        <v>55</v>
      </c>
      <c r="M222" t="s">
        <v>252</v>
      </c>
      <c r="N222" t="s">
        <v>57</v>
      </c>
      <c r="O222" s="1">
        <v>46054</v>
      </c>
      <c r="Q222" s="1">
        <v>46235</v>
      </c>
      <c r="R222" s="2">
        <v>39.549999999999997</v>
      </c>
      <c r="S222">
        <v>1</v>
      </c>
      <c r="T222" t="s">
        <v>58</v>
      </c>
      <c r="U222" t="s">
        <v>59</v>
      </c>
      <c r="V222" s="3">
        <v>0.9</v>
      </c>
      <c r="W222" s="2">
        <v>0</v>
      </c>
      <c r="X222">
        <v>0</v>
      </c>
      <c r="Y222" t="s">
        <v>60</v>
      </c>
      <c r="Z222" t="s">
        <v>248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35.6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46202</v>
      </c>
      <c r="B223" t="s">
        <v>48</v>
      </c>
      <c r="C223">
        <v>649163</v>
      </c>
      <c r="D223">
        <v>2033246168</v>
      </c>
      <c r="E223" t="s">
        <v>509</v>
      </c>
      <c r="F223" t="s">
        <v>510</v>
      </c>
      <c r="G223" t="s">
        <v>51</v>
      </c>
      <c r="H223" t="s">
        <v>143</v>
      </c>
      <c r="I223" t="s">
        <v>69</v>
      </c>
      <c r="J223" t="s">
        <v>79</v>
      </c>
      <c r="K223">
        <v>753748</v>
      </c>
      <c r="L223" t="s">
        <v>358</v>
      </c>
      <c r="M223" t="s">
        <v>359</v>
      </c>
      <c r="N223" t="s">
        <v>57</v>
      </c>
      <c r="O223" s="1">
        <v>46054</v>
      </c>
      <c r="Q223" s="1">
        <v>46235</v>
      </c>
      <c r="R223" s="2">
        <v>94.63</v>
      </c>
      <c r="S223">
        <v>1</v>
      </c>
      <c r="T223" t="s">
        <v>58</v>
      </c>
      <c r="U223" t="s">
        <v>59</v>
      </c>
      <c r="V223" s="3">
        <v>0.9</v>
      </c>
      <c r="W223" s="2">
        <v>0</v>
      </c>
      <c r="X223">
        <v>0</v>
      </c>
      <c r="Y223" t="s">
        <v>60</v>
      </c>
      <c r="Z223" t="s">
        <v>248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85.17</v>
      </c>
      <c r="AN223" s="2">
        <v>85.17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46202</v>
      </c>
      <c r="B224" t="s">
        <v>48</v>
      </c>
      <c r="C224">
        <v>649163</v>
      </c>
      <c r="D224">
        <v>2033255616</v>
      </c>
      <c r="E224" t="s">
        <v>511</v>
      </c>
      <c r="F224" t="s">
        <v>512</v>
      </c>
      <c r="G224" t="s">
        <v>51</v>
      </c>
      <c r="H224" t="s">
        <v>84</v>
      </c>
      <c r="I224" t="s">
        <v>69</v>
      </c>
      <c r="J224" t="s">
        <v>70</v>
      </c>
      <c r="K224">
        <v>856824</v>
      </c>
      <c r="L224" t="s">
        <v>85</v>
      </c>
      <c r="M224" t="s">
        <v>86</v>
      </c>
      <c r="N224" t="s">
        <v>57</v>
      </c>
      <c r="O224" s="1">
        <v>46054</v>
      </c>
      <c r="Q224" s="1">
        <v>46235</v>
      </c>
      <c r="R224" s="2">
        <v>94.06</v>
      </c>
      <c r="S224">
        <v>1</v>
      </c>
      <c r="T224" t="s">
        <v>58</v>
      </c>
      <c r="U224" t="s">
        <v>59</v>
      </c>
      <c r="V224" s="3">
        <v>0.75</v>
      </c>
      <c r="W224" s="2">
        <v>0</v>
      </c>
      <c r="X224">
        <v>0</v>
      </c>
      <c r="Y224" t="s">
        <v>60</v>
      </c>
      <c r="Z224" t="s">
        <v>248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70.540000000000006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46202</v>
      </c>
      <c r="B225" t="s">
        <v>48</v>
      </c>
      <c r="C225">
        <v>649163</v>
      </c>
      <c r="D225">
        <v>2033259945</v>
      </c>
      <c r="E225" t="s">
        <v>513</v>
      </c>
      <c r="F225" t="s">
        <v>514</v>
      </c>
      <c r="G225" t="s">
        <v>51</v>
      </c>
      <c r="H225" t="s">
        <v>89</v>
      </c>
      <c r="I225" t="s">
        <v>69</v>
      </c>
      <c r="J225" t="s">
        <v>79</v>
      </c>
      <c r="K225">
        <v>824062</v>
      </c>
      <c r="L225" t="s">
        <v>90</v>
      </c>
      <c r="M225" t="s">
        <v>91</v>
      </c>
      <c r="N225" t="s">
        <v>57</v>
      </c>
      <c r="O225" s="1">
        <v>46054</v>
      </c>
      <c r="Q225" s="1">
        <v>46235</v>
      </c>
      <c r="R225" s="2">
        <v>61.54</v>
      </c>
      <c r="S225">
        <v>1</v>
      </c>
      <c r="T225" t="s">
        <v>58</v>
      </c>
      <c r="U225" t="s">
        <v>59</v>
      </c>
      <c r="V225" s="3">
        <v>0.9</v>
      </c>
      <c r="W225" s="2">
        <v>0</v>
      </c>
      <c r="X225">
        <v>0</v>
      </c>
      <c r="Y225" t="s">
        <v>60</v>
      </c>
      <c r="Z225" t="s">
        <v>248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55.39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46202</v>
      </c>
      <c r="B226" t="s">
        <v>48</v>
      </c>
      <c r="C226">
        <v>649163</v>
      </c>
      <c r="D226">
        <v>2033265544</v>
      </c>
      <c r="E226" t="s">
        <v>515</v>
      </c>
      <c r="F226" t="s">
        <v>516</v>
      </c>
      <c r="G226" t="s">
        <v>51</v>
      </c>
      <c r="H226" t="s">
        <v>100</v>
      </c>
      <c r="I226" t="s">
        <v>69</v>
      </c>
      <c r="J226" t="s">
        <v>70</v>
      </c>
      <c r="K226">
        <v>856824</v>
      </c>
      <c r="L226" t="s">
        <v>85</v>
      </c>
      <c r="M226" t="s">
        <v>86</v>
      </c>
      <c r="N226" t="s">
        <v>57</v>
      </c>
      <c r="O226" s="1">
        <v>46054</v>
      </c>
      <c r="Q226" s="1">
        <v>46235</v>
      </c>
      <c r="R226" s="2">
        <v>14.92</v>
      </c>
      <c r="S226">
        <v>1</v>
      </c>
      <c r="T226" t="s">
        <v>58</v>
      </c>
      <c r="U226" t="s">
        <v>59</v>
      </c>
      <c r="V226" s="3">
        <v>0.75</v>
      </c>
      <c r="W226" s="2">
        <v>0</v>
      </c>
      <c r="X226">
        <v>0</v>
      </c>
      <c r="Y226" t="s">
        <v>60</v>
      </c>
      <c r="Z226" t="s">
        <v>248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11.19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46202</v>
      </c>
      <c r="B227" t="s">
        <v>48</v>
      </c>
      <c r="C227">
        <v>649163</v>
      </c>
      <c r="D227">
        <v>2033286914</v>
      </c>
      <c r="E227" t="s">
        <v>517</v>
      </c>
      <c r="F227" t="s">
        <v>518</v>
      </c>
      <c r="G227" t="s">
        <v>51</v>
      </c>
      <c r="H227" t="s">
        <v>89</v>
      </c>
      <c r="I227" t="s">
        <v>69</v>
      </c>
      <c r="J227" t="s">
        <v>79</v>
      </c>
      <c r="K227">
        <v>824062</v>
      </c>
      <c r="L227" t="s">
        <v>90</v>
      </c>
      <c r="M227" t="s">
        <v>91</v>
      </c>
      <c r="N227" t="s">
        <v>57</v>
      </c>
      <c r="O227" s="1">
        <v>46054</v>
      </c>
      <c r="Q227" s="1">
        <v>46235</v>
      </c>
      <c r="R227" s="2">
        <v>53.48</v>
      </c>
      <c r="S227">
        <v>1</v>
      </c>
      <c r="T227" t="s">
        <v>58</v>
      </c>
      <c r="U227" t="s">
        <v>59</v>
      </c>
      <c r="V227" s="3">
        <v>0.9</v>
      </c>
      <c r="W227" s="2">
        <v>0</v>
      </c>
      <c r="X227">
        <v>0</v>
      </c>
      <c r="Y227" t="s">
        <v>60</v>
      </c>
      <c r="Z227" t="s">
        <v>248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48.13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46202</v>
      </c>
      <c r="B228" t="s">
        <v>48</v>
      </c>
      <c r="C228">
        <v>649163</v>
      </c>
      <c r="D228">
        <v>2033310561</v>
      </c>
      <c r="E228" t="s">
        <v>519</v>
      </c>
      <c r="F228" t="s">
        <v>520</v>
      </c>
      <c r="G228" t="s">
        <v>51</v>
      </c>
      <c r="H228" t="s">
        <v>521</v>
      </c>
      <c r="I228" t="s">
        <v>69</v>
      </c>
      <c r="J228" t="s">
        <v>70</v>
      </c>
      <c r="K228">
        <v>753748</v>
      </c>
      <c r="L228" t="s">
        <v>358</v>
      </c>
      <c r="M228" t="s">
        <v>359</v>
      </c>
      <c r="N228" t="s">
        <v>57</v>
      </c>
      <c r="O228" s="1">
        <v>46054</v>
      </c>
      <c r="Q228" s="1">
        <v>46235</v>
      </c>
      <c r="R228" s="2">
        <v>32.56</v>
      </c>
      <c r="S228">
        <v>1</v>
      </c>
      <c r="T228" t="s">
        <v>58</v>
      </c>
      <c r="U228" t="s">
        <v>59</v>
      </c>
      <c r="V228" s="3">
        <v>0.75</v>
      </c>
      <c r="W228" s="2">
        <v>0</v>
      </c>
      <c r="X228">
        <v>0</v>
      </c>
      <c r="Y228" t="s">
        <v>60</v>
      </c>
      <c r="Z228" t="s">
        <v>248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24.42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46202</v>
      </c>
      <c r="B229" t="s">
        <v>48</v>
      </c>
      <c r="C229">
        <v>649163</v>
      </c>
      <c r="D229">
        <v>2033330926</v>
      </c>
      <c r="E229" t="s">
        <v>522</v>
      </c>
      <c r="F229" t="s">
        <v>138</v>
      </c>
      <c r="G229" t="s">
        <v>51</v>
      </c>
      <c r="H229" t="s">
        <v>89</v>
      </c>
      <c r="I229" t="s">
        <v>69</v>
      </c>
      <c r="J229" t="s">
        <v>70</v>
      </c>
      <c r="K229">
        <v>823350</v>
      </c>
      <c r="L229" t="s">
        <v>113</v>
      </c>
      <c r="M229" t="s">
        <v>114</v>
      </c>
      <c r="N229" t="s">
        <v>57</v>
      </c>
      <c r="O229" s="1">
        <v>46054</v>
      </c>
      <c r="Q229" s="1">
        <v>46235</v>
      </c>
      <c r="R229" s="2">
        <v>14.41</v>
      </c>
      <c r="S229">
        <v>1</v>
      </c>
      <c r="T229" t="s">
        <v>58</v>
      </c>
      <c r="U229" t="s">
        <v>59</v>
      </c>
      <c r="V229" s="3">
        <v>0.75</v>
      </c>
      <c r="W229" s="2">
        <v>0</v>
      </c>
      <c r="X229">
        <v>0</v>
      </c>
      <c r="Y229" t="s">
        <v>60</v>
      </c>
      <c r="Z229" t="s">
        <v>248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10.81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46202</v>
      </c>
      <c r="B230" t="s">
        <v>48</v>
      </c>
      <c r="C230">
        <v>649163</v>
      </c>
      <c r="D230">
        <v>2033338101</v>
      </c>
      <c r="E230" t="s">
        <v>523</v>
      </c>
      <c r="F230" t="s">
        <v>524</v>
      </c>
      <c r="G230" t="s">
        <v>51</v>
      </c>
      <c r="H230" t="s">
        <v>75</v>
      </c>
      <c r="I230" t="s">
        <v>69</v>
      </c>
      <c r="J230" t="s">
        <v>70</v>
      </c>
      <c r="K230">
        <v>812782</v>
      </c>
      <c r="L230" t="s">
        <v>181</v>
      </c>
      <c r="M230" t="s">
        <v>182</v>
      </c>
      <c r="N230" t="s">
        <v>57</v>
      </c>
      <c r="O230" s="1">
        <v>46054</v>
      </c>
      <c r="Q230" s="1">
        <v>46235</v>
      </c>
      <c r="R230" s="2">
        <v>56.23</v>
      </c>
      <c r="S230">
        <v>1</v>
      </c>
      <c r="T230" t="s">
        <v>58</v>
      </c>
      <c r="U230" t="s">
        <v>59</v>
      </c>
      <c r="V230" s="3">
        <v>0.75</v>
      </c>
      <c r="W230" s="2">
        <v>0</v>
      </c>
      <c r="X230">
        <v>0</v>
      </c>
      <c r="Y230" t="s">
        <v>60</v>
      </c>
      <c r="Z230" t="s">
        <v>248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42.17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46202</v>
      </c>
      <c r="B231" t="s">
        <v>48</v>
      </c>
      <c r="C231">
        <v>649163</v>
      </c>
      <c r="D231">
        <v>2033339867</v>
      </c>
      <c r="E231" t="s">
        <v>328</v>
      </c>
      <c r="F231" t="s">
        <v>525</v>
      </c>
      <c r="G231" t="s">
        <v>51</v>
      </c>
      <c r="H231" t="s">
        <v>89</v>
      </c>
      <c r="I231" t="s">
        <v>69</v>
      </c>
      <c r="J231" t="s">
        <v>70</v>
      </c>
      <c r="K231">
        <v>856163</v>
      </c>
      <c r="L231" t="s">
        <v>113</v>
      </c>
      <c r="M231" t="s">
        <v>452</v>
      </c>
      <c r="N231" t="s">
        <v>57</v>
      </c>
      <c r="O231" s="1">
        <v>46054</v>
      </c>
      <c r="Q231" s="1">
        <v>46235</v>
      </c>
      <c r="R231" s="2">
        <v>126.33</v>
      </c>
      <c r="S231">
        <v>1</v>
      </c>
      <c r="T231" t="s">
        <v>58</v>
      </c>
      <c r="U231" t="s">
        <v>59</v>
      </c>
      <c r="V231" s="3">
        <v>0.75</v>
      </c>
      <c r="W231" s="2">
        <v>0</v>
      </c>
      <c r="X231">
        <v>0</v>
      </c>
      <c r="Y231" t="s">
        <v>60</v>
      </c>
      <c r="Z231" t="s">
        <v>248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94.75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46202</v>
      </c>
      <c r="B232" t="s">
        <v>48</v>
      </c>
      <c r="C232">
        <v>649163</v>
      </c>
      <c r="D232">
        <v>2033349829</v>
      </c>
      <c r="E232" t="s">
        <v>526</v>
      </c>
      <c r="F232" t="s">
        <v>527</v>
      </c>
      <c r="G232" t="s">
        <v>51</v>
      </c>
      <c r="H232" t="s">
        <v>124</v>
      </c>
      <c r="I232" t="s">
        <v>69</v>
      </c>
      <c r="J232" t="s">
        <v>79</v>
      </c>
      <c r="K232">
        <v>753748</v>
      </c>
      <c r="L232" t="s">
        <v>358</v>
      </c>
      <c r="M232" t="s">
        <v>359</v>
      </c>
      <c r="N232" t="s">
        <v>57</v>
      </c>
      <c r="O232" s="1">
        <v>46054</v>
      </c>
      <c r="Q232" s="1">
        <v>46235</v>
      </c>
      <c r="R232" s="2">
        <v>79.510000000000005</v>
      </c>
      <c r="S232">
        <v>1</v>
      </c>
      <c r="T232" t="s">
        <v>58</v>
      </c>
      <c r="U232" t="s">
        <v>59</v>
      </c>
      <c r="V232" s="3">
        <v>0.9</v>
      </c>
      <c r="W232" s="2">
        <v>0</v>
      </c>
      <c r="X232">
        <v>0</v>
      </c>
      <c r="Y232" t="s">
        <v>60</v>
      </c>
      <c r="Z232" t="s">
        <v>248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71.56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46202</v>
      </c>
      <c r="B233" t="s">
        <v>48</v>
      </c>
      <c r="C233">
        <v>649163</v>
      </c>
      <c r="D233">
        <v>2033351936</v>
      </c>
      <c r="E233" t="s">
        <v>528</v>
      </c>
      <c r="F233" t="s">
        <v>529</v>
      </c>
      <c r="G233" t="s">
        <v>51</v>
      </c>
      <c r="H233" t="s">
        <v>89</v>
      </c>
      <c r="I233" t="s">
        <v>69</v>
      </c>
      <c r="J233" t="s">
        <v>70</v>
      </c>
      <c r="K233">
        <v>823350</v>
      </c>
      <c r="L233" t="s">
        <v>113</v>
      </c>
      <c r="M233" t="s">
        <v>114</v>
      </c>
      <c r="N233" t="s">
        <v>57</v>
      </c>
      <c r="O233" s="1">
        <v>46054</v>
      </c>
      <c r="Q233" s="1">
        <v>46235</v>
      </c>
      <c r="R233" s="2">
        <v>50.77</v>
      </c>
      <c r="S233">
        <v>1</v>
      </c>
      <c r="T233" t="s">
        <v>58</v>
      </c>
      <c r="U233" t="s">
        <v>59</v>
      </c>
      <c r="V233" s="3">
        <v>0.75</v>
      </c>
      <c r="W233" s="2">
        <v>0</v>
      </c>
      <c r="X233">
        <v>0</v>
      </c>
      <c r="Y233" t="s">
        <v>60</v>
      </c>
      <c r="Z233" t="s">
        <v>248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38.08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46202</v>
      </c>
      <c r="B234" t="s">
        <v>48</v>
      </c>
      <c r="C234">
        <v>649163</v>
      </c>
      <c r="D234">
        <v>2033354399</v>
      </c>
      <c r="E234" t="s">
        <v>530</v>
      </c>
      <c r="F234" t="s">
        <v>531</v>
      </c>
      <c r="G234" t="s">
        <v>51</v>
      </c>
      <c r="H234" t="s">
        <v>146</v>
      </c>
      <c r="I234" t="s">
        <v>69</v>
      </c>
      <c r="J234" t="s">
        <v>79</v>
      </c>
      <c r="K234">
        <v>902625</v>
      </c>
      <c r="L234" t="s">
        <v>147</v>
      </c>
      <c r="M234" t="s">
        <v>148</v>
      </c>
      <c r="N234" t="s">
        <v>57</v>
      </c>
      <c r="O234" s="1">
        <v>46054</v>
      </c>
      <c r="Q234" s="1">
        <v>46235</v>
      </c>
      <c r="R234" s="2">
        <v>38.07</v>
      </c>
      <c r="S234">
        <v>1</v>
      </c>
      <c r="T234" t="s">
        <v>58</v>
      </c>
      <c r="U234" t="s">
        <v>59</v>
      </c>
      <c r="V234" s="3">
        <v>0.9</v>
      </c>
      <c r="W234" s="2">
        <v>0</v>
      </c>
      <c r="X234">
        <v>0</v>
      </c>
      <c r="Y234" t="s">
        <v>60</v>
      </c>
      <c r="Z234" t="s">
        <v>248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34.26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46202</v>
      </c>
      <c r="B235" t="s">
        <v>48</v>
      </c>
      <c r="C235">
        <v>649163</v>
      </c>
      <c r="D235">
        <v>2033365520</v>
      </c>
      <c r="E235" t="s">
        <v>532</v>
      </c>
      <c r="F235" t="s">
        <v>533</v>
      </c>
      <c r="G235" t="s">
        <v>51</v>
      </c>
      <c r="H235" t="s">
        <v>89</v>
      </c>
      <c r="I235" t="s">
        <v>69</v>
      </c>
      <c r="J235" t="s">
        <v>79</v>
      </c>
      <c r="K235">
        <v>824062</v>
      </c>
      <c r="L235" t="s">
        <v>90</v>
      </c>
      <c r="M235" t="s">
        <v>91</v>
      </c>
      <c r="N235" t="s">
        <v>57</v>
      </c>
      <c r="O235" s="1">
        <v>46054</v>
      </c>
      <c r="Q235" s="1">
        <v>46235</v>
      </c>
      <c r="R235" s="2">
        <v>349.25</v>
      </c>
      <c r="S235">
        <v>1</v>
      </c>
      <c r="T235" t="s">
        <v>58</v>
      </c>
      <c r="U235" t="s">
        <v>59</v>
      </c>
      <c r="V235" s="3">
        <v>0.9</v>
      </c>
      <c r="W235" s="2">
        <v>0</v>
      </c>
      <c r="X235">
        <v>0</v>
      </c>
      <c r="Y235" t="s">
        <v>60</v>
      </c>
      <c r="Z235" t="s">
        <v>248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314.32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46202</v>
      </c>
      <c r="B236" t="s">
        <v>48</v>
      </c>
      <c r="C236">
        <v>649163</v>
      </c>
      <c r="D236">
        <v>2033371199</v>
      </c>
      <c r="E236" t="s">
        <v>534</v>
      </c>
      <c r="F236" t="s">
        <v>50</v>
      </c>
      <c r="G236" t="s">
        <v>51</v>
      </c>
      <c r="H236" t="s">
        <v>124</v>
      </c>
      <c r="I236" t="s">
        <v>69</v>
      </c>
      <c r="J236" t="s">
        <v>70</v>
      </c>
      <c r="K236">
        <v>753748</v>
      </c>
      <c r="L236" t="s">
        <v>358</v>
      </c>
      <c r="M236" t="s">
        <v>359</v>
      </c>
      <c r="N236" t="s">
        <v>57</v>
      </c>
      <c r="O236" s="1">
        <v>46054</v>
      </c>
      <c r="Q236" s="1">
        <v>46235</v>
      </c>
      <c r="R236" s="2">
        <v>52.33</v>
      </c>
      <c r="S236">
        <v>1</v>
      </c>
      <c r="T236" t="s">
        <v>58</v>
      </c>
      <c r="U236" t="s">
        <v>59</v>
      </c>
      <c r="V236" s="3">
        <v>0.75</v>
      </c>
      <c r="W236" s="2">
        <v>0</v>
      </c>
      <c r="X236">
        <v>0</v>
      </c>
      <c r="Y236" t="s">
        <v>60</v>
      </c>
      <c r="Z236" t="s">
        <v>248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39.25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46202</v>
      </c>
      <c r="B237" t="s">
        <v>48</v>
      </c>
      <c r="C237">
        <v>649163</v>
      </c>
      <c r="D237">
        <v>2033379493</v>
      </c>
      <c r="E237" t="s">
        <v>535</v>
      </c>
      <c r="F237" t="s">
        <v>536</v>
      </c>
      <c r="G237" t="s">
        <v>51</v>
      </c>
      <c r="H237" t="s">
        <v>89</v>
      </c>
      <c r="I237" t="s">
        <v>69</v>
      </c>
      <c r="J237" t="s">
        <v>70</v>
      </c>
      <c r="K237">
        <v>813184</v>
      </c>
      <c r="L237" t="s">
        <v>398</v>
      </c>
      <c r="M237" t="s">
        <v>399</v>
      </c>
      <c r="N237" t="s">
        <v>57</v>
      </c>
      <c r="O237" s="1">
        <v>46054</v>
      </c>
      <c r="Q237" s="1">
        <v>46235</v>
      </c>
      <c r="R237" s="2">
        <v>45.88</v>
      </c>
      <c r="S237">
        <v>1</v>
      </c>
      <c r="T237" t="s">
        <v>58</v>
      </c>
      <c r="U237" t="s">
        <v>59</v>
      </c>
      <c r="V237" s="3">
        <v>0.75</v>
      </c>
      <c r="W237" s="2">
        <v>0</v>
      </c>
      <c r="X237">
        <v>0</v>
      </c>
      <c r="Y237" t="s">
        <v>60</v>
      </c>
      <c r="Z237" t="s">
        <v>248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34.409999999999997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46202</v>
      </c>
      <c r="B238" t="s">
        <v>48</v>
      </c>
      <c r="C238">
        <v>649163</v>
      </c>
      <c r="D238">
        <v>2033382375</v>
      </c>
      <c r="E238" t="s">
        <v>537</v>
      </c>
      <c r="F238" t="s">
        <v>538</v>
      </c>
      <c r="G238" t="s">
        <v>51</v>
      </c>
      <c r="H238" t="s">
        <v>89</v>
      </c>
      <c r="I238" t="s">
        <v>69</v>
      </c>
      <c r="J238" t="s">
        <v>70</v>
      </c>
      <c r="K238">
        <v>813184</v>
      </c>
      <c r="L238" t="s">
        <v>398</v>
      </c>
      <c r="M238" t="s">
        <v>399</v>
      </c>
      <c r="N238" t="s">
        <v>57</v>
      </c>
      <c r="O238" s="1">
        <v>46052</v>
      </c>
      <c r="Q238" s="1">
        <v>46233</v>
      </c>
      <c r="R238" s="2">
        <v>32.28</v>
      </c>
      <c r="S238">
        <v>1</v>
      </c>
      <c r="T238" t="s">
        <v>58</v>
      </c>
      <c r="U238" t="s">
        <v>59</v>
      </c>
      <c r="V238" s="3">
        <v>0.75</v>
      </c>
      <c r="W238" s="2">
        <v>0</v>
      </c>
      <c r="X238">
        <v>0</v>
      </c>
      <c r="Y238" t="s">
        <v>60</v>
      </c>
      <c r="Z238" t="s">
        <v>248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24.21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46202</v>
      </c>
      <c r="B239" t="s">
        <v>48</v>
      </c>
      <c r="C239">
        <v>649163</v>
      </c>
      <c r="D239">
        <v>2033384423</v>
      </c>
      <c r="E239" t="s">
        <v>539</v>
      </c>
      <c r="F239" t="s">
        <v>540</v>
      </c>
      <c r="G239" t="s">
        <v>51</v>
      </c>
      <c r="H239" t="s">
        <v>89</v>
      </c>
      <c r="I239" t="s">
        <v>69</v>
      </c>
      <c r="J239" t="s">
        <v>79</v>
      </c>
      <c r="K239">
        <v>824062</v>
      </c>
      <c r="L239" t="s">
        <v>90</v>
      </c>
      <c r="M239" t="s">
        <v>91</v>
      </c>
      <c r="N239" t="s">
        <v>57</v>
      </c>
      <c r="O239" s="1">
        <v>46054</v>
      </c>
      <c r="Q239" s="1">
        <v>46235</v>
      </c>
      <c r="R239" s="2">
        <v>248.82</v>
      </c>
      <c r="S239">
        <v>1</v>
      </c>
      <c r="T239" t="s">
        <v>58</v>
      </c>
      <c r="U239" t="s">
        <v>59</v>
      </c>
      <c r="V239" s="3">
        <v>0.9</v>
      </c>
      <c r="W239" s="2">
        <v>0</v>
      </c>
      <c r="X239">
        <v>0</v>
      </c>
      <c r="Y239" t="s">
        <v>60</v>
      </c>
      <c r="Z239" t="s">
        <v>248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223.94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46202</v>
      </c>
      <c r="B240" t="s">
        <v>48</v>
      </c>
      <c r="C240">
        <v>649163</v>
      </c>
      <c r="D240">
        <v>2033385849</v>
      </c>
      <c r="E240" t="s">
        <v>541</v>
      </c>
      <c r="F240" t="s">
        <v>542</v>
      </c>
      <c r="G240" t="s">
        <v>51</v>
      </c>
      <c r="H240" t="s">
        <v>89</v>
      </c>
      <c r="I240" t="s">
        <v>69</v>
      </c>
      <c r="J240" t="s">
        <v>70</v>
      </c>
      <c r="K240">
        <v>814033</v>
      </c>
      <c r="L240" t="s">
        <v>490</v>
      </c>
      <c r="M240" t="s">
        <v>491</v>
      </c>
      <c r="N240" t="s">
        <v>57</v>
      </c>
      <c r="O240" s="1">
        <v>46054</v>
      </c>
      <c r="Q240" s="1">
        <v>46235</v>
      </c>
      <c r="R240" s="2">
        <v>35.58</v>
      </c>
      <c r="S240">
        <v>1</v>
      </c>
      <c r="T240" t="s">
        <v>58</v>
      </c>
      <c r="U240" t="s">
        <v>59</v>
      </c>
      <c r="V240" s="3">
        <v>0.75</v>
      </c>
      <c r="W240" s="2">
        <v>0</v>
      </c>
      <c r="X240">
        <v>0</v>
      </c>
      <c r="Y240" t="s">
        <v>60</v>
      </c>
      <c r="Z240" t="s">
        <v>248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26.68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46202</v>
      </c>
      <c r="B241" t="s">
        <v>48</v>
      </c>
      <c r="C241">
        <v>649163</v>
      </c>
      <c r="D241">
        <v>2033388995</v>
      </c>
      <c r="E241" t="s">
        <v>543</v>
      </c>
      <c r="F241" t="s">
        <v>103</v>
      </c>
      <c r="G241" t="s">
        <v>51</v>
      </c>
      <c r="H241" t="s">
        <v>89</v>
      </c>
      <c r="I241" t="s">
        <v>69</v>
      </c>
      <c r="J241" t="s">
        <v>338</v>
      </c>
      <c r="K241">
        <v>673059</v>
      </c>
      <c r="L241" t="s">
        <v>102</v>
      </c>
      <c r="M241" t="s">
        <v>103</v>
      </c>
      <c r="N241" t="s">
        <v>57</v>
      </c>
      <c r="O241" s="1">
        <v>46054</v>
      </c>
      <c r="Q241" s="1">
        <v>46235</v>
      </c>
      <c r="R241" s="2">
        <v>44.05</v>
      </c>
      <c r="S241">
        <v>1</v>
      </c>
      <c r="T241" t="s">
        <v>58</v>
      </c>
      <c r="U241" t="s">
        <v>59</v>
      </c>
      <c r="V241" s="3">
        <v>0.75</v>
      </c>
      <c r="W241" s="2">
        <v>0</v>
      </c>
      <c r="X241">
        <v>0</v>
      </c>
      <c r="Y241" t="s">
        <v>60</v>
      </c>
      <c r="Z241" t="s">
        <v>248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33.04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46202</v>
      </c>
      <c r="B242" t="s">
        <v>48</v>
      </c>
      <c r="C242">
        <v>649163</v>
      </c>
      <c r="D242">
        <v>2033389096</v>
      </c>
      <c r="E242" t="s">
        <v>370</v>
      </c>
      <c r="F242" t="s">
        <v>544</v>
      </c>
      <c r="G242" t="s">
        <v>51</v>
      </c>
      <c r="H242" t="s">
        <v>89</v>
      </c>
      <c r="I242" t="s">
        <v>69</v>
      </c>
      <c r="J242" t="s">
        <v>70</v>
      </c>
      <c r="K242">
        <v>856163</v>
      </c>
      <c r="L242" t="s">
        <v>113</v>
      </c>
      <c r="M242" t="s">
        <v>452</v>
      </c>
      <c r="N242" t="s">
        <v>57</v>
      </c>
      <c r="O242" s="1">
        <v>46054</v>
      </c>
      <c r="Q242" s="1">
        <v>46235</v>
      </c>
      <c r="R242" s="2">
        <v>66.099999999999994</v>
      </c>
      <c r="S242">
        <v>1</v>
      </c>
      <c r="T242" t="s">
        <v>58</v>
      </c>
      <c r="U242" t="s">
        <v>59</v>
      </c>
      <c r="V242" s="3">
        <v>0.75</v>
      </c>
      <c r="W242" s="2">
        <v>0</v>
      </c>
      <c r="X242">
        <v>0</v>
      </c>
      <c r="Y242" t="s">
        <v>60</v>
      </c>
      <c r="Z242" t="s">
        <v>248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49.58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46202</v>
      </c>
      <c r="B243" t="s">
        <v>48</v>
      </c>
      <c r="C243">
        <v>649163</v>
      </c>
      <c r="D243">
        <v>2033397571</v>
      </c>
      <c r="E243" t="s">
        <v>545</v>
      </c>
      <c r="F243" t="s">
        <v>546</v>
      </c>
      <c r="G243" t="s">
        <v>51</v>
      </c>
      <c r="H243" t="s">
        <v>84</v>
      </c>
      <c r="I243" t="s">
        <v>69</v>
      </c>
      <c r="J243" t="s">
        <v>70</v>
      </c>
      <c r="K243">
        <v>856824</v>
      </c>
      <c r="L243" t="s">
        <v>85</v>
      </c>
      <c r="M243" t="s">
        <v>86</v>
      </c>
      <c r="N243" t="s">
        <v>57</v>
      </c>
      <c r="O243" s="1">
        <v>46054</v>
      </c>
      <c r="Q243" s="1">
        <v>46235</v>
      </c>
      <c r="R243" s="2">
        <v>15.58</v>
      </c>
      <c r="S243">
        <v>1</v>
      </c>
      <c r="T243" t="s">
        <v>58</v>
      </c>
      <c r="U243" t="s">
        <v>59</v>
      </c>
      <c r="V243" s="3">
        <v>0.75</v>
      </c>
      <c r="W243" s="2">
        <v>0</v>
      </c>
      <c r="X243">
        <v>0</v>
      </c>
      <c r="Y243" t="s">
        <v>60</v>
      </c>
      <c r="Z243" t="s">
        <v>248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11.68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46202</v>
      </c>
      <c r="B244" t="s">
        <v>48</v>
      </c>
      <c r="C244">
        <v>649163</v>
      </c>
      <c r="D244">
        <v>2033397900</v>
      </c>
      <c r="E244" t="s">
        <v>547</v>
      </c>
      <c r="F244" t="s">
        <v>548</v>
      </c>
      <c r="G244" t="s">
        <v>51</v>
      </c>
      <c r="H244" t="s">
        <v>84</v>
      </c>
      <c r="I244" t="s">
        <v>69</v>
      </c>
      <c r="J244" t="s">
        <v>70</v>
      </c>
      <c r="K244">
        <v>856824</v>
      </c>
      <c r="L244" t="s">
        <v>85</v>
      </c>
      <c r="M244" t="s">
        <v>86</v>
      </c>
      <c r="N244" t="s">
        <v>57</v>
      </c>
      <c r="O244" s="1">
        <v>46054</v>
      </c>
      <c r="Q244" s="1">
        <v>46235</v>
      </c>
      <c r="R244" s="2">
        <v>74.2</v>
      </c>
      <c r="S244">
        <v>1</v>
      </c>
      <c r="T244" t="s">
        <v>58</v>
      </c>
      <c r="U244" t="s">
        <v>59</v>
      </c>
      <c r="V244" s="3">
        <v>0.75</v>
      </c>
      <c r="W244" s="2">
        <v>0</v>
      </c>
      <c r="X244">
        <v>0</v>
      </c>
      <c r="Y244" t="s">
        <v>60</v>
      </c>
      <c r="Z244" t="s">
        <v>248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55.65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46202</v>
      </c>
      <c r="B245" t="s">
        <v>48</v>
      </c>
      <c r="C245">
        <v>649163</v>
      </c>
      <c r="D245">
        <v>2033406946</v>
      </c>
      <c r="E245" t="s">
        <v>549</v>
      </c>
      <c r="F245" t="s">
        <v>550</v>
      </c>
      <c r="G245" t="s">
        <v>51</v>
      </c>
      <c r="H245" t="s">
        <v>89</v>
      </c>
      <c r="I245" t="s">
        <v>69</v>
      </c>
      <c r="J245" t="s">
        <v>79</v>
      </c>
      <c r="K245">
        <v>824062</v>
      </c>
      <c r="L245" t="s">
        <v>90</v>
      </c>
      <c r="M245" t="s">
        <v>91</v>
      </c>
      <c r="N245" t="s">
        <v>57</v>
      </c>
      <c r="O245" s="1">
        <v>46054</v>
      </c>
      <c r="Q245" s="1">
        <v>46235</v>
      </c>
      <c r="R245" s="2">
        <v>60.66</v>
      </c>
      <c r="S245">
        <v>1</v>
      </c>
      <c r="T245" t="s">
        <v>58</v>
      </c>
      <c r="U245" t="s">
        <v>59</v>
      </c>
      <c r="V245" s="3">
        <v>0.9</v>
      </c>
      <c r="W245" s="2">
        <v>0</v>
      </c>
      <c r="X245">
        <v>0</v>
      </c>
      <c r="Y245" t="s">
        <v>60</v>
      </c>
      <c r="Z245" t="s">
        <v>248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54.59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46202</v>
      </c>
      <c r="B246" t="s">
        <v>48</v>
      </c>
      <c r="C246">
        <v>649163</v>
      </c>
      <c r="D246">
        <v>2033411379</v>
      </c>
      <c r="E246" t="s">
        <v>551</v>
      </c>
      <c r="F246" t="s">
        <v>552</v>
      </c>
      <c r="G246" t="s">
        <v>51</v>
      </c>
      <c r="H246" t="s">
        <v>89</v>
      </c>
      <c r="I246" t="s">
        <v>69</v>
      </c>
      <c r="J246" t="s">
        <v>79</v>
      </c>
      <c r="K246">
        <v>824062</v>
      </c>
      <c r="L246" t="s">
        <v>90</v>
      </c>
      <c r="M246" t="s">
        <v>91</v>
      </c>
      <c r="N246" t="s">
        <v>57</v>
      </c>
      <c r="O246" s="1">
        <v>46054</v>
      </c>
      <c r="Q246" s="1">
        <v>46235</v>
      </c>
      <c r="R246" s="2">
        <v>211.67</v>
      </c>
      <c r="S246">
        <v>1</v>
      </c>
      <c r="T246" t="s">
        <v>58</v>
      </c>
      <c r="U246" t="s">
        <v>59</v>
      </c>
      <c r="V246" s="3">
        <v>0.9</v>
      </c>
      <c r="W246" s="2">
        <v>0</v>
      </c>
      <c r="X246">
        <v>0</v>
      </c>
      <c r="Y246" t="s">
        <v>60</v>
      </c>
      <c r="Z246" t="s">
        <v>248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190.5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46202</v>
      </c>
      <c r="B247" t="s">
        <v>48</v>
      </c>
      <c r="C247">
        <v>649163</v>
      </c>
      <c r="D247">
        <v>2033416943</v>
      </c>
      <c r="E247" t="s">
        <v>553</v>
      </c>
      <c r="F247" t="s">
        <v>554</v>
      </c>
      <c r="G247" t="s">
        <v>51</v>
      </c>
      <c r="H247" t="s">
        <v>94</v>
      </c>
      <c r="I247" t="s">
        <v>69</v>
      </c>
      <c r="J247" t="s">
        <v>101</v>
      </c>
      <c r="K247">
        <v>816021</v>
      </c>
      <c r="L247" t="s">
        <v>80</v>
      </c>
      <c r="M247" t="s">
        <v>81</v>
      </c>
      <c r="N247" t="s">
        <v>57</v>
      </c>
      <c r="O247" s="1">
        <v>46053</v>
      </c>
      <c r="Q247" s="1">
        <v>46233</v>
      </c>
      <c r="R247" s="2">
        <v>10.43</v>
      </c>
      <c r="S247">
        <v>1</v>
      </c>
      <c r="T247" t="s">
        <v>58</v>
      </c>
      <c r="U247" t="s">
        <v>59</v>
      </c>
      <c r="V247" s="3">
        <v>0.65</v>
      </c>
      <c r="W247" s="2">
        <v>0</v>
      </c>
      <c r="X247">
        <v>0</v>
      </c>
      <c r="Y247" t="s">
        <v>60</v>
      </c>
      <c r="Z247" t="s">
        <v>248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6.78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46202</v>
      </c>
      <c r="B248" t="s">
        <v>48</v>
      </c>
      <c r="C248">
        <v>649163</v>
      </c>
      <c r="D248">
        <v>2033417870</v>
      </c>
      <c r="E248" t="s">
        <v>555</v>
      </c>
      <c r="F248" t="s">
        <v>491</v>
      </c>
      <c r="G248" t="s">
        <v>51</v>
      </c>
      <c r="H248" t="s">
        <v>89</v>
      </c>
      <c r="I248" t="s">
        <v>69</v>
      </c>
      <c r="J248" t="s">
        <v>70</v>
      </c>
      <c r="K248">
        <v>823350</v>
      </c>
      <c r="L248" t="s">
        <v>113</v>
      </c>
      <c r="M248" t="s">
        <v>114</v>
      </c>
      <c r="N248" t="s">
        <v>57</v>
      </c>
      <c r="O248" s="1">
        <v>46055</v>
      </c>
      <c r="Q248" s="1">
        <v>46236</v>
      </c>
      <c r="R248" s="2">
        <v>13.69</v>
      </c>
      <c r="S248">
        <v>1</v>
      </c>
      <c r="T248" t="s">
        <v>58</v>
      </c>
      <c r="U248" t="s">
        <v>59</v>
      </c>
      <c r="V248" s="3">
        <v>0.75</v>
      </c>
      <c r="W248" s="2">
        <v>0</v>
      </c>
      <c r="X248">
        <v>0</v>
      </c>
      <c r="Y248" t="s">
        <v>60</v>
      </c>
      <c r="Z248" t="s">
        <v>248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10.27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46202</v>
      </c>
      <c r="B249" t="s">
        <v>48</v>
      </c>
      <c r="C249">
        <v>649163</v>
      </c>
      <c r="D249">
        <v>2033422851</v>
      </c>
      <c r="E249" t="s">
        <v>556</v>
      </c>
      <c r="F249" t="s">
        <v>557</v>
      </c>
      <c r="G249" t="s">
        <v>51</v>
      </c>
      <c r="H249" t="s">
        <v>89</v>
      </c>
      <c r="I249" t="s">
        <v>69</v>
      </c>
      <c r="J249" t="s">
        <v>70</v>
      </c>
      <c r="K249">
        <v>823350</v>
      </c>
      <c r="L249" t="s">
        <v>113</v>
      </c>
      <c r="M249" t="s">
        <v>114</v>
      </c>
      <c r="N249" t="s">
        <v>57</v>
      </c>
      <c r="O249" s="1">
        <v>46055</v>
      </c>
      <c r="Q249" s="1">
        <v>46236</v>
      </c>
      <c r="R249" s="2">
        <v>49.35</v>
      </c>
      <c r="S249">
        <v>1</v>
      </c>
      <c r="T249" t="s">
        <v>58</v>
      </c>
      <c r="U249" t="s">
        <v>59</v>
      </c>
      <c r="V249" s="3">
        <v>0.75</v>
      </c>
      <c r="W249" s="2">
        <v>0</v>
      </c>
      <c r="X249">
        <v>0</v>
      </c>
      <c r="Y249" t="s">
        <v>60</v>
      </c>
      <c r="Z249" t="s">
        <v>248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37.01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46202</v>
      </c>
      <c r="B250" t="s">
        <v>48</v>
      </c>
      <c r="C250">
        <v>649163</v>
      </c>
      <c r="D250">
        <v>2033431242</v>
      </c>
      <c r="E250" t="s">
        <v>558</v>
      </c>
      <c r="F250" t="s">
        <v>559</v>
      </c>
      <c r="G250" t="s">
        <v>51</v>
      </c>
      <c r="H250" t="s">
        <v>146</v>
      </c>
      <c r="I250" t="s">
        <v>69</v>
      </c>
      <c r="J250" t="s">
        <v>79</v>
      </c>
      <c r="K250">
        <v>902625</v>
      </c>
      <c r="L250" t="s">
        <v>147</v>
      </c>
      <c r="M250" t="s">
        <v>148</v>
      </c>
      <c r="N250" t="s">
        <v>57</v>
      </c>
      <c r="O250" s="1">
        <v>46054</v>
      </c>
      <c r="Q250" s="1">
        <v>46235</v>
      </c>
      <c r="R250" s="2">
        <v>55.13</v>
      </c>
      <c r="S250">
        <v>1</v>
      </c>
      <c r="T250" t="s">
        <v>58</v>
      </c>
      <c r="U250" t="s">
        <v>59</v>
      </c>
      <c r="V250" s="3">
        <v>0.9</v>
      </c>
      <c r="W250" s="2">
        <v>0</v>
      </c>
      <c r="X250">
        <v>0</v>
      </c>
      <c r="Y250" t="s">
        <v>60</v>
      </c>
      <c r="Z250" t="s">
        <v>248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49.62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46202</v>
      </c>
      <c r="B251" t="s">
        <v>48</v>
      </c>
      <c r="C251">
        <v>649163</v>
      </c>
      <c r="D251">
        <v>2033478391</v>
      </c>
      <c r="E251" t="s">
        <v>560</v>
      </c>
      <c r="F251" t="s">
        <v>156</v>
      </c>
      <c r="G251" t="s">
        <v>51</v>
      </c>
      <c r="H251" t="s">
        <v>200</v>
      </c>
      <c r="I251" t="s">
        <v>69</v>
      </c>
      <c r="J251" t="s">
        <v>338</v>
      </c>
      <c r="K251">
        <v>942810</v>
      </c>
      <c r="L251" t="s">
        <v>505</v>
      </c>
      <c r="M251" t="s">
        <v>506</v>
      </c>
      <c r="N251" t="s">
        <v>57</v>
      </c>
      <c r="O251" s="1">
        <v>46058</v>
      </c>
      <c r="Q251" s="1">
        <v>46239</v>
      </c>
      <c r="R251" s="2">
        <v>48.55</v>
      </c>
      <c r="S251">
        <v>1</v>
      </c>
      <c r="T251" t="s">
        <v>58</v>
      </c>
      <c r="U251" t="s">
        <v>59</v>
      </c>
      <c r="V251" s="3">
        <v>0.75</v>
      </c>
      <c r="W251" s="2">
        <v>0</v>
      </c>
      <c r="X251">
        <v>0</v>
      </c>
      <c r="Y251" t="s">
        <v>60</v>
      </c>
      <c r="Z251" t="s">
        <v>248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36.409999999999997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46202</v>
      </c>
      <c r="B252" t="s">
        <v>48</v>
      </c>
      <c r="C252">
        <v>649163</v>
      </c>
      <c r="D252">
        <v>2033957113</v>
      </c>
      <c r="E252" t="s">
        <v>368</v>
      </c>
      <c r="F252" t="s">
        <v>561</v>
      </c>
      <c r="G252" t="s">
        <v>51</v>
      </c>
      <c r="H252" t="s">
        <v>89</v>
      </c>
      <c r="I252" t="s">
        <v>69</v>
      </c>
      <c r="J252" t="s">
        <v>79</v>
      </c>
      <c r="K252">
        <v>768887</v>
      </c>
      <c r="L252" t="s">
        <v>368</v>
      </c>
      <c r="M252" t="s">
        <v>369</v>
      </c>
      <c r="N252" t="s">
        <v>57</v>
      </c>
      <c r="O252" s="1">
        <v>46080</v>
      </c>
      <c r="Q252" s="1">
        <v>46230</v>
      </c>
      <c r="R252" s="2">
        <v>30.84</v>
      </c>
      <c r="S252">
        <v>1</v>
      </c>
      <c r="T252" t="s">
        <v>58</v>
      </c>
      <c r="U252" t="s">
        <v>59</v>
      </c>
      <c r="V252" s="3">
        <v>0.9</v>
      </c>
      <c r="W252" s="2">
        <v>0</v>
      </c>
      <c r="X252">
        <v>0</v>
      </c>
      <c r="Y252" t="s">
        <v>60</v>
      </c>
      <c r="Z252" t="s">
        <v>248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27.76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46202</v>
      </c>
      <c r="B253" t="s">
        <v>48</v>
      </c>
      <c r="C253">
        <v>649163</v>
      </c>
      <c r="D253">
        <v>2033991828</v>
      </c>
      <c r="E253" t="s">
        <v>562</v>
      </c>
      <c r="F253" t="s">
        <v>478</v>
      </c>
      <c r="G253" t="s">
        <v>51</v>
      </c>
      <c r="H253" t="s">
        <v>200</v>
      </c>
      <c r="I253" t="s">
        <v>69</v>
      </c>
      <c r="J253" t="s">
        <v>79</v>
      </c>
      <c r="K253">
        <v>877790</v>
      </c>
      <c r="L253" t="s">
        <v>563</v>
      </c>
      <c r="M253" t="s">
        <v>564</v>
      </c>
      <c r="N253" t="s">
        <v>57</v>
      </c>
      <c r="O253" s="1">
        <v>46081</v>
      </c>
      <c r="Q253" s="1">
        <v>46231</v>
      </c>
      <c r="R253" s="2">
        <v>71.5</v>
      </c>
      <c r="S253">
        <v>1</v>
      </c>
      <c r="T253" t="s">
        <v>58</v>
      </c>
      <c r="U253" t="s">
        <v>59</v>
      </c>
      <c r="V253" s="3">
        <v>0.9</v>
      </c>
      <c r="W253" s="2">
        <v>0</v>
      </c>
      <c r="X253">
        <v>0</v>
      </c>
      <c r="Y253" t="s">
        <v>60</v>
      </c>
      <c r="Z253" t="s">
        <v>248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64.349999999999994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46202</v>
      </c>
      <c r="B254" t="s">
        <v>48</v>
      </c>
      <c r="C254">
        <v>649163</v>
      </c>
      <c r="D254">
        <v>2034373765</v>
      </c>
      <c r="E254" t="s">
        <v>565</v>
      </c>
      <c r="F254" t="s">
        <v>566</v>
      </c>
      <c r="G254" t="s">
        <v>51</v>
      </c>
      <c r="H254" t="s">
        <v>89</v>
      </c>
      <c r="I254" t="s">
        <v>69</v>
      </c>
      <c r="J254" t="s">
        <v>79</v>
      </c>
      <c r="K254">
        <v>824062</v>
      </c>
      <c r="L254" t="s">
        <v>90</v>
      </c>
      <c r="M254" t="s">
        <v>91</v>
      </c>
      <c r="N254" t="s">
        <v>57</v>
      </c>
      <c r="O254" s="1">
        <v>46140</v>
      </c>
      <c r="Q254" s="1">
        <v>46231</v>
      </c>
      <c r="R254" s="2">
        <v>42.82</v>
      </c>
      <c r="S254">
        <v>1</v>
      </c>
      <c r="T254" t="s">
        <v>58</v>
      </c>
      <c r="U254" t="s">
        <v>59</v>
      </c>
      <c r="V254" s="3">
        <v>0.9</v>
      </c>
      <c r="W254" s="2">
        <v>0</v>
      </c>
      <c r="X254">
        <v>0</v>
      </c>
      <c r="Y254" t="s">
        <v>60</v>
      </c>
      <c r="Z254" t="s">
        <v>248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38.54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46202</v>
      </c>
      <c r="B255" t="s">
        <v>48</v>
      </c>
      <c r="C255">
        <v>649163</v>
      </c>
      <c r="D255">
        <v>2034425177</v>
      </c>
      <c r="E255" t="s">
        <v>567</v>
      </c>
      <c r="F255" t="s">
        <v>171</v>
      </c>
      <c r="G255" t="s">
        <v>51</v>
      </c>
      <c r="H255" t="s">
        <v>146</v>
      </c>
      <c r="I255" t="s">
        <v>69</v>
      </c>
      <c r="J255" t="s">
        <v>79</v>
      </c>
      <c r="K255">
        <v>652037</v>
      </c>
      <c r="L255" t="s">
        <v>55</v>
      </c>
      <c r="M255" t="s">
        <v>252</v>
      </c>
      <c r="N255" t="s">
        <v>57</v>
      </c>
      <c r="O255" s="1">
        <v>46109</v>
      </c>
      <c r="Q255" s="1">
        <v>46231</v>
      </c>
      <c r="R255" s="2">
        <v>73.25</v>
      </c>
      <c r="S255">
        <v>1</v>
      </c>
      <c r="T255" t="s">
        <v>58</v>
      </c>
      <c r="U255" t="s">
        <v>59</v>
      </c>
      <c r="V255" s="3">
        <v>0.9</v>
      </c>
      <c r="W255" s="2">
        <v>0</v>
      </c>
      <c r="X255">
        <v>0</v>
      </c>
      <c r="Y255" t="s">
        <v>60</v>
      </c>
      <c r="Z255" t="s">
        <v>248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65.92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46202</v>
      </c>
      <c r="B256" t="s">
        <v>48</v>
      </c>
      <c r="C256">
        <v>649163</v>
      </c>
      <c r="D256">
        <v>2034574492</v>
      </c>
      <c r="E256" t="s">
        <v>568</v>
      </c>
      <c r="F256" t="s">
        <v>254</v>
      </c>
      <c r="G256" t="s">
        <v>51</v>
      </c>
      <c r="H256" t="s">
        <v>89</v>
      </c>
      <c r="I256" t="s">
        <v>69</v>
      </c>
      <c r="J256" t="s">
        <v>79</v>
      </c>
      <c r="K256">
        <v>813184</v>
      </c>
      <c r="L256" t="s">
        <v>398</v>
      </c>
      <c r="M256" t="s">
        <v>399</v>
      </c>
      <c r="N256" t="s">
        <v>57</v>
      </c>
      <c r="O256" s="1">
        <v>46108</v>
      </c>
      <c r="Q256" s="1">
        <v>46230</v>
      </c>
      <c r="R256" s="2">
        <v>15.23</v>
      </c>
      <c r="S256">
        <v>1</v>
      </c>
      <c r="T256" t="s">
        <v>58</v>
      </c>
      <c r="U256" t="s">
        <v>59</v>
      </c>
      <c r="V256" s="3">
        <v>0.9</v>
      </c>
      <c r="W256" s="2">
        <v>0</v>
      </c>
      <c r="X256">
        <v>0</v>
      </c>
      <c r="Y256" t="s">
        <v>60</v>
      </c>
      <c r="Z256" t="s">
        <v>248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13.71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46202</v>
      </c>
      <c r="B257" t="s">
        <v>48</v>
      </c>
      <c r="C257">
        <v>649163</v>
      </c>
      <c r="D257">
        <v>2034671436</v>
      </c>
      <c r="E257" t="s">
        <v>569</v>
      </c>
      <c r="F257" t="s">
        <v>570</v>
      </c>
      <c r="G257" t="s">
        <v>51</v>
      </c>
      <c r="H257" t="s">
        <v>200</v>
      </c>
      <c r="I257" t="s">
        <v>69</v>
      </c>
      <c r="J257" t="s">
        <v>79</v>
      </c>
      <c r="K257">
        <v>942810</v>
      </c>
      <c r="L257" t="s">
        <v>505</v>
      </c>
      <c r="M257" t="s">
        <v>506</v>
      </c>
      <c r="N257" t="s">
        <v>57</v>
      </c>
      <c r="O257" s="1">
        <v>46108</v>
      </c>
      <c r="Q257" s="1">
        <v>46230</v>
      </c>
      <c r="R257" s="2">
        <v>79.84</v>
      </c>
      <c r="S257">
        <v>1</v>
      </c>
      <c r="T257" t="s">
        <v>58</v>
      </c>
      <c r="U257" t="s">
        <v>59</v>
      </c>
      <c r="V257" s="3">
        <v>0.9</v>
      </c>
      <c r="W257" s="2">
        <v>0</v>
      </c>
      <c r="X257">
        <v>0</v>
      </c>
      <c r="Y257" t="s">
        <v>60</v>
      </c>
      <c r="Z257" t="s">
        <v>248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71.86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46202</v>
      </c>
      <c r="B258" t="s">
        <v>48</v>
      </c>
      <c r="C258">
        <v>649163</v>
      </c>
      <c r="D258">
        <v>2035095474</v>
      </c>
      <c r="E258" t="s">
        <v>571</v>
      </c>
      <c r="F258" t="s">
        <v>572</v>
      </c>
      <c r="G258" t="s">
        <v>51</v>
      </c>
      <c r="H258" t="s">
        <v>94</v>
      </c>
      <c r="I258" t="s">
        <v>69</v>
      </c>
      <c r="J258" t="s">
        <v>101</v>
      </c>
      <c r="K258">
        <v>824082</v>
      </c>
      <c r="L258" t="s">
        <v>129</v>
      </c>
      <c r="M258" t="s">
        <v>130</v>
      </c>
      <c r="N258" t="s">
        <v>257</v>
      </c>
      <c r="O258" s="1">
        <v>46143</v>
      </c>
      <c r="P258" s="1">
        <v>46202</v>
      </c>
      <c r="Q258" s="1">
        <v>46204</v>
      </c>
      <c r="R258" s="2">
        <v>-13.11</v>
      </c>
      <c r="S258">
        <v>1</v>
      </c>
      <c r="T258" t="s">
        <v>58</v>
      </c>
      <c r="U258" t="s">
        <v>59</v>
      </c>
      <c r="V258" s="3">
        <v>0.65</v>
      </c>
      <c r="W258" s="2">
        <v>0</v>
      </c>
      <c r="X258">
        <v>-1</v>
      </c>
      <c r="Y258" t="s">
        <v>60</v>
      </c>
      <c r="Z258" t="s">
        <v>248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-8.52</v>
      </c>
      <c r="AN258" s="2">
        <v>-8.52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46202</v>
      </c>
      <c r="B259" t="s">
        <v>48</v>
      </c>
      <c r="C259">
        <v>649163</v>
      </c>
      <c r="D259">
        <v>2035178355</v>
      </c>
      <c r="E259" t="s">
        <v>573</v>
      </c>
      <c r="F259" t="s">
        <v>209</v>
      </c>
      <c r="G259" t="s">
        <v>51</v>
      </c>
      <c r="H259" t="s">
        <v>100</v>
      </c>
      <c r="I259" t="s">
        <v>69</v>
      </c>
      <c r="J259" t="s">
        <v>70</v>
      </c>
      <c r="K259">
        <v>878036</v>
      </c>
      <c r="L259" t="s">
        <v>220</v>
      </c>
      <c r="M259" t="s">
        <v>221</v>
      </c>
      <c r="N259" t="s">
        <v>57</v>
      </c>
      <c r="O259" s="1">
        <v>46141</v>
      </c>
      <c r="Q259" s="1">
        <v>46232</v>
      </c>
      <c r="R259" s="2">
        <v>43.91</v>
      </c>
      <c r="S259">
        <v>1</v>
      </c>
      <c r="T259" t="s">
        <v>58</v>
      </c>
      <c r="U259" t="s">
        <v>59</v>
      </c>
      <c r="V259" s="3">
        <v>0.75</v>
      </c>
      <c r="W259" s="2">
        <v>0</v>
      </c>
      <c r="X259">
        <v>0</v>
      </c>
      <c r="Y259" t="s">
        <v>60</v>
      </c>
      <c r="Z259" t="s">
        <v>248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32.93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46202</v>
      </c>
      <c r="B260" t="s">
        <v>48</v>
      </c>
      <c r="C260">
        <v>649163</v>
      </c>
      <c r="D260">
        <v>2035532860</v>
      </c>
      <c r="E260" t="s">
        <v>574</v>
      </c>
      <c r="F260" t="s">
        <v>575</v>
      </c>
      <c r="G260" t="s">
        <v>51</v>
      </c>
      <c r="H260" t="s">
        <v>97</v>
      </c>
      <c r="I260" t="s">
        <v>69</v>
      </c>
      <c r="J260" t="s">
        <v>79</v>
      </c>
      <c r="K260">
        <v>673059</v>
      </c>
      <c r="L260" t="s">
        <v>102</v>
      </c>
      <c r="M260" t="s">
        <v>103</v>
      </c>
      <c r="N260" t="s">
        <v>57</v>
      </c>
      <c r="O260" s="1">
        <v>46172</v>
      </c>
      <c r="Q260" s="1">
        <v>46233</v>
      </c>
      <c r="R260" s="2">
        <v>65.08</v>
      </c>
      <c r="S260">
        <v>1</v>
      </c>
      <c r="T260" t="s">
        <v>58</v>
      </c>
      <c r="U260" t="s">
        <v>59</v>
      </c>
      <c r="V260" s="3">
        <v>0.9</v>
      </c>
      <c r="W260" s="2">
        <v>0</v>
      </c>
      <c r="X260">
        <v>0</v>
      </c>
      <c r="Y260" t="s">
        <v>60</v>
      </c>
      <c r="Z260" t="s">
        <v>248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58.57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46202</v>
      </c>
      <c r="B261" t="s">
        <v>48</v>
      </c>
      <c r="C261">
        <v>649163</v>
      </c>
      <c r="D261">
        <v>2035678387</v>
      </c>
      <c r="E261" t="s">
        <v>576</v>
      </c>
      <c r="F261" t="s">
        <v>577</v>
      </c>
      <c r="G261" t="s">
        <v>51</v>
      </c>
      <c r="H261" t="s">
        <v>425</v>
      </c>
      <c r="I261" t="s">
        <v>69</v>
      </c>
      <c r="J261" t="s">
        <v>79</v>
      </c>
      <c r="K261">
        <v>823350</v>
      </c>
      <c r="L261" t="s">
        <v>113</v>
      </c>
      <c r="M261" t="s">
        <v>114</v>
      </c>
      <c r="N261" t="s">
        <v>57</v>
      </c>
      <c r="O261" s="1">
        <v>46171</v>
      </c>
      <c r="Q261" s="1">
        <v>46232</v>
      </c>
      <c r="R261" s="2">
        <v>30.05</v>
      </c>
      <c r="S261">
        <v>1</v>
      </c>
      <c r="T261" t="s">
        <v>58</v>
      </c>
      <c r="U261" t="s">
        <v>59</v>
      </c>
      <c r="V261" s="3">
        <v>0.9</v>
      </c>
      <c r="W261" s="2">
        <v>0</v>
      </c>
      <c r="X261">
        <v>0</v>
      </c>
      <c r="Y261" t="s">
        <v>60</v>
      </c>
      <c r="Z261" t="s">
        <v>248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27.04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46202</v>
      </c>
      <c r="B262" t="s">
        <v>48</v>
      </c>
      <c r="C262">
        <v>649163</v>
      </c>
      <c r="D262">
        <v>2035831646</v>
      </c>
      <c r="E262" t="s">
        <v>578</v>
      </c>
      <c r="F262" t="s">
        <v>579</v>
      </c>
      <c r="G262" t="s">
        <v>51</v>
      </c>
      <c r="H262" t="s">
        <v>332</v>
      </c>
      <c r="I262" t="s">
        <v>69</v>
      </c>
      <c r="J262" t="s">
        <v>338</v>
      </c>
      <c r="K262">
        <v>824082</v>
      </c>
      <c r="L262" t="s">
        <v>129</v>
      </c>
      <c r="M262" t="s">
        <v>130</v>
      </c>
      <c r="N262" t="s">
        <v>257</v>
      </c>
      <c r="O262" s="1">
        <v>46177</v>
      </c>
      <c r="P262" s="1">
        <v>46202</v>
      </c>
      <c r="Q262" s="1">
        <v>46207</v>
      </c>
      <c r="R262" s="2">
        <v>-24.36</v>
      </c>
      <c r="S262">
        <v>1</v>
      </c>
      <c r="T262" t="s">
        <v>58</v>
      </c>
      <c r="U262" t="s">
        <v>59</v>
      </c>
      <c r="V262" s="3">
        <v>0.75</v>
      </c>
      <c r="W262" s="2">
        <v>0</v>
      </c>
      <c r="X262">
        <v>-1</v>
      </c>
      <c r="Y262" t="s">
        <v>60</v>
      </c>
      <c r="Z262" t="s">
        <v>248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-18.27</v>
      </c>
      <c r="AN262" s="2">
        <v>-18.27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46202</v>
      </c>
      <c r="B263" t="s">
        <v>48</v>
      </c>
      <c r="C263">
        <v>649163</v>
      </c>
      <c r="D263">
        <v>2017472584</v>
      </c>
      <c r="E263" t="s">
        <v>580</v>
      </c>
      <c r="F263" t="s">
        <v>552</v>
      </c>
      <c r="G263" t="s">
        <v>51</v>
      </c>
      <c r="H263" t="s">
        <v>89</v>
      </c>
      <c r="I263" t="s">
        <v>149</v>
      </c>
      <c r="J263" t="s">
        <v>581</v>
      </c>
      <c r="K263">
        <v>649793</v>
      </c>
      <c r="L263" t="s">
        <v>102</v>
      </c>
      <c r="M263" t="s">
        <v>333</v>
      </c>
      <c r="N263" t="s">
        <v>57</v>
      </c>
      <c r="O263" s="1">
        <v>44954</v>
      </c>
      <c r="Q263" s="1">
        <v>46231</v>
      </c>
      <c r="R263" s="2">
        <v>15</v>
      </c>
      <c r="S263">
        <v>1</v>
      </c>
      <c r="T263" t="s">
        <v>58</v>
      </c>
      <c r="U263" t="s">
        <v>246</v>
      </c>
      <c r="V263" s="3">
        <v>0.28999999999999998</v>
      </c>
      <c r="W263" s="2">
        <v>0</v>
      </c>
      <c r="X263">
        <v>0</v>
      </c>
      <c r="Y263" t="s">
        <v>247</v>
      </c>
      <c r="Z263" t="s">
        <v>248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4.3499999999999996</v>
      </c>
      <c r="AN263" s="2">
        <v>4.3499999999999996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46202</v>
      </c>
      <c r="B264" t="s">
        <v>48</v>
      </c>
      <c r="C264">
        <v>649163</v>
      </c>
      <c r="D264">
        <v>2020392187</v>
      </c>
      <c r="E264" t="s">
        <v>582</v>
      </c>
      <c r="F264" t="s">
        <v>583</v>
      </c>
      <c r="G264" t="s">
        <v>51</v>
      </c>
      <c r="H264" t="s">
        <v>332</v>
      </c>
      <c r="I264" t="s">
        <v>149</v>
      </c>
      <c r="J264" t="s">
        <v>584</v>
      </c>
      <c r="K264">
        <v>673059</v>
      </c>
      <c r="L264" t="s">
        <v>102</v>
      </c>
      <c r="M264" t="s">
        <v>103</v>
      </c>
      <c r="N264" t="s">
        <v>57</v>
      </c>
      <c r="O264" s="1">
        <v>45288</v>
      </c>
      <c r="Q264" s="1">
        <v>46231</v>
      </c>
      <c r="R264" s="2">
        <v>15</v>
      </c>
      <c r="S264">
        <v>1</v>
      </c>
      <c r="T264" t="s">
        <v>58</v>
      </c>
      <c r="U264" t="s">
        <v>246</v>
      </c>
      <c r="V264" s="3">
        <v>0.28999999999999998</v>
      </c>
      <c r="W264" s="2">
        <v>0</v>
      </c>
      <c r="X264">
        <v>0</v>
      </c>
      <c r="Y264" t="s">
        <v>247</v>
      </c>
      <c r="Z264" t="s">
        <v>248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4.3499999999999996</v>
      </c>
      <c r="AN264" s="2">
        <v>4.3499999999999996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46202</v>
      </c>
      <c r="B265" t="s">
        <v>48</v>
      </c>
      <c r="C265">
        <v>649163</v>
      </c>
      <c r="D265">
        <v>2023809266</v>
      </c>
      <c r="E265" t="s">
        <v>585</v>
      </c>
      <c r="F265" t="s">
        <v>586</v>
      </c>
      <c r="G265" t="s">
        <v>51</v>
      </c>
      <c r="H265" t="s">
        <v>332</v>
      </c>
      <c r="I265" t="s">
        <v>149</v>
      </c>
      <c r="J265" t="s">
        <v>584</v>
      </c>
      <c r="K265">
        <v>673059</v>
      </c>
      <c r="L265" t="s">
        <v>102</v>
      </c>
      <c r="M265" t="s">
        <v>103</v>
      </c>
      <c r="N265" t="s">
        <v>57</v>
      </c>
      <c r="O265" s="1">
        <v>45653</v>
      </c>
      <c r="Q265" s="1">
        <v>46230</v>
      </c>
      <c r="R265" s="2">
        <v>15</v>
      </c>
      <c r="S265">
        <v>1</v>
      </c>
      <c r="T265" t="s">
        <v>58</v>
      </c>
      <c r="U265" t="s">
        <v>246</v>
      </c>
      <c r="V265" s="3">
        <v>0.28999999999999998</v>
      </c>
      <c r="W265" s="2">
        <v>0</v>
      </c>
      <c r="X265">
        <v>0</v>
      </c>
      <c r="Y265" t="s">
        <v>247</v>
      </c>
      <c r="Z265" t="s">
        <v>248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4.3499999999999996</v>
      </c>
      <c r="AN265" s="2">
        <v>4.3499999999999996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46202</v>
      </c>
      <c r="B266" t="s">
        <v>48</v>
      </c>
      <c r="C266">
        <v>649163</v>
      </c>
      <c r="D266">
        <v>2023957696</v>
      </c>
      <c r="E266" t="s">
        <v>587</v>
      </c>
      <c r="F266" t="s">
        <v>588</v>
      </c>
      <c r="G266" t="s">
        <v>51</v>
      </c>
      <c r="H266" t="s">
        <v>100</v>
      </c>
      <c r="I266" t="s">
        <v>149</v>
      </c>
      <c r="J266" t="s">
        <v>584</v>
      </c>
      <c r="K266">
        <v>673059</v>
      </c>
      <c r="L266" t="s">
        <v>102</v>
      </c>
      <c r="M266" t="s">
        <v>103</v>
      </c>
      <c r="N266" t="s">
        <v>57</v>
      </c>
      <c r="O266" s="1">
        <v>45656</v>
      </c>
      <c r="Q266" s="1">
        <v>46233</v>
      </c>
      <c r="R266" s="2">
        <v>15</v>
      </c>
      <c r="S266">
        <v>1</v>
      </c>
      <c r="T266" t="s">
        <v>58</v>
      </c>
      <c r="U266" t="s">
        <v>246</v>
      </c>
      <c r="V266" s="3">
        <v>0.28999999999999998</v>
      </c>
      <c r="W266" s="2">
        <v>0</v>
      </c>
      <c r="X266">
        <v>0</v>
      </c>
      <c r="Y266" t="s">
        <v>247</v>
      </c>
      <c r="Z266" t="s">
        <v>248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4.3499999999999996</v>
      </c>
      <c r="AN266" s="2">
        <v>4.3499999999999996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46202</v>
      </c>
      <c r="B267" t="s">
        <v>48</v>
      </c>
      <c r="C267">
        <v>649163</v>
      </c>
      <c r="D267">
        <v>2023963352</v>
      </c>
      <c r="E267" t="s">
        <v>589</v>
      </c>
      <c r="F267" t="s">
        <v>63</v>
      </c>
      <c r="G267" t="s">
        <v>51</v>
      </c>
      <c r="H267" t="s">
        <v>100</v>
      </c>
      <c r="I267" t="s">
        <v>149</v>
      </c>
      <c r="J267" t="s">
        <v>584</v>
      </c>
      <c r="K267">
        <v>673059</v>
      </c>
      <c r="L267" t="s">
        <v>102</v>
      </c>
      <c r="M267" t="s">
        <v>103</v>
      </c>
      <c r="N267" t="s">
        <v>57</v>
      </c>
      <c r="O267" s="1">
        <v>45656</v>
      </c>
      <c r="Q267" s="1">
        <v>46233</v>
      </c>
      <c r="R267" s="2">
        <v>15</v>
      </c>
      <c r="S267">
        <v>1</v>
      </c>
      <c r="T267" t="s">
        <v>58</v>
      </c>
      <c r="U267" t="s">
        <v>246</v>
      </c>
      <c r="V267" s="3">
        <v>0.28999999999999998</v>
      </c>
      <c r="W267" s="2">
        <v>0</v>
      </c>
      <c r="X267">
        <v>0</v>
      </c>
      <c r="Y267" t="s">
        <v>247</v>
      </c>
      <c r="Z267" t="s">
        <v>248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4.3499999999999996</v>
      </c>
      <c r="AN267" s="2">
        <v>4.3499999999999996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46202</v>
      </c>
      <c r="B268" t="s">
        <v>48</v>
      </c>
      <c r="C268">
        <v>649163</v>
      </c>
      <c r="D268">
        <v>2023964242</v>
      </c>
      <c r="E268" t="s">
        <v>590</v>
      </c>
      <c r="F268" t="s">
        <v>504</v>
      </c>
      <c r="G268" t="s">
        <v>51</v>
      </c>
      <c r="H268" t="s">
        <v>591</v>
      </c>
      <c r="I268" t="s">
        <v>149</v>
      </c>
      <c r="J268" t="s">
        <v>584</v>
      </c>
      <c r="K268">
        <v>673059</v>
      </c>
      <c r="L268" t="s">
        <v>102</v>
      </c>
      <c r="M268" t="s">
        <v>103</v>
      </c>
      <c r="N268" t="s">
        <v>57</v>
      </c>
      <c r="O268" s="1">
        <v>45656</v>
      </c>
      <c r="Q268" s="1">
        <v>46233</v>
      </c>
      <c r="R268" s="2">
        <v>15</v>
      </c>
      <c r="S268">
        <v>1</v>
      </c>
      <c r="T268" t="s">
        <v>58</v>
      </c>
      <c r="U268" t="s">
        <v>246</v>
      </c>
      <c r="V268" s="3">
        <v>0.28999999999999998</v>
      </c>
      <c r="W268" s="2">
        <v>0</v>
      </c>
      <c r="X268">
        <v>0</v>
      </c>
      <c r="Y268" t="s">
        <v>247</v>
      </c>
      <c r="Z268" t="s">
        <v>248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4.3499999999999996</v>
      </c>
      <c r="AN268" s="2">
        <v>4.3499999999999996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46202</v>
      </c>
      <c r="B269" t="s">
        <v>48</v>
      </c>
      <c r="C269">
        <v>649163</v>
      </c>
      <c r="D269">
        <v>2024035178</v>
      </c>
      <c r="E269" t="s">
        <v>592</v>
      </c>
      <c r="F269" t="s">
        <v>318</v>
      </c>
      <c r="G269" t="s">
        <v>51</v>
      </c>
      <c r="H269" t="s">
        <v>332</v>
      </c>
      <c r="I269" t="s">
        <v>149</v>
      </c>
      <c r="J269" t="s">
        <v>584</v>
      </c>
      <c r="K269">
        <v>673059</v>
      </c>
      <c r="L269" t="s">
        <v>102</v>
      </c>
      <c r="M269" t="s">
        <v>103</v>
      </c>
      <c r="N269" t="s">
        <v>57</v>
      </c>
      <c r="O269" s="1">
        <v>45656</v>
      </c>
      <c r="Q269" s="1">
        <v>46233</v>
      </c>
      <c r="R269" s="2">
        <v>15</v>
      </c>
      <c r="S269">
        <v>1</v>
      </c>
      <c r="T269" t="s">
        <v>58</v>
      </c>
      <c r="U269" t="s">
        <v>246</v>
      </c>
      <c r="V269" s="3">
        <v>0.28999999999999998</v>
      </c>
      <c r="W269" s="2">
        <v>0</v>
      </c>
      <c r="X269">
        <v>0</v>
      </c>
      <c r="Y269" t="s">
        <v>247</v>
      </c>
      <c r="Z269" t="s">
        <v>248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4.3499999999999996</v>
      </c>
      <c r="AN269" s="2">
        <v>4.3499999999999996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46202</v>
      </c>
      <c r="B270" t="s">
        <v>48</v>
      </c>
      <c r="C270">
        <v>649163</v>
      </c>
      <c r="D270">
        <v>2024112404</v>
      </c>
      <c r="E270" t="s">
        <v>593</v>
      </c>
      <c r="F270" t="s">
        <v>594</v>
      </c>
      <c r="G270" t="s">
        <v>51</v>
      </c>
      <c r="H270" t="s">
        <v>100</v>
      </c>
      <c r="I270" t="s">
        <v>149</v>
      </c>
      <c r="J270" t="s">
        <v>584</v>
      </c>
      <c r="K270">
        <v>673059</v>
      </c>
      <c r="L270" t="s">
        <v>102</v>
      </c>
      <c r="M270" t="s">
        <v>103</v>
      </c>
      <c r="N270" t="s">
        <v>57</v>
      </c>
      <c r="O270" s="1">
        <v>45656</v>
      </c>
      <c r="Q270" s="1">
        <v>46233</v>
      </c>
      <c r="R270" s="2">
        <v>15</v>
      </c>
      <c r="S270">
        <v>1</v>
      </c>
      <c r="T270" t="s">
        <v>58</v>
      </c>
      <c r="U270" t="s">
        <v>246</v>
      </c>
      <c r="V270" s="3">
        <v>0.28999999999999998</v>
      </c>
      <c r="W270" s="2">
        <v>0</v>
      </c>
      <c r="X270">
        <v>0</v>
      </c>
      <c r="Y270" t="s">
        <v>247</v>
      </c>
      <c r="Z270" t="s">
        <v>248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4.3499999999999996</v>
      </c>
      <c r="AN270" s="2">
        <v>4.3499999999999996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46202</v>
      </c>
      <c r="B271" t="s">
        <v>48</v>
      </c>
      <c r="C271">
        <v>649163</v>
      </c>
      <c r="D271">
        <v>2024536863</v>
      </c>
      <c r="E271" t="s">
        <v>595</v>
      </c>
      <c r="F271" t="s">
        <v>596</v>
      </c>
      <c r="G271" t="s">
        <v>51</v>
      </c>
      <c r="H271" t="s">
        <v>100</v>
      </c>
      <c r="I271" t="s">
        <v>149</v>
      </c>
      <c r="J271" t="s">
        <v>584</v>
      </c>
      <c r="K271">
        <v>673059</v>
      </c>
      <c r="L271" t="s">
        <v>102</v>
      </c>
      <c r="M271" t="s">
        <v>103</v>
      </c>
      <c r="N271" t="s">
        <v>57</v>
      </c>
      <c r="O271" s="1">
        <v>45656</v>
      </c>
      <c r="Q271" s="1">
        <v>46233</v>
      </c>
      <c r="R271" s="2">
        <v>15</v>
      </c>
      <c r="S271">
        <v>1</v>
      </c>
      <c r="T271" t="s">
        <v>58</v>
      </c>
      <c r="U271" t="s">
        <v>246</v>
      </c>
      <c r="V271" s="3">
        <v>0.28999999999999998</v>
      </c>
      <c r="W271" s="2">
        <v>0</v>
      </c>
      <c r="X271">
        <v>0</v>
      </c>
      <c r="Y271" t="s">
        <v>247</v>
      </c>
      <c r="Z271" t="s">
        <v>248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4.3499999999999996</v>
      </c>
      <c r="AN271" s="2">
        <v>4.3499999999999996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46202</v>
      </c>
      <c r="B272" t="s">
        <v>48</v>
      </c>
      <c r="C272">
        <v>649163</v>
      </c>
      <c r="D272">
        <v>2024626405</v>
      </c>
      <c r="E272" t="s">
        <v>597</v>
      </c>
      <c r="F272" t="s">
        <v>598</v>
      </c>
      <c r="G272" t="s">
        <v>51</v>
      </c>
      <c r="H272" t="s">
        <v>404</v>
      </c>
      <c r="I272" t="s">
        <v>149</v>
      </c>
      <c r="J272" t="s">
        <v>584</v>
      </c>
      <c r="K272">
        <v>669316</v>
      </c>
      <c r="L272" t="s">
        <v>599</v>
      </c>
      <c r="M272" t="s">
        <v>193</v>
      </c>
      <c r="N272" t="s">
        <v>57</v>
      </c>
      <c r="O272" s="1">
        <v>45534</v>
      </c>
      <c r="Q272" s="1">
        <v>46233</v>
      </c>
      <c r="R272" s="2">
        <v>15</v>
      </c>
      <c r="S272">
        <v>1</v>
      </c>
      <c r="T272" t="s">
        <v>58</v>
      </c>
      <c r="U272" t="s">
        <v>246</v>
      </c>
      <c r="V272" s="3">
        <v>0.28999999999999998</v>
      </c>
      <c r="W272" s="2">
        <v>0</v>
      </c>
      <c r="X272">
        <v>0</v>
      </c>
      <c r="Y272" t="s">
        <v>247</v>
      </c>
      <c r="Z272" t="s">
        <v>248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4.3499999999999996</v>
      </c>
      <c r="AN272" s="2">
        <v>4.3499999999999996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46202</v>
      </c>
      <c r="B273" t="s">
        <v>48</v>
      </c>
      <c r="C273">
        <v>649163</v>
      </c>
      <c r="D273">
        <v>2025246361</v>
      </c>
      <c r="E273" t="s">
        <v>600</v>
      </c>
      <c r="F273" t="s">
        <v>601</v>
      </c>
      <c r="G273" t="s">
        <v>51</v>
      </c>
      <c r="H273" t="s">
        <v>52</v>
      </c>
      <c r="I273" t="s">
        <v>149</v>
      </c>
      <c r="J273" t="s">
        <v>602</v>
      </c>
      <c r="K273">
        <v>650218</v>
      </c>
      <c r="L273" t="s">
        <v>266</v>
      </c>
      <c r="M273" t="s">
        <v>267</v>
      </c>
      <c r="N273" t="s">
        <v>57</v>
      </c>
      <c r="O273" s="1">
        <v>45597</v>
      </c>
      <c r="Q273" s="1">
        <v>46235</v>
      </c>
      <c r="R273" s="2">
        <v>15</v>
      </c>
      <c r="S273">
        <v>1</v>
      </c>
      <c r="T273" t="s">
        <v>58</v>
      </c>
      <c r="U273" t="s">
        <v>246</v>
      </c>
      <c r="V273" s="3">
        <v>0.1</v>
      </c>
      <c r="W273" s="2">
        <v>0</v>
      </c>
      <c r="X273">
        <v>0</v>
      </c>
      <c r="Y273" t="s">
        <v>247</v>
      </c>
      <c r="Z273" t="s">
        <v>248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1.5</v>
      </c>
      <c r="AN273" s="2">
        <v>1.5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46202</v>
      </c>
      <c r="B274" t="s">
        <v>48</v>
      </c>
      <c r="C274">
        <v>649163</v>
      </c>
      <c r="D274">
        <v>2025967189</v>
      </c>
      <c r="E274" t="s">
        <v>481</v>
      </c>
      <c r="F274" t="s">
        <v>603</v>
      </c>
      <c r="G274" t="s">
        <v>51</v>
      </c>
      <c r="H274" t="s">
        <v>311</v>
      </c>
      <c r="I274" t="s">
        <v>149</v>
      </c>
      <c r="J274" t="s">
        <v>602</v>
      </c>
      <c r="K274">
        <v>756418</v>
      </c>
      <c r="L274" t="s">
        <v>383</v>
      </c>
      <c r="M274" t="s">
        <v>384</v>
      </c>
      <c r="N274" t="s">
        <v>57</v>
      </c>
      <c r="O274" s="1">
        <v>45626</v>
      </c>
      <c r="Q274" s="1">
        <v>46233</v>
      </c>
      <c r="R274" s="2">
        <v>15</v>
      </c>
      <c r="S274">
        <v>1</v>
      </c>
      <c r="T274" t="s">
        <v>58</v>
      </c>
      <c r="U274" t="s">
        <v>246</v>
      </c>
      <c r="V274" s="3">
        <v>0.1</v>
      </c>
      <c r="W274" s="2">
        <v>0</v>
      </c>
      <c r="X274">
        <v>0</v>
      </c>
      <c r="Y274" t="s">
        <v>247</v>
      </c>
      <c r="Z274" t="s">
        <v>248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1.5</v>
      </c>
      <c r="AN274" s="2">
        <v>1.5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46202</v>
      </c>
      <c r="B275" t="s">
        <v>48</v>
      </c>
      <c r="C275">
        <v>649163</v>
      </c>
      <c r="D275">
        <v>2026588335</v>
      </c>
      <c r="E275" t="s">
        <v>604</v>
      </c>
      <c r="F275" t="s">
        <v>605</v>
      </c>
      <c r="G275" t="s">
        <v>51</v>
      </c>
      <c r="H275" t="s">
        <v>97</v>
      </c>
      <c r="I275" t="s">
        <v>149</v>
      </c>
      <c r="J275" t="s">
        <v>602</v>
      </c>
      <c r="K275">
        <v>756418</v>
      </c>
      <c r="L275" t="s">
        <v>383</v>
      </c>
      <c r="M275" t="s">
        <v>384</v>
      </c>
      <c r="N275" t="s">
        <v>57</v>
      </c>
      <c r="O275" s="1">
        <v>45689</v>
      </c>
      <c r="Q275" s="1">
        <v>46235</v>
      </c>
      <c r="R275" s="2">
        <v>15</v>
      </c>
      <c r="S275">
        <v>1</v>
      </c>
      <c r="T275" t="s">
        <v>58</v>
      </c>
      <c r="U275" t="s">
        <v>246</v>
      </c>
      <c r="V275" s="3">
        <v>0.1</v>
      </c>
      <c r="W275" s="2">
        <v>0</v>
      </c>
      <c r="X275">
        <v>0</v>
      </c>
      <c r="Y275" t="s">
        <v>247</v>
      </c>
      <c r="Z275" t="s">
        <v>248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1.5</v>
      </c>
      <c r="AN275" s="2">
        <v>1.5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46202</v>
      </c>
      <c r="B276" t="s">
        <v>48</v>
      </c>
      <c r="C276">
        <v>649163</v>
      </c>
      <c r="D276">
        <v>2026805534</v>
      </c>
      <c r="E276" t="s">
        <v>606</v>
      </c>
      <c r="F276" t="s">
        <v>607</v>
      </c>
      <c r="G276" t="s">
        <v>51</v>
      </c>
      <c r="H276" t="s">
        <v>124</v>
      </c>
      <c r="I276" t="s">
        <v>149</v>
      </c>
      <c r="J276" t="s">
        <v>602</v>
      </c>
      <c r="K276">
        <v>650218</v>
      </c>
      <c r="L276" t="s">
        <v>266</v>
      </c>
      <c r="M276" t="s">
        <v>267</v>
      </c>
      <c r="N276" t="s">
        <v>57</v>
      </c>
      <c r="O276" s="1">
        <v>45689</v>
      </c>
      <c r="Q276" s="1">
        <v>46235</v>
      </c>
      <c r="R276" s="2">
        <v>15</v>
      </c>
      <c r="S276">
        <v>1</v>
      </c>
      <c r="T276" t="s">
        <v>58</v>
      </c>
      <c r="U276" t="s">
        <v>246</v>
      </c>
      <c r="V276" s="3">
        <v>0.1</v>
      </c>
      <c r="W276" s="2">
        <v>0</v>
      </c>
      <c r="X276">
        <v>0</v>
      </c>
      <c r="Y276" t="s">
        <v>247</v>
      </c>
      <c r="Z276" t="s">
        <v>248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1.5</v>
      </c>
      <c r="AN276" s="2">
        <v>1.5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46202</v>
      </c>
      <c r="B277" t="s">
        <v>48</v>
      </c>
      <c r="C277">
        <v>649163</v>
      </c>
      <c r="D277">
        <v>2026812263</v>
      </c>
      <c r="E277" t="s">
        <v>608</v>
      </c>
      <c r="F277" t="s">
        <v>609</v>
      </c>
      <c r="G277" t="s">
        <v>51</v>
      </c>
      <c r="H277" t="s">
        <v>176</v>
      </c>
      <c r="I277" t="s">
        <v>149</v>
      </c>
      <c r="J277" t="s">
        <v>602</v>
      </c>
      <c r="K277">
        <v>650218</v>
      </c>
      <c r="L277" t="s">
        <v>266</v>
      </c>
      <c r="M277" t="s">
        <v>267</v>
      </c>
      <c r="N277" t="s">
        <v>57</v>
      </c>
      <c r="O277" s="1">
        <v>45689</v>
      </c>
      <c r="Q277" s="1">
        <v>46235</v>
      </c>
      <c r="R277" s="2">
        <v>15</v>
      </c>
      <c r="S277">
        <v>1</v>
      </c>
      <c r="T277" t="s">
        <v>58</v>
      </c>
      <c r="U277" t="s">
        <v>246</v>
      </c>
      <c r="V277" s="3">
        <v>0.1</v>
      </c>
      <c r="W277" s="2">
        <v>0</v>
      </c>
      <c r="X277">
        <v>0</v>
      </c>
      <c r="Y277" t="s">
        <v>247</v>
      </c>
      <c r="Z277" t="s">
        <v>248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1.5</v>
      </c>
      <c r="AN277" s="2">
        <v>1.5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46202</v>
      </c>
      <c r="B278" t="s">
        <v>48</v>
      </c>
      <c r="C278">
        <v>649163</v>
      </c>
      <c r="D278">
        <v>2029145087</v>
      </c>
      <c r="E278" t="s">
        <v>610</v>
      </c>
      <c r="F278" t="s">
        <v>611</v>
      </c>
      <c r="G278" t="s">
        <v>51</v>
      </c>
      <c r="H278" t="s">
        <v>89</v>
      </c>
      <c r="I278" t="s">
        <v>149</v>
      </c>
      <c r="J278" t="s">
        <v>602</v>
      </c>
      <c r="K278">
        <v>766422</v>
      </c>
      <c r="L278" t="s">
        <v>612</v>
      </c>
      <c r="M278" t="s">
        <v>211</v>
      </c>
      <c r="N278" t="s">
        <v>57</v>
      </c>
      <c r="O278" s="1">
        <v>45805</v>
      </c>
      <c r="Q278" s="1">
        <v>46231</v>
      </c>
      <c r="R278" s="2">
        <v>15</v>
      </c>
      <c r="S278">
        <v>1</v>
      </c>
      <c r="T278" t="s">
        <v>58</v>
      </c>
      <c r="U278" t="s">
        <v>246</v>
      </c>
      <c r="V278" s="3">
        <v>0.1</v>
      </c>
      <c r="W278" s="2">
        <v>0</v>
      </c>
      <c r="X278">
        <v>0</v>
      </c>
      <c r="Y278" t="s">
        <v>247</v>
      </c>
      <c r="Z278" t="s">
        <v>248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1.5</v>
      </c>
      <c r="AN278" s="2">
        <v>1.5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46202</v>
      </c>
      <c r="B279" t="s">
        <v>48</v>
      </c>
      <c r="C279">
        <v>649163</v>
      </c>
      <c r="D279">
        <v>2030722442</v>
      </c>
      <c r="E279" t="s">
        <v>613</v>
      </c>
      <c r="F279" t="s">
        <v>614</v>
      </c>
      <c r="G279" t="s">
        <v>51</v>
      </c>
      <c r="H279" t="s">
        <v>332</v>
      </c>
      <c r="I279" t="s">
        <v>149</v>
      </c>
      <c r="J279" t="s">
        <v>584</v>
      </c>
      <c r="K279">
        <v>812994</v>
      </c>
      <c r="L279" t="s">
        <v>615</v>
      </c>
      <c r="M279" t="s">
        <v>616</v>
      </c>
      <c r="N279" t="s">
        <v>57</v>
      </c>
      <c r="O279" s="1">
        <v>45897</v>
      </c>
      <c r="Q279" s="1">
        <v>46231</v>
      </c>
      <c r="R279" s="2">
        <v>15</v>
      </c>
      <c r="S279">
        <v>1</v>
      </c>
      <c r="T279" t="s">
        <v>58</v>
      </c>
      <c r="U279" t="s">
        <v>246</v>
      </c>
      <c r="V279" s="3">
        <v>0.28999999999999998</v>
      </c>
      <c r="W279" s="2">
        <v>0</v>
      </c>
      <c r="X279">
        <v>0</v>
      </c>
      <c r="Y279" t="s">
        <v>60</v>
      </c>
      <c r="Z279" t="s">
        <v>248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4.3499999999999996</v>
      </c>
      <c r="AN279" s="2">
        <v>4.3499999999999996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46202</v>
      </c>
      <c r="B280" t="s">
        <v>48</v>
      </c>
      <c r="C280">
        <v>649163</v>
      </c>
      <c r="D280">
        <v>2031858818</v>
      </c>
      <c r="E280" t="s">
        <v>617</v>
      </c>
      <c r="F280" t="s">
        <v>618</v>
      </c>
      <c r="G280" t="s">
        <v>51</v>
      </c>
      <c r="H280" t="s">
        <v>117</v>
      </c>
      <c r="I280" t="s">
        <v>149</v>
      </c>
      <c r="J280" t="s">
        <v>584</v>
      </c>
      <c r="K280">
        <v>673059</v>
      </c>
      <c r="L280" t="s">
        <v>102</v>
      </c>
      <c r="M280" t="s">
        <v>103</v>
      </c>
      <c r="N280" t="s">
        <v>57</v>
      </c>
      <c r="O280" s="1">
        <v>45959</v>
      </c>
      <c r="Q280" s="1">
        <v>46232</v>
      </c>
      <c r="R280" s="2">
        <v>15</v>
      </c>
      <c r="S280">
        <v>1</v>
      </c>
      <c r="T280" t="s">
        <v>58</v>
      </c>
      <c r="U280" t="s">
        <v>619</v>
      </c>
      <c r="V280" s="3">
        <v>0.28999999999999998</v>
      </c>
      <c r="W280" s="2">
        <v>0</v>
      </c>
      <c r="X280">
        <v>0</v>
      </c>
      <c r="Y280" t="s">
        <v>60</v>
      </c>
      <c r="Z280" t="s">
        <v>248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4.3499999999999996</v>
      </c>
      <c r="AN280" s="2">
        <v>4.3499999999999996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46202</v>
      </c>
      <c r="B281" t="s">
        <v>48</v>
      </c>
      <c r="C281">
        <v>649163</v>
      </c>
      <c r="D281">
        <v>2031906962</v>
      </c>
      <c r="E281" t="s">
        <v>620</v>
      </c>
      <c r="F281" t="s">
        <v>209</v>
      </c>
      <c r="G281" t="s">
        <v>51</v>
      </c>
      <c r="H281" t="s">
        <v>332</v>
      </c>
      <c r="I281" t="s">
        <v>149</v>
      </c>
      <c r="J281" t="s">
        <v>584</v>
      </c>
      <c r="K281">
        <v>840313</v>
      </c>
      <c r="L281" t="s">
        <v>158</v>
      </c>
      <c r="M281" t="s">
        <v>159</v>
      </c>
      <c r="N281" t="s">
        <v>57</v>
      </c>
      <c r="O281" s="1">
        <v>45961</v>
      </c>
      <c r="Q281" s="1">
        <v>46233</v>
      </c>
      <c r="R281" s="2">
        <v>15</v>
      </c>
      <c r="S281">
        <v>1</v>
      </c>
      <c r="T281" t="s">
        <v>58</v>
      </c>
      <c r="U281" t="s">
        <v>621</v>
      </c>
      <c r="V281" s="3">
        <v>0.28999999999999998</v>
      </c>
      <c r="W281" s="2">
        <v>0</v>
      </c>
      <c r="X281">
        <v>0</v>
      </c>
      <c r="Y281" t="s">
        <v>60</v>
      </c>
      <c r="Z281" t="s">
        <v>248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4.3499999999999996</v>
      </c>
      <c r="AN281" s="2">
        <v>4.3499999999999996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46202</v>
      </c>
      <c r="B282" t="s">
        <v>48</v>
      </c>
      <c r="C282">
        <v>649163</v>
      </c>
      <c r="D282">
        <v>2032220272</v>
      </c>
      <c r="E282" t="s">
        <v>391</v>
      </c>
      <c r="F282" t="s">
        <v>392</v>
      </c>
      <c r="G282" t="s">
        <v>51</v>
      </c>
      <c r="H282" t="s">
        <v>100</v>
      </c>
      <c r="I282" t="s">
        <v>149</v>
      </c>
      <c r="J282" t="s">
        <v>584</v>
      </c>
      <c r="K282">
        <v>651818</v>
      </c>
      <c r="L282" t="s">
        <v>210</v>
      </c>
      <c r="M282" t="s">
        <v>211</v>
      </c>
      <c r="N282" t="s">
        <v>57</v>
      </c>
      <c r="O282" s="1">
        <v>45992</v>
      </c>
      <c r="Q282" s="1">
        <v>46235</v>
      </c>
      <c r="R282" s="2">
        <v>15</v>
      </c>
      <c r="S282">
        <v>1</v>
      </c>
      <c r="T282" t="s">
        <v>58</v>
      </c>
      <c r="U282" t="s">
        <v>621</v>
      </c>
      <c r="V282" s="3">
        <v>0.28999999999999998</v>
      </c>
      <c r="W282" s="2">
        <v>0</v>
      </c>
      <c r="X282">
        <v>0</v>
      </c>
      <c r="Y282" t="s">
        <v>60</v>
      </c>
      <c r="Z282" t="s">
        <v>248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4.3499999999999996</v>
      </c>
      <c r="AN282" s="2">
        <v>4.3499999999999996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46202</v>
      </c>
      <c r="B283" t="s">
        <v>48</v>
      </c>
      <c r="C283">
        <v>649163</v>
      </c>
      <c r="D283">
        <v>2032246903</v>
      </c>
      <c r="E283" t="s">
        <v>622</v>
      </c>
      <c r="F283" t="s">
        <v>623</v>
      </c>
      <c r="G283" t="s">
        <v>51</v>
      </c>
      <c r="H283" t="s">
        <v>200</v>
      </c>
      <c r="I283" t="s">
        <v>149</v>
      </c>
      <c r="J283" t="s">
        <v>624</v>
      </c>
      <c r="K283">
        <v>877790</v>
      </c>
      <c r="L283" t="s">
        <v>563</v>
      </c>
      <c r="M283" t="s">
        <v>564</v>
      </c>
      <c r="N283" t="s">
        <v>57</v>
      </c>
      <c r="O283" s="1">
        <v>46054</v>
      </c>
      <c r="Q283" s="1">
        <v>46235</v>
      </c>
      <c r="R283" s="2">
        <v>15</v>
      </c>
      <c r="S283">
        <v>1</v>
      </c>
      <c r="T283" t="s">
        <v>58</v>
      </c>
      <c r="U283" t="s">
        <v>621</v>
      </c>
      <c r="V283" s="3">
        <v>0.19</v>
      </c>
      <c r="W283" s="2">
        <v>0</v>
      </c>
      <c r="X283">
        <v>0</v>
      </c>
      <c r="Y283" t="s">
        <v>60</v>
      </c>
      <c r="Z283" t="s">
        <v>248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2.85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46202</v>
      </c>
      <c r="B284" t="s">
        <v>48</v>
      </c>
      <c r="C284">
        <v>649163</v>
      </c>
      <c r="D284">
        <v>2032554423</v>
      </c>
      <c r="E284" t="s">
        <v>402</v>
      </c>
      <c r="F284" t="s">
        <v>403</v>
      </c>
      <c r="G284" t="s">
        <v>51</v>
      </c>
      <c r="H284" t="s">
        <v>404</v>
      </c>
      <c r="I284" t="s">
        <v>149</v>
      </c>
      <c r="J284" t="s">
        <v>584</v>
      </c>
      <c r="K284">
        <v>753748</v>
      </c>
      <c r="L284" t="s">
        <v>358</v>
      </c>
      <c r="M284" t="s">
        <v>359</v>
      </c>
      <c r="N284" t="s">
        <v>57</v>
      </c>
      <c r="O284" s="1">
        <v>46023</v>
      </c>
      <c r="Q284" s="1">
        <v>46235</v>
      </c>
      <c r="R284" s="2">
        <v>15</v>
      </c>
      <c r="S284">
        <v>1</v>
      </c>
      <c r="T284" t="s">
        <v>58</v>
      </c>
      <c r="U284" t="s">
        <v>151</v>
      </c>
      <c r="V284" s="3">
        <v>0.28999999999999998</v>
      </c>
      <c r="W284" s="2">
        <v>0</v>
      </c>
      <c r="X284">
        <v>0</v>
      </c>
      <c r="Y284" t="s">
        <v>60</v>
      </c>
      <c r="Z284" t="s">
        <v>248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4.3499999999999996</v>
      </c>
      <c r="AN284" s="2">
        <v>4.3499999999999996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46202</v>
      </c>
      <c r="B285" t="s">
        <v>48</v>
      </c>
      <c r="C285">
        <v>649163</v>
      </c>
      <c r="D285">
        <v>2032622444</v>
      </c>
      <c r="E285" t="s">
        <v>405</v>
      </c>
      <c r="F285" t="s">
        <v>406</v>
      </c>
      <c r="G285" t="s">
        <v>51</v>
      </c>
      <c r="H285" t="s">
        <v>89</v>
      </c>
      <c r="I285" t="s">
        <v>149</v>
      </c>
      <c r="J285" t="s">
        <v>150</v>
      </c>
      <c r="K285">
        <v>823350</v>
      </c>
      <c r="L285" t="s">
        <v>113</v>
      </c>
      <c r="M285" t="s">
        <v>114</v>
      </c>
      <c r="N285" t="s">
        <v>57</v>
      </c>
      <c r="O285" s="1">
        <v>46019</v>
      </c>
      <c r="Q285" s="1">
        <v>46231</v>
      </c>
      <c r="R285" s="2">
        <v>15</v>
      </c>
      <c r="S285">
        <v>1</v>
      </c>
      <c r="T285" t="s">
        <v>58</v>
      </c>
      <c r="U285" t="s">
        <v>151</v>
      </c>
      <c r="V285" s="3">
        <v>0.38</v>
      </c>
      <c r="W285" s="2">
        <v>0</v>
      </c>
      <c r="X285">
        <v>0</v>
      </c>
      <c r="Y285" t="s">
        <v>60</v>
      </c>
      <c r="Z285" t="s">
        <v>248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5.7</v>
      </c>
      <c r="AN285" s="2">
        <v>5.7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46202</v>
      </c>
      <c r="B286" t="s">
        <v>48</v>
      </c>
      <c r="C286">
        <v>649163</v>
      </c>
      <c r="D286">
        <v>2033053982</v>
      </c>
      <c r="E286" t="s">
        <v>442</v>
      </c>
      <c r="F286" t="s">
        <v>443</v>
      </c>
      <c r="G286" t="s">
        <v>51</v>
      </c>
      <c r="H286" t="s">
        <v>332</v>
      </c>
      <c r="I286" t="s">
        <v>149</v>
      </c>
      <c r="J286" t="s">
        <v>602</v>
      </c>
      <c r="K286">
        <v>824062</v>
      </c>
      <c r="L286" t="s">
        <v>90</v>
      </c>
      <c r="M286" t="s">
        <v>91</v>
      </c>
      <c r="N286" t="s">
        <v>57</v>
      </c>
      <c r="O286" s="1">
        <v>46054</v>
      </c>
      <c r="Q286" s="1">
        <v>46235</v>
      </c>
      <c r="R286" s="2">
        <v>15</v>
      </c>
      <c r="S286">
        <v>1</v>
      </c>
      <c r="T286" t="s">
        <v>58</v>
      </c>
      <c r="U286" t="s">
        <v>59</v>
      </c>
      <c r="V286" s="3">
        <v>0.38</v>
      </c>
      <c r="W286" s="2">
        <v>0</v>
      </c>
      <c r="X286">
        <v>0</v>
      </c>
      <c r="Y286" t="s">
        <v>60</v>
      </c>
      <c r="Z286" t="s">
        <v>248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5.7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46202</v>
      </c>
      <c r="B287" t="s">
        <v>48</v>
      </c>
      <c r="C287">
        <v>649163</v>
      </c>
      <c r="D287">
        <v>2033073933</v>
      </c>
      <c r="E287" t="s">
        <v>328</v>
      </c>
      <c r="F287" t="s">
        <v>625</v>
      </c>
      <c r="G287" t="s">
        <v>51</v>
      </c>
      <c r="H287" t="s">
        <v>626</v>
      </c>
      <c r="I287" t="s">
        <v>149</v>
      </c>
      <c r="J287" t="s">
        <v>602</v>
      </c>
      <c r="K287">
        <v>929503</v>
      </c>
      <c r="L287" t="s">
        <v>304</v>
      </c>
      <c r="M287" t="s">
        <v>305</v>
      </c>
      <c r="N287" t="s">
        <v>57</v>
      </c>
      <c r="O287" s="1">
        <v>46054</v>
      </c>
      <c r="Q287" s="1">
        <v>46235</v>
      </c>
      <c r="R287" s="2">
        <v>15</v>
      </c>
      <c r="S287">
        <v>1</v>
      </c>
      <c r="T287" t="s">
        <v>58</v>
      </c>
      <c r="U287" t="s">
        <v>59</v>
      </c>
      <c r="V287" s="3">
        <v>0.38</v>
      </c>
      <c r="W287" s="2">
        <v>0</v>
      </c>
      <c r="X287">
        <v>0</v>
      </c>
      <c r="Y287" t="s">
        <v>60</v>
      </c>
      <c r="Z287" t="s">
        <v>248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5.7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46202</v>
      </c>
      <c r="B288" t="s">
        <v>48</v>
      </c>
      <c r="C288">
        <v>649163</v>
      </c>
      <c r="D288">
        <v>2033137935</v>
      </c>
      <c r="E288" t="s">
        <v>467</v>
      </c>
      <c r="F288" t="s">
        <v>171</v>
      </c>
      <c r="G288" t="s">
        <v>51</v>
      </c>
      <c r="H288" t="s">
        <v>68</v>
      </c>
      <c r="I288" t="s">
        <v>149</v>
      </c>
      <c r="J288" t="s">
        <v>627</v>
      </c>
      <c r="K288">
        <v>874230</v>
      </c>
      <c r="L288" t="s">
        <v>468</v>
      </c>
      <c r="M288" t="s">
        <v>469</v>
      </c>
      <c r="N288" t="s">
        <v>57</v>
      </c>
      <c r="O288" s="1">
        <v>46055</v>
      </c>
      <c r="Q288" s="1">
        <v>46236</v>
      </c>
      <c r="R288" s="2">
        <v>15</v>
      </c>
      <c r="S288">
        <v>1</v>
      </c>
      <c r="T288" t="s">
        <v>58</v>
      </c>
      <c r="U288" t="s">
        <v>621</v>
      </c>
      <c r="V288" s="3">
        <v>0.19</v>
      </c>
      <c r="W288" s="2">
        <v>0</v>
      </c>
      <c r="X288">
        <v>0</v>
      </c>
      <c r="Y288" t="s">
        <v>60</v>
      </c>
      <c r="Z288" t="s">
        <v>248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2.85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46202</v>
      </c>
      <c r="B289" t="s">
        <v>48</v>
      </c>
      <c r="C289">
        <v>649163</v>
      </c>
      <c r="D289">
        <v>2033183852</v>
      </c>
      <c r="E289" t="s">
        <v>628</v>
      </c>
      <c r="F289" t="s">
        <v>629</v>
      </c>
      <c r="G289" t="s">
        <v>51</v>
      </c>
      <c r="H289" t="s">
        <v>200</v>
      </c>
      <c r="I289" t="s">
        <v>149</v>
      </c>
      <c r="J289" t="s">
        <v>624</v>
      </c>
      <c r="K289">
        <v>902581</v>
      </c>
      <c r="L289" t="s">
        <v>630</v>
      </c>
      <c r="M289" t="s">
        <v>631</v>
      </c>
      <c r="N289" t="s">
        <v>57</v>
      </c>
      <c r="O289" s="1">
        <v>46054</v>
      </c>
      <c r="Q289" s="1">
        <v>46235</v>
      </c>
      <c r="R289" s="2">
        <v>15</v>
      </c>
      <c r="S289">
        <v>1</v>
      </c>
      <c r="T289" t="s">
        <v>58</v>
      </c>
      <c r="U289" t="s">
        <v>621</v>
      </c>
      <c r="V289" s="3">
        <v>0.19</v>
      </c>
      <c r="W289" s="2">
        <v>0</v>
      </c>
      <c r="X289">
        <v>0</v>
      </c>
      <c r="Y289" t="s">
        <v>60</v>
      </c>
      <c r="Z289" t="s">
        <v>248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2.85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46202</v>
      </c>
      <c r="B290" t="s">
        <v>48</v>
      </c>
      <c r="C290">
        <v>649163</v>
      </c>
      <c r="D290">
        <v>2033196069</v>
      </c>
      <c r="E290" t="s">
        <v>328</v>
      </c>
      <c r="F290" t="s">
        <v>471</v>
      </c>
      <c r="G290" t="s">
        <v>51</v>
      </c>
      <c r="H290" t="s">
        <v>89</v>
      </c>
      <c r="I290" t="s">
        <v>149</v>
      </c>
      <c r="J290" t="s">
        <v>602</v>
      </c>
      <c r="K290">
        <v>894525</v>
      </c>
      <c r="L290" t="s">
        <v>316</v>
      </c>
      <c r="M290" t="s">
        <v>317</v>
      </c>
      <c r="N290" t="s">
        <v>57</v>
      </c>
      <c r="O290" s="1">
        <v>46054</v>
      </c>
      <c r="Q290" s="1">
        <v>46235</v>
      </c>
      <c r="R290" s="2">
        <v>15</v>
      </c>
      <c r="S290">
        <v>1</v>
      </c>
      <c r="T290" t="s">
        <v>58</v>
      </c>
      <c r="U290" t="s">
        <v>59</v>
      </c>
      <c r="V290" s="3">
        <v>0.38</v>
      </c>
      <c r="W290" s="2">
        <v>0</v>
      </c>
      <c r="X290">
        <v>0</v>
      </c>
      <c r="Y290" t="s">
        <v>60</v>
      </c>
      <c r="Z290" t="s">
        <v>248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5.7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46202</v>
      </c>
      <c r="B291" t="s">
        <v>48</v>
      </c>
      <c r="C291">
        <v>649163</v>
      </c>
      <c r="D291">
        <v>2033286916</v>
      </c>
      <c r="E291" t="s">
        <v>517</v>
      </c>
      <c r="F291" t="s">
        <v>518</v>
      </c>
      <c r="G291" t="s">
        <v>51</v>
      </c>
      <c r="H291" t="s">
        <v>89</v>
      </c>
      <c r="I291" t="s">
        <v>149</v>
      </c>
      <c r="J291" t="s">
        <v>150</v>
      </c>
      <c r="K291">
        <v>824062</v>
      </c>
      <c r="L291" t="s">
        <v>90</v>
      </c>
      <c r="M291" t="s">
        <v>91</v>
      </c>
      <c r="N291" t="s">
        <v>57</v>
      </c>
      <c r="O291" s="1">
        <v>46054</v>
      </c>
      <c r="Q291" s="1">
        <v>46235</v>
      </c>
      <c r="R291" s="2">
        <v>15</v>
      </c>
      <c r="S291">
        <v>1</v>
      </c>
      <c r="T291" t="s">
        <v>58</v>
      </c>
      <c r="U291" t="s">
        <v>151</v>
      </c>
      <c r="V291" s="3">
        <v>0.38</v>
      </c>
      <c r="W291" s="2">
        <v>0</v>
      </c>
      <c r="X291">
        <v>0</v>
      </c>
      <c r="Y291" t="s">
        <v>60</v>
      </c>
      <c r="Z291" t="s">
        <v>248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5.7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46202</v>
      </c>
      <c r="B292" t="s">
        <v>48</v>
      </c>
      <c r="C292">
        <v>649163</v>
      </c>
      <c r="D292">
        <v>2033325946</v>
      </c>
      <c r="E292" t="s">
        <v>632</v>
      </c>
      <c r="F292" t="s">
        <v>633</v>
      </c>
      <c r="G292" t="s">
        <v>51</v>
      </c>
      <c r="H292" t="s">
        <v>89</v>
      </c>
      <c r="I292" t="s">
        <v>149</v>
      </c>
      <c r="J292" t="s">
        <v>150</v>
      </c>
      <c r="K292">
        <v>820873</v>
      </c>
      <c r="L292" t="s">
        <v>153</v>
      </c>
      <c r="M292" t="s">
        <v>154</v>
      </c>
      <c r="N292" t="s">
        <v>57</v>
      </c>
      <c r="O292" s="1">
        <v>46049</v>
      </c>
      <c r="Q292" s="1">
        <v>46230</v>
      </c>
      <c r="R292" s="2">
        <v>15</v>
      </c>
      <c r="S292">
        <v>1</v>
      </c>
      <c r="T292" t="s">
        <v>58</v>
      </c>
      <c r="U292" t="s">
        <v>151</v>
      </c>
      <c r="V292" s="3">
        <v>0.38</v>
      </c>
      <c r="W292" s="2">
        <v>0</v>
      </c>
      <c r="X292">
        <v>0</v>
      </c>
      <c r="Y292" t="s">
        <v>60</v>
      </c>
      <c r="Z292" t="s">
        <v>248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5.7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46202</v>
      </c>
      <c r="B293" t="s">
        <v>48</v>
      </c>
      <c r="C293">
        <v>649163</v>
      </c>
      <c r="D293">
        <v>2033372102</v>
      </c>
      <c r="E293" t="s">
        <v>634</v>
      </c>
      <c r="F293" t="s">
        <v>635</v>
      </c>
      <c r="G293" t="s">
        <v>51</v>
      </c>
      <c r="H293" t="s">
        <v>200</v>
      </c>
      <c r="I293" t="s">
        <v>149</v>
      </c>
      <c r="J293" t="s">
        <v>624</v>
      </c>
      <c r="K293">
        <v>942810</v>
      </c>
      <c r="L293" t="s">
        <v>505</v>
      </c>
      <c r="M293" t="s">
        <v>506</v>
      </c>
      <c r="N293" t="s">
        <v>57</v>
      </c>
      <c r="O293" s="1">
        <v>46054</v>
      </c>
      <c r="Q293" s="1">
        <v>46235</v>
      </c>
      <c r="R293" s="2">
        <v>15</v>
      </c>
      <c r="S293">
        <v>1</v>
      </c>
      <c r="T293" t="s">
        <v>58</v>
      </c>
      <c r="U293" t="s">
        <v>621</v>
      </c>
      <c r="V293" s="3">
        <v>0.19</v>
      </c>
      <c r="W293" s="2">
        <v>0</v>
      </c>
      <c r="X293">
        <v>0</v>
      </c>
      <c r="Y293" t="s">
        <v>60</v>
      </c>
      <c r="Z293" t="s">
        <v>248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2.85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46202</v>
      </c>
      <c r="B294" t="s">
        <v>48</v>
      </c>
      <c r="C294">
        <v>649163</v>
      </c>
      <c r="D294">
        <v>2033392967</v>
      </c>
      <c r="E294" t="s">
        <v>636</v>
      </c>
      <c r="F294" t="s">
        <v>637</v>
      </c>
      <c r="G294" t="s">
        <v>51</v>
      </c>
      <c r="H294" t="s">
        <v>200</v>
      </c>
      <c r="I294" t="s">
        <v>149</v>
      </c>
      <c r="J294" t="s">
        <v>624</v>
      </c>
      <c r="K294">
        <v>902581</v>
      </c>
      <c r="L294" t="s">
        <v>630</v>
      </c>
      <c r="M294" t="s">
        <v>631</v>
      </c>
      <c r="N294" t="s">
        <v>57</v>
      </c>
      <c r="O294" s="1">
        <v>46054</v>
      </c>
      <c r="Q294" s="1">
        <v>46235</v>
      </c>
      <c r="R294" s="2">
        <v>15</v>
      </c>
      <c r="S294">
        <v>1</v>
      </c>
      <c r="T294" t="s">
        <v>58</v>
      </c>
      <c r="U294" t="s">
        <v>151</v>
      </c>
      <c r="V294" s="3">
        <v>0.19</v>
      </c>
      <c r="W294" s="2">
        <v>0</v>
      </c>
      <c r="X294">
        <v>0</v>
      </c>
      <c r="Y294" t="s">
        <v>60</v>
      </c>
      <c r="Z294" t="s">
        <v>248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2.85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46202</v>
      </c>
      <c r="B295" t="s">
        <v>48</v>
      </c>
      <c r="C295">
        <v>649163</v>
      </c>
      <c r="D295">
        <v>2033395612</v>
      </c>
      <c r="E295" t="s">
        <v>328</v>
      </c>
      <c r="F295" t="s">
        <v>638</v>
      </c>
      <c r="G295" t="s">
        <v>51</v>
      </c>
      <c r="H295" t="s">
        <v>200</v>
      </c>
      <c r="I295" t="s">
        <v>149</v>
      </c>
      <c r="J295" t="s">
        <v>624</v>
      </c>
      <c r="K295">
        <v>902581</v>
      </c>
      <c r="L295" t="s">
        <v>630</v>
      </c>
      <c r="M295" t="s">
        <v>631</v>
      </c>
      <c r="N295" t="s">
        <v>57</v>
      </c>
      <c r="O295" s="1">
        <v>46054</v>
      </c>
      <c r="Q295" s="1">
        <v>46235</v>
      </c>
      <c r="R295" s="2">
        <v>15</v>
      </c>
      <c r="S295">
        <v>1</v>
      </c>
      <c r="T295" t="s">
        <v>58</v>
      </c>
      <c r="U295" t="s">
        <v>239</v>
      </c>
      <c r="V295" s="3">
        <v>0.19</v>
      </c>
      <c r="W295" s="2">
        <v>0</v>
      </c>
      <c r="X295">
        <v>0</v>
      </c>
      <c r="Y295" t="s">
        <v>60</v>
      </c>
      <c r="Z295" t="s">
        <v>248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2.85</v>
      </c>
      <c r="AN295" s="2">
        <v>2.85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46202</v>
      </c>
      <c r="B296" t="s">
        <v>48</v>
      </c>
      <c r="C296">
        <v>649163</v>
      </c>
      <c r="D296">
        <v>2033422325</v>
      </c>
      <c r="E296" t="s">
        <v>639</v>
      </c>
      <c r="F296" t="s">
        <v>640</v>
      </c>
      <c r="G296" t="s">
        <v>51</v>
      </c>
      <c r="H296" t="s">
        <v>404</v>
      </c>
      <c r="I296" t="s">
        <v>149</v>
      </c>
      <c r="J296" t="s">
        <v>584</v>
      </c>
      <c r="K296">
        <v>652037</v>
      </c>
      <c r="L296" t="s">
        <v>55</v>
      </c>
      <c r="M296" t="s">
        <v>252</v>
      </c>
      <c r="N296" t="s">
        <v>57</v>
      </c>
      <c r="O296" s="1">
        <v>46054</v>
      </c>
      <c r="Q296" s="1">
        <v>46235</v>
      </c>
      <c r="R296" s="2">
        <v>15</v>
      </c>
      <c r="S296">
        <v>1</v>
      </c>
      <c r="T296" t="s">
        <v>58</v>
      </c>
      <c r="U296" t="s">
        <v>151</v>
      </c>
      <c r="V296" s="3">
        <v>0.28999999999999998</v>
      </c>
      <c r="W296" s="2">
        <v>0</v>
      </c>
      <c r="X296">
        <v>0</v>
      </c>
      <c r="Y296" t="s">
        <v>60</v>
      </c>
      <c r="Z296" t="s">
        <v>248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4.3499999999999996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46202</v>
      </c>
      <c r="B297" t="s">
        <v>48</v>
      </c>
      <c r="C297">
        <v>649163</v>
      </c>
      <c r="D297">
        <v>2033434212</v>
      </c>
      <c r="E297" t="s">
        <v>641</v>
      </c>
      <c r="F297" t="s">
        <v>642</v>
      </c>
      <c r="G297" t="s">
        <v>51</v>
      </c>
      <c r="H297" t="s">
        <v>89</v>
      </c>
      <c r="I297" t="s">
        <v>149</v>
      </c>
      <c r="J297" t="s">
        <v>150</v>
      </c>
      <c r="K297">
        <v>812994</v>
      </c>
      <c r="L297" t="s">
        <v>615</v>
      </c>
      <c r="M297" t="s">
        <v>616</v>
      </c>
      <c r="N297" t="s">
        <v>57</v>
      </c>
      <c r="O297" s="1">
        <v>46054</v>
      </c>
      <c r="Q297" s="1">
        <v>46235</v>
      </c>
      <c r="R297" s="2">
        <v>15</v>
      </c>
      <c r="S297">
        <v>1</v>
      </c>
      <c r="T297" t="s">
        <v>58</v>
      </c>
      <c r="U297" t="s">
        <v>151</v>
      </c>
      <c r="V297" s="3">
        <v>0.38</v>
      </c>
      <c r="W297" s="2">
        <v>0</v>
      </c>
      <c r="X297">
        <v>0</v>
      </c>
      <c r="Y297" t="s">
        <v>60</v>
      </c>
      <c r="Z297" t="s">
        <v>248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5.7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46202</v>
      </c>
      <c r="B298" t="s">
        <v>48</v>
      </c>
      <c r="C298">
        <v>649163</v>
      </c>
      <c r="D298">
        <v>2033572210</v>
      </c>
      <c r="E298" t="s">
        <v>643</v>
      </c>
      <c r="F298" t="s">
        <v>644</v>
      </c>
      <c r="G298" t="s">
        <v>51</v>
      </c>
      <c r="H298" t="s">
        <v>311</v>
      </c>
      <c r="I298" t="s">
        <v>149</v>
      </c>
      <c r="J298" t="s">
        <v>150</v>
      </c>
      <c r="K298">
        <v>902625</v>
      </c>
      <c r="L298" t="s">
        <v>147</v>
      </c>
      <c r="M298" t="s">
        <v>148</v>
      </c>
      <c r="N298" t="s">
        <v>57</v>
      </c>
      <c r="O298" s="1">
        <v>46063</v>
      </c>
      <c r="Q298" s="1">
        <v>46213</v>
      </c>
      <c r="R298" s="2">
        <v>15</v>
      </c>
      <c r="S298">
        <v>1</v>
      </c>
      <c r="T298" t="s">
        <v>58</v>
      </c>
      <c r="U298" t="s">
        <v>151</v>
      </c>
      <c r="V298" s="3">
        <v>0.38</v>
      </c>
      <c r="W298" s="2">
        <v>0</v>
      </c>
      <c r="X298">
        <v>0</v>
      </c>
      <c r="Y298" t="s">
        <v>60</v>
      </c>
      <c r="Z298" t="s">
        <v>248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5.7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46202</v>
      </c>
      <c r="B299" t="s">
        <v>48</v>
      </c>
      <c r="C299">
        <v>649163</v>
      </c>
      <c r="D299">
        <v>2033612293</v>
      </c>
      <c r="E299" t="s">
        <v>645</v>
      </c>
      <c r="F299" t="s">
        <v>646</v>
      </c>
      <c r="G299" t="s">
        <v>51</v>
      </c>
      <c r="H299" t="s">
        <v>89</v>
      </c>
      <c r="I299" t="s">
        <v>149</v>
      </c>
      <c r="J299" t="s">
        <v>150</v>
      </c>
      <c r="K299">
        <v>812994</v>
      </c>
      <c r="L299" t="s">
        <v>615</v>
      </c>
      <c r="M299" t="s">
        <v>616</v>
      </c>
      <c r="N299" t="s">
        <v>257</v>
      </c>
      <c r="O299" s="1">
        <v>46065</v>
      </c>
      <c r="P299" s="1">
        <v>46202</v>
      </c>
      <c r="Q299" s="1">
        <v>46215</v>
      </c>
      <c r="R299" s="2">
        <v>-8</v>
      </c>
      <c r="S299">
        <v>1</v>
      </c>
      <c r="T299" t="s">
        <v>58</v>
      </c>
      <c r="U299" t="s">
        <v>151</v>
      </c>
      <c r="V299" s="3">
        <v>0.38</v>
      </c>
      <c r="W299" s="2">
        <v>0</v>
      </c>
      <c r="X299">
        <v>-1</v>
      </c>
      <c r="Y299" t="s">
        <v>60</v>
      </c>
      <c r="Z299" t="s">
        <v>248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-3.04</v>
      </c>
      <c r="AN299" s="2">
        <v>-3.04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46202</v>
      </c>
      <c r="B300" t="s">
        <v>48</v>
      </c>
      <c r="C300">
        <v>649163</v>
      </c>
      <c r="D300">
        <v>2033991829</v>
      </c>
      <c r="E300" t="s">
        <v>562</v>
      </c>
      <c r="F300" t="s">
        <v>478</v>
      </c>
      <c r="G300" t="s">
        <v>51</v>
      </c>
      <c r="H300" t="s">
        <v>200</v>
      </c>
      <c r="I300" t="s">
        <v>149</v>
      </c>
      <c r="J300" t="s">
        <v>624</v>
      </c>
      <c r="K300">
        <v>877790</v>
      </c>
      <c r="L300" t="s">
        <v>563</v>
      </c>
      <c r="M300" t="s">
        <v>564</v>
      </c>
      <c r="N300" t="s">
        <v>57</v>
      </c>
      <c r="O300" s="1">
        <v>46081</v>
      </c>
      <c r="Q300" s="1">
        <v>46231</v>
      </c>
      <c r="R300" s="2">
        <v>15</v>
      </c>
      <c r="S300">
        <v>1</v>
      </c>
      <c r="T300" t="s">
        <v>58</v>
      </c>
      <c r="U300" t="s">
        <v>621</v>
      </c>
      <c r="V300" s="3">
        <v>0.19</v>
      </c>
      <c r="W300" s="2">
        <v>0</v>
      </c>
      <c r="X300">
        <v>0</v>
      </c>
      <c r="Y300" t="s">
        <v>60</v>
      </c>
      <c r="Z300" t="s">
        <v>248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2.85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46202</v>
      </c>
      <c r="B301" t="s">
        <v>48</v>
      </c>
      <c r="C301">
        <v>649163</v>
      </c>
      <c r="D301">
        <v>2034671438</v>
      </c>
      <c r="E301" t="s">
        <v>569</v>
      </c>
      <c r="F301" t="s">
        <v>570</v>
      </c>
      <c r="G301" t="s">
        <v>51</v>
      </c>
      <c r="H301" t="s">
        <v>200</v>
      </c>
      <c r="I301" t="s">
        <v>149</v>
      </c>
      <c r="J301" t="s">
        <v>624</v>
      </c>
      <c r="K301">
        <v>942810</v>
      </c>
      <c r="L301" t="s">
        <v>505</v>
      </c>
      <c r="M301" t="s">
        <v>506</v>
      </c>
      <c r="N301" t="s">
        <v>57</v>
      </c>
      <c r="O301" s="1">
        <v>46108</v>
      </c>
      <c r="Q301" s="1">
        <v>46230</v>
      </c>
      <c r="R301" s="2">
        <v>15</v>
      </c>
      <c r="S301">
        <v>1</v>
      </c>
      <c r="T301" t="s">
        <v>58</v>
      </c>
      <c r="U301" t="s">
        <v>621</v>
      </c>
      <c r="V301" s="3">
        <v>0.19</v>
      </c>
      <c r="W301" s="2">
        <v>0</v>
      </c>
      <c r="X301">
        <v>0</v>
      </c>
      <c r="Y301" t="s">
        <v>60</v>
      </c>
      <c r="Z301" t="s">
        <v>248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2.85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46202</v>
      </c>
      <c r="B302" t="s">
        <v>48</v>
      </c>
      <c r="C302">
        <v>649163</v>
      </c>
      <c r="D302">
        <v>2035165394</v>
      </c>
      <c r="E302" t="s">
        <v>647</v>
      </c>
      <c r="F302" t="s">
        <v>648</v>
      </c>
      <c r="G302" t="s">
        <v>51</v>
      </c>
      <c r="H302" t="s">
        <v>100</v>
      </c>
      <c r="I302" t="s">
        <v>149</v>
      </c>
      <c r="J302" t="s">
        <v>602</v>
      </c>
      <c r="K302">
        <v>650218</v>
      </c>
      <c r="L302" t="s">
        <v>266</v>
      </c>
      <c r="M302" t="s">
        <v>267</v>
      </c>
      <c r="N302" t="s">
        <v>57</v>
      </c>
      <c r="O302" s="1">
        <v>46141</v>
      </c>
      <c r="Q302" s="1">
        <v>46232</v>
      </c>
      <c r="R302" s="2">
        <v>15</v>
      </c>
      <c r="S302">
        <v>1</v>
      </c>
      <c r="T302" t="s">
        <v>58</v>
      </c>
      <c r="U302" t="s">
        <v>59</v>
      </c>
      <c r="V302" s="3">
        <v>0.38</v>
      </c>
      <c r="W302" s="2">
        <v>0</v>
      </c>
      <c r="X302">
        <v>0</v>
      </c>
      <c r="Y302" t="s">
        <v>60</v>
      </c>
      <c r="Z302" t="s">
        <v>248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5.7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46202</v>
      </c>
      <c r="B303" t="s">
        <v>48</v>
      </c>
      <c r="C303">
        <v>649163</v>
      </c>
      <c r="D303">
        <v>2035188971</v>
      </c>
      <c r="E303" t="s">
        <v>649</v>
      </c>
      <c r="F303" t="s">
        <v>650</v>
      </c>
      <c r="G303" t="s">
        <v>51</v>
      </c>
      <c r="H303" t="s">
        <v>200</v>
      </c>
      <c r="I303" t="s">
        <v>149</v>
      </c>
      <c r="J303" t="s">
        <v>624</v>
      </c>
      <c r="K303">
        <v>942810</v>
      </c>
      <c r="L303" t="s">
        <v>505</v>
      </c>
      <c r="M303" t="s">
        <v>506</v>
      </c>
      <c r="N303" t="s">
        <v>57</v>
      </c>
      <c r="O303" s="1">
        <v>46141</v>
      </c>
      <c r="Q303" s="1">
        <v>46232</v>
      </c>
      <c r="R303" s="2">
        <v>15</v>
      </c>
      <c r="S303">
        <v>1</v>
      </c>
      <c r="T303" t="s">
        <v>58</v>
      </c>
      <c r="U303" t="s">
        <v>621</v>
      </c>
      <c r="V303" s="3">
        <v>0.19</v>
      </c>
      <c r="W303" s="2">
        <v>0</v>
      </c>
      <c r="X303">
        <v>0</v>
      </c>
      <c r="Y303" t="s">
        <v>60</v>
      </c>
      <c r="Z303" t="s">
        <v>248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2.85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46202</v>
      </c>
      <c r="B304" t="s">
        <v>48</v>
      </c>
      <c r="C304">
        <v>649163</v>
      </c>
      <c r="D304">
        <v>2035201718</v>
      </c>
      <c r="E304" t="s">
        <v>651</v>
      </c>
      <c r="F304" t="s">
        <v>132</v>
      </c>
      <c r="G304" t="s">
        <v>51</v>
      </c>
      <c r="H304" t="s">
        <v>89</v>
      </c>
      <c r="I304" t="s">
        <v>149</v>
      </c>
      <c r="J304" t="s">
        <v>150</v>
      </c>
      <c r="K304">
        <v>812656</v>
      </c>
      <c r="L304" t="s">
        <v>186</v>
      </c>
      <c r="M304" t="s">
        <v>187</v>
      </c>
      <c r="N304" t="s">
        <v>57</v>
      </c>
      <c r="O304" s="1">
        <v>46142</v>
      </c>
      <c r="Q304" s="1">
        <v>46233</v>
      </c>
      <c r="R304" s="2">
        <v>15</v>
      </c>
      <c r="S304">
        <v>1</v>
      </c>
      <c r="T304" t="s">
        <v>58</v>
      </c>
      <c r="U304" t="s">
        <v>151</v>
      </c>
      <c r="V304" s="3">
        <v>0.38</v>
      </c>
      <c r="W304" s="2">
        <v>0</v>
      </c>
      <c r="X304">
        <v>0</v>
      </c>
      <c r="Y304" t="s">
        <v>60</v>
      </c>
      <c r="Z304" t="s">
        <v>248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5.7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46202</v>
      </c>
      <c r="B305" t="s">
        <v>48</v>
      </c>
      <c r="C305">
        <v>649163</v>
      </c>
      <c r="D305">
        <v>2035257015</v>
      </c>
      <c r="E305" t="s">
        <v>652</v>
      </c>
      <c r="F305" t="s">
        <v>653</v>
      </c>
      <c r="G305" t="s">
        <v>51</v>
      </c>
      <c r="H305" t="s">
        <v>89</v>
      </c>
      <c r="I305" t="s">
        <v>149</v>
      </c>
      <c r="J305" t="s">
        <v>150</v>
      </c>
      <c r="K305">
        <v>768887</v>
      </c>
      <c r="L305" t="s">
        <v>368</v>
      </c>
      <c r="M305" t="s">
        <v>369</v>
      </c>
      <c r="N305" t="s">
        <v>57</v>
      </c>
      <c r="O305" s="1">
        <v>46144</v>
      </c>
      <c r="Q305" s="1">
        <v>46236</v>
      </c>
      <c r="R305" s="2">
        <v>15</v>
      </c>
      <c r="S305">
        <v>1</v>
      </c>
      <c r="T305" t="s">
        <v>58</v>
      </c>
      <c r="U305" t="s">
        <v>151</v>
      </c>
      <c r="V305" s="3">
        <v>0.38</v>
      </c>
      <c r="W305" s="2">
        <v>0</v>
      </c>
      <c r="X305">
        <v>0</v>
      </c>
      <c r="Y305" t="s">
        <v>60</v>
      </c>
      <c r="Z305" t="s">
        <v>248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5.7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46202</v>
      </c>
      <c r="B306" t="s">
        <v>48</v>
      </c>
      <c r="C306">
        <v>649163</v>
      </c>
      <c r="D306">
        <v>2035666068</v>
      </c>
      <c r="E306" t="s">
        <v>654</v>
      </c>
      <c r="F306" t="s">
        <v>655</v>
      </c>
      <c r="G306" t="s">
        <v>51</v>
      </c>
      <c r="H306" t="s">
        <v>200</v>
      </c>
      <c r="I306" t="s">
        <v>149</v>
      </c>
      <c r="J306" t="s">
        <v>624</v>
      </c>
      <c r="K306">
        <v>942810</v>
      </c>
      <c r="L306" t="s">
        <v>505</v>
      </c>
      <c r="M306" t="s">
        <v>506</v>
      </c>
      <c r="N306" t="s">
        <v>57</v>
      </c>
      <c r="O306" s="1">
        <v>46169</v>
      </c>
      <c r="Q306" s="1">
        <v>46230</v>
      </c>
      <c r="R306" s="2">
        <v>15</v>
      </c>
      <c r="S306">
        <v>1</v>
      </c>
      <c r="T306" t="s">
        <v>58</v>
      </c>
      <c r="U306" t="s">
        <v>151</v>
      </c>
      <c r="V306" s="3">
        <v>0.19</v>
      </c>
      <c r="W306" s="2">
        <v>0</v>
      </c>
      <c r="X306">
        <v>0</v>
      </c>
      <c r="Y306" t="s">
        <v>60</v>
      </c>
      <c r="Z306" t="s">
        <v>248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2.85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46202</v>
      </c>
      <c r="B307" t="s">
        <v>48</v>
      </c>
      <c r="C307">
        <v>649163</v>
      </c>
      <c r="D307">
        <v>2035685085</v>
      </c>
      <c r="E307" t="s">
        <v>471</v>
      </c>
      <c r="F307" t="s">
        <v>319</v>
      </c>
      <c r="G307" t="s">
        <v>51</v>
      </c>
      <c r="H307" t="s">
        <v>100</v>
      </c>
      <c r="I307" t="s">
        <v>149</v>
      </c>
      <c r="J307" t="s">
        <v>150</v>
      </c>
      <c r="K307">
        <v>650218</v>
      </c>
      <c r="L307" t="s">
        <v>266</v>
      </c>
      <c r="M307" t="s">
        <v>267</v>
      </c>
      <c r="N307" t="s">
        <v>57</v>
      </c>
      <c r="O307" s="1">
        <v>46170</v>
      </c>
      <c r="Q307" s="1">
        <v>46231</v>
      </c>
      <c r="R307" s="2">
        <v>15</v>
      </c>
      <c r="S307">
        <v>1</v>
      </c>
      <c r="T307" t="s">
        <v>58</v>
      </c>
      <c r="U307" t="s">
        <v>151</v>
      </c>
      <c r="V307" s="3">
        <v>0.38</v>
      </c>
      <c r="W307" s="2">
        <v>0</v>
      </c>
      <c r="X307">
        <v>0</v>
      </c>
      <c r="Y307" t="s">
        <v>60</v>
      </c>
      <c r="Z307" t="s">
        <v>248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5.7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46202</v>
      </c>
      <c r="B308" t="s">
        <v>48</v>
      </c>
      <c r="C308">
        <v>649163</v>
      </c>
      <c r="D308">
        <v>2016956446</v>
      </c>
      <c r="E308" t="s">
        <v>656</v>
      </c>
      <c r="F308" t="s">
        <v>478</v>
      </c>
      <c r="G308" t="s">
        <v>51</v>
      </c>
      <c r="H308" t="s">
        <v>100</v>
      </c>
      <c r="I308" t="s">
        <v>133</v>
      </c>
      <c r="J308" t="s">
        <v>134</v>
      </c>
      <c r="K308">
        <v>649793</v>
      </c>
      <c r="L308" t="s">
        <v>102</v>
      </c>
      <c r="M308" t="s">
        <v>333</v>
      </c>
      <c r="N308" t="s">
        <v>57</v>
      </c>
      <c r="O308" s="1">
        <v>44958</v>
      </c>
      <c r="Q308" s="1">
        <v>46235</v>
      </c>
      <c r="R308" s="2">
        <v>136.49</v>
      </c>
      <c r="S308">
        <v>1</v>
      </c>
      <c r="T308" t="s">
        <v>58</v>
      </c>
      <c r="U308" t="s">
        <v>246</v>
      </c>
      <c r="V308" s="3">
        <v>0.06</v>
      </c>
      <c r="W308" s="2">
        <v>0</v>
      </c>
      <c r="X308">
        <v>0</v>
      </c>
      <c r="Y308" t="s">
        <v>247</v>
      </c>
      <c r="Z308" t="s">
        <v>248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8.19</v>
      </c>
      <c r="AN308" s="2">
        <v>8.19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46202</v>
      </c>
      <c r="B309" t="s">
        <v>48</v>
      </c>
      <c r="C309">
        <v>649163</v>
      </c>
      <c r="D309">
        <v>2017340031</v>
      </c>
      <c r="E309" t="s">
        <v>249</v>
      </c>
      <c r="F309" t="s">
        <v>250</v>
      </c>
      <c r="G309" t="s">
        <v>51</v>
      </c>
      <c r="H309" t="s">
        <v>52</v>
      </c>
      <c r="I309" t="s">
        <v>133</v>
      </c>
      <c r="J309" t="s">
        <v>134</v>
      </c>
      <c r="K309">
        <v>652037</v>
      </c>
      <c r="L309" t="s">
        <v>55</v>
      </c>
      <c r="M309" t="s">
        <v>252</v>
      </c>
      <c r="N309" t="s">
        <v>57</v>
      </c>
      <c r="O309" s="1">
        <v>44958</v>
      </c>
      <c r="Q309" s="1">
        <v>46235</v>
      </c>
      <c r="R309" s="2">
        <v>89</v>
      </c>
      <c r="S309">
        <v>1</v>
      </c>
      <c r="T309" t="s">
        <v>58</v>
      </c>
      <c r="U309" t="s">
        <v>246</v>
      </c>
      <c r="V309" s="3">
        <v>0.06</v>
      </c>
      <c r="W309" s="2">
        <v>0</v>
      </c>
      <c r="X309">
        <v>0</v>
      </c>
      <c r="Y309" t="s">
        <v>247</v>
      </c>
      <c r="Z309" t="s">
        <v>248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5.34</v>
      </c>
      <c r="AN309" s="2">
        <v>5.34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46202</v>
      </c>
      <c r="B310" t="s">
        <v>48</v>
      </c>
      <c r="C310">
        <v>649163</v>
      </c>
      <c r="D310">
        <v>2017377178</v>
      </c>
      <c r="E310" t="s">
        <v>446</v>
      </c>
      <c r="F310" t="s">
        <v>657</v>
      </c>
      <c r="G310" t="s">
        <v>51</v>
      </c>
      <c r="H310" t="s">
        <v>89</v>
      </c>
      <c r="I310" t="s">
        <v>133</v>
      </c>
      <c r="J310" t="s">
        <v>134</v>
      </c>
      <c r="K310">
        <v>651818</v>
      </c>
      <c r="L310" t="s">
        <v>210</v>
      </c>
      <c r="M310" t="s">
        <v>211</v>
      </c>
      <c r="N310" t="s">
        <v>57</v>
      </c>
      <c r="O310" s="1">
        <v>44958</v>
      </c>
      <c r="Q310" s="1">
        <v>46235</v>
      </c>
      <c r="R310" s="2">
        <v>45.2</v>
      </c>
      <c r="S310">
        <v>1</v>
      </c>
      <c r="T310" t="s">
        <v>58</v>
      </c>
      <c r="U310" t="s">
        <v>246</v>
      </c>
      <c r="V310" s="3">
        <v>0.06</v>
      </c>
      <c r="W310" s="2">
        <v>0</v>
      </c>
      <c r="X310">
        <v>0</v>
      </c>
      <c r="Y310" t="s">
        <v>247</v>
      </c>
      <c r="Z310" t="s">
        <v>248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2.71</v>
      </c>
      <c r="AN310" s="2">
        <v>2.71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46202</v>
      </c>
      <c r="B311" t="s">
        <v>48</v>
      </c>
      <c r="C311">
        <v>649163</v>
      </c>
      <c r="D311">
        <v>2017416713</v>
      </c>
      <c r="E311" t="s">
        <v>658</v>
      </c>
      <c r="F311" t="s">
        <v>507</v>
      </c>
      <c r="G311" t="s">
        <v>51</v>
      </c>
      <c r="H311" t="s">
        <v>332</v>
      </c>
      <c r="I311" t="s">
        <v>133</v>
      </c>
      <c r="J311" t="s">
        <v>134</v>
      </c>
      <c r="K311">
        <v>649793</v>
      </c>
      <c r="L311" t="s">
        <v>102</v>
      </c>
      <c r="M311" t="s">
        <v>333</v>
      </c>
      <c r="N311" t="s">
        <v>57</v>
      </c>
      <c r="O311" s="1">
        <v>44958</v>
      </c>
      <c r="Q311" s="1">
        <v>46235</v>
      </c>
      <c r="R311" s="2">
        <v>17.21</v>
      </c>
      <c r="S311">
        <v>1</v>
      </c>
      <c r="T311" t="s">
        <v>58</v>
      </c>
      <c r="U311" t="s">
        <v>246</v>
      </c>
      <c r="V311" s="3">
        <v>0.06</v>
      </c>
      <c r="W311" s="2">
        <v>0</v>
      </c>
      <c r="X311">
        <v>0</v>
      </c>
      <c r="Y311" t="s">
        <v>247</v>
      </c>
      <c r="Z311" t="s">
        <v>248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1.03</v>
      </c>
      <c r="AN311" s="2">
        <v>1.03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46202</v>
      </c>
      <c r="B312" t="s">
        <v>48</v>
      </c>
      <c r="C312">
        <v>649163</v>
      </c>
      <c r="D312">
        <v>2017420306</v>
      </c>
      <c r="E312" t="s">
        <v>659</v>
      </c>
      <c r="F312" t="s">
        <v>660</v>
      </c>
      <c r="G312" t="s">
        <v>51</v>
      </c>
      <c r="H312" t="s">
        <v>100</v>
      </c>
      <c r="I312" t="s">
        <v>133</v>
      </c>
      <c r="J312" t="s">
        <v>134</v>
      </c>
      <c r="K312">
        <v>649793</v>
      </c>
      <c r="L312" t="s">
        <v>102</v>
      </c>
      <c r="M312" t="s">
        <v>333</v>
      </c>
      <c r="N312" t="s">
        <v>57</v>
      </c>
      <c r="O312" s="1">
        <v>44958</v>
      </c>
      <c r="Q312" s="1">
        <v>46235</v>
      </c>
      <c r="R312" s="2">
        <v>52.62</v>
      </c>
      <c r="S312">
        <v>1</v>
      </c>
      <c r="T312" t="s">
        <v>58</v>
      </c>
      <c r="U312" t="s">
        <v>246</v>
      </c>
      <c r="V312" s="3">
        <v>0.06</v>
      </c>
      <c r="W312" s="2">
        <v>0</v>
      </c>
      <c r="X312">
        <v>0</v>
      </c>
      <c r="Y312" t="s">
        <v>247</v>
      </c>
      <c r="Z312" t="s">
        <v>248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3.16</v>
      </c>
      <c r="AN312" s="2">
        <v>3.16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46202</v>
      </c>
      <c r="B313" t="s">
        <v>48</v>
      </c>
      <c r="C313">
        <v>649163</v>
      </c>
      <c r="D313">
        <v>2017521116</v>
      </c>
      <c r="E313" t="s">
        <v>661</v>
      </c>
      <c r="F313" t="s">
        <v>662</v>
      </c>
      <c r="G313" t="s">
        <v>51</v>
      </c>
      <c r="H313" t="s">
        <v>117</v>
      </c>
      <c r="I313" t="s">
        <v>133</v>
      </c>
      <c r="J313" t="s">
        <v>134</v>
      </c>
      <c r="K313">
        <v>649793</v>
      </c>
      <c r="L313" t="s">
        <v>102</v>
      </c>
      <c r="M313" t="s">
        <v>333</v>
      </c>
      <c r="N313" t="s">
        <v>57</v>
      </c>
      <c r="O313" s="1">
        <v>44958</v>
      </c>
      <c r="Q313" s="1">
        <v>46235</v>
      </c>
      <c r="R313" s="2">
        <v>40.65</v>
      </c>
      <c r="S313">
        <v>1</v>
      </c>
      <c r="T313" t="s">
        <v>58</v>
      </c>
      <c r="U313" t="s">
        <v>246</v>
      </c>
      <c r="V313" s="3">
        <v>0.06</v>
      </c>
      <c r="W313" s="2">
        <v>0</v>
      </c>
      <c r="X313">
        <v>0</v>
      </c>
      <c r="Y313" t="s">
        <v>247</v>
      </c>
      <c r="Z313" t="s">
        <v>248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2.44</v>
      </c>
      <c r="AN313" s="2">
        <v>2.44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46202</v>
      </c>
      <c r="B314" t="s">
        <v>48</v>
      </c>
      <c r="C314">
        <v>649163</v>
      </c>
      <c r="D314">
        <v>2018491279</v>
      </c>
      <c r="E314" t="s">
        <v>663</v>
      </c>
      <c r="F314" t="s">
        <v>296</v>
      </c>
      <c r="G314" t="s">
        <v>51</v>
      </c>
      <c r="H314" t="s">
        <v>52</v>
      </c>
      <c r="I314" t="s">
        <v>133</v>
      </c>
      <c r="J314" t="s">
        <v>134</v>
      </c>
      <c r="K314">
        <v>678320</v>
      </c>
      <c r="L314" t="s">
        <v>664</v>
      </c>
      <c r="M314" t="s">
        <v>471</v>
      </c>
      <c r="N314" t="s">
        <v>57</v>
      </c>
      <c r="O314" s="1">
        <v>45046</v>
      </c>
      <c r="Q314" s="1">
        <v>46233</v>
      </c>
      <c r="R314" s="2">
        <v>101.58</v>
      </c>
      <c r="S314">
        <v>1</v>
      </c>
      <c r="T314" t="s">
        <v>58</v>
      </c>
      <c r="U314" t="s">
        <v>246</v>
      </c>
      <c r="V314" s="3">
        <v>0.06</v>
      </c>
      <c r="W314" s="2">
        <v>0</v>
      </c>
      <c r="X314">
        <v>0</v>
      </c>
      <c r="Y314" t="s">
        <v>247</v>
      </c>
      <c r="Z314" t="s">
        <v>248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6.09</v>
      </c>
      <c r="AN314" s="2">
        <v>6.09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46202</v>
      </c>
      <c r="B315" t="s">
        <v>48</v>
      </c>
      <c r="C315">
        <v>649163</v>
      </c>
      <c r="D315">
        <v>2018695482</v>
      </c>
      <c r="E315" t="s">
        <v>665</v>
      </c>
      <c r="F315" t="s">
        <v>478</v>
      </c>
      <c r="G315" t="s">
        <v>51</v>
      </c>
      <c r="H315" t="s">
        <v>52</v>
      </c>
      <c r="I315" t="s">
        <v>133</v>
      </c>
      <c r="J315" t="s">
        <v>134</v>
      </c>
      <c r="K315">
        <v>650218</v>
      </c>
      <c r="L315" t="s">
        <v>266</v>
      </c>
      <c r="M315" t="s">
        <v>267</v>
      </c>
      <c r="N315" t="s">
        <v>57</v>
      </c>
      <c r="O315" s="1">
        <v>45078</v>
      </c>
      <c r="Q315" s="1">
        <v>46235</v>
      </c>
      <c r="R315" s="2">
        <v>57.29</v>
      </c>
      <c r="S315">
        <v>1</v>
      </c>
      <c r="T315" t="s">
        <v>58</v>
      </c>
      <c r="U315" t="s">
        <v>246</v>
      </c>
      <c r="V315" s="3">
        <v>0.06</v>
      </c>
      <c r="W315" s="2">
        <v>0</v>
      </c>
      <c r="X315">
        <v>0</v>
      </c>
      <c r="Y315" t="s">
        <v>247</v>
      </c>
      <c r="Z315" t="s">
        <v>248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3.44</v>
      </c>
      <c r="AN315" s="2">
        <v>3.44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46202</v>
      </c>
      <c r="B316" t="s">
        <v>48</v>
      </c>
      <c r="C316">
        <v>649163</v>
      </c>
      <c r="D316">
        <v>2018749140</v>
      </c>
      <c r="E316" t="s">
        <v>666</v>
      </c>
      <c r="F316" t="s">
        <v>667</v>
      </c>
      <c r="G316" t="s">
        <v>51</v>
      </c>
      <c r="H316" t="s">
        <v>52</v>
      </c>
      <c r="I316" t="s">
        <v>133</v>
      </c>
      <c r="J316" t="s">
        <v>134</v>
      </c>
      <c r="K316">
        <v>649164</v>
      </c>
      <c r="L316" t="s">
        <v>244</v>
      </c>
      <c r="M316" t="s">
        <v>245</v>
      </c>
      <c r="N316" t="s">
        <v>57</v>
      </c>
      <c r="O316" s="1">
        <v>45078</v>
      </c>
      <c r="Q316" s="1">
        <v>46235</v>
      </c>
      <c r="R316" s="2">
        <v>35.979999999999997</v>
      </c>
      <c r="S316">
        <v>1</v>
      </c>
      <c r="T316" t="s">
        <v>58</v>
      </c>
      <c r="U316" t="s">
        <v>246</v>
      </c>
      <c r="V316" s="3">
        <v>0.06</v>
      </c>
      <c r="W316" s="2">
        <v>0</v>
      </c>
      <c r="X316">
        <v>0</v>
      </c>
      <c r="Y316" t="s">
        <v>247</v>
      </c>
      <c r="Z316" t="s">
        <v>248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2.16</v>
      </c>
      <c r="AN316" s="2">
        <v>2.16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46202</v>
      </c>
      <c r="B317" t="s">
        <v>48</v>
      </c>
      <c r="C317">
        <v>649163</v>
      </c>
      <c r="D317">
        <v>2019882011</v>
      </c>
      <c r="E317" t="s">
        <v>668</v>
      </c>
      <c r="F317" t="s">
        <v>529</v>
      </c>
      <c r="G317" t="s">
        <v>51</v>
      </c>
      <c r="H317" t="s">
        <v>52</v>
      </c>
      <c r="I317" t="s">
        <v>133</v>
      </c>
      <c r="J317" t="s">
        <v>134</v>
      </c>
      <c r="K317">
        <v>678320</v>
      </c>
      <c r="L317" t="s">
        <v>664</v>
      </c>
      <c r="M317" t="s">
        <v>471</v>
      </c>
      <c r="N317" t="s">
        <v>57</v>
      </c>
      <c r="O317" s="1">
        <v>45170</v>
      </c>
      <c r="Q317" s="1">
        <v>46235</v>
      </c>
      <c r="R317" s="2">
        <v>30.12</v>
      </c>
      <c r="S317">
        <v>1</v>
      </c>
      <c r="T317" t="s">
        <v>58</v>
      </c>
      <c r="U317" t="s">
        <v>246</v>
      </c>
      <c r="V317" s="3">
        <v>0.06</v>
      </c>
      <c r="W317" s="2">
        <v>0</v>
      </c>
      <c r="X317">
        <v>0</v>
      </c>
      <c r="Y317" t="s">
        <v>247</v>
      </c>
      <c r="Z317" t="s">
        <v>248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1.81</v>
      </c>
      <c r="AN317" s="2">
        <v>1.81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46202</v>
      </c>
      <c r="B318" t="s">
        <v>48</v>
      </c>
      <c r="C318">
        <v>649163</v>
      </c>
      <c r="D318">
        <v>2019896234</v>
      </c>
      <c r="E318" t="s">
        <v>669</v>
      </c>
      <c r="F318" t="s">
        <v>77</v>
      </c>
      <c r="G318" t="s">
        <v>51</v>
      </c>
      <c r="H318" t="s">
        <v>52</v>
      </c>
      <c r="I318" t="s">
        <v>133</v>
      </c>
      <c r="J318" t="s">
        <v>134</v>
      </c>
      <c r="K318">
        <v>702406</v>
      </c>
      <c r="L318" t="s">
        <v>670</v>
      </c>
      <c r="M318" t="s">
        <v>335</v>
      </c>
      <c r="N318" t="s">
        <v>57</v>
      </c>
      <c r="O318" s="1">
        <v>45169</v>
      </c>
      <c r="Q318" s="1">
        <v>46233</v>
      </c>
      <c r="R318" s="2">
        <v>30.12</v>
      </c>
      <c r="S318">
        <v>1</v>
      </c>
      <c r="T318" t="s">
        <v>58</v>
      </c>
      <c r="U318" t="s">
        <v>246</v>
      </c>
      <c r="V318" s="3">
        <v>0.06</v>
      </c>
      <c r="W318" s="2">
        <v>0</v>
      </c>
      <c r="X318">
        <v>0</v>
      </c>
      <c r="Y318" t="s">
        <v>247</v>
      </c>
      <c r="Z318" t="s">
        <v>248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1.81</v>
      </c>
      <c r="AN318" s="2">
        <v>1.81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46202</v>
      </c>
      <c r="B319" t="s">
        <v>48</v>
      </c>
      <c r="C319">
        <v>649163</v>
      </c>
      <c r="D319">
        <v>2019916726</v>
      </c>
      <c r="E319" t="s">
        <v>671</v>
      </c>
      <c r="F319" t="s">
        <v>672</v>
      </c>
      <c r="G319" t="s">
        <v>51</v>
      </c>
      <c r="H319" t="s">
        <v>52</v>
      </c>
      <c r="I319" t="s">
        <v>133</v>
      </c>
      <c r="J319" t="s">
        <v>134</v>
      </c>
      <c r="K319">
        <v>702406</v>
      </c>
      <c r="L319" t="s">
        <v>670</v>
      </c>
      <c r="M319" t="s">
        <v>335</v>
      </c>
      <c r="N319" t="s">
        <v>57</v>
      </c>
      <c r="O319" s="1">
        <v>45170</v>
      </c>
      <c r="Q319" s="1">
        <v>46235</v>
      </c>
      <c r="R319" s="2">
        <v>30.12</v>
      </c>
      <c r="S319">
        <v>1</v>
      </c>
      <c r="T319" t="s">
        <v>58</v>
      </c>
      <c r="U319" t="s">
        <v>246</v>
      </c>
      <c r="V319" s="3">
        <v>0.06</v>
      </c>
      <c r="W319" s="2">
        <v>0</v>
      </c>
      <c r="X319">
        <v>0</v>
      </c>
      <c r="Y319" t="s">
        <v>247</v>
      </c>
      <c r="Z319" t="s">
        <v>248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1.81</v>
      </c>
      <c r="AN319" s="2">
        <v>1.81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46202</v>
      </c>
      <c r="B320" t="s">
        <v>48</v>
      </c>
      <c r="C320">
        <v>649163</v>
      </c>
      <c r="D320">
        <v>2021403980</v>
      </c>
      <c r="E320" t="s">
        <v>673</v>
      </c>
      <c r="F320" t="s">
        <v>207</v>
      </c>
      <c r="G320" t="s">
        <v>51</v>
      </c>
      <c r="H320" t="s">
        <v>52</v>
      </c>
      <c r="I320" t="s">
        <v>133</v>
      </c>
      <c r="J320" t="s">
        <v>134</v>
      </c>
      <c r="K320">
        <v>728134</v>
      </c>
      <c r="L320" t="s">
        <v>674</v>
      </c>
      <c r="M320" t="s">
        <v>638</v>
      </c>
      <c r="N320" t="s">
        <v>57</v>
      </c>
      <c r="O320" s="1">
        <v>45323</v>
      </c>
      <c r="Q320" s="1">
        <v>46235</v>
      </c>
      <c r="R320" s="2">
        <v>49.98</v>
      </c>
      <c r="S320">
        <v>1</v>
      </c>
      <c r="T320" t="s">
        <v>58</v>
      </c>
      <c r="U320" t="s">
        <v>246</v>
      </c>
      <c r="V320" s="3">
        <v>0.06</v>
      </c>
      <c r="W320" s="2">
        <v>0</v>
      </c>
      <c r="X320">
        <v>0</v>
      </c>
      <c r="Y320" t="s">
        <v>247</v>
      </c>
      <c r="Z320" t="s">
        <v>248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3</v>
      </c>
      <c r="AN320" s="2">
        <v>3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46202</v>
      </c>
      <c r="B321" t="s">
        <v>48</v>
      </c>
      <c r="C321">
        <v>649163</v>
      </c>
      <c r="D321">
        <v>2021612243</v>
      </c>
      <c r="E321" t="s">
        <v>675</v>
      </c>
      <c r="F321" t="s">
        <v>676</v>
      </c>
      <c r="G321" t="s">
        <v>51</v>
      </c>
      <c r="H321" t="s">
        <v>100</v>
      </c>
      <c r="I321" t="s">
        <v>133</v>
      </c>
      <c r="J321" t="s">
        <v>134</v>
      </c>
      <c r="K321">
        <v>673059</v>
      </c>
      <c r="L321" t="s">
        <v>102</v>
      </c>
      <c r="M321" t="s">
        <v>103</v>
      </c>
      <c r="N321" t="s">
        <v>57</v>
      </c>
      <c r="O321" s="1">
        <v>45323</v>
      </c>
      <c r="Q321" s="1">
        <v>46235</v>
      </c>
      <c r="R321" s="2">
        <v>72.83</v>
      </c>
      <c r="S321">
        <v>1</v>
      </c>
      <c r="T321" t="s">
        <v>58</v>
      </c>
      <c r="U321" t="s">
        <v>246</v>
      </c>
      <c r="V321" s="3">
        <v>0.06</v>
      </c>
      <c r="W321" s="2">
        <v>0</v>
      </c>
      <c r="X321">
        <v>0</v>
      </c>
      <c r="Y321" t="s">
        <v>247</v>
      </c>
      <c r="Z321" t="s">
        <v>248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4.37</v>
      </c>
      <c r="AN321" s="2">
        <v>4.37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46202</v>
      </c>
      <c r="B322" t="s">
        <v>48</v>
      </c>
      <c r="C322">
        <v>649163</v>
      </c>
      <c r="D322">
        <v>2022351918</v>
      </c>
      <c r="E322" t="s">
        <v>677</v>
      </c>
      <c r="F322" t="s">
        <v>351</v>
      </c>
      <c r="G322" t="s">
        <v>51</v>
      </c>
      <c r="H322" t="s">
        <v>89</v>
      </c>
      <c r="I322" t="s">
        <v>133</v>
      </c>
      <c r="J322" t="s">
        <v>134</v>
      </c>
      <c r="K322">
        <v>673059</v>
      </c>
      <c r="L322" t="s">
        <v>102</v>
      </c>
      <c r="M322" t="s">
        <v>103</v>
      </c>
      <c r="N322" t="s">
        <v>57</v>
      </c>
      <c r="O322" s="1">
        <v>45383</v>
      </c>
      <c r="Q322" s="1">
        <v>46235</v>
      </c>
      <c r="R322" s="2">
        <v>18.32</v>
      </c>
      <c r="S322">
        <v>1</v>
      </c>
      <c r="T322" t="s">
        <v>58</v>
      </c>
      <c r="U322" t="s">
        <v>246</v>
      </c>
      <c r="V322" s="3">
        <v>0.06</v>
      </c>
      <c r="W322" s="2">
        <v>0</v>
      </c>
      <c r="X322">
        <v>0</v>
      </c>
      <c r="Y322" t="s">
        <v>247</v>
      </c>
      <c r="Z322" t="s">
        <v>248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1.1000000000000001</v>
      </c>
      <c r="AN322" s="2">
        <v>1.1000000000000001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46202</v>
      </c>
      <c r="B323" t="s">
        <v>48</v>
      </c>
      <c r="C323">
        <v>649163</v>
      </c>
      <c r="D323">
        <v>2022444747</v>
      </c>
      <c r="E323" t="s">
        <v>678</v>
      </c>
      <c r="F323" t="s">
        <v>679</v>
      </c>
      <c r="G323" t="s">
        <v>51</v>
      </c>
      <c r="H323" t="s">
        <v>52</v>
      </c>
      <c r="I323" t="s">
        <v>133</v>
      </c>
      <c r="J323" t="s">
        <v>134</v>
      </c>
      <c r="K323">
        <v>649247</v>
      </c>
      <c r="L323" t="s">
        <v>255</v>
      </c>
      <c r="M323" t="s">
        <v>256</v>
      </c>
      <c r="N323" t="s">
        <v>57</v>
      </c>
      <c r="O323" s="1">
        <v>45383</v>
      </c>
      <c r="Q323" s="1">
        <v>46235</v>
      </c>
      <c r="R323" s="2">
        <v>35.979999999999997</v>
      </c>
      <c r="S323">
        <v>1</v>
      </c>
      <c r="T323" t="s">
        <v>58</v>
      </c>
      <c r="U323" t="s">
        <v>246</v>
      </c>
      <c r="V323" s="3">
        <v>0.06</v>
      </c>
      <c r="W323" s="2">
        <v>0</v>
      </c>
      <c r="X323">
        <v>0</v>
      </c>
      <c r="Y323" t="s">
        <v>247</v>
      </c>
      <c r="Z323" t="s">
        <v>248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2.16</v>
      </c>
      <c r="AN323" s="2">
        <v>2.16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46202</v>
      </c>
      <c r="B324" t="s">
        <v>48</v>
      </c>
      <c r="C324">
        <v>649163</v>
      </c>
      <c r="D324">
        <v>2023184836</v>
      </c>
      <c r="E324" t="s">
        <v>680</v>
      </c>
      <c r="F324" t="s">
        <v>681</v>
      </c>
      <c r="G324" t="s">
        <v>51</v>
      </c>
      <c r="H324" t="s">
        <v>52</v>
      </c>
      <c r="I324" t="s">
        <v>133</v>
      </c>
      <c r="J324" t="s">
        <v>134</v>
      </c>
      <c r="K324">
        <v>649247</v>
      </c>
      <c r="L324" t="s">
        <v>255</v>
      </c>
      <c r="M324" t="s">
        <v>256</v>
      </c>
      <c r="N324" t="s">
        <v>57</v>
      </c>
      <c r="O324" s="1">
        <v>45444</v>
      </c>
      <c r="Q324" s="1">
        <v>46235</v>
      </c>
      <c r="R324" s="2">
        <v>35.979999999999997</v>
      </c>
      <c r="S324">
        <v>1</v>
      </c>
      <c r="T324" t="s">
        <v>58</v>
      </c>
      <c r="U324" t="s">
        <v>246</v>
      </c>
      <c r="V324" s="3">
        <v>0.06</v>
      </c>
      <c r="W324" s="2">
        <v>0</v>
      </c>
      <c r="X324">
        <v>0</v>
      </c>
      <c r="Y324" t="s">
        <v>247</v>
      </c>
      <c r="Z324" t="s">
        <v>248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2.16</v>
      </c>
      <c r="AN324" s="2">
        <v>2.16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46202</v>
      </c>
      <c r="B325" t="s">
        <v>48</v>
      </c>
      <c r="C325">
        <v>649163</v>
      </c>
      <c r="D325">
        <v>2023231878</v>
      </c>
      <c r="E325" t="s">
        <v>682</v>
      </c>
      <c r="F325" t="s">
        <v>683</v>
      </c>
      <c r="G325" t="s">
        <v>51</v>
      </c>
      <c r="H325" t="s">
        <v>52</v>
      </c>
      <c r="I325" t="s">
        <v>133</v>
      </c>
      <c r="J325" t="s">
        <v>134</v>
      </c>
      <c r="K325">
        <v>728134</v>
      </c>
      <c r="L325" t="s">
        <v>674</v>
      </c>
      <c r="M325" t="s">
        <v>638</v>
      </c>
      <c r="N325" t="s">
        <v>57</v>
      </c>
      <c r="O325" s="1">
        <v>45444</v>
      </c>
      <c r="Q325" s="1">
        <v>46235</v>
      </c>
      <c r="R325" s="2">
        <v>49.12</v>
      </c>
      <c r="S325">
        <v>1</v>
      </c>
      <c r="T325" t="s">
        <v>58</v>
      </c>
      <c r="U325" t="s">
        <v>246</v>
      </c>
      <c r="V325" s="3">
        <v>0.06</v>
      </c>
      <c r="W325" s="2">
        <v>0</v>
      </c>
      <c r="X325">
        <v>0</v>
      </c>
      <c r="Y325" t="s">
        <v>247</v>
      </c>
      <c r="Z325" t="s">
        <v>248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2.95</v>
      </c>
      <c r="AN325" s="2">
        <v>2.95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46202</v>
      </c>
      <c r="B326" t="s">
        <v>48</v>
      </c>
      <c r="C326">
        <v>649163</v>
      </c>
      <c r="D326">
        <v>2023252074</v>
      </c>
      <c r="E326" t="s">
        <v>684</v>
      </c>
      <c r="F326" t="s">
        <v>466</v>
      </c>
      <c r="G326" t="s">
        <v>51</v>
      </c>
      <c r="H326" t="s">
        <v>52</v>
      </c>
      <c r="I326" t="s">
        <v>133</v>
      </c>
      <c r="J326" t="s">
        <v>134</v>
      </c>
      <c r="K326">
        <v>650218</v>
      </c>
      <c r="L326" t="s">
        <v>266</v>
      </c>
      <c r="M326" t="s">
        <v>267</v>
      </c>
      <c r="N326" t="s">
        <v>57</v>
      </c>
      <c r="O326" s="1">
        <v>45444</v>
      </c>
      <c r="Q326" s="1">
        <v>46235</v>
      </c>
      <c r="R326" s="2">
        <v>82.25</v>
      </c>
      <c r="S326">
        <v>1</v>
      </c>
      <c r="T326" t="s">
        <v>58</v>
      </c>
      <c r="U326" t="s">
        <v>246</v>
      </c>
      <c r="V326" s="3">
        <v>0.06</v>
      </c>
      <c r="W326" s="2">
        <v>0</v>
      </c>
      <c r="X326">
        <v>0</v>
      </c>
      <c r="Y326" t="s">
        <v>247</v>
      </c>
      <c r="Z326" t="s">
        <v>248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4.9400000000000004</v>
      </c>
      <c r="AN326" s="2">
        <v>4.9400000000000004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46202</v>
      </c>
      <c r="B327" t="s">
        <v>48</v>
      </c>
      <c r="C327">
        <v>649163</v>
      </c>
      <c r="D327">
        <v>2023391301</v>
      </c>
      <c r="E327" t="s">
        <v>268</v>
      </c>
      <c r="F327" t="s">
        <v>269</v>
      </c>
      <c r="G327" t="s">
        <v>51</v>
      </c>
      <c r="H327" t="s">
        <v>52</v>
      </c>
      <c r="I327" t="s">
        <v>133</v>
      </c>
      <c r="J327" t="s">
        <v>134</v>
      </c>
      <c r="K327">
        <v>650218</v>
      </c>
      <c r="L327" t="s">
        <v>266</v>
      </c>
      <c r="M327" t="s">
        <v>267</v>
      </c>
      <c r="N327" t="s">
        <v>57</v>
      </c>
      <c r="O327" s="1">
        <v>45474</v>
      </c>
      <c r="Q327" s="1">
        <v>46235</v>
      </c>
      <c r="R327" s="2">
        <v>44.21</v>
      </c>
      <c r="S327">
        <v>1</v>
      </c>
      <c r="T327" t="s">
        <v>58</v>
      </c>
      <c r="U327" t="s">
        <v>246</v>
      </c>
      <c r="V327" s="3">
        <v>0.06</v>
      </c>
      <c r="W327" s="2">
        <v>0</v>
      </c>
      <c r="X327">
        <v>0</v>
      </c>
      <c r="Y327" t="s">
        <v>247</v>
      </c>
      <c r="Z327" t="s">
        <v>248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2.65</v>
      </c>
      <c r="AN327" s="2">
        <v>2.65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46202</v>
      </c>
      <c r="B328" t="s">
        <v>48</v>
      </c>
      <c r="C328">
        <v>649163</v>
      </c>
      <c r="D328">
        <v>2023599966</v>
      </c>
      <c r="E328" t="s">
        <v>685</v>
      </c>
      <c r="F328" t="s">
        <v>291</v>
      </c>
      <c r="G328" t="s">
        <v>51</v>
      </c>
      <c r="H328" t="s">
        <v>89</v>
      </c>
      <c r="I328" t="s">
        <v>133</v>
      </c>
      <c r="J328" t="s">
        <v>134</v>
      </c>
      <c r="K328">
        <v>673059</v>
      </c>
      <c r="L328" t="s">
        <v>102</v>
      </c>
      <c r="M328" t="s">
        <v>103</v>
      </c>
      <c r="N328" t="s">
        <v>57</v>
      </c>
      <c r="O328" s="1">
        <v>45474</v>
      </c>
      <c r="Q328" s="1">
        <v>46235</v>
      </c>
      <c r="R328" s="2">
        <v>40.47</v>
      </c>
      <c r="S328">
        <v>1</v>
      </c>
      <c r="T328" t="s">
        <v>58</v>
      </c>
      <c r="U328" t="s">
        <v>246</v>
      </c>
      <c r="V328" s="3">
        <v>0.06</v>
      </c>
      <c r="W328" s="2">
        <v>0</v>
      </c>
      <c r="X328">
        <v>0</v>
      </c>
      <c r="Y328" t="s">
        <v>247</v>
      </c>
      <c r="Z328" t="s">
        <v>248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2.4300000000000002</v>
      </c>
      <c r="AN328" s="2">
        <v>2.4300000000000002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46202</v>
      </c>
      <c r="B329" t="s">
        <v>48</v>
      </c>
      <c r="C329">
        <v>649163</v>
      </c>
      <c r="D329">
        <v>2023647897</v>
      </c>
      <c r="E329" t="s">
        <v>340</v>
      </c>
      <c r="F329" t="s">
        <v>341</v>
      </c>
      <c r="G329" t="s">
        <v>51</v>
      </c>
      <c r="H329" t="s">
        <v>167</v>
      </c>
      <c r="I329" t="s">
        <v>133</v>
      </c>
      <c r="J329" t="s">
        <v>134</v>
      </c>
      <c r="K329">
        <v>651818</v>
      </c>
      <c r="L329" t="s">
        <v>210</v>
      </c>
      <c r="M329" t="s">
        <v>211</v>
      </c>
      <c r="N329" t="s">
        <v>57</v>
      </c>
      <c r="O329" s="1">
        <v>45474</v>
      </c>
      <c r="Q329" s="1">
        <v>46235</v>
      </c>
      <c r="R329" s="2">
        <v>50.03</v>
      </c>
      <c r="S329">
        <v>1</v>
      </c>
      <c r="T329" t="s">
        <v>58</v>
      </c>
      <c r="U329" t="s">
        <v>246</v>
      </c>
      <c r="V329" s="3">
        <v>0.06</v>
      </c>
      <c r="W329" s="2">
        <v>0</v>
      </c>
      <c r="X329">
        <v>0</v>
      </c>
      <c r="Y329" t="s">
        <v>247</v>
      </c>
      <c r="Z329" t="s">
        <v>248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</v>
      </c>
      <c r="AN329" s="2">
        <v>3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46202</v>
      </c>
      <c r="B330" t="s">
        <v>48</v>
      </c>
      <c r="C330">
        <v>649163</v>
      </c>
      <c r="D330">
        <v>2023651869</v>
      </c>
      <c r="E330" t="s">
        <v>686</v>
      </c>
      <c r="F330" t="s">
        <v>687</v>
      </c>
      <c r="G330" t="s">
        <v>51</v>
      </c>
      <c r="H330" t="s">
        <v>52</v>
      </c>
      <c r="I330" t="s">
        <v>133</v>
      </c>
      <c r="J330" t="s">
        <v>134</v>
      </c>
      <c r="K330">
        <v>649247</v>
      </c>
      <c r="L330" t="s">
        <v>255</v>
      </c>
      <c r="M330" t="s">
        <v>256</v>
      </c>
      <c r="N330" t="s">
        <v>57</v>
      </c>
      <c r="O330" s="1">
        <v>45474</v>
      </c>
      <c r="Q330" s="1">
        <v>46235</v>
      </c>
      <c r="R330" s="2">
        <v>39.979999999999997</v>
      </c>
      <c r="S330">
        <v>1</v>
      </c>
      <c r="T330" t="s">
        <v>58</v>
      </c>
      <c r="U330" t="s">
        <v>246</v>
      </c>
      <c r="V330" s="3">
        <v>0.06</v>
      </c>
      <c r="W330" s="2">
        <v>0</v>
      </c>
      <c r="X330">
        <v>0</v>
      </c>
      <c r="Y330" t="s">
        <v>247</v>
      </c>
      <c r="Z330" t="s">
        <v>248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2.4</v>
      </c>
      <c r="AN330" s="2">
        <v>2.4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46202</v>
      </c>
      <c r="B331" t="s">
        <v>48</v>
      </c>
      <c r="C331">
        <v>649163</v>
      </c>
      <c r="D331">
        <v>2023696965</v>
      </c>
      <c r="E331" t="s">
        <v>688</v>
      </c>
      <c r="F331" t="s">
        <v>689</v>
      </c>
      <c r="G331" t="s">
        <v>51</v>
      </c>
      <c r="H331" t="s">
        <v>167</v>
      </c>
      <c r="I331" t="s">
        <v>133</v>
      </c>
      <c r="J331" t="s">
        <v>134</v>
      </c>
      <c r="K331">
        <v>650218</v>
      </c>
      <c r="L331" t="s">
        <v>266</v>
      </c>
      <c r="M331" t="s">
        <v>267</v>
      </c>
      <c r="N331" t="s">
        <v>57</v>
      </c>
      <c r="O331" s="1">
        <v>45471</v>
      </c>
      <c r="Q331" s="1">
        <v>46231</v>
      </c>
      <c r="R331" s="2">
        <v>39.380000000000003</v>
      </c>
      <c r="S331">
        <v>1</v>
      </c>
      <c r="T331" t="s">
        <v>58</v>
      </c>
      <c r="U331" t="s">
        <v>246</v>
      </c>
      <c r="V331" s="3">
        <v>0.06</v>
      </c>
      <c r="W331" s="2">
        <v>0</v>
      </c>
      <c r="X331">
        <v>0</v>
      </c>
      <c r="Y331" t="s">
        <v>247</v>
      </c>
      <c r="Z331" t="s">
        <v>248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2.36</v>
      </c>
      <c r="AN331" s="2">
        <v>2.36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46202</v>
      </c>
      <c r="B332" t="s">
        <v>48</v>
      </c>
      <c r="C332">
        <v>649163</v>
      </c>
      <c r="D332">
        <v>2024151847</v>
      </c>
      <c r="E332" t="s">
        <v>690</v>
      </c>
      <c r="F332" t="s">
        <v>691</v>
      </c>
      <c r="G332" t="s">
        <v>51</v>
      </c>
      <c r="H332" t="s">
        <v>100</v>
      </c>
      <c r="I332" t="s">
        <v>133</v>
      </c>
      <c r="J332" t="s">
        <v>134</v>
      </c>
      <c r="K332">
        <v>767312</v>
      </c>
      <c r="L332" t="s">
        <v>486</v>
      </c>
      <c r="M332" t="s">
        <v>379</v>
      </c>
      <c r="N332" t="s">
        <v>57</v>
      </c>
      <c r="O332" s="1">
        <v>45504</v>
      </c>
      <c r="Q332" s="1">
        <v>46233</v>
      </c>
      <c r="R332" s="2">
        <v>16.39</v>
      </c>
      <c r="S332">
        <v>1</v>
      </c>
      <c r="T332" t="s">
        <v>58</v>
      </c>
      <c r="U332" t="s">
        <v>246</v>
      </c>
      <c r="V332" s="3">
        <v>0.06</v>
      </c>
      <c r="W332" s="2">
        <v>0</v>
      </c>
      <c r="X332">
        <v>0</v>
      </c>
      <c r="Y332" t="s">
        <v>247</v>
      </c>
      <c r="Z332" t="s">
        <v>248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0.98</v>
      </c>
      <c r="AN332" s="2">
        <v>0.98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46202</v>
      </c>
      <c r="B333" t="s">
        <v>48</v>
      </c>
      <c r="C333">
        <v>649163</v>
      </c>
      <c r="D333">
        <v>2024382485</v>
      </c>
      <c r="E333" t="s">
        <v>274</v>
      </c>
      <c r="F333" t="s">
        <v>275</v>
      </c>
      <c r="G333" t="s">
        <v>51</v>
      </c>
      <c r="H333" t="s">
        <v>52</v>
      </c>
      <c r="I333" t="s">
        <v>133</v>
      </c>
      <c r="J333" t="s">
        <v>134</v>
      </c>
      <c r="K333">
        <v>649247</v>
      </c>
      <c r="L333" t="s">
        <v>255</v>
      </c>
      <c r="M333" t="s">
        <v>256</v>
      </c>
      <c r="N333" t="s">
        <v>57</v>
      </c>
      <c r="O333" s="1">
        <v>45536</v>
      </c>
      <c r="Q333" s="1">
        <v>46235</v>
      </c>
      <c r="R333" s="2">
        <v>44.98</v>
      </c>
      <c r="S333">
        <v>1</v>
      </c>
      <c r="T333" t="s">
        <v>58</v>
      </c>
      <c r="U333" t="s">
        <v>246</v>
      </c>
      <c r="V333" s="3">
        <v>0.06</v>
      </c>
      <c r="W333" s="2">
        <v>0</v>
      </c>
      <c r="X333">
        <v>0</v>
      </c>
      <c r="Y333" t="s">
        <v>247</v>
      </c>
      <c r="Z333" t="s">
        <v>248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2.7</v>
      </c>
      <c r="AN333" s="2">
        <v>2.7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46202</v>
      </c>
      <c r="B334" t="s">
        <v>48</v>
      </c>
      <c r="C334">
        <v>649163</v>
      </c>
      <c r="D334">
        <v>2024477617</v>
      </c>
      <c r="E334" t="s">
        <v>692</v>
      </c>
      <c r="F334" t="s">
        <v>359</v>
      </c>
      <c r="G334" t="s">
        <v>51</v>
      </c>
      <c r="H334" t="s">
        <v>52</v>
      </c>
      <c r="I334" t="s">
        <v>133</v>
      </c>
      <c r="J334" t="s">
        <v>134</v>
      </c>
      <c r="K334">
        <v>650218</v>
      </c>
      <c r="L334" t="s">
        <v>266</v>
      </c>
      <c r="M334" t="s">
        <v>267</v>
      </c>
      <c r="N334" t="s">
        <v>57</v>
      </c>
      <c r="O334" s="1">
        <v>45536</v>
      </c>
      <c r="Q334" s="1">
        <v>46235</v>
      </c>
      <c r="R334" s="2">
        <v>44.21</v>
      </c>
      <c r="S334">
        <v>1</v>
      </c>
      <c r="T334" t="s">
        <v>58</v>
      </c>
      <c r="U334" t="s">
        <v>246</v>
      </c>
      <c r="V334" s="3">
        <v>0.06</v>
      </c>
      <c r="W334" s="2">
        <v>0</v>
      </c>
      <c r="X334">
        <v>0</v>
      </c>
      <c r="Y334" t="s">
        <v>247</v>
      </c>
      <c r="Z334" t="s">
        <v>248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2.65</v>
      </c>
      <c r="AN334" s="2">
        <v>2.65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46202</v>
      </c>
      <c r="B335" t="s">
        <v>48</v>
      </c>
      <c r="C335">
        <v>649163</v>
      </c>
      <c r="D335">
        <v>2024569205</v>
      </c>
      <c r="E335" t="s">
        <v>693</v>
      </c>
      <c r="F335" t="s">
        <v>694</v>
      </c>
      <c r="G335" t="s">
        <v>51</v>
      </c>
      <c r="H335" t="s">
        <v>626</v>
      </c>
      <c r="I335" t="s">
        <v>133</v>
      </c>
      <c r="J335" t="s">
        <v>134</v>
      </c>
      <c r="K335">
        <v>649247</v>
      </c>
      <c r="L335" t="s">
        <v>255</v>
      </c>
      <c r="M335" t="s">
        <v>256</v>
      </c>
      <c r="N335" t="s">
        <v>57</v>
      </c>
      <c r="O335" s="1">
        <v>45531</v>
      </c>
      <c r="Q335" s="1">
        <v>46230</v>
      </c>
      <c r="R335" s="2">
        <v>60.87</v>
      </c>
      <c r="S335">
        <v>1</v>
      </c>
      <c r="T335" t="s">
        <v>58</v>
      </c>
      <c r="U335" t="s">
        <v>246</v>
      </c>
      <c r="V335" s="3">
        <v>0.06</v>
      </c>
      <c r="W335" s="2">
        <v>0</v>
      </c>
      <c r="X335">
        <v>0</v>
      </c>
      <c r="Y335" t="s">
        <v>247</v>
      </c>
      <c r="Z335" t="s">
        <v>248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3.65</v>
      </c>
      <c r="AN335" s="2">
        <v>3.65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46202</v>
      </c>
      <c r="B336" t="s">
        <v>48</v>
      </c>
      <c r="C336">
        <v>649163</v>
      </c>
      <c r="D336">
        <v>2024591190</v>
      </c>
      <c r="E336" t="s">
        <v>695</v>
      </c>
      <c r="F336" t="s">
        <v>696</v>
      </c>
      <c r="G336" t="s">
        <v>51</v>
      </c>
      <c r="H336" t="s">
        <v>52</v>
      </c>
      <c r="I336" t="s">
        <v>133</v>
      </c>
      <c r="J336" t="s">
        <v>134</v>
      </c>
      <c r="K336">
        <v>650218</v>
      </c>
      <c r="L336" t="s">
        <v>266</v>
      </c>
      <c r="M336" t="s">
        <v>267</v>
      </c>
      <c r="N336" t="s">
        <v>57</v>
      </c>
      <c r="O336" s="1">
        <v>45536</v>
      </c>
      <c r="Q336" s="1">
        <v>46235</v>
      </c>
      <c r="R336" s="2">
        <v>27.11</v>
      </c>
      <c r="S336">
        <v>1</v>
      </c>
      <c r="T336" t="s">
        <v>58</v>
      </c>
      <c r="U336" t="s">
        <v>246</v>
      </c>
      <c r="V336" s="3">
        <v>0.06</v>
      </c>
      <c r="W336" s="2">
        <v>0</v>
      </c>
      <c r="X336">
        <v>0</v>
      </c>
      <c r="Y336" t="s">
        <v>247</v>
      </c>
      <c r="Z336" t="s">
        <v>248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1.63</v>
      </c>
      <c r="AN336" s="2">
        <v>1.63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46202</v>
      </c>
      <c r="B337" t="s">
        <v>48</v>
      </c>
      <c r="C337">
        <v>649163</v>
      </c>
      <c r="D337">
        <v>2024645159</v>
      </c>
      <c r="E337" t="s">
        <v>697</v>
      </c>
      <c r="F337" t="s">
        <v>698</v>
      </c>
      <c r="G337" t="s">
        <v>51</v>
      </c>
      <c r="H337" t="s">
        <v>52</v>
      </c>
      <c r="I337" t="s">
        <v>133</v>
      </c>
      <c r="J337" t="s">
        <v>134</v>
      </c>
      <c r="K337">
        <v>650218</v>
      </c>
      <c r="L337" t="s">
        <v>266</v>
      </c>
      <c r="M337" t="s">
        <v>267</v>
      </c>
      <c r="N337" t="s">
        <v>57</v>
      </c>
      <c r="O337" s="1">
        <v>45536</v>
      </c>
      <c r="Q337" s="1">
        <v>46235</v>
      </c>
      <c r="R337" s="2">
        <v>44.98</v>
      </c>
      <c r="S337">
        <v>1</v>
      </c>
      <c r="T337" t="s">
        <v>58</v>
      </c>
      <c r="U337" t="s">
        <v>246</v>
      </c>
      <c r="V337" s="3">
        <v>0.06</v>
      </c>
      <c r="W337" s="2">
        <v>0</v>
      </c>
      <c r="X337">
        <v>0</v>
      </c>
      <c r="Y337" t="s">
        <v>247</v>
      </c>
      <c r="Z337" t="s">
        <v>248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2.7</v>
      </c>
      <c r="AN337" s="2">
        <v>2.7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46202</v>
      </c>
      <c r="B338" t="s">
        <v>48</v>
      </c>
      <c r="C338">
        <v>649163</v>
      </c>
      <c r="D338">
        <v>2024915570</v>
      </c>
      <c r="E338" t="s">
        <v>276</v>
      </c>
      <c r="F338" t="s">
        <v>182</v>
      </c>
      <c r="G338" t="s">
        <v>51</v>
      </c>
      <c r="H338" t="s">
        <v>52</v>
      </c>
      <c r="I338" t="s">
        <v>133</v>
      </c>
      <c r="J338" t="s">
        <v>134</v>
      </c>
      <c r="K338">
        <v>650218</v>
      </c>
      <c r="L338" t="s">
        <v>266</v>
      </c>
      <c r="M338" t="s">
        <v>267</v>
      </c>
      <c r="N338" t="s">
        <v>57</v>
      </c>
      <c r="O338" s="1">
        <v>45566</v>
      </c>
      <c r="Q338" s="1">
        <v>46235</v>
      </c>
      <c r="R338" s="2">
        <v>15.88</v>
      </c>
      <c r="S338">
        <v>1</v>
      </c>
      <c r="T338" t="s">
        <v>58</v>
      </c>
      <c r="U338" t="s">
        <v>246</v>
      </c>
      <c r="V338" s="3">
        <v>0.06</v>
      </c>
      <c r="W338" s="2">
        <v>0</v>
      </c>
      <c r="X338">
        <v>0</v>
      </c>
      <c r="Y338" t="s">
        <v>247</v>
      </c>
      <c r="Z338" t="s">
        <v>248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0.95</v>
      </c>
      <c r="AN338" s="2">
        <v>0.95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46202</v>
      </c>
      <c r="B339" t="s">
        <v>48</v>
      </c>
      <c r="C339">
        <v>649163</v>
      </c>
      <c r="D339">
        <v>2025280495</v>
      </c>
      <c r="E339" t="s">
        <v>699</v>
      </c>
      <c r="F339" t="s">
        <v>700</v>
      </c>
      <c r="G339" t="s">
        <v>51</v>
      </c>
      <c r="H339" t="s">
        <v>52</v>
      </c>
      <c r="I339" t="s">
        <v>133</v>
      </c>
      <c r="J339" t="s">
        <v>134</v>
      </c>
      <c r="K339">
        <v>650218</v>
      </c>
      <c r="L339" t="s">
        <v>266</v>
      </c>
      <c r="M339" t="s">
        <v>267</v>
      </c>
      <c r="N339" t="s">
        <v>57</v>
      </c>
      <c r="O339" s="1">
        <v>45597</v>
      </c>
      <c r="Q339" s="1">
        <v>46235</v>
      </c>
      <c r="R339" s="2">
        <v>27.11</v>
      </c>
      <c r="S339">
        <v>1</v>
      </c>
      <c r="T339" t="s">
        <v>58</v>
      </c>
      <c r="U339" t="s">
        <v>246</v>
      </c>
      <c r="V339" s="3">
        <v>0.06</v>
      </c>
      <c r="W339" s="2">
        <v>0</v>
      </c>
      <c r="X339">
        <v>0</v>
      </c>
      <c r="Y339" t="s">
        <v>247</v>
      </c>
      <c r="Z339" t="s">
        <v>248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1.63</v>
      </c>
      <c r="AN339" s="2">
        <v>1.63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46202</v>
      </c>
      <c r="B340" t="s">
        <v>48</v>
      </c>
      <c r="C340">
        <v>649163</v>
      </c>
      <c r="D340">
        <v>2025338057</v>
      </c>
      <c r="E340" t="s">
        <v>701</v>
      </c>
      <c r="F340" t="s">
        <v>702</v>
      </c>
      <c r="G340" t="s">
        <v>51</v>
      </c>
      <c r="H340" t="s">
        <v>89</v>
      </c>
      <c r="I340" t="s">
        <v>133</v>
      </c>
      <c r="J340" t="s">
        <v>134</v>
      </c>
      <c r="K340">
        <v>673059</v>
      </c>
      <c r="L340" t="s">
        <v>102</v>
      </c>
      <c r="M340" t="s">
        <v>103</v>
      </c>
      <c r="N340" t="s">
        <v>57</v>
      </c>
      <c r="O340" s="1">
        <v>45597</v>
      </c>
      <c r="Q340" s="1">
        <v>46235</v>
      </c>
      <c r="R340" s="2">
        <v>37.61</v>
      </c>
      <c r="S340">
        <v>1</v>
      </c>
      <c r="T340" t="s">
        <v>58</v>
      </c>
      <c r="U340" t="s">
        <v>246</v>
      </c>
      <c r="V340" s="3">
        <v>0.06</v>
      </c>
      <c r="W340" s="2">
        <v>0</v>
      </c>
      <c r="X340">
        <v>0</v>
      </c>
      <c r="Y340" t="s">
        <v>247</v>
      </c>
      <c r="Z340" t="s">
        <v>248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2.2599999999999998</v>
      </c>
      <c r="AN340" s="2">
        <v>2.2599999999999998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46202</v>
      </c>
      <c r="B341" t="s">
        <v>48</v>
      </c>
      <c r="C341">
        <v>649163</v>
      </c>
      <c r="D341">
        <v>2025422151</v>
      </c>
      <c r="E341" t="s">
        <v>703</v>
      </c>
      <c r="F341" t="s">
        <v>704</v>
      </c>
      <c r="G341" t="s">
        <v>51</v>
      </c>
      <c r="H341" t="s">
        <v>52</v>
      </c>
      <c r="I341" t="s">
        <v>133</v>
      </c>
      <c r="J341" t="s">
        <v>134</v>
      </c>
      <c r="K341">
        <v>650218</v>
      </c>
      <c r="L341" t="s">
        <v>266</v>
      </c>
      <c r="M341" t="s">
        <v>267</v>
      </c>
      <c r="N341" t="s">
        <v>57</v>
      </c>
      <c r="O341" s="1">
        <v>45597</v>
      </c>
      <c r="Q341" s="1">
        <v>46235</v>
      </c>
      <c r="R341" s="2">
        <v>53.08</v>
      </c>
      <c r="S341">
        <v>1</v>
      </c>
      <c r="T341" t="s">
        <v>58</v>
      </c>
      <c r="U341" t="s">
        <v>246</v>
      </c>
      <c r="V341" s="3">
        <v>0.06</v>
      </c>
      <c r="W341" s="2">
        <v>0</v>
      </c>
      <c r="X341">
        <v>0</v>
      </c>
      <c r="Y341" t="s">
        <v>247</v>
      </c>
      <c r="Z341" t="s">
        <v>248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3.18</v>
      </c>
      <c r="AN341" s="2">
        <v>3.18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46202</v>
      </c>
      <c r="B342" t="s">
        <v>48</v>
      </c>
      <c r="C342">
        <v>649163</v>
      </c>
      <c r="D342">
        <v>2025525731</v>
      </c>
      <c r="E342" t="s">
        <v>705</v>
      </c>
      <c r="F342" t="s">
        <v>706</v>
      </c>
      <c r="G342" t="s">
        <v>51</v>
      </c>
      <c r="H342" t="s">
        <v>404</v>
      </c>
      <c r="I342" t="s">
        <v>133</v>
      </c>
      <c r="J342" t="s">
        <v>134</v>
      </c>
      <c r="K342">
        <v>767312</v>
      </c>
      <c r="L342" t="s">
        <v>486</v>
      </c>
      <c r="M342" t="s">
        <v>379</v>
      </c>
      <c r="N342" t="s">
        <v>57</v>
      </c>
      <c r="O342" s="1">
        <v>45595</v>
      </c>
      <c r="Q342" s="1">
        <v>46233</v>
      </c>
      <c r="R342" s="2">
        <v>27.04</v>
      </c>
      <c r="S342">
        <v>1</v>
      </c>
      <c r="T342" t="s">
        <v>58</v>
      </c>
      <c r="U342" t="s">
        <v>246</v>
      </c>
      <c r="V342" s="3">
        <v>0.06</v>
      </c>
      <c r="W342" s="2">
        <v>0</v>
      </c>
      <c r="X342">
        <v>0</v>
      </c>
      <c r="Y342" t="s">
        <v>247</v>
      </c>
      <c r="Z342" t="s">
        <v>248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1.62</v>
      </c>
      <c r="AN342" s="2">
        <v>1.62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46202</v>
      </c>
      <c r="B343" t="s">
        <v>48</v>
      </c>
      <c r="C343">
        <v>649163</v>
      </c>
      <c r="D343">
        <v>2025535694</v>
      </c>
      <c r="E343" t="s">
        <v>707</v>
      </c>
      <c r="F343" t="s">
        <v>708</v>
      </c>
      <c r="G343" t="s">
        <v>51</v>
      </c>
      <c r="H343" t="s">
        <v>100</v>
      </c>
      <c r="I343" t="s">
        <v>133</v>
      </c>
      <c r="J343" t="s">
        <v>134</v>
      </c>
      <c r="K343">
        <v>756418</v>
      </c>
      <c r="L343" t="s">
        <v>383</v>
      </c>
      <c r="M343" t="s">
        <v>384</v>
      </c>
      <c r="N343" t="s">
        <v>57</v>
      </c>
      <c r="O343" s="1">
        <v>45595</v>
      </c>
      <c r="Q343" s="1">
        <v>46233</v>
      </c>
      <c r="R343" s="2">
        <v>52.6</v>
      </c>
      <c r="S343">
        <v>1</v>
      </c>
      <c r="T343" t="s">
        <v>58</v>
      </c>
      <c r="U343" t="s">
        <v>246</v>
      </c>
      <c r="V343" s="3">
        <v>0.06</v>
      </c>
      <c r="W343" s="2">
        <v>0</v>
      </c>
      <c r="X343">
        <v>0</v>
      </c>
      <c r="Y343" t="s">
        <v>247</v>
      </c>
      <c r="Z343" t="s">
        <v>248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3.16</v>
      </c>
      <c r="AN343" s="2">
        <v>3.16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46202</v>
      </c>
      <c r="B344" t="s">
        <v>48</v>
      </c>
      <c r="C344">
        <v>649163</v>
      </c>
      <c r="D344">
        <v>2025639473</v>
      </c>
      <c r="E344" t="s">
        <v>709</v>
      </c>
      <c r="F344" t="s">
        <v>710</v>
      </c>
      <c r="G344" t="s">
        <v>51</v>
      </c>
      <c r="H344" t="s">
        <v>89</v>
      </c>
      <c r="I344" t="s">
        <v>133</v>
      </c>
      <c r="J344" t="s">
        <v>134</v>
      </c>
      <c r="K344">
        <v>789909</v>
      </c>
      <c r="L344" t="s">
        <v>711</v>
      </c>
      <c r="M344" t="s">
        <v>712</v>
      </c>
      <c r="N344" t="s">
        <v>57</v>
      </c>
      <c r="O344" s="1">
        <v>45689</v>
      </c>
      <c r="Q344" s="1">
        <v>46235</v>
      </c>
      <c r="R344" s="2">
        <v>60.94</v>
      </c>
      <c r="S344">
        <v>1</v>
      </c>
      <c r="T344" t="s">
        <v>58</v>
      </c>
      <c r="U344" t="s">
        <v>246</v>
      </c>
      <c r="V344" s="3">
        <v>0.06</v>
      </c>
      <c r="W344" s="2">
        <v>0</v>
      </c>
      <c r="X344">
        <v>0</v>
      </c>
      <c r="Y344" t="s">
        <v>247</v>
      </c>
      <c r="Z344" t="s">
        <v>248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3.66</v>
      </c>
      <c r="AN344" s="2">
        <v>3.66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46202</v>
      </c>
      <c r="B345" t="s">
        <v>48</v>
      </c>
      <c r="C345">
        <v>649163</v>
      </c>
      <c r="D345">
        <v>2025831420</v>
      </c>
      <c r="E345" t="s">
        <v>713</v>
      </c>
      <c r="F345" t="s">
        <v>714</v>
      </c>
      <c r="G345" t="s">
        <v>51</v>
      </c>
      <c r="H345" t="s">
        <v>100</v>
      </c>
      <c r="I345" t="s">
        <v>133</v>
      </c>
      <c r="J345" t="s">
        <v>134</v>
      </c>
      <c r="K345">
        <v>673059</v>
      </c>
      <c r="L345" t="s">
        <v>102</v>
      </c>
      <c r="M345" t="s">
        <v>103</v>
      </c>
      <c r="N345" t="s">
        <v>57</v>
      </c>
      <c r="O345" s="1">
        <v>45658</v>
      </c>
      <c r="Q345" s="1">
        <v>46235</v>
      </c>
      <c r="R345" s="2">
        <v>46.71</v>
      </c>
      <c r="S345">
        <v>1</v>
      </c>
      <c r="T345" t="s">
        <v>58</v>
      </c>
      <c r="U345" t="s">
        <v>246</v>
      </c>
      <c r="V345" s="3">
        <v>0.06</v>
      </c>
      <c r="W345" s="2">
        <v>0</v>
      </c>
      <c r="X345">
        <v>0</v>
      </c>
      <c r="Y345" t="s">
        <v>247</v>
      </c>
      <c r="Z345" t="s">
        <v>248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2.8</v>
      </c>
      <c r="AN345" s="2">
        <v>2.8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46202</v>
      </c>
      <c r="B346" t="s">
        <v>48</v>
      </c>
      <c r="C346">
        <v>649163</v>
      </c>
      <c r="D346">
        <v>2025845322</v>
      </c>
      <c r="E346" t="s">
        <v>715</v>
      </c>
      <c r="F346" t="s">
        <v>378</v>
      </c>
      <c r="G346" t="s">
        <v>51</v>
      </c>
      <c r="H346" t="s">
        <v>200</v>
      </c>
      <c r="I346" t="s">
        <v>133</v>
      </c>
      <c r="J346" t="s">
        <v>134</v>
      </c>
      <c r="K346">
        <v>673059</v>
      </c>
      <c r="L346" t="s">
        <v>102</v>
      </c>
      <c r="M346" t="s">
        <v>103</v>
      </c>
      <c r="N346" t="s">
        <v>57</v>
      </c>
      <c r="O346" s="1">
        <v>45658</v>
      </c>
      <c r="Q346" s="1">
        <v>46235</v>
      </c>
      <c r="R346" s="2">
        <v>49.42</v>
      </c>
      <c r="S346">
        <v>1</v>
      </c>
      <c r="T346" t="s">
        <v>58</v>
      </c>
      <c r="U346" t="s">
        <v>246</v>
      </c>
      <c r="V346" s="3">
        <v>0.06</v>
      </c>
      <c r="W346" s="2">
        <v>0</v>
      </c>
      <c r="X346">
        <v>0</v>
      </c>
      <c r="Y346" t="s">
        <v>247</v>
      </c>
      <c r="Z346" t="s">
        <v>248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2.97</v>
      </c>
      <c r="AN346" s="2">
        <v>2.97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46202</v>
      </c>
      <c r="B347" t="s">
        <v>48</v>
      </c>
      <c r="C347">
        <v>649163</v>
      </c>
      <c r="D347">
        <v>2025967187</v>
      </c>
      <c r="E347" t="s">
        <v>481</v>
      </c>
      <c r="F347" t="s">
        <v>603</v>
      </c>
      <c r="G347" t="s">
        <v>51</v>
      </c>
      <c r="H347" t="s">
        <v>311</v>
      </c>
      <c r="I347" t="s">
        <v>133</v>
      </c>
      <c r="J347" t="s">
        <v>134</v>
      </c>
      <c r="K347">
        <v>756418</v>
      </c>
      <c r="L347" t="s">
        <v>383</v>
      </c>
      <c r="M347" t="s">
        <v>384</v>
      </c>
      <c r="N347" t="s">
        <v>57</v>
      </c>
      <c r="O347" s="1">
        <v>45626</v>
      </c>
      <c r="Q347" s="1">
        <v>46233</v>
      </c>
      <c r="R347" s="2">
        <v>30.46</v>
      </c>
      <c r="S347">
        <v>1</v>
      </c>
      <c r="T347" t="s">
        <v>58</v>
      </c>
      <c r="U347" t="s">
        <v>246</v>
      </c>
      <c r="V347" s="3">
        <v>0.06</v>
      </c>
      <c r="W347" s="2">
        <v>0</v>
      </c>
      <c r="X347">
        <v>0</v>
      </c>
      <c r="Y347" t="s">
        <v>247</v>
      </c>
      <c r="Z347" t="s">
        <v>248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1.83</v>
      </c>
      <c r="AN347" s="2">
        <v>1.83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46202</v>
      </c>
      <c r="B348" t="s">
        <v>48</v>
      </c>
      <c r="C348">
        <v>649163</v>
      </c>
      <c r="D348">
        <v>2025997431</v>
      </c>
      <c r="E348" t="s">
        <v>348</v>
      </c>
      <c r="F348" t="s">
        <v>335</v>
      </c>
      <c r="G348" t="s">
        <v>51</v>
      </c>
      <c r="H348" t="s">
        <v>349</v>
      </c>
      <c r="I348" t="s">
        <v>133</v>
      </c>
      <c r="J348" t="s">
        <v>134</v>
      </c>
      <c r="K348">
        <v>673059</v>
      </c>
      <c r="L348" t="s">
        <v>102</v>
      </c>
      <c r="M348" t="s">
        <v>103</v>
      </c>
      <c r="N348" t="s">
        <v>57</v>
      </c>
      <c r="O348" s="1">
        <v>45689</v>
      </c>
      <c r="Q348" s="1">
        <v>46235</v>
      </c>
      <c r="R348" s="2">
        <v>51.57</v>
      </c>
      <c r="S348">
        <v>1</v>
      </c>
      <c r="T348" t="s">
        <v>58</v>
      </c>
      <c r="U348" t="s">
        <v>246</v>
      </c>
      <c r="V348" s="3">
        <v>0.06</v>
      </c>
      <c r="W348" s="2">
        <v>0</v>
      </c>
      <c r="X348">
        <v>0</v>
      </c>
      <c r="Y348" t="s">
        <v>247</v>
      </c>
      <c r="Z348" t="s">
        <v>248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3.09</v>
      </c>
      <c r="AN348" s="2">
        <v>3.09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46202</v>
      </c>
      <c r="B349" t="s">
        <v>48</v>
      </c>
      <c r="C349">
        <v>649163</v>
      </c>
      <c r="D349">
        <v>2026006727</v>
      </c>
      <c r="E349" t="s">
        <v>716</v>
      </c>
      <c r="F349" t="s">
        <v>265</v>
      </c>
      <c r="G349" t="s">
        <v>51</v>
      </c>
      <c r="H349" t="s">
        <v>68</v>
      </c>
      <c r="I349" t="s">
        <v>133</v>
      </c>
      <c r="J349" t="s">
        <v>134</v>
      </c>
      <c r="K349">
        <v>673059</v>
      </c>
      <c r="L349" t="s">
        <v>102</v>
      </c>
      <c r="M349" t="s">
        <v>103</v>
      </c>
      <c r="N349" t="s">
        <v>57</v>
      </c>
      <c r="O349" s="1">
        <v>45655</v>
      </c>
      <c r="Q349" s="1">
        <v>46232</v>
      </c>
      <c r="R349" s="2">
        <v>65.989999999999995</v>
      </c>
      <c r="S349">
        <v>1</v>
      </c>
      <c r="T349" t="s">
        <v>58</v>
      </c>
      <c r="U349" t="s">
        <v>246</v>
      </c>
      <c r="V349" s="3">
        <v>0.06</v>
      </c>
      <c r="W349" s="2">
        <v>0</v>
      </c>
      <c r="X349">
        <v>0</v>
      </c>
      <c r="Y349" t="s">
        <v>247</v>
      </c>
      <c r="Z349" t="s">
        <v>248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3.96</v>
      </c>
      <c r="AN349" s="2">
        <v>3.96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46202</v>
      </c>
      <c r="B350" t="s">
        <v>48</v>
      </c>
      <c r="C350">
        <v>649163</v>
      </c>
      <c r="D350">
        <v>2026421011</v>
      </c>
      <c r="E350" t="s">
        <v>717</v>
      </c>
      <c r="F350" t="s">
        <v>199</v>
      </c>
      <c r="G350" t="s">
        <v>51</v>
      </c>
      <c r="H350" t="s">
        <v>89</v>
      </c>
      <c r="I350" t="s">
        <v>133</v>
      </c>
      <c r="J350" t="s">
        <v>134</v>
      </c>
      <c r="K350">
        <v>766747</v>
      </c>
      <c r="L350" t="s">
        <v>718</v>
      </c>
      <c r="M350" t="s">
        <v>478</v>
      </c>
      <c r="N350" t="s">
        <v>57</v>
      </c>
      <c r="O350" s="1">
        <v>45689</v>
      </c>
      <c r="Q350" s="1">
        <v>46235</v>
      </c>
      <c r="R350" s="2">
        <v>48.61</v>
      </c>
      <c r="S350">
        <v>1</v>
      </c>
      <c r="T350" t="s">
        <v>58</v>
      </c>
      <c r="U350" t="s">
        <v>246</v>
      </c>
      <c r="V350" s="3">
        <v>0.06</v>
      </c>
      <c r="W350" s="2">
        <v>0</v>
      </c>
      <c r="X350">
        <v>0</v>
      </c>
      <c r="Y350" t="s">
        <v>247</v>
      </c>
      <c r="Z350" t="s">
        <v>248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2.92</v>
      </c>
      <c r="AN350" s="2">
        <v>2.92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46202</v>
      </c>
      <c r="B351" t="s">
        <v>48</v>
      </c>
      <c r="C351">
        <v>649163</v>
      </c>
      <c r="D351">
        <v>2026434386</v>
      </c>
      <c r="E351" t="s">
        <v>231</v>
      </c>
      <c r="F351" t="s">
        <v>719</v>
      </c>
      <c r="G351" t="s">
        <v>51</v>
      </c>
      <c r="H351" t="s">
        <v>89</v>
      </c>
      <c r="I351" t="s">
        <v>133</v>
      </c>
      <c r="J351" t="s">
        <v>134</v>
      </c>
      <c r="K351">
        <v>766747</v>
      </c>
      <c r="L351" t="s">
        <v>718</v>
      </c>
      <c r="M351" t="s">
        <v>478</v>
      </c>
      <c r="N351" t="s">
        <v>57</v>
      </c>
      <c r="O351" s="1">
        <v>45689</v>
      </c>
      <c r="Q351" s="1">
        <v>46235</v>
      </c>
      <c r="R351" s="2">
        <v>22.52</v>
      </c>
      <c r="S351">
        <v>1</v>
      </c>
      <c r="T351" t="s">
        <v>58</v>
      </c>
      <c r="U351" t="s">
        <v>246</v>
      </c>
      <c r="V351" s="3">
        <v>0.06</v>
      </c>
      <c r="W351" s="2">
        <v>0</v>
      </c>
      <c r="X351">
        <v>0</v>
      </c>
      <c r="Y351" t="s">
        <v>247</v>
      </c>
      <c r="Z351" t="s">
        <v>248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1.35</v>
      </c>
      <c r="AN351" s="2">
        <v>1.35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46202</v>
      </c>
      <c r="B352" t="s">
        <v>48</v>
      </c>
      <c r="C352">
        <v>649163</v>
      </c>
      <c r="D352">
        <v>2026471873</v>
      </c>
      <c r="E352" t="s">
        <v>285</v>
      </c>
      <c r="F352" t="s">
        <v>286</v>
      </c>
      <c r="G352" t="s">
        <v>51</v>
      </c>
      <c r="H352" t="s">
        <v>117</v>
      </c>
      <c r="I352" t="s">
        <v>133</v>
      </c>
      <c r="J352" t="s">
        <v>134</v>
      </c>
      <c r="K352">
        <v>673059</v>
      </c>
      <c r="L352" t="s">
        <v>102</v>
      </c>
      <c r="M352" t="s">
        <v>103</v>
      </c>
      <c r="N352" t="s">
        <v>57</v>
      </c>
      <c r="O352" s="1">
        <v>45689</v>
      </c>
      <c r="Q352" s="1">
        <v>46235</v>
      </c>
      <c r="R352" s="2">
        <v>29.32</v>
      </c>
      <c r="S352">
        <v>1</v>
      </c>
      <c r="T352" t="s">
        <v>58</v>
      </c>
      <c r="U352" t="s">
        <v>246</v>
      </c>
      <c r="V352" s="3">
        <v>0.06</v>
      </c>
      <c r="W352" s="2">
        <v>0</v>
      </c>
      <c r="X352">
        <v>0</v>
      </c>
      <c r="Y352" t="s">
        <v>247</v>
      </c>
      <c r="Z352" t="s">
        <v>248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1.76</v>
      </c>
      <c r="AN352" s="2">
        <v>1.76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46202</v>
      </c>
      <c r="B353" t="s">
        <v>48</v>
      </c>
      <c r="C353">
        <v>649163</v>
      </c>
      <c r="D353">
        <v>2026541090</v>
      </c>
      <c r="E353" t="s">
        <v>720</v>
      </c>
      <c r="F353" t="s">
        <v>403</v>
      </c>
      <c r="G353" t="s">
        <v>51</v>
      </c>
      <c r="H353" t="s">
        <v>52</v>
      </c>
      <c r="I353" t="s">
        <v>133</v>
      </c>
      <c r="J353" t="s">
        <v>134</v>
      </c>
      <c r="K353">
        <v>650218</v>
      </c>
      <c r="L353" t="s">
        <v>266</v>
      </c>
      <c r="M353" t="s">
        <v>267</v>
      </c>
      <c r="N353" t="s">
        <v>57</v>
      </c>
      <c r="O353" s="1">
        <v>45689</v>
      </c>
      <c r="Q353" s="1">
        <v>46235</v>
      </c>
      <c r="R353" s="2">
        <v>53.08</v>
      </c>
      <c r="S353">
        <v>1</v>
      </c>
      <c r="T353" t="s">
        <v>58</v>
      </c>
      <c r="U353" t="s">
        <v>246</v>
      </c>
      <c r="V353" s="3">
        <v>0.06</v>
      </c>
      <c r="W353" s="2">
        <v>0</v>
      </c>
      <c r="X353">
        <v>0</v>
      </c>
      <c r="Y353" t="s">
        <v>247</v>
      </c>
      <c r="Z353" t="s">
        <v>248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3.18</v>
      </c>
      <c r="AN353" s="2">
        <v>3.18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46202</v>
      </c>
      <c r="B354" t="s">
        <v>48</v>
      </c>
      <c r="C354">
        <v>649163</v>
      </c>
      <c r="D354">
        <v>2026588332</v>
      </c>
      <c r="E354" t="s">
        <v>604</v>
      </c>
      <c r="F354" t="s">
        <v>605</v>
      </c>
      <c r="G354" t="s">
        <v>51</v>
      </c>
      <c r="H354" t="s">
        <v>97</v>
      </c>
      <c r="I354" t="s">
        <v>133</v>
      </c>
      <c r="J354" t="s">
        <v>134</v>
      </c>
      <c r="K354">
        <v>756418</v>
      </c>
      <c r="L354" t="s">
        <v>383</v>
      </c>
      <c r="M354" t="s">
        <v>384</v>
      </c>
      <c r="N354" t="s">
        <v>57</v>
      </c>
      <c r="O354" s="1">
        <v>45689</v>
      </c>
      <c r="Q354" s="1">
        <v>46235</v>
      </c>
      <c r="R354" s="2">
        <v>30.99</v>
      </c>
      <c r="S354">
        <v>1</v>
      </c>
      <c r="T354" t="s">
        <v>58</v>
      </c>
      <c r="U354" t="s">
        <v>246</v>
      </c>
      <c r="V354" s="3">
        <v>0.06</v>
      </c>
      <c r="W354" s="2">
        <v>0</v>
      </c>
      <c r="X354">
        <v>0</v>
      </c>
      <c r="Y354" t="s">
        <v>247</v>
      </c>
      <c r="Z354" t="s">
        <v>248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1.86</v>
      </c>
      <c r="AN354" s="2">
        <v>1.86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46202</v>
      </c>
      <c r="B355" t="s">
        <v>48</v>
      </c>
      <c r="C355">
        <v>649163</v>
      </c>
      <c r="D355">
        <v>2033053979</v>
      </c>
      <c r="E355" t="s">
        <v>442</v>
      </c>
      <c r="F355" t="s">
        <v>443</v>
      </c>
      <c r="G355" t="s">
        <v>51</v>
      </c>
      <c r="H355" t="s">
        <v>332</v>
      </c>
      <c r="I355" t="s">
        <v>194</v>
      </c>
      <c r="J355" t="s">
        <v>195</v>
      </c>
      <c r="K355">
        <v>824062</v>
      </c>
      <c r="L355" t="s">
        <v>90</v>
      </c>
      <c r="M355" t="s">
        <v>91</v>
      </c>
      <c r="N355" t="s">
        <v>57</v>
      </c>
      <c r="O355" s="1">
        <v>46054</v>
      </c>
      <c r="Q355" s="1">
        <v>46235</v>
      </c>
      <c r="R355" s="2">
        <v>221.48</v>
      </c>
      <c r="S355">
        <v>1</v>
      </c>
      <c r="T355" t="s">
        <v>58</v>
      </c>
      <c r="U355" t="s">
        <v>59</v>
      </c>
      <c r="V355" s="3">
        <v>0.7</v>
      </c>
      <c r="W355" s="2">
        <v>0</v>
      </c>
      <c r="X355">
        <v>0</v>
      </c>
      <c r="Y355" t="s">
        <v>60</v>
      </c>
      <c r="Z355" t="s">
        <v>248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155.04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46202</v>
      </c>
      <c r="B356" t="s">
        <v>48</v>
      </c>
      <c r="C356">
        <v>649163</v>
      </c>
      <c r="D356">
        <v>2033055076</v>
      </c>
      <c r="E356" t="s">
        <v>444</v>
      </c>
      <c r="F356" t="s">
        <v>445</v>
      </c>
      <c r="G356" t="s">
        <v>51</v>
      </c>
      <c r="H356" t="s">
        <v>425</v>
      </c>
      <c r="I356" t="s">
        <v>194</v>
      </c>
      <c r="J356" t="s">
        <v>195</v>
      </c>
      <c r="K356">
        <v>753748</v>
      </c>
      <c r="L356" t="s">
        <v>358</v>
      </c>
      <c r="M356" t="s">
        <v>359</v>
      </c>
      <c r="N356" t="s">
        <v>57</v>
      </c>
      <c r="O356" s="1">
        <v>46054</v>
      </c>
      <c r="Q356" s="1">
        <v>46235</v>
      </c>
      <c r="R356" s="2">
        <v>41.57</v>
      </c>
      <c r="S356">
        <v>1</v>
      </c>
      <c r="T356" t="s">
        <v>58</v>
      </c>
      <c r="U356" t="s">
        <v>59</v>
      </c>
      <c r="V356" s="3">
        <v>0.7</v>
      </c>
      <c r="W356" s="2">
        <v>0</v>
      </c>
      <c r="X356">
        <v>0</v>
      </c>
      <c r="Y356" t="s">
        <v>60</v>
      </c>
      <c r="Z356" t="s">
        <v>248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29.1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46202</v>
      </c>
      <c r="B357" t="s">
        <v>48</v>
      </c>
      <c r="C357">
        <v>649163</v>
      </c>
      <c r="D357">
        <v>2033057792</v>
      </c>
      <c r="E357" t="s">
        <v>446</v>
      </c>
      <c r="F357" t="s">
        <v>433</v>
      </c>
      <c r="G357" t="s">
        <v>51</v>
      </c>
      <c r="H357" t="s">
        <v>89</v>
      </c>
      <c r="I357" t="s">
        <v>194</v>
      </c>
      <c r="J357" t="s">
        <v>195</v>
      </c>
      <c r="K357">
        <v>673059</v>
      </c>
      <c r="L357" t="s">
        <v>102</v>
      </c>
      <c r="M357" t="s">
        <v>103</v>
      </c>
      <c r="N357" t="s">
        <v>57</v>
      </c>
      <c r="O357" s="1">
        <v>46054</v>
      </c>
      <c r="Q357" s="1">
        <v>46235</v>
      </c>
      <c r="R357" s="2">
        <v>78.03</v>
      </c>
      <c r="S357">
        <v>1</v>
      </c>
      <c r="T357" t="s">
        <v>58</v>
      </c>
      <c r="U357" t="s">
        <v>59</v>
      </c>
      <c r="V357" s="3">
        <v>0.7</v>
      </c>
      <c r="W357" s="2">
        <v>0</v>
      </c>
      <c r="X357">
        <v>0</v>
      </c>
      <c r="Y357" t="s">
        <v>60</v>
      </c>
      <c r="Z357" t="s">
        <v>248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54.62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46202</v>
      </c>
      <c r="B358" t="s">
        <v>48</v>
      </c>
      <c r="C358">
        <v>649163</v>
      </c>
      <c r="D358">
        <v>2033067682</v>
      </c>
      <c r="E358" t="s">
        <v>447</v>
      </c>
      <c r="F358" t="s">
        <v>365</v>
      </c>
      <c r="G358" t="s">
        <v>51</v>
      </c>
      <c r="H358" t="s">
        <v>89</v>
      </c>
      <c r="I358" t="s">
        <v>194</v>
      </c>
      <c r="J358" t="s">
        <v>195</v>
      </c>
      <c r="K358">
        <v>824062</v>
      </c>
      <c r="L358" t="s">
        <v>90</v>
      </c>
      <c r="M358" t="s">
        <v>91</v>
      </c>
      <c r="N358" t="s">
        <v>57</v>
      </c>
      <c r="O358" s="1">
        <v>46054</v>
      </c>
      <c r="Q358" s="1">
        <v>46235</v>
      </c>
      <c r="R358" s="2">
        <v>22</v>
      </c>
      <c r="S358">
        <v>1</v>
      </c>
      <c r="T358" t="s">
        <v>58</v>
      </c>
      <c r="U358" t="s">
        <v>59</v>
      </c>
      <c r="V358" s="3">
        <v>0.7</v>
      </c>
      <c r="W358" s="2">
        <v>0</v>
      </c>
      <c r="X358">
        <v>0</v>
      </c>
      <c r="Y358" t="s">
        <v>60</v>
      </c>
      <c r="Z358" t="s">
        <v>248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15.4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46202</v>
      </c>
      <c r="B359" t="s">
        <v>48</v>
      </c>
      <c r="C359">
        <v>649163</v>
      </c>
      <c r="D359">
        <v>2033068350</v>
      </c>
      <c r="E359" t="s">
        <v>448</v>
      </c>
      <c r="F359" t="s">
        <v>449</v>
      </c>
      <c r="G359" t="s">
        <v>51</v>
      </c>
      <c r="H359" t="s">
        <v>94</v>
      </c>
      <c r="I359" t="s">
        <v>194</v>
      </c>
      <c r="J359" t="s">
        <v>195</v>
      </c>
      <c r="K359">
        <v>816021</v>
      </c>
      <c r="L359" t="s">
        <v>80</v>
      </c>
      <c r="M359" t="s">
        <v>81</v>
      </c>
      <c r="N359" t="s">
        <v>57</v>
      </c>
      <c r="O359" s="1">
        <v>46054</v>
      </c>
      <c r="Q359" s="1">
        <v>46235</v>
      </c>
      <c r="R359" s="2">
        <v>9.1</v>
      </c>
      <c r="S359">
        <v>1</v>
      </c>
      <c r="T359" t="s">
        <v>58</v>
      </c>
      <c r="U359" t="s">
        <v>59</v>
      </c>
      <c r="V359" s="3">
        <v>0.7</v>
      </c>
      <c r="W359" s="2">
        <v>0</v>
      </c>
      <c r="X359">
        <v>0</v>
      </c>
      <c r="Y359" t="s">
        <v>60</v>
      </c>
      <c r="Z359" t="s">
        <v>248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6.37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46202</v>
      </c>
      <c r="B360" t="s">
        <v>48</v>
      </c>
      <c r="C360">
        <v>649163</v>
      </c>
      <c r="D360">
        <v>2033071351</v>
      </c>
      <c r="E360" t="s">
        <v>450</v>
      </c>
      <c r="F360" t="s">
        <v>451</v>
      </c>
      <c r="G360" t="s">
        <v>51</v>
      </c>
      <c r="H360" t="s">
        <v>97</v>
      </c>
      <c r="I360" t="s">
        <v>194</v>
      </c>
      <c r="J360" t="s">
        <v>195</v>
      </c>
      <c r="K360">
        <v>856163</v>
      </c>
      <c r="L360" t="s">
        <v>113</v>
      </c>
      <c r="M360" t="s">
        <v>452</v>
      </c>
      <c r="N360" t="s">
        <v>57</v>
      </c>
      <c r="O360" s="1">
        <v>46054</v>
      </c>
      <c r="Q360" s="1">
        <v>46235</v>
      </c>
      <c r="R360" s="2">
        <v>69.06</v>
      </c>
      <c r="S360">
        <v>1</v>
      </c>
      <c r="T360" t="s">
        <v>58</v>
      </c>
      <c r="U360" t="s">
        <v>59</v>
      </c>
      <c r="V360" s="3">
        <v>0.7</v>
      </c>
      <c r="W360" s="2">
        <v>0</v>
      </c>
      <c r="X360">
        <v>0</v>
      </c>
      <c r="Y360" t="s">
        <v>60</v>
      </c>
      <c r="Z360" t="s">
        <v>248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48.34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46202</v>
      </c>
      <c r="B361" t="s">
        <v>48</v>
      </c>
      <c r="C361">
        <v>649163</v>
      </c>
      <c r="D361">
        <v>2033072263</v>
      </c>
      <c r="E361" t="s">
        <v>453</v>
      </c>
      <c r="F361" t="s">
        <v>454</v>
      </c>
      <c r="G361" t="s">
        <v>51</v>
      </c>
      <c r="H361" t="s">
        <v>89</v>
      </c>
      <c r="I361" t="s">
        <v>194</v>
      </c>
      <c r="J361" t="s">
        <v>195</v>
      </c>
      <c r="K361">
        <v>673059</v>
      </c>
      <c r="L361" t="s">
        <v>102</v>
      </c>
      <c r="M361" t="s">
        <v>103</v>
      </c>
      <c r="N361" t="s">
        <v>57</v>
      </c>
      <c r="O361" s="1">
        <v>46049</v>
      </c>
      <c r="Q361" s="1">
        <v>46230</v>
      </c>
      <c r="R361" s="2">
        <v>41.29</v>
      </c>
      <c r="S361">
        <v>1</v>
      </c>
      <c r="T361" t="s">
        <v>58</v>
      </c>
      <c r="U361" t="s">
        <v>59</v>
      </c>
      <c r="V361" s="3">
        <v>0.7</v>
      </c>
      <c r="W361" s="2">
        <v>0</v>
      </c>
      <c r="X361">
        <v>0</v>
      </c>
      <c r="Y361" t="s">
        <v>60</v>
      </c>
      <c r="Z361" t="s">
        <v>248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28.9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46202</v>
      </c>
      <c r="B362" t="s">
        <v>48</v>
      </c>
      <c r="C362">
        <v>649163</v>
      </c>
      <c r="D362">
        <v>2033073931</v>
      </c>
      <c r="E362" t="s">
        <v>328</v>
      </c>
      <c r="F362" t="s">
        <v>625</v>
      </c>
      <c r="G362" t="s">
        <v>51</v>
      </c>
      <c r="H362" t="s">
        <v>626</v>
      </c>
      <c r="I362" t="s">
        <v>194</v>
      </c>
      <c r="J362" t="s">
        <v>195</v>
      </c>
      <c r="K362">
        <v>929503</v>
      </c>
      <c r="L362" t="s">
        <v>304</v>
      </c>
      <c r="M362" t="s">
        <v>305</v>
      </c>
      <c r="N362" t="s">
        <v>57</v>
      </c>
      <c r="O362" s="1">
        <v>46054</v>
      </c>
      <c r="Q362" s="1">
        <v>46235</v>
      </c>
      <c r="R362" s="2">
        <v>56.56</v>
      </c>
      <c r="S362">
        <v>1</v>
      </c>
      <c r="T362" t="s">
        <v>58</v>
      </c>
      <c r="U362" t="s">
        <v>59</v>
      </c>
      <c r="V362" s="3">
        <v>0.7</v>
      </c>
      <c r="W362" s="2">
        <v>0</v>
      </c>
      <c r="X362">
        <v>0</v>
      </c>
      <c r="Y362" t="s">
        <v>60</v>
      </c>
      <c r="Z362" t="s">
        <v>248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39.590000000000003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46202</v>
      </c>
      <c r="B363" t="s">
        <v>48</v>
      </c>
      <c r="C363">
        <v>649163</v>
      </c>
      <c r="D363">
        <v>2033076056</v>
      </c>
      <c r="E363" t="s">
        <v>721</v>
      </c>
      <c r="F363" t="s">
        <v>722</v>
      </c>
      <c r="G363" t="s">
        <v>51</v>
      </c>
      <c r="H363" t="s">
        <v>332</v>
      </c>
      <c r="I363" t="s">
        <v>194</v>
      </c>
      <c r="J363" t="s">
        <v>195</v>
      </c>
      <c r="K363">
        <v>757719</v>
      </c>
      <c r="L363" t="s">
        <v>186</v>
      </c>
      <c r="M363" t="s">
        <v>625</v>
      </c>
      <c r="N363" t="s">
        <v>57</v>
      </c>
      <c r="O363" s="1">
        <v>46054</v>
      </c>
      <c r="Q363" s="1">
        <v>46235</v>
      </c>
      <c r="R363" s="2">
        <v>116.29</v>
      </c>
      <c r="S363">
        <v>1</v>
      </c>
      <c r="T363" t="s">
        <v>58</v>
      </c>
      <c r="U363" t="s">
        <v>59</v>
      </c>
      <c r="V363" s="3">
        <v>0.7</v>
      </c>
      <c r="W363" s="2">
        <v>0</v>
      </c>
      <c r="X363">
        <v>0</v>
      </c>
      <c r="Y363" t="s">
        <v>60</v>
      </c>
      <c r="Z363" t="s">
        <v>248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81.400000000000006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46202</v>
      </c>
      <c r="B364" t="s">
        <v>48</v>
      </c>
      <c r="C364">
        <v>649163</v>
      </c>
      <c r="D364">
        <v>2033094198</v>
      </c>
      <c r="E364" t="s">
        <v>569</v>
      </c>
      <c r="F364" t="s">
        <v>533</v>
      </c>
      <c r="G364" t="s">
        <v>51</v>
      </c>
      <c r="H364" t="s">
        <v>89</v>
      </c>
      <c r="I364" t="s">
        <v>194</v>
      </c>
      <c r="J364" t="s">
        <v>195</v>
      </c>
      <c r="K364">
        <v>766422</v>
      </c>
      <c r="L364" t="s">
        <v>612</v>
      </c>
      <c r="M364" t="s">
        <v>211</v>
      </c>
      <c r="N364" t="s">
        <v>57</v>
      </c>
      <c r="O364" s="1">
        <v>46054</v>
      </c>
      <c r="Q364" s="1">
        <v>46235</v>
      </c>
      <c r="R364" s="2">
        <v>26.5</v>
      </c>
      <c r="S364">
        <v>1</v>
      </c>
      <c r="T364" t="s">
        <v>58</v>
      </c>
      <c r="U364" t="s">
        <v>59</v>
      </c>
      <c r="V364" s="3">
        <v>0.7</v>
      </c>
      <c r="W364" s="2">
        <v>0</v>
      </c>
      <c r="X364">
        <v>0</v>
      </c>
      <c r="Y364" t="s">
        <v>60</v>
      </c>
      <c r="Z364" t="s">
        <v>248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18.55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46202</v>
      </c>
      <c r="B365" t="s">
        <v>48</v>
      </c>
      <c r="C365">
        <v>649163</v>
      </c>
      <c r="D365">
        <v>2033097053</v>
      </c>
      <c r="E365" t="s">
        <v>723</v>
      </c>
      <c r="F365" t="s">
        <v>359</v>
      </c>
      <c r="G365" t="s">
        <v>51</v>
      </c>
      <c r="H365" t="s">
        <v>89</v>
      </c>
      <c r="I365" t="s">
        <v>194</v>
      </c>
      <c r="J365" t="s">
        <v>195</v>
      </c>
      <c r="K365">
        <v>824081</v>
      </c>
      <c r="L365" t="s">
        <v>724</v>
      </c>
      <c r="M365" t="s">
        <v>725</v>
      </c>
      <c r="N365" t="s">
        <v>57</v>
      </c>
      <c r="O365" s="1">
        <v>46054</v>
      </c>
      <c r="Q365" s="1">
        <v>46235</v>
      </c>
      <c r="R365" s="2">
        <v>126.92</v>
      </c>
      <c r="S365">
        <v>1</v>
      </c>
      <c r="T365" t="s">
        <v>58</v>
      </c>
      <c r="U365" t="s">
        <v>59</v>
      </c>
      <c r="V365" s="3">
        <v>0.7</v>
      </c>
      <c r="W365" s="2">
        <v>0</v>
      </c>
      <c r="X365">
        <v>0</v>
      </c>
      <c r="Y365" t="s">
        <v>60</v>
      </c>
      <c r="Z365" t="s">
        <v>248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88.84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46202</v>
      </c>
      <c r="B366" t="s">
        <v>48</v>
      </c>
      <c r="C366">
        <v>649163</v>
      </c>
      <c r="D366">
        <v>2033109533</v>
      </c>
      <c r="E366" t="s">
        <v>726</v>
      </c>
      <c r="F366" t="s">
        <v>727</v>
      </c>
      <c r="G366" t="s">
        <v>51</v>
      </c>
      <c r="H366" t="s">
        <v>89</v>
      </c>
      <c r="I366" t="s">
        <v>194</v>
      </c>
      <c r="J366" t="s">
        <v>195</v>
      </c>
      <c r="K366">
        <v>814033</v>
      </c>
      <c r="L366" t="s">
        <v>490</v>
      </c>
      <c r="M366" t="s">
        <v>491</v>
      </c>
      <c r="N366" t="s">
        <v>57</v>
      </c>
      <c r="O366" s="1">
        <v>46054</v>
      </c>
      <c r="Q366" s="1">
        <v>46235</v>
      </c>
      <c r="R366" s="2">
        <v>78.569999999999993</v>
      </c>
      <c r="S366">
        <v>1</v>
      </c>
      <c r="T366" t="s">
        <v>58</v>
      </c>
      <c r="U366" t="s">
        <v>59</v>
      </c>
      <c r="V366" s="3">
        <v>0.7</v>
      </c>
      <c r="W366" s="2">
        <v>0</v>
      </c>
      <c r="X366">
        <v>0</v>
      </c>
      <c r="Y366" t="s">
        <v>60</v>
      </c>
      <c r="Z366" t="s">
        <v>248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55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46202</v>
      </c>
      <c r="B367" t="s">
        <v>48</v>
      </c>
      <c r="C367">
        <v>649163</v>
      </c>
      <c r="D367">
        <v>2033110532</v>
      </c>
      <c r="E367" t="s">
        <v>728</v>
      </c>
      <c r="F367" t="s">
        <v>355</v>
      </c>
      <c r="G367" t="s">
        <v>51</v>
      </c>
      <c r="H367" t="s">
        <v>146</v>
      </c>
      <c r="I367" t="s">
        <v>194</v>
      </c>
      <c r="J367" t="s">
        <v>203</v>
      </c>
      <c r="K367">
        <v>823068</v>
      </c>
      <c r="L367" t="s">
        <v>389</v>
      </c>
      <c r="M367" t="s">
        <v>390</v>
      </c>
      <c r="N367" t="s">
        <v>57</v>
      </c>
      <c r="O367" s="1">
        <v>46054</v>
      </c>
      <c r="Q367" s="1">
        <v>46235</v>
      </c>
      <c r="R367" s="2">
        <v>24.61</v>
      </c>
      <c r="S367">
        <v>1</v>
      </c>
      <c r="T367" t="s">
        <v>58</v>
      </c>
      <c r="U367" t="s">
        <v>59</v>
      </c>
      <c r="V367" s="3">
        <v>0.7</v>
      </c>
      <c r="W367" s="2">
        <v>0</v>
      </c>
      <c r="X367">
        <v>0</v>
      </c>
      <c r="Y367" t="s">
        <v>60</v>
      </c>
      <c r="Z367" t="s">
        <v>248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17.23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46202</v>
      </c>
      <c r="B368" t="s">
        <v>48</v>
      </c>
      <c r="C368">
        <v>649163</v>
      </c>
      <c r="D368">
        <v>2033110533</v>
      </c>
      <c r="E368" t="s">
        <v>728</v>
      </c>
      <c r="F368" t="s">
        <v>355</v>
      </c>
      <c r="G368" t="s">
        <v>51</v>
      </c>
      <c r="H368" t="s">
        <v>146</v>
      </c>
      <c r="I368" t="s">
        <v>194</v>
      </c>
      <c r="J368" t="s">
        <v>217</v>
      </c>
      <c r="K368">
        <v>823068</v>
      </c>
      <c r="L368" t="s">
        <v>389</v>
      </c>
      <c r="M368" t="s">
        <v>390</v>
      </c>
      <c r="N368" t="s">
        <v>57</v>
      </c>
      <c r="O368" s="1">
        <v>46054</v>
      </c>
      <c r="Q368" s="1">
        <v>46235</v>
      </c>
      <c r="R368" s="2">
        <v>56.63</v>
      </c>
      <c r="S368">
        <v>1</v>
      </c>
      <c r="T368" t="s">
        <v>58</v>
      </c>
      <c r="U368" t="s">
        <v>59</v>
      </c>
      <c r="V368" s="3">
        <v>0.9</v>
      </c>
      <c r="W368" s="2">
        <v>0</v>
      </c>
      <c r="X368">
        <v>0</v>
      </c>
      <c r="Y368" t="s">
        <v>60</v>
      </c>
      <c r="Z368" t="s">
        <v>248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50.97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46202</v>
      </c>
      <c r="B369" t="s">
        <v>48</v>
      </c>
      <c r="C369">
        <v>649163</v>
      </c>
      <c r="D369">
        <v>2033110652</v>
      </c>
      <c r="E369" t="s">
        <v>729</v>
      </c>
      <c r="F369" t="s">
        <v>308</v>
      </c>
      <c r="G369" t="s">
        <v>51</v>
      </c>
      <c r="H369" t="s">
        <v>124</v>
      </c>
      <c r="I369" t="s">
        <v>194</v>
      </c>
      <c r="J369" t="s">
        <v>195</v>
      </c>
      <c r="K369">
        <v>673059</v>
      </c>
      <c r="L369" t="s">
        <v>102</v>
      </c>
      <c r="M369" t="s">
        <v>103</v>
      </c>
      <c r="N369" t="s">
        <v>57</v>
      </c>
      <c r="O369" s="1">
        <v>46054</v>
      </c>
      <c r="Q369" s="1">
        <v>46235</v>
      </c>
      <c r="R369" s="2">
        <v>109.36</v>
      </c>
      <c r="S369">
        <v>1</v>
      </c>
      <c r="T369" t="s">
        <v>58</v>
      </c>
      <c r="U369" t="s">
        <v>59</v>
      </c>
      <c r="V369" s="3">
        <v>0.7</v>
      </c>
      <c r="W369" s="2">
        <v>0</v>
      </c>
      <c r="X369">
        <v>0</v>
      </c>
      <c r="Y369" t="s">
        <v>60</v>
      </c>
      <c r="Z369" t="s">
        <v>248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76.55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46202</v>
      </c>
      <c r="B370" t="s">
        <v>48</v>
      </c>
      <c r="C370">
        <v>649163</v>
      </c>
      <c r="D370">
        <v>2033113976</v>
      </c>
      <c r="E370" t="s">
        <v>730</v>
      </c>
      <c r="F370" t="s">
        <v>731</v>
      </c>
      <c r="G370" t="s">
        <v>51</v>
      </c>
      <c r="H370" t="s">
        <v>397</v>
      </c>
      <c r="I370" t="s">
        <v>194</v>
      </c>
      <c r="J370" t="s">
        <v>195</v>
      </c>
      <c r="K370">
        <v>813184</v>
      </c>
      <c r="L370" t="s">
        <v>398</v>
      </c>
      <c r="M370" t="s">
        <v>399</v>
      </c>
      <c r="N370" t="s">
        <v>57</v>
      </c>
      <c r="O370" s="1">
        <v>46054</v>
      </c>
      <c r="Q370" s="1">
        <v>46235</v>
      </c>
      <c r="R370" s="2">
        <v>93.74</v>
      </c>
      <c r="S370">
        <v>1</v>
      </c>
      <c r="T370" t="s">
        <v>58</v>
      </c>
      <c r="U370" t="s">
        <v>59</v>
      </c>
      <c r="V370" s="3">
        <v>0.7</v>
      </c>
      <c r="W370" s="2">
        <v>0</v>
      </c>
      <c r="X370">
        <v>0</v>
      </c>
      <c r="Y370" t="s">
        <v>60</v>
      </c>
      <c r="Z370" t="s">
        <v>248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65.62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46202</v>
      </c>
      <c r="B371" t="s">
        <v>48</v>
      </c>
      <c r="C371">
        <v>649163</v>
      </c>
      <c r="D371">
        <v>2033118500</v>
      </c>
      <c r="E371" t="s">
        <v>458</v>
      </c>
      <c r="F371" t="s">
        <v>459</v>
      </c>
      <c r="G371" t="s">
        <v>51</v>
      </c>
      <c r="H371" t="s">
        <v>94</v>
      </c>
      <c r="I371" t="s">
        <v>194</v>
      </c>
      <c r="J371" t="s">
        <v>195</v>
      </c>
      <c r="K371">
        <v>753748</v>
      </c>
      <c r="L371" t="s">
        <v>358</v>
      </c>
      <c r="M371" t="s">
        <v>359</v>
      </c>
      <c r="N371" t="s">
        <v>57</v>
      </c>
      <c r="O371" s="1">
        <v>46054</v>
      </c>
      <c r="Q371" s="1">
        <v>46235</v>
      </c>
      <c r="R371" s="2">
        <v>8.49</v>
      </c>
      <c r="S371">
        <v>1</v>
      </c>
      <c r="T371" t="s">
        <v>58</v>
      </c>
      <c r="U371" t="s">
        <v>59</v>
      </c>
      <c r="V371" s="3">
        <v>0.7</v>
      </c>
      <c r="W371" s="2">
        <v>0</v>
      </c>
      <c r="X371">
        <v>0</v>
      </c>
      <c r="Y371" t="s">
        <v>60</v>
      </c>
      <c r="Z371" t="s">
        <v>248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5.94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46202</v>
      </c>
      <c r="B372" t="s">
        <v>48</v>
      </c>
      <c r="C372">
        <v>649163</v>
      </c>
      <c r="D372">
        <v>2033121789</v>
      </c>
      <c r="E372" t="s">
        <v>732</v>
      </c>
      <c r="F372" t="s">
        <v>491</v>
      </c>
      <c r="G372" t="s">
        <v>51</v>
      </c>
      <c r="H372" t="s">
        <v>89</v>
      </c>
      <c r="I372" t="s">
        <v>194</v>
      </c>
      <c r="J372" t="s">
        <v>195</v>
      </c>
      <c r="K372">
        <v>843573</v>
      </c>
      <c r="L372" t="s">
        <v>213</v>
      </c>
      <c r="M372" t="s">
        <v>214</v>
      </c>
      <c r="N372" t="s">
        <v>57</v>
      </c>
      <c r="O372" s="1">
        <v>46054</v>
      </c>
      <c r="Q372" s="1">
        <v>46235</v>
      </c>
      <c r="R372" s="2">
        <v>101.38</v>
      </c>
      <c r="S372">
        <v>1</v>
      </c>
      <c r="T372" t="s">
        <v>58</v>
      </c>
      <c r="U372" t="s">
        <v>59</v>
      </c>
      <c r="V372" s="3">
        <v>0.7</v>
      </c>
      <c r="W372" s="2">
        <v>0</v>
      </c>
      <c r="X372">
        <v>0</v>
      </c>
      <c r="Y372" t="s">
        <v>60</v>
      </c>
      <c r="Z372" t="s">
        <v>248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70.97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46202</v>
      </c>
      <c r="B373" t="s">
        <v>48</v>
      </c>
      <c r="C373">
        <v>649163</v>
      </c>
      <c r="D373">
        <v>2033124169</v>
      </c>
      <c r="E373" t="s">
        <v>460</v>
      </c>
      <c r="F373" t="s">
        <v>250</v>
      </c>
      <c r="G373" t="s">
        <v>51</v>
      </c>
      <c r="H373" t="s">
        <v>89</v>
      </c>
      <c r="I373" t="s">
        <v>194</v>
      </c>
      <c r="J373" t="s">
        <v>195</v>
      </c>
      <c r="K373">
        <v>812782</v>
      </c>
      <c r="L373" t="s">
        <v>181</v>
      </c>
      <c r="M373" t="s">
        <v>182</v>
      </c>
      <c r="N373" t="s">
        <v>57</v>
      </c>
      <c r="O373" s="1">
        <v>46054</v>
      </c>
      <c r="Q373" s="1">
        <v>46235</v>
      </c>
      <c r="R373" s="2">
        <v>54.22</v>
      </c>
      <c r="S373">
        <v>1</v>
      </c>
      <c r="T373" t="s">
        <v>58</v>
      </c>
      <c r="U373" t="s">
        <v>59</v>
      </c>
      <c r="V373" s="3">
        <v>0.7</v>
      </c>
      <c r="W373" s="2">
        <v>0</v>
      </c>
      <c r="X373">
        <v>0</v>
      </c>
      <c r="Y373" t="s">
        <v>60</v>
      </c>
      <c r="Z373" t="s">
        <v>248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37.950000000000003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46202</v>
      </c>
      <c r="B374" t="s">
        <v>48</v>
      </c>
      <c r="C374">
        <v>649163</v>
      </c>
      <c r="D374">
        <v>2033127196</v>
      </c>
      <c r="E374" t="s">
        <v>461</v>
      </c>
      <c r="F374" t="s">
        <v>462</v>
      </c>
      <c r="G374" t="s">
        <v>51</v>
      </c>
      <c r="H374" t="s">
        <v>332</v>
      </c>
      <c r="I374" t="s">
        <v>194</v>
      </c>
      <c r="J374" t="s">
        <v>195</v>
      </c>
      <c r="K374">
        <v>753748</v>
      </c>
      <c r="L374" t="s">
        <v>358</v>
      </c>
      <c r="M374" t="s">
        <v>359</v>
      </c>
      <c r="N374" t="s">
        <v>57</v>
      </c>
      <c r="O374" s="1">
        <v>46054</v>
      </c>
      <c r="Q374" s="1">
        <v>46235</v>
      </c>
      <c r="R374" s="2">
        <v>27.34</v>
      </c>
      <c r="S374">
        <v>1</v>
      </c>
      <c r="T374" t="s">
        <v>58</v>
      </c>
      <c r="U374" t="s">
        <v>59</v>
      </c>
      <c r="V374" s="3">
        <v>0.7</v>
      </c>
      <c r="W374" s="2">
        <v>0</v>
      </c>
      <c r="X374">
        <v>0</v>
      </c>
      <c r="Y374" t="s">
        <v>60</v>
      </c>
      <c r="Z374" t="s">
        <v>248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19.14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46202</v>
      </c>
      <c r="B375" t="s">
        <v>48</v>
      </c>
      <c r="C375">
        <v>649163</v>
      </c>
      <c r="D375">
        <v>2033129807</v>
      </c>
      <c r="E375" t="s">
        <v>463</v>
      </c>
      <c r="F375" t="s">
        <v>464</v>
      </c>
      <c r="G375" t="s">
        <v>51</v>
      </c>
      <c r="H375" t="s">
        <v>425</v>
      </c>
      <c r="I375" t="s">
        <v>194</v>
      </c>
      <c r="J375" t="s">
        <v>195</v>
      </c>
      <c r="K375">
        <v>753748</v>
      </c>
      <c r="L375" t="s">
        <v>358</v>
      </c>
      <c r="M375" t="s">
        <v>359</v>
      </c>
      <c r="N375" t="s">
        <v>57</v>
      </c>
      <c r="O375" s="1">
        <v>46054</v>
      </c>
      <c r="Q375" s="1">
        <v>46235</v>
      </c>
      <c r="R375" s="2">
        <v>44.2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248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30.94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46202</v>
      </c>
      <c r="B376" t="s">
        <v>48</v>
      </c>
      <c r="C376">
        <v>649163</v>
      </c>
      <c r="D376">
        <v>2033133906</v>
      </c>
      <c r="E376" t="s">
        <v>465</v>
      </c>
      <c r="F376" t="s">
        <v>466</v>
      </c>
      <c r="G376" t="s">
        <v>51</v>
      </c>
      <c r="H376" t="s">
        <v>434</v>
      </c>
      <c r="I376" t="s">
        <v>194</v>
      </c>
      <c r="J376" t="s">
        <v>195</v>
      </c>
      <c r="K376">
        <v>753748</v>
      </c>
      <c r="L376" t="s">
        <v>358</v>
      </c>
      <c r="M376" t="s">
        <v>359</v>
      </c>
      <c r="N376" t="s">
        <v>57</v>
      </c>
      <c r="O376" s="1">
        <v>46054</v>
      </c>
      <c r="Q376" s="1">
        <v>46235</v>
      </c>
      <c r="R376" s="2">
        <v>39.25</v>
      </c>
      <c r="S376">
        <v>1</v>
      </c>
      <c r="T376" t="s">
        <v>58</v>
      </c>
      <c r="U376" t="s">
        <v>59</v>
      </c>
      <c r="V376" s="3">
        <v>0.7</v>
      </c>
      <c r="W376" s="2">
        <v>0</v>
      </c>
      <c r="X376">
        <v>0</v>
      </c>
      <c r="Y376" t="s">
        <v>60</v>
      </c>
      <c r="Z376" t="s">
        <v>248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27.48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46202</v>
      </c>
      <c r="B377" t="s">
        <v>48</v>
      </c>
      <c r="C377">
        <v>649163</v>
      </c>
      <c r="D377">
        <v>2033134541</v>
      </c>
      <c r="E377" t="s">
        <v>733</v>
      </c>
      <c r="F377" t="s">
        <v>660</v>
      </c>
      <c r="G377" t="s">
        <v>51</v>
      </c>
      <c r="H377" t="s">
        <v>89</v>
      </c>
      <c r="I377" t="s">
        <v>194</v>
      </c>
      <c r="J377" t="s">
        <v>195</v>
      </c>
      <c r="K377">
        <v>843573</v>
      </c>
      <c r="L377" t="s">
        <v>213</v>
      </c>
      <c r="M377" t="s">
        <v>214</v>
      </c>
      <c r="N377" t="s">
        <v>57</v>
      </c>
      <c r="O377" s="1">
        <v>46054</v>
      </c>
      <c r="Q377" s="1">
        <v>46235</v>
      </c>
      <c r="R377" s="2">
        <v>19</v>
      </c>
      <c r="S377">
        <v>1</v>
      </c>
      <c r="T377" t="s">
        <v>58</v>
      </c>
      <c r="U377" t="s">
        <v>59</v>
      </c>
      <c r="V377" s="3">
        <v>0.7</v>
      </c>
      <c r="W377" s="2">
        <v>0</v>
      </c>
      <c r="X377">
        <v>0</v>
      </c>
      <c r="Y377" t="s">
        <v>60</v>
      </c>
      <c r="Z377" t="s">
        <v>248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13.3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46202</v>
      </c>
      <c r="B378" t="s">
        <v>48</v>
      </c>
      <c r="C378">
        <v>649163</v>
      </c>
      <c r="D378">
        <v>2033135806</v>
      </c>
      <c r="E378" t="s">
        <v>312</v>
      </c>
      <c r="F378" t="s">
        <v>313</v>
      </c>
      <c r="G378" t="s">
        <v>51</v>
      </c>
      <c r="H378" t="s">
        <v>100</v>
      </c>
      <c r="I378" t="s">
        <v>194</v>
      </c>
      <c r="J378" t="s">
        <v>195</v>
      </c>
      <c r="K378">
        <v>673059</v>
      </c>
      <c r="L378" t="s">
        <v>102</v>
      </c>
      <c r="M378" t="s">
        <v>103</v>
      </c>
      <c r="N378" t="s">
        <v>57</v>
      </c>
      <c r="O378" s="1">
        <v>46054</v>
      </c>
      <c r="Q378" s="1">
        <v>46235</v>
      </c>
      <c r="R378" s="2">
        <v>29.79</v>
      </c>
      <c r="S378">
        <v>1</v>
      </c>
      <c r="T378" t="s">
        <v>58</v>
      </c>
      <c r="U378" t="s">
        <v>59</v>
      </c>
      <c r="V378" s="3">
        <v>0.7</v>
      </c>
      <c r="W378" s="2">
        <v>0</v>
      </c>
      <c r="X378">
        <v>0</v>
      </c>
      <c r="Y378" t="s">
        <v>60</v>
      </c>
      <c r="Z378" t="s">
        <v>248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20.85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46202</v>
      </c>
      <c r="B379" t="s">
        <v>48</v>
      </c>
      <c r="C379">
        <v>649163</v>
      </c>
      <c r="D379">
        <v>2033137932</v>
      </c>
      <c r="E379" t="s">
        <v>467</v>
      </c>
      <c r="F379" t="s">
        <v>171</v>
      </c>
      <c r="G379" t="s">
        <v>51</v>
      </c>
      <c r="H379" t="s">
        <v>68</v>
      </c>
      <c r="I379" t="s">
        <v>194</v>
      </c>
      <c r="J379" t="s">
        <v>195</v>
      </c>
      <c r="K379">
        <v>874230</v>
      </c>
      <c r="L379" t="s">
        <v>468</v>
      </c>
      <c r="M379" t="s">
        <v>469</v>
      </c>
      <c r="N379" t="s">
        <v>57</v>
      </c>
      <c r="O379" s="1">
        <v>46055</v>
      </c>
      <c r="Q379" s="1">
        <v>46236</v>
      </c>
      <c r="R379" s="2">
        <v>65.48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248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45.84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46202</v>
      </c>
      <c r="B380" t="s">
        <v>48</v>
      </c>
      <c r="C380">
        <v>649163</v>
      </c>
      <c r="D380">
        <v>2033142163</v>
      </c>
      <c r="E380" t="s">
        <v>734</v>
      </c>
      <c r="F380" t="s">
        <v>209</v>
      </c>
      <c r="G380" t="s">
        <v>51</v>
      </c>
      <c r="H380" t="s">
        <v>89</v>
      </c>
      <c r="I380" t="s">
        <v>194</v>
      </c>
      <c r="J380" t="s">
        <v>195</v>
      </c>
      <c r="K380">
        <v>822381</v>
      </c>
      <c r="L380" t="s">
        <v>735</v>
      </c>
      <c r="M380" t="s">
        <v>736</v>
      </c>
      <c r="N380" t="s">
        <v>57</v>
      </c>
      <c r="O380" s="1">
        <v>46054</v>
      </c>
      <c r="Q380" s="1">
        <v>46235</v>
      </c>
      <c r="R380" s="2">
        <v>210.38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0</v>
      </c>
      <c r="Y380" t="s">
        <v>60</v>
      </c>
      <c r="Z380" t="s">
        <v>248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147.27000000000001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46202</v>
      </c>
      <c r="B381" t="s">
        <v>48</v>
      </c>
      <c r="C381">
        <v>649163</v>
      </c>
      <c r="D381">
        <v>2033144075</v>
      </c>
      <c r="E381" t="s">
        <v>385</v>
      </c>
      <c r="F381" t="s">
        <v>737</v>
      </c>
      <c r="G381" t="s">
        <v>51</v>
      </c>
      <c r="H381" t="s">
        <v>397</v>
      </c>
      <c r="I381" t="s">
        <v>194</v>
      </c>
      <c r="J381" t="s">
        <v>195</v>
      </c>
      <c r="K381">
        <v>812994</v>
      </c>
      <c r="L381" t="s">
        <v>615</v>
      </c>
      <c r="M381" t="s">
        <v>616</v>
      </c>
      <c r="N381" t="s">
        <v>57</v>
      </c>
      <c r="O381" s="1">
        <v>46054</v>
      </c>
      <c r="Q381" s="1">
        <v>46235</v>
      </c>
      <c r="R381" s="2">
        <v>99.52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0</v>
      </c>
      <c r="Y381" t="s">
        <v>60</v>
      </c>
      <c r="Z381" t="s">
        <v>248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69.66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46202</v>
      </c>
      <c r="B382" t="s">
        <v>48</v>
      </c>
      <c r="C382">
        <v>649163</v>
      </c>
      <c r="D382">
        <v>2033145359</v>
      </c>
      <c r="E382" t="s">
        <v>470</v>
      </c>
      <c r="F382" t="s">
        <v>471</v>
      </c>
      <c r="G382" t="s">
        <v>51</v>
      </c>
      <c r="H382" t="s">
        <v>89</v>
      </c>
      <c r="I382" t="s">
        <v>194</v>
      </c>
      <c r="J382" t="s">
        <v>195</v>
      </c>
      <c r="K382">
        <v>673059</v>
      </c>
      <c r="L382" t="s">
        <v>102</v>
      </c>
      <c r="M382" t="s">
        <v>103</v>
      </c>
      <c r="N382" t="s">
        <v>57</v>
      </c>
      <c r="O382" s="1">
        <v>46054</v>
      </c>
      <c r="Q382" s="1">
        <v>46235</v>
      </c>
      <c r="R382" s="2">
        <v>58.24</v>
      </c>
      <c r="S382">
        <v>1</v>
      </c>
      <c r="T382" t="s">
        <v>58</v>
      </c>
      <c r="U382" t="s">
        <v>59</v>
      </c>
      <c r="V382" s="3">
        <v>0.7</v>
      </c>
      <c r="W382" s="2">
        <v>0</v>
      </c>
      <c r="X382">
        <v>0</v>
      </c>
      <c r="Y382" t="s">
        <v>60</v>
      </c>
      <c r="Z382" t="s">
        <v>248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40.770000000000003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46202</v>
      </c>
      <c r="B383" t="s">
        <v>48</v>
      </c>
      <c r="C383">
        <v>649163</v>
      </c>
      <c r="D383">
        <v>2033148158</v>
      </c>
      <c r="E383" t="s">
        <v>472</v>
      </c>
      <c r="F383" t="s">
        <v>473</v>
      </c>
      <c r="G383" t="s">
        <v>51</v>
      </c>
      <c r="H383" t="s">
        <v>68</v>
      </c>
      <c r="I383" t="s">
        <v>194</v>
      </c>
      <c r="J383" t="s">
        <v>195</v>
      </c>
      <c r="K383">
        <v>874230</v>
      </c>
      <c r="L383" t="s">
        <v>468</v>
      </c>
      <c r="M383" t="s">
        <v>469</v>
      </c>
      <c r="N383" t="s">
        <v>57</v>
      </c>
      <c r="O383" s="1">
        <v>46054</v>
      </c>
      <c r="Q383" s="1">
        <v>46235</v>
      </c>
      <c r="R383" s="2">
        <v>65.48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248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45.84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46202</v>
      </c>
      <c r="B384" t="s">
        <v>48</v>
      </c>
      <c r="C384">
        <v>649163</v>
      </c>
      <c r="D384">
        <v>2033148642</v>
      </c>
      <c r="E384" t="s">
        <v>738</v>
      </c>
      <c r="F384" t="s">
        <v>739</v>
      </c>
      <c r="G384" t="s">
        <v>51</v>
      </c>
      <c r="H384" t="s">
        <v>89</v>
      </c>
      <c r="I384" t="s">
        <v>194</v>
      </c>
      <c r="J384" t="s">
        <v>195</v>
      </c>
      <c r="K384">
        <v>824062</v>
      </c>
      <c r="L384" t="s">
        <v>90</v>
      </c>
      <c r="M384" t="s">
        <v>91</v>
      </c>
      <c r="N384" t="s">
        <v>57</v>
      </c>
      <c r="O384" s="1">
        <v>46054</v>
      </c>
      <c r="Q384" s="1">
        <v>46235</v>
      </c>
      <c r="R384" s="2">
        <v>11.5</v>
      </c>
      <c r="S384">
        <v>1</v>
      </c>
      <c r="T384" t="s">
        <v>58</v>
      </c>
      <c r="U384" t="s">
        <v>59</v>
      </c>
      <c r="V384" s="3">
        <v>0.7</v>
      </c>
      <c r="W384" s="2">
        <v>0</v>
      </c>
      <c r="X384">
        <v>0</v>
      </c>
      <c r="Y384" t="s">
        <v>60</v>
      </c>
      <c r="Z384" t="s">
        <v>248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8.0500000000000007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46202</v>
      </c>
      <c r="B385" t="s">
        <v>48</v>
      </c>
      <c r="C385">
        <v>649163</v>
      </c>
      <c r="D385">
        <v>2033150237</v>
      </c>
      <c r="E385" t="s">
        <v>474</v>
      </c>
      <c r="F385" t="s">
        <v>199</v>
      </c>
      <c r="G385" t="s">
        <v>51</v>
      </c>
      <c r="H385" t="s">
        <v>89</v>
      </c>
      <c r="I385" t="s">
        <v>194</v>
      </c>
      <c r="J385" t="s">
        <v>195</v>
      </c>
      <c r="K385">
        <v>812782</v>
      </c>
      <c r="L385" t="s">
        <v>181</v>
      </c>
      <c r="M385" t="s">
        <v>182</v>
      </c>
      <c r="N385" t="s">
        <v>57</v>
      </c>
      <c r="O385" s="1">
        <v>46054</v>
      </c>
      <c r="Q385" s="1">
        <v>46235</v>
      </c>
      <c r="R385" s="2">
        <v>60.8</v>
      </c>
      <c r="S385">
        <v>1</v>
      </c>
      <c r="T385" t="s">
        <v>58</v>
      </c>
      <c r="U385" t="s">
        <v>59</v>
      </c>
      <c r="V385" s="3">
        <v>0.7</v>
      </c>
      <c r="W385" s="2">
        <v>0</v>
      </c>
      <c r="X385">
        <v>0</v>
      </c>
      <c r="Y385" t="s">
        <v>60</v>
      </c>
      <c r="Z385" t="s">
        <v>248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42.56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46202</v>
      </c>
      <c r="B386" t="s">
        <v>48</v>
      </c>
      <c r="C386">
        <v>649163</v>
      </c>
      <c r="D386">
        <v>2033150715</v>
      </c>
      <c r="E386" t="s">
        <v>475</v>
      </c>
      <c r="F386" t="s">
        <v>476</v>
      </c>
      <c r="G386" t="s">
        <v>51</v>
      </c>
      <c r="H386" t="s">
        <v>143</v>
      </c>
      <c r="I386" t="s">
        <v>194</v>
      </c>
      <c r="J386" t="s">
        <v>195</v>
      </c>
      <c r="K386">
        <v>673059</v>
      </c>
      <c r="L386" t="s">
        <v>102</v>
      </c>
      <c r="M386" t="s">
        <v>103</v>
      </c>
      <c r="N386" t="s">
        <v>57</v>
      </c>
      <c r="O386" s="1">
        <v>46054</v>
      </c>
      <c r="Q386" s="1">
        <v>46235</v>
      </c>
      <c r="R386" s="2">
        <v>72.06</v>
      </c>
      <c r="S386">
        <v>1</v>
      </c>
      <c r="T386" t="s">
        <v>58</v>
      </c>
      <c r="U386" t="s">
        <v>59</v>
      </c>
      <c r="V386" s="3">
        <v>0.7</v>
      </c>
      <c r="W386" s="2">
        <v>0</v>
      </c>
      <c r="X386">
        <v>0</v>
      </c>
      <c r="Y386" t="s">
        <v>60</v>
      </c>
      <c r="Z386" t="s">
        <v>248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50.44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46202</v>
      </c>
      <c r="B387" t="s">
        <v>48</v>
      </c>
      <c r="C387">
        <v>649163</v>
      </c>
      <c r="D387">
        <v>2033151372</v>
      </c>
      <c r="E387" t="s">
        <v>740</v>
      </c>
      <c r="F387" t="s">
        <v>529</v>
      </c>
      <c r="G387" t="s">
        <v>51</v>
      </c>
      <c r="H387" t="s">
        <v>68</v>
      </c>
      <c r="I387" t="s">
        <v>194</v>
      </c>
      <c r="J387" t="s">
        <v>195</v>
      </c>
      <c r="K387">
        <v>888536</v>
      </c>
      <c r="L387" t="s">
        <v>741</v>
      </c>
      <c r="M387" t="s">
        <v>742</v>
      </c>
      <c r="N387" t="s">
        <v>57</v>
      </c>
      <c r="O387" s="1">
        <v>46054</v>
      </c>
      <c r="Q387" s="1">
        <v>46235</v>
      </c>
      <c r="R387" s="2">
        <v>62.13</v>
      </c>
      <c r="S387">
        <v>1</v>
      </c>
      <c r="T387" t="s">
        <v>58</v>
      </c>
      <c r="U387" t="s">
        <v>59</v>
      </c>
      <c r="V387" s="3">
        <v>0.7</v>
      </c>
      <c r="W387" s="2">
        <v>0</v>
      </c>
      <c r="X387">
        <v>0</v>
      </c>
      <c r="Y387" t="s">
        <v>60</v>
      </c>
      <c r="Z387" t="s">
        <v>248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43.49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46202</v>
      </c>
      <c r="B388" t="s">
        <v>48</v>
      </c>
      <c r="C388">
        <v>649163</v>
      </c>
      <c r="D388">
        <v>2033151608</v>
      </c>
      <c r="E388" t="s">
        <v>477</v>
      </c>
      <c r="F388" t="s">
        <v>478</v>
      </c>
      <c r="G388" t="s">
        <v>51</v>
      </c>
      <c r="H388" t="s">
        <v>479</v>
      </c>
      <c r="I388" t="s">
        <v>194</v>
      </c>
      <c r="J388" t="s">
        <v>195</v>
      </c>
      <c r="K388">
        <v>753748</v>
      </c>
      <c r="L388" t="s">
        <v>358</v>
      </c>
      <c r="M388" t="s">
        <v>359</v>
      </c>
      <c r="N388" t="s">
        <v>57</v>
      </c>
      <c r="O388" s="1">
        <v>46054</v>
      </c>
      <c r="Q388" s="1">
        <v>46235</v>
      </c>
      <c r="R388" s="2">
        <v>46.72</v>
      </c>
      <c r="S388">
        <v>1</v>
      </c>
      <c r="T388" t="s">
        <v>58</v>
      </c>
      <c r="U388" t="s">
        <v>59</v>
      </c>
      <c r="V388" s="3">
        <v>0.7</v>
      </c>
      <c r="W388" s="2">
        <v>0</v>
      </c>
      <c r="X388">
        <v>0</v>
      </c>
      <c r="Y388" t="s">
        <v>60</v>
      </c>
      <c r="Z388" t="s">
        <v>248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32.700000000000003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46202</v>
      </c>
      <c r="B389" t="s">
        <v>48</v>
      </c>
      <c r="C389">
        <v>649163</v>
      </c>
      <c r="D389">
        <v>2033152455</v>
      </c>
      <c r="E389" t="s">
        <v>231</v>
      </c>
      <c r="F389" t="s">
        <v>743</v>
      </c>
      <c r="G389" t="s">
        <v>51</v>
      </c>
      <c r="H389" t="s">
        <v>302</v>
      </c>
      <c r="I389" t="s">
        <v>194</v>
      </c>
      <c r="J389" t="s">
        <v>195</v>
      </c>
      <c r="K389">
        <v>756418</v>
      </c>
      <c r="L389" t="s">
        <v>383</v>
      </c>
      <c r="M389" t="s">
        <v>384</v>
      </c>
      <c r="N389" t="s">
        <v>57</v>
      </c>
      <c r="O389" s="1">
        <v>46054</v>
      </c>
      <c r="Q389" s="1">
        <v>46235</v>
      </c>
      <c r="R389" s="2">
        <v>26.32</v>
      </c>
      <c r="S389">
        <v>1</v>
      </c>
      <c r="T389" t="s">
        <v>58</v>
      </c>
      <c r="U389" t="s">
        <v>59</v>
      </c>
      <c r="V389" s="3">
        <v>0.7</v>
      </c>
      <c r="W389" s="2">
        <v>0</v>
      </c>
      <c r="X389">
        <v>0</v>
      </c>
      <c r="Y389" t="s">
        <v>60</v>
      </c>
      <c r="Z389" t="s">
        <v>248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18.420000000000002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46202</v>
      </c>
      <c r="B390" t="s">
        <v>48</v>
      </c>
      <c r="C390">
        <v>649163</v>
      </c>
      <c r="D390">
        <v>2033154898</v>
      </c>
      <c r="E390" t="s">
        <v>356</v>
      </c>
      <c r="F390" t="s">
        <v>433</v>
      </c>
      <c r="G390" t="s">
        <v>51</v>
      </c>
      <c r="H390" t="s">
        <v>75</v>
      </c>
      <c r="I390" t="s">
        <v>194</v>
      </c>
      <c r="J390" t="s">
        <v>195</v>
      </c>
      <c r="K390">
        <v>753748</v>
      </c>
      <c r="L390" t="s">
        <v>358</v>
      </c>
      <c r="M390" t="s">
        <v>359</v>
      </c>
      <c r="N390" t="s">
        <v>57</v>
      </c>
      <c r="O390" s="1">
        <v>46054</v>
      </c>
      <c r="Q390" s="1">
        <v>46235</v>
      </c>
      <c r="R390" s="2">
        <v>105.88</v>
      </c>
      <c r="S390">
        <v>1</v>
      </c>
      <c r="T390" t="s">
        <v>58</v>
      </c>
      <c r="U390" t="s">
        <v>59</v>
      </c>
      <c r="V390" s="3">
        <v>0.7</v>
      </c>
      <c r="W390" s="2">
        <v>0</v>
      </c>
      <c r="X390">
        <v>0</v>
      </c>
      <c r="Y390" t="s">
        <v>60</v>
      </c>
      <c r="Z390" t="s">
        <v>248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74.12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46202</v>
      </c>
      <c r="B391" t="s">
        <v>48</v>
      </c>
      <c r="C391">
        <v>649163</v>
      </c>
      <c r="D391">
        <v>2033156416</v>
      </c>
      <c r="E391" t="s">
        <v>744</v>
      </c>
      <c r="F391" t="s">
        <v>462</v>
      </c>
      <c r="G391" t="s">
        <v>51</v>
      </c>
      <c r="H391" t="s">
        <v>124</v>
      </c>
      <c r="I391" t="s">
        <v>194</v>
      </c>
      <c r="J391" t="s">
        <v>195</v>
      </c>
      <c r="K391">
        <v>875334</v>
      </c>
      <c r="L391" t="s">
        <v>196</v>
      </c>
      <c r="M391" t="s">
        <v>197</v>
      </c>
      <c r="N391" t="s">
        <v>57</v>
      </c>
      <c r="O391" s="1">
        <v>46054</v>
      </c>
      <c r="Q391" s="1">
        <v>46235</v>
      </c>
      <c r="R391" s="2">
        <v>32.200000000000003</v>
      </c>
      <c r="S391">
        <v>1</v>
      </c>
      <c r="T391" t="s">
        <v>58</v>
      </c>
      <c r="U391" t="s">
        <v>59</v>
      </c>
      <c r="V391" s="3">
        <v>0.7</v>
      </c>
      <c r="W391" s="2">
        <v>0</v>
      </c>
      <c r="X391">
        <v>0</v>
      </c>
      <c r="Y391" t="s">
        <v>60</v>
      </c>
      <c r="Z391" t="s">
        <v>248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22.54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46202</v>
      </c>
      <c r="B392" t="s">
        <v>48</v>
      </c>
      <c r="C392">
        <v>649163</v>
      </c>
      <c r="D392">
        <v>2033165018</v>
      </c>
      <c r="E392" t="s">
        <v>231</v>
      </c>
      <c r="F392" t="s">
        <v>171</v>
      </c>
      <c r="G392" t="s">
        <v>51</v>
      </c>
      <c r="H392" t="s">
        <v>479</v>
      </c>
      <c r="I392" t="s">
        <v>194</v>
      </c>
      <c r="J392" t="s">
        <v>195</v>
      </c>
      <c r="K392">
        <v>753748</v>
      </c>
      <c r="L392" t="s">
        <v>358</v>
      </c>
      <c r="M392" t="s">
        <v>359</v>
      </c>
      <c r="N392" t="s">
        <v>57</v>
      </c>
      <c r="O392" s="1">
        <v>46054</v>
      </c>
      <c r="Q392" s="1">
        <v>46235</v>
      </c>
      <c r="R392" s="2">
        <v>49.28</v>
      </c>
      <c r="S392">
        <v>1</v>
      </c>
      <c r="T392" t="s">
        <v>58</v>
      </c>
      <c r="U392" t="s">
        <v>59</v>
      </c>
      <c r="V392" s="3">
        <v>0.7</v>
      </c>
      <c r="W392" s="2">
        <v>0</v>
      </c>
      <c r="X392">
        <v>0</v>
      </c>
      <c r="Y392" t="s">
        <v>60</v>
      </c>
      <c r="Z392" t="s">
        <v>248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34.5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46202</v>
      </c>
      <c r="B393" t="s">
        <v>48</v>
      </c>
      <c r="C393">
        <v>649163</v>
      </c>
      <c r="D393">
        <v>2033166588</v>
      </c>
      <c r="E393" t="s">
        <v>481</v>
      </c>
      <c r="F393" t="s">
        <v>482</v>
      </c>
      <c r="G393" t="s">
        <v>51</v>
      </c>
      <c r="H393" t="s">
        <v>117</v>
      </c>
      <c r="I393" t="s">
        <v>194</v>
      </c>
      <c r="J393" t="s">
        <v>195</v>
      </c>
      <c r="K393">
        <v>856163</v>
      </c>
      <c r="L393" t="s">
        <v>113</v>
      </c>
      <c r="M393" t="s">
        <v>452</v>
      </c>
      <c r="N393" t="s">
        <v>57</v>
      </c>
      <c r="O393" s="1">
        <v>46054</v>
      </c>
      <c r="Q393" s="1">
        <v>46235</v>
      </c>
      <c r="R393" s="2">
        <v>35.04</v>
      </c>
      <c r="S393">
        <v>1</v>
      </c>
      <c r="T393" t="s">
        <v>58</v>
      </c>
      <c r="U393" t="s">
        <v>59</v>
      </c>
      <c r="V393" s="3">
        <v>0.7</v>
      </c>
      <c r="W393" s="2">
        <v>0</v>
      </c>
      <c r="X393">
        <v>0</v>
      </c>
      <c r="Y393" t="s">
        <v>60</v>
      </c>
      <c r="Z393" t="s">
        <v>248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24.53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46202</v>
      </c>
      <c r="B394" t="s">
        <v>48</v>
      </c>
      <c r="C394">
        <v>649163</v>
      </c>
      <c r="D394">
        <v>2033173720</v>
      </c>
      <c r="E394" t="s">
        <v>745</v>
      </c>
      <c r="F394" t="s">
        <v>559</v>
      </c>
      <c r="G394" t="s">
        <v>51</v>
      </c>
      <c r="H394" t="s">
        <v>124</v>
      </c>
      <c r="I394" t="s">
        <v>194</v>
      </c>
      <c r="J394" t="s">
        <v>195</v>
      </c>
      <c r="K394">
        <v>812656</v>
      </c>
      <c r="L394" t="s">
        <v>186</v>
      </c>
      <c r="M394" t="s">
        <v>187</v>
      </c>
      <c r="N394" t="s">
        <v>57</v>
      </c>
      <c r="O394" s="1">
        <v>46054</v>
      </c>
      <c r="Q394" s="1">
        <v>46235</v>
      </c>
      <c r="R394" s="2">
        <v>273.23</v>
      </c>
      <c r="S394">
        <v>1</v>
      </c>
      <c r="T394" t="s">
        <v>58</v>
      </c>
      <c r="U394" t="s">
        <v>59</v>
      </c>
      <c r="V394" s="3">
        <v>0.7</v>
      </c>
      <c r="W394" s="2">
        <v>0</v>
      </c>
      <c r="X394">
        <v>0</v>
      </c>
      <c r="Y394" t="s">
        <v>60</v>
      </c>
      <c r="Z394" t="s">
        <v>248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191.26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46202</v>
      </c>
      <c r="B395" t="s">
        <v>48</v>
      </c>
      <c r="C395">
        <v>649163</v>
      </c>
      <c r="D395">
        <v>2033174859</v>
      </c>
      <c r="E395" t="s">
        <v>746</v>
      </c>
      <c r="F395" t="s">
        <v>747</v>
      </c>
      <c r="G395" t="s">
        <v>51</v>
      </c>
      <c r="H395" t="s">
        <v>94</v>
      </c>
      <c r="I395" t="s">
        <v>194</v>
      </c>
      <c r="J395" t="s">
        <v>195</v>
      </c>
      <c r="K395">
        <v>856824</v>
      </c>
      <c r="L395" t="s">
        <v>85</v>
      </c>
      <c r="M395" t="s">
        <v>86</v>
      </c>
      <c r="N395" t="s">
        <v>57</v>
      </c>
      <c r="O395" s="1">
        <v>46054</v>
      </c>
      <c r="Q395" s="1">
        <v>46235</v>
      </c>
      <c r="R395" s="2">
        <v>9.6999999999999993</v>
      </c>
      <c r="S395">
        <v>1</v>
      </c>
      <c r="T395" t="s">
        <v>58</v>
      </c>
      <c r="U395" t="s">
        <v>59</v>
      </c>
      <c r="V395" s="3">
        <v>0.7</v>
      </c>
      <c r="W395" s="2">
        <v>0</v>
      </c>
      <c r="X395">
        <v>0</v>
      </c>
      <c r="Y395" t="s">
        <v>60</v>
      </c>
      <c r="Z395" t="s">
        <v>248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6.79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46202</v>
      </c>
      <c r="B396" t="s">
        <v>48</v>
      </c>
      <c r="C396">
        <v>649163</v>
      </c>
      <c r="D396">
        <v>2033177080</v>
      </c>
      <c r="E396" t="s">
        <v>748</v>
      </c>
      <c r="F396" t="s">
        <v>749</v>
      </c>
      <c r="G396" t="s">
        <v>51</v>
      </c>
      <c r="H396" t="s">
        <v>97</v>
      </c>
      <c r="I396" t="s">
        <v>194</v>
      </c>
      <c r="J396" t="s">
        <v>195</v>
      </c>
      <c r="K396">
        <v>812782</v>
      </c>
      <c r="L396" t="s">
        <v>181</v>
      </c>
      <c r="M396" t="s">
        <v>182</v>
      </c>
      <c r="N396" t="s">
        <v>57</v>
      </c>
      <c r="O396" s="1">
        <v>46054</v>
      </c>
      <c r="Q396" s="1">
        <v>46235</v>
      </c>
      <c r="R396" s="2">
        <v>52.37</v>
      </c>
      <c r="S396">
        <v>1</v>
      </c>
      <c r="T396" t="s">
        <v>58</v>
      </c>
      <c r="U396" t="s">
        <v>59</v>
      </c>
      <c r="V396" s="3">
        <v>0.7</v>
      </c>
      <c r="W396" s="2">
        <v>0</v>
      </c>
      <c r="X396">
        <v>0</v>
      </c>
      <c r="Y396" t="s">
        <v>60</v>
      </c>
      <c r="Z396" t="s">
        <v>248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36.659999999999997</v>
      </c>
      <c r="AN396" s="2">
        <v>36.659999999999997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46202</v>
      </c>
      <c r="B397" t="s">
        <v>48</v>
      </c>
      <c r="C397">
        <v>649163</v>
      </c>
      <c r="D397">
        <v>2033177151</v>
      </c>
      <c r="E397" t="s">
        <v>483</v>
      </c>
      <c r="F397" t="s">
        <v>484</v>
      </c>
      <c r="G397" t="s">
        <v>51</v>
      </c>
      <c r="H397" t="s">
        <v>425</v>
      </c>
      <c r="I397" t="s">
        <v>194</v>
      </c>
      <c r="J397" t="s">
        <v>195</v>
      </c>
      <c r="K397">
        <v>856824</v>
      </c>
      <c r="L397" t="s">
        <v>85</v>
      </c>
      <c r="M397" t="s">
        <v>86</v>
      </c>
      <c r="N397" t="s">
        <v>57</v>
      </c>
      <c r="O397" s="1">
        <v>46054</v>
      </c>
      <c r="Q397" s="1">
        <v>46235</v>
      </c>
      <c r="R397" s="2">
        <v>66.86</v>
      </c>
      <c r="S397">
        <v>1</v>
      </c>
      <c r="T397" t="s">
        <v>58</v>
      </c>
      <c r="U397" t="s">
        <v>59</v>
      </c>
      <c r="V397" s="3">
        <v>0.7</v>
      </c>
      <c r="W397" s="2">
        <v>0</v>
      </c>
      <c r="X397">
        <v>0</v>
      </c>
      <c r="Y397" t="s">
        <v>60</v>
      </c>
      <c r="Z397" t="s">
        <v>248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46.8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46202</v>
      </c>
      <c r="B398" t="s">
        <v>48</v>
      </c>
      <c r="C398">
        <v>649163</v>
      </c>
      <c r="D398">
        <v>2033177644</v>
      </c>
      <c r="E398" t="s">
        <v>485</v>
      </c>
      <c r="F398" t="s">
        <v>209</v>
      </c>
      <c r="G398" t="s">
        <v>51</v>
      </c>
      <c r="H398" t="s">
        <v>124</v>
      </c>
      <c r="I398" t="s">
        <v>194</v>
      </c>
      <c r="J398" t="s">
        <v>195</v>
      </c>
      <c r="K398">
        <v>767312</v>
      </c>
      <c r="L398" t="s">
        <v>486</v>
      </c>
      <c r="M398" t="s">
        <v>379</v>
      </c>
      <c r="N398" t="s">
        <v>57</v>
      </c>
      <c r="O398" s="1">
        <v>46054</v>
      </c>
      <c r="Q398" s="1">
        <v>46235</v>
      </c>
      <c r="R398" s="2">
        <v>176.94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248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123.86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46202</v>
      </c>
      <c r="B399" t="s">
        <v>48</v>
      </c>
      <c r="C399">
        <v>649163</v>
      </c>
      <c r="D399">
        <v>2033177686</v>
      </c>
      <c r="E399" t="s">
        <v>485</v>
      </c>
      <c r="F399" t="s">
        <v>487</v>
      </c>
      <c r="G399" t="s">
        <v>51</v>
      </c>
      <c r="H399" t="s">
        <v>124</v>
      </c>
      <c r="I399" t="s">
        <v>194</v>
      </c>
      <c r="J399" t="s">
        <v>195</v>
      </c>
      <c r="K399">
        <v>767312</v>
      </c>
      <c r="L399" t="s">
        <v>486</v>
      </c>
      <c r="M399" t="s">
        <v>379</v>
      </c>
      <c r="N399" t="s">
        <v>57</v>
      </c>
      <c r="O399" s="1">
        <v>46054</v>
      </c>
      <c r="Q399" s="1">
        <v>46235</v>
      </c>
      <c r="R399" s="2">
        <v>303.64999999999998</v>
      </c>
      <c r="S399">
        <v>1</v>
      </c>
      <c r="T399" t="s">
        <v>58</v>
      </c>
      <c r="U399" t="s">
        <v>59</v>
      </c>
      <c r="V399" s="3">
        <v>0.7</v>
      </c>
      <c r="W399" s="2">
        <v>0</v>
      </c>
      <c r="X399">
        <v>0</v>
      </c>
      <c r="Y399" t="s">
        <v>60</v>
      </c>
      <c r="Z399" t="s">
        <v>248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212.56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46202</v>
      </c>
      <c r="B400" t="s">
        <v>48</v>
      </c>
      <c r="C400">
        <v>649163</v>
      </c>
      <c r="D400">
        <v>2033178445</v>
      </c>
      <c r="E400" t="s">
        <v>744</v>
      </c>
      <c r="F400" t="s">
        <v>750</v>
      </c>
      <c r="G400" t="s">
        <v>51</v>
      </c>
      <c r="H400" t="s">
        <v>89</v>
      </c>
      <c r="I400" t="s">
        <v>194</v>
      </c>
      <c r="J400" t="s">
        <v>195</v>
      </c>
      <c r="K400">
        <v>902495</v>
      </c>
      <c r="L400" t="s">
        <v>751</v>
      </c>
      <c r="M400" t="s">
        <v>752</v>
      </c>
      <c r="N400" t="s">
        <v>57</v>
      </c>
      <c r="O400" s="1">
        <v>46054</v>
      </c>
      <c r="Q400" s="1">
        <v>46235</v>
      </c>
      <c r="R400" s="2">
        <v>101.28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248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70.900000000000006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46202</v>
      </c>
      <c r="B401" t="s">
        <v>48</v>
      </c>
      <c r="C401">
        <v>649163</v>
      </c>
      <c r="D401">
        <v>2033178678</v>
      </c>
      <c r="E401" t="s">
        <v>753</v>
      </c>
      <c r="F401" t="s">
        <v>754</v>
      </c>
      <c r="G401" t="s">
        <v>51</v>
      </c>
      <c r="H401" t="s">
        <v>117</v>
      </c>
      <c r="I401" t="s">
        <v>194</v>
      </c>
      <c r="J401" t="s">
        <v>195</v>
      </c>
      <c r="K401">
        <v>893408</v>
      </c>
      <c r="L401" t="s">
        <v>120</v>
      </c>
      <c r="M401" t="s">
        <v>121</v>
      </c>
      <c r="N401" t="s">
        <v>57</v>
      </c>
      <c r="O401" s="1">
        <v>46053</v>
      </c>
      <c r="Q401" s="1">
        <v>46233</v>
      </c>
      <c r="R401" s="2">
        <v>53.63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248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37.54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46202</v>
      </c>
      <c r="B402" t="s">
        <v>48</v>
      </c>
      <c r="C402">
        <v>649163</v>
      </c>
      <c r="D402">
        <v>2033178946</v>
      </c>
      <c r="E402" t="s">
        <v>488</v>
      </c>
      <c r="F402" t="s">
        <v>489</v>
      </c>
      <c r="G402" t="s">
        <v>51</v>
      </c>
      <c r="H402" t="s">
        <v>89</v>
      </c>
      <c r="I402" t="s">
        <v>194</v>
      </c>
      <c r="J402" t="s">
        <v>228</v>
      </c>
      <c r="K402">
        <v>814033</v>
      </c>
      <c r="L402" t="s">
        <v>490</v>
      </c>
      <c r="M402" t="s">
        <v>491</v>
      </c>
      <c r="N402" t="s">
        <v>57</v>
      </c>
      <c r="O402" s="1">
        <v>46054</v>
      </c>
      <c r="Q402" s="1">
        <v>46235</v>
      </c>
      <c r="R402" s="2">
        <v>25.08</v>
      </c>
      <c r="S402">
        <v>1</v>
      </c>
      <c r="T402" t="s">
        <v>58</v>
      </c>
      <c r="U402" t="s">
        <v>59</v>
      </c>
      <c r="V402" s="3">
        <v>0.42</v>
      </c>
      <c r="W402" s="2">
        <v>0</v>
      </c>
      <c r="X402">
        <v>0</v>
      </c>
      <c r="Y402" t="s">
        <v>60</v>
      </c>
      <c r="Z402" t="s">
        <v>248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10.53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46202</v>
      </c>
      <c r="B403" t="s">
        <v>48</v>
      </c>
      <c r="C403">
        <v>649163</v>
      </c>
      <c r="D403">
        <v>2033178947</v>
      </c>
      <c r="E403" t="s">
        <v>488</v>
      </c>
      <c r="F403" t="s">
        <v>489</v>
      </c>
      <c r="G403" t="s">
        <v>51</v>
      </c>
      <c r="H403" t="s">
        <v>89</v>
      </c>
      <c r="I403" t="s">
        <v>194</v>
      </c>
      <c r="J403" t="s">
        <v>195</v>
      </c>
      <c r="K403">
        <v>814033</v>
      </c>
      <c r="L403" t="s">
        <v>490</v>
      </c>
      <c r="M403" t="s">
        <v>491</v>
      </c>
      <c r="N403" t="s">
        <v>57</v>
      </c>
      <c r="O403" s="1">
        <v>46054</v>
      </c>
      <c r="Q403" s="1">
        <v>46235</v>
      </c>
      <c r="R403" s="2">
        <v>33.119999999999997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248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23.18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46202</v>
      </c>
      <c r="B404" t="s">
        <v>48</v>
      </c>
      <c r="C404">
        <v>649163</v>
      </c>
      <c r="D404">
        <v>2033179423</v>
      </c>
      <c r="E404" t="s">
        <v>755</v>
      </c>
      <c r="F404" t="s">
        <v>478</v>
      </c>
      <c r="G404" t="s">
        <v>51</v>
      </c>
      <c r="H404" t="s">
        <v>425</v>
      </c>
      <c r="I404" t="s">
        <v>194</v>
      </c>
      <c r="J404" t="s">
        <v>195</v>
      </c>
      <c r="K404">
        <v>812994</v>
      </c>
      <c r="L404" t="s">
        <v>615</v>
      </c>
      <c r="M404" t="s">
        <v>616</v>
      </c>
      <c r="N404" t="s">
        <v>57</v>
      </c>
      <c r="O404" s="1">
        <v>46054</v>
      </c>
      <c r="Q404" s="1">
        <v>46235</v>
      </c>
      <c r="R404" s="2">
        <v>52.59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0</v>
      </c>
      <c r="Y404" t="s">
        <v>60</v>
      </c>
      <c r="Z404" t="s">
        <v>248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36.81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46202</v>
      </c>
      <c r="B405" t="s">
        <v>48</v>
      </c>
      <c r="C405">
        <v>649163</v>
      </c>
      <c r="D405">
        <v>2033179603</v>
      </c>
      <c r="E405" t="s">
        <v>494</v>
      </c>
      <c r="F405" t="s">
        <v>495</v>
      </c>
      <c r="G405" t="s">
        <v>51</v>
      </c>
      <c r="H405" t="s">
        <v>496</v>
      </c>
      <c r="I405" t="s">
        <v>194</v>
      </c>
      <c r="J405" t="s">
        <v>195</v>
      </c>
      <c r="K405">
        <v>651818</v>
      </c>
      <c r="L405" t="s">
        <v>210</v>
      </c>
      <c r="M405" t="s">
        <v>211</v>
      </c>
      <c r="N405" t="s">
        <v>57</v>
      </c>
      <c r="O405" s="1">
        <v>46054</v>
      </c>
      <c r="Q405" s="1">
        <v>46235</v>
      </c>
      <c r="R405" s="2">
        <v>94.38</v>
      </c>
      <c r="S405">
        <v>1</v>
      </c>
      <c r="T405" t="s">
        <v>58</v>
      </c>
      <c r="U405" t="s">
        <v>59</v>
      </c>
      <c r="V405" s="3">
        <v>0.7</v>
      </c>
      <c r="W405" s="2">
        <v>0</v>
      </c>
      <c r="X405">
        <v>0</v>
      </c>
      <c r="Y405" t="s">
        <v>60</v>
      </c>
      <c r="Z405" t="s">
        <v>248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66.069999999999993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46202</v>
      </c>
      <c r="B406" t="s">
        <v>48</v>
      </c>
      <c r="C406">
        <v>649163</v>
      </c>
      <c r="D406">
        <v>2033179905</v>
      </c>
      <c r="E406" t="s">
        <v>756</v>
      </c>
      <c r="F406" t="s">
        <v>757</v>
      </c>
      <c r="G406" t="s">
        <v>51</v>
      </c>
      <c r="H406" t="s">
        <v>425</v>
      </c>
      <c r="I406" t="s">
        <v>194</v>
      </c>
      <c r="J406" t="s">
        <v>195</v>
      </c>
      <c r="K406">
        <v>856824</v>
      </c>
      <c r="L406" t="s">
        <v>85</v>
      </c>
      <c r="M406" t="s">
        <v>86</v>
      </c>
      <c r="N406" t="s">
        <v>57</v>
      </c>
      <c r="O406" s="1">
        <v>46054</v>
      </c>
      <c r="Q406" s="1">
        <v>46235</v>
      </c>
      <c r="R406" s="2">
        <v>116.29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248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81.400000000000006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46202</v>
      </c>
      <c r="B407" t="s">
        <v>48</v>
      </c>
      <c r="C407">
        <v>649163</v>
      </c>
      <c r="D407">
        <v>2033180215</v>
      </c>
      <c r="E407" t="s">
        <v>497</v>
      </c>
      <c r="F407" t="s">
        <v>471</v>
      </c>
      <c r="G407" t="s">
        <v>51</v>
      </c>
      <c r="H407" t="s">
        <v>425</v>
      </c>
      <c r="I407" t="s">
        <v>194</v>
      </c>
      <c r="J407" t="s">
        <v>195</v>
      </c>
      <c r="K407">
        <v>753748</v>
      </c>
      <c r="L407" t="s">
        <v>358</v>
      </c>
      <c r="M407" t="s">
        <v>359</v>
      </c>
      <c r="N407" t="s">
        <v>57</v>
      </c>
      <c r="O407" s="1">
        <v>46054</v>
      </c>
      <c r="Q407" s="1">
        <v>46235</v>
      </c>
      <c r="R407" s="2">
        <v>85.36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248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59.75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46202</v>
      </c>
      <c r="B408" t="s">
        <v>48</v>
      </c>
      <c r="C408">
        <v>649163</v>
      </c>
      <c r="D408">
        <v>2033200319</v>
      </c>
      <c r="E408" t="s">
        <v>758</v>
      </c>
      <c r="F408" t="s">
        <v>319</v>
      </c>
      <c r="G408" t="s">
        <v>51</v>
      </c>
      <c r="H408" t="s">
        <v>89</v>
      </c>
      <c r="I408" t="s">
        <v>194</v>
      </c>
      <c r="J408" t="s">
        <v>195</v>
      </c>
      <c r="K408">
        <v>768887</v>
      </c>
      <c r="L408" t="s">
        <v>368</v>
      </c>
      <c r="M408" t="s">
        <v>369</v>
      </c>
      <c r="N408" t="s">
        <v>57</v>
      </c>
      <c r="O408" s="1">
        <v>46054</v>
      </c>
      <c r="Q408" s="1">
        <v>46235</v>
      </c>
      <c r="R408" s="2">
        <v>78.569999999999993</v>
      </c>
      <c r="S408">
        <v>1</v>
      </c>
      <c r="T408" t="s">
        <v>58</v>
      </c>
      <c r="U408" t="s">
        <v>59</v>
      </c>
      <c r="V408" s="3">
        <v>0.7</v>
      </c>
      <c r="W408" s="2">
        <v>0</v>
      </c>
      <c r="X408">
        <v>0</v>
      </c>
      <c r="Y408" t="s">
        <v>60</v>
      </c>
      <c r="Z408" t="s">
        <v>248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55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46202</v>
      </c>
      <c r="B409" t="s">
        <v>48</v>
      </c>
      <c r="C409">
        <v>649163</v>
      </c>
      <c r="D409">
        <v>2033211923</v>
      </c>
      <c r="E409" t="s">
        <v>231</v>
      </c>
      <c r="F409" t="s">
        <v>489</v>
      </c>
      <c r="G409" t="s">
        <v>51</v>
      </c>
      <c r="H409" t="s">
        <v>89</v>
      </c>
      <c r="I409" t="s">
        <v>194</v>
      </c>
      <c r="J409" t="s">
        <v>195</v>
      </c>
      <c r="K409">
        <v>821015</v>
      </c>
      <c r="L409" t="s">
        <v>172</v>
      </c>
      <c r="M409" t="s">
        <v>173</v>
      </c>
      <c r="N409" t="s">
        <v>57</v>
      </c>
      <c r="O409" s="1">
        <v>46054</v>
      </c>
      <c r="Q409" s="1">
        <v>46235</v>
      </c>
      <c r="R409" s="2">
        <v>209.78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0</v>
      </c>
      <c r="Y409" t="s">
        <v>60</v>
      </c>
      <c r="Z409" t="s">
        <v>248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146.85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46202</v>
      </c>
      <c r="B410" t="s">
        <v>48</v>
      </c>
      <c r="C410">
        <v>649163</v>
      </c>
      <c r="D410">
        <v>2033219696</v>
      </c>
      <c r="E410" t="s">
        <v>759</v>
      </c>
      <c r="F410" t="s">
        <v>760</v>
      </c>
      <c r="G410" t="s">
        <v>51</v>
      </c>
      <c r="H410" t="s">
        <v>89</v>
      </c>
      <c r="I410" t="s">
        <v>194</v>
      </c>
      <c r="J410" t="s">
        <v>195</v>
      </c>
      <c r="K410">
        <v>812656</v>
      </c>
      <c r="L410" t="s">
        <v>186</v>
      </c>
      <c r="M410" t="s">
        <v>187</v>
      </c>
      <c r="N410" t="s">
        <v>57</v>
      </c>
      <c r="O410" s="1">
        <v>46054</v>
      </c>
      <c r="Q410" s="1">
        <v>46235</v>
      </c>
      <c r="R410" s="2">
        <v>56.62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248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39.630000000000003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46202</v>
      </c>
      <c r="B411" t="s">
        <v>48</v>
      </c>
      <c r="C411">
        <v>649163</v>
      </c>
      <c r="D411">
        <v>2033220369</v>
      </c>
      <c r="E411" t="s">
        <v>498</v>
      </c>
      <c r="F411" t="s">
        <v>216</v>
      </c>
      <c r="G411" t="s">
        <v>51</v>
      </c>
      <c r="H411" t="s">
        <v>100</v>
      </c>
      <c r="I411" t="s">
        <v>194</v>
      </c>
      <c r="J411" t="s">
        <v>195</v>
      </c>
      <c r="K411">
        <v>897926</v>
      </c>
      <c r="L411" t="s">
        <v>499</v>
      </c>
      <c r="M411" t="s">
        <v>469</v>
      </c>
      <c r="N411" t="s">
        <v>57</v>
      </c>
      <c r="O411" s="1">
        <v>46054</v>
      </c>
      <c r="Q411" s="1">
        <v>46235</v>
      </c>
      <c r="R411" s="2">
        <v>43.98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248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30.79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46202</v>
      </c>
      <c r="B412" t="s">
        <v>48</v>
      </c>
      <c r="C412">
        <v>649163</v>
      </c>
      <c r="D412">
        <v>2033221518</v>
      </c>
      <c r="E412" t="s">
        <v>761</v>
      </c>
      <c r="F412" t="s">
        <v>254</v>
      </c>
      <c r="G412" t="s">
        <v>51</v>
      </c>
      <c r="H412" t="s">
        <v>89</v>
      </c>
      <c r="I412" t="s">
        <v>194</v>
      </c>
      <c r="J412" t="s">
        <v>217</v>
      </c>
      <c r="K412">
        <v>821015</v>
      </c>
      <c r="L412" t="s">
        <v>172</v>
      </c>
      <c r="M412" t="s">
        <v>173</v>
      </c>
      <c r="N412" t="s">
        <v>57</v>
      </c>
      <c r="O412" s="1">
        <v>46054</v>
      </c>
      <c r="Q412" s="1">
        <v>46235</v>
      </c>
      <c r="R412" s="2">
        <v>71.63</v>
      </c>
      <c r="S412">
        <v>1</v>
      </c>
      <c r="T412" t="s">
        <v>58</v>
      </c>
      <c r="U412" t="s">
        <v>59</v>
      </c>
      <c r="V412" s="3">
        <v>0.9</v>
      </c>
      <c r="W412" s="2">
        <v>0</v>
      </c>
      <c r="X412">
        <v>0</v>
      </c>
      <c r="Y412" t="s">
        <v>60</v>
      </c>
      <c r="Z412" t="s">
        <v>248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64.47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46202</v>
      </c>
      <c r="B413" t="s">
        <v>48</v>
      </c>
      <c r="C413">
        <v>649163</v>
      </c>
      <c r="D413">
        <v>2033222448</v>
      </c>
      <c r="E413" t="s">
        <v>500</v>
      </c>
      <c r="F413" t="s">
        <v>182</v>
      </c>
      <c r="G413" t="s">
        <v>51</v>
      </c>
      <c r="H413" t="s">
        <v>89</v>
      </c>
      <c r="I413" t="s">
        <v>194</v>
      </c>
      <c r="J413" t="s">
        <v>228</v>
      </c>
      <c r="K413">
        <v>824062</v>
      </c>
      <c r="L413" t="s">
        <v>90</v>
      </c>
      <c r="M413" t="s">
        <v>91</v>
      </c>
      <c r="N413" t="s">
        <v>57</v>
      </c>
      <c r="O413" s="1">
        <v>46054</v>
      </c>
      <c r="Q413" s="1">
        <v>46235</v>
      </c>
      <c r="R413" s="2">
        <v>32.64</v>
      </c>
      <c r="S413">
        <v>1</v>
      </c>
      <c r="T413" t="s">
        <v>58</v>
      </c>
      <c r="U413" t="s">
        <v>59</v>
      </c>
      <c r="V413" s="3">
        <v>0.42</v>
      </c>
      <c r="W413" s="2">
        <v>0</v>
      </c>
      <c r="X413">
        <v>0</v>
      </c>
      <c r="Y413" t="s">
        <v>60</v>
      </c>
      <c r="Z413" t="s">
        <v>248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13.71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46202</v>
      </c>
      <c r="B414" t="s">
        <v>48</v>
      </c>
      <c r="C414">
        <v>649163</v>
      </c>
      <c r="D414">
        <v>2033222449</v>
      </c>
      <c r="E414" t="s">
        <v>500</v>
      </c>
      <c r="F414" t="s">
        <v>182</v>
      </c>
      <c r="G414" t="s">
        <v>51</v>
      </c>
      <c r="H414" t="s">
        <v>89</v>
      </c>
      <c r="I414" t="s">
        <v>194</v>
      </c>
      <c r="J414" t="s">
        <v>195</v>
      </c>
      <c r="K414">
        <v>824062</v>
      </c>
      <c r="L414" t="s">
        <v>90</v>
      </c>
      <c r="M414" t="s">
        <v>91</v>
      </c>
      <c r="N414" t="s">
        <v>57</v>
      </c>
      <c r="O414" s="1">
        <v>46054</v>
      </c>
      <c r="Q414" s="1">
        <v>46235</v>
      </c>
      <c r="R414" s="2">
        <v>22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248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15.4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46202</v>
      </c>
      <c r="B415" t="s">
        <v>48</v>
      </c>
      <c r="C415">
        <v>649163</v>
      </c>
      <c r="D415">
        <v>2033228645</v>
      </c>
      <c r="E415" t="s">
        <v>762</v>
      </c>
      <c r="F415" t="s">
        <v>298</v>
      </c>
      <c r="G415" t="s">
        <v>51</v>
      </c>
      <c r="H415" t="s">
        <v>89</v>
      </c>
      <c r="I415" t="s">
        <v>194</v>
      </c>
      <c r="J415" t="s">
        <v>217</v>
      </c>
      <c r="K415">
        <v>894525</v>
      </c>
      <c r="L415" t="s">
        <v>316</v>
      </c>
      <c r="M415" t="s">
        <v>317</v>
      </c>
      <c r="N415" t="s">
        <v>57</v>
      </c>
      <c r="O415" s="1">
        <v>46054</v>
      </c>
      <c r="Q415" s="1">
        <v>46235</v>
      </c>
      <c r="R415" s="2">
        <v>87.5</v>
      </c>
      <c r="S415">
        <v>1</v>
      </c>
      <c r="T415" t="s">
        <v>58</v>
      </c>
      <c r="U415" t="s">
        <v>59</v>
      </c>
      <c r="V415" s="3">
        <v>0.9</v>
      </c>
      <c r="W415" s="2">
        <v>0</v>
      </c>
      <c r="X415">
        <v>0</v>
      </c>
      <c r="Y415" t="s">
        <v>60</v>
      </c>
      <c r="Z415" t="s">
        <v>248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78.75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46202</v>
      </c>
      <c r="B416" t="s">
        <v>48</v>
      </c>
      <c r="C416">
        <v>649163</v>
      </c>
      <c r="D416">
        <v>2033234585</v>
      </c>
      <c r="E416" t="s">
        <v>502</v>
      </c>
      <c r="F416" t="s">
        <v>250</v>
      </c>
      <c r="G416" t="s">
        <v>51</v>
      </c>
      <c r="H416" t="s">
        <v>146</v>
      </c>
      <c r="I416" t="s">
        <v>194</v>
      </c>
      <c r="J416" t="s">
        <v>228</v>
      </c>
      <c r="K416">
        <v>823068</v>
      </c>
      <c r="L416" t="s">
        <v>389</v>
      </c>
      <c r="M416" t="s">
        <v>390</v>
      </c>
      <c r="N416" t="s">
        <v>57</v>
      </c>
      <c r="O416" s="1">
        <v>46054</v>
      </c>
      <c r="Q416" s="1">
        <v>46235</v>
      </c>
      <c r="R416" s="2">
        <v>27.8</v>
      </c>
      <c r="S416">
        <v>1</v>
      </c>
      <c r="T416" t="s">
        <v>58</v>
      </c>
      <c r="U416" t="s">
        <v>59</v>
      </c>
      <c r="V416" s="3">
        <v>0.42</v>
      </c>
      <c r="W416" s="2">
        <v>0</v>
      </c>
      <c r="X416">
        <v>0</v>
      </c>
      <c r="Y416" t="s">
        <v>60</v>
      </c>
      <c r="Z416" t="s">
        <v>248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11.68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46202</v>
      </c>
      <c r="B417" t="s">
        <v>48</v>
      </c>
      <c r="C417">
        <v>649163</v>
      </c>
      <c r="D417">
        <v>2033234586</v>
      </c>
      <c r="E417" t="s">
        <v>502</v>
      </c>
      <c r="F417" t="s">
        <v>250</v>
      </c>
      <c r="G417" t="s">
        <v>51</v>
      </c>
      <c r="H417" t="s">
        <v>146</v>
      </c>
      <c r="I417" t="s">
        <v>194</v>
      </c>
      <c r="J417" t="s">
        <v>203</v>
      </c>
      <c r="K417">
        <v>823068</v>
      </c>
      <c r="L417" t="s">
        <v>389</v>
      </c>
      <c r="M417" t="s">
        <v>390</v>
      </c>
      <c r="N417" t="s">
        <v>57</v>
      </c>
      <c r="O417" s="1">
        <v>46054</v>
      </c>
      <c r="Q417" s="1">
        <v>46235</v>
      </c>
      <c r="R417" s="2">
        <v>24.61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248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17.23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46202</v>
      </c>
      <c r="B418" t="s">
        <v>48</v>
      </c>
      <c r="C418">
        <v>649163</v>
      </c>
      <c r="D418">
        <v>2033236072</v>
      </c>
      <c r="E418" t="s">
        <v>763</v>
      </c>
      <c r="F418" t="s">
        <v>764</v>
      </c>
      <c r="G418" t="s">
        <v>51</v>
      </c>
      <c r="H418" t="s">
        <v>100</v>
      </c>
      <c r="I418" t="s">
        <v>194</v>
      </c>
      <c r="J418" t="s">
        <v>195</v>
      </c>
      <c r="K418">
        <v>878036</v>
      </c>
      <c r="L418" t="s">
        <v>220</v>
      </c>
      <c r="M418" t="s">
        <v>221</v>
      </c>
      <c r="N418" t="s">
        <v>57</v>
      </c>
      <c r="O418" s="1">
        <v>46054</v>
      </c>
      <c r="Q418" s="1">
        <v>46235</v>
      </c>
      <c r="R418" s="2">
        <v>78.44</v>
      </c>
      <c r="S418">
        <v>1</v>
      </c>
      <c r="T418" t="s">
        <v>58</v>
      </c>
      <c r="U418" t="s">
        <v>59</v>
      </c>
      <c r="V418" s="3">
        <v>0.7</v>
      </c>
      <c r="W418" s="2">
        <v>0</v>
      </c>
      <c r="X418">
        <v>0</v>
      </c>
      <c r="Y418" t="s">
        <v>60</v>
      </c>
      <c r="Z418" t="s">
        <v>248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54.91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46202</v>
      </c>
      <c r="B419" t="s">
        <v>48</v>
      </c>
      <c r="C419">
        <v>649163</v>
      </c>
      <c r="D419">
        <v>2033246167</v>
      </c>
      <c r="E419" t="s">
        <v>509</v>
      </c>
      <c r="F419" t="s">
        <v>510</v>
      </c>
      <c r="G419" t="s">
        <v>51</v>
      </c>
      <c r="H419" t="s">
        <v>143</v>
      </c>
      <c r="I419" t="s">
        <v>194</v>
      </c>
      <c r="J419" t="s">
        <v>195</v>
      </c>
      <c r="K419">
        <v>753748</v>
      </c>
      <c r="L419" t="s">
        <v>358</v>
      </c>
      <c r="M419" t="s">
        <v>359</v>
      </c>
      <c r="N419" t="s">
        <v>57</v>
      </c>
      <c r="O419" s="1">
        <v>46054</v>
      </c>
      <c r="Q419" s="1">
        <v>46235</v>
      </c>
      <c r="R419" s="2">
        <v>93.92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248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65.739999999999995</v>
      </c>
      <c r="AN419" s="2">
        <v>65.739999999999995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46202</v>
      </c>
      <c r="B420" t="s">
        <v>48</v>
      </c>
      <c r="C420">
        <v>649163</v>
      </c>
      <c r="D420">
        <v>2033249078</v>
      </c>
      <c r="E420" t="s">
        <v>765</v>
      </c>
      <c r="F420" t="s">
        <v>766</v>
      </c>
      <c r="G420" t="s">
        <v>51</v>
      </c>
      <c r="H420" t="s">
        <v>89</v>
      </c>
      <c r="I420" t="s">
        <v>194</v>
      </c>
      <c r="J420" t="s">
        <v>195</v>
      </c>
      <c r="K420">
        <v>824062</v>
      </c>
      <c r="L420" t="s">
        <v>90</v>
      </c>
      <c r="M420" t="s">
        <v>91</v>
      </c>
      <c r="N420" t="s">
        <v>57</v>
      </c>
      <c r="O420" s="1">
        <v>46054</v>
      </c>
      <c r="Q420" s="1">
        <v>46235</v>
      </c>
      <c r="R420" s="2">
        <v>15.75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248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11.02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46202</v>
      </c>
      <c r="B421" t="s">
        <v>48</v>
      </c>
      <c r="C421">
        <v>649163</v>
      </c>
      <c r="D421">
        <v>2033259944</v>
      </c>
      <c r="E421" t="s">
        <v>513</v>
      </c>
      <c r="F421" t="s">
        <v>514</v>
      </c>
      <c r="G421" t="s">
        <v>51</v>
      </c>
      <c r="H421" t="s">
        <v>89</v>
      </c>
      <c r="I421" t="s">
        <v>194</v>
      </c>
      <c r="J421" t="s">
        <v>195</v>
      </c>
      <c r="K421">
        <v>824062</v>
      </c>
      <c r="L421" t="s">
        <v>90</v>
      </c>
      <c r="M421" t="s">
        <v>91</v>
      </c>
      <c r="N421" t="s">
        <v>57</v>
      </c>
      <c r="O421" s="1">
        <v>46054</v>
      </c>
      <c r="Q421" s="1">
        <v>46235</v>
      </c>
      <c r="R421" s="2">
        <v>11.5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248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8.0500000000000007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46202</v>
      </c>
      <c r="B422" t="s">
        <v>48</v>
      </c>
      <c r="C422">
        <v>649163</v>
      </c>
      <c r="D422">
        <v>2033263117</v>
      </c>
      <c r="E422" t="s">
        <v>767</v>
      </c>
      <c r="F422" t="s">
        <v>768</v>
      </c>
      <c r="G422" t="s">
        <v>51</v>
      </c>
      <c r="H422" t="s">
        <v>89</v>
      </c>
      <c r="I422" t="s">
        <v>194</v>
      </c>
      <c r="J422" t="s">
        <v>195</v>
      </c>
      <c r="K422">
        <v>824062</v>
      </c>
      <c r="L422" t="s">
        <v>90</v>
      </c>
      <c r="M422" t="s">
        <v>91</v>
      </c>
      <c r="N422" t="s">
        <v>57</v>
      </c>
      <c r="O422" s="1">
        <v>46054</v>
      </c>
      <c r="Q422" s="1">
        <v>46235</v>
      </c>
      <c r="R422" s="2">
        <v>19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0</v>
      </c>
      <c r="Y422" t="s">
        <v>60</v>
      </c>
      <c r="Z422" t="s">
        <v>248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13.3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46202</v>
      </c>
      <c r="B423" t="s">
        <v>48</v>
      </c>
      <c r="C423">
        <v>649163</v>
      </c>
      <c r="D423">
        <v>2033263118</v>
      </c>
      <c r="E423" t="s">
        <v>767</v>
      </c>
      <c r="F423" t="s">
        <v>768</v>
      </c>
      <c r="G423" t="s">
        <v>51</v>
      </c>
      <c r="H423" t="s">
        <v>89</v>
      </c>
      <c r="I423" t="s">
        <v>194</v>
      </c>
      <c r="J423" t="s">
        <v>217</v>
      </c>
      <c r="K423">
        <v>824062</v>
      </c>
      <c r="L423" t="s">
        <v>90</v>
      </c>
      <c r="M423" t="s">
        <v>91</v>
      </c>
      <c r="N423" t="s">
        <v>57</v>
      </c>
      <c r="O423" s="1">
        <v>46054</v>
      </c>
      <c r="Q423" s="1">
        <v>46235</v>
      </c>
      <c r="R423" s="2">
        <v>146.88</v>
      </c>
      <c r="S423">
        <v>1</v>
      </c>
      <c r="T423" t="s">
        <v>58</v>
      </c>
      <c r="U423" t="s">
        <v>59</v>
      </c>
      <c r="V423" s="3">
        <v>0.9</v>
      </c>
      <c r="W423" s="2">
        <v>0</v>
      </c>
      <c r="X423">
        <v>0</v>
      </c>
      <c r="Y423" t="s">
        <v>60</v>
      </c>
      <c r="Z423" t="s">
        <v>248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132.19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46202</v>
      </c>
      <c r="B424" t="s">
        <v>48</v>
      </c>
      <c r="C424">
        <v>649163</v>
      </c>
      <c r="D424">
        <v>2033265543</v>
      </c>
      <c r="E424" t="s">
        <v>515</v>
      </c>
      <c r="F424" t="s">
        <v>516</v>
      </c>
      <c r="G424" t="s">
        <v>51</v>
      </c>
      <c r="H424" t="s">
        <v>100</v>
      </c>
      <c r="I424" t="s">
        <v>194</v>
      </c>
      <c r="J424" t="s">
        <v>195</v>
      </c>
      <c r="K424">
        <v>856824</v>
      </c>
      <c r="L424" t="s">
        <v>85</v>
      </c>
      <c r="M424" t="s">
        <v>86</v>
      </c>
      <c r="N424" t="s">
        <v>57</v>
      </c>
      <c r="O424" s="1">
        <v>46054</v>
      </c>
      <c r="Q424" s="1">
        <v>46235</v>
      </c>
      <c r="R424" s="2">
        <v>14.92</v>
      </c>
      <c r="S424">
        <v>1</v>
      </c>
      <c r="T424" t="s">
        <v>58</v>
      </c>
      <c r="U424" t="s">
        <v>59</v>
      </c>
      <c r="V424" s="3">
        <v>0.7</v>
      </c>
      <c r="W424" s="2">
        <v>0</v>
      </c>
      <c r="X424">
        <v>0</v>
      </c>
      <c r="Y424" t="s">
        <v>60</v>
      </c>
      <c r="Z424" t="s">
        <v>248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10.44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46202</v>
      </c>
      <c r="B425" t="s">
        <v>48</v>
      </c>
      <c r="C425">
        <v>649163</v>
      </c>
      <c r="D425">
        <v>2033268476</v>
      </c>
      <c r="E425" t="s">
        <v>769</v>
      </c>
      <c r="F425" t="s">
        <v>457</v>
      </c>
      <c r="G425" t="s">
        <v>51</v>
      </c>
      <c r="H425" t="s">
        <v>89</v>
      </c>
      <c r="I425" t="s">
        <v>194</v>
      </c>
      <c r="J425" t="s">
        <v>195</v>
      </c>
      <c r="K425">
        <v>882035</v>
      </c>
      <c r="L425" t="s">
        <v>770</v>
      </c>
      <c r="M425" t="s">
        <v>771</v>
      </c>
      <c r="N425" t="s">
        <v>57</v>
      </c>
      <c r="O425" s="1">
        <v>46054</v>
      </c>
      <c r="Q425" s="1">
        <v>46235</v>
      </c>
      <c r="R425" s="2">
        <v>34</v>
      </c>
      <c r="S425">
        <v>1</v>
      </c>
      <c r="T425" t="s">
        <v>58</v>
      </c>
      <c r="U425" t="s">
        <v>59</v>
      </c>
      <c r="V425" s="3">
        <v>0.7</v>
      </c>
      <c r="W425" s="2">
        <v>0</v>
      </c>
      <c r="X425">
        <v>0</v>
      </c>
      <c r="Y425" t="s">
        <v>60</v>
      </c>
      <c r="Z425" t="s">
        <v>248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23.8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46202</v>
      </c>
      <c r="B426" t="s">
        <v>48</v>
      </c>
      <c r="C426">
        <v>649163</v>
      </c>
      <c r="D426">
        <v>2033274242</v>
      </c>
      <c r="E426" t="s">
        <v>772</v>
      </c>
      <c r="F426" t="s">
        <v>773</v>
      </c>
      <c r="G426" t="s">
        <v>51</v>
      </c>
      <c r="H426" t="s">
        <v>89</v>
      </c>
      <c r="I426" t="s">
        <v>194</v>
      </c>
      <c r="J426" t="s">
        <v>195</v>
      </c>
      <c r="K426">
        <v>813181</v>
      </c>
      <c r="L426" t="s">
        <v>774</v>
      </c>
      <c r="M426" t="s">
        <v>319</v>
      </c>
      <c r="N426" t="s">
        <v>57</v>
      </c>
      <c r="O426" s="1">
        <v>46054</v>
      </c>
      <c r="Q426" s="1">
        <v>46235</v>
      </c>
      <c r="R426" s="2">
        <v>126.92</v>
      </c>
      <c r="S426">
        <v>1</v>
      </c>
      <c r="T426" t="s">
        <v>58</v>
      </c>
      <c r="U426" t="s">
        <v>59</v>
      </c>
      <c r="V426" s="3">
        <v>0.7</v>
      </c>
      <c r="W426" s="2">
        <v>0</v>
      </c>
      <c r="X426">
        <v>0</v>
      </c>
      <c r="Y426" t="s">
        <v>60</v>
      </c>
      <c r="Z426" t="s">
        <v>248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88.84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46202</v>
      </c>
      <c r="B427" t="s">
        <v>48</v>
      </c>
      <c r="C427">
        <v>649163</v>
      </c>
      <c r="D427">
        <v>2033278775</v>
      </c>
      <c r="E427" t="s">
        <v>775</v>
      </c>
      <c r="F427" t="s">
        <v>776</v>
      </c>
      <c r="G427" t="s">
        <v>51</v>
      </c>
      <c r="H427" t="s">
        <v>434</v>
      </c>
      <c r="I427" t="s">
        <v>194</v>
      </c>
      <c r="J427" t="s">
        <v>195</v>
      </c>
      <c r="K427">
        <v>753748</v>
      </c>
      <c r="L427" t="s">
        <v>358</v>
      </c>
      <c r="M427" t="s">
        <v>359</v>
      </c>
      <c r="N427" t="s">
        <v>57</v>
      </c>
      <c r="O427" s="1">
        <v>46054</v>
      </c>
      <c r="Q427" s="1">
        <v>46235</v>
      </c>
      <c r="R427" s="2">
        <v>88.05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248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61.64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46202</v>
      </c>
      <c r="B428" t="s">
        <v>48</v>
      </c>
      <c r="C428">
        <v>649163</v>
      </c>
      <c r="D428">
        <v>2033280426</v>
      </c>
      <c r="E428" t="s">
        <v>777</v>
      </c>
      <c r="F428" t="s">
        <v>171</v>
      </c>
      <c r="G428" t="s">
        <v>51</v>
      </c>
      <c r="H428" t="s">
        <v>89</v>
      </c>
      <c r="I428" t="s">
        <v>194</v>
      </c>
      <c r="J428" t="s">
        <v>195</v>
      </c>
      <c r="K428">
        <v>824062</v>
      </c>
      <c r="L428" t="s">
        <v>90</v>
      </c>
      <c r="M428" t="s">
        <v>91</v>
      </c>
      <c r="N428" t="s">
        <v>57</v>
      </c>
      <c r="O428" s="1">
        <v>46054</v>
      </c>
      <c r="Q428" s="1">
        <v>46235</v>
      </c>
      <c r="R428" s="2">
        <v>15.75</v>
      </c>
      <c r="S428">
        <v>1</v>
      </c>
      <c r="T428" t="s">
        <v>58</v>
      </c>
      <c r="U428" t="s">
        <v>59</v>
      </c>
      <c r="V428" s="3">
        <v>0.7</v>
      </c>
      <c r="W428" s="2">
        <v>0</v>
      </c>
      <c r="X428">
        <v>0</v>
      </c>
      <c r="Y428" t="s">
        <v>60</v>
      </c>
      <c r="Z428" t="s">
        <v>248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11.02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46202</v>
      </c>
      <c r="B429" t="s">
        <v>48</v>
      </c>
      <c r="C429">
        <v>649163</v>
      </c>
      <c r="D429">
        <v>2033285976</v>
      </c>
      <c r="E429" t="s">
        <v>517</v>
      </c>
      <c r="F429" t="s">
        <v>778</v>
      </c>
      <c r="G429" t="s">
        <v>51</v>
      </c>
      <c r="H429" t="s">
        <v>89</v>
      </c>
      <c r="I429" t="s">
        <v>194</v>
      </c>
      <c r="J429" t="s">
        <v>195</v>
      </c>
      <c r="K429">
        <v>824062</v>
      </c>
      <c r="L429" t="s">
        <v>90</v>
      </c>
      <c r="M429" t="s">
        <v>91</v>
      </c>
      <c r="N429" t="s">
        <v>57</v>
      </c>
      <c r="O429" s="1">
        <v>46054</v>
      </c>
      <c r="Q429" s="1">
        <v>46235</v>
      </c>
      <c r="R429" s="2">
        <v>11.5</v>
      </c>
      <c r="S429">
        <v>1</v>
      </c>
      <c r="T429" t="s">
        <v>58</v>
      </c>
      <c r="U429" t="s">
        <v>59</v>
      </c>
      <c r="V429" s="3">
        <v>0.7</v>
      </c>
      <c r="W429" s="2">
        <v>0</v>
      </c>
      <c r="X429">
        <v>0</v>
      </c>
      <c r="Y429" t="s">
        <v>60</v>
      </c>
      <c r="Z429" t="s">
        <v>248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8.0500000000000007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46202</v>
      </c>
      <c r="B430" t="s">
        <v>48</v>
      </c>
      <c r="C430">
        <v>649163</v>
      </c>
      <c r="D430">
        <v>2033286915</v>
      </c>
      <c r="E430" t="s">
        <v>517</v>
      </c>
      <c r="F430" t="s">
        <v>518</v>
      </c>
      <c r="G430" t="s">
        <v>51</v>
      </c>
      <c r="H430" t="s">
        <v>89</v>
      </c>
      <c r="I430" t="s">
        <v>194</v>
      </c>
      <c r="J430" t="s">
        <v>195</v>
      </c>
      <c r="K430">
        <v>824062</v>
      </c>
      <c r="L430" t="s">
        <v>90</v>
      </c>
      <c r="M430" t="s">
        <v>91</v>
      </c>
      <c r="N430" t="s">
        <v>57</v>
      </c>
      <c r="O430" s="1">
        <v>46054</v>
      </c>
      <c r="Q430" s="1">
        <v>46235</v>
      </c>
      <c r="R430" s="2">
        <v>15.75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248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11.02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46202</v>
      </c>
      <c r="B431" t="s">
        <v>48</v>
      </c>
      <c r="C431">
        <v>649163</v>
      </c>
      <c r="D431">
        <v>2033287400</v>
      </c>
      <c r="E431" t="s">
        <v>779</v>
      </c>
      <c r="F431" t="s">
        <v>780</v>
      </c>
      <c r="G431" t="s">
        <v>51</v>
      </c>
      <c r="H431" t="s">
        <v>89</v>
      </c>
      <c r="I431" t="s">
        <v>194</v>
      </c>
      <c r="J431" t="s">
        <v>195</v>
      </c>
      <c r="K431">
        <v>840313</v>
      </c>
      <c r="L431" t="s">
        <v>158</v>
      </c>
      <c r="M431" t="s">
        <v>159</v>
      </c>
      <c r="N431" t="s">
        <v>57</v>
      </c>
      <c r="O431" s="1">
        <v>46054</v>
      </c>
      <c r="Q431" s="1">
        <v>46235</v>
      </c>
      <c r="R431" s="2">
        <v>19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0</v>
      </c>
      <c r="Y431" t="s">
        <v>60</v>
      </c>
      <c r="Z431" t="s">
        <v>248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13.3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46202</v>
      </c>
      <c r="B432" t="s">
        <v>48</v>
      </c>
      <c r="C432">
        <v>649163</v>
      </c>
      <c r="D432">
        <v>2033300227</v>
      </c>
      <c r="E432" t="s">
        <v>781</v>
      </c>
      <c r="F432" t="s">
        <v>782</v>
      </c>
      <c r="G432" t="s">
        <v>51</v>
      </c>
      <c r="H432" t="s">
        <v>89</v>
      </c>
      <c r="I432" t="s">
        <v>194</v>
      </c>
      <c r="J432" t="s">
        <v>195</v>
      </c>
      <c r="K432">
        <v>768271</v>
      </c>
      <c r="L432" t="s">
        <v>206</v>
      </c>
      <c r="M432" t="s">
        <v>207</v>
      </c>
      <c r="N432" t="s">
        <v>57</v>
      </c>
      <c r="O432" s="1">
        <v>46054</v>
      </c>
      <c r="Q432" s="1">
        <v>46235</v>
      </c>
      <c r="R432" s="2">
        <v>11.5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248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8.0500000000000007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46202</v>
      </c>
      <c r="B433" t="s">
        <v>48</v>
      </c>
      <c r="C433">
        <v>649163</v>
      </c>
      <c r="D433">
        <v>2033305576</v>
      </c>
      <c r="E433" t="s">
        <v>783</v>
      </c>
      <c r="F433" t="s">
        <v>784</v>
      </c>
      <c r="G433" t="s">
        <v>51</v>
      </c>
      <c r="H433" t="s">
        <v>89</v>
      </c>
      <c r="I433" t="s">
        <v>194</v>
      </c>
      <c r="J433" t="s">
        <v>195</v>
      </c>
      <c r="K433">
        <v>768271</v>
      </c>
      <c r="L433" t="s">
        <v>206</v>
      </c>
      <c r="M433" t="s">
        <v>207</v>
      </c>
      <c r="N433" t="s">
        <v>57</v>
      </c>
      <c r="O433" s="1">
        <v>46054</v>
      </c>
      <c r="Q433" s="1">
        <v>46235</v>
      </c>
      <c r="R433" s="2">
        <v>22</v>
      </c>
      <c r="S433">
        <v>1</v>
      </c>
      <c r="T433" t="s">
        <v>58</v>
      </c>
      <c r="U433" t="s">
        <v>59</v>
      </c>
      <c r="V433" s="3">
        <v>0.7</v>
      </c>
      <c r="W433" s="2">
        <v>0</v>
      </c>
      <c r="X433">
        <v>0</v>
      </c>
      <c r="Y433" t="s">
        <v>60</v>
      </c>
      <c r="Z433" t="s">
        <v>248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15.4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46202</v>
      </c>
      <c r="B434" t="s">
        <v>48</v>
      </c>
      <c r="C434">
        <v>649163</v>
      </c>
      <c r="D434">
        <v>2033310562</v>
      </c>
      <c r="E434" t="s">
        <v>519</v>
      </c>
      <c r="F434" t="s">
        <v>520</v>
      </c>
      <c r="G434" t="s">
        <v>51</v>
      </c>
      <c r="H434" t="s">
        <v>521</v>
      </c>
      <c r="I434" t="s">
        <v>194</v>
      </c>
      <c r="J434" t="s">
        <v>217</v>
      </c>
      <c r="K434">
        <v>753748</v>
      </c>
      <c r="L434" t="s">
        <v>358</v>
      </c>
      <c r="M434" t="s">
        <v>359</v>
      </c>
      <c r="N434" t="s">
        <v>57</v>
      </c>
      <c r="O434" s="1">
        <v>46054</v>
      </c>
      <c r="Q434" s="1">
        <v>46235</v>
      </c>
      <c r="R434" s="2">
        <v>42</v>
      </c>
      <c r="S434">
        <v>1</v>
      </c>
      <c r="T434" t="s">
        <v>58</v>
      </c>
      <c r="U434" t="s">
        <v>59</v>
      </c>
      <c r="V434" s="3">
        <v>0.9</v>
      </c>
      <c r="W434" s="2">
        <v>0</v>
      </c>
      <c r="X434">
        <v>0</v>
      </c>
      <c r="Y434" t="s">
        <v>60</v>
      </c>
      <c r="Z434" t="s">
        <v>248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37.799999999999997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46202</v>
      </c>
      <c r="B435" t="s">
        <v>48</v>
      </c>
      <c r="C435">
        <v>649163</v>
      </c>
      <c r="D435">
        <v>2033328697</v>
      </c>
      <c r="E435" t="s">
        <v>785</v>
      </c>
      <c r="F435" t="s">
        <v>598</v>
      </c>
      <c r="G435" t="s">
        <v>51</v>
      </c>
      <c r="H435" t="s">
        <v>97</v>
      </c>
      <c r="I435" t="s">
        <v>194</v>
      </c>
      <c r="J435" t="s">
        <v>195</v>
      </c>
      <c r="K435">
        <v>673059</v>
      </c>
      <c r="L435" t="s">
        <v>102</v>
      </c>
      <c r="M435" t="s">
        <v>103</v>
      </c>
      <c r="N435" t="s">
        <v>57</v>
      </c>
      <c r="O435" s="1">
        <v>46054</v>
      </c>
      <c r="Q435" s="1">
        <v>46235</v>
      </c>
      <c r="R435" s="2">
        <v>87.08</v>
      </c>
      <c r="S435">
        <v>1</v>
      </c>
      <c r="T435" t="s">
        <v>58</v>
      </c>
      <c r="U435" t="s">
        <v>59</v>
      </c>
      <c r="V435" s="3">
        <v>0.7</v>
      </c>
      <c r="W435" s="2">
        <v>0</v>
      </c>
      <c r="X435">
        <v>0</v>
      </c>
      <c r="Y435" t="s">
        <v>60</v>
      </c>
      <c r="Z435" t="s">
        <v>248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60.96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46202</v>
      </c>
      <c r="B436" t="s">
        <v>48</v>
      </c>
      <c r="C436">
        <v>649163</v>
      </c>
      <c r="D436">
        <v>2033330925</v>
      </c>
      <c r="E436" t="s">
        <v>522</v>
      </c>
      <c r="F436" t="s">
        <v>138</v>
      </c>
      <c r="G436" t="s">
        <v>51</v>
      </c>
      <c r="H436" t="s">
        <v>89</v>
      </c>
      <c r="I436" t="s">
        <v>194</v>
      </c>
      <c r="J436" t="s">
        <v>195</v>
      </c>
      <c r="K436">
        <v>823350</v>
      </c>
      <c r="L436" t="s">
        <v>113</v>
      </c>
      <c r="M436" t="s">
        <v>114</v>
      </c>
      <c r="N436" t="s">
        <v>57</v>
      </c>
      <c r="O436" s="1">
        <v>46054</v>
      </c>
      <c r="Q436" s="1">
        <v>46235</v>
      </c>
      <c r="R436" s="2">
        <v>49.8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248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34.86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46202</v>
      </c>
      <c r="B437" t="s">
        <v>48</v>
      </c>
      <c r="C437">
        <v>649163</v>
      </c>
      <c r="D437">
        <v>2033336001</v>
      </c>
      <c r="E437" t="s">
        <v>472</v>
      </c>
      <c r="F437" t="s">
        <v>403</v>
      </c>
      <c r="G437" t="s">
        <v>51</v>
      </c>
      <c r="H437" t="s">
        <v>89</v>
      </c>
      <c r="I437" t="s">
        <v>194</v>
      </c>
      <c r="J437" t="s">
        <v>217</v>
      </c>
      <c r="K437">
        <v>894525</v>
      </c>
      <c r="L437" t="s">
        <v>316</v>
      </c>
      <c r="M437" t="s">
        <v>317</v>
      </c>
      <c r="N437" t="s">
        <v>57</v>
      </c>
      <c r="O437" s="1">
        <v>46054</v>
      </c>
      <c r="Q437" s="1">
        <v>46235</v>
      </c>
      <c r="R437" s="2">
        <v>85.42</v>
      </c>
      <c r="S437">
        <v>1</v>
      </c>
      <c r="T437" t="s">
        <v>58</v>
      </c>
      <c r="U437" t="s">
        <v>59</v>
      </c>
      <c r="V437" s="3">
        <v>0.9</v>
      </c>
      <c r="W437" s="2">
        <v>0</v>
      </c>
      <c r="X437">
        <v>0</v>
      </c>
      <c r="Y437" t="s">
        <v>60</v>
      </c>
      <c r="Z437" t="s">
        <v>248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76.88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46202</v>
      </c>
      <c r="B438" t="s">
        <v>48</v>
      </c>
      <c r="C438">
        <v>649163</v>
      </c>
      <c r="D438">
        <v>2033337348</v>
      </c>
      <c r="E438" t="s">
        <v>786</v>
      </c>
      <c r="F438" t="s">
        <v>671</v>
      </c>
      <c r="G438" t="s">
        <v>51</v>
      </c>
      <c r="H438" t="s">
        <v>89</v>
      </c>
      <c r="I438" t="s">
        <v>194</v>
      </c>
      <c r="J438" t="s">
        <v>195</v>
      </c>
      <c r="K438">
        <v>768887</v>
      </c>
      <c r="L438" t="s">
        <v>368</v>
      </c>
      <c r="M438" t="s">
        <v>369</v>
      </c>
      <c r="N438" t="s">
        <v>57</v>
      </c>
      <c r="O438" s="1">
        <v>46049</v>
      </c>
      <c r="Q438" s="1">
        <v>46230</v>
      </c>
      <c r="R438" s="2">
        <v>49.8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248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34.86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46202</v>
      </c>
      <c r="B439" t="s">
        <v>48</v>
      </c>
      <c r="C439">
        <v>649163</v>
      </c>
      <c r="D439">
        <v>2033338100</v>
      </c>
      <c r="E439" t="s">
        <v>523</v>
      </c>
      <c r="F439" t="s">
        <v>524</v>
      </c>
      <c r="G439" t="s">
        <v>51</v>
      </c>
      <c r="H439" t="s">
        <v>75</v>
      </c>
      <c r="I439" t="s">
        <v>194</v>
      </c>
      <c r="J439" t="s">
        <v>195</v>
      </c>
      <c r="K439">
        <v>812782</v>
      </c>
      <c r="L439" t="s">
        <v>181</v>
      </c>
      <c r="M439" t="s">
        <v>182</v>
      </c>
      <c r="N439" t="s">
        <v>57</v>
      </c>
      <c r="O439" s="1">
        <v>46054</v>
      </c>
      <c r="Q439" s="1">
        <v>46235</v>
      </c>
      <c r="R439" s="2">
        <v>47.14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248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33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46202</v>
      </c>
      <c r="B440" t="s">
        <v>48</v>
      </c>
      <c r="C440">
        <v>649163</v>
      </c>
      <c r="D440">
        <v>2033339736</v>
      </c>
      <c r="E440" t="s">
        <v>787</v>
      </c>
      <c r="F440" t="s">
        <v>788</v>
      </c>
      <c r="G440" t="s">
        <v>51</v>
      </c>
      <c r="H440" t="s">
        <v>89</v>
      </c>
      <c r="I440" t="s">
        <v>194</v>
      </c>
      <c r="J440" t="s">
        <v>228</v>
      </c>
      <c r="K440">
        <v>814033</v>
      </c>
      <c r="L440" t="s">
        <v>490</v>
      </c>
      <c r="M440" t="s">
        <v>491</v>
      </c>
      <c r="N440" t="s">
        <v>57</v>
      </c>
      <c r="O440" s="1">
        <v>46054</v>
      </c>
      <c r="Q440" s="1">
        <v>46235</v>
      </c>
      <c r="R440" s="2">
        <v>25.08</v>
      </c>
      <c r="S440">
        <v>1</v>
      </c>
      <c r="T440" t="s">
        <v>58</v>
      </c>
      <c r="U440" t="s">
        <v>59</v>
      </c>
      <c r="V440" s="3">
        <v>0.42</v>
      </c>
      <c r="W440" s="2">
        <v>0</v>
      </c>
      <c r="X440">
        <v>0</v>
      </c>
      <c r="Y440" t="s">
        <v>60</v>
      </c>
      <c r="Z440" t="s">
        <v>248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10.53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46202</v>
      </c>
      <c r="B441" t="s">
        <v>48</v>
      </c>
      <c r="C441">
        <v>649163</v>
      </c>
      <c r="D441">
        <v>2033339737</v>
      </c>
      <c r="E441" t="s">
        <v>787</v>
      </c>
      <c r="F441" t="s">
        <v>788</v>
      </c>
      <c r="G441" t="s">
        <v>51</v>
      </c>
      <c r="H441" t="s">
        <v>89</v>
      </c>
      <c r="I441" t="s">
        <v>194</v>
      </c>
      <c r="J441" t="s">
        <v>195</v>
      </c>
      <c r="K441">
        <v>814033</v>
      </c>
      <c r="L441" t="s">
        <v>490</v>
      </c>
      <c r="M441" t="s">
        <v>491</v>
      </c>
      <c r="N441" t="s">
        <v>57</v>
      </c>
      <c r="O441" s="1">
        <v>46054</v>
      </c>
      <c r="Q441" s="1">
        <v>46235</v>
      </c>
      <c r="R441" s="2">
        <v>74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248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51.8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46202</v>
      </c>
      <c r="B442" t="s">
        <v>48</v>
      </c>
      <c r="C442">
        <v>649163</v>
      </c>
      <c r="D442">
        <v>2033339868</v>
      </c>
      <c r="E442" t="s">
        <v>328</v>
      </c>
      <c r="F442" t="s">
        <v>525</v>
      </c>
      <c r="G442" t="s">
        <v>51</v>
      </c>
      <c r="H442" t="s">
        <v>89</v>
      </c>
      <c r="I442" t="s">
        <v>194</v>
      </c>
      <c r="J442" t="s">
        <v>195</v>
      </c>
      <c r="K442">
        <v>856163</v>
      </c>
      <c r="L442" t="s">
        <v>113</v>
      </c>
      <c r="M442" t="s">
        <v>452</v>
      </c>
      <c r="N442" t="s">
        <v>57</v>
      </c>
      <c r="O442" s="1">
        <v>46054</v>
      </c>
      <c r="Q442" s="1">
        <v>46235</v>
      </c>
      <c r="R442" s="2">
        <v>170.76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248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119.53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46202</v>
      </c>
      <c r="B443" t="s">
        <v>48</v>
      </c>
      <c r="C443">
        <v>649163</v>
      </c>
      <c r="D443">
        <v>2033344712</v>
      </c>
      <c r="E443" t="s">
        <v>789</v>
      </c>
      <c r="F443" t="s">
        <v>379</v>
      </c>
      <c r="G443" t="s">
        <v>51</v>
      </c>
      <c r="H443" t="s">
        <v>332</v>
      </c>
      <c r="I443" t="s">
        <v>194</v>
      </c>
      <c r="J443" t="s">
        <v>195</v>
      </c>
      <c r="K443">
        <v>673059</v>
      </c>
      <c r="L443" t="s">
        <v>102</v>
      </c>
      <c r="M443" t="s">
        <v>103</v>
      </c>
      <c r="N443" t="s">
        <v>57</v>
      </c>
      <c r="O443" s="1">
        <v>46050</v>
      </c>
      <c r="Q443" s="1">
        <v>46231</v>
      </c>
      <c r="R443" s="2">
        <v>57.4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248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40.18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46202</v>
      </c>
      <c r="B444" t="s">
        <v>48</v>
      </c>
      <c r="C444">
        <v>649163</v>
      </c>
      <c r="D444">
        <v>2033346024</v>
      </c>
      <c r="E444" t="s">
        <v>790</v>
      </c>
      <c r="F444" t="s">
        <v>433</v>
      </c>
      <c r="G444" t="s">
        <v>51</v>
      </c>
      <c r="H444" t="s">
        <v>124</v>
      </c>
      <c r="I444" t="s">
        <v>194</v>
      </c>
      <c r="J444" t="s">
        <v>195</v>
      </c>
      <c r="K444">
        <v>875334</v>
      </c>
      <c r="L444" t="s">
        <v>196</v>
      </c>
      <c r="M444" t="s">
        <v>197</v>
      </c>
      <c r="N444" t="s">
        <v>57</v>
      </c>
      <c r="O444" s="1">
        <v>46054</v>
      </c>
      <c r="Q444" s="1">
        <v>46235</v>
      </c>
      <c r="R444" s="2">
        <v>176.94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248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123.86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46202</v>
      </c>
      <c r="B445" t="s">
        <v>48</v>
      </c>
      <c r="C445">
        <v>649163</v>
      </c>
      <c r="D445">
        <v>2033346497</v>
      </c>
      <c r="E445" t="s">
        <v>791</v>
      </c>
      <c r="F445" t="s">
        <v>792</v>
      </c>
      <c r="G445" t="s">
        <v>51</v>
      </c>
      <c r="H445" t="s">
        <v>89</v>
      </c>
      <c r="I445" t="s">
        <v>194</v>
      </c>
      <c r="J445" t="s">
        <v>217</v>
      </c>
      <c r="K445">
        <v>893408</v>
      </c>
      <c r="L445" t="s">
        <v>120</v>
      </c>
      <c r="M445" t="s">
        <v>121</v>
      </c>
      <c r="N445" t="s">
        <v>57</v>
      </c>
      <c r="O445" s="1">
        <v>46050</v>
      </c>
      <c r="Q445" s="1">
        <v>46231</v>
      </c>
      <c r="R445" s="2">
        <v>51.63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248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46.47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46202</v>
      </c>
      <c r="B446" t="s">
        <v>48</v>
      </c>
      <c r="C446">
        <v>649163</v>
      </c>
      <c r="D446">
        <v>2033346498</v>
      </c>
      <c r="E446" t="s">
        <v>791</v>
      </c>
      <c r="F446" t="s">
        <v>792</v>
      </c>
      <c r="G446" t="s">
        <v>51</v>
      </c>
      <c r="H446" t="s">
        <v>89</v>
      </c>
      <c r="I446" t="s">
        <v>194</v>
      </c>
      <c r="J446" t="s">
        <v>195</v>
      </c>
      <c r="K446">
        <v>893408</v>
      </c>
      <c r="L446" t="s">
        <v>120</v>
      </c>
      <c r="M446" t="s">
        <v>121</v>
      </c>
      <c r="N446" t="s">
        <v>57</v>
      </c>
      <c r="O446" s="1">
        <v>46050</v>
      </c>
      <c r="Q446" s="1">
        <v>46231</v>
      </c>
      <c r="R446" s="2">
        <v>107.8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248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75.459999999999994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46202</v>
      </c>
      <c r="B447" t="s">
        <v>48</v>
      </c>
      <c r="C447">
        <v>649163</v>
      </c>
      <c r="D447">
        <v>2033346779</v>
      </c>
      <c r="E447" t="s">
        <v>793</v>
      </c>
      <c r="F447" t="s">
        <v>478</v>
      </c>
      <c r="G447" t="s">
        <v>51</v>
      </c>
      <c r="H447" t="s">
        <v>89</v>
      </c>
      <c r="I447" t="s">
        <v>194</v>
      </c>
      <c r="J447" t="s">
        <v>195</v>
      </c>
      <c r="K447">
        <v>812782</v>
      </c>
      <c r="L447" t="s">
        <v>181</v>
      </c>
      <c r="M447" t="s">
        <v>182</v>
      </c>
      <c r="N447" t="s">
        <v>57</v>
      </c>
      <c r="O447" s="1">
        <v>46054</v>
      </c>
      <c r="Q447" s="1">
        <v>46235</v>
      </c>
      <c r="R447" s="2">
        <v>124.72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248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87.3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46202</v>
      </c>
      <c r="B448" t="s">
        <v>48</v>
      </c>
      <c r="C448">
        <v>649163</v>
      </c>
      <c r="D448">
        <v>2033349830</v>
      </c>
      <c r="E448" t="s">
        <v>526</v>
      </c>
      <c r="F448" t="s">
        <v>527</v>
      </c>
      <c r="G448" t="s">
        <v>51</v>
      </c>
      <c r="H448" t="s">
        <v>124</v>
      </c>
      <c r="I448" t="s">
        <v>194</v>
      </c>
      <c r="J448" t="s">
        <v>195</v>
      </c>
      <c r="K448">
        <v>753748</v>
      </c>
      <c r="L448" t="s">
        <v>358</v>
      </c>
      <c r="M448" t="s">
        <v>359</v>
      </c>
      <c r="N448" t="s">
        <v>57</v>
      </c>
      <c r="O448" s="1">
        <v>46054</v>
      </c>
      <c r="Q448" s="1">
        <v>46235</v>
      </c>
      <c r="R448" s="2">
        <v>109.9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248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76.930000000000007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46202</v>
      </c>
      <c r="B449" t="s">
        <v>48</v>
      </c>
      <c r="C449">
        <v>649163</v>
      </c>
      <c r="D449">
        <v>2033351576</v>
      </c>
      <c r="E449" t="s">
        <v>794</v>
      </c>
      <c r="F449" t="s">
        <v>795</v>
      </c>
      <c r="G449" t="s">
        <v>51</v>
      </c>
      <c r="H449" t="s">
        <v>89</v>
      </c>
      <c r="I449" t="s">
        <v>194</v>
      </c>
      <c r="J449" t="s">
        <v>195</v>
      </c>
      <c r="K449">
        <v>814033</v>
      </c>
      <c r="L449" t="s">
        <v>490</v>
      </c>
      <c r="M449" t="s">
        <v>491</v>
      </c>
      <c r="N449" t="s">
        <v>57</v>
      </c>
      <c r="O449" s="1">
        <v>46054</v>
      </c>
      <c r="Q449" s="1">
        <v>46235</v>
      </c>
      <c r="R449" s="2">
        <v>33.119999999999997</v>
      </c>
      <c r="S449">
        <v>1</v>
      </c>
      <c r="T449" t="s">
        <v>58</v>
      </c>
      <c r="U449" t="s">
        <v>59</v>
      </c>
      <c r="V449" s="3">
        <v>0.7</v>
      </c>
      <c r="W449" s="2">
        <v>0</v>
      </c>
      <c r="X449">
        <v>0</v>
      </c>
      <c r="Y449" t="s">
        <v>60</v>
      </c>
      <c r="Z449" t="s">
        <v>248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23.18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46202</v>
      </c>
      <c r="B450" t="s">
        <v>48</v>
      </c>
      <c r="C450">
        <v>649163</v>
      </c>
      <c r="D450">
        <v>2033351937</v>
      </c>
      <c r="E450" t="s">
        <v>528</v>
      </c>
      <c r="F450" t="s">
        <v>529</v>
      </c>
      <c r="G450" t="s">
        <v>51</v>
      </c>
      <c r="H450" t="s">
        <v>89</v>
      </c>
      <c r="I450" t="s">
        <v>194</v>
      </c>
      <c r="J450" t="s">
        <v>195</v>
      </c>
      <c r="K450">
        <v>823350</v>
      </c>
      <c r="L450" t="s">
        <v>113</v>
      </c>
      <c r="M450" t="s">
        <v>114</v>
      </c>
      <c r="N450" t="s">
        <v>57</v>
      </c>
      <c r="O450" s="1">
        <v>46054</v>
      </c>
      <c r="Q450" s="1">
        <v>46235</v>
      </c>
      <c r="R450" s="2">
        <v>96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0</v>
      </c>
      <c r="Y450" t="s">
        <v>60</v>
      </c>
      <c r="Z450" t="s">
        <v>248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67.2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46202</v>
      </c>
      <c r="B451" t="s">
        <v>48</v>
      </c>
      <c r="C451">
        <v>649163</v>
      </c>
      <c r="D451">
        <v>2033354400</v>
      </c>
      <c r="E451" t="s">
        <v>530</v>
      </c>
      <c r="F451" t="s">
        <v>531</v>
      </c>
      <c r="G451" t="s">
        <v>51</v>
      </c>
      <c r="H451" t="s">
        <v>146</v>
      </c>
      <c r="I451" t="s">
        <v>194</v>
      </c>
      <c r="J451" t="s">
        <v>217</v>
      </c>
      <c r="K451">
        <v>902625</v>
      </c>
      <c r="L451" t="s">
        <v>147</v>
      </c>
      <c r="M451" t="s">
        <v>148</v>
      </c>
      <c r="N451" t="s">
        <v>57</v>
      </c>
      <c r="O451" s="1">
        <v>46054</v>
      </c>
      <c r="Q451" s="1">
        <v>46235</v>
      </c>
      <c r="R451" s="2">
        <v>11.93</v>
      </c>
      <c r="S451">
        <v>1</v>
      </c>
      <c r="T451" t="s">
        <v>58</v>
      </c>
      <c r="U451" t="s">
        <v>59</v>
      </c>
      <c r="V451" s="3">
        <v>0.9</v>
      </c>
      <c r="W451" s="2">
        <v>0</v>
      </c>
      <c r="X451">
        <v>0</v>
      </c>
      <c r="Y451" t="s">
        <v>60</v>
      </c>
      <c r="Z451" t="s">
        <v>248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10.74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46202</v>
      </c>
      <c r="B452" t="s">
        <v>48</v>
      </c>
      <c r="C452">
        <v>649163</v>
      </c>
      <c r="D452">
        <v>2033355860</v>
      </c>
      <c r="E452" t="s">
        <v>796</v>
      </c>
      <c r="F452" t="s">
        <v>254</v>
      </c>
      <c r="G452" t="s">
        <v>51</v>
      </c>
      <c r="H452" t="s">
        <v>200</v>
      </c>
      <c r="I452" t="s">
        <v>194</v>
      </c>
      <c r="J452" t="s">
        <v>195</v>
      </c>
      <c r="K452">
        <v>812656</v>
      </c>
      <c r="L452" t="s">
        <v>186</v>
      </c>
      <c r="M452" t="s">
        <v>187</v>
      </c>
      <c r="N452" t="s">
        <v>57</v>
      </c>
      <c r="O452" s="1">
        <v>46054</v>
      </c>
      <c r="Q452" s="1">
        <v>46235</v>
      </c>
      <c r="R452" s="2">
        <v>18.510000000000002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248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12.96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46202</v>
      </c>
      <c r="B453" t="s">
        <v>48</v>
      </c>
      <c r="C453">
        <v>649163</v>
      </c>
      <c r="D453">
        <v>2033357627</v>
      </c>
      <c r="E453" t="s">
        <v>326</v>
      </c>
      <c r="F453" t="s">
        <v>327</v>
      </c>
      <c r="G453" t="s">
        <v>51</v>
      </c>
      <c r="H453" t="s">
        <v>89</v>
      </c>
      <c r="I453" t="s">
        <v>194</v>
      </c>
      <c r="J453" t="s">
        <v>195</v>
      </c>
      <c r="K453">
        <v>894525</v>
      </c>
      <c r="L453" t="s">
        <v>316</v>
      </c>
      <c r="M453" t="s">
        <v>317</v>
      </c>
      <c r="N453" t="s">
        <v>57</v>
      </c>
      <c r="O453" s="1">
        <v>46054</v>
      </c>
      <c r="Q453" s="1">
        <v>46235</v>
      </c>
      <c r="R453" s="2">
        <v>27.5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248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19.25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46202</v>
      </c>
      <c r="B454" t="s">
        <v>48</v>
      </c>
      <c r="C454">
        <v>649163</v>
      </c>
      <c r="D454">
        <v>2033360740</v>
      </c>
      <c r="E454" t="s">
        <v>797</v>
      </c>
      <c r="F454" t="s">
        <v>798</v>
      </c>
      <c r="G454" t="s">
        <v>51</v>
      </c>
      <c r="H454" t="s">
        <v>89</v>
      </c>
      <c r="I454" t="s">
        <v>194</v>
      </c>
      <c r="J454" t="s">
        <v>195</v>
      </c>
      <c r="K454">
        <v>814033</v>
      </c>
      <c r="L454" t="s">
        <v>490</v>
      </c>
      <c r="M454" t="s">
        <v>491</v>
      </c>
      <c r="N454" t="s">
        <v>57</v>
      </c>
      <c r="O454" s="1">
        <v>46054</v>
      </c>
      <c r="Q454" s="1">
        <v>46235</v>
      </c>
      <c r="R454" s="2">
        <v>39.35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248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27.54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46202</v>
      </c>
      <c r="B455" t="s">
        <v>48</v>
      </c>
      <c r="C455">
        <v>649163</v>
      </c>
      <c r="D455">
        <v>2033363507</v>
      </c>
      <c r="E455" t="s">
        <v>799</v>
      </c>
      <c r="F455" t="s">
        <v>800</v>
      </c>
      <c r="G455" t="s">
        <v>51</v>
      </c>
      <c r="H455" t="s">
        <v>89</v>
      </c>
      <c r="I455" t="s">
        <v>194</v>
      </c>
      <c r="J455" t="s">
        <v>195</v>
      </c>
      <c r="K455">
        <v>768887</v>
      </c>
      <c r="L455" t="s">
        <v>368</v>
      </c>
      <c r="M455" t="s">
        <v>369</v>
      </c>
      <c r="N455" t="s">
        <v>57</v>
      </c>
      <c r="O455" s="1">
        <v>46054</v>
      </c>
      <c r="Q455" s="1">
        <v>46235</v>
      </c>
      <c r="R455" s="2">
        <v>96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0</v>
      </c>
      <c r="Y455" t="s">
        <v>60</v>
      </c>
      <c r="Z455" t="s">
        <v>248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67.2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46202</v>
      </c>
      <c r="B456" t="s">
        <v>48</v>
      </c>
      <c r="C456">
        <v>649163</v>
      </c>
      <c r="D456">
        <v>2033365519</v>
      </c>
      <c r="E456" t="s">
        <v>532</v>
      </c>
      <c r="F456" t="s">
        <v>533</v>
      </c>
      <c r="G456" t="s">
        <v>51</v>
      </c>
      <c r="H456" t="s">
        <v>89</v>
      </c>
      <c r="I456" t="s">
        <v>194</v>
      </c>
      <c r="J456" t="s">
        <v>195</v>
      </c>
      <c r="K456">
        <v>824062</v>
      </c>
      <c r="L456" t="s">
        <v>90</v>
      </c>
      <c r="M456" t="s">
        <v>91</v>
      </c>
      <c r="N456" t="s">
        <v>57</v>
      </c>
      <c r="O456" s="1">
        <v>46054</v>
      </c>
      <c r="Q456" s="1">
        <v>46235</v>
      </c>
      <c r="R456" s="2">
        <v>216.41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248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151.49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46202</v>
      </c>
      <c r="B457" t="s">
        <v>48</v>
      </c>
      <c r="C457">
        <v>649163</v>
      </c>
      <c r="D457">
        <v>2033371198</v>
      </c>
      <c r="E457" t="s">
        <v>534</v>
      </c>
      <c r="F457" t="s">
        <v>50</v>
      </c>
      <c r="G457" t="s">
        <v>51</v>
      </c>
      <c r="H457" t="s">
        <v>124</v>
      </c>
      <c r="I457" t="s">
        <v>194</v>
      </c>
      <c r="J457" t="s">
        <v>195</v>
      </c>
      <c r="K457">
        <v>753748</v>
      </c>
      <c r="L457" t="s">
        <v>358</v>
      </c>
      <c r="M457" t="s">
        <v>359</v>
      </c>
      <c r="N457" t="s">
        <v>57</v>
      </c>
      <c r="O457" s="1">
        <v>46054</v>
      </c>
      <c r="Q457" s="1">
        <v>46235</v>
      </c>
      <c r="R457" s="2">
        <v>89.16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248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62.41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46202</v>
      </c>
      <c r="B458" t="s">
        <v>48</v>
      </c>
      <c r="C458">
        <v>649163</v>
      </c>
      <c r="D458">
        <v>2033374650</v>
      </c>
      <c r="E458" t="s">
        <v>801</v>
      </c>
      <c r="F458" t="s">
        <v>254</v>
      </c>
      <c r="G458" t="s">
        <v>51</v>
      </c>
      <c r="H458" t="s">
        <v>89</v>
      </c>
      <c r="I458" t="s">
        <v>194</v>
      </c>
      <c r="J458" t="s">
        <v>195</v>
      </c>
      <c r="K458">
        <v>812656</v>
      </c>
      <c r="L458" t="s">
        <v>186</v>
      </c>
      <c r="M458" t="s">
        <v>187</v>
      </c>
      <c r="N458" t="s">
        <v>57</v>
      </c>
      <c r="O458" s="1">
        <v>46054</v>
      </c>
      <c r="Q458" s="1">
        <v>46235</v>
      </c>
      <c r="R458" s="2">
        <v>42.38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248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29.67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46202</v>
      </c>
      <c r="B459" t="s">
        <v>48</v>
      </c>
      <c r="C459">
        <v>649163</v>
      </c>
      <c r="D459">
        <v>2033375395</v>
      </c>
      <c r="E459" t="s">
        <v>802</v>
      </c>
      <c r="F459" t="s">
        <v>803</v>
      </c>
      <c r="G459" t="s">
        <v>51</v>
      </c>
      <c r="H459" t="s">
        <v>89</v>
      </c>
      <c r="I459" t="s">
        <v>194</v>
      </c>
      <c r="J459" t="s">
        <v>195</v>
      </c>
      <c r="K459">
        <v>806645</v>
      </c>
      <c r="L459" t="s">
        <v>804</v>
      </c>
      <c r="M459" t="s">
        <v>805</v>
      </c>
      <c r="N459" t="s">
        <v>57</v>
      </c>
      <c r="O459" s="1">
        <v>46054</v>
      </c>
      <c r="Q459" s="1">
        <v>46235</v>
      </c>
      <c r="R459" s="2">
        <v>145.41999999999999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248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101.79</v>
      </c>
      <c r="AN459" s="2">
        <v>101.79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46202</v>
      </c>
      <c r="B460" t="s">
        <v>48</v>
      </c>
      <c r="C460">
        <v>649163</v>
      </c>
      <c r="D460">
        <v>2033379494</v>
      </c>
      <c r="E460" t="s">
        <v>535</v>
      </c>
      <c r="F460" t="s">
        <v>536</v>
      </c>
      <c r="G460" t="s">
        <v>51</v>
      </c>
      <c r="H460" t="s">
        <v>89</v>
      </c>
      <c r="I460" t="s">
        <v>194</v>
      </c>
      <c r="J460" t="s">
        <v>195</v>
      </c>
      <c r="K460">
        <v>813184</v>
      </c>
      <c r="L460" t="s">
        <v>398</v>
      </c>
      <c r="M460" t="s">
        <v>399</v>
      </c>
      <c r="N460" t="s">
        <v>57</v>
      </c>
      <c r="O460" s="1">
        <v>46054</v>
      </c>
      <c r="Q460" s="1">
        <v>46235</v>
      </c>
      <c r="R460" s="2">
        <v>145.41999999999999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248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101.79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46202</v>
      </c>
      <c r="B461" t="s">
        <v>48</v>
      </c>
      <c r="C461">
        <v>649163</v>
      </c>
      <c r="D461">
        <v>2033382376</v>
      </c>
      <c r="E461" t="s">
        <v>537</v>
      </c>
      <c r="F461" t="s">
        <v>538</v>
      </c>
      <c r="G461" t="s">
        <v>51</v>
      </c>
      <c r="H461" t="s">
        <v>89</v>
      </c>
      <c r="I461" t="s">
        <v>194</v>
      </c>
      <c r="J461" t="s">
        <v>195</v>
      </c>
      <c r="K461">
        <v>813184</v>
      </c>
      <c r="L461" t="s">
        <v>398</v>
      </c>
      <c r="M461" t="s">
        <v>399</v>
      </c>
      <c r="N461" t="s">
        <v>57</v>
      </c>
      <c r="O461" s="1">
        <v>46052</v>
      </c>
      <c r="Q461" s="1">
        <v>46233</v>
      </c>
      <c r="R461" s="2">
        <v>74.58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248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52.21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46202</v>
      </c>
      <c r="B462" t="s">
        <v>48</v>
      </c>
      <c r="C462">
        <v>649163</v>
      </c>
      <c r="D462">
        <v>2033383183</v>
      </c>
      <c r="E462" t="s">
        <v>806</v>
      </c>
      <c r="F462" t="s">
        <v>807</v>
      </c>
      <c r="G462" t="s">
        <v>51</v>
      </c>
      <c r="H462" t="s">
        <v>89</v>
      </c>
      <c r="I462" t="s">
        <v>194</v>
      </c>
      <c r="J462" t="s">
        <v>195</v>
      </c>
      <c r="K462">
        <v>814033</v>
      </c>
      <c r="L462" t="s">
        <v>490</v>
      </c>
      <c r="M462" t="s">
        <v>491</v>
      </c>
      <c r="N462" t="s">
        <v>57</v>
      </c>
      <c r="O462" s="1">
        <v>46054</v>
      </c>
      <c r="Q462" s="1">
        <v>46235</v>
      </c>
      <c r="R462" s="2">
        <v>52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248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36.4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46202</v>
      </c>
      <c r="B463" t="s">
        <v>48</v>
      </c>
      <c r="C463">
        <v>649163</v>
      </c>
      <c r="D463">
        <v>2033383616</v>
      </c>
      <c r="E463" t="s">
        <v>808</v>
      </c>
      <c r="F463" t="s">
        <v>598</v>
      </c>
      <c r="G463" t="s">
        <v>51</v>
      </c>
      <c r="H463" t="s">
        <v>332</v>
      </c>
      <c r="I463" t="s">
        <v>194</v>
      </c>
      <c r="J463" t="s">
        <v>217</v>
      </c>
      <c r="K463">
        <v>767312</v>
      </c>
      <c r="L463" t="s">
        <v>486</v>
      </c>
      <c r="M463" t="s">
        <v>379</v>
      </c>
      <c r="N463" t="s">
        <v>57</v>
      </c>
      <c r="O463" s="1">
        <v>46052</v>
      </c>
      <c r="Q463" s="1">
        <v>46233</v>
      </c>
      <c r="R463" s="2">
        <v>42</v>
      </c>
      <c r="S463">
        <v>1</v>
      </c>
      <c r="T463" t="s">
        <v>58</v>
      </c>
      <c r="U463" t="s">
        <v>59</v>
      </c>
      <c r="V463" s="3">
        <v>0.9</v>
      </c>
      <c r="W463" s="2">
        <v>0</v>
      </c>
      <c r="X463">
        <v>0</v>
      </c>
      <c r="Y463" t="s">
        <v>60</v>
      </c>
      <c r="Z463" t="s">
        <v>248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37.799999999999997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46202</v>
      </c>
      <c r="B464" t="s">
        <v>48</v>
      </c>
      <c r="C464">
        <v>649163</v>
      </c>
      <c r="D464">
        <v>2033384114</v>
      </c>
      <c r="E464" t="s">
        <v>809</v>
      </c>
      <c r="F464" t="s">
        <v>810</v>
      </c>
      <c r="G464" t="s">
        <v>51</v>
      </c>
      <c r="H464" t="s">
        <v>89</v>
      </c>
      <c r="I464" t="s">
        <v>194</v>
      </c>
      <c r="J464" t="s">
        <v>195</v>
      </c>
      <c r="K464">
        <v>807212</v>
      </c>
      <c r="L464" t="s">
        <v>811</v>
      </c>
      <c r="M464" t="s">
        <v>812</v>
      </c>
      <c r="N464" t="s">
        <v>57</v>
      </c>
      <c r="O464" s="1">
        <v>46052</v>
      </c>
      <c r="Q464" s="1">
        <v>46233</v>
      </c>
      <c r="R464" s="2">
        <v>27.5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248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19.25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46202</v>
      </c>
      <c r="B465" t="s">
        <v>48</v>
      </c>
      <c r="C465">
        <v>649163</v>
      </c>
      <c r="D465">
        <v>2033384422</v>
      </c>
      <c r="E465" t="s">
        <v>539</v>
      </c>
      <c r="F465" t="s">
        <v>540</v>
      </c>
      <c r="G465" t="s">
        <v>51</v>
      </c>
      <c r="H465" t="s">
        <v>89</v>
      </c>
      <c r="I465" t="s">
        <v>194</v>
      </c>
      <c r="J465" t="s">
        <v>195</v>
      </c>
      <c r="K465">
        <v>824062</v>
      </c>
      <c r="L465" t="s">
        <v>90</v>
      </c>
      <c r="M465" t="s">
        <v>91</v>
      </c>
      <c r="N465" t="s">
        <v>57</v>
      </c>
      <c r="O465" s="1">
        <v>46054</v>
      </c>
      <c r="Q465" s="1">
        <v>46235</v>
      </c>
      <c r="R465" s="2">
        <v>110.16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248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77.11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46202</v>
      </c>
      <c r="B466" t="s">
        <v>48</v>
      </c>
      <c r="C466">
        <v>649163</v>
      </c>
      <c r="D466">
        <v>2033385848</v>
      </c>
      <c r="E466" t="s">
        <v>541</v>
      </c>
      <c r="F466" t="s">
        <v>542</v>
      </c>
      <c r="G466" t="s">
        <v>51</v>
      </c>
      <c r="H466" t="s">
        <v>89</v>
      </c>
      <c r="I466" t="s">
        <v>194</v>
      </c>
      <c r="J466" t="s">
        <v>195</v>
      </c>
      <c r="K466">
        <v>814033</v>
      </c>
      <c r="L466" t="s">
        <v>490</v>
      </c>
      <c r="M466" t="s">
        <v>491</v>
      </c>
      <c r="N466" t="s">
        <v>57</v>
      </c>
      <c r="O466" s="1">
        <v>46054</v>
      </c>
      <c r="Q466" s="1">
        <v>46235</v>
      </c>
      <c r="R466" s="2">
        <v>74.58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0</v>
      </c>
      <c r="Y466" t="s">
        <v>60</v>
      </c>
      <c r="Z466" t="s">
        <v>248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52.21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46202</v>
      </c>
      <c r="B467" t="s">
        <v>48</v>
      </c>
      <c r="C467">
        <v>649163</v>
      </c>
      <c r="D467">
        <v>2033386365</v>
      </c>
      <c r="E467" t="s">
        <v>813</v>
      </c>
      <c r="F467" t="s">
        <v>359</v>
      </c>
      <c r="G467" t="s">
        <v>51</v>
      </c>
      <c r="H467" t="s">
        <v>89</v>
      </c>
      <c r="I467" t="s">
        <v>194</v>
      </c>
      <c r="J467" t="s">
        <v>217</v>
      </c>
      <c r="K467">
        <v>894525</v>
      </c>
      <c r="L467" t="s">
        <v>316</v>
      </c>
      <c r="M467" t="s">
        <v>317</v>
      </c>
      <c r="N467" t="s">
        <v>57</v>
      </c>
      <c r="O467" s="1">
        <v>46054</v>
      </c>
      <c r="Q467" s="1">
        <v>46235</v>
      </c>
      <c r="R467" s="2">
        <v>58.46</v>
      </c>
      <c r="S467">
        <v>1</v>
      </c>
      <c r="T467" t="s">
        <v>58</v>
      </c>
      <c r="U467" t="s">
        <v>59</v>
      </c>
      <c r="V467" s="3">
        <v>0.9</v>
      </c>
      <c r="W467" s="2">
        <v>0</v>
      </c>
      <c r="X467">
        <v>0</v>
      </c>
      <c r="Y467" t="s">
        <v>60</v>
      </c>
      <c r="Z467" t="s">
        <v>248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52.61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46202</v>
      </c>
      <c r="B468" t="s">
        <v>48</v>
      </c>
      <c r="C468">
        <v>649163</v>
      </c>
      <c r="D468">
        <v>2033388996</v>
      </c>
      <c r="E468" t="s">
        <v>543</v>
      </c>
      <c r="F468" t="s">
        <v>103</v>
      </c>
      <c r="G468" t="s">
        <v>51</v>
      </c>
      <c r="H468" t="s">
        <v>89</v>
      </c>
      <c r="I468" t="s">
        <v>194</v>
      </c>
      <c r="J468" t="s">
        <v>195</v>
      </c>
      <c r="K468">
        <v>673059</v>
      </c>
      <c r="L468" t="s">
        <v>102</v>
      </c>
      <c r="M468" t="s">
        <v>103</v>
      </c>
      <c r="N468" t="s">
        <v>57</v>
      </c>
      <c r="O468" s="1">
        <v>46054</v>
      </c>
      <c r="Q468" s="1">
        <v>46235</v>
      </c>
      <c r="R468" s="2">
        <v>91.23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248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63.86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46202</v>
      </c>
      <c r="B469" t="s">
        <v>48</v>
      </c>
      <c r="C469">
        <v>649163</v>
      </c>
      <c r="D469">
        <v>2033389095</v>
      </c>
      <c r="E469" t="s">
        <v>370</v>
      </c>
      <c r="F469" t="s">
        <v>544</v>
      </c>
      <c r="G469" t="s">
        <v>51</v>
      </c>
      <c r="H469" t="s">
        <v>89</v>
      </c>
      <c r="I469" t="s">
        <v>194</v>
      </c>
      <c r="J469" t="s">
        <v>195</v>
      </c>
      <c r="K469">
        <v>856163</v>
      </c>
      <c r="L469" t="s">
        <v>113</v>
      </c>
      <c r="M469" t="s">
        <v>452</v>
      </c>
      <c r="N469" t="s">
        <v>57</v>
      </c>
      <c r="O469" s="1">
        <v>46054</v>
      </c>
      <c r="Q469" s="1">
        <v>46235</v>
      </c>
      <c r="R469" s="2">
        <v>96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248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67.2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46202</v>
      </c>
      <c r="B470" t="s">
        <v>48</v>
      </c>
      <c r="C470">
        <v>649163</v>
      </c>
      <c r="D470">
        <v>2033390818</v>
      </c>
      <c r="E470" t="s">
        <v>744</v>
      </c>
      <c r="F470" t="s">
        <v>814</v>
      </c>
      <c r="G470" t="s">
        <v>51</v>
      </c>
      <c r="H470" t="s">
        <v>89</v>
      </c>
      <c r="I470" t="s">
        <v>194</v>
      </c>
      <c r="J470" t="s">
        <v>195</v>
      </c>
      <c r="K470">
        <v>806645</v>
      </c>
      <c r="L470" t="s">
        <v>804</v>
      </c>
      <c r="M470" t="s">
        <v>805</v>
      </c>
      <c r="N470" t="s">
        <v>57</v>
      </c>
      <c r="O470" s="1">
        <v>46054</v>
      </c>
      <c r="Q470" s="1">
        <v>46235</v>
      </c>
      <c r="R470" s="2">
        <v>58.24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248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40.770000000000003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46202</v>
      </c>
      <c r="B471" t="s">
        <v>48</v>
      </c>
      <c r="C471">
        <v>649163</v>
      </c>
      <c r="D471">
        <v>2033393476</v>
      </c>
      <c r="E471" t="s">
        <v>815</v>
      </c>
      <c r="F471" t="s">
        <v>414</v>
      </c>
      <c r="G471" t="s">
        <v>51</v>
      </c>
      <c r="H471" t="s">
        <v>89</v>
      </c>
      <c r="I471" t="s">
        <v>194</v>
      </c>
      <c r="J471" t="s">
        <v>195</v>
      </c>
      <c r="K471">
        <v>806645</v>
      </c>
      <c r="L471" t="s">
        <v>804</v>
      </c>
      <c r="M471" t="s">
        <v>805</v>
      </c>
      <c r="N471" t="s">
        <v>57</v>
      </c>
      <c r="O471" s="1">
        <v>46054</v>
      </c>
      <c r="Q471" s="1">
        <v>46235</v>
      </c>
      <c r="R471" s="2">
        <v>28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248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19.600000000000001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46202</v>
      </c>
      <c r="B472" t="s">
        <v>48</v>
      </c>
      <c r="C472">
        <v>649163</v>
      </c>
      <c r="D472">
        <v>2033407694</v>
      </c>
      <c r="E472" t="s">
        <v>816</v>
      </c>
      <c r="F472" t="s">
        <v>817</v>
      </c>
      <c r="G472" t="s">
        <v>51</v>
      </c>
      <c r="H472" t="s">
        <v>89</v>
      </c>
      <c r="I472" t="s">
        <v>194</v>
      </c>
      <c r="J472" t="s">
        <v>195</v>
      </c>
      <c r="K472">
        <v>824076</v>
      </c>
      <c r="L472" t="s">
        <v>818</v>
      </c>
      <c r="M472" t="s">
        <v>819</v>
      </c>
      <c r="N472" t="s">
        <v>57</v>
      </c>
      <c r="O472" s="1">
        <v>46054</v>
      </c>
      <c r="Q472" s="1">
        <v>46235</v>
      </c>
      <c r="R472" s="2">
        <v>11.5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0</v>
      </c>
      <c r="Y472" t="s">
        <v>60</v>
      </c>
      <c r="Z472" t="s">
        <v>248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8.0500000000000007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46202</v>
      </c>
      <c r="B473" t="s">
        <v>48</v>
      </c>
      <c r="C473">
        <v>649163</v>
      </c>
      <c r="D473">
        <v>2033410888</v>
      </c>
      <c r="E473" t="s">
        <v>820</v>
      </c>
      <c r="F473" t="s">
        <v>821</v>
      </c>
      <c r="G473" t="s">
        <v>51</v>
      </c>
      <c r="H473" t="s">
        <v>52</v>
      </c>
      <c r="I473" t="s">
        <v>194</v>
      </c>
      <c r="J473" t="s">
        <v>203</v>
      </c>
      <c r="K473">
        <v>751867</v>
      </c>
      <c r="L473" t="s">
        <v>272</v>
      </c>
      <c r="M473" t="s">
        <v>209</v>
      </c>
      <c r="N473" t="s">
        <v>57</v>
      </c>
      <c r="O473" s="1">
        <v>46054</v>
      </c>
      <c r="Q473" s="1">
        <v>46235</v>
      </c>
      <c r="R473" s="2">
        <v>25.73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248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18.010000000000002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46202</v>
      </c>
      <c r="B474" t="s">
        <v>48</v>
      </c>
      <c r="C474">
        <v>649163</v>
      </c>
      <c r="D474">
        <v>2033416941</v>
      </c>
      <c r="E474" t="s">
        <v>553</v>
      </c>
      <c r="F474" t="s">
        <v>554</v>
      </c>
      <c r="G474" t="s">
        <v>51</v>
      </c>
      <c r="H474" t="s">
        <v>94</v>
      </c>
      <c r="I474" t="s">
        <v>194</v>
      </c>
      <c r="J474" t="s">
        <v>195</v>
      </c>
      <c r="K474">
        <v>816021</v>
      </c>
      <c r="L474" t="s">
        <v>80</v>
      </c>
      <c r="M474" t="s">
        <v>81</v>
      </c>
      <c r="N474" t="s">
        <v>57</v>
      </c>
      <c r="O474" s="1">
        <v>46053</v>
      </c>
      <c r="Q474" s="1">
        <v>46233</v>
      </c>
      <c r="R474" s="2">
        <v>9.1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248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6.37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46202</v>
      </c>
      <c r="B475" t="s">
        <v>48</v>
      </c>
      <c r="C475">
        <v>649163</v>
      </c>
      <c r="D475">
        <v>2033417869</v>
      </c>
      <c r="E475" t="s">
        <v>555</v>
      </c>
      <c r="F475" t="s">
        <v>491</v>
      </c>
      <c r="G475" t="s">
        <v>51</v>
      </c>
      <c r="H475" t="s">
        <v>89</v>
      </c>
      <c r="I475" t="s">
        <v>194</v>
      </c>
      <c r="J475" t="s">
        <v>195</v>
      </c>
      <c r="K475">
        <v>823350</v>
      </c>
      <c r="L475" t="s">
        <v>113</v>
      </c>
      <c r="M475" t="s">
        <v>114</v>
      </c>
      <c r="N475" t="s">
        <v>57</v>
      </c>
      <c r="O475" s="1">
        <v>46055</v>
      </c>
      <c r="Q475" s="1">
        <v>46236</v>
      </c>
      <c r="R475" s="2">
        <v>49.8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248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34.86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46202</v>
      </c>
      <c r="B476" t="s">
        <v>48</v>
      </c>
      <c r="C476">
        <v>649163</v>
      </c>
      <c r="D476">
        <v>2033421032</v>
      </c>
      <c r="E476" t="s">
        <v>822</v>
      </c>
      <c r="F476" t="s">
        <v>823</v>
      </c>
      <c r="G476" t="s">
        <v>51</v>
      </c>
      <c r="H476" t="s">
        <v>89</v>
      </c>
      <c r="I476" t="s">
        <v>194</v>
      </c>
      <c r="J476" t="s">
        <v>195</v>
      </c>
      <c r="K476">
        <v>893408</v>
      </c>
      <c r="L476" t="s">
        <v>120</v>
      </c>
      <c r="M476" t="s">
        <v>121</v>
      </c>
      <c r="N476" t="s">
        <v>57</v>
      </c>
      <c r="O476" s="1">
        <v>46054</v>
      </c>
      <c r="Q476" s="1">
        <v>46235</v>
      </c>
      <c r="R476" s="2">
        <v>131.72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248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92.2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46202</v>
      </c>
      <c r="B477" t="s">
        <v>48</v>
      </c>
      <c r="C477">
        <v>649163</v>
      </c>
      <c r="D477">
        <v>2033421511</v>
      </c>
      <c r="E477" t="s">
        <v>604</v>
      </c>
      <c r="F477" t="s">
        <v>824</v>
      </c>
      <c r="G477" t="s">
        <v>51</v>
      </c>
      <c r="H477" t="s">
        <v>89</v>
      </c>
      <c r="I477" t="s">
        <v>194</v>
      </c>
      <c r="J477" t="s">
        <v>195</v>
      </c>
      <c r="K477">
        <v>806645</v>
      </c>
      <c r="L477" t="s">
        <v>804</v>
      </c>
      <c r="M477" t="s">
        <v>805</v>
      </c>
      <c r="N477" t="s">
        <v>57</v>
      </c>
      <c r="O477" s="1">
        <v>46054</v>
      </c>
      <c r="Q477" s="1">
        <v>46235</v>
      </c>
      <c r="R477" s="2">
        <v>58.24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248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40.770000000000003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46202</v>
      </c>
      <c r="B478" t="s">
        <v>48</v>
      </c>
      <c r="C478">
        <v>649163</v>
      </c>
      <c r="D478">
        <v>2033422324</v>
      </c>
      <c r="E478" t="s">
        <v>639</v>
      </c>
      <c r="F478" t="s">
        <v>640</v>
      </c>
      <c r="G478" t="s">
        <v>51</v>
      </c>
      <c r="H478" t="s">
        <v>404</v>
      </c>
      <c r="I478" t="s">
        <v>194</v>
      </c>
      <c r="J478" t="s">
        <v>195</v>
      </c>
      <c r="K478">
        <v>652037</v>
      </c>
      <c r="L478" t="s">
        <v>55</v>
      </c>
      <c r="M478" t="s">
        <v>252</v>
      </c>
      <c r="N478" t="s">
        <v>57</v>
      </c>
      <c r="O478" s="1">
        <v>46054</v>
      </c>
      <c r="Q478" s="1">
        <v>46235</v>
      </c>
      <c r="R478" s="2">
        <v>23.09</v>
      </c>
      <c r="S478">
        <v>1</v>
      </c>
      <c r="T478" t="s">
        <v>58</v>
      </c>
      <c r="U478" t="s">
        <v>59</v>
      </c>
      <c r="V478" s="3">
        <v>0.7</v>
      </c>
      <c r="W478" s="2">
        <v>0</v>
      </c>
      <c r="X478">
        <v>0</v>
      </c>
      <c r="Y478" t="s">
        <v>60</v>
      </c>
      <c r="Z478" t="s">
        <v>248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16.16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46202</v>
      </c>
      <c r="B479" t="s">
        <v>48</v>
      </c>
      <c r="C479">
        <v>649163</v>
      </c>
      <c r="D479">
        <v>2033422850</v>
      </c>
      <c r="E479" t="s">
        <v>556</v>
      </c>
      <c r="F479" t="s">
        <v>557</v>
      </c>
      <c r="G479" t="s">
        <v>51</v>
      </c>
      <c r="H479" t="s">
        <v>89</v>
      </c>
      <c r="I479" t="s">
        <v>194</v>
      </c>
      <c r="J479" t="s">
        <v>195</v>
      </c>
      <c r="K479">
        <v>823350</v>
      </c>
      <c r="L479" t="s">
        <v>113</v>
      </c>
      <c r="M479" t="s">
        <v>114</v>
      </c>
      <c r="N479" t="s">
        <v>57</v>
      </c>
      <c r="O479" s="1">
        <v>46055</v>
      </c>
      <c r="Q479" s="1">
        <v>46236</v>
      </c>
      <c r="R479" s="2">
        <v>101.28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248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70.900000000000006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46202</v>
      </c>
      <c r="B480" t="s">
        <v>48</v>
      </c>
      <c r="C480">
        <v>649163</v>
      </c>
      <c r="D480">
        <v>2033431243</v>
      </c>
      <c r="E480" t="s">
        <v>558</v>
      </c>
      <c r="F480" t="s">
        <v>559</v>
      </c>
      <c r="G480" t="s">
        <v>51</v>
      </c>
      <c r="H480" t="s">
        <v>146</v>
      </c>
      <c r="I480" t="s">
        <v>194</v>
      </c>
      <c r="J480" t="s">
        <v>203</v>
      </c>
      <c r="K480">
        <v>902625</v>
      </c>
      <c r="L480" t="s">
        <v>147</v>
      </c>
      <c r="M480" t="s">
        <v>148</v>
      </c>
      <c r="N480" t="s">
        <v>57</v>
      </c>
      <c r="O480" s="1">
        <v>46054</v>
      </c>
      <c r="Q480" s="1">
        <v>46235</v>
      </c>
      <c r="R480" s="2">
        <v>24.61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248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17.23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46202</v>
      </c>
      <c r="B481" t="s">
        <v>48</v>
      </c>
      <c r="C481">
        <v>649163</v>
      </c>
      <c r="D481">
        <v>2033437427</v>
      </c>
      <c r="E481" t="s">
        <v>825</v>
      </c>
      <c r="F481" t="s">
        <v>826</v>
      </c>
      <c r="G481" t="s">
        <v>51</v>
      </c>
      <c r="H481" t="s">
        <v>94</v>
      </c>
      <c r="I481" t="s">
        <v>194</v>
      </c>
      <c r="J481" t="s">
        <v>195</v>
      </c>
      <c r="K481">
        <v>824082</v>
      </c>
      <c r="L481" t="s">
        <v>129</v>
      </c>
      <c r="M481" t="s">
        <v>130</v>
      </c>
      <c r="N481" t="s">
        <v>57</v>
      </c>
      <c r="O481" s="1">
        <v>46055</v>
      </c>
      <c r="Q481" s="1">
        <v>46236</v>
      </c>
      <c r="R481" s="2">
        <v>9.6999999999999993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248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6.79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46202</v>
      </c>
      <c r="B482" t="s">
        <v>48</v>
      </c>
      <c r="C482">
        <v>649163</v>
      </c>
      <c r="D482">
        <v>2033478392</v>
      </c>
      <c r="E482" t="s">
        <v>560</v>
      </c>
      <c r="F482" t="s">
        <v>156</v>
      </c>
      <c r="G482" t="s">
        <v>51</v>
      </c>
      <c r="H482" t="s">
        <v>200</v>
      </c>
      <c r="I482" t="s">
        <v>194</v>
      </c>
      <c r="J482" t="s">
        <v>195</v>
      </c>
      <c r="K482">
        <v>942810</v>
      </c>
      <c r="L482" t="s">
        <v>505</v>
      </c>
      <c r="M482" t="s">
        <v>506</v>
      </c>
      <c r="N482" t="s">
        <v>57</v>
      </c>
      <c r="O482" s="1">
        <v>46058</v>
      </c>
      <c r="Q482" s="1">
        <v>46239</v>
      </c>
      <c r="R482" s="2">
        <v>36.76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248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25.73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46202</v>
      </c>
      <c r="B483" t="s">
        <v>48</v>
      </c>
      <c r="C483">
        <v>649163</v>
      </c>
      <c r="D483">
        <v>2033539482</v>
      </c>
      <c r="E483" t="s">
        <v>827</v>
      </c>
      <c r="F483" t="s">
        <v>828</v>
      </c>
      <c r="G483" t="s">
        <v>51</v>
      </c>
      <c r="H483" t="s">
        <v>311</v>
      </c>
      <c r="I483" t="s">
        <v>194</v>
      </c>
      <c r="J483" t="s">
        <v>217</v>
      </c>
      <c r="K483">
        <v>902625</v>
      </c>
      <c r="L483" t="s">
        <v>147</v>
      </c>
      <c r="M483" t="s">
        <v>148</v>
      </c>
      <c r="N483" t="s">
        <v>57</v>
      </c>
      <c r="O483" s="1">
        <v>46081</v>
      </c>
      <c r="Q483" s="1">
        <v>46231</v>
      </c>
      <c r="R483" s="2">
        <v>51.63</v>
      </c>
      <c r="S483">
        <v>1</v>
      </c>
      <c r="T483" t="s">
        <v>58</v>
      </c>
      <c r="U483" t="s">
        <v>59</v>
      </c>
      <c r="V483" s="3">
        <v>0.9</v>
      </c>
      <c r="W483" s="2">
        <v>0</v>
      </c>
      <c r="X483">
        <v>0</v>
      </c>
      <c r="Y483" t="s">
        <v>60</v>
      </c>
      <c r="Z483" t="s">
        <v>248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46.47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46202</v>
      </c>
      <c r="B484" t="s">
        <v>48</v>
      </c>
      <c r="C484">
        <v>649163</v>
      </c>
      <c r="D484">
        <v>2033539484</v>
      </c>
      <c r="E484" t="s">
        <v>827</v>
      </c>
      <c r="F484" t="s">
        <v>828</v>
      </c>
      <c r="G484" t="s">
        <v>51</v>
      </c>
      <c r="H484" t="s">
        <v>311</v>
      </c>
      <c r="I484" t="s">
        <v>194</v>
      </c>
      <c r="J484" t="s">
        <v>195</v>
      </c>
      <c r="K484">
        <v>902625</v>
      </c>
      <c r="L484" t="s">
        <v>147</v>
      </c>
      <c r="M484" t="s">
        <v>148</v>
      </c>
      <c r="N484" t="s">
        <v>57</v>
      </c>
      <c r="O484" s="1">
        <v>46081</v>
      </c>
      <c r="Q484" s="1">
        <v>46231</v>
      </c>
      <c r="R484" s="2">
        <v>9.0399999999999991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248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6.33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46202</v>
      </c>
      <c r="B485" t="s">
        <v>48</v>
      </c>
      <c r="C485">
        <v>649163</v>
      </c>
      <c r="D485">
        <v>2033572209</v>
      </c>
      <c r="E485" t="s">
        <v>643</v>
      </c>
      <c r="F485" t="s">
        <v>644</v>
      </c>
      <c r="G485" t="s">
        <v>51</v>
      </c>
      <c r="H485" t="s">
        <v>311</v>
      </c>
      <c r="I485" t="s">
        <v>194</v>
      </c>
      <c r="J485" t="s">
        <v>217</v>
      </c>
      <c r="K485">
        <v>902625</v>
      </c>
      <c r="L485" t="s">
        <v>147</v>
      </c>
      <c r="M485" t="s">
        <v>148</v>
      </c>
      <c r="N485" t="s">
        <v>57</v>
      </c>
      <c r="O485" s="1">
        <v>46063</v>
      </c>
      <c r="Q485" s="1">
        <v>46213</v>
      </c>
      <c r="R485" s="2">
        <v>47.37</v>
      </c>
      <c r="S485">
        <v>1</v>
      </c>
      <c r="T485" t="s">
        <v>58</v>
      </c>
      <c r="U485" t="s">
        <v>59</v>
      </c>
      <c r="V485" s="3">
        <v>0.9</v>
      </c>
      <c r="W485" s="2">
        <v>0</v>
      </c>
      <c r="X485">
        <v>0</v>
      </c>
      <c r="Y485" t="s">
        <v>60</v>
      </c>
      <c r="Z485" t="s">
        <v>248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42.63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46202</v>
      </c>
      <c r="B486" t="s">
        <v>48</v>
      </c>
      <c r="C486">
        <v>649163</v>
      </c>
      <c r="D486">
        <v>2033607472</v>
      </c>
      <c r="E486" t="s">
        <v>598</v>
      </c>
      <c r="F486" t="s">
        <v>529</v>
      </c>
      <c r="G486" t="s">
        <v>51</v>
      </c>
      <c r="H486" t="s">
        <v>124</v>
      </c>
      <c r="I486" t="s">
        <v>194</v>
      </c>
      <c r="J486" t="s">
        <v>217</v>
      </c>
      <c r="K486">
        <v>753748</v>
      </c>
      <c r="L486" t="s">
        <v>358</v>
      </c>
      <c r="M486" t="s">
        <v>359</v>
      </c>
      <c r="N486" t="s">
        <v>57</v>
      </c>
      <c r="O486" s="1">
        <v>46082</v>
      </c>
      <c r="Q486" s="1">
        <v>46235</v>
      </c>
      <c r="R486" s="2">
        <v>64</v>
      </c>
      <c r="S486">
        <v>1</v>
      </c>
      <c r="T486" t="s">
        <v>58</v>
      </c>
      <c r="U486" t="s">
        <v>59</v>
      </c>
      <c r="V486" s="3">
        <v>0.9</v>
      </c>
      <c r="W486" s="2">
        <v>0</v>
      </c>
      <c r="X486">
        <v>0</v>
      </c>
      <c r="Y486" t="s">
        <v>60</v>
      </c>
      <c r="Z486" t="s">
        <v>248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57.6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46202</v>
      </c>
      <c r="B487" t="s">
        <v>48</v>
      </c>
      <c r="C487">
        <v>649163</v>
      </c>
      <c r="D487">
        <v>2033607472</v>
      </c>
      <c r="E487" t="s">
        <v>598</v>
      </c>
      <c r="F487" t="s">
        <v>529</v>
      </c>
      <c r="G487" t="s">
        <v>51</v>
      </c>
      <c r="H487" t="s">
        <v>124</v>
      </c>
      <c r="I487" t="s">
        <v>194</v>
      </c>
      <c r="J487" t="s">
        <v>217</v>
      </c>
      <c r="K487">
        <v>753748</v>
      </c>
      <c r="L487" t="s">
        <v>358</v>
      </c>
      <c r="M487" t="s">
        <v>359</v>
      </c>
      <c r="N487" t="s">
        <v>57</v>
      </c>
      <c r="O487" s="1">
        <v>46082</v>
      </c>
      <c r="Q487" s="1">
        <v>46235</v>
      </c>
      <c r="R487" s="2">
        <v>64</v>
      </c>
      <c r="S487">
        <v>1</v>
      </c>
      <c r="T487" t="s">
        <v>58</v>
      </c>
      <c r="U487" t="s">
        <v>59</v>
      </c>
      <c r="V487" s="3">
        <v>0.9</v>
      </c>
      <c r="W487" s="2">
        <v>0</v>
      </c>
      <c r="X487">
        <v>0</v>
      </c>
      <c r="Y487" t="s">
        <v>60</v>
      </c>
      <c r="Z487" t="s">
        <v>248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57.6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46202</v>
      </c>
      <c r="B488" t="s">
        <v>48</v>
      </c>
      <c r="C488">
        <v>649163</v>
      </c>
      <c r="D488">
        <v>2033627527</v>
      </c>
      <c r="E488" t="s">
        <v>829</v>
      </c>
      <c r="F488" t="s">
        <v>355</v>
      </c>
      <c r="G488" t="s">
        <v>51</v>
      </c>
      <c r="H488" t="s">
        <v>185</v>
      </c>
      <c r="I488" t="s">
        <v>194</v>
      </c>
      <c r="J488" t="s">
        <v>195</v>
      </c>
      <c r="K488">
        <v>751867</v>
      </c>
      <c r="L488" t="s">
        <v>272</v>
      </c>
      <c r="M488" t="s">
        <v>209</v>
      </c>
      <c r="N488" t="s">
        <v>57</v>
      </c>
      <c r="O488" s="1">
        <v>46082</v>
      </c>
      <c r="Q488" s="1">
        <v>46235</v>
      </c>
      <c r="R488" s="2">
        <v>92.08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248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64.459999999999994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46202</v>
      </c>
      <c r="B489" t="s">
        <v>48</v>
      </c>
      <c r="C489">
        <v>649163</v>
      </c>
      <c r="D489">
        <v>2033915513</v>
      </c>
      <c r="E489" t="s">
        <v>830</v>
      </c>
      <c r="F489" t="s">
        <v>431</v>
      </c>
      <c r="G489" t="s">
        <v>51</v>
      </c>
      <c r="H489" t="s">
        <v>89</v>
      </c>
      <c r="I489" t="s">
        <v>194</v>
      </c>
      <c r="J489" t="s">
        <v>195</v>
      </c>
      <c r="K489">
        <v>823350</v>
      </c>
      <c r="L489" t="s">
        <v>113</v>
      </c>
      <c r="M489" t="s">
        <v>114</v>
      </c>
      <c r="N489" t="s">
        <v>257</v>
      </c>
      <c r="O489" s="1">
        <v>46082</v>
      </c>
      <c r="P489" s="1">
        <v>46202</v>
      </c>
      <c r="Q489" s="1">
        <v>46204</v>
      </c>
      <c r="R489" s="2">
        <v>-22.38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-1</v>
      </c>
      <c r="Y489" t="s">
        <v>60</v>
      </c>
      <c r="Z489" t="s">
        <v>248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-15.67</v>
      </c>
      <c r="AN489" s="2">
        <v>-15.67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46202</v>
      </c>
      <c r="B490" t="s">
        <v>48</v>
      </c>
      <c r="C490">
        <v>649163</v>
      </c>
      <c r="D490">
        <v>2033944262</v>
      </c>
      <c r="E490" t="s">
        <v>831</v>
      </c>
      <c r="F490" t="s">
        <v>832</v>
      </c>
      <c r="G490" t="s">
        <v>51</v>
      </c>
      <c r="H490" t="s">
        <v>89</v>
      </c>
      <c r="I490" t="s">
        <v>194</v>
      </c>
      <c r="J490" t="s">
        <v>195</v>
      </c>
      <c r="K490">
        <v>807212</v>
      </c>
      <c r="L490" t="s">
        <v>811</v>
      </c>
      <c r="M490" t="s">
        <v>812</v>
      </c>
      <c r="N490" t="s">
        <v>57</v>
      </c>
      <c r="O490" s="1">
        <v>46080</v>
      </c>
      <c r="Q490" s="1">
        <v>46230</v>
      </c>
      <c r="R490" s="2">
        <v>76.709999999999994</v>
      </c>
      <c r="S490">
        <v>1</v>
      </c>
      <c r="T490" t="s">
        <v>58</v>
      </c>
      <c r="U490" t="s">
        <v>59</v>
      </c>
      <c r="V490" s="3">
        <v>0.7</v>
      </c>
      <c r="W490" s="2">
        <v>0</v>
      </c>
      <c r="X490">
        <v>0</v>
      </c>
      <c r="Y490" t="s">
        <v>60</v>
      </c>
      <c r="Z490" t="s">
        <v>248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53.7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46202</v>
      </c>
      <c r="B491" t="s">
        <v>48</v>
      </c>
      <c r="C491">
        <v>649163</v>
      </c>
      <c r="D491">
        <v>2033944263</v>
      </c>
      <c r="E491" t="s">
        <v>831</v>
      </c>
      <c r="F491" t="s">
        <v>832</v>
      </c>
      <c r="G491" t="s">
        <v>51</v>
      </c>
      <c r="H491" t="s">
        <v>89</v>
      </c>
      <c r="I491" t="s">
        <v>194</v>
      </c>
      <c r="J491" t="s">
        <v>217</v>
      </c>
      <c r="K491">
        <v>807212</v>
      </c>
      <c r="L491" t="s">
        <v>811</v>
      </c>
      <c r="M491" t="s">
        <v>812</v>
      </c>
      <c r="N491" t="s">
        <v>57</v>
      </c>
      <c r="O491" s="1">
        <v>46080</v>
      </c>
      <c r="Q491" s="1">
        <v>46230</v>
      </c>
      <c r="R491" s="2">
        <v>20.55</v>
      </c>
      <c r="S491">
        <v>1</v>
      </c>
      <c r="T491" t="s">
        <v>58</v>
      </c>
      <c r="U491" t="s">
        <v>59</v>
      </c>
      <c r="V491" s="3">
        <v>0.9</v>
      </c>
      <c r="W491" s="2">
        <v>0</v>
      </c>
      <c r="X491">
        <v>0</v>
      </c>
      <c r="Y491" t="s">
        <v>60</v>
      </c>
      <c r="Z491" t="s">
        <v>248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18.5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46202</v>
      </c>
      <c r="B492" t="s">
        <v>48</v>
      </c>
      <c r="C492">
        <v>649163</v>
      </c>
      <c r="D492">
        <v>2033957114</v>
      </c>
      <c r="E492" t="s">
        <v>368</v>
      </c>
      <c r="F492" t="s">
        <v>561</v>
      </c>
      <c r="G492" t="s">
        <v>51</v>
      </c>
      <c r="H492" t="s">
        <v>89</v>
      </c>
      <c r="I492" t="s">
        <v>194</v>
      </c>
      <c r="J492" t="s">
        <v>195</v>
      </c>
      <c r="K492">
        <v>768887</v>
      </c>
      <c r="L492" t="s">
        <v>368</v>
      </c>
      <c r="M492" t="s">
        <v>369</v>
      </c>
      <c r="N492" t="s">
        <v>57</v>
      </c>
      <c r="O492" s="1">
        <v>46080</v>
      </c>
      <c r="Q492" s="1">
        <v>46230</v>
      </c>
      <c r="R492" s="2">
        <v>39.35</v>
      </c>
      <c r="S492">
        <v>1</v>
      </c>
      <c r="T492" t="s">
        <v>58</v>
      </c>
      <c r="U492" t="s">
        <v>59</v>
      </c>
      <c r="V492" s="3">
        <v>0.7</v>
      </c>
      <c r="W492" s="2">
        <v>0</v>
      </c>
      <c r="X492">
        <v>0</v>
      </c>
      <c r="Y492" t="s">
        <v>60</v>
      </c>
      <c r="Z492" t="s">
        <v>248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27.54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46202</v>
      </c>
      <c r="B493" t="s">
        <v>48</v>
      </c>
      <c r="C493">
        <v>649163</v>
      </c>
      <c r="D493">
        <v>2033957887</v>
      </c>
      <c r="E493" t="s">
        <v>615</v>
      </c>
      <c r="F493" t="s">
        <v>616</v>
      </c>
      <c r="G493" t="s">
        <v>51</v>
      </c>
      <c r="H493" t="s">
        <v>89</v>
      </c>
      <c r="I493" t="s">
        <v>194</v>
      </c>
      <c r="J493" t="s">
        <v>217</v>
      </c>
      <c r="K493">
        <v>812994</v>
      </c>
      <c r="L493" t="s">
        <v>615</v>
      </c>
      <c r="M493" t="s">
        <v>616</v>
      </c>
      <c r="N493" t="s">
        <v>57</v>
      </c>
      <c r="O493" s="1">
        <v>46080</v>
      </c>
      <c r="Q493" s="1">
        <v>46230</v>
      </c>
      <c r="R493" s="2">
        <v>27.85</v>
      </c>
      <c r="S493">
        <v>1</v>
      </c>
      <c r="T493" t="s">
        <v>58</v>
      </c>
      <c r="U493" t="s">
        <v>59</v>
      </c>
      <c r="V493" s="3">
        <v>0.9</v>
      </c>
      <c r="W493" s="2">
        <v>0</v>
      </c>
      <c r="X493">
        <v>0</v>
      </c>
      <c r="Y493" t="s">
        <v>60</v>
      </c>
      <c r="Z493" t="s">
        <v>248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25.06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46202</v>
      </c>
      <c r="B494" t="s">
        <v>48</v>
      </c>
      <c r="C494">
        <v>649163</v>
      </c>
      <c r="D494">
        <v>2033991827</v>
      </c>
      <c r="E494" t="s">
        <v>562</v>
      </c>
      <c r="F494" t="s">
        <v>478</v>
      </c>
      <c r="G494" t="s">
        <v>51</v>
      </c>
      <c r="H494" t="s">
        <v>200</v>
      </c>
      <c r="I494" t="s">
        <v>194</v>
      </c>
      <c r="J494" t="s">
        <v>195</v>
      </c>
      <c r="K494">
        <v>877790</v>
      </c>
      <c r="L494" t="s">
        <v>563</v>
      </c>
      <c r="M494" t="s">
        <v>564</v>
      </c>
      <c r="N494" t="s">
        <v>57</v>
      </c>
      <c r="O494" s="1">
        <v>46081</v>
      </c>
      <c r="Q494" s="1">
        <v>46231</v>
      </c>
      <c r="R494" s="2">
        <v>10.18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248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7.13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46202</v>
      </c>
      <c r="B495" t="s">
        <v>48</v>
      </c>
      <c r="C495">
        <v>649163</v>
      </c>
      <c r="D495">
        <v>2034373766</v>
      </c>
      <c r="E495" t="s">
        <v>565</v>
      </c>
      <c r="F495" t="s">
        <v>566</v>
      </c>
      <c r="G495" t="s">
        <v>51</v>
      </c>
      <c r="H495" t="s">
        <v>89</v>
      </c>
      <c r="I495" t="s">
        <v>194</v>
      </c>
      <c r="J495" t="s">
        <v>195</v>
      </c>
      <c r="K495">
        <v>824062</v>
      </c>
      <c r="L495" t="s">
        <v>90</v>
      </c>
      <c r="M495" t="s">
        <v>91</v>
      </c>
      <c r="N495" t="s">
        <v>57</v>
      </c>
      <c r="O495" s="1">
        <v>46140</v>
      </c>
      <c r="Q495" s="1">
        <v>46231</v>
      </c>
      <c r="R495" s="2">
        <v>19</v>
      </c>
      <c r="S495">
        <v>1</v>
      </c>
      <c r="T495" t="s">
        <v>58</v>
      </c>
      <c r="U495" t="s">
        <v>59</v>
      </c>
      <c r="V495" s="3">
        <v>0.7</v>
      </c>
      <c r="W495" s="2">
        <v>0</v>
      </c>
      <c r="X495">
        <v>0</v>
      </c>
      <c r="Y495" t="s">
        <v>60</v>
      </c>
      <c r="Z495" t="s">
        <v>248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13.3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46202</v>
      </c>
      <c r="B496" t="s">
        <v>48</v>
      </c>
      <c r="C496">
        <v>649163</v>
      </c>
      <c r="D496">
        <v>2034384125</v>
      </c>
      <c r="E496" t="s">
        <v>833</v>
      </c>
      <c r="F496" t="s">
        <v>335</v>
      </c>
      <c r="G496" t="s">
        <v>51</v>
      </c>
      <c r="H496" t="s">
        <v>68</v>
      </c>
      <c r="I496" t="s">
        <v>194</v>
      </c>
      <c r="J496" t="s">
        <v>195</v>
      </c>
      <c r="K496">
        <v>824062</v>
      </c>
      <c r="L496" t="s">
        <v>90</v>
      </c>
      <c r="M496" t="s">
        <v>91</v>
      </c>
      <c r="N496" t="s">
        <v>57</v>
      </c>
      <c r="O496" s="1">
        <v>46107</v>
      </c>
      <c r="Q496" s="1">
        <v>46229</v>
      </c>
      <c r="R496" s="2">
        <v>19.46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248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13.62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46202</v>
      </c>
      <c r="B497" t="s">
        <v>48</v>
      </c>
      <c r="C497">
        <v>649163</v>
      </c>
      <c r="D497">
        <v>2034574491</v>
      </c>
      <c r="E497" t="s">
        <v>568</v>
      </c>
      <c r="F497" t="s">
        <v>254</v>
      </c>
      <c r="G497" t="s">
        <v>51</v>
      </c>
      <c r="H497" t="s">
        <v>89</v>
      </c>
      <c r="I497" t="s">
        <v>194</v>
      </c>
      <c r="J497" t="s">
        <v>195</v>
      </c>
      <c r="K497">
        <v>813184</v>
      </c>
      <c r="L497" t="s">
        <v>398</v>
      </c>
      <c r="M497" t="s">
        <v>399</v>
      </c>
      <c r="N497" t="s">
        <v>57</v>
      </c>
      <c r="O497" s="1">
        <v>46108</v>
      </c>
      <c r="Q497" s="1">
        <v>46230</v>
      </c>
      <c r="R497" s="2">
        <v>28.9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248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20.23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46202</v>
      </c>
      <c r="B498" t="s">
        <v>48</v>
      </c>
      <c r="C498">
        <v>649163</v>
      </c>
      <c r="D498">
        <v>2034650906</v>
      </c>
      <c r="E498" t="s">
        <v>705</v>
      </c>
      <c r="F498" t="s">
        <v>834</v>
      </c>
      <c r="G498" t="s">
        <v>51</v>
      </c>
      <c r="H498" t="s">
        <v>68</v>
      </c>
      <c r="I498" t="s">
        <v>194</v>
      </c>
      <c r="J498" t="s">
        <v>195</v>
      </c>
      <c r="K498">
        <v>956422</v>
      </c>
      <c r="L498" t="s">
        <v>741</v>
      </c>
      <c r="M498" t="s">
        <v>65</v>
      </c>
      <c r="N498" t="s">
        <v>57</v>
      </c>
      <c r="O498" s="1">
        <v>46112</v>
      </c>
      <c r="Q498" s="1">
        <v>46233</v>
      </c>
      <c r="R498" s="2">
        <v>14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248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9.8000000000000007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46202</v>
      </c>
      <c r="B499" t="s">
        <v>48</v>
      </c>
      <c r="C499">
        <v>649163</v>
      </c>
      <c r="D499">
        <v>2034671435</v>
      </c>
      <c r="E499" t="s">
        <v>569</v>
      </c>
      <c r="F499" t="s">
        <v>570</v>
      </c>
      <c r="G499" t="s">
        <v>51</v>
      </c>
      <c r="H499" t="s">
        <v>200</v>
      </c>
      <c r="I499" t="s">
        <v>194</v>
      </c>
      <c r="J499" t="s">
        <v>195</v>
      </c>
      <c r="K499">
        <v>942810</v>
      </c>
      <c r="L499" t="s">
        <v>505</v>
      </c>
      <c r="M499" t="s">
        <v>506</v>
      </c>
      <c r="N499" t="s">
        <v>57</v>
      </c>
      <c r="O499" s="1">
        <v>46108</v>
      </c>
      <c r="Q499" s="1">
        <v>46230</v>
      </c>
      <c r="R499" s="2">
        <v>37.700000000000003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248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26.39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46202</v>
      </c>
      <c r="B500" t="s">
        <v>48</v>
      </c>
      <c r="C500">
        <v>649163</v>
      </c>
      <c r="D500">
        <v>2035007569</v>
      </c>
      <c r="E500" t="s">
        <v>835</v>
      </c>
      <c r="F500" t="s">
        <v>836</v>
      </c>
      <c r="G500" t="s">
        <v>51</v>
      </c>
      <c r="H500" t="s">
        <v>94</v>
      </c>
      <c r="I500" t="s">
        <v>194</v>
      </c>
      <c r="J500" t="s">
        <v>203</v>
      </c>
      <c r="K500">
        <v>959267</v>
      </c>
      <c r="L500" t="s">
        <v>837</v>
      </c>
      <c r="M500" t="s">
        <v>838</v>
      </c>
      <c r="N500" t="s">
        <v>257</v>
      </c>
      <c r="O500" s="1">
        <v>46131</v>
      </c>
      <c r="P500" s="1">
        <v>46202</v>
      </c>
      <c r="Q500" s="1">
        <v>46222</v>
      </c>
      <c r="R500" s="2">
        <v>-16.07</v>
      </c>
      <c r="S500">
        <v>1</v>
      </c>
      <c r="T500" t="s">
        <v>58</v>
      </c>
      <c r="U500" t="s">
        <v>59</v>
      </c>
      <c r="V500" s="3">
        <v>0.7</v>
      </c>
      <c r="W500" s="2">
        <v>0</v>
      </c>
      <c r="X500">
        <v>-1</v>
      </c>
      <c r="Y500" t="s">
        <v>60</v>
      </c>
      <c r="Z500" t="s">
        <v>248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-11.25</v>
      </c>
      <c r="AN500" s="2">
        <v>-11.25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46202</v>
      </c>
      <c r="B501" t="s">
        <v>48</v>
      </c>
      <c r="C501">
        <v>649163</v>
      </c>
      <c r="D501">
        <v>2035095473</v>
      </c>
      <c r="E501" t="s">
        <v>571</v>
      </c>
      <c r="F501" t="s">
        <v>572</v>
      </c>
      <c r="G501" t="s">
        <v>51</v>
      </c>
      <c r="H501" t="s">
        <v>94</v>
      </c>
      <c r="I501" t="s">
        <v>194</v>
      </c>
      <c r="J501" t="s">
        <v>195</v>
      </c>
      <c r="K501">
        <v>824082</v>
      </c>
      <c r="L501" t="s">
        <v>129</v>
      </c>
      <c r="M501" t="s">
        <v>130</v>
      </c>
      <c r="N501" t="s">
        <v>257</v>
      </c>
      <c r="O501" s="1">
        <v>46143</v>
      </c>
      <c r="P501" s="1">
        <v>46202</v>
      </c>
      <c r="Q501" s="1">
        <v>46204</v>
      </c>
      <c r="R501" s="2">
        <v>-2.2599999999999998</v>
      </c>
      <c r="S501">
        <v>1</v>
      </c>
      <c r="T501" t="s">
        <v>58</v>
      </c>
      <c r="U501" t="s">
        <v>59</v>
      </c>
      <c r="V501" s="3">
        <v>0.7</v>
      </c>
      <c r="W501" s="2">
        <v>0</v>
      </c>
      <c r="X501">
        <v>-1</v>
      </c>
      <c r="Y501" t="s">
        <v>60</v>
      </c>
      <c r="Z501" t="s">
        <v>248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-1.58</v>
      </c>
      <c r="AN501" s="2">
        <v>-1.58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46202</v>
      </c>
      <c r="B502" t="s">
        <v>48</v>
      </c>
      <c r="C502">
        <v>649163</v>
      </c>
      <c r="D502">
        <v>2035155179</v>
      </c>
      <c r="E502" t="s">
        <v>839</v>
      </c>
      <c r="F502" t="s">
        <v>478</v>
      </c>
      <c r="G502" t="s">
        <v>51</v>
      </c>
      <c r="H502" t="s">
        <v>89</v>
      </c>
      <c r="I502" t="s">
        <v>194</v>
      </c>
      <c r="J502" t="s">
        <v>195</v>
      </c>
      <c r="K502">
        <v>813184</v>
      </c>
      <c r="L502" t="s">
        <v>398</v>
      </c>
      <c r="M502" t="s">
        <v>399</v>
      </c>
      <c r="N502" t="s">
        <v>57</v>
      </c>
      <c r="O502" s="1">
        <v>46141</v>
      </c>
      <c r="Q502" s="1">
        <v>46232</v>
      </c>
      <c r="R502" s="2">
        <v>37.18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248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26.03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46202</v>
      </c>
      <c r="B503" t="s">
        <v>48</v>
      </c>
      <c r="C503">
        <v>649163</v>
      </c>
      <c r="D503">
        <v>2035157477</v>
      </c>
      <c r="E503" t="s">
        <v>840</v>
      </c>
      <c r="F503" t="s">
        <v>841</v>
      </c>
      <c r="G503" t="s">
        <v>51</v>
      </c>
      <c r="H503" t="s">
        <v>89</v>
      </c>
      <c r="I503" t="s">
        <v>194</v>
      </c>
      <c r="J503" t="s">
        <v>195</v>
      </c>
      <c r="K503">
        <v>807212</v>
      </c>
      <c r="L503" t="s">
        <v>811</v>
      </c>
      <c r="M503" t="s">
        <v>812</v>
      </c>
      <c r="N503" t="s">
        <v>57</v>
      </c>
      <c r="O503" s="1">
        <v>46140</v>
      </c>
      <c r="Q503" s="1">
        <v>46231</v>
      </c>
      <c r="R503" s="2">
        <v>28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248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19.600000000000001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46202</v>
      </c>
      <c r="B504" t="s">
        <v>48</v>
      </c>
      <c r="C504">
        <v>649163</v>
      </c>
      <c r="D504">
        <v>2035178353</v>
      </c>
      <c r="E504" t="s">
        <v>573</v>
      </c>
      <c r="F504" t="s">
        <v>209</v>
      </c>
      <c r="G504" t="s">
        <v>51</v>
      </c>
      <c r="H504" t="s">
        <v>100</v>
      </c>
      <c r="I504" t="s">
        <v>194</v>
      </c>
      <c r="J504" t="s">
        <v>195</v>
      </c>
      <c r="K504">
        <v>878036</v>
      </c>
      <c r="L504" t="s">
        <v>220</v>
      </c>
      <c r="M504" t="s">
        <v>221</v>
      </c>
      <c r="N504" t="s">
        <v>57</v>
      </c>
      <c r="O504" s="1">
        <v>46141</v>
      </c>
      <c r="Q504" s="1">
        <v>46232</v>
      </c>
      <c r="R504" s="2">
        <v>42.36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248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29.65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46202</v>
      </c>
      <c r="B505" t="s">
        <v>48</v>
      </c>
      <c r="C505">
        <v>649163</v>
      </c>
      <c r="D505">
        <v>2035178354</v>
      </c>
      <c r="E505" t="s">
        <v>573</v>
      </c>
      <c r="F505" t="s">
        <v>209</v>
      </c>
      <c r="G505" t="s">
        <v>51</v>
      </c>
      <c r="H505" t="s">
        <v>100</v>
      </c>
      <c r="I505" t="s">
        <v>194</v>
      </c>
      <c r="J505" t="s">
        <v>217</v>
      </c>
      <c r="K505">
        <v>878036</v>
      </c>
      <c r="L505" t="s">
        <v>220</v>
      </c>
      <c r="M505" t="s">
        <v>221</v>
      </c>
      <c r="N505" t="s">
        <v>57</v>
      </c>
      <c r="O505" s="1">
        <v>46141</v>
      </c>
      <c r="Q505" s="1">
        <v>46232</v>
      </c>
      <c r="R505" s="2">
        <v>23.95</v>
      </c>
      <c r="S505">
        <v>1</v>
      </c>
      <c r="T505" t="s">
        <v>58</v>
      </c>
      <c r="U505" t="s">
        <v>59</v>
      </c>
      <c r="V505" s="3">
        <v>0.9</v>
      </c>
      <c r="W505" s="2">
        <v>0</v>
      </c>
      <c r="X505">
        <v>0</v>
      </c>
      <c r="Y505" t="s">
        <v>60</v>
      </c>
      <c r="Z505" t="s">
        <v>248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21.56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46202</v>
      </c>
      <c r="B506" t="s">
        <v>48</v>
      </c>
      <c r="C506">
        <v>649163</v>
      </c>
      <c r="D506">
        <v>2035186773</v>
      </c>
      <c r="E506" t="s">
        <v>842</v>
      </c>
      <c r="F506" t="s">
        <v>291</v>
      </c>
      <c r="G506" t="s">
        <v>51</v>
      </c>
      <c r="H506" t="s">
        <v>146</v>
      </c>
      <c r="I506" t="s">
        <v>194</v>
      </c>
      <c r="J506" t="s">
        <v>203</v>
      </c>
      <c r="K506">
        <v>883288</v>
      </c>
      <c r="L506" t="s">
        <v>843</v>
      </c>
      <c r="M506" t="s">
        <v>305</v>
      </c>
      <c r="N506" t="s">
        <v>57</v>
      </c>
      <c r="O506" s="1">
        <v>46142</v>
      </c>
      <c r="Q506" s="1">
        <v>46233</v>
      </c>
      <c r="R506" s="2">
        <v>24.61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0</v>
      </c>
      <c r="Y506" t="s">
        <v>60</v>
      </c>
      <c r="Z506" t="s">
        <v>248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17.23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46202</v>
      </c>
      <c r="B507" t="s">
        <v>48</v>
      </c>
      <c r="C507">
        <v>649163</v>
      </c>
      <c r="D507">
        <v>2035194149</v>
      </c>
      <c r="E507" t="s">
        <v>671</v>
      </c>
      <c r="F507" t="s">
        <v>844</v>
      </c>
      <c r="G507" t="s">
        <v>51</v>
      </c>
      <c r="H507" t="s">
        <v>146</v>
      </c>
      <c r="I507" t="s">
        <v>194</v>
      </c>
      <c r="J507" t="s">
        <v>203</v>
      </c>
      <c r="K507">
        <v>883288</v>
      </c>
      <c r="L507" t="s">
        <v>843</v>
      </c>
      <c r="M507" t="s">
        <v>305</v>
      </c>
      <c r="N507" t="s">
        <v>57</v>
      </c>
      <c r="O507" s="1">
        <v>46142</v>
      </c>
      <c r="Q507" s="1">
        <v>46233</v>
      </c>
      <c r="R507" s="2">
        <v>24.61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248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17.23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46202</v>
      </c>
      <c r="B508" t="s">
        <v>48</v>
      </c>
      <c r="C508">
        <v>649163</v>
      </c>
      <c r="D508">
        <v>2035201717</v>
      </c>
      <c r="E508" t="s">
        <v>651</v>
      </c>
      <c r="F508" t="s">
        <v>132</v>
      </c>
      <c r="G508" t="s">
        <v>51</v>
      </c>
      <c r="H508" t="s">
        <v>89</v>
      </c>
      <c r="I508" t="s">
        <v>194</v>
      </c>
      <c r="J508" t="s">
        <v>195</v>
      </c>
      <c r="K508">
        <v>812656</v>
      </c>
      <c r="L508" t="s">
        <v>186</v>
      </c>
      <c r="M508" t="s">
        <v>187</v>
      </c>
      <c r="N508" t="s">
        <v>57</v>
      </c>
      <c r="O508" s="1">
        <v>46142</v>
      </c>
      <c r="Q508" s="1">
        <v>46233</v>
      </c>
      <c r="R508" s="2">
        <v>19</v>
      </c>
      <c r="S508">
        <v>1</v>
      </c>
      <c r="T508" t="s">
        <v>58</v>
      </c>
      <c r="U508" t="s">
        <v>59</v>
      </c>
      <c r="V508" s="3">
        <v>0.7</v>
      </c>
      <c r="W508" s="2">
        <v>0</v>
      </c>
      <c r="X508">
        <v>0</v>
      </c>
      <c r="Y508" t="s">
        <v>60</v>
      </c>
      <c r="Z508" t="s">
        <v>248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13.3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46202</v>
      </c>
      <c r="B509" t="s">
        <v>48</v>
      </c>
      <c r="C509">
        <v>649163</v>
      </c>
      <c r="D509">
        <v>2035532861</v>
      </c>
      <c r="E509" t="s">
        <v>574</v>
      </c>
      <c r="F509" t="s">
        <v>575</v>
      </c>
      <c r="G509" t="s">
        <v>51</v>
      </c>
      <c r="H509" t="s">
        <v>97</v>
      </c>
      <c r="I509" t="s">
        <v>194</v>
      </c>
      <c r="J509" t="s">
        <v>195</v>
      </c>
      <c r="K509">
        <v>673059</v>
      </c>
      <c r="L509" t="s">
        <v>102</v>
      </c>
      <c r="M509" t="s">
        <v>103</v>
      </c>
      <c r="N509" t="s">
        <v>57</v>
      </c>
      <c r="O509" s="1">
        <v>46172</v>
      </c>
      <c r="Q509" s="1">
        <v>46233</v>
      </c>
      <c r="R509" s="2">
        <v>32.92</v>
      </c>
      <c r="S509">
        <v>1</v>
      </c>
      <c r="T509" t="s">
        <v>58</v>
      </c>
      <c r="U509" t="s">
        <v>59</v>
      </c>
      <c r="V509" s="3">
        <v>0.7</v>
      </c>
      <c r="W509" s="2">
        <v>0</v>
      </c>
      <c r="X509">
        <v>0</v>
      </c>
      <c r="Y509" t="s">
        <v>60</v>
      </c>
      <c r="Z509" t="s">
        <v>248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23.04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46202</v>
      </c>
      <c r="B510" t="s">
        <v>48</v>
      </c>
      <c r="C510">
        <v>649163</v>
      </c>
      <c r="D510">
        <v>2035675440</v>
      </c>
      <c r="E510" t="s">
        <v>845</v>
      </c>
      <c r="F510" t="s">
        <v>846</v>
      </c>
      <c r="G510" t="s">
        <v>51</v>
      </c>
      <c r="H510" t="s">
        <v>397</v>
      </c>
      <c r="I510" t="s">
        <v>194</v>
      </c>
      <c r="J510" t="s">
        <v>217</v>
      </c>
      <c r="K510">
        <v>651818</v>
      </c>
      <c r="L510" t="s">
        <v>210</v>
      </c>
      <c r="M510" t="s">
        <v>211</v>
      </c>
      <c r="N510" t="s">
        <v>57</v>
      </c>
      <c r="O510" s="1">
        <v>46169</v>
      </c>
      <c r="Q510" s="1">
        <v>46230</v>
      </c>
      <c r="R510" s="2">
        <v>80.38</v>
      </c>
      <c r="S510">
        <v>1</v>
      </c>
      <c r="T510" t="s">
        <v>58</v>
      </c>
      <c r="U510" t="s">
        <v>59</v>
      </c>
      <c r="V510" s="3">
        <v>0.9</v>
      </c>
      <c r="W510" s="2">
        <v>0</v>
      </c>
      <c r="X510">
        <v>0</v>
      </c>
      <c r="Y510" t="s">
        <v>60</v>
      </c>
      <c r="Z510" t="s">
        <v>248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72.34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46202</v>
      </c>
      <c r="B511" t="s">
        <v>48</v>
      </c>
      <c r="C511">
        <v>649163</v>
      </c>
      <c r="D511">
        <v>2035678386</v>
      </c>
      <c r="E511" t="s">
        <v>576</v>
      </c>
      <c r="F511" t="s">
        <v>577</v>
      </c>
      <c r="G511" t="s">
        <v>51</v>
      </c>
      <c r="H511" t="s">
        <v>425</v>
      </c>
      <c r="I511" t="s">
        <v>194</v>
      </c>
      <c r="J511" t="s">
        <v>195</v>
      </c>
      <c r="K511">
        <v>823350</v>
      </c>
      <c r="L511" t="s">
        <v>113</v>
      </c>
      <c r="M511" t="s">
        <v>114</v>
      </c>
      <c r="N511" t="s">
        <v>57</v>
      </c>
      <c r="O511" s="1">
        <v>46171</v>
      </c>
      <c r="Q511" s="1">
        <v>46232</v>
      </c>
      <c r="R511" s="2">
        <v>73.56</v>
      </c>
      <c r="S511">
        <v>1</v>
      </c>
      <c r="T511" t="s">
        <v>58</v>
      </c>
      <c r="U511" t="s">
        <v>59</v>
      </c>
      <c r="V511" s="3">
        <v>0.7</v>
      </c>
      <c r="W511" s="2">
        <v>0</v>
      </c>
      <c r="X511">
        <v>0</v>
      </c>
      <c r="Y511" t="s">
        <v>60</v>
      </c>
      <c r="Z511" t="s">
        <v>248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51.49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46202</v>
      </c>
      <c r="B512" t="s">
        <v>48</v>
      </c>
      <c r="C512">
        <v>649163</v>
      </c>
      <c r="D512">
        <v>2035682333</v>
      </c>
      <c r="E512" t="s">
        <v>847</v>
      </c>
      <c r="F512" t="s">
        <v>848</v>
      </c>
      <c r="G512" t="s">
        <v>51</v>
      </c>
      <c r="H512" t="s">
        <v>89</v>
      </c>
      <c r="I512" t="s">
        <v>194</v>
      </c>
      <c r="J512" t="s">
        <v>195</v>
      </c>
      <c r="K512">
        <v>756803</v>
      </c>
      <c r="L512" t="s">
        <v>849</v>
      </c>
      <c r="M512" t="s">
        <v>784</v>
      </c>
      <c r="N512" t="s">
        <v>57</v>
      </c>
      <c r="O512" s="1">
        <v>46170</v>
      </c>
      <c r="Q512" s="1">
        <v>46231</v>
      </c>
      <c r="R512" s="2">
        <v>34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0</v>
      </c>
      <c r="Y512" t="s">
        <v>60</v>
      </c>
      <c r="Z512" t="s">
        <v>248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23.8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46202</v>
      </c>
      <c r="B513" t="s">
        <v>48</v>
      </c>
      <c r="C513">
        <v>649163</v>
      </c>
      <c r="D513">
        <v>2035758344</v>
      </c>
      <c r="E513" t="s">
        <v>850</v>
      </c>
      <c r="F513" t="s">
        <v>851</v>
      </c>
      <c r="G513" t="s">
        <v>51</v>
      </c>
      <c r="H513" t="s">
        <v>100</v>
      </c>
      <c r="I513" t="s">
        <v>194</v>
      </c>
      <c r="J513" t="s">
        <v>195</v>
      </c>
      <c r="K513">
        <v>897926</v>
      </c>
      <c r="L513" t="s">
        <v>499</v>
      </c>
      <c r="M513" t="s">
        <v>469</v>
      </c>
      <c r="N513" t="s">
        <v>57</v>
      </c>
      <c r="O513" s="1">
        <v>46173</v>
      </c>
      <c r="Q513" s="1">
        <v>46233</v>
      </c>
      <c r="R513" s="2">
        <v>42.99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248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30.09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46202</v>
      </c>
      <c r="B514" t="s">
        <v>48</v>
      </c>
      <c r="C514">
        <v>649163</v>
      </c>
      <c r="D514">
        <v>2035831645</v>
      </c>
      <c r="E514" t="s">
        <v>578</v>
      </c>
      <c r="F514" t="s">
        <v>579</v>
      </c>
      <c r="G514" t="s">
        <v>51</v>
      </c>
      <c r="H514" t="s">
        <v>332</v>
      </c>
      <c r="I514" t="s">
        <v>194</v>
      </c>
      <c r="J514" t="s">
        <v>195</v>
      </c>
      <c r="K514">
        <v>824082</v>
      </c>
      <c r="L514" t="s">
        <v>129</v>
      </c>
      <c r="M514" t="s">
        <v>130</v>
      </c>
      <c r="N514" t="s">
        <v>257</v>
      </c>
      <c r="O514" s="1">
        <v>46177</v>
      </c>
      <c r="P514" s="1">
        <v>46202</v>
      </c>
      <c r="Q514" s="1">
        <v>46207</v>
      </c>
      <c r="R514" s="2">
        <v>-14.02</v>
      </c>
      <c r="S514">
        <v>1</v>
      </c>
      <c r="T514" t="s">
        <v>58</v>
      </c>
      <c r="U514" t="s">
        <v>59</v>
      </c>
      <c r="V514" s="3">
        <v>0.7</v>
      </c>
      <c r="W514" s="2">
        <v>0</v>
      </c>
      <c r="X514">
        <v>-1</v>
      </c>
      <c r="Y514" t="s">
        <v>60</v>
      </c>
      <c r="Z514" t="s">
        <v>248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-9.81</v>
      </c>
      <c r="AN514" s="2">
        <v>-9.81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46202</v>
      </c>
      <c r="B515" t="s">
        <v>48</v>
      </c>
      <c r="C515">
        <v>649163</v>
      </c>
      <c r="D515">
        <v>2020392155</v>
      </c>
      <c r="E515" t="s">
        <v>582</v>
      </c>
      <c r="F515" t="s">
        <v>583</v>
      </c>
      <c r="G515" t="s">
        <v>51</v>
      </c>
      <c r="H515" t="s">
        <v>332</v>
      </c>
      <c r="I515" t="s">
        <v>237</v>
      </c>
      <c r="J515" t="s">
        <v>852</v>
      </c>
      <c r="K515">
        <v>673059</v>
      </c>
      <c r="L515" t="s">
        <v>102</v>
      </c>
      <c r="M515" t="s">
        <v>103</v>
      </c>
      <c r="N515" t="s">
        <v>57</v>
      </c>
      <c r="O515" s="1">
        <v>45288</v>
      </c>
      <c r="Q515" s="1">
        <v>46231</v>
      </c>
      <c r="R515" s="2">
        <v>584.87</v>
      </c>
      <c r="S515">
        <v>1</v>
      </c>
      <c r="T515" t="s">
        <v>58</v>
      </c>
      <c r="U515" t="s">
        <v>246</v>
      </c>
      <c r="V515" s="3">
        <v>0.28999999999999998</v>
      </c>
      <c r="W515" s="2">
        <v>0</v>
      </c>
      <c r="X515">
        <v>0</v>
      </c>
      <c r="Y515" t="s">
        <v>247</v>
      </c>
      <c r="Z515" t="s">
        <v>248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169.61</v>
      </c>
      <c r="AN515" s="2">
        <v>169.61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46202</v>
      </c>
      <c r="B516" t="s">
        <v>48</v>
      </c>
      <c r="C516">
        <v>649163</v>
      </c>
      <c r="D516">
        <v>2023809265</v>
      </c>
      <c r="E516" t="s">
        <v>585</v>
      </c>
      <c r="F516" t="s">
        <v>586</v>
      </c>
      <c r="G516" t="s">
        <v>51</v>
      </c>
      <c r="H516" t="s">
        <v>332</v>
      </c>
      <c r="I516" t="s">
        <v>237</v>
      </c>
      <c r="J516" t="s">
        <v>852</v>
      </c>
      <c r="K516">
        <v>673059</v>
      </c>
      <c r="L516" t="s">
        <v>102</v>
      </c>
      <c r="M516" t="s">
        <v>103</v>
      </c>
      <c r="N516" t="s">
        <v>57</v>
      </c>
      <c r="O516" s="1">
        <v>45653</v>
      </c>
      <c r="Q516" s="1">
        <v>46229</v>
      </c>
      <c r="R516" s="2">
        <v>252.6</v>
      </c>
      <c r="S516">
        <v>1</v>
      </c>
      <c r="T516" t="s">
        <v>58</v>
      </c>
      <c r="U516" t="s">
        <v>246</v>
      </c>
      <c r="V516" s="3">
        <v>0.28999999999999998</v>
      </c>
      <c r="W516" s="2">
        <v>0</v>
      </c>
      <c r="X516">
        <v>0</v>
      </c>
      <c r="Y516" t="s">
        <v>247</v>
      </c>
      <c r="Z516" t="s">
        <v>248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73.25</v>
      </c>
      <c r="AN516" s="2">
        <v>73.25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46202</v>
      </c>
      <c r="B517" t="s">
        <v>48</v>
      </c>
      <c r="C517">
        <v>649163</v>
      </c>
      <c r="D517">
        <v>2023957695</v>
      </c>
      <c r="E517" t="s">
        <v>587</v>
      </c>
      <c r="F517" t="s">
        <v>588</v>
      </c>
      <c r="G517" t="s">
        <v>51</v>
      </c>
      <c r="H517" t="s">
        <v>100</v>
      </c>
      <c r="I517" t="s">
        <v>237</v>
      </c>
      <c r="J517" t="s">
        <v>852</v>
      </c>
      <c r="K517">
        <v>673059</v>
      </c>
      <c r="L517" t="s">
        <v>102</v>
      </c>
      <c r="M517" t="s">
        <v>103</v>
      </c>
      <c r="N517" t="s">
        <v>57</v>
      </c>
      <c r="O517" s="1">
        <v>45656</v>
      </c>
      <c r="Q517" s="1">
        <v>46232</v>
      </c>
      <c r="R517" s="2">
        <v>339.35</v>
      </c>
      <c r="S517">
        <v>1</v>
      </c>
      <c r="T517" t="s">
        <v>58</v>
      </c>
      <c r="U517" t="s">
        <v>246</v>
      </c>
      <c r="V517" s="3">
        <v>0.28999999999999998</v>
      </c>
      <c r="W517" s="2">
        <v>0</v>
      </c>
      <c r="X517">
        <v>0</v>
      </c>
      <c r="Y517" t="s">
        <v>247</v>
      </c>
      <c r="Z517" t="s">
        <v>248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98.41</v>
      </c>
      <c r="AN517" s="2">
        <v>98.41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46202</v>
      </c>
      <c r="B518" t="s">
        <v>48</v>
      </c>
      <c r="C518">
        <v>649163</v>
      </c>
      <c r="D518">
        <v>2023963351</v>
      </c>
      <c r="E518" t="s">
        <v>589</v>
      </c>
      <c r="F518" t="s">
        <v>63</v>
      </c>
      <c r="G518" t="s">
        <v>51</v>
      </c>
      <c r="H518" t="s">
        <v>100</v>
      </c>
      <c r="I518" t="s">
        <v>237</v>
      </c>
      <c r="J518" t="s">
        <v>852</v>
      </c>
      <c r="K518">
        <v>673059</v>
      </c>
      <c r="L518" t="s">
        <v>102</v>
      </c>
      <c r="M518" t="s">
        <v>103</v>
      </c>
      <c r="N518" t="s">
        <v>57</v>
      </c>
      <c r="O518" s="1">
        <v>45656</v>
      </c>
      <c r="Q518" s="1">
        <v>46232</v>
      </c>
      <c r="R518" s="2">
        <v>569.27</v>
      </c>
      <c r="S518">
        <v>1</v>
      </c>
      <c r="T518" t="s">
        <v>58</v>
      </c>
      <c r="U518" t="s">
        <v>246</v>
      </c>
      <c r="V518" s="3">
        <v>0.28999999999999998</v>
      </c>
      <c r="W518" s="2">
        <v>0</v>
      </c>
      <c r="X518">
        <v>0</v>
      </c>
      <c r="Y518" t="s">
        <v>247</v>
      </c>
      <c r="Z518" t="s">
        <v>248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165.09</v>
      </c>
      <c r="AN518" s="2">
        <v>165.09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46202</v>
      </c>
      <c r="B519" t="s">
        <v>48</v>
      </c>
      <c r="C519">
        <v>649163</v>
      </c>
      <c r="D519">
        <v>2023964241</v>
      </c>
      <c r="E519" t="s">
        <v>590</v>
      </c>
      <c r="F519" t="s">
        <v>504</v>
      </c>
      <c r="G519" t="s">
        <v>51</v>
      </c>
      <c r="H519" t="s">
        <v>591</v>
      </c>
      <c r="I519" t="s">
        <v>237</v>
      </c>
      <c r="J519" t="s">
        <v>852</v>
      </c>
      <c r="K519">
        <v>673059</v>
      </c>
      <c r="L519" t="s">
        <v>102</v>
      </c>
      <c r="M519" t="s">
        <v>103</v>
      </c>
      <c r="N519" t="s">
        <v>57</v>
      </c>
      <c r="O519" s="1">
        <v>45656</v>
      </c>
      <c r="Q519" s="1">
        <v>46232</v>
      </c>
      <c r="R519" s="2">
        <v>327.36</v>
      </c>
      <c r="S519">
        <v>1</v>
      </c>
      <c r="T519" t="s">
        <v>58</v>
      </c>
      <c r="U519" t="s">
        <v>246</v>
      </c>
      <c r="V519" s="3">
        <v>0.28999999999999998</v>
      </c>
      <c r="W519" s="2">
        <v>0</v>
      </c>
      <c r="X519">
        <v>0</v>
      </c>
      <c r="Y519" t="s">
        <v>247</v>
      </c>
      <c r="Z519" t="s">
        <v>248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94.93</v>
      </c>
      <c r="AN519" s="2">
        <v>94.93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46202</v>
      </c>
      <c r="B520" t="s">
        <v>48</v>
      </c>
      <c r="C520">
        <v>649163</v>
      </c>
      <c r="D520">
        <v>2024035177</v>
      </c>
      <c r="E520" t="s">
        <v>592</v>
      </c>
      <c r="F520" t="s">
        <v>318</v>
      </c>
      <c r="G520" t="s">
        <v>51</v>
      </c>
      <c r="H520" t="s">
        <v>332</v>
      </c>
      <c r="I520" t="s">
        <v>237</v>
      </c>
      <c r="J520" t="s">
        <v>852</v>
      </c>
      <c r="K520">
        <v>673059</v>
      </c>
      <c r="L520" t="s">
        <v>102</v>
      </c>
      <c r="M520" t="s">
        <v>103</v>
      </c>
      <c r="N520" t="s">
        <v>57</v>
      </c>
      <c r="O520" s="1">
        <v>45656</v>
      </c>
      <c r="Q520" s="1">
        <v>46232</v>
      </c>
      <c r="R520" s="2">
        <v>302.77999999999997</v>
      </c>
      <c r="S520">
        <v>1</v>
      </c>
      <c r="T520" t="s">
        <v>58</v>
      </c>
      <c r="U520" t="s">
        <v>246</v>
      </c>
      <c r="V520" s="3">
        <v>0.28999999999999998</v>
      </c>
      <c r="W520" s="2">
        <v>0</v>
      </c>
      <c r="X520">
        <v>0</v>
      </c>
      <c r="Y520" t="s">
        <v>247</v>
      </c>
      <c r="Z520" t="s">
        <v>248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87.81</v>
      </c>
      <c r="AN520" s="2">
        <v>87.81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46202</v>
      </c>
      <c r="B521" t="s">
        <v>48</v>
      </c>
      <c r="C521">
        <v>649163</v>
      </c>
      <c r="D521">
        <v>2024112403</v>
      </c>
      <c r="E521" t="s">
        <v>593</v>
      </c>
      <c r="F521" t="s">
        <v>594</v>
      </c>
      <c r="G521" t="s">
        <v>51</v>
      </c>
      <c r="H521" t="s">
        <v>100</v>
      </c>
      <c r="I521" t="s">
        <v>237</v>
      </c>
      <c r="J521" t="s">
        <v>852</v>
      </c>
      <c r="K521">
        <v>673059</v>
      </c>
      <c r="L521" t="s">
        <v>102</v>
      </c>
      <c r="M521" t="s">
        <v>103</v>
      </c>
      <c r="N521" t="s">
        <v>57</v>
      </c>
      <c r="O521" s="1">
        <v>45656</v>
      </c>
      <c r="Q521" s="1">
        <v>46232</v>
      </c>
      <c r="R521" s="2">
        <v>427.73</v>
      </c>
      <c r="S521">
        <v>1</v>
      </c>
      <c r="T521" t="s">
        <v>58</v>
      </c>
      <c r="U521" t="s">
        <v>246</v>
      </c>
      <c r="V521" s="3">
        <v>0.28999999999999998</v>
      </c>
      <c r="W521" s="2">
        <v>0</v>
      </c>
      <c r="X521">
        <v>0</v>
      </c>
      <c r="Y521" t="s">
        <v>247</v>
      </c>
      <c r="Z521" t="s">
        <v>248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124.04</v>
      </c>
      <c r="AN521" s="2">
        <v>124.04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46202</v>
      </c>
      <c r="B522" t="s">
        <v>48</v>
      </c>
      <c r="C522">
        <v>649163</v>
      </c>
      <c r="D522">
        <v>2024536862</v>
      </c>
      <c r="E522" t="s">
        <v>595</v>
      </c>
      <c r="F522" t="s">
        <v>596</v>
      </c>
      <c r="G522" t="s">
        <v>51</v>
      </c>
      <c r="H522" t="s">
        <v>100</v>
      </c>
      <c r="I522" t="s">
        <v>237</v>
      </c>
      <c r="J522" t="s">
        <v>852</v>
      </c>
      <c r="K522">
        <v>673059</v>
      </c>
      <c r="L522" t="s">
        <v>102</v>
      </c>
      <c r="M522" t="s">
        <v>103</v>
      </c>
      <c r="N522" t="s">
        <v>57</v>
      </c>
      <c r="O522" s="1">
        <v>45656</v>
      </c>
      <c r="Q522" s="1">
        <v>46232</v>
      </c>
      <c r="R522" s="2">
        <v>240.51</v>
      </c>
      <c r="S522">
        <v>1</v>
      </c>
      <c r="T522" t="s">
        <v>58</v>
      </c>
      <c r="U522" t="s">
        <v>246</v>
      </c>
      <c r="V522" s="3">
        <v>0.28999999999999998</v>
      </c>
      <c r="W522" s="2">
        <v>0</v>
      </c>
      <c r="X522">
        <v>0</v>
      </c>
      <c r="Y522" t="s">
        <v>247</v>
      </c>
      <c r="Z522" t="s">
        <v>248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69.75</v>
      </c>
      <c r="AN522" s="2">
        <v>69.75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46202</v>
      </c>
      <c r="B523" t="s">
        <v>48</v>
      </c>
      <c r="C523">
        <v>649163</v>
      </c>
      <c r="D523">
        <v>2024626406</v>
      </c>
      <c r="E523" t="s">
        <v>598</v>
      </c>
      <c r="F523" t="s">
        <v>597</v>
      </c>
      <c r="G523" t="s">
        <v>51</v>
      </c>
      <c r="H523" t="s">
        <v>404</v>
      </c>
      <c r="I523" t="s">
        <v>237</v>
      </c>
      <c r="J523" t="s">
        <v>853</v>
      </c>
      <c r="K523">
        <v>669316</v>
      </c>
      <c r="L523" t="s">
        <v>599</v>
      </c>
      <c r="M523" t="s">
        <v>193</v>
      </c>
      <c r="N523" t="s">
        <v>57</v>
      </c>
      <c r="O523" s="1">
        <v>45898</v>
      </c>
      <c r="Q523" s="1">
        <v>46232</v>
      </c>
      <c r="R523" s="2">
        <v>352.41</v>
      </c>
      <c r="S523">
        <v>1</v>
      </c>
      <c r="T523" t="s">
        <v>58</v>
      </c>
      <c r="U523" t="s">
        <v>246</v>
      </c>
      <c r="V523" s="3">
        <v>0.28999999999999998</v>
      </c>
      <c r="W523" s="2">
        <v>0</v>
      </c>
      <c r="X523">
        <v>0</v>
      </c>
      <c r="Y523" t="s">
        <v>60</v>
      </c>
      <c r="Z523" t="s">
        <v>248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102.2</v>
      </c>
      <c r="AN523" s="2">
        <v>102.2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46202</v>
      </c>
      <c r="B524" t="s">
        <v>48</v>
      </c>
      <c r="C524">
        <v>649163</v>
      </c>
      <c r="D524">
        <v>2031906961</v>
      </c>
      <c r="E524" t="s">
        <v>620</v>
      </c>
      <c r="F524" t="s">
        <v>209</v>
      </c>
      <c r="G524" t="s">
        <v>51</v>
      </c>
      <c r="H524" t="s">
        <v>332</v>
      </c>
      <c r="I524" t="s">
        <v>237</v>
      </c>
      <c r="J524" t="s">
        <v>852</v>
      </c>
      <c r="K524">
        <v>840313</v>
      </c>
      <c r="L524" t="s">
        <v>158</v>
      </c>
      <c r="M524" t="s">
        <v>159</v>
      </c>
      <c r="N524" t="s">
        <v>57</v>
      </c>
      <c r="O524" s="1">
        <v>45961</v>
      </c>
      <c r="Q524" s="1">
        <v>46233</v>
      </c>
      <c r="R524" s="2">
        <v>490.65</v>
      </c>
      <c r="S524">
        <v>1</v>
      </c>
      <c r="T524" t="s">
        <v>58</v>
      </c>
      <c r="U524" t="s">
        <v>621</v>
      </c>
      <c r="V524" s="3">
        <v>0.28999999999999998</v>
      </c>
      <c r="W524" s="2">
        <v>0</v>
      </c>
      <c r="X524">
        <v>0</v>
      </c>
      <c r="Y524" t="s">
        <v>60</v>
      </c>
      <c r="Z524" t="s">
        <v>248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142.29</v>
      </c>
      <c r="AN524" s="2">
        <v>142.29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46202</v>
      </c>
      <c r="B525" t="s">
        <v>48</v>
      </c>
      <c r="C525">
        <v>649163</v>
      </c>
      <c r="D525">
        <v>2032220271</v>
      </c>
      <c r="E525" t="s">
        <v>391</v>
      </c>
      <c r="F525" t="s">
        <v>392</v>
      </c>
      <c r="G525" t="s">
        <v>51</v>
      </c>
      <c r="H525" t="s">
        <v>100</v>
      </c>
      <c r="I525" t="s">
        <v>237</v>
      </c>
      <c r="J525" t="s">
        <v>852</v>
      </c>
      <c r="K525">
        <v>651818</v>
      </c>
      <c r="L525" t="s">
        <v>210</v>
      </c>
      <c r="M525" t="s">
        <v>211</v>
      </c>
      <c r="N525" t="s">
        <v>57</v>
      </c>
      <c r="O525" s="1">
        <v>45992</v>
      </c>
      <c r="Q525" s="1">
        <v>46235</v>
      </c>
      <c r="R525" s="2">
        <v>1550.54</v>
      </c>
      <c r="S525">
        <v>1</v>
      </c>
      <c r="T525" t="s">
        <v>58</v>
      </c>
      <c r="U525" t="s">
        <v>621</v>
      </c>
      <c r="V525" s="3">
        <v>0.28999999999999998</v>
      </c>
      <c r="W525" s="2">
        <v>0</v>
      </c>
      <c r="X525">
        <v>0</v>
      </c>
      <c r="Y525" t="s">
        <v>60</v>
      </c>
      <c r="Z525" t="s">
        <v>248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449.66</v>
      </c>
      <c r="AN525" s="2">
        <v>449.66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46202</v>
      </c>
      <c r="B526" t="s">
        <v>48</v>
      </c>
      <c r="C526">
        <v>649163</v>
      </c>
      <c r="D526">
        <v>2032246902</v>
      </c>
      <c r="E526" t="s">
        <v>622</v>
      </c>
      <c r="F526" t="s">
        <v>623</v>
      </c>
      <c r="G526" t="s">
        <v>51</v>
      </c>
      <c r="H526" t="s">
        <v>200</v>
      </c>
      <c r="I526" t="s">
        <v>237</v>
      </c>
      <c r="J526" t="s">
        <v>854</v>
      </c>
      <c r="K526">
        <v>877790</v>
      </c>
      <c r="L526" t="s">
        <v>563</v>
      </c>
      <c r="M526" t="s">
        <v>564</v>
      </c>
      <c r="N526" t="s">
        <v>57</v>
      </c>
      <c r="O526" s="1">
        <v>46054</v>
      </c>
      <c r="Q526" s="1">
        <v>46235</v>
      </c>
      <c r="R526" s="2">
        <v>758.9</v>
      </c>
      <c r="S526">
        <v>1</v>
      </c>
      <c r="T526" t="s">
        <v>58</v>
      </c>
      <c r="U526" t="s">
        <v>621</v>
      </c>
      <c r="V526" s="3">
        <v>0.19</v>
      </c>
      <c r="W526" s="2">
        <v>0</v>
      </c>
      <c r="X526">
        <v>0</v>
      </c>
      <c r="Y526" t="s">
        <v>60</v>
      </c>
      <c r="Z526" t="s">
        <v>248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144.19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46202</v>
      </c>
      <c r="B527" t="s">
        <v>48</v>
      </c>
      <c r="C527">
        <v>649163</v>
      </c>
      <c r="D527">
        <v>2032554420</v>
      </c>
      <c r="E527" t="s">
        <v>402</v>
      </c>
      <c r="F527" t="s">
        <v>403</v>
      </c>
      <c r="G527" t="s">
        <v>51</v>
      </c>
      <c r="H527" t="s">
        <v>404</v>
      </c>
      <c r="I527" t="s">
        <v>237</v>
      </c>
      <c r="J527" t="s">
        <v>853</v>
      </c>
      <c r="K527">
        <v>753748</v>
      </c>
      <c r="L527" t="s">
        <v>358</v>
      </c>
      <c r="M527" t="s">
        <v>359</v>
      </c>
      <c r="N527" t="s">
        <v>57</v>
      </c>
      <c r="O527" s="1">
        <v>46023</v>
      </c>
      <c r="Q527" s="1">
        <v>46235</v>
      </c>
      <c r="R527" s="2">
        <v>300.33999999999997</v>
      </c>
      <c r="S527">
        <v>1</v>
      </c>
      <c r="T527" t="s">
        <v>58</v>
      </c>
      <c r="U527" t="s">
        <v>151</v>
      </c>
      <c r="V527" s="3">
        <v>0.28999999999999998</v>
      </c>
      <c r="W527" s="2">
        <v>0</v>
      </c>
      <c r="X527">
        <v>0</v>
      </c>
      <c r="Y527" t="s">
        <v>60</v>
      </c>
      <c r="Z527" t="s">
        <v>248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87.1</v>
      </c>
      <c r="AN527" s="2">
        <v>87.1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46202</v>
      </c>
      <c r="B528" t="s">
        <v>48</v>
      </c>
      <c r="C528">
        <v>649163</v>
      </c>
      <c r="D528">
        <v>2033035525</v>
      </c>
      <c r="E528" t="s">
        <v>439</v>
      </c>
      <c r="F528" t="s">
        <v>440</v>
      </c>
      <c r="G528" t="s">
        <v>51</v>
      </c>
      <c r="H528" t="s">
        <v>143</v>
      </c>
      <c r="I528" t="s">
        <v>237</v>
      </c>
      <c r="J528" t="s">
        <v>855</v>
      </c>
      <c r="K528">
        <v>753748</v>
      </c>
      <c r="L528" t="s">
        <v>358</v>
      </c>
      <c r="M528" t="s">
        <v>359</v>
      </c>
      <c r="N528" t="s">
        <v>57</v>
      </c>
      <c r="O528" s="1">
        <v>46054</v>
      </c>
      <c r="Q528" s="1">
        <v>46235</v>
      </c>
      <c r="R528" s="2">
        <v>185.95</v>
      </c>
      <c r="S528">
        <v>1</v>
      </c>
      <c r="T528" t="s">
        <v>58</v>
      </c>
      <c r="U528" t="s">
        <v>151</v>
      </c>
      <c r="V528" s="3">
        <v>0.19</v>
      </c>
      <c r="W528" s="2">
        <v>0</v>
      </c>
      <c r="X528">
        <v>0</v>
      </c>
      <c r="Y528" t="s">
        <v>60</v>
      </c>
      <c r="Z528" t="s">
        <v>248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35.33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46202</v>
      </c>
      <c r="B529" t="s">
        <v>48</v>
      </c>
      <c r="C529">
        <v>649163</v>
      </c>
      <c r="D529">
        <v>2033137931</v>
      </c>
      <c r="E529" t="s">
        <v>467</v>
      </c>
      <c r="F529" t="s">
        <v>171</v>
      </c>
      <c r="G529" t="s">
        <v>51</v>
      </c>
      <c r="H529" t="s">
        <v>68</v>
      </c>
      <c r="I529" t="s">
        <v>237</v>
      </c>
      <c r="J529" t="s">
        <v>856</v>
      </c>
      <c r="K529">
        <v>874230</v>
      </c>
      <c r="L529" t="s">
        <v>468</v>
      </c>
      <c r="M529" t="s">
        <v>469</v>
      </c>
      <c r="N529" t="s">
        <v>57</v>
      </c>
      <c r="O529" s="1">
        <v>46055</v>
      </c>
      <c r="Q529" s="1">
        <v>46236</v>
      </c>
      <c r="R529" s="2">
        <v>217.89</v>
      </c>
      <c r="S529">
        <v>1</v>
      </c>
      <c r="T529" t="s">
        <v>58</v>
      </c>
      <c r="U529" t="s">
        <v>621</v>
      </c>
      <c r="V529" s="3">
        <v>0.19</v>
      </c>
      <c r="W529" s="2">
        <v>0</v>
      </c>
      <c r="X529">
        <v>0</v>
      </c>
      <c r="Y529" t="s">
        <v>60</v>
      </c>
      <c r="Z529" t="s">
        <v>248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41.4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46202</v>
      </c>
      <c r="B530" t="s">
        <v>48</v>
      </c>
      <c r="C530">
        <v>649163</v>
      </c>
      <c r="D530">
        <v>2033151607</v>
      </c>
      <c r="E530" t="s">
        <v>477</v>
      </c>
      <c r="F530" t="s">
        <v>478</v>
      </c>
      <c r="G530" t="s">
        <v>51</v>
      </c>
      <c r="H530" t="s">
        <v>479</v>
      </c>
      <c r="I530" t="s">
        <v>237</v>
      </c>
      <c r="J530" t="s">
        <v>857</v>
      </c>
      <c r="K530">
        <v>753748</v>
      </c>
      <c r="L530" t="s">
        <v>358</v>
      </c>
      <c r="M530" t="s">
        <v>359</v>
      </c>
      <c r="N530" t="s">
        <v>57</v>
      </c>
      <c r="O530" s="1">
        <v>46054</v>
      </c>
      <c r="Q530" s="1">
        <v>46235</v>
      </c>
      <c r="R530" s="2">
        <v>537.54</v>
      </c>
      <c r="S530">
        <v>1</v>
      </c>
      <c r="T530" t="s">
        <v>58</v>
      </c>
      <c r="U530" t="s">
        <v>151</v>
      </c>
      <c r="V530" s="3">
        <v>0.27</v>
      </c>
      <c r="W530" s="2">
        <v>0</v>
      </c>
      <c r="X530">
        <v>0</v>
      </c>
      <c r="Y530" t="s">
        <v>60</v>
      </c>
      <c r="Z530" t="s">
        <v>248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145.13999999999999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46202</v>
      </c>
      <c r="B531" t="s">
        <v>48</v>
      </c>
      <c r="C531">
        <v>649163</v>
      </c>
      <c r="D531">
        <v>2033183849</v>
      </c>
      <c r="E531" t="s">
        <v>628</v>
      </c>
      <c r="F531" t="s">
        <v>629</v>
      </c>
      <c r="G531" t="s">
        <v>51</v>
      </c>
      <c r="H531" t="s">
        <v>200</v>
      </c>
      <c r="I531" t="s">
        <v>237</v>
      </c>
      <c r="J531" t="s">
        <v>854</v>
      </c>
      <c r="K531">
        <v>902581</v>
      </c>
      <c r="L531" t="s">
        <v>630</v>
      </c>
      <c r="M531" t="s">
        <v>631</v>
      </c>
      <c r="N531" t="s">
        <v>57</v>
      </c>
      <c r="O531" s="1">
        <v>46054</v>
      </c>
      <c r="Q531" s="1">
        <v>46235</v>
      </c>
      <c r="R531" s="2">
        <v>455.3</v>
      </c>
      <c r="S531">
        <v>1</v>
      </c>
      <c r="T531" t="s">
        <v>58</v>
      </c>
      <c r="U531" t="s">
        <v>621</v>
      </c>
      <c r="V531" s="3">
        <v>0.19</v>
      </c>
      <c r="W531" s="2">
        <v>0</v>
      </c>
      <c r="X531">
        <v>0</v>
      </c>
      <c r="Y531" t="s">
        <v>60</v>
      </c>
      <c r="Z531" t="s">
        <v>248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86.51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46202</v>
      </c>
      <c r="B532" t="s">
        <v>48</v>
      </c>
      <c r="C532">
        <v>649163</v>
      </c>
      <c r="D532">
        <v>2033183850</v>
      </c>
      <c r="E532" t="s">
        <v>628</v>
      </c>
      <c r="F532" t="s">
        <v>629</v>
      </c>
      <c r="G532" t="s">
        <v>51</v>
      </c>
      <c r="H532" t="s">
        <v>200</v>
      </c>
      <c r="I532" t="s">
        <v>237</v>
      </c>
      <c r="J532" t="s">
        <v>858</v>
      </c>
      <c r="K532">
        <v>902581</v>
      </c>
      <c r="L532" t="s">
        <v>630</v>
      </c>
      <c r="M532" t="s">
        <v>631</v>
      </c>
      <c r="N532" t="s">
        <v>57</v>
      </c>
      <c r="O532" s="1">
        <v>46054</v>
      </c>
      <c r="Q532" s="1">
        <v>46235</v>
      </c>
      <c r="R532" s="2">
        <v>9.9499999999999993</v>
      </c>
      <c r="S532">
        <v>1</v>
      </c>
      <c r="T532" t="s">
        <v>58</v>
      </c>
      <c r="U532" t="s">
        <v>621</v>
      </c>
      <c r="V532" s="3">
        <v>0.19</v>
      </c>
      <c r="W532" s="2">
        <v>0</v>
      </c>
      <c r="X532">
        <v>0</v>
      </c>
      <c r="Y532" t="s">
        <v>60</v>
      </c>
      <c r="Z532" t="s">
        <v>248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1.89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46202</v>
      </c>
      <c r="B533" t="s">
        <v>48</v>
      </c>
      <c r="C533">
        <v>649163</v>
      </c>
      <c r="D533">
        <v>2033372101</v>
      </c>
      <c r="E533" t="s">
        <v>634</v>
      </c>
      <c r="F533" t="s">
        <v>635</v>
      </c>
      <c r="G533" t="s">
        <v>51</v>
      </c>
      <c r="H533" t="s">
        <v>200</v>
      </c>
      <c r="I533" t="s">
        <v>237</v>
      </c>
      <c r="J533" t="s">
        <v>854</v>
      </c>
      <c r="K533">
        <v>942810</v>
      </c>
      <c r="L533" t="s">
        <v>505</v>
      </c>
      <c r="M533" t="s">
        <v>506</v>
      </c>
      <c r="N533" t="s">
        <v>57</v>
      </c>
      <c r="O533" s="1">
        <v>46054</v>
      </c>
      <c r="Q533" s="1">
        <v>46235</v>
      </c>
      <c r="R533" s="2">
        <v>164.97</v>
      </c>
      <c r="S533">
        <v>1</v>
      </c>
      <c r="T533" t="s">
        <v>58</v>
      </c>
      <c r="U533" t="s">
        <v>621</v>
      </c>
      <c r="V533" s="3">
        <v>0.19</v>
      </c>
      <c r="W533" s="2">
        <v>0</v>
      </c>
      <c r="X533">
        <v>0</v>
      </c>
      <c r="Y533" t="s">
        <v>60</v>
      </c>
      <c r="Z533" t="s">
        <v>248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31.34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46202</v>
      </c>
      <c r="B534" t="s">
        <v>48</v>
      </c>
      <c r="C534">
        <v>649163</v>
      </c>
      <c r="D534">
        <v>2033392966</v>
      </c>
      <c r="E534" t="s">
        <v>636</v>
      </c>
      <c r="F534" t="s">
        <v>637</v>
      </c>
      <c r="G534" t="s">
        <v>51</v>
      </c>
      <c r="H534" t="s">
        <v>200</v>
      </c>
      <c r="I534" t="s">
        <v>237</v>
      </c>
      <c r="J534" t="s">
        <v>855</v>
      </c>
      <c r="K534">
        <v>902581</v>
      </c>
      <c r="L534" t="s">
        <v>630</v>
      </c>
      <c r="M534" t="s">
        <v>631</v>
      </c>
      <c r="N534" t="s">
        <v>57</v>
      </c>
      <c r="O534" s="1">
        <v>46054</v>
      </c>
      <c r="Q534" s="1">
        <v>46235</v>
      </c>
      <c r="R534" s="2">
        <v>104.74</v>
      </c>
      <c r="S534">
        <v>1</v>
      </c>
      <c r="T534" t="s">
        <v>58</v>
      </c>
      <c r="U534" t="s">
        <v>151</v>
      </c>
      <c r="V534" s="3">
        <v>0.19</v>
      </c>
      <c r="W534" s="2">
        <v>0</v>
      </c>
      <c r="X534">
        <v>0</v>
      </c>
      <c r="Y534" t="s">
        <v>60</v>
      </c>
      <c r="Z534" t="s">
        <v>248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19.899999999999999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46202</v>
      </c>
      <c r="B535" t="s">
        <v>48</v>
      </c>
      <c r="C535">
        <v>649163</v>
      </c>
      <c r="D535">
        <v>2033395610</v>
      </c>
      <c r="E535" t="s">
        <v>328</v>
      </c>
      <c r="F535" t="s">
        <v>638</v>
      </c>
      <c r="G535" t="s">
        <v>51</v>
      </c>
      <c r="H535" t="s">
        <v>200</v>
      </c>
      <c r="I535" t="s">
        <v>237</v>
      </c>
      <c r="J535" t="s">
        <v>855</v>
      </c>
      <c r="K535">
        <v>902581</v>
      </c>
      <c r="L535" t="s">
        <v>630</v>
      </c>
      <c r="M535" t="s">
        <v>631</v>
      </c>
      <c r="N535" t="s">
        <v>57</v>
      </c>
      <c r="O535" s="1">
        <v>46054</v>
      </c>
      <c r="Q535" s="1">
        <v>46235</v>
      </c>
      <c r="R535" s="2">
        <v>392.84</v>
      </c>
      <c r="S535">
        <v>1</v>
      </c>
      <c r="T535" t="s">
        <v>58</v>
      </c>
      <c r="U535" t="s">
        <v>239</v>
      </c>
      <c r="V535" s="3">
        <v>0.19</v>
      </c>
      <c r="W535" s="2">
        <v>0</v>
      </c>
      <c r="X535">
        <v>0</v>
      </c>
      <c r="Y535" t="s">
        <v>60</v>
      </c>
      <c r="Z535" t="s">
        <v>248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74.64</v>
      </c>
      <c r="AN535" s="2">
        <v>74.64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46202</v>
      </c>
      <c r="B536" t="s">
        <v>48</v>
      </c>
      <c r="C536">
        <v>649163</v>
      </c>
      <c r="D536">
        <v>2033395611</v>
      </c>
      <c r="E536" t="s">
        <v>328</v>
      </c>
      <c r="F536" t="s">
        <v>638</v>
      </c>
      <c r="G536" t="s">
        <v>51</v>
      </c>
      <c r="H536" t="s">
        <v>200</v>
      </c>
      <c r="I536" t="s">
        <v>237</v>
      </c>
      <c r="J536" t="s">
        <v>859</v>
      </c>
      <c r="K536">
        <v>902581</v>
      </c>
      <c r="L536" t="s">
        <v>630</v>
      </c>
      <c r="M536" t="s">
        <v>631</v>
      </c>
      <c r="N536" t="s">
        <v>57</v>
      </c>
      <c r="O536" s="1">
        <v>46054</v>
      </c>
      <c r="Q536" s="1">
        <v>46235</v>
      </c>
      <c r="R536" s="2">
        <v>9.9499999999999993</v>
      </c>
      <c r="S536">
        <v>1</v>
      </c>
      <c r="T536" t="s">
        <v>58</v>
      </c>
      <c r="U536" t="s">
        <v>239</v>
      </c>
      <c r="V536" s="3">
        <v>0.19</v>
      </c>
      <c r="W536" s="2">
        <v>0</v>
      </c>
      <c r="X536">
        <v>0</v>
      </c>
      <c r="Y536" t="s">
        <v>60</v>
      </c>
      <c r="Z536" t="s">
        <v>248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1.89</v>
      </c>
      <c r="AN536" s="2">
        <v>1.89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46202</v>
      </c>
      <c r="B537" t="s">
        <v>48</v>
      </c>
      <c r="C537">
        <v>649163</v>
      </c>
      <c r="D537">
        <v>2033422323</v>
      </c>
      <c r="E537" t="s">
        <v>639</v>
      </c>
      <c r="F537" t="s">
        <v>640</v>
      </c>
      <c r="G537" t="s">
        <v>51</v>
      </c>
      <c r="H537" t="s">
        <v>404</v>
      </c>
      <c r="I537" t="s">
        <v>237</v>
      </c>
      <c r="J537" t="s">
        <v>853</v>
      </c>
      <c r="K537">
        <v>652037</v>
      </c>
      <c r="L537" t="s">
        <v>55</v>
      </c>
      <c r="M537" t="s">
        <v>252</v>
      </c>
      <c r="N537" t="s">
        <v>57</v>
      </c>
      <c r="O537" s="1">
        <v>46054</v>
      </c>
      <c r="Q537" s="1">
        <v>46235</v>
      </c>
      <c r="R537" s="2">
        <v>251.29</v>
      </c>
      <c r="S537">
        <v>1</v>
      </c>
      <c r="T537" t="s">
        <v>58</v>
      </c>
      <c r="U537" t="s">
        <v>151</v>
      </c>
      <c r="V537" s="3">
        <v>0.28999999999999998</v>
      </c>
      <c r="W537" s="2">
        <v>0</v>
      </c>
      <c r="X537">
        <v>0</v>
      </c>
      <c r="Y537" t="s">
        <v>60</v>
      </c>
      <c r="Z537" t="s">
        <v>248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72.87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46202</v>
      </c>
      <c r="B538" t="s">
        <v>48</v>
      </c>
      <c r="C538">
        <v>649163</v>
      </c>
      <c r="D538">
        <v>2033991826</v>
      </c>
      <c r="E538" t="s">
        <v>562</v>
      </c>
      <c r="F538" t="s">
        <v>478</v>
      </c>
      <c r="G538" t="s">
        <v>51</v>
      </c>
      <c r="H538" t="s">
        <v>200</v>
      </c>
      <c r="I538" t="s">
        <v>237</v>
      </c>
      <c r="J538" t="s">
        <v>854</v>
      </c>
      <c r="K538">
        <v>877790</v>
      </c>
      <c r="L538" t="s">
        <v>563</v>
      </c>
      <c r="M538" t="s">
        <v>564</v>
      </c>
      <c r="N538" t="s">
        <v>57</v>
      </c>
      <c r="O538" s="1">
        <v>46081</v>
      </c>
      <c r="Q538" s="1">
        <v>46231</v>
      </c>
      <c r="R538" s="2">
        <v>197.36</v>
      </c>
      <c r="S538">
        <v>1</v>
      </c>
      <c r="T538" t="s">
        <v>58</v>
      </c>
      <c r="U538" t="s">
        <v>621</v>
      </c>
      <c r="V538" s="3">
        <v>0.19</v>
      </c>
      <c r="W538" s="2">
        <v>0</v>
      </c>
      <c r="X538">
        <v>0</v>
      </c>
      <c r="Y538" t="s">
        <v>60</v>
      </c>
      <c r="Z538" t="s">
        <v>248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37.5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46202</v>
      </c>
      <c r="B539" t="s">
        <v>48</v>
      </c>
      <c r="C539">
        <v>649163</v>
      </c>
      <c r="D539">
        <v>2034671434</v>
      </c>
      <c r="E539" t="s">
        <v>569</v>
      </c>
      <c r="F539" t="s">
        <v>570</v>
      </c>
      <c r="G539" t="s">
        <v>51</v>
      </c>
      <c r="H539" t="s">
        <v>200</v>
      </c>
      <c r="I539" t="s">
        <v>237</v>
      </c>
      <c r="J539" t="s">
        <v>854</v>
      </c>
      <c r="K539">
        <v>942810</v>
      </c>
      <c r="L539" t="s">
        <v>505</v>
      </c>
      <c r="M539" t="s">
        <v>506</v>
      </c>
      <c r="N539" t="s">
        <v>57</v>
      </c>
      <c r="O539" s="1">
        <v>46108</v>
      </c>
      <c r="Q539" s="1">
        <v>46230</v>
      </c>
      <c r="R539" s="2">
        <v>588.17999999999995</v>
      </c>
      <c r="S539">
        <v>1</v>
      </c>
      <c r="T539" t="s">
        <v>58</v>
      </c>
      <c r="U539" t="s">
        <v>621</v>
      </c>
      <c r="V539" s="3">
        <v>0.19</v>
      </c>
      <c r="W539" s="2">
        <v>0</v>
      </c>
      <c r="X539">
        <v>0</v>
      </c>
      <c r="Y539" t="s">
        <v>60</v>
      </c>
      <c r="Z539" t="s">
        <v>248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111.75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46202</v>
      </c>
      <c r="B540" t="s">
        <v>48</v>
      </c>
      <c r="C540">
        <v>649163</v>
      </c>
      <c r="D540">
        <v>2034671437</v>
      </c>
      <c r="E540" t="s">
        <v>569</v>
      </c>
      <c r="F540" t="s">
        <v>570</v>
      </c>
      <c r="G540" t="s">
        <v>51</v>
      </c>
      <c r="H540" t="s">
        <v>200</v>
      </c>
      <c r="I540" t="s">
        <v>237</v>
      </c>
      <c r="J540" t="s">
        <v>858</v>
      </c>
      <c r="K540">
        <v>942810</v>
      </c>
      <c r="L540" t="s">
        <v>505</v>
      </c>
      <c r="M540" t="s">
        <v>506</v>
      </c>
      <c r="N540" t="s">
        <v>57</v>
      </c>
      <c r="O540" s="1">
        <v>46108</v>
      </c>
      <c r="Q540" s="1">
        <v>46230</v>
      </c>
      <c r="R540" s="2">
        <v>5</v>
      </c>
      <c r="S540">
        <v>1</v>
      </c>
      <c r="T540" t="s">
        <v>58</v>
      </c>
      <c r="U540" t="s">
        <v>621</v>
      </c>
      <c r="V540" s="3">
        <v>0.19</v>
      </c>
      <c r="W540" s="2">
        <v>0</v>
      </c>
      <c r="X540">
        <v>0</v>
      </c>
      <c r="Y540" t="s">
        <v>60</v>
      </c>
      <c r="Z540" t="s">
        <v>248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0.95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46202</v>
      </c>
      <c r="B541" t="s">
        <v>48</v>
      </c>
      <c r="C541">
        <v>649163</v>
      </c>
      <c r="D541">
        <v>2035188970</v>
      </c>
      <c r="E541" t="s">
        <v>649</v>
      </c>
      <c r="F541" t="s">
        <v>650</v>
      </c>
      <c r="G541" t="s">
        <v>51</v>
      </c>
      <c r="H541" t="s">
        <v>200</v>
      </c>
      <c r="I541" t="s">
        <v>237</v>
      </c>
      <c r="J541" t="s">
        <v>858</v>
      </c>
      <c r="K541">
        <v>942810</v>
      </c>
      <c r="L541" t="s">
        <v>505</v>
      </c>
      <c r="M541" t="s">
        <v>506</v>
      </c>
      <c r="N541" t="s">
        <v>57</v>
      </c>
      <c r="O541" s="1">
        <v>46141</v>
      </c>
      <c r="Q541" s="1">
        <v>46232</v>
      </c>
      <c r="R541" s="2">
        <v>9.9499999999999993</v>
      </c>
      <c r="S541">
        <v>1</v>
      </c>
      <c r="T541" t="s">
        <v>58</v>
      </c>
      <c r="U541" t="s">
        <v>621</v>
      </c>
      <c r="V541" s="3">
        <v>0.19</v>
      </c>
      <c r="W541" s="2">
        <v>0</v>
      </c>
      <c r="X541">
        <v>0</v>
      </c>
      <c r="Y541" t="s">
        <v>60</v>
      </c>
      <c r="Z541" t="s">
        <v>248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1.89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46202</v>
      </c>
      <c r="B542" t="s">
        <v>48</v>
      </c>
      <c r="C542">
        <v>649163</v>
      </c>
      <c r="D542">
        <v>2035188972</v>
      </c>
      <c r="E542" t="s">
        <v>649</v>
      </c>
      <c r="F542" t="s">
        <v>650</v>
      </c>
      <c r="G542" t="s">
        <v>51</v>
      </c>
      <c r="H542" t="s">
        <v>200</v>
      </c>
      <c r="I542" t="s">
        <v>237</v>
      </c>
      <c r="J542" t="s">
        <v>854</v>
      </c>
      <c r="K542">
        <v>942810</v>
      </c>
      <c r="L542" t="s">
        <v>505</v>
      </c>
      <c r="M542" t="s">
        <v>506</v>
      </c>
      <c r="N542" t="s">
        <v>57</v>
      </c>
      <c r="O542" s="1">
        <v>46141</v>
      </c>
      <c r="Q542" s="1">
        <v>46232</v>
      </c>
      <c r="R542" s="2">
        <v>1891.04</v>
      </c>
      <c r="S542">
        <v>1</v>
      </c>
      <c r="T542" t="s">
        <v>58</v>
      </c>
      <c r="U542" t="s">
        <v>621</v>
      </c>
      <c r="V542" s="3">
        <v>0.19</v>
      </c>
      <c r="W542" s="2">
        <v>0</v>
      </c>
      <c r="X542">
        <v>0</v>
      </c>
      <c r="Y542" t="s">
        <v>60</v>
      </c>
      <c r="Z542" t="s">
        <v>248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359.3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46202</v>
      </c>
      <c r="B543" t="s">
        <v>48</v>
      </c>
      <c r="C543">
        <v>649163</v>
      </c>
      <c r="D543">
        <v>2035204835</v>
      </c>
      <c r="E543" t="s">
        <v>860</v>
      </c>
      <c r="F543" t="s">
        <v>319</v>
      </c>
      <c r="G543" t="s">
        <v>51</v>
      </c>
      <c r="H543" t="s">
        <v>479</v>
      </c>
      <c r="I543" t="s">
        <v>237</v>
      </c>
      <c r="J543" t="s">
        <v>857</v>
      </c>
      <c r="K543">
        <v>862109</v>
      </c>
      <c r="L543" t="s">
        <v>177</v>
      </c>
      <c r="M543" t="s">
        <v>861</v>
      </c>
      <c r="N543" t="s">
        <v>57</v>
      </c>
      <c r="O543" s="1">
        <v>46142</v>
      </c>
      <c r="Q543" s="1">
        <v>46233</v>
      </c>
      <c r="R543" s="2">
        <v>540.08000000000004</v>
      </c>
      <c r="S543">
        <v>1</v>
      </c>
      <c r="T543" t="s">
        <v>58</v>
      </c>
      <c r="U543" t="s">
        <v>151</v>
      </c>
      <c r="V543" s="3">
        <v>0.27</v>
      </c>
      <c r="W543" s="2">
        <v>0</v>
      </c>
      <c r="X543">
        <v>0</v>
      </c>
      <c r="Y543" t="s">
        <v>60</v>
      </c>
      <c r="Z543" t="s">
        <v>248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145.82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46202</v>
      </c>
      <c r="B544" t="s">
        <v>48</v>
      </c>
      <c r="C544">
        <v>649163</v>
      </c>
      <c r="D544">
        <v>2035204836</v>
      </c>
      <c r="E544" t="s">
        <v>860</v>
      </c>
      <c r="F544" t="s">
        <v>319</v>
      </c>
      <c r="G544" t="s">
        <v>51</v>
      </c>
      <c r="H544" t="s">
        <v>479</v>
      </c>
      <c r="I544" t="s">
        <v>237</v>
      </c>
      <c r="J544" t="s">
        <v>862</v>
      </c>
      <c r="K544">
        <v>862109</v>
      </c>
      <c r="L544" t="s">
        <v>177</v>
      </c>
      <c r="M544" t="s">
        <v>861</v>
      </c>
      <c r="N544" t="s">
        <v>57</v>
      </c>
      <c r="O544" s="1">
        <v>46142</v>
      </c>
      <c r="Q544" s="1">
        <v>46233</v>
      </c>
      <c r="R544" s="2">
        <v>9.9499999999999993</v>
      </c>
      <c r="S544">
        <v>1</v>
      </c>
      <c r="T544" t="s">
        <v>58</v>
      </c>
      <c r="U544" t="s">
        <v>151</v>
      </c>
      <c r="V544" s="3">
        <v>0.27</v>
      </c>
      <c r="W544" s="2">
        <v>0</v>
      </c>
      <c r="X544">
        <v>0</v>
      </c>
      <c r="Y544" t="s">
        <v>60</v>
      </c>
      <c r="Z544" t="s">
        <v>248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2.69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46202</v>
      </c>
      <c r="B545" t="s">
        <v>48</v>
      </c>
      <c r="C545">
        <v>649163</v>
      </c>
      <c r="D545">
        <v>2035666067</v>
      </c>
      <c r="E545" t="s">
        <v>654</v>
      </c>
      <c r="F545" t="s">
        <v>655</v>
      </c>
      <c r="G545" t="s">
        <v>51</v>
      </c>
      <c r="H545" t="s">
        <v>200</v>
      </c>
      <c r="I545" t="s">
        <v>237</v>
      </c>
      <c r="J545" t="s">
        <v>855</v>
      </c>
      <c r="K545">
        <v>942810</v>
      </c>
      <c r="L545" t="s">
        <v>505</v>
      </c>
      <c r="M545" t="s">
        <v>506</v>
      </c>
      <c r="N545" t="s">
        <v>57</v>
      </c>
      <c r="O545" s="1">
        <v>46169</v>
      </c>
      <c r="Q545" s="1">
        <v>46230</v>
      </c>
      <c r="R545" s="2">
        <v>202.27</v>
      </c>
      <c r="S545">
        <v>1</v>
      </c>
      <c r="T545" t="s">
        <v>58</v>
      </c>
      <c r="U545" t="s">
        <v>151</v>
      </c>
      <c r="V545" s="3">
        <v>0.19</v>
      </c>
      <c r="W545" s="2">
        <v>0</v>
      </c>
      <c r="X545">
        <v>0</v>
      </c>
      <c r="Y545" t="s">
        <v>60</v>
      </c>
      <c r="Z545" t="s">
        <v>248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38.43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46202</v>
      </c>
      <c r="B546" t="s">
        <v>48</v>
      </c>
      <c r="C546">
        <v>649163</v>
      </c>
      <c r="D546">
        <v>2018641362</v>
      </c>
      <c r="E546" t="s">
        <v>863</v>
      </c>
      <c r="F546" t="s">
        <v>864</v>
      </c>
      <c r="G546" t="s">
        <v>51</v>
      </c>
      <c r="H546" t="s">
        <v>100</v>
      </c>
      <c r="I546" t="s">
        <v>240</v>
      </c>
      <c r="J546" t="s">
        <v>865</v>
      </c>
      <c r="K546">
        <v>673059</v>
      </c>
      <c r="L546" t="s">
        <v>102</v>
      </c>
      <c r="M546" t="s">
        <v>103</v>
      </c>
      <c r="N546" t="s">
        <v>57</v>
      </c>
      <c r="O546" s="1">
        <v>45102</v>
      </c>
      <c r="Q546" s="1">
        <v>46228</v>
      </c>
      <c r="R546" s="2">
        <v>95.7</v>
      </c>
      <c r="S546">
        <v>1</v>
      </c>
      <c r="T546" t="s">
        <v>58</v>
      </c>
      <c r="U546" t="s">
        <v>246</v>
      </c>
      <c r="V546" s="4">
        <v>5.2499999999999998E-2</v>
      </c>
      <c r="W546" s="2">
        <v>0</v>
      </c>
      <c r="X546">
        <v>0</v>
      </c>
      <c r="Y546" t="s">
        <v>247</v>
      </c>
      <c r="Z546" t="s">
        <v>248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5.0199999999999996</v>
      </c>
      <c r="AN546" s="2">
        <v>5.0199999999999996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46202</v>
      </c>
      <c r="B547" t="s">
        <v>48</v>
      </c>
      <c r="C547">
        <v>649163</v>
      </c>
      <c r="D547">
        <v>2021160584</v>
      </c>
      <c r="E547" t="s">
        <v>866</v>
      </c>
      <c r="F547" t="s">
        <v>605</v>
      </c>
      <c r="G547" t="s">
        <v>51</v>
      </c>
      <c r="H547" t="s">
        <v>52</v>
      </c>
      <c r="I547" t="s">
        <v>240</v>
      </c>
      <c r="J547" t="s">
        <v>865</v>
      </c>
      <c r="K547">
        <v>728134</v>
      </c>
      <c r="L547" t="s">
        <v>674</v>
      </c>
      <c r="M547" t="s">
        <v>638</v>
      </c>
      <c r="N547" t="s">
        <v>57</v>
      </c>
      <c r="O547" s="1">
        <v>45292</v>
      </c>
      <c r="Q547" s="1">
        <v>46204</v>
      </c>
      <c r="R547" s="2">
        <v>67.180000000000007</v>
      </c>
      <c r="S547">
        <v>1</v>
      </c>
      <c r="T547" t="s">
        <v>58</v>
      </c>
      <c r="U547" t="s">
        <v>246</v>
      </c>
      <c r="V547" s="4">
        <v>5.2499999999999998E-2</v>
      </c>
      <c r="W547" s="2">
        <v>0</v>
      </c>
      <c r="X547">
        <v>0</v>
      </c>
      <c r="Y547" t="s">
        <v>247</v>
      </c>
      <c r="Z547" t="s">
        <v>248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3.53</v>
      </c>
      <c r="AN547" s="2">
        <v>3.53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46202</v>
      </c>
      <c r="B548" t="s">
        <v>48</v>
      </c>
      <c r="C548">
        <v>649163</v>
      </c>
      <c r="D548">
        <v>2021515732</v>
      </c>
      <c r="E548" t="s">
        <v>260</v>
      </c>
      <c r="F548" t="s">
        <v>261</v>
      </c>
      <c r="G548" t="s">
        <v>51</v>
      </c>
      <c r="H548" t="s">
        <v>52</v>
      </c>
      <c r="I548" t="s">
        <v>240</v>
      </c>
      <c r="J548" t="s">
        <v>865</v>
      </c>
      <c r="K548">
        <v>649247</v>
      </c>
      <c r="L548" t="s">
        <v>255</v>
      </c>
      <c r="M548" t="s">
        <v>256</v>
      </c>
      <c r="N548" t="s">
        <v>57</v>
      </c>
      <c r="O548" s="1">
        <v>45315</v>
      </c>
      <c r="Q548" s="1">
        <v>46227</v>
      </c>
      <c r="R548" s="2">
        <v>54.54</v>
      </c>
      <c r="S548">
        <v>1</v>
      </c>
      <c r="T548" t="s">
        <v>58</v>
      </c>
      <c r="U548" t="s">
        <v>246</v>
      </c>
      <c r="V548" s="4">
        <v>5.2499999999999998E-2</v>
      </c>
      <c r="W548" s="2">
        <v>0</v>
      </c>
      <c r="X548">
        <v>0</v>
      </c>
      <c r="Y548" t="s">
        <v>247</v>
      </c>
      <c r="Z548" t="s">
        <v>248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2.86</v>
      </c>
      <c r="AN548" s="2">
        <v>2.86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46202</v>
      </c>
      <c r="B549" t="s">
        <v>48</v>
      </c>
      <c r="C549">
        <v>649163</v>
      </c>
      <c r="D549">
        <v>2022400180</v>
      </c>
      <c r="E549" t="s">
        <v>867</v>
      </c>
      <c r="F549" t="s">
        <v>868</v>
      </c>
      <c r="G549" t="s">
        <v>51</v>
      </c>
      <c r="H549" t="s">
        <v>52</v>
      </c>
      <c r="I549" t="s">
        <v>240</v>
      </c>
      <c r="J549" t="s">
        <v>865</v>
      </c>
      <c r="K549">
        <v>728134</v>
      </c>
      <c r="L549" t="s">
        <v>674</v>
      </c>
      <c r="M549" t="s">
        <v>638</v>
      </c>
      <c r="N549" t="s">
        <v>57</v>
      </c>
      <c r="O549" s="1">
        <v>45374</v>
      </c>
      <c r="Q549" s="1">
        <v>46226</v>
      </c>
      <c r="R549" s="2">
        <v>43.59</v>
      </c>
      <c r="S549">
        <v>1</v>
      </c>
      <c r="T549" t="s">
        <v>58</v>
      </c>
      <c r="U549" t="s">
        <v>246</v>
      </c>
      <c r="V549" s="4">
        <v>5.2499999999999998E-2</v>
      </c>
      <c r="W549" s="2">
        <v>0</v>
      </c>
      <c r="X549">
        <v>0</v>
      </c>
      <c r="Y549" t="s">
        <v>247</v>
      </c>
      <c r="Z549" t="s">
        <v>248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2.29</v>
      </c>
      <c r="AN549" s="2">
        <v>2.29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46202</v>
      </c>
      <c r="B550" t="s">
        <v>48</v>
      </c>
      <c r="C550">
        <v>649163</v>
      </c>
      <c r="D550">
        <v>2022833707</v>
      </c>
      <c r="E550" t="s">
        <v>869</v>
      </c>
      <c r="F550" t="s">
        <v>870</v>
      </c>
      <c r="G550" t="s">
        <v>51</v>
      </c>
      <c r="H550" t="s">
        <v>124</v>
      </c>
      <c r="I550" t="s">
        <v>240</v>
      </c>
      <c r="J550" t="s">
        <v>865</v>
      </c>
      <c r="K550">
        <v>673059</v>
      </c>
      <c r="L550" t="s">
        <v>102</v>
      </c>
      <c r="M550" t="s">
        <v>103</v>
      </c>
      <c r="N550" t="s">
        <v>57</v>
      </c>
      <c r="O550" s="1">
        <v>45407</v>
      </c>
      <c r="Q550" s="1">
        <v>46228</v>
      </c>
      <c r="R550" s="2">
        <v>74.53</v>
      </c>
      <c r="S550">
        <v>1</v>
      </c>
      <c r="T550" t="s">
        <v>58</v>
      </c>
      <c r="U550" t="s">
        <v>246</v>
      </c>
      <c r="V550" s="4">
        <v>5.2499999999999998E-2</v>
      </c>
      <c r="W550" s="2">
        <v>0</v>
      </c>
      <c r="X550">
        <v>0</v>
      </c>
      <c r="Y550" t="s">
        <v>247</v>
      </c>
      <c r="Z550" t="s">
        <v>248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3.91</v>
      </c>
      <c r="AN550" s="2">
        <v>3.91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46202</v>
      </c>
      <c r="B551" t="s">
        <v>48</v>
      </c>
      <c r="C551">
        <v>649163</v>
      </c>
      <c r="D551">
        <v>2024084590</v>
      </c>
      <c r="E551" t="s">
        <v>446</v>
      </c>
      <c r="F551" t="s">
        <v>871</v>
      </c>
      <c r="G551" t="s">
        <v>51</v>
      </c>
      <c r="H551" t="s">
        <v>52</v>
      </c>
      <c r="I551" t="s">
        <v>240</v>
      </c>
      <c r="J551" t="s">
        <v>865</v>
      </c>
      <c r="K551">
        <v>728134</v>
      </c>
      <c r="L551" t="s">
        <v>674</v>
      </c>
      <c r="M551" t="s">
        <v>638</v>
      </c>
      <c r="N551" t="s">
        <v>57</v>
      </c>
      <c r="O551" s="1">
        <v>45499</v>
      </c>
      <c r="Q551" s="1">
        <v>46229</v>
      </c>
      <c r="R551" s="2">
        <v>43.59</v>
      </c>
      <c r="S551">
        <v>1</v>
      </c>
      <c r="T551" t="s">
        <v>58</v>
      </c>
      <c r="U551" t="s">
        <v>246</v>
      </c>
      <c r="V551" s="4">
        <v>5.2499999999999998E-2</v>
      </c>
      <c r="W551" s="2">
        <v>0</v>
      </c>
      <c r="X551">
        <v>0</v>
      </c>
      <c r="Y551" t="s">
        <v>247</v>
      </c>
      <c r="Z551" t="s">
        <v>248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2.29</v>
      </c>
      <c r="AN551" s="2">
        <v>2.29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46202</v>
      </c>
      <c r="B552" t="s">
        <v>48</v>
      </c>
      <c r="C552">
        <v>649163</v>
      </c>
      <c r="D552">
        <v>2024464934</v>
      </c>
      <c r="E552" t="s">
        <v>872</v>
      </c>
      <c r="F552" t="s">
        <v>873</v>
      </c>
      <c r="G552" t="s">
        <v>51</v>
      </c>
      <c r="H552" t="s">
        <v>89</v>
      </c>
      <c r="I552" t="s">
        <v>240</v>
      </c>
      <c r="J552" t="s">
        <v>865</v>
      </c>
      <c r="K552">
        <v>766422</v>
      </c>
      <c r="L552" t="s">
        <v>612</v>
      </c>
      <c r="M552" t="s">
        <v>211</v>
      </c>
      <c r="N552" t="s">
        <v>57</v>
      </c>
      <c r="O552" s="1">
        <v>45527</v>
      </c>
      <c r="Q552" s="1">
        <v>46226</v>
      </c>
      <c r="R552" s="2">
        <v>109.48</v>
      </c>
      <c r="S552">
        <v>1</v>
      </c>
      <c r="T552" t="s">
        <v>58</v>
      </c>
      <c r="U552" t="s">
        <v>246</v>
      </c>
      <c r="V552" s="4">
        <v>5.2499999999999998E-2</v>
      </c>
      <c r="W552" s="2">
        <v>0</v>
      </c>
      <c r="X552">
        <v>0</v>
      </c>
      <c r="Y552" t="s">
        <v>247</v>
      </c>
      <c r="Z552" t="s">
        <v>248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5.75</v>
      </c>
      <c r="AN552" s="2">
        <v>5.75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46202</v>
      </c>
      <c r="B553" t="s">
        <v>48</v>
      </c>
      <c r="C553">
        <v>649163</v>
      </c>
      <c r="D553">
        <v>2024526899</v>
      </c>
      <c r="E553" t="s">
        <v>578</v>
      </c>
      <c r="F553" t="s">
        <v>874</v>
      </c>
      <c r="G553" t="s">
        <v>51</v>
      </c>
      <c r="H553" t="s">
        <v>52</v>
      </c>
      <c r="I553" t="s">
        <v>240</v>
      </c>
      <c r="J553" t="s">
        <v>865</v>
      </c>
      <c r="K553">
        <v>649247</v>
      </c>
      <c r="L553" t="s">
        <v>255</v>
      </c>
      <c r="M553" t="s">
        <v>256</v>
      </c>
      <c r="N553" t="s">
        <v>57</v>
      </c>
      <c r="O553" s="1">
        <v>45528</v>
      </c>
      <c r="Q553" s="1">
        <v>46227</v>
      </c>
      <c r="R553" s="2">
        <v>50.6</v>
      </c>
      <c r="S553">
        <v>1</v>
      </c>
      <c r="T553" t="s">
        <v>58</v>
      </c>
      <c r="U553" t="s">
        <v>246</v>
      </c>
      <c r="V553" s="4">
        <v>5.2499999999999998E-2</v>
      </c>
      <c r="W553" s="2">
        <v>0</v>
      </c>
      <c r="X553">
        <v>0</v>
      </c>
      <c r="Y553" t="s">
        <v>247</v>
      </c>
      <c r="Z553" t="s">
        <v>248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2.66</v>
      </c>
      <c r="AN553" s="2">
        <v>2.66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46202</v>
      </c>
      <c r="B554" t="s">
        <v>48</v>
      </c>
      <c r="C554">
        <v>649163</v>
      </c>
      <c r="D554">
        <v>2026721618</v>
      </c>
      <c r="E554" t="s">
        <v>875</v>
      </c>
      <c r="F554" t="s">
        <v>876</v>
      </c>
      <c r="G554" t="s">
        <v>51</v>
      </c>
      <c r="H554" t="s">
        <v>397</v>
      </c>
      <c r="I554" t="s">
        <v>240</v>
      </c>
      <c r="J554" t="s">
        <v>877</v>
      </c>
      <c r="K554">
        <v>768887</v>
      </c>
      <c r="L554" t="s">
        <v>368</v>
      </c>
      <c r="M554" t="s">
        <v>369</v>
      </c>
      <c r="N554" t="s">
        <v>57</v>
      </c>
      <c r="O554" s="1">
        <v>45680</v>
      </c>
      <c r="Q554" s="1">
        <v>46226</v>
      </c>
      <c r="R554" s="2">
        <v>113.89</v>
      </c>
      <c r="S554">
        <v>1</v>
      </c>
      <c r="T554" t="s">
        <v>58</v>
      </c>
      <c r="U554" t="s">
        <v>246</v>
      </c>
      <c r="V554" s="3">
        <v>0.08</v>
      </c>
      <c r="W554" s="2">
        <v>0</v>
      </c>
      <c r="X554">
        <v>0</v>
      </c>
      <c r="Y554" t="s">
        <v>247</v>
      </c>
      <c r="Z554" t="s">
        <v>248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9.11</v>
      </c>
      <c r="AN554" s="2">
        <v>9.11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46202</v>
      </c>
      <c r="B555" t="s">
        <v>48</v>
      </c>
      <c r="C555">
        <v>649163</v>
      </c>
      <c r="D555">
        <v>2031209004</v>
      </c>
      <c r="E555" t="s">
        <v>878</v>
      </c>
      <c r="F555" t="s">
        <v>879</v>
      </c>
      <c r="G555" t="s">
        <v>51</v>
      </c>
      <c r="H555" t="s">
        <v>52</v>
      </c>
      <c r="I555" t="s">
        <v>240</v>
      </c>
      <c r="J555" t="s">
        <v>877</v>
      </c>
      <c r="K555">
        <v>751867</v>
      </c>
      <c r="L555" t="s">
        <v>272</v>
      </c>
      <c r="M555" t="s">
        <v>209</v>
      </c>
      <c r="N555" t="s">
        <v>57</v>
      </c>
      <c r="O555" s="1">
        <v>45923</v>
      </c>
      <c r="Q555" s="1">
        <v>46226</v>
      </c>
      <c r="R555" s="2">
        <v>55.2</v>
      </c>
      <c r="S555">
        <v>1</v>
      </c>
      <c r="T555" t="s">
        <v>58</v>
      </c>
      <c r="U555" t="s">
        <v>59</v>
      </c>
      <c r="V555" s="3">
        <v>0.51</v>
      </c>
      <c r="W555" s="2">
        <v>0</v>
      </c>
      <c r="X555">
        <v>0</v>
      </c>
      <c r="Y555" t="s">
        <v>60</v>
      </c>
      <c r="Z555" t="s">
        <v>248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28.15</v>
      </c>
      <c r="AN555" s="2">
        <v>28.15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46202</v>
      </c>
      <c r="B556" t="s">
        <v>880</v>
      </c>
      <c r="C556">
        <v>649163</v>
      </c>
      <c r="D556">
        <v>2018732057</v>
      </c>
      <c r="E556" t="s">
        <v>339</v>
      </c>
      <c r="F556" t="s">
        <v>138</v>
      </c>
      <c r="G556" t="s">
        <v>51</v>
      </c>
      <c r="I556" t="s">
        <v>194</v>
      </c>
      <c r="J556" t="s">
        <v>881</v>
      </c>
      <c r="K556">
        <v>649163</v>
      </c>
      <c r="L556" t="s">
        <v>210</v>
      </c>
      <c r="M556" t="s">
        <v>211</v>
      </c>
      <c r="N556" t="s">
        <v>257</v>
      </c>
      <c r="O556" s="1">
        <v>45081</v>
      </c>
      <c r="P556" s="1">
        <v>46202</v>
      </c>
      <c r="R556" s="2">
        <v>0</v>
      </c>
      <c r="AB556" s="2">
        <v>0</v>
      </c>
      <c r="AC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46202</v>
      </c>
      <c r="B557" t="s">
        <v>880</v>
      </c>
      <c r="C557">
        <v>649163</v>
      </c>
      <c r="D557">
        <v>2018732056</v>
      </c>
      <c r="E557" t="s">
        <v>339</v>
      </c>
      <c r="F557" t="s">
        <v>138</v>
      </c>
      <c r="G557" t="s">
        <v>51</v>
      </c>
      <c r="I557" t="s">
        <v>69</v>
      </c>
      <c r="J557" t="s">
        <v>338</v>
      </c>
      <c r="K557">
        <v>649163</v>
      </c>
      <c r="L557" t="s">
        <v>210</v>
      </c>
      <c r="M557" t="s">
        <v>211</v>
      </c>
      <c r="N557" t="s">
        <v>257</v>
      </c>
      <c r="O557" s="1">
        <v>45081</v>
      </c>
      <c r="P557" s="1">
        <v>46202</v>
      </c>
      <c r="R557" s="2">
        <v>0</v>
      </c>
      <c r="AB557" s="2">
        <v>0</v>
      </c>
      <c r="AC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46202</v>
      </c>
      <c r="B558" t="s">
        <v>880</v>
      </c>
      <c r="C558">
        <v>649163</v>
      </c>
      <c r="D558">
        <v>2018732058</v>
      </c>
      <c r="E558" t="s">
        <v>339</v>
      </c>
      <c r="F558" t="s">
        <v>138</v>
      </c>
      <c r="G558" t="s">
        <v>51</v>
      </c>
      <c r="I558" t="s">
        <v>194</v>
      </c>
      <c r="J558" t="s">
        <v>217</v>
      </c>
      <c r="K558">
        <v>649163</v>
      </c>
      <c r="L558" t="s">
        <v>210</v>
      </c>
      <c r="M558" t="s">
        <v>211</v>
      </c>
      <c r="N558" t="s">
        <v>257</v>
      </c>
      <c r="O558" s="1">
        <v>45081</v>
      </c>
      <c r="P558" s="1">
        <v>46202</v>
      </c>
      <c r="R558" s="2">
        <v>0</v>
      </c>
      <c r="AB558" s="2">
        <v>0</v>
      </c>
      <c r="AC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46202</v>
      </c>
      <c r="B559" t="s">
        <v>880</v>
      </c>
      <c r="C559">
        <v>649163</v>
      </c>
      <c r="D559">
        <v>2019154309</v>
      </c>
      <c r="E559" t="s">
        <v>253</v>
      </c>
      <c r="F559" t="s">
        <v>254</v>
      </c>
      <c r="G559" t="s">
        <v>51</v>
      </c>
      <c r="I559" t="s">
        <v>53</v>
      </c>
      <c r="J559" t="s">
        <v>54</v>
      </c>
      <c r="K559">
        <v>649163</v>
      </c>
      <c r="L559" t="s">
        <v>255</v>
      </c>
      <c r="M559" t="s">
        <v>256</v>
      </c>
      <c r="N559" t="s">
        <v>257</v>
      </c>
      <c r="O559" s="1">
        <v>45108</v>
      </c>
      <c r="P559" s="1">
        <v>46202</v>
      </c>
      <c r="R559" s="2">
        <v>0</v>
      </c>
      <c r="AB559" s="2">
        <v>0</v>
      </c>
      <c r="AC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46202</v>
      </c>
      <c r="B560" t="s">
        <v>880</v>
      </c>
      <c r="C560">
        <v>649163</v>
      </c>
      <c r="D560">
        <v>2026958695</v>
      </c>
      <c r="E560" t="s">
        <v>294</v>
      </c>
      <c r="F560" t="s">
        <v>67</v>
      </c>
      <c r="G560" t="s">
        <v>51</v>
      </c>
      <c r="I560" t="s">
        <v>53</v>
      </c>
      <c r="J560" t="s">
        <v>54</v>
      </c>
      <c r="K560">
        <v>649163</v>
      </c>
      <c r="L560" t="s">
        <v>295</v>
      </c>
      <c r="M560" t="s">
        <v>296</v>
      </c>
      <c r="N560" t="s">
        <v>257</v>
      </c>
      <c r="O560" s="1">
        <v>45702</v>
      </c>
      <c r="P560" s="1">
        <v>46202</v>
      </c>
      <c r="R560" s="2">
        <v>0</v>
      </c>
      <c r="AB560" s="2">
        <v>0</v>
      </c>
      <c r="AC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46202</v>
      </c>
      <c r="B561" t="s">
        <v>880</v>
      </c>
      <c r="C561">
        <v>650218</v>
      </c>
      <c r="D561">
        <v>2026604984</v>
      </c>
      <c r="E561" t="s">
        <v>882</v>
      </c>
      <c r="F561" t="s">
        <v>883</v>
      </c>
      <c r="G561" t="s">
        <v>51</v>
      </c>
      <c r="I561" t="s">
        <v>133</v>
      </c>
      <c r="J561" t="s">
        <v>134</v>
      </c>
      <c r="K561">
        <v>650218</v>
      </c>
      <c r="L561" t="s">
        <v>266</v>
      </c>
      <c r="M561" t="s">
        <v>267</v>
      </c>
      <c r="N561" t="s">
        <v>257</v>
      </c>
      <c r="O561" s="1">
        <v>45689</v>
      </c>
      <c r="P561" s="1">
        <v>46202</v>
      </c>
      <c r="R561" s="2">
        <v>0</v>
      </c>
      <c r="AB561" s="2">
        <v>0</v>
      </c>
      <c r="AC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46202</v>
      </c>
      <c r="B562" t="s">
        <v>880</v>
      </c>
      <c r="C562">
        <v>649163</v>
      </c>
      <c r="D562">
        <v>2028143929</v>
      </c>
      <c r="E562" t="s">
        <v>884</v>
      </c>
      <c r="F562" t="s">
        <v>885</v>
      </c>
      <c r="G562" t="s">
        <v>51</v>
      </c>
      <c r="I562" t="s">
        <v>194</v>
      </c>
      <c r="J562" t="s">
        <v>195</v>
      </c>
      <c r="K562">
        <v>649163</v>
      </c>
      <c r="L562" t="s">
        <v>229</v>
      </c>
      <c r="M562" t="s">
        <v>230</v>
      </c>
      <c r="N562" t="s">
        <v>257</v>
      </c>
      <c r="O562" s="1">
        <v>45754</v>
      </c>
      <c r="P562" s="1">
        <v>46202</v>
      </c>
      <c r="R562" s="2">
        <v>0</v>
      </c>
      <c r="AB562" s="2">
        <v>0</v>
      </c>
      <c r="AC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46202</v>
      </c>
      <c r="B563" t="s">
        <v>880</v>
      </c>
      <c r="C563">
        <v>649163</v>
      </c>
      <c r="D563">
        <v>2027573958</v>
      </c>
      <c r="E563" t="s">
        <v>115</v>
      </c>
      <c r="F563" t="s">
        <v>886</v>
      </c>
      <c r="G563" t="s">
        <v>51</v>
      </c>
      <c r="I563" t="s">
        <v>194</v>
      </c>
      <c r="J563" t="s">
        <v>195</v>
      </c>
      <c r="K563">
        <v>649163</v>
      </c>
      <c r="L563" t="s">
        <v>102</v>
      </c>
      <c r="M563" t="s">
        <v>103</v>
      </c>
      <c r="N563" t="s">
        <v>257</v>
      </c>
      <c r="O563" s="1">
        <v>45757</v>
      </c>
      <c r="P563" s="1">
        <v>46202</v>
      </c>
      <c r="R563" s="2">
        <v>0</v>
      </c>
      <c r="AB563" s="2">
        <v>0</v>
      </c>
      <c r="AC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46202</v>
      </c>
      <c r="B564" t="s">
        <v>880</v>
      </c>
      <c r="C564">
        <v>673059</v>
      </c>
      <c r="D564">
        <v>2028402718</v>
      </c>
      <c r="E564" t="s">
        <v>887</v>
      </c>
      <c r="F564" t="s">
        <v>888</v>
      </c>
      <c r="G564" t="s">
        <v>51</v>
      </c>
      <c r="I564" t="s">
        <v>194</v>
      </c>
      <c r="J564" t="s">
        <v>195</v>
      </c>
      <c r="K564">
        <v>673059</v>
      </c>
      <c r="L564" t="s">
        <v>102</v>
      </c>
      <c r="M564" t="s">
        <v>103</v>
      </c>
      <c r="N564" t="s">
        <v>257</v>
      </c>
      <c r="O564" s="1">
        <v>45778</v>
      </c>
      <c r="P564" s="1">
        <v>46202</v>
      </c>
      <c r="R564" s="2">
        <v>0</v>
      </c>
      <c r="AB564" s="2">
        <v>0</v>
      </c>
      <c r="AC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46202</v>
      </c>
      <c r="B565" t="s">
        <v>880</v>
      </c>
      <c r="C565">
        <v>823068</v>
      </c>
      <c r="D565">
        <v>2030079839</v>
      </c>
      <c r="E565" t="s">
        <v>889</v>
      </c>
      <c r="F565" t="s">
        <v>890</v>
      </c>
      <c r="G565" t="s">
        <v>51</v>
      </c>
      <c r="I565" t="s">
        <v>69</v>
      </c>
      <c r="J565" t="s">
        <v>79</v>
      </c>
      <c r="K565">
        <v>823068</v>
      </c>
      <c r="L565" t="s">
        <v>389</v>
      </c>
      <c r="M565" t="s">
        <v>390</v>
      </c>
      <c r="N565" t="s">
        <v>257</v>
      </c>
      <c r="O565" s="1">
        <v>45861</v>
      </c>
      <c r="P565" s="1">
        <v>46202</v>
      </c>
      <c r="R565" s="2">
        <v>0</v>
      </c>
      <c r="AB565" s="2">
        <v>541.84</v>
      </c>
      <c r="AC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541.84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46202</v>
      </c>
      <c r="B566" t="s">
        <v>880</v>
      </c>
      <c r="C566">
        <v>823068</v>
      </c>
      <c r="D566">
        <v>2030079840</v>
      </c>
      <c r="E566" t="s">
        <v>889</v>
      </c>
      <c r="F566" t="s">
        <v>890</v>
      </c>
      <c r="G566" t="s">
        <v>51</v>
      </c>
      <c r="I566" t="s">
        <v>194</v>
      </c>
      <c r="J566" t="s">
        <v>881</v>
      </c>
      <c r="K566">
        <v>823068</v>
      </c>
      <c r="L566" t="s">
        <v>389</v>
      </c>
      <c r="M566" t="s">
        <v>390</v>
      </c>
      <c r="N566" t="s">
        <v>257</v>
      </c>
      <c r="O566" s="1">
        <v>45861</v>
      </c>
      <c r="P566" s="1">
        <v>46202</v>
      </c>
      <c r="R566" s="2">
        <v>0</v>
      </c>
      <c r="AB566" s="2">
        <v>103.36</v>
      </c>
      <c r="AC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103.36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46202</v>
      </c>
      <c r="B567" t="s">
        <v>880</v>
      </c>
      <c r="C567">
        <v>649163</v>
      </c>
      <c r="D567">
        <v>2030366106</v>
      </c>
      <c r="E567" t="s">
        <v>385</v>
      </c>
      <c r="F567" t="s">
        <v>386</v>
      </c>
      <c r="G567" t="s">
        <v>51</v>
      </c>
      <c r="I567" t="s">
        <v>194</v>
      </c>
      <c r="J567" t="s">
        <v>195</v>
      </c>
      <c r="K567">
        <v>649163</v>
      </c>
      <c r="L567" t="s">
        <v>210</v>
      </c>
      <c r="M567" t="s">
        <v>211</v>
      </c>
      <c r="N567" t="s">
        <v>257</v>
      </c>
      <c r="O567" s="1">
        <v>45878</v>
      </c>
      <c r="P567" s="1">
        <v>46202</v>
      </c>
      <c r="R567" s="2">
        <v>0</v>
      </c>
      <c r="AB567" s="2">
        <v>119.2</v>
      </c>
      <c r="AC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119.2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46202</v>
      </c>
      <c r="B568" t="s">
        <v>880</v>
      </c>
      <c r="C568">
        <v>649163</v>
      </c>
      <c r="D568">
        <v>2030366107</v>
      </c>
      <c r="E568" t="s">
        <v>385</v>
      </c>
      <c r="F568" t="s">
        <v>386</v>
      </c>
      <c r="G568" t="s">
        <v>51</v>
      </c>
      <c r="I568" t="s">
        <v>69</v>
      </c>
      <c r="J568" t="s">
        <v>79</v>
      </c>
      <c r="K568">
        <v>649163</v>
      </c>
      <c r="L568" t="s">
        <v>210</v>
      </c>
      <c r="M568" t="s">
        <v>211</v>
      </c>
      <c r="N568" t="s">
        <v>257</v>
      </c>
      <c r="O568" s="1">
        <v>45878</v>
      </c>
      <c r="P568" s="1">
        <v>46202</v>
      </c>
      <c r="R568" s="2">
        <v>0</v>
      </c>
      <c r="AB568" s="2">
        <v>320.87</v>
      </c>
      <c r="AC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320.87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46202</v>
      </c>
      <c r="B569" t="s">
        <v>880</v>
      </c>
      <c r="C569">
        <v>812994</v>
      </c>
      <c r="D569">
        <v>2031255007</v>
      </c>
      <c r="E569" t="s">
        <v>891</v>
      </c>
      <c r="F569" t="s">
        <v>892</v>
      </c>
      <c r="G569" t="s">
        <v>51</v>
      </c>
      <c r="I569" t="s">
        <v>133</v>
      </c>
      <c r="J569" t="s">
        <v>134</v>
      </c>
      <c r="K569">
        <v>812994</v>
      </c>
      <c r="L569" t="s">
        <v>615</v>
      </c>
      <c r="M569" t="s">
        <v>616</v>
      </c>
      <c r="N569" t="s">
        <v>257</v>
      </c>
      <c r="O569" s="1">
        <v>45925</v>
      </c>
      <c r="P569" s="1">
        <v>46202</v>
      </c>
      <c r="R569" s="2">
        <v>0</v>
      </c>
      <c r="AB569" s="2">
        <v>579.36</v>
      </c>
      <c r="AC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579.36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46202</v>
      </c>
      <c r="B570" t="s">
        <v>880</v>
      </c>
      <c r="C570">
        <v>812994</v>
      </c>
      <c r="D570">
        <v>2031255008</v>
      </c>
      <c r="E570" t="s">
        <v>891</v>
      </c>
      <c r="F570" t="s">
        <v>892</v>
      </c>
      <c r="G570" t="s">
        <v>51</v>
      </c>
      <c r="I570" t="s">
        <v>188</v>
      </c>
      <c r="J570" t="s">
        <v>190</v>
      </c>
      <c r="K570">
        <v>812994</v>
      </c>
      <c r="L570" t="s">
        <v>615</v>
      </c>
      <c r="M570" t="s">
        <v>616</v>
      </c>
      <c r="N570" t="s">
        <v>257</v>
      </c>
      <c r="O570" s="1">
        <v>45925</v>
      </c>
      <c r="P570" s="1">
        <v>46202</v>
      </c>
      <c r="R570" s="2">
        <v>0</v>
      </c>
      <c r="AB570" s="2">
        <v>749.76</v>
      </c>
      <c r="AC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749.76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46202</v>
      </c>
      <c r="B571" t="s">
        <v>880</v>
      </c>
      <c r="C571">
        <v>812994</v>
      </c>
      <c r="D571">
        <v>2031255009</v>
      </c>
      <c r="E571" t="s">
        <v>891</v>
      </c>
      <c r="F571" t="s">
        <v>892</v>
      </c>
      <c r="G571" t="s">
        <v>51</v>
      </c>
      <c r="I571" t="s">
        <v>188</v>
      </c>
      <c r="J571" t="s">
        <v>191</v>
      </c>
      <c r="K571">
        <v>812994</v>
      </c>
      <c r="L571" t="s">
        <v>615</v>
      </c>
      <c r="M571" t="s">
        <v>616</v>
      </c>
      <c r="N571" t="s">
        <v>257</v>
      </c>
      <c r="O571" s="1">
        <v>45925</v>
      </c>
      <c r="P571" s="1">
        <v>46202</v>
      </c>
      <c r="R571" s="2">
        <v>0</v>
      </c>
      <c r="AB571" s="2">
        <v>16.14</v>
      </c>
      <c r="AC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16.14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46202</v>
      </c>
      <c r="B572" t="s">
        <v>880</v>
      </c>
      <c r="C572">
        <v>812994</v>
      </c>
      <c r="D572">
        <v>2031255010</v>
      </c>
      <c r="E572" t="s">
        <v>891</v>
      </c>
      <c r="F572" t="s">
        <v>892</v>
      </c>
      <c r="G572" t="s">
        <v>51</v>
      </c>
      <c r="I572" t="s">
        <v>194</v>
      </c>
      <c r="J572" t="s">
        <v>195</v>
      </c>
      <c r="K572">
        <v>812994</v>
      </c>
      <c r="L572" t="s">
        <v>615</v>
      </c>
      <c r="M572" t="s">
        <v>616</v>
      </c>
      <c r="N572" t="s">
        <v>257</v>
      </c>
      <c r="O572" s="1">
        <v>45925</v>
      </c>
      <c r="P572" s="1">
        <v>46202</v>
      </c>
      <c r="R572" s="2">
        <v>0</v>
      </c>
      <c r="AB572" s="2">
        <v>362.28</v>
      </c>
      <c r="AC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362.28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46202</v>
      </c>
      <c r="B573" t="s">
        <v>880</v>
      </c>
      <c r="C573">
        <v>812994</v>
      </c>
      <c r="D573">
        <v>2031255011</v>
      </c>
      <c r="E573" t="s">
        <v>891</v>
      </c>
      <c r="F573" t="s">
        <v>892</v>
      </c>
      <c r="G573" t="s">
        <v>51</v>
      </c>
      <c r="I573" t="s">
        <v>149</v>
      </c>
      <c r="J573" t="s">
        <v>150</v>
      </c>
      <c r="K573">
        <v>812994</v>
      </c>
      <c r="L573" t="s">
        <v>615</v>
      </c>
      <c r="M573" t="s">
        <v>616</v>
      </c>
      <c r="N573" t="s">
        <v>257</v>
      </c>
      <c r="O573" s="1">
        <v>45925</v>
      </c>
      <c r="P573" s="1">
        <v>46202</v>
      </c>
      <c r="R573" s="2">
        <v>0</v>
      </c>
      <c r="AB573" s="2">
        <v>34.200000000000003</v>
      </c>
      <c r="AC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34.200000000000003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46202</v>
      </c>
      <c r="B574" t="s">
        <v>880</v>
      </c>
      <c r="C574">
        <v>649163</v>
      </c>
      <c r="D574">
        <v>2031343659</v>
      </c>
      <c r="E574" t="s">
        <v>884</v>
      </c>
      <c r="F574" t="s">
        <v>893</v>
      </c>
      <c r="G574" t="s">
        <v>51</v>
      </c>
      <c r="I574" t="s">
        <v>194</v>
      </c>
      <c r="J574" t="s">
        <v>195</v>
      </c>
      <c r="K574">
        <v>649163</v>
      </c>
      <c r="L574" t="s">
        <v>229</v>
      </c>
      <c r="M574" t="s">
        <v>230</v>
      </c>
      <c r="N574" t="s">
        <v>257</v>
      </c>
      <c r="O574" s="1">
        <v>45931</v>
      </c>
      <c r="P574" s="1">
        <v>46202</v>
      </c>
      <c r="R574" s="2">
        <v>0</v>
      </c>
      <c r="AB574" s="2">
        <v>54.6</v>
      </c>
      <c r="AC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54.6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46202</v>
      </c>
      <c r="B575" t="s">
        <v>880</v>
      </c>
      <c r="C575">
        <v>649163</v>
      </c>
      <c r="D575">
        <v>2031343658</v>
      </c>
      <c r="E575" t="s">
        <v>884</v>
      </c>
      <c r="F575" t="s">
        <v>893</v>
      </c>
      <c r="G575" t="s">
        <v>51</v>
      </c>
      <c r="I575" t="s">
        <v>133</v>
      </c>
      <c r="J575" t="s">
        <v>134</v>
      </c>
      <c r="K575">
        <v>649163</v>
      </c>
      <c r="L575" t="s">
        <v>229</v>
      </c>
      <c r="M575" t="s">
        <v>230</v>
      </c>
      <c r="N575" t="s">
        <v>257</v>
      </c>
      <c r="O575" s="1">
        <v>45931</v>
      </c>
      <c r="P575" s="1">
        <v>46202</v>
      </c>
      <c r="R575" s="2">
        <v>0</v>
      </c>
      <c r="AB575" s="2">
        <v>155.94</v>
      </c>
      <c r="AC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155.94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46202</v>
      </c>
      <c r="B576" t="s">
        <v>880</v>
      </c>
      <c r="C576">
        <v>856163</v>
      </c>
      <c r="D576">
        <v>2031840268</v>
      </c>
      <c r="E576" t="s">
        <v>894</v>
      </c>
      <c r="F576" t="s">
        <v>895</v>
      </c>
      <c r="G576" t="s">
        <v>51</v>
      </c>
      <c r="I576" t="s">
        <v>188</v>
      </c>
      <c r="J576" t="s">
        <v>190</v>
      </c>
      <c r="K576">
        <v>856163</v>
      </c>
      <c r="L576" t="s">
        <v>113</v>
      </c>
      <c r="M576" t="s">
        <v>452</v>
      </c>
      <c r="N576" t="s">
        <v>257</v>
      </c>
      <c r="O576" s="1">
        <v>45959</v>
      </c>
      <c r="P576" s="1">
        <v>46202</v>
      </c>
      <c r="R576" s="2">
        <v>0</v>
      </c>
      <c r="AB576" s="2">
        <v>263.04000000000002</v>
      </c>
      <c r="AC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263.04000000000002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46202</v>
      </c>
      <c r="B577" t="s">
        <v>880</v>
      </c>
      <c r="C577">
        <v>856163</v>
      </c>
      <c r="D577">
        <v>2031840269</v>
      </c>
      <c r="E577" t="s">
        <v>894</v>
      </c>
      <c r="F577" t="s">
        <v>895</v>
      </c>
      <c r="G577" t="s">
        <v>51</v>
      </c>
      <c r="I577" t="s">
        <v>149</v>
      </c>
      <c r="J577" t="s">
        <v>150</v>
      </c>
      <c r="K577">
        <v>856163</v>
      </c>
      <c r="L577" t="s">
        <v>113</v>
      </c>
      <c r="M577" t="s">
        <v>452</v>
      </c>
      <c r="N577" t="s">
        <v>257</v>
      </c>
      <c r="O577" s="1">
        <v>45959</v>
      </c>
      <c r="P577" s="1">
        <v>46202</v>
      </c>
      <c r="R577" s="2">
        <v>0</v>
      </c>
      <c r="AB577" s="2">
        <v>34.200000000000003</v>
      </c>
      <c r="AC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34.200000000000003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46202</v>
      </c>
      <c r="B578" t="s">
        <v>880</v>
      </c>
      <c r="C578">
        <v>649163</v>
      </c>
      <c r="D578">
        <v>2032702836</v>
      </c>
      <c r="E578" t="s">
        <v>896</v>
      </c>
      <c r="F578" t="s">
        <v>209</v>
      </c>
      <c r="G578" t="s">
        <v>51</v>
      </c>
      <c r="I578" t="s">
        <v>194</v>
      </c>
      <c r="J578" t="s">
        <v>195</v>
      </c>
      <c r="K578">
        <v>649163</v>
      </c>
      <c r="L578" t="s">
        <v>172</v>
      </c>
      <c r="M578" t="s">
        <v>173</v>
      </c>
      <c r="N578" t="s">
        <v>257</v>
      </c>
      <c r="O578" s="1">
        <v>46023</v>
      </c>
      <c r="P578" s="1">
        <v>46202</v>
      </c>
      <c r="R578" s="2">
        <v>0</v>
      </c>
      <c r="AB578" s="2">
        <v>115.5</v>
      </c>
      <c r="AC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115.5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46202</v>
      </c>
      <c r="B579" t="s">
        <v>880</v>
      </c>
      <c r="C579">
        <v>757719</v>
      </c>
      <c r="D579">
        <v>2032586531</v>
      </c>
      <c r="E579" t="s">
        <v>897</v>
      </c>
      <c r="F579" t="s">
        <v>335</v>
      </c>
      <c r="G579" t="s">
        <v>51</v>
      </c>
      <c r="I579" t="s">
        <v>194</v>
      </c>
      <c r="J579" t="s">
        <v>195</v>
      </c>
      <c r="K579">
        <v>757719</v>
      </c>
      <c r="L579" t="s">
        <v>186</v>
      </c>
      <c r="M579" t="s">
        <v>625</v>
      </c>
      <c r="N579" t="s">
        <v>257</v>
      </c>
      <c r="O579" s="1">
        <v>46023</v>
      </c>
      <c r="P579" s="1">
        <v>46202</v>
      </c>
      <c r="R579" s="2">
        <v>0</v>
      </c>
      <c r="AB579" s="2">
        <v>855.72</v>
      </c>
      <c r="AC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855.72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46202</v>
      </c>
      <c r="B580" t="s">
        <v>880</v>
      </c>
      <c r="C580">
        <v>767312</v>
      </c>
      <c r="D580">
        <v>2032913508</v>
      </c>
      <c r="E580" t="s">
        <v>898</v>
      </c>
      <c r="F580" t="s">
        <v>899</v>
      </c>
      <c r="G580" t="s">
        <v>51</v>
      </c>
      <c r="I580" t="s">
        <v>237</v>
      </c>
      <c r="J580" t="s">
        <v>853</v>
      </c>
      <c r="K580">
        <v>767312</v>
      </c>
      <c r="L580" t="s">
        <v>486</v>
      </c>
      <c r="M580" t="s">
        <v>379</v>
      </c>
      <c r="N580" t="s">
        <v>257</v>
      </c>
      <c r="O580" s="1">
        <v>46054</v>
      </c>
      <c r="P580" s="1">
        <v>46202</v>
      </c>
      <c r="R580" s="2">
        <v>0</v>
      </c>
      <c r="AB580" s="2">
        <v>595.55999999999995</v>
      </c>
      <c r="AC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397.04</v>
      </c>
      <c r="AN580" s="2">
        <v>-198.52</v>
      </c>
      <c r="AO580" s="2">
        <v>-198.52</v>
      </c>
      <c r="AP580" s="2">
        <v>0</v>
      </c>
      <c r="AQ580" s="2">
        <v>0</v>
      </c>
    </row>
    <row r="581" spans="1:43" x14ac:dyDescent="0.25">
      <c r="A581" s="1">
        <v>46202</v>
      </c>
      <c r="B581" t="s">
        <v>880</v>
      </c>
      <c r="C581">
        <v>767312</v>
      </c>
      <c r="D581">
        <v>2032913509</v>
      </c>
      <c r="E581" t="s">
        <v>898</v>
      </c>
      <c r="F581" t="s">
        <v>899</v>
      </c>
      <c r="G581" t="s">
        <v>51</v>
      </c>
      <c r="I581" t="s">
        <v>237</v>
      </c>
      <c r="J581" t="s">
        <v>900</v>
      </c>
      <c r="K581">
        <v>767312</v>
      </c>
      <c r="L581" t="s">
        <v>486</v>
      </c>
      <c r="M581" t="s">
        <v>379</v>
      </c>
      <c r="N581" t="s">
        <v>257</v>
      </c>
      <c r="O581" s="1">
        <v>46054</v>
      </c>
      <c r="P581" s="1">
        <v>46202</v>
      </c>
      <c r="R581" s="2">
        <v>0</v>
      </c>
      <c r="AB581" s="2">
        <v>17.34</v>
      </c>
      <c r="AC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11.56</v>
      </c>
      <c r="AN581" s="2">
        <v>-5.78</v>
      </c>
      <c r="AO581" s="2">
        <v>-5.78</v>
      </c>
      <c r="AP581" s="2">
        <v>0</v>
      </c>
      <c r="AQ581" s="2">
        <v>0</v>
      </c>
    </row>
    <row r="582" spans="1:43" x14ac:dyDescent="0.25">
      <c r="A582" s="1">
        <v>46202</v>
      </c>
      <c r="B582" t="s">
        <v>880</v>
      </c>
      <c r="C582">
        <v>767312</v>
      </c>
      <c r="D582">
        <v>2032913510</v>
      </c>
      <c r="E582" t="s">
        <v>898</v>
      </c>
      <c r="F582" t="s">
        <v>899</v>
      </c>
      <c r="G582" t="s">
        <v>51</v>
      </c>
      <c r="I582" t="s">
        <v>237</v>
      </c>
      <c r="J582" t="s">
        <v>900</v>
      </c>
      <c r="K582">
        <v>767312</v>
      </c>
      <c r="L582" t="s">
        <v>486</v>
      </c>
      <c r="M582" t="s">
        <v>379</v>
      </c>
      <c r="N582" t="s">
        <v>257</v>
      </c>
      <c r="O582" s="1">
        <v>46054</v>
      </c>
      <c r="P582" s="1">
        <v>46202</v>
      </c>
      <c r="R582" s="2">
        <v>0</v>
      </c>
      <c r="AB582" s="2">
        <v>8.6999999999999993</v>
      </c>
      <c r="AC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5.8</v>
      </c>
      <c r="AN582" s="2">
        <v>-2.9</v>
      </c>
      <c r="AO582" s="2">
        <v>-2.9</v>
      </c>
      <c r="AP582" s="2">
        <v>0</v>
      </c>
      <c r="AQ582" s="2">
        <v>0</v>
      </c>
    </row>
    <row r="583" spans="1:43" x14ac:dyDescent="0.25">
      <c r="A583" s="1">
        <v>46202</v>
      </c>
      <c r="B583" t="s">
        <v>880</v>
      </c>
      <c r="C583">
        <v>767312</v>
      </c>
      <c r="D583">
        <v>2032913511</v>
      </c>
      <c r="E583" t="s">
        <v>898</v>
      </c>
      <c r="F583" t="s">
        <v>899</v>
      </c>
      <c r="G583" t="s">
        <v>51</v>
      </c>
      <c r="I583" t="s">
        <v>194</v>
      </c>
      <c r="J583" t="s">
        <v>195</v>
      </c>
      <c r="K583">
        <v>767312</v>
      </c>
      <c r="L583" t="s">
        <v>486</v>
      </c>
      <c r="M583" t="s">
        <v>379</v>
      </c>
      <c r="N583" t="s">
        <v>257</v>
      </c>
      <c r="O583" s="1">
        <v>46054</v>
      </c>
      <c r="P583" s="1">
        <v>46202</v>
      </c>
      <c r="R583" s="2">
        <v>0</v>
      </c>
      <c r="AB583" s="2">
        <v>62.7</v>
      </c>
      <c r="AC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41.8</v>
      </c>
      <c r="AN583" s="2">
        <v>-20.9</v>
      </c>
      <c r="AO583" s="2">
        <v>-20.9</v>
      </c>
      <c r="AP583" s="2">
        <v>0</v>
      </c>
      <c r="AQ583" s="2">
        <v>0</v>
      </c>
    </row>
    <row r="584" spans="1:43" x14ac:dyDescent="0.25">
      <c r="A584" s="1">
        <v>46202</v>
      </c>
      <c r="B584" t="s">
        <v>880</v>
      </c>
      <c r="C584">
        <v>767312</v>
      </c>
      <c r="D584">
        <v>2032913512</v>
      </c>
      <c r="E584" t="s">
        <v>898</v>
      </c>
      <c r="F584" t="s">
        <v>899</v>
      </c>
      <c r="G584" t="s">
        <v>51</v>
      </c>
      <c r="I584" t="s">
        <v>149</v>
      </c>
      <c r="J584" t="s">
        <v>584</v>
      </c>
      <c r="K584">
        <v>767312</v>
      </c>
      <c r="L584" t="s">
        <v>486</v>
      </c>
      <c r="M584" t="s">
        <v>379</v>
      </c>
      <c r="N584" t="s">
        <v>257</v>
      </c>
      <c r="O584" s="1">
        <v>46054</v>
      </c>
      <c r="P584" s="1">
        <v>46202</v>
      </c>
      <c r="R584" s="2">
        <v>0</v>
      </c>
      <c r="AB584" s="2">
        <v>26.1</v>
      </c>
      <c r="AC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17.399999999999999</v>
      </c>
      <c r="AN584" s="2">
        <v>-8.6999999999999993</v>
      </c>
      <c r="AO584" s="2">
        <v>-8.6999999999999993</v>
      </c>
      <c r="AP584" s="2">
        <v>0</v>
      </c>
      <c r="AQ584" s="2">
        <v>0</v>
      </c>
    </row>
    <row r="585" spans="1:43" x14ac:dyDescent="0.25">
      <c r="A585" s="1">
        <v>46202</v>
      </c>
      <c r="B585" t="s">
        <v>880</v>
      </c>
      <c r="C585">
        <v>649163</v>
      </c>
      <c r="D585">
        <v>2033010308</v>
      </c>
      <c r="E585" t="s">
        <v>430</v>
      </c>
      <c r="F585" t="s">
        <v>431</v>
      </c>
      <c r="G585" t="s">
        <v>51</v>
      </c>
      <c r="I585" t="s">
        <v>133</v>
      </c>
      <c r="J585" t="s">
        <v>134</v>
      </c>
      <c r="K585">
        <v>649163</v>
      </c>
      <c r="L585" t="s">
        <v>113</v>
      </c>
      <c r="M585" t="s">
        <v>114</v>
      </c>
      <c r="N585" t="s">
        <v>257</v>
      </c>
      <c r="O585" s="1">
        <v>46032</v>
      </c>
      <c r="P585" s="1">
        <v>46202</v>
      </c>
      <c r="R585" s="2">
        <v>0</v>
      </c>
      <c r="AB585" s="2">
        <v>177.24</v>
      </c>
      <c r="AC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177.24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46202</v>
      </c>
      <c r="B586" t="s">
        <v>880</v>
      </c>
      <c r="C586">
        <v>649163</v>
      </c>
      <c r="D586">
        <v>2033010310</v>
      </c>
      <c r="E586" t="s">
        <v>430</v>
      </c>
      <c r="F586" t="s">
        <v>431</v>
      </c>
      <c r="G586" t="s">
        <v>51</v>
      </c>
      <c r="I586" t="s">
        <v>194</v>
      </c>
      <c r="J586" t="s">
        <v>217</v>
      </c>
      <c r="K586">
        <v>649163</v>
      </c>
      <c r="L586" t="s">
        <v>113</v>
      </c>
      <c r="M586" t="s">
        <v>114</v>
      </c>
      <c r="N586" t="s">
        <v>257</v>
      </c>
      <c r="O586" s="1">
        <v>46032</v>
      </c>
      <c r="P586" s="1">
        <v>46202</v>
      </c>
      <c r="R586" s="2">
        <v>0</v>
      </c>
      <c r="AB586" s="2">
        <v>182.28</v>
      </c>
      <c r="AC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182.28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46202</v>
      </c>
      <c r="B587" t="s">
        <v>880</v>
      </c>
      <c r="C587">
        <v>649163</v>
      </c>
      <c r="D587">
        <v>2033010311</v>
      </c>
      <c r="E587" t="s">
        <v>430</v>
      </c>
      <c r="F587" t="s">
        <v>431</v>
      </c>
      <c r="G587" t="s">
        <v>51</v>
      </c>
      <c r="I587" t="s">
        <v>69</v>
      </c>
      <c r="J587" t="s">
        <v>70</v>
      </c>
      <c r="K587">
        <v>649163</v>
      </c>
      <c r="L587" t="s">
        <v>113</v>
      </c>
      <c r="M587" t="s">
        <v>114</v>
      </c>
      <c r="N587" t="s">
        <v>257</v>
      </c>
      <c r="O587" s="1">
        <v>46032</v>
      </c>
      <c r="P587" s="1">
        <v>46202</v>
      </c>
      <c r="R587" s="2">
        <v>0</v>
      </c>
      <c r="AB587" s="2">
        <v>78.36</v>
      </c>
      <c r="AC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78.36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46202</v>
      </c>
      <c r="B588" t="s">
        <v>880</v>
      </c>
      <c r="C588">
        <v>929503</v>
      </c>
      <c r="D588">
        <v>2033075812</v>
      </c>
      <c r="E588" t="s">
        <v>901</v>
      </c>
      <c r="F588" t="s">
        <v>902</v>
      </c>
      <c r="G588" t="s">
        <v>51</v>
      </c>
      <c r="I588" t="s">
        <v>194</v>
      </c>
      <c r="J588" t="s">
        <v>203</v>
      </c>
      <c r="K588">
        <v>929503</v>
      </c>
      <c r="L588" t="s">
        <v>304</v>
      </c>
      <c r="M588" t="s">
        <v>305</v>
      </c>
      <c r="N588" t="s">
        <v>257</v>
      </c>
      <c r="O588" s="1">
        <v>46054</v>
      </c>
      <c r="P588" s="1">
        <v>46202</v>
      </c>
      <c r="R588" s="2">
        <v>0</v>
      </c>
      <c r="AB588" s="2">
        <v>105.6</v>
      </c>
      <c r="AC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70.400000000000006</v>
      </c>
      <c r="AN588" s="2">
        <v>-35.200000000000003</v>
      </c>
      <c r="AO588" s="2">
        <v>-35.200000000000003</v>
      </c>
      <c r="AP588" s="2">
        <v>0</v>
      </c>
      <c r="AQ588" s="2">
        <v>0</v>
      </c>
    </row>
    <row r="589" spans="1:43" x14ac:dyDescent="0.25">
      <c r="A589" s="1">
        <v>46202</v>
      </c>
      <c r="B589" t="s">
        <v>880</v>
      </c>
      <c r="C589">
        <v>649163</v>
      </c>
      <c r="D589">
        <v>2033612292</v>
      </c>
      <c r="E589" t="s">
        <v>645</v>
      </c>
      <c r="F589" t="s">
        <v>646</v>
      </c>
      <c r="G589" t="s">
        <v>51</v>
      </c>
      <c r="I589" t="s">
        <v>188</v>
      </c>
      <c r="J589" t="s">
        <v>190</v>
      </c>
      <c r="K589">
        <v>649163</v>
      </c>
      <c r="L589" t="s">
        <v>615</v>
      </c>
      <c r="M589" t="s">
        <v>616</v>
      </c>
      <c r="N589" t="s">
        <v>257</v>
      </c>
      <c r="O589" s="1">
        <v>46065</v>
      </c>
      <c r="P589" s="1">
        <v>46202</v>
      </c>
      <c r="R589" s="2">
        <v>0</v>
      </c>
      <c r="AB589" s="2">
        <v>219.84</v>
      </c>
      <c r="AC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183.2</v>
      </c>
      <c r="AN589" s="2">
        <v>-36.64</v>
      </c>
      <c r="AO589" s="2">
        <v>-36.64</v>
      </c>
      <c r="AP589" s="2">
        <v>0</v>
      </c>
      <c r="AQ589" s="2">
        <v>0</v>
      </c>
    </row>
    <row r="590" spans="1:43" x14ac:dyDescent="0.25">
      <c r="A590" s="1">
        <v>46202</v>
      </c>
      <c r="B590" t="s">
        <v>880</v>
      </c>
      <c r="C590">
        <v>649163</v>
      </c>
      <c r="D590">
        <v>2033612293</v>
      </c>
      <c r="E590" t="s">
        <v>645</v>
      </c>
      <c r="F590" t="s">
        <v>646</v>
      </c>
      <c r="G590" t="s">
        <v>51</v>
      </c>
      <c r="I590" t="s">
        <v>149</v>
      </c>
      <c r="J590" t="s">
        <v>150</v>
      </c>
      <c r="K590">
        <v>649163</v>
      </c>
      <c r="L590" t="s">
        <v>615</v>
      </c>
      <c r="M590" t="s">
        <v>616</v>
      </c>
      <c r="N590" t="s">
        <v>257</v>
      </c>
      <c r="O590" s="1">
        <v>46065</v>
      </c>
      <c r="P590" s="1">
        <v>46202</v>
      </c>
      <c r="R590" s="2">
        <v>0</v>
      </c>
      <c r="AB590" s="2">
        <v>34.200000000000003</v>
      </c>
      <c r="AC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28.5</v>
      </c>
      <c r="AN590" s="2">
        <v>-5.7</v>
      </c>
      <c r="AO590" s="2">
        <v>-5.7</v>
      </c>
      <c r="AP590" s="2">
        <v>0</v>
      </c>
      <c r="AQ590" s="2">
        <v>0</v>
      </c>
    </row>
    <row r="591" spans="1:43" x14ac:dyDescent="0.25">
      <c r="A591" s="1">
        <v>46202</v>
      </c>
      <c r="B591" t="s">
        <v>880</v>
      </c>
      <c r="C591">
        <v>649163</v>
      </c>
      <c r="D591">
        <v>2033915513</v>
      </c>
      <c r="E591" t="s">
        <v>830</v>
      </c>
      <c r="F591" t="s">
        <v>431</v>
      </c>
      <c r="G591" t="s">
        <v>51</v>
      </c>
      <c r="I591" t="s">
        <v>194</v>
      </c>
      <c r="J591" t="s">
        <v>195</v>
      </c>
      <c r="K591">
        <v>649163</v>
      </c>
      <c r="L591" t="s">
        <v>113</v>
      </c>
      <c r="M591" t="s">
        <v>114</v>
      </c>
      <c r="N591" t="s">
        <v>257</v>
      </c>
      <c r="O591" s="1">
        <v>46082</v>
      </c>
      <c r="P591" s="1">
        <v>46202</v>
      </c>
      <c r="R591" s="2">
        <v>0</v>
      </c>
      <c r="AB591" s="2">
        <v>402.84</v>
      </c>
      <c r="AC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268.56</v>
      </c>
      <c r="AN591" s="2">
        <v>-134.28</v>
      </c>
      <c r="AO591" s="2">
        <v>-134.28</v>
      </c>
      <c r="AP591" s="2">
        <v>0</v>
      </c>
      <c r="AQ591" s="2">
        <v>0</v>
      </c>
    </row>
    <row r="592" spans="1:43" x14ac:dyDescent="0.25">
      <c r="A592" s="1">
        <v>46202</v>
      </c>
      <c r="B592" t="s">
        <v>880</v>
      </c>
      <c r="C592">
        <v>883288</v>
      </c>
      <c r="D592">
        <v>2034549515</v>
      </c>
      <c r="E592" t="s">
        <v>903</v>
      </c>
      <c r="F592" t="s">
        <v>414</v>
      </c>
      <c r="G592" t="s">
        <v>51</v>
      </c>
      <c r="I592" t="s">
        <v>194</v>
      </c>
      <c r="J592" t="s">
        <v>228</v>
      </c>
      <c r="K592">
        <v>883288</v>
      </c>
      <c r="L592" t="s">
        <v>843</v>
      </c>
      <c r="M592" t="s">
        <v>305</v>
      </c>
      <c r="N592" t="s">
        <v>257</v>
      </c>
      <c r="O592" s="1">
        <v>46109</v>
      </c>
      <c r="P592" s="1">
        <v>46202</v>
      </c>
      <c r="R592" s="2">
        <v>0</v>
      </c>
      <c r="AB592" s="2">
        <v>82.68</v>
      </c>
      <c r="AC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27.56</v>
      </c>
      <c r="AN592" s="2">
        <v>-55.12</v>
      </c>
      <c r="AO592" s="2">
        <v>-55.12</v>
      </c>
      <c r="AP592" s="2">
        <v>0</v>
      </c>
      <c r="AQ592" s="2">
        <v>0</v>
      </c>
    </row>
    <row r="593" spans="1:43" x14ac:dyDescent="0.25">
      <c r="A593" s="1">
        <v>46202</v>
      </c>
      <c r="B593" t="s">
        <v>880</v>
      </c>
      <c r="C593">
        <v>883288</v>
      </c>
      <c r="D593">
        <v>2034549516</v>
      </c>
      <c r="E593" t="s">
        <v>903</v>
      </c>
      <c r="F593" t="s">
        <v>414</v>
      </c>
      <c r="G593" t="s">
        <v>51</v>
      </c>
      <c r="I593" t="s">
        <v>194</v>
      </c>
      <c r="J593" t="s">
        <v>203</v>
      </c>
      <c r="K593">
        <v>883288</v>
      </c>
      <c r="L593" t="s">
        <v>843</v>
      </c>
      <c r="M593" t="s">
        <v>305</v>
      </c>
      <c r="N593" t="s">
        <v>257</v>
      </c>
      <c r="O593" s="1">
        <v>46109</v>
      </c>
      <c r="P593" s="1">
        <v>46202</v>
      </c>
      <c r="R593" s="2">
        <v>0</v>
      </c>
      <c r="AB593" s="2">
        <v>103.38</v>
      </c>
      <c r="AC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34.46</v>
      </c>
      <c r="AN593" s="2">
        <v>-68.92</v>
      </c>
      <c r="AO593" s="2">
        <v>-68.92</v>
      </c>
      <c r="AP593" s="2">
        <v>0</v>
      </c>
      <c r="AQ593" s="2">
        <v>0</v>
      </c>
    </row>
    <row r="594" spans="1:43" x14ac:dyDescent="0.25">
      <c r="A594" s="1">
        <v>46202</v>
      </c>
      <c r="B594" t="s">
        <v>880</v>
      </c>
      <c r="C594">
        <v>883288</v>
      </c>
      <c r="D594">
        <v>2034549517</v>
      </c>
      <c r="E594" t="s">
        <v>903</v>
      </c>
      <c r="F594" t="s">
        <v>414</v>
      </c>
      <c r="G594" t="s">
        <v>51</v>
      </c>
      <c r="I594" t="s">
        <v>69</v>
      </c>
      <c r="J594" t="s">
        <v>79</v>
      </c>
      <c r="K594">
        <v>883288</v>
      </c>
      <c r="L594" t="s">
        <v>843</v>
      </c>
      <c r="M594" t="s">
        <v>305</v>
      </c>
      <c r="N594" t="s">
        <v>257</v>
      </c>
      <c r="O594" s="1">
        <v>46109</v>
      </c>
      <c r="P594" s="1">
        <v>46202</v>
      </c>
      <c r="R594" s="2">
        <v>0</v>
      </c>
      <c r="AB594" s="2">
        <v>110.34</v>
      </c>
      <c r="AC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36.78</v>
      </c>
      <c r="AN594" s="2">
        <v>-73.56</v>
      </c>
      <c r="AO594" s="2">
        <v>-73.56</v>
      </c>
      <c r="AP594" s="2">
        <v>0</v>
      </c>
      <c r="AQ594" s="2">
        <v>0</v>
      </c>
    </row>
    <row r="595" spans="1:43" x14ac:dyDescent="0.25">
      <c r="A595" s="1">
        <v>46202</v>
      </c>
      <c r="B595" t="s">
        <v>880</v>
      </c>
      <c r="C595">
        <v>649163</v>
      </c>
      <c r="D595">
        <v>2035095472</v>
      </c>
      <c r="E595" t="s">
        <v>571</v>
      </c>
      <c r="F595" t="s">
        <v>572</v>
      </c>
      <c r="G595" t="s">
        <v>51</v>
      </c>
      <c r="I595" t="s">
        <v>188</v>
      </c>
      <c r="J595" t="s">
        <v>189</v>
      </c>
      <c r="K595">
        <v>649163</v>
      </c>
      <c r="L595" t="s">
        <v>129</v>
      </c>
      <c r="M595" t="s">
        <v>130</v>
      </c>
      <c r="N595" t="s">
        <v>257</v>
      </c>
      <c r="O595" s="1">
        <v>46143</v>
      </c>
      <c r="P595" s="1">
        <v>46202</v>
      </c>
      <c r="R595" s="2">
        <v>0</v>
      </c>
      <c r="AB595" s="2">
        <v>85.32</v>
      </c>
      <c r="AC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28.44</v>
      </c>
      <c r="AN595" s="2">
        <v>-56.88</v>
      </c>
      <c r="AO595" s="2">
        <v>-56.88</v>
      </c>
      <c r="AP595" s="2">
        <v>0</v>
      </c>
      <c r="AQ595" s="2">
        <v>0</v>
      </c>
    </row>
    <row r="596" spans="1:43" x14ac:dyDescent="0.25">
      <c r="A596" s="1">
        <v>46202</v>
      </c>
      <c r="B596" t="s">
        <v>880</v>
      </c>
      <c r="C596">
        <v>649163</v>
      </c>
      <c r="D596">
        <v>2035095473</v>
      </c>
      <c r="E596" t="s">
        <v>571</v>
      </c>
      <c r="F596" t="s">
        <v>572</v>
      </c>
      <c r="G596" t="s">
        <v>51</v>
      </c>
      <c r="I596" t="s">
        <v>194</v>
      </c>
      <c r="J596" t="s">
        <v>195</v>
      </c>
      <c r="K596">
        <v>649163</v>
      </c>
      <c r="L596" t="s">
        <v>129</v>
      </c>
      <c r="M596" t="s">
        <v>130</v>
      </c>
      <c r="N596" t="s">
        <v>257</v>
      </c>
      <c r="O596" s="1">
        <v>46143</v>
      </c>
      <c r="P596" s="1">
        <v>46202</v>
      </c>
      <c r="R596" s="2">
        <v>0</v>
      </c>
      <c r="AB596" s="2">
        <v>40.74</v>
      </c>
      <c r="AC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13.58</v>
      </c>
      <c r="AN596" s="2">
        <v>-27.16</v>
      </c>
      <c r="AO596" s="2">
        <v>-27.16</v>
      </c>
      <c r="AP596" s="2">
        <v>0</v>
      </c>
      <c r="AQ596" s="2">
        <v>0</v>
      </c>
    </row>
    <row r="597" spans="1:43" x14ac:dyDescent="0.25">
      <c r="A597" s="1">
        <v>46202</v>
      </c>
      <c r="B597" t="s">
        <v>880</v>
      </c>
      <c r="C597">
        <v>649163</v>
      </c>
      <c r="D597">
        <v>2035095474</v>
      </c>
      <c r="E597" t="s">
        <v>571</v>
      </c>
      <c r="F597" t="s">
        <v>572</v>
      </c>
      <c r="G597" t="s">
        <v>51</v>
      </c>
      <c r="I597" t="s">
        <v>69</v>
      </c>
      <c r="J597" t="s">
        <v>101</v>
      </c>
      <c r="K597">
        <v>649163</v>
      </c>
      <c r="L597" t="s">
        <v>129</v>
      </c>
      <c r="M597" t="s">
        <v>130</v>
      </c>
      <c r="N597" t="s">
        <v>257</v>
      </c>
      <c r="O597" s="1">
        <v>46143</v>
      </c>
      <c r="P597" s="1">
        <v>46202</v>
      </c>
      <c r="R597" s="2">
        <v>0</v>
      </c>
      <c r="AB597" s="2">
        <v>219.12</v>
      </c>
      <c r="AC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73.040000000000006</v>
      </c>
      <c r="AN597" s="2">
        <v>-146.08000000000001</v>
      </c>
      <c r="AO597" s="2">
        <v>-146.08000000000001</v>
      </c>
      <c r="AP597" s="2">
        <v>0</v>
      </c>
      <c r="AQ597" s="2">
        <v>0</v>
      </c>
    </row>
    <row r="598" spans="1:43" x14ac:dyDescent="0.25">
      <c r="A598" s="1">
        <v>46202</v>
      </c>
      <c r="B598" t="s">
        <v>880</v>
      </c>
      <c r="C598">
        <v>649163</v>
      </c>
      <c r="D598">
        <v>2035831645</v>
      </c>
      <c r="E598" t="s">
        <v>578</v>
      </c>
      <c r="F598" t="s">
        <v>579</v>
      </c>
      <c r="G598" t="s">
        <v>51</v>
      </c>
      <c r="I598" t="s">
        <v>194</v>
      </c>
      <c r="J598" t="s">
        <v>195</v>
      </c>
      <c r="K598">
        <v>649163</v>
      </c>
      <c r="L598" t="s">
        <v>129</v>
      </c>
      <c r="M598" t="s">
        <v>130</v>
      </c>
      <c r="N598" t="s">
        <v>257</v>
      </c>
      <c r="O598" s="1">
        <v>46177</v>
      </c>
      <c r="P598" s="1">
        <v>46202</v>
      </c>
      <c r="R598" s="2">
        <v>0</v>
      </c>
      <c r="AB598" s="2">
        <v>196.2</v>
      </c>
      <c r="AC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32.700000000000003</v>
      </c>
      <c r="AN598" s="2">
        <v>-163.5</v>
      </c>
      <c r="AO598" s="2">
        <v>-163.5</v>
      </c>
      <c r="AP598" s="2">
        <v>0</v>
      </c>
      <c r="AQ598" s="2">
        <v>0</v>
      </c>
    </row>
    <row r="599" spans="1:43" x14ac:dyDescent="0.25">
      <c r="A599" s="1">
        <v>46202</v>
      </c>
      <c r="B599" t="s">
        <v>880</v>
      </c>
      <c r="C599">
        <v>649163</v>
      </c>
      <c r="D599">
        <v>2035831646</v>
      </c>
      <c r="E599" t="s">
        <v>578</v>
      </c>
      <c r="F599" t="s">
        <v>579</v>
      </c>
      <c r="G599" t="s">
        <v>51</v>
      </c>
      <c r="I599" t="s">
        <v>69</v>
      </c>
      <c r="J599" t="s">
        <v>338</v>
      </c>
      <c r="K599">
        <v>649163</v>
      </c>
      <c r="L599" t="s">
        <v>129</v>
      </c>
      <c r="M599" t="s">
        <v>130</v>
      </c>
      <c r="N599" t="s">
        <v>257</v>
      </c>
      <c r="O599" s="1">
        <v>46177</v>
      </c>
      <c r="P599" s="1">
        <v>46202</v>
      </c>
      <c r="R599" s="2">
        <v>0</v>
      </c>
      <c r="AB599" s="2">
        <v>365.34</v>
      </c>
      <c r="AC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60.89</v>
      </c>
      <c r="AN599" s="2">
        <v>-304.45</v>
      </c>
      <c r="AO599" s="2">
        <v>-304.45</v>
      </c>
      <c r="AP599" s="2">
        <v>0</v>
      </c>
      <c r="AQ599" s="2">
        <v>0</v>
      </c>
    </row>
    <row r="600" spans="1:43" x14ac:dyDescent="0.25">
      <c r="A600" s="1">
        <v>46202</v>
      </c>
      <c r="B600" t="s">
        <v>880</v>
      </c>
      <c r="C600">
        <v>649163</v>
      </c>
      <c r="D600">
        <v>2035831647</v>
      </c>
      <c r="E600" t="s">
        <v>578</v>
      </c>
      <c r="F600" t="s">
        <v>579</v>
      </c>
      <c r="G600" t="s">
        <v>51</v>
      </c>
      <c r="I600" t="s">
        <v>188</v>
      </c>
      <c r="J600" t="s">
        <v>189</v>
      </c>
      <c r="K600">
        <v>649163</v>
      </c>
      <c r="L600" t="s">
        <v>129</v>
      </c>
      <c r="M600" t="s">
        <v>130</v>
      </c>
      <c r="N600" t="s">
        <v>257</v>
      </c>
      <c r="O600" s="1">
        <v>46177</v>
      </c>
      <c r="P600" s="1">
        <v>46202</v>
      </c>
      <c r="R600" s="2">
        <v>0</v>
      </c>
      <c r="AB600" s="2">
        <v>111.6</v>
      </c>
      <c r="AC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18.600000000000001</v>
      </c>
      <c r="AN600" s="2">
        <v>-93</v>
      </c>
      <c r="AO600" s="2">
        <v>-93</v>
      </c>
      <c r="AP600" s="2">
        <v>0</v>
      </c>
      <c r="AQ600" s="2">
        <v>0</v>
      </c>
    </row>
    <row r="601" spans="1:43" x14ac:dyDescent="0.25">
      <c r="A601" s="1">
        <v>46202</v>
      </c>
      <c r="B601" t="s">
        <v>880</v>
      </c>
      <c r="C601">
        <v>649163</v>
      </c>
      <c r="D601">
        <v>2036006840</v>
      </c>
      <c r="E601" t="s">
        <v>904</v>
      </c>
      <c r="F601" t="s">
        <v>379</v>
      </c>
      <c r="G601" t="s">
        <v>51</v>
      </c>
      <c r="I601" t="s">
        <v>188</v>
      </c>
      <c r="J601" t="s">
        <v>190</v>
      </c>
      <c r="K601">
        <v>649163</v>
      </c>
      <c r="L601" t="s">
        <v>304</v>
      </c>
      <c r="M601" t="s">
        <v>305</v>
      </c>
      <c r="N601" t="s">
        <v>257</v>
      </c>
      <c r="O601" s="1">
        <v>46186</v>
      </c>
      <c r="P601" s="1">
        <v>46202</v>
      </c>
      <c r="R601" s="2">
        <v>0</v>
      </c>
      <c r="AB601" s="2">
        <v>512.04</v>
      </c>
      <c r="AC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85.34</v>
      </c>
      <c r="AN601" s="2">
        <v>-426.7</v>
      </c>
      <c r="AO601" s="2">
        <v>-426.7</v>
      </c>
      <c r="AP601" s="2">
        <v>0</v>
      </c>
      <c r="AQ601" s="2">
        <v>0</v>
      </c>
    </row>
    <row r="602" spans="1:43" x14ac:dyDescent="0.25">
      <c r="A602" s="1">
        <v>46202</v>
      </c>
      <c r="B602" t="s">
        <v>880</v>
      </c>
      <c r="C602">
        <v>649163</v>
      </c>
      <c r="D602">
        <v>2036006841</v>
      </c>
      <c r="E602" t="s">
        <v>904</v>
      </c>
      <c r="F602" t="s">
        <v>379</v>
      </c>
      <c r="G602" t="s">
        <v>51</v>
      </c>
      <c r="I602" t="s">
        <v>188</v>
      </c>
      <c r="J602" t="s">
        <v>191</v>
      </c>
      <c r="K602">
        <v>649163</v>
      </c>
      <c r="L602" t="s">
        <v>304</v>
      </c>
      <c r="M602" t="s">
        <v>305</v>
      </c>
      <c r="N602" t="s">
        <v>257</v>
      </c>
      <c r="O602" s="1">
        <v>46186</v>
      </c>
      <c r="P602" s="1">
        <v>46202</v>
      </c>
      <c r="R602" s="2">
        <v>0</v>
      </c>
      <c r="AB602" s="2">
        <v>22.68</v>
      </c>
      <c r="AC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3.78</v>
      </c>
      <c r="AN602" s="2">
        <v>-18.899999999999999</v>
      </c>
      <c r="AO602" s="2">
        <v>-18.899999999999999</v>
      </c>
      <c r="AP602" s="2">
        <v>0</v>
      </c>
      <c r="AQ602" s="2">
        <v>0</v>
      </c>
    </row>
    <row r="603" spans="1:43" x14ac:dyDescent="0.25">
      <c r="A603" s="1">
        <v>46202</v>
      </c>
      <c r="B603" t="s">
        <v>48</v>
      </c>
      <c r="C603">
        <v>649163</v>
      </c>
      <c r="D603">
        <v>2026605718</v>
      </c>
      <c r="E603" t="s">
        <v>350</v>
      </c>
      <c r="F603" t="s">
        <v>351</v>
      </c>
      <c r="G603" t="s">
        <v>51</v>
      </c>
      <c r="H603" t="s">
        <v>94</v>
      </c>
      <c r="I603" t="s">
        <v>133</v>
      </c>
      <c r="J603" t="s">
        <v>134</v>
      </c>
      <c r="K603">
        <v>816021</v>
      </c>
      <c r="L603" t="s">
        <v>80</v>
      </c>
      <c r="M603" t="s">
        <v>81</v>
      </c>
      <c r="N603" t="s">
        <v>57</v>
      </c>
      <c r="O603" s="1">
        <v>45689</v>
      </c>
      <c r="Q603" s="1">
        <v>46235</v>
      </c>
      <c r="R603" s="2">
        <v>29.18</v>
      </c>
      <c r="S603">
        <v>1</v>
      </c>
      <c r="T603" t="s">
        <v>58</v>
      </c>
      <c r="U603" t="s">
        <v>246</v>
      </c>
      <c r="V603" s="3">
        <v>0.06</v>
      </c>
      <c r="W603" s="2">
        <v>0</v>
      </c>
      <c r="X603">
        <v>0</v>
      </c>
      <c r="Y603" t="s">
        <v>247</v>
      </c>
      <c r="Z603" t="s">
        <v>248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1.75</v>
      </c>
      <c r="AN603" s="2">
        <v>1.75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46202</v>
      </c>
      <c r="B604" t="s">
        <v>48</v>
      </c>
      <c r="C604">
        <v>649163</v>
      </c>
      <c r="D604">
        <v>2026608091</v>
      </c>
      <c r="E604" t="s">
        <v>905</v>
      </c>
      <c r="F604" t="s">
        <v>533</v>
      </c>
      <c r="G604" t="s">
        <v>51</v>
      </c>
      <c r="H604" t="s">
        <v>94</v>
      </c>
      <c r="I604" t="s">
        <v>133</v>
      </c>
      <c r="J604" t="s">
        <v>134</v>
      </c>
      <c r="K604">
        <v>816021</v>
      </c>
      <c r="L604" t="s">
        <v>80</v>
      </c>
      <c r="M604" t="s">
        <v>81</v>
      </c>
      <c r="N604" t="s">
        <v>57</v>
      </c>
      <c r="O604" s="1">
        <v>45689</v>
      </c>
      <c r="Q604" s="1">
        <v>46235</v>
      </c>
      <c r="R604" s="2">
        <v>38.74</v>
      </c>
      <c r="S604">
        <v>1</v>
      </c>
      <c r="T604" t="s">
        <v>58</v>
      </c>
      <c r="U604" t="s">
        <v>246</v>
      </c>
      <c r="V604" s="3">
        <v>0.06</v>
      </c>
      <c r="W604" s="2">
        <v>0</v>
      </c>
      <c r="X604">
        <v>0</v>
      </c>
      <c r="Y604" t="s">
        <v>247</v>
      </c>
      <c r="Z604" t="s">
        <v>248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2.3199999999999998</v>
      </c>
      <c r="AN604" s="2">
        <v>2.3199999999999998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46202</v>
      </c>
      <c r="B605" t="s">
        <v>48</v>
      </c>
      <c r="C605">
        <v>649163</v>
      </c>
      <c r="D605">
        <v>2026610949</v>
      </c>
      <c r="E605" t="s">
        <v>288</v>
      </c>
      <c r="F605" t="s">
        <v>289</v>
      </c>
      <c r="G605" t="s">
        <v>51</v>
      </c>
      <c r="H605" t="s">
        <v>52</v>
      </c>
      <c r="I605" t="s">
        <v>133</v>
      </c>
      <c r="J605" t="s">
        <v>134</v>
      </c>
      <c r="K605">
        <v>751867</v>
      </c>
      <c r="L605" t="s">
        <v>272</v>
      </c>
      <c r="M605" t="s">
        <v>209</v>
      </c>
      <c r="N605" t="s">
        <v>57</v>
      </c>
      <c r="O605" s="1">
        <v>45689</v>
      </c>
      <c r="Q605" s="1">
        <v>46235</v>
      </c>
      <c r="R605" s="2">
        <v>44.98</v>
      </c>
      <c r="S605">
        <v>1</v>
      </c>
      <c r="T605" t="s">
        <v>58</v>
      </c>
      <c r="U605" t="s">
        <v>246</v>
      </c>
      <c r="V605" s="3">
        <v>0.06</v>
      </c>
      <c r="W605" s="2">
        <v>0</v>
      </c>
      <c r="X605">
        <v>0</v>
      </c>
      <c r="Y605" t="s">
        <v>247</v>
      </c>
      <c r="Z605" t="s">
        <v>248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2.7</v>
      </c>
      <c r="AN605" s="2">
        <v>2.7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46202</v>
      </c>
      <c r="B606" t="s">
        <v>48</v>
      </c>
      <c r="C606">
        <v>649163</v>
      </c>
      <c r="D606">
        <v>2026619111</v>
      </c>
      <c r="E606" t="s">
        <v>362</v>
      </c>
      <c r="F606" t="s">
        <v>363</v>
      </c>
      <c r="G606" t="s">
        <v>51</v>
      </c>
      <c r="H606" t="s">
        <v>124</v>
      </c>
      <c r="I606" t="s">
        <v>133</v>
      </c>
      <c r="J606" t="s">
        <v>134</v>
      </c>
      <c r="K606">
        <v>673059</v>
      </c>
      <c r="L606" t="s">
        <v>102</v>
      </c>
      <c r="M606" t="s">
        <v>103</v>
      </c>
      <c r="N606" t="s">
        <v>57</v>
      </c>
      <c r="O606" s="1">
        <v>45689</v>
      </c>
      <c r="Q606" s="1">
        <v>46235</v>
      </c>
      <c r="R606" s="2">
        <v>129.41</v>
      </c>
      <c r="S606">
        <v>1</v>
      </c>
      <c r="T606" t="s">
        <v>58</v>
      </c>
      <c r="U606" t="s">
        <v>246</v>
      </c>
      <c r="V606" s="3">
        <v>0.06</v>
      </c>
      <c r="W606" s="2">
        <v>0</v>
      </c>
      <c r="X606">
        <v>0</v>
      </c>
      <c r="Y606" t="s">
        <v>247</v>
      </c>
      <c r="Z606" t="s">
        <v>248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7.76</v>
      </c>
      <c r="AN606" s="2">
        <v>7.76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46202</v>
      </c>
      <c r="B607" t="s">
        <v>48</v>
      </c>
      <c r="C607">
        <v>649163</v>
      </c>
      <c r="D607">
        <v>2026637550</v>
      </c>
      <c r="E607" t="s">
        <v>906</v>
      </c>
      <c r="F607" t="s">
        <v>907</v>
      </c>
      <c r="G607" t="s">
        <v>51</v>
      </c>
      <c r="H607" t="s">
        <v>89</v>
      </c>
      <c r="I607" t="s">
        <v>133</v>
      </c>
      <c r="J607" t="s">
        <v>134</v>
      </c>
      <c r="K607">
        <v>812782</v>
      </c>
      <c r="L607" t="s">
        <v>181</v>
      </c>
      <c r="M607" t="s">
        <v>182</v>
      </c>
      <c r="N607" t="s">
        <v>57</v>
      </c>
      <c r="O607" s="1">
        <v>45689</v>
      </c>
      <c r="Q607" s="1">
        <v>46235</v>
      </c>
      <c r="R607" s="2">
        <v>48.61</v>
      </c>
      <c r="S607">
        <v>1</v>
      </c>
      <c r="T607" t="s">
        <v>58</v>
      </c>
      <c r="U607" t="s">
        <v>246</v>
      </c>
      <c r="V607" s="3">
        <v>0.06</v>
      </c>
      <c r="W607" s="2">
        <v>0</v>
      </c>
      <c r="X607">
        <v>0</v>
      </c>
      <c r="Y607" t="s">
        <v>247</v>
      </c>
      <c r="Z607" t="s">
        <v>248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2.92</v>
      </c>
      <c r="AN607" s="2">
        <v>2.92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46202</v>
      </c>
      <c r="B608" t="s">
        <v>48</v>
      </c>
      <c r="C608">
        <v>649163</v>
      </c>
      <c r="D608">
        <v>2026699527</v>
      </c>
      <c r="E608" t="s">
        <v>908</v>
      </c>
      <c r="F608" t="s">
        <v>909</v>
      </c>
      <c r="G608" t="s">
        <v>51</v>
      </c>
      <c r="H608" t="s">
        <v>89</v>
      </c>
      <c r="I608" t="s">
        <v>133</v>
      </c>
      <c r="J608" t="s">
        <v>134</v>
      </c>
      <c r="K608">
        <v>812782</v>
      </c>
      <c r="L608" t="s">
        <v>181</v>
      </c>
      <c r="M608" t="s">
        <v>182</v>
      </c>
      <c r="N608" t="s">
        <v>57</v>
      </c>
      <c r="O608" s="1">
        <v>45689</v>
      </c>
      <c r="Q608" s="1">
        <v>46235</v>
      </c>
      <c r="R608" s="2">
        <v>124.13</v>
      </c>
      <c r="S608">
        <v>1</v>
      </c>
      <c r="T608" t="s">
        <v>58</v>
      </c>
      <c r="U608" t="s">
        <v>246</v>
      </c>
      <c r="V608" s="3">
        <v>0.06</v>
      </c>
      <c r="W608" s="2">
        <v>0</v>
      </c>
      <c r="X608">
        <v>0</v>
      </c>
      <c r="Y608" t="s">
        <v>247</v>
      </c>
      <c r="Z608" t="s">
        <v>248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7.45</v>
      </c>
      <c r="AN608" s="2">
        <v>7.45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46202</v>
      </c>
      <c r="B609" t="s">
        <v>48</v>
      </c>
      <c r="C609">
        <v>649163</v>
      </c>
      <c r="D609">
        <v>2026728415</v>
      </c>
      <c r="E609" t="s">
        <v>910</v>
      </c>
      <c r="F609" t="s">
        <v>911</v>
      </c>
      <c r="G609" t="s">
        <v>51</v>
      </c>
      <c r="H609" t="s">
        <v>89</v>
      </c>
      <c r="I609" t="s">
        <v>133</v>
      </c>
      <c r="J609" t="s">
        <v>134</v>
      </c>
      <c r="K609">
        <v>822723</v>
      </c>
      <c r="L609" t="s">
        <v>912</v>
      </c>
      <c r="M609" t="s">
        <v>913</v>
      </c>
      <c r="N609" t="s">
        <v>57</v>
      </c>
      <c r="O609" s="1">
        <v>45689</v>
      </c>
      <c r="Q609" s="1">
        <v>46235</v>
      </c>
      <c r="R609" s="2">
        <v>136.09</v>
      </c>
      <c r="S609">
        <v>1</v>
      </c>
      <c r="T609" t="s">
        <v>58</v>
      </c>
      <c r="U609" t="s">
        <v>246</v>
      </c>
      <c r="V609" s="3">
        <v>0.06</v>
      </c>
      <c r="W609" s="2">
        <v>0</v>
      </c>
      <c r="X609">
        <v>0</v>
      </c>
      <c r="Y609" t="s">
        <v>247</v>
      </c>
      <c r="Z609" t="s">
        <v>248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8.17</v>
      </c>
      <c r="AN609" s="2">
        <v>8.17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46202</v>
      </c>
      <c r="B610" t="s">
        <v>48</v>
      </c>
      <c r="C610">
        <v>649163</v>
      </c>
      <c r="D610">
        <v>2026753813</v>
      </c>
      <c r="E610" t="s">
        <v>914</v>
      </c>
      <c r="F610" t="s">
        <v>915</v>
      </c>
      <c r="G610" t="s">
        <v>51</v>
      </c>
      <c r="H610" t="s">
        <v>626</v>
      </c>
      <c r="I610" t="s">
        <v>133</v>
      </c>
      <c r="J610" t="s">
        <v>134</v>
      </c>
      <c r="K610">
        <v>780434</v>
      </c>
      <c r="L610" t="s">
        <v>916</v>
      </c>
      <c r="M610" t="s">
        <v>171</v>
      </c>
      <c r="N610" t="s">
        <v>57</v>
      </c>
      <c r="O610" s="1">
        <v>45689</v>
      </c>
      <c r="Q610" s="1">
        <v>46235</v>
      </c>
      <c r="R610" s="2">
        <v>229.61</v>
      </c>
      <c r="S610">
        <v>1</v>
      </c>
      <c r="T610" t="s">
        <v>58</v>
      </c>
      <c r="U610" t="s">
        <v>246</v>
      </c>
      <c r="V610" s="3">
        <v>0.06</v>
      </c>
      <c r="W610" s="2">
        <v>0</v>
      </c>
      <c r="X610">
        <v>0</v>
      </c>
      <c r="Y610" t="s">
        <v>247</v>
      </c>
      <c r="Z610" t="s">
        <v>248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13.78</v>
      </c>
      <c r="AN610" s="2">
        <v>13.78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46202</v>
      </c>
      <c r="B611" t="s">
        <v>48</v>
      </c>
      <c r="C611">
        <v>649163</v>
      </c>
      <c r="D611">
        <v>2026766428</v>
      </c>
      <c r="E611" t="s">
        <v>917</v>
      </c>
      <c r="F611" t="s">
        <v>254</v>
      </c>
      <c r="G611" t="s">
        <v>51</v>
      </c>
      <c r="H611" t="s">
        <v>89</v>
      </c>
      <c r="I611" t="s">
        <v>133</v>
      </c>
      <c r="J611" t="s">
        <v>134</v>
      </c>
      <c r="K611">
        <v>792847</v>
      </c>
      <c r="L611" t="s">
        <v>918</v>
      </c>
      <c r="M611" t="s">
        <v>531</v>
      </c>
      <c r="N611" t="s">
        <v>57</v>
      </c>
      <c r="O611" s="1">
        <v>45689</v>
      </c>
      <c r="Q611" s="1">
        <v>46235</v>
      </c>
      <c r="R611" s="2">
        <v>90.76</v>
      </c>
      <c r="S611">
        <v>1</v>
      </c>
      <c r="T611" t="s">
        <v>58</v>
      </c>
      <c r="U611" t="s">
        <v>246</v>
      </c>
      <c r="V611" s="3">
        <v>0.06</v>
      </c>
      <c r="W611" s="2">
        <v>0</v>
      </c>
      <c r="X611">
        <v>0</v>
      </c>
      <c r="Y611" t="s">
        <v>247</v>
      </c>
      <c r="Z611" t="s">
        <v>248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5.45</v>
      </c>
      <c r="AN611" s="2">
        <v>5.45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46202</v>
      </c>
      <c r="B612" t="s">
        <v>48</v>
      </c>
      <c r="C612">
        <v>649163</v>
      </c>
      <c r="D612">
        <v>2026781461</v>
      </c>
      <c r="E612" t="s">
        <v>919</v>
      </c>
      <c r="F612" t="s">
        <v>679</v>
      </c>
      <c r="G612" t="s">
        <v>51</v>
      </c>
      <c r="H612" t="s">
        <v>89</v>
      </c>
      <c r="I612" t="s">
        <v>133</v>
      </c>
      <c r="J612" t="s">
        <v>134</v>
      </c>
      <c r="K612">
        <v>812782</v>
      </c>
      <c r="L612" t="s">
        <v>181</v>
      </c>
      <c r="M612" t="s">
        <v>182</v>
      </c>
      <c r="N612" t="s">
        <v>57</v>
      </c>
      <c r="O612" s="1">
        <v>45689</v>
      </c>
      <c r="Q612" s="1">
        <v>46235</v>
      </c>
      <c r="R612" s="2">
        <v>51.01</v>
      </c>
      <c r="S612">
        <v>1</v>
      </c>
      <c r="T612" t="s">
        <v>58</v>
      </c>
      <c r="U612" t="s">
        <v>246</v>
      </c>
      <c r="V612" s="3">
        <v>0.06</v>
      </c>
      <c r="W612" s="2">
        <v>0</v>
      </c>
      <c r="X612">
        <v>0</v>
      </c>
      <c r="Y612" t="s">
        <v>247</v>
      </c>
      <c r="Z612" t="s">
        <v>248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3.06</v>
      </c>
      <c r="AN612" s="2">
        <v>3.06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46202</v>
      </c>
      <c r="B613" t="s">
        <v>48</v>
      </c>
      <c r="C613">
        <v>649163</v>
      </c>
      <c r="D613">
        <v>2026806628</v>
      </c>
      <c r="E613" t="s">
        <v>226</v>
      </c>
      <c r="F613" t="s">
        <v>681</v>
      </c>
      <c r="G613" t="s">
        <v>51</v>
      </c>
      <c r="H613" t="s">
        <v>302</v>
      </c>
      <c r="I613" t="s">
        <v>133</v>
      </c>
      <c r="J613" t="s">
        <v>134</v>
      </c>
      <c r="K613">
        <v>812994</v>
      </c>
      <c r="L613" t="s">
        <v>615</v>
      </c>
      <c r="M613" t="s">
        <v>616</v>
      </c>
      <c r="N613" t="s">
        <v>57</v>
      </c>
      <c r="O613" s="1">
        <v>45689</v>
      </c>
      <c r="Q613" s="1">
        <v>46235</v>
      </c>
      <c r="R613" s="2">
        <v>56.52</v>
      </c>
      <c r="S613">
        <v>1</v>
      </c>
      <c r="T613" t="s">
        <v>58</v>
      </c>
      <c r="U613" t="s">
        <v>246</v>
      </c>
      <c r="V613" s="3">
        <v>0.06</v>
      </c>
      <c r="W613" s="2">
        <v>0</v>
      </c>
      <c r="X613">
        <v>0</v>
      </c>
      <c r="Y613" t="s">
        <v>247</v>
      </c>
      <c r="Z613" t="s">
        <v>248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3.39</v>
      </c>
      <c r="AN613" s="2">
        <v>3.39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46202</v>
      </c>
      <c r="B614" t="s">
        <v>48</v>
      </c>
      <c r="C614">
        <v>649163</v>
      </c>
      <c r="D614">
        <v>2026809781</v>
      </c>
      <c r="E614" t="s">
        <v>202</v>
      </c>
      <c r="F614" t="s">
        <v>920</v>
      </c>
      <c r="G614" t="s">
        <v>51</v>
      </c>
      <c r="H614" t="s">
        <v>89</v>
      </c>
      <c r="I614" t="s">
        <v>133</v>
      </c>
      <c r="J614" t="s">
        <v>134</v>
      </c>
      <c r="K614">
        <v>824062</v>
      </c>
      <c r="L614" t="s">
        <v>90</v>
      </c>
      <c r="M614" t="s">
        <v>91</v>
      </c>
      <c r="N614" t="s">
        <v>57</v>
      </c>
      <c r="O614" s="1">
        <v>45689</v>
      </c>
      <c r="Q614" s="1">
        <v>46235</v>
      </c>
      <c r="R614" s="2">
        <v>64.760000000000005</v>
      </c>
      <c r="S614">
        <v>1</v>
      </c>
      <c r="T614" t="s">
        <v>58</v>
      </c>
      <c r="U614" t="s">
        <v>246</v>
      </c>
      <c r="V614" s="3">
        <v>0.06</v>
      </c>
      <c r="W614" s="2">
        <v>0</v>
      </c>
      <c r="X614">
        <v>0</v>
      </c>
      <c r="Y614" t="s">
        <v>247</v>
      </c>
      <c r="Z614" t="s">
        <v>248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3.89</v>
      </c>
      <c r="AN614" s="2">
        <v>3.89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46202</v>
      </c>
      <c r="B615" t="s">
        <v>48</v>
      </c>
      <c r="C615">
        <v>649163</v>
      </c>
      <c r="D615">
        <v>2026812431</v>
      </c>
      <c r="E615" t="s">
        <v>373</v>
      </c>
      <c r="F615" t="s">
        <v>374</v>
      </c>
      <c r="G615" t="s">
        <v>51</v>
      </c>
      <c r="H615" t="s">
        <v>94</v>
      </c>
      <c r="I615" t="s">
        <v>133</v>
      </c>
      <c r="J615" t="s">
        <v>134</v>
      </c>
      <c r="K615">
        <v>816021</v>
      </c>
      <c r="L615" t="s">
        <v>80</v>
      </c>
      <c r="M615" t="s">
        <v>81</v>
      </c>
      <c r="N615" t="s">
        <v>57</v>
      </c>
      <c r="O615" s="1">
        <v>45690</v>
      </c>
      <c r="Q615" s="1">
        <v>46236</v>
      </c>
      <c r="R615" s="2">
        <v>158.06</v>
      </c>
      <c r="S615">
        <v>1</v>
      </c>
      <c r="T615" t="s">
        <v>58</v>
      </c>
      <c r="U615" t="s">
        <v>246</v>
      </c>
      <c r="V615" s="3">
        <v>0.06</v>
      </c>
      <c r="W615" s="2">
        <v>0</v>
      </c>
      <c r="X615">
        <v>0</v>
      </c>
      <c r="Y615" t="s">
        <v>247</v>
      </c>
      <c r="Z615" t="s">
        <v>248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9.48</v>
      </c>
      <c r="AN615" s="2">
        <v>9.48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46202</v>
      </c>
      <c r="B616" t="s">
        <v>48</v>
      </c>
      <c r="C616">
        <v>649163</v>
      </c>
      <c r="D616">
        <v>2026817011</v>
      </c>
      <c r="E616" t="s">
        <v>375</v>
      </c>
      <c r="F616" t="s">
        <v>376</v>
      </c>
      <c r="G616" t="s">
        <v>51</v>
      </c>
      <c r="H616" t="s">
        <v>94</v>
      </c>
      <c r="I616" t="s">
        <v>133</v>
      </c>
      <c r="J616" t="s">
        <v>134</v>
      </c>
      <c r="K616">
        <v>796984</v>
      </c>
      <c r="L616" t="s">
        <v>344</v>
      </c>
      <c r="M616" t="s">
        <v>171</v>
      </c>
      <c r="N616" t="s">
        <v>57</v>
      </c>
      <c r="O616" s="1">
        <v>45689</v>
      </c>
      <c r="Q616" s="1">
        <v>46235</v>
      </c>
      <c r="R616" s="2">
        <v>53.08</v>
      </c>
      <c r="S616">
        <v>1</v>
      </c>
      <c r="T616" t="s">
        <v>58</v>
      </c>
      <c r="U616" t="s">
        <v>246</v>
      </c>
      <c r="V616" s="3">
        <v>0.06</v>
      </c>
      <c r="W616" s="2">
        <v>0</v>
      </c>
      <c r="X616">
        <v>0</v>
      </c>
      <c r="Y616" t="s">
        <v>247</v>
      </c>
      <c r="Z616" t="s">
        <v>248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3.18</v>
      </c>
      <c r="AN616" s="2">
        <v>3.18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46202</v>
      </c>
      <c r="B617" t="s">
        <v>48</v>
      </c>
      <c r="C617">
        <v>649163</v>
      </c>
      <c r="D617">
        <v>2026838332</v>
      </c>
      <c r="E617" t="s">
        <v>921</v>
      </c>
      <c r="F617" t="s">
        <v>922</v>
      </c>
      <c r="G617" t="s">
        <v>51</v>
      </c>
      <c r="H617" t="s">
        <v>89</v>
      </c>
      <c r="I617" t="s">
        <v>133</v>
      </c>
      <c r="J617" t="s">
        <v>134</v>
      </c>
      <c r="K617">
        <v>814033</v>
      </c>
      <c r="L617" t="s">
        <v>490</v>
      </c>
      <c r="M617" t="s">
        <v>491</v>
      </c>
      <c r="N617" t="s">
        <v>57</v>
      </c>
      <c r="O617" s="1">
        <v>45689</v>
      </c>
      <c r="Q617" s="1">
        <v>46235</v>
      </c>
      <c r="R617" s="2">
        <v>83.05</v>
      </c>
      <c r="S617">
        <v>1</v>
      </c>
      <c r="T617" t="s">
        <v>58</v>
      </c>
      <c r="U617" t="s">
        <v>246</v>
      </c>
      <c r="V617" s="3">
        <v>0.06</v>
      </c>
      <c r="W617" s="2">
        <v>0</v>
      </c>
      <c r="X617">
        <v>0</v>
      </c>
      <c r="Y617" t="s">
        <v>247</v>
      </c>
      <c r="Z617" t="s">
        <v>248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4.9800000000000004</v>
      </c>
      <c r="AN617" s="2">
        <v>4.9800000000000004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46202</v>
      </c>
      <c r="B618" t="s">
        <v>48</v>
      </c>
      <c r="C618">
        <v>649163</v>
      </c>
      <c r="D618">
        <v>2026839647</v>
      </c>
      <c r="E618" t="s">
        <v>923</v>
      </c>
      <c r="F618" t="s">
        <v>924</v>
      </c>
      <c r="G618" t="s">
        <v>51</v>
      </c>
      <c r="H618" t="s">
        <v>397</v>
      </c>
      <c r="I618" t="s">
        <v>133</v>
      </c>
      <c r="J618" t="s">
        <v>134</v>
      </c>
      <c r="K618">
        <v>822723</v>
      </c>
      <c r="L618" t="s">
        <v>912</v>
      </c>
      <c r="M618" t="s">
        <v>913</v>
      </c>
      <c r="N618" t="s">
        <v>57</v>
      </c>
      <c r="O618" s="1">
        <v>45689</v>
      </c>
      <c r="Q618" s="1">
        <v>46235</v>
      </c>
      <c r="R618" s="2">
        <v>66.650000000000006</v>
      </c>
      <c r="S618">
        <v>1</v>
      </c>
      <c r="T618" t="s">
        <v>58</v>
      </c>
      <c r="U618" t="s">
        <v>246</v>
      </c>
      <c r="V618" s="3">
        <v>0.06</v>
      </c>
      <c r="W618" s="2">
        <v>0</v>
      </c>
      <c r="X618">
        <v>0</v>
      </c>
      <c r="Y618" t="s">
        <v>247</v>
      </c>
      <c r="Z618" t="s">
        <v>248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4</v>
      </c>
      <c r="AN618" s="2">
        <v>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46202</v>
      </c>
      <c r="B619" t="s">
        <v>48</v>
      </c>
      <c r="C619">
        <v>649163</v>
      </c>
      <c r="D619">
        <v>2027864779</v>
      </c>
      <c r="E619" t="s">
        <v>925</v>
      </c>
      <c r="F619" t="s">
        <v>926</v>
      </c>
      <c r="G619" t="s">
        <v>51</v>
      </c>
      <c r="H619" t="s">
        <v>124</v>
      </c>
      <c r="I619" t="s">
        <v>133</v>
      </c>
      <c r="J619" t="s">
        <v>134</v>
      </c>
      <c r="K619">
        <v>806645</v>
      </c>
      <c r="L619" t="s">
        <v>804</v>
      </c>
      <c r="M619" t="s">
        <v>805</v>
      </c>
      <c r="N619" t="s">
        <v>57</v>
      </c>
      <c r="O619" s="1">
        <v>45748</v>
      </c>
      <c r="Q619" s="1">
        <v>46235</v>
      </c>
      <c r="R619" s="2">
        <v>57.96</v>
      </c>
      <c r="S619">
        <v>1</v>
      </c>
      <c r="T619" t="s">
        <v>58</v>
      </c>
      <c r="U619" t="s">
        <v>246</v>
      </c>
      <c r="V619" s="3">
        <v>0.06</v>
      </c>
      <c r="W619" s="2">
        <v>0</v>
      </c>
      <c r="X619">
        <v>0</v>
      </c>
      <c r="Y619" t="s">
        <v>247</v>
      </c>
      <c r="Z619" t="s">
        <v>248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3.48</v>
      </c>
      <c r="AN619" s="2">
        <v>3.48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46202</v>
      </c>
      <c r="B620" t="s">
        <v>48</v>
      </c>
      <c r="C620">
        <v>649163</v>
      </c>
      <c r="D620">
        <v>2027920262</v>
      </c>
      <c r="E620" t="s">
        <v>377</v>
      </c>
      <c r="F620" t="s">
        <v>378</v>
      </c>
      <c r="G620" t="s">
        <v>51</v>
      </c>
      <c r="H620" t="s">
        <v>94</v>
      </c>
      <c r="I620" t="s">
        <v>133</v>
      </c>
      <c r="J620" t="s">
        <v>134</v>
      </c>
      <c r="K620">
        <v>816021</v>
      </c>
      <c r="L620" t="s">
        <v>80</v>
      </c>
      <c r="M620" t="s">
        <v>81</v>
      </c>
      <c r="N620" t="s">
        <v>57</v>
      </c>
      <c r="O620" s="1">
        <v>45744</v>
      </c>
      <c r="Q620" s="1">
        <v>46231</v>
      </c>
      <c r="R620" s="2">
        <v>53.08</v>
      </c>
      <c r="S620">
        <v>1</v>
      </c>
      <c r="T620" t="s">
        <v>58</v>
      </c>
      <c r="U620" t="s">
        <v>246</v>
      </c>
      <c r="V620" s="3">
        <v>0.06</v>
      </c>
      <c r="W620" s="2">
        <v>0</v>
      </c>
      <c r="X620">
        <v>0</v>
      </c>
      <c r="Y620" t="s">
        <v>247</v>
      </c>
      <c r="Z620" t="s">
        <v>248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3.18</v>
      </c>
      <c r="AN620" s="2">
        <v>3.18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46202</v>
      </c>
      <c r="B621" t="s">
        <v>48</v>
      </c>
      <c r="C621">
        <v>649163</v>
      </c>
      <c r="D621">
        <v>2028087322</v>
      </c>
      <c r="E621" t="s">
        <v>927</v>
      </c>
      <c r="F621" t="s">
        <v>928</v>
      </c>
      <c r="G621" t="s">
        <v>51</v>
      </c>
      <c r="H621" t="s">
        <v>89</v>
      </c>
      <c r="I621" t="s">
        <v>133</v>
      </c>
      <c r="J621" t="s">
        <v>134</v>
      </c>
      <c r="K621">
        <v>812782</v>
      </c>
      <c r="L621" t="s">
        <v>181</v>
      </c>
      <c r="M621" t="s">
        <v>182</v>
      </c>
      <c r="N621" t="s">
        <v>57</v>
      </c>
      <c r="O621" s="1">
        <v>45745</v>
      </c>
      <c r="Q621" s="1">
        <v>46232</v>
      </c>
      <c r="R621" s="2">
        <v>22.52</v>
      </c>
      <c r="S621">
        <v>1</v>
      </c>
      <c r="T621" t="s">
        <v>58</v>
      </c>
      <c r="U621" t="s">
        <v>246</v>
      </c>
      <c r="V621" s="3">
        <v>0.06</v>
      </c>
      <c r="W621" s="2">
        <v>0</v>
      </c>
      <c r="X621">
        <v>0</v>
      </c>
      <c r="Y621" t="s">
        <v>247</v>
      </c>
      <c r="Z621" t="s">
        <v>248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1.35</v>
      </c>
      <c r="AN621" s="2">
        <v>1.35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46202</v>
      </c>
      <c r="B622" t="s">
        <v>48</v>
      </c>
      <c r="C622">
        <v>649163</v>
      </c>
      <c r="D622">
        <v>2028627544</v>
      </c>
      <c r="E622" t="s">
        <v>929</v>
      </c>
      <c r="F622" t="s">
        <v>930</v>
      </c>
      <c r="G622" t="s">
        <v>51</v>
      </c>
      <c r="H622" t="s">
        <v>397</v>
      </c>
      <c r="I622" t="s">
        <v>133</v>
      </c>
      <c r="J622" t="s">
        <v>134</v>
      </c>
      <c r="K622">
        <v>820873</v>
      </c>
      <c r="L622" t="s">
        <v>153</v>
      </c>
      <c r="M622" t="s">
        <v>154</v>
      </c>
      <c r="N622" t="s">
        <v>57</v>
      </c>
      <c r="O622" s="1">
        <v>45774</v>
      </c>
      <c r="Q622" s="1">
        <v>46230</v>
      </c>
      <c r="R622" s="2">
        <v>18.64</v>
      </c>
      <c r="S622">
        <v>1</v>
      </c>
      <c r="T622" t="s">
        <v>58</v>
      </c>
      <c r="U622" t="s">
        <v>246</v>
      </c>
      <c r="V622" s="3">
        <v>0.06</v>
      </c>
      <c r="W622" s="2">
        <v>0</v>
      </c>
      <c r="X622">
        <v>0</v>
      </c>
      <c r="Y622" t="s">
        <v>247</v>
      </c>
      <c r="Z622" t="s">
        <v>248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1.1200000000000001</v>
      </c>
      <c r="AN622" s="2">
        <v>1.1200000000000001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46202</v>
      </c>
      <c r="B623" t="s">
        <v>48</v>
      </c>
      <c r="C623">
        <v>649163</v>
      </c>
      <c r="D623">
        <v>2028654837</v>
      </c>
      <c r="E623" t="s">
        <v>931</v>
      </c>
      <c r="F623" t="s">
        <v>932</v>
      </c>
      <c r="G623" t="s">
        <v>51</v>
      </c>
      <c r="H623" t="s">
        <v>100</v>
      </c>
      <c r="I623" t="s">
        <v>133</v>
      </c>
      <c r="J623" t="s">
        <v>134</v>
      </c>
      <c r="K623">
        <v>823350</v>
      </c>
      <c r="L623" t="s">
        <v>113</v>
      </c>
      <c r="M623" t="s">
        <v>114</v>
      </c>
      <c r="N623" t="s">
        <v>57</v>
      </c>
      <c r="O623" s="1">
        <v>45776</v>
      </c>
      <c r="Q623" s="1">
        <v>46232</v>
      </c>
      <c r="R623" s="2">
        <v>102.62</v>
      </c>
      <c r="S623">
        <v>1</v>
      </c>
      <c r="T623" t="s">
        <v>58</v>
      </c>
      <c r="U623" t="s">
        <v>246</v>
      </c>
      <c r="V623" s="3">
        <v>0.06</v>
      </c>
      <c r="W623" s="2">
        <v>0</v>
      </c>
      <c r="X623">
        <v>0</v>
      </c>
      <c r="Y623" t="s">
        <v>247</v>
      </c>
      <c r="Z623" t="s">
        <v>248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6.16</v>
      </c>
      <c r="AN623" s="2">
        <v>6.16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46202</v>
      </c>
      <c r="B624" t="s">
        <v>48</v>
      </c>
      <c r="C624">
        <v>649163</v>
      </c>
      <c r="D624">
        <v>2029145084</v>
      </c>
      <c r="E624" t="s">
        <v>610</v>
      </c>
      <c r="F624" t="s">
        <v>611</v>
      </c>
      <c r="G624" t="s">
        <v>51</v>
      </c>
      <c r="H624" t="s">
        <v>89</v>
      </c>
      <c r="I624" t="s">
        <v>133</v>
      </c>
      <c r="J624" t="s">
        <v>134</v>
      </c>
      <c r="K624">
        <v>766422</v>
      </c>
      <c r="L624" t="s">
        <v>612</v>
      </c>
      <c r="M624" t="s">
        <v>211</v>
      </c>
      <c r="N624" t="s">
        <v>57</v>
      </c>
      <c r="O624" s="1">
        <v>45805</v>
      </c>
      <c r="Q624" s="1">
        <v>46231</v>
      </c>
      <c r="R624" s="2">
        <v>27.64</v>
      </c>
      <c r="S624">
        <v>1</v>
      </c>
      <c r="T624" t="s">
        <v>58</v>
      </c>
      <c r="U624" t="s">
        <v>246</v>
      </c>
      <c r="V624" s="3">
        <v>0.06</v>
      </c>
      <c r="W624" s="2">
        <v>0</v>
      </c>
      <c r="X624">
        <v>0</v>
      </c>
      <c r="Y624" t="s">
        <v>247</v>
      </c>
      <c r="Z624" t="s">
        <v>248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1.66</v>
      </c>
      <c r="AN624" s="2">
        <v>1.66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46202</v>
      </c>
      <c r="B625" t="s">
        <v>48</v>
      </c>
      <c r="C625">
        <v>649163</v>
      </c>
      <c r="D625">
        <v>2029159005</v>
      </c>
      <c r="E625" t="s">
        <v>933</v>
      </c>
      <c r="F625" t="s">
        <v>934</v>
      </c>
      <c r="G625" t="s">
        <v>51</v>
      </c>
      <c r="H625" t="s">
        <v>124</v>
      </c>
      <c r="I625" t="s">
        <v>133</v>
      </c>
      <c r="J625" t="s">
        <v>134</v>
      </c>
      <c r="K625">
        <v>822865</v>
      </c>
      <c r="L625" t="s">
        <v>935</v>
      </c>
      <c r="M625" t="s">
        <v>936</v>
      </c>
      <c r="N625" t="s">
        <v>57</v>
      </c>
      <c r="O625" s="1">
        <v>45806</v>
      </c>
      <c r="Q625" s="1">
        <v>46232</v>
      </c>
      <c r="R625" s="2">
        <v>22.88</v>
      </c>
      <c r="S625">
        <v>1</v>
      </c>
      <c r="T625" t="s">
        <v>58</v>
      </c>
      <c r="U625" t="s">
        <v>246</v>
      </c>
      <c r="V625" s="3">
        <v>0.06</v>
      </c>
      <c r="W625" s="2">
        <v>0</v>
      </c>
      <c r="X625">
        <v>0</v>
      </c>
      <c r="Y625" t="s">
        <v>247</v>
      </c>
      <c r="Z625" t="s">
        <v>248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1.37</v>
      </c>
      <c r="AN625" s="2">
        <v>1.37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46202</v>
      </c>
      <c r="B626" t="s">
        <v>48</v>
      </c>
      <c r="C626">
        <v>649163</v>
      </c>
      <c r="D626">
        <v>2029176836</v>
      </c>
      <c r="E626" t="s">
        <v>937</v>
      </c>
      <c r="F626" t="s">
        <v>540</v>
      </c>
      <c r="G626" t="s">
        <v>51</v>
      </c>
      <c r="H626" t="s">
        <v>117</v>
      </c>
      <c r="I626" t="s">
        <v>133</v>
      </c>
      <c r="J626" t="s">
        <v>134</v>
      </c>
      <c r="K626">
        <v>673059</v>
      </c>
      <c r="L626" t="s">
        <v>102</v>
      </c>
      <c r="M626" t="s">
        <v>103</v>
      </c>
      <c r="N626" t="s">
        <v>57</v>
      </c>
      <c r="O626" s="1">
        <v>45807</v>
      </c>
      <c r="Q626" s="1">
        <v>46233</v>
      </c>
      <c r="R626" s="2">
        <v>48.4</v>
      </c>
      <c r="S626">
        <v>1</v>
      </c>
      <c r="T626" t="s">
        <v>58</v>
      </c>
      <c r="U626" t="s">
        <v>246</v>
      </c>
      <c r="V626" s="3">
        <v>0.06</v>
      </c>
      <c r="W626" s="2">
        <v>0</v>
      </c>
      <c r="X626">
        <v>0</v>
      </c>
      <c r="Y626" t="s">
        <v>247</v>
      </c>
      <c r="Z626" t="s">
        <v>248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2.9</v>
      </c>
      <c r="AN626" s="2">
        <v>2.9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46202</v>
      </c>
      <c r="B627" t="s">
        <v>48</v>
      </c>
      <c r="C627">
        <v>649163</v>
      </c>
      <c r="D627">
        <v>2029624409</v>
      </c>
      <c r="E627" t="s">
        <v>938</v>
      </c>
      <c r="F627" t="s">
        <v>259</v>
      </c>
      <c r="G627" t="s">
        <v>51</v>
      </c>
      <c r="H627" t="s">
        <v>332</v>
      </c>
      <c r="I627" t="s">
        <v>133</v>
      </c>
      <c r="J627" t="s">
        <v>134</v>
      </c>
      <c r="K627">
        <v>822865</v>
      </c>
      <c r="L627" t="s">
        <v>935</v>
      </c>
      <c r="M627" t="s">
        <v>936</v>
      </c>
      <c r="N627" t="s">
        <v>57</v>
      </c>
      <c r="O627" s="1">
        <v>45838</v>
      </c>
      <c r="Q627" s="1">
        <v>46233</v>
      </c>
      <c r="R627" s="2">
        <v>18.62</v>
      </c>
      <c r="S627">
        <v>1</v>
      </c>
      <c r="T627" t="s">
        <v>58</v>
      </c>
      <c r="U627" t="s">
        <v>246</v>
      </c>
      <c r="V627" s="3">
        <v>0.06</v>
      </c>
      <c r="W627" s="2">
        <v>0</v>
      </c>
      <c r="X627">
        <v>0</v>
      </c>
      <c r="Y627" t="s">
        <v>247</v>
      </c>
      <c r="Z627" t="s">
        <v>248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1.1200000000000001</v>
      </c>
      <c r="AN627" s="2">
        <v>1.1200000000000001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46202</v>
      </c>
      <c r="B628" t="s">
        <v>48</v>
      </c>
      <c r="C628">
        <v>649163</v>
      </c>
      <c r="D628">
        <v>2029690054</v>
      </c>
      <c r="E628" t="s">
        <v>939</v>
      </c>
      <c r="F628" t="s">
        <v>940</v>
      </c>
      <c r="G628" t="s">
        <v>51</v>
      </c>
      <c r="H628" t="s">
        <v>52</v>
      </c>
      <c r="I628" t="s">
        <v>133</v>
      </c>
      <c r="J628" t="s">
        <v>134</v>
      </c>
      <c r="K628">
        <v>702406</v>
      </c>
      <c r="L628" t="s">
        <v>670</v>
      </c>
      <c r="M628" t="s">
        <v>335</v>
      </c>
      <c r="N628" t="s">
        <v>57</v>
      </c>
      <c r="O628" s="1">
        <v>45836</v>
      </c>
      <c r="Q628" s="1">
        <v>46231</v>
      </c>
      <c r="R628" s="2">
        <v>58.98</v>
      </c>
      <c r="S628">
        <v>1</v>
      </c>
      <c r="T628" t="s">
        <v>58</v>
      </c>
      <c r="U628" t="s">
        <v>246</v>
      </c>
      <c r="V628" s="3">
        <v>0.06</v>
      </c>
      <c r="W628" s="2">
        <v>0</v>
      </c>
      <c r="X628">
        <v>0</v>
      </c>
      <c r="Y628" t="s">
        <v>247</v>
      </c>
      <c r="Z628" t="s">
        <v>248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3.54</v>
      </c>
      <c r="AN628" s="2">
        <v>3.54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46202</v>
      </c>
      <c r="B629" t="s">
        <v>48</v>
      </c>
      <c r="C629">
        <v>649163</v>
      </c>
      <c r="D629">
        <v>2030178516</v>
      </c>
      <c r="E629" t="s">
        <v>941</v>
      </c>
      <c r="F629" t="s">
        <v>942</v>
      </c>
      <c r="G629" t="s">
        <v>51</v>
      </c>
      <c r="H629" t="s">
        <v>97</v>
      </c>
      <c r="I629" t="s">
        <v>133</v>
      </c>
      <c r="J629" t="s">
        <v>134</v>
      </c>
      <c r="K629">
        <v>822865</v>
      </c>
      <c r="L629" t="s">
        <v>935</v>
      </c>
      <c r="M629" t="s">
        <v>936</v>
      </c>
      <c r="N629" t="s">
        <v>57</v>
      </c>
      <c r="O629" s="1">
        <v>45867</v>
      </c>
      <c r="Q629" s="1">
        <v>46232</v>
      </c>
      <c r="R629" s="2">
        <v>23.34</v>
      </c>
      <c r="S629">
        <v>1</v>
      </c>
      <c r="T629" t="s">
        <v>58</v>
      </c>
      <c r="U629" t="s">
        <v>246</v>
      </c>
      <c r="V629" s="4">
        <v>0.375</v>
      </c>
      <c r="W629" s="2">
        <v>0</v>
      </c>
      <c r="X629">
        <v>0</v>
      </c>
      <c r="Y629" t="s">
        <v>60</v>
      </c>
      <c r="Z629" t="s">
        <v>248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8.75</v>
      </c>
      <c r="AN629" s="2">
        <v>8.75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46202</v>
      </c>
      <c r="B630" t="s">
        <v>48</v>
      </c>
      <c r="C630">
        <v>649163</v>
      </c>
      <c r="D630">
        <v>2030594429</v>
      </c>
      <c r="E630" t="s">
        <v>943</v>
      </c>
      <c r="F630" t="s">
        <v>944</v>
      </c>
      <c r="G630" t="s">
        <v>51</v>
      </c>
      <c r="H630" t="s">
        <v>397</v>
      </c>
      <c r="I630" t="s">
        <v>133</v>
      </c>
      <c r="J630" t="s">
        <v>134</v>
      </c>
      <c r="K630">
        <v>822723</v>
      </c>
      <c r="L630" t="s">
        <v>912</v>
      </c>
      <c r="M630" t="s">
        <v>913</v>
      </c>
      <c r="N630" t="s">
        <v>57</v>
      </c>
      <c r="O630" s="1">
        <v>45898</v>
      </c>
      <c r="Q630" s="1">
        <v>46232</v>
      </c>
      <c r="R630" s="2">
        <v>60.74</v>
      </c>
      <c r="S630">
        <v>1</v>
      </c>
      <c r="T630" t="s">
        <v>58</v>
      </c>
      <c r="U630" t="s">
        <v>246</v>
      </c>
      <c r="V630" s="4">
        <v>0.375</v>
      </c>
      <c r="W630" s="2">
        <v>0</v>
      </c>
      <c r="X630">
        <v>0</v>
      </c>
      <c r="Y630" t="s">
        <v>60</v>
      </c>
      <c r="Z630" t="s">
        <v>248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22.78</v>
      </c>
      <c r="AN630" s="2">
        <v>22.78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46202</v>
      </c>
      <c r="B631" t="s">
        <v>48</v>
      </c>
      <c r="C631">
        <v>649163</v>
      </c>
      <c r="D631">
        <v>2031343658</v>
      </c>
      <c r="E631" t="s">
        <v>884</v>
      </c>
      <c r="F631" t="s">
        <v>893</v>
      </c>
      <c r="G631" t="s">
        <v>51</v>
      </c>
      <c r="H631" t="s">
        <v>124</v>
      </c>
      <c r="I631" t="s">
        <v>133</v>
      </c>
      <c r="J631" t="s">
        <v>134</v>
      </c>
      <c r="K631">
        <v>822733</v>
      </c>
      <c r="L631" t="s">
        <v>229</v>
      </c>
      <c r="M631" t="s">
        <v>230</v>
      </c>
      <c r="N631" t="s">
        <v>257</v>
      </c>
      <c r="O631" s="1">
        <v>45931</v>
      </c>
      <c r="P631" s="1">
        <v>46202</v>
      </c>
      <c r="Q631" s="1">
        <v>46235</v>
      </c>
      <c r="R631" s="2">
        <v>-9.24</v>
      </c>
      <c r="S631">
        <v>1</v>
      </c>
      <c r="T631" t="s">
        <v>58</v>
      </c>
      <c r="U631" t="s">
        <v>59</v>
      </c>
      <c r="V631" s="4">
        <v>0.375</v>
      </c>
      <c r="W631" s="2">
        <v>0</v>
      </c>
      <c r="X631">
        <v>-1</v>
      </c>
      <c r="Y631" t="s">
        <v>60</v>
      </c>
      <c r="Z631" t="s">
        <v>248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-3.46</v>
      </c>
      <c r="AN631" s="2">
        <v>-3.46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46202</v>
      </c>
      <c r="B632" t="s">
        <v>48</v>
      </c>
      <c r="C632">
        <v>649163</v>
      </c>
      <c r="D632">
        <v>2031833748</v>
      </c>
      <c r="E632" t="s">
        <v>324</v>
      </c>
      <c r="F632" t="s">
        <v>945</v>
      </c>
      <c r="G632" t="s">
        <v>51</v>
      </c>
      <c r="H632" t="s">
        <v>434</v>
      </c>
      <c r="I632" t="s">
        <v>133</v>
      </c>
      <c r="J632" t="s">
        <v>134</v>
      </c>
      <c r="K632">
        <v>820140</v>
      </c>
      <c r="L632" t="s">
        <v>946</v>
      </c>
      <c r="M632" t="s">
        <v>317</v>
      </c>
      <c r="N632" t="s">
        <v>57</v>
      </c>
      <c r="O632" s="1">
        <v>45958</v>
      </c>
      <c r="Q632" s="1">
        <v>46231</v>
      </c>
      <c r="R632" s="2">
        <v>44.56</v>
      </c>
      <c r="S632">
        <v>1</v>
      </c>
      <c r="T632" t="s">
        <v>58</v>
      </c>
      <c r="U632" t="s">
        <v>59</v>
      </c>
      <c r="V632" s="4">
        <v>9.5000000000000001E-2</v>
      </c>
      <c r="W632" s="2">
        <v>0</v>
      </c>
      <c r="X632">
        <v>0</v>
      </c>
      <c r="Y632" t="s">
        <v>60</v>
      </c>
      <c r="Z632" t="s">
        <v>248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4.2300000000000004</v>
      </c>
      <c r="AN632" s="2">
        <v>4.2300000000000004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46202</v>
      </c>
      <c r="B633" t="s">
        <v>48</v>
      </c>
      <c r="C633">
        <v>649163</v>
      </c>
      <c r="D633">
        <v>2031845691</v>
      </c>
      <c r="E633" t="s">
        <v>947</v>
      </c>
      <c r="F633" t="s">
        <v>948</v>
      </c>
      <c r="G633" t="s">
        <v>51</v>
      </c>
      <c r="H633" t="s">
        <v>94</v>
      </c>
      <c r="I633" t="s">
        <v>133</v>
      </c>
      <c r="J633" t="s">
        <v>134</v>
      </c>
      <c r="K633">
        <v>796984</v>
      </c>
      <c r="L633" t="s">
        <v>344</v>
      </c>
      <c r="M633" t="s">
        <v>171</v>
      </c>
      <c r="N633" t="s">
        <v>57</v>
      </c>
      <c r="O633" s="1">
        <v>45958</v>
      </c>
      <c r="Q633" s="1">
        <v>46231</v>
      </c>
      <c r="R633" s="2">
        <v>71.760000000000005</v>
      </c>
      <c r="S633">
        <v>1</v>
      </c>
      <c r="T633" t="s">
        <v>58</v>
      </c>
      <c r="U633" t="s">
        <v>59</v>
      </c>
      <c r="V633" s="4">
        <v>0.375</v>
      </c>
      <c r="W633" s="2">
        <v>0</v>
      </c>
      <c r="X633">
        <v>0</v>
      </c>
      <c r="Y633" t="s">
        <v>60</v>
      </c>
      <c r="Z633" t="s">
        <v>248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26.91</v>
      </c>
      <c r="AN633" s="2">
        <v>26.91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46202</v>
      </c>
      <c r="B634" t="s">
        <v>48</v>
      </c>
      <c r="C634">
        <v>649163</v>
      </c>
      <c r="D634">
        <v>2031983994</v>
      </c>
      <c r="E634" t="s">
        <v>949</v>
      </c>
      <c r="F634" t="s">
        <v>950</v>
      </c>
      <c r="G634" t="s">
        <v>51</v>
      </c>
      <c r="H634" t="s">
        <v>89</v>
      </c>
      <c r="I634" t="s">
        <v>133</v>
      </c>
      <c r="J634" t="s">
        <v>134</v>
      </c>
      <c r="K634">
        <v>806645</v>
      </c>
      <c r="L634" t="s">
        <v>804</v>
      </c>
      <c r="M634" t="s">
        <v>805</v>
      </c>
      <c r="N634" t="s">
        <v>57</v>
      </c>
      <c r="O634" s="1">
        <v>46054</v>
      </c>
      <c r="Q634" s="1">
        <v>46235</v>
      </c>
      <c r="R634" s="2">
        <v>54.7</v>
      </c>
      <c r="S634">
        <v>1</v>
      </c>
      <c r="T634" t="s">
        <v>58</v>
      </c>
      <c r="U634" t="s">
        <v>59</v>
      </c>
      <c r="V634" s="4">
        <v>0.375</v>
      </c>
      <c r="W634" s="2">
        <v>0</v>
      </c>
      <c r="X634">
        <v>0</v>
      </c>
      <c r="Y634" t="s">
        <v>60</v>
      </c>
      <c r="Z634" t="s">
        <v>248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20.51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46202</v>
      </c>
      <c r="B635" t="s">
        <v>48</v>
      </c>
      <c r="C635">
        <v>649163</v>
      </c>
      <c r="D635">
        <v>2032418218</v>
      </c>
      <c r="E635" t="s">
        <v>951</v>
      </c>
      <c r="F635" t="s">
        <v>952</v>
      </c>
      <c r="G635" t="s">
        <v>51</v>
      </c>
      <c r="H635" t="s">
        <v>397</v>
      </c>
      <c r="I635" t="s">
        <v>133</v>
      </c>
      <c r="J635" t="s">
        <v>134</v>
      </c>
      <c r="K635">
        <v>756418</v>
      </c>
      <c r="L635" t="s">
        <v>383</v>
      </c>
      <c r="M635" t="s">
        <v>384</v>
      </c>
      <c r="N635" t="s">
        <v>57</v>
      </c>
      <c r="O635" s="1">
        <v>45991</v>
      </c>
      <c r="Q635" s="1">
        <v>46233</v>
      </c>
      <c r="R635" s="2">
        <v>60.78</v>
      </c>
      <c r="S635">
        <v>1</v>
      </c>
      <c r="T635" t="s">
        <v>58</v>
      </c>
      <c r="U635" t="s">
        <v>59</v>
      </c>
      <c r="V635" s="4">
        <v>0.375</v>
      </c>
      <c r="W635" s="2">
        <v>0</v>
      </c>
      <c r="X635">
        <v>0</v>
      </c>
      <c r="Y635" t="s">
        <v>60</v>
      </c>
      <c r="Z635" t="s">
        <v>248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22.79</v>
      </c>
      <c r="AN635" s="2">
        <v>22.79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46202</v>
      </c>
      <c r="B636" t="s">
        <v>48</v>
      </c>
      <c r="C636">
        <v>649163</v>
      </c>
      <c r="D636">
        <v>2032626951</v>
      </c>
      <c r="E636" t="s">
        <v>407</v>
      </c>
      <c r="F636" t="s">
        <v>408</v>
      </c>
      <c r="G636" t="s">
        <v>51</v>
      </c>
      <c r="H636" t="s">
        <v>89</v>
      </c>
      <c r="I636" t="s">
        <v>133</v>
      </c>
      <c r="J636" t="s">
        <v>134</v>
      </c>
      <c r="K636">
        <v>673059</v>
      </c>
      <c r="L636" t="s">
        <v>102</v>
      </c>
      <c r="M636" t="s">
        <v>103</v>
      </c>
      <c r="N636" t="s">
        <v>57</v>
      </c>
      <c r="O636" s="1">
        <v>46023</v>
      </c>
      <c r="Q636" s="1">
        <v>46235</v>
      </c>
      <c r="R636" s="2">
        <v>54.7</v>
      </c>
      <c r="S636">
        <v>1</v>
      </c>
      <c r="T636" t="s">
        <v>58</v>
      </c>
      <c r="U636" t="s">
        <v>59</v>
      </c>
      <c r="V636" s="4">
        <v>0.375</v>
      </c>
      <c r="W636" s="2">
        <v>0</v>
      </c>
      <c r="X636">
        <v>0</v>
      </c>
      <c r="Y636" t="s">
        <v>60</v>
      </c>
      <c r="Z636" t="s">
        <v>248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20.51</v>
      </c>
      <c r="AN636" s="2">
        <v>20.51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46202</v>
      </c>
      <c r="B637" t="s">
        <v>48</v>
      </c>
      <c r="C637">
        <v>649163</v>
      </c>
      <c r="D637">
        <v>2032681526</v>
      </c>
      <c r="E637" t="s">
        <v>953</v>
      </c>
      <c r="F637" t="s">
        <v>954</v>
      </c>
      <c r="G637" t="s">
        <v>51</v>
      </c>
      <c r="H637" t="s">
        <v>100</v>
      </c>
      <c r="I637" t="s">
        <v>133</v>
      </c>
      <c r="J637" t="s">
        <v>134</v>
      </c>
      <c r="K637">
        <v>822865</v>
      </c>
      <c r="L637" t="s">
        <v>935</v>
      </c>
      <c r="M637" t="s">
        <v>936</v>
      </c>
      <c r="N637" t="s">
        <v>57</v>
      </c>
      <c r="O637" s="1">
        <v>46054</v>
      </c>
      <c r="Q637" s="1">
        <v>46235</v>
      </c>
      <c r="R637" s="2">
        <v>51.19</v>
      </c>
      <c r="S637">
        <v>1</v>
      </c>
      <c r="T637" t="s">
        <v>58</v>
      </c>
      <c r="U637" t="s">
        <v>59</v>
      </c>
      <c r="V637" s="4">
        <v>0.375</v>
      </c>
      <c r="W637" s="2">
        <v>0</v>
      </c>
      <c r="X637">
        <v>0</v>
      </c>
      <c r="Y637" t="s">
        <v>60</v>
      </c>
      <c r="Z637" t="s">
        <v>248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19.2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46202</v>
      </c>
      <c r="B638" t="s">
        <v>48</v>
      </c>
      <c r="C638">
        <v>649163</v>
      </c>
      <c r="D638">
        <v>2032821936</v>
      </c>
      <c r="E638" t="s">
        <v>875</v>
      </c>
      <c r="F638" t="s">
        <v>955</v>
      </c>
      <c r="G638" t="s">
        <v>51</v>
      </c>
      <c r="H638" t="s">
        <v>332</v>
      </c>
      <c r="I638" t="s">
        <v>133</v>
      </c>
      <c r="J638" t="s">
        <v>134</v>
      </c>
      <c r="K638">
        <v>938894</v>
      </c>
      <c r="L638" t="s">
        <v>163</v>
      </c>
      <c r="M638" t="s">
        <v>164</v>
      </c>
      <c r="N638" t="s">
        <v>57</v>
      </c>
      <c r="O638" s="1">
        <v>46054</v>
      </c>
      <c r="Q638" s="1">
        <v>46235</v>
      </c>
      <c r="R638" s="2">
        <v>35.5</v>
      </c>
      <c r="S638">
        <v>1</v>
      </c>
      <c r="T638" t="s">
        <v>58</v>
      </c>
      <c r="U638" t="s">
        <v>59</v>
      </c>
      <c r="V638" s="4">
        <v>0.375</v>
      </c>
      <c r="W638" s="2">
        <v>0</v>
      </c>
      <c r="X638">
        <v>0</v>
      </c>
      <c r="Y638" t="s">
        <v>60</v>
      </c>
      <c r="Z638" t="s">
        <v>248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13.31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46202</v>
      </c>
      <c r="B639" t="s">
        <v>48</v>
      </c>
      <c r="C639">
        <v>649163</v>
      </c>
      <c r="D639">
        <v>2032849421</v>
      </c>
      <c r="E639" t="s">
        <v>956</v>
      </c>
      <c r="F639" t="s">
        <v>957</v>
      </c>
      <c r="G639" t="s">
        <v>51</v>
      </c>
      <c r="H639" t="s">
        <v>311</v>
      </c>
      <c r="I639" t="s">
        <v>133</v>
      </c>
      <c r="J639" t="s">
        <v>134</v>
      </c>
      <c r="K639">
        <v>756418</v>
      </c>
      <c r="L639" t="s">
        <v>383</v>
      </c>
      <c r="M639" t="s">
        <v>384</v>
      </c>
      <c r="N639" t="s">
        <v>57</v>
      </c>
      <c r="O639" s="1">
        <v>46018</v>
      </c>
      <c r="Q639" s="1">
        <v>46230</v>
      </c>
      <c r="R639" s="2">
        <v>104.89</v>
      </c>
      <c r="S639">
        <v>1</v>
      </c>
      <c r="T639" t="s">
        <v>58</v>
      </c>
      <c r="U639" t="s">
        <v>59</v>
      </c>
      <c r="V639" s="4">
        <v>0.375</v>
      </c>
      <c r="W639" s="2">
        <v>0</v>
      </c>
      <c r="X639">
        <v>0</v>
      </c>
      <c r="Y639" t="s">
        <v>60</v>
      </c>
      <c r="Z639" t="s">
        <v>248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39.33</v>
      </c>
      <c r="AN639" s="2">
        <v>39.33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46202</v>
      </c>
      <c r="B640" t="s">
        <v>48</v>
      </c>
      <c r="C640">
        <v>649163</v>
      </c>
      <c r="D640">
        <v>2032984420</v>
      </c>
      <c r="E640" t="s">
        <v>573</v>
      </c>
      <c r="F640" t="s">
        <v>958</v>
      </c>
      <c r="G640" t="s">
        <v>51</v>
      </c>
      <c r="H640" t="s">
        <v>68</v>
      </c>
      <c r="I640" t="s">
        <v>133</v>
      </c>
      <c r="J640" t="s">
        <v>134</v>
      </c>
      <c r="K640">
        <v>893473</v>
      </c>
      <c r="L640" t="s">
        <v>959</v>
      </c>
      <c r="M640" t="s">
        <v>960</v>
      </c>
      <c r="N640" t="s">
        <v>57</v>
      </c>
      <c r="O640" s="1">
        <v>46054</v>
      </c>
      <c r="Q640" s="1">
        <v>46235</v>
      </c>
      <c r="R640" s="2">
        <v>34.39</v>
      </c>
      <c r="S640">
        <v>1</v>
      </c>
      <c r="T640" t="s">
        <v>58</v>
      </c>
      <c r="U640" t="s">
        <v>59</v>
      </c>
      <c r="V640" s="4">
        <v>0.375</v>
      </c>
      <c r="W640" s="2">
        <v>0</v>
      </c>
      <c r="X640">
        <v>0</v>
      </c>
      <c r="Y640" t="s">
        <v>60</v>
      </c>
      <c r="Z640" t="s">
        <v>248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12.9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46202</v>
      </c>
      <c r="B641" t="s">
        <v>48</v>
      </c>
      <c r="C641">
        <v>649163</v>
      </c>
      <c r="D641">
        <v>2032987596</v>
      </c>
      <c r="E641" t="s">
        <v>426</v>
      </c>
      <c r="F641" t="s">
        <v>427</v>
      </c>
      <c r="G641" t="s">
        <v>51</v>
      </c>
      <c r="H641" t="s">
        <v>143</v>
      </c>
      <c r="I641" t="s">
        <v>133</v>
      </c>
      <c r="J641" t="s">
        <v>134</v>
      </c>
      <c r="K641">
        <v>673059</v>
      </c>
      <c r="L641" t="s">
        <v>102</v>
      </c>
      <c r="M641" t="s">
        <v>103</v>
      </c>
      <c r="N641" t="s">
        <v>57</v>
      </c>
      <c r="O641" s="1">
        <v>46054</v>
      </c>
      <c r="Q641" s="1">
        <v>46235</v>
      </c>
      <c r="R641" s="2">
        <v>56.74</v>
      </c>
      <c r="S641">
        <v>1</v>
      </c>
      <c r="T641" t="s">
        <v>58</v>
      </c>
      <c r="U641" t="s">
        <v>59</v>
      </c>
      <c r="V641" s="4">
        <v>0.375</v>
      </c>
      <c r="W641" s="2">
        <v>0</v>
      </c>
      <c r="X641">
        <v>0</v>
      </c>
      <c r="Y641" t="s">
        <v>60</v>
      </c>
      <c r="Z641" t="s">
        <v>248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21.28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46202</v>
      </c>
      <c r="B642" t="s">
        <v>48</v>
      </c>
      <c r="C642">
        <v>649163</v>
      </c>
      <c r="D642">
        <v>2033010308</v>
      </c>
      <c r="E642" t="s">
        <v>430</v>
      </c>
      <c r="F642" t="s">
        <v>431</v>
      </c>
      <c r="G642" t="s">
        <v>51</v>
      </c>
      <c r="H642" t="s">
        <v>89</v>
      </c>
      <c r="I642" t="s">
        <v>133</v>
      </c>
      <c r="J642" t="s">
        <v>134</v>
      </c>
      <c r="K642">
        <v>823350</v>
      </c>
      <c r="L642" t="s">
        <v>113</v>
      </c>
      <c r="M642" t="s">
        <v>114</v>
      </c>
      <c r="N642" t="s">
        <v>257</v>
      </c>
      <c r="O642" s="1">
        <v>46032</v>
      </c>
      <c r="P642" s="1">
        <v>46202</v>
      </c>
      <c r="Q642" s="1">
        <v>46213</v>
      </c>
      <c r="R642" s="2">
        <v>-42.01</v>
      </c>
      <c r="S642">
        <v>1</v>
      </c>
      <c r="T642" t="s">
        <v>58</v>
      </c>
      <c r="U642" t="s">
        <v>59</v>
      </c>
      <c r="V642" s="4">
        <v>0.375</v>
      </c>
      <c r="W642" s="2">
        <v>0</v>
      </c>
      <c r="X642">
        <v>-1</v>
      </c>
      <c r="Y642" t="s">
        <v>60</v>
      </c>
      <c r="Z642" t="s">
        <v>248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-15.75</v>
      </c>
      <c r="AN642" s="2">
        <v>-15.75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46202</v>
      </c>
      <c r="B643" t="s">
        <v>48</v>
      </c>
      <c r="C643">
        <v>649163</v>
      </c>
      <c r="D643">
        <v>2033049390</v>
      </c>
      <c r="E643" t="s">
        <v>961</v>
      </c>
      <c r="F643" t="s">
        <v>962</v>
      </c>
      <c r="G643" t="s">
        <v>51</v>
      </c>
      <c r="H643" t="s">
        <v>97</v>
      </c>
      <c r="I643" t="s">
        <v>133</v>
      </c>
      <c r="J643" t="s">
        <v>134</v>
      </c>
      <c r="K643">
        <v>751867</v>
      </c>
      <c r="L643" t="s">
        <v>272</v>
      </c>
      <c r="M643" t="s">
        <v>209</v>
      </c>
      <c r="N643" t="s">
        <v>57</v>
      </c>
      <c r="O643" s="1">
        <v>46054</v>
      </c>
      <c r="Q643" s="1">
        <v>46235</v>
      </c>
      <c r="R643" s="2">
        <v>14.84</v>
      </c>
      <c r="S643">
        <v>1</v>
      </c>
      <c r="T643" t="s">
        <v>58</v>
      </c>
      <c r="U643" t="s">
        <v>59</v>
      </c>
      <c r="V643" s="4">
        <v>0.375</v>
      </c>
      <c r="W643" s="2">
        <v>0</v>
      </c>
      <c r="X643">
        <v>0</v>
      </c>
      <c r="Y643" t="s">
        <v>60</v>
      </c>
      <c r="Z643" t="s">
        <v>248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5.56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46202</v>
      </c>
      <c r="B644" t="s">
        <v>48</v>
      </c>
      <c r="C644">
        <v>649163</v>
      </c>
      <c r="D644">
        <v>2033053978</v>
      </c>
      <c r="E644" t="s">
        <v>442</v>
      </c>
      <c r="F644" t="s">
        <v>443</v>
      </c>
      <c r="G644" t="s">
        <v>51</v>
      </c>
      <c r="H644" t="s">
        <v>332</v>
      </c>
      <c r="I644" t="s">
        <v>133</v>
      </c>
      <c r="J644" t="s">
        <v>134</v>
      </c>
      <c r="K644">
        <v>824062</v>
      </c>
      <c r="L644" t="s">
        <v>90</v>
      </c>
      <c r="M644" t="s">
        <v>91</v>
      </c>
      <c r="N644" t="s">
        <v>57</v>
      </c>
      <c r="O644" s="1">
        <v>46054</v>
      </c>
      <c r="Q644" s="1">
        <v>46235</v>
      </c>
      <c r="R644" s="2">
        <v>69.97</v>
      </c>
      <c r="S644">
        <v>1</v>
      </c>
      <c r="T644" t="s">
        <v>58</v>
      </c>
      <c r="U644" t="s">
        <v>59</v>
      </c>
      <c r="V644" s="4">
        <v>0.375</v>
      </c>
      <c r="W644" s="2">
        <v>0</v>
      </c>
      <c r="X644">
        <v>0</v>
      </c>
      <c r="Y644" t="s">
        <v>60</v>
      </c>
      <c r="Z644" t="s">
        <v>248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26.24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46202</v>
      </c>
      <c r="B645" t="s">
        <v>48</v>
      </c>
      <c r="C645">
        <v>649163</v>
      </c>
      <c r="D645">
        <v>2033067681</v>
      </c>
      <c r="E645" t="s">
        <v>447</v>
      </c>
      <c r="F645" t="s">
        <v>365</v>
      </c>
      <c r="G645" t="s">
        <v>51</v>
      </c>
      <c r="H645" t="s">
        <v>89</v>
      </c>
      <c r="I645" t="s">
        <v>133</v>
      </c>
      <c r="J645" t="s">
        <v>134</v>
      </c>
      <c r="K645">
        <v>824062</v>
      </c>
      <c r="L645" t="s">
        <v>90</v>
      </c>
      <c r="M645" t="s">
        <v>91</v>
      </c>
      <c r="N645" t="s">
        <v>57</v>
      </c>
      <c r="O645" s="1">
        <v>46054</v>
      </c>
      <c r="Q645" s="1">
        <v>46235</v>
      </c>
      <c r="R645" s="2">
        <v>78.760000000000005</v>
      </c>
      <c r="S645">
        <v>1</v>
      </c>
      <c r="T645" t="s">
        <v>58</v>
      </c>
      <c r="U645" t="s">
        <v>59</v>
      </c>
      <c r="V645" s="4">
        <v>0.375</v>
      </c>
      <c r="W645" s="2">
        <v>0</v>
      </c>
      <c r="X645">
        <v>0</v>
      </c>
      <c r="Y645" t="s">
        <v>60</v>
      </c>
      <c r="Z645" t="s">
        <v>248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29.54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46202</v>
      </c>
      <c r="B646" t="s">
        <v>48</v>
      </c>
      <c r="C646">
        <v>649163</v>
      </c>
      <c r="D646">
        <v>2033097054</v>
      </c>
      <c r="E646" t="s">
        <v>723</v>
      </c>
      <c r="F646" t="s">
        <v>359</v>
      </c>
      <c r="G646" t="s">
        <v>51</v>
      </c>
      <c r="H646" t="s">
        <v>89</v>
      </c>
      <c r="I646" t="s">
        <v>133</v>
      </c>
      <c r="J646" t="s">
        <v>134</v>
      </c>
      <c r="K646">
        <v>824081</v>
      </c>
      <c r="L646" t="s">
        <v>724</v>
      </c>
      <c r="M646" t="s">
        <v>725</v>
      </c>
      <c r="N646" t="s">
        <v>57</v>
      </c>
      <c r="O646" s="1">
        <v>46054</v>
      </c>
      <c r="Q646" s="1">
        <v>46235</v>
      </c>
      <c r="R646" s="2">
        <v>110.98</v>
      </c>
      <c r="S646">
        <v>1</v>
      </c>
      <c r="T646" t="s">
        <v>58</v>
      </c>
      <c r="U646" t="s">
        <v>59</v>
      </c>
      <c r="V646" s="4">
        <v>0.375</v>
      </c>
      <c r="W646" s="2">
        <v>0</v>
      </c>
      <c r="X646">
        <v>0</v>
      </c>
      <c r="Y646" t="s">
        <v>60</v>
      </c>
      <c r="Z646" t="s">
        <v>248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41.62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46202</v>
      </c>
      <c r="B647" t="s">
        <v>48</v>
      </c>
      <c r="C647">
        <v>649163</v>
      </c>
      <c r="D647">
        <v>2033109902</v>
      </c>
      <c r="E647" t="s">
        <v>391</v>
      </c>
      <c r="F647" t="s">
        <v>455</v>
      </c>
      <c r="G647" t="s">
        <v>51</v>
      </c>
      <c r="H647" t="s">
        <v>94</v>
      </c>
      <c r="I647" t="s">
        <v>133</v>
      </c>
      <c r="J647" t="s">
        <v>134</v>
      </c>
      <c r="K647">
        <v>816021</v>
      </c>
      <c r="L647" t="s">
        <v>80</v>
      </c>
      <c r="M647" t="s">
        <v>81</v>
      </c>
      <c r="N647" t="s">
        <v>57</v>
      </c>
      <c r="O647" s="1">
        <v>46054</v>
      </c>
      <c r="Q647" s="1">
        <v>46235</v>
      </c>
      <c r="R647" s="2">
        <v>38.18</v>
      </c>
      <c r="S647">
        <v>1</v>
      </c>
      <c r="T647" t="s">
        <v>58</v>
      </c>
      <c r="U647" t="s">
        <v>59</v>
      </c>
      <c r="V647" s="4">
        <v>0.375</v>
      </c>
      <c r="W647" s="2">
        <v>0</v>
      </c>
      <c r="X647">
        <v>0</v>
      </c>
      <c r="Y647" t="s">
        <v>60</v>
      </c>
      <c r="Z647" t="s">
        <v>248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14.32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46202</v>
      </c>
      <c r="B648" t="s">
        <v>48</v>
      </c>
      <c r="C648">
        <v>649163</v>
      </c>
      <c r="D648">
        <v>2033134540</v>
      </c>
      <c r="E648" t="s">
        <v>733</v>
      </c>
      <c r="F648" t="s">
        <v>660</v>
      </c>
      <c r="G648" t="s">
        <v>51</v>
      </c>
      <c r="H648" t="s">
        <v>89</v>
      </c>
      <c r="I648" t="s">
        <v>133</v>
      </c>
      <c r="J648" t="s">
        <v>134</v>
      </c>
      <c r="K648">
        <v>843573</v>
      </c>
      <c r="L648" t="s">
        <v>213</v>
      </c>
      <c r="M648" t="s">
        <v>214</v>
      </c>
      <c r="N648" t="s">
        <v>57</v>
      </c>
      <c r="O648" s="1">
        <v>46054</v>
      </c>
      <c r="Q648" s="1">
        <v>46235</v>
      </c>
      <c r="R648" s="2">
        <v>78.760000000000005</v>
      </c>
      <c r="S648">
        <v>1</v>
      </c>
      <c r="T648" t="s">
        <v>58</v>
      </c>
      <c r="U648" t="s">
        <v>59</v>
      </c>
      <c r="V648" s="4">
        <v>0.375</v>
      </c>
      <c r="W648" s="2">
        <v>0</v>
      </c>
      <c r="X648">
        <v>0</v>
      </c>
      <c r="Y648" t="s">
        <v>60</v>
      </c>
      <c r="Z648" t="s">
        <v>248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29.54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46202</v>
      </c>
      <c r="B649" t="s">
        <v>48</v>
      </c>
      <c r="C649">
        <v>649163</v>
      </c>
      <c r="D649">
        <v>2033142162</v>
      </c>
      <c r="E649" t="s">
        <v>734</v>
      </c>
      <c r="F649" t="s">
        <v>209</v>
      </c>
      <c r="G649" t="s">
        <v>51</v>
      </c>
      <c r="H649" t="s">
        <v>89</v>
      </c>
      <c r="I649" t="s">
        <v>133</v>
      </c>
      <c r="J649" t="s">
        <v>134</v>
      </c>
      <c r="K649">
        <v>822381</v>
      </c>
      <c r="L649" t="s">
        <v>735</v>
      </c>
      <c r="M649" t="s">
        <v>736</v>
      </c>
      <c r="N649" t="s">
        <v>57</v>
      </c>
      <c r="O649" s="1">
        <v>46054</v>
      </c>
      <c r="Q649" s="1">
        <v>46235</v>
      </c>
      <c r="R649" s="2">
        <v>110.98</v>
      </c>
      <c r="S649">
        <v>1</v>
      </c>
      <c r="T649" t="s">
        <v>58</v>
      </c>
      <c r="U649" t="s">
        <v>59</v>
      </c>
      <c r="V649" s="4">
        <v>0.375</v>
      </c>
      <c r="W649" s="2">
        <v>0</v>
      </c>
      <c r="X649">
        <v>0</v>
      </c>
      <c r="Y649" t="s">
        <v>60</v>
      </c>
      <c r="Z649" t="s">
        <v>248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41.62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46202</v>
      </c>
      <c r="B650" t="s">
        <v>48</v>
      </c>
      <c r="C650">
        <v>649163</v>
      </c>
      <c r="D650">
        <v>2033148641</v>
      </c>
      <c r="E650" t="s">
        <v>738</v>
      </c>
      <c r="F650" t="s">
        <v>739</v>
      </c>
      <c r="G650" t="s">
        <v>51</v>
      </c>
      <c r="H650" t="s">
        <v>89</v>
      </c>
      <c r="I650" t="s">
        <v>133</v>
      </c>
      <c r="J650" t="s">
        <v>134</v>
      </c>
      <c r="K650">
        <v>824062</v>
      </c>
      <c r="L650" t="s">
        <v>90</v>
      </c>
      <c r="M650" t="s">
        <v>91</v>
      </c>
      <c r="N650" t="s">
        <v>57</v>
      </c>
      <c r="O650" s="1">
        <v>46054</v>
      </c>
      <c r="Q650" s="1">
        <v>46235</v>
      </c>
      <c r="R650" s="2">
        <v>78.760000000000005</v>
      </c>
      <c r="S650">
        <v>1</v>
      </c>
      <c r="T650" t="s">
        <v>58</v>
      </c>
      <c r="U650" t="s">
        <v>59</v>
      </c>
      <c r="V650" s="4">
        <v>0.375</v>
      </c>
      <c r="W650" s="2">
        <v>0</v>
      </c>
      <c r="X650">
        <v>0</v>
      </c>
      <c r="Y650" t="s">
        <v>60</v>
      </c>
      <c r="Z650" t="s">
        <v>248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29.54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46202</v>
      </c>
      <c r="B651" t="s">
        <v>48</v>
      </c>
      <c r="C651">
        <v>649163</v>
      </c>
      <c r="D651">
        <v>2033151371</v>
      </c>
      <c r="E651" t="s">
        <v>740</v>
      </c>
      <c r="F651" t="s">
        <v>529</v>
      </c>
      <c r="G651" t="s">
        <v>51</v>
      </c>
      <c r="H651" t="s">
        <v>68</v>
      </c>
      <c r="I651" t="s">
        <v>133</v>
      </c>
      <c r="J651" t="s">
        <v>134</v>
      </c>
      <c r="K651">
        <v>888536</v>
      </c>
      <c r="L651" t="s">
        <v>741</v>
      </c>
      <c r="M651" t="s">
        <v>742</v>
      </c>
      <c r="N651" t="s">
        <v>57</v>
      </c>
      <c r="O651" s="1">
        <v>46054</v>
      </c>
      <c r="Q651" s="1">
        <v>46235</v>
      </c>
      <c r="R651" s="2">
        <v>15.16</v>
      </c>
      <c r="S651">
        <v>1</v>
      </c>
      <c r="T651" t="s">
        <v>58</v>
      </c>
      <c r="U651" t="s">
        <v>59</v>
      </c>
      <c r="V651" s="4">
        <v>0.375</v>
      </c>
      <c r="W651" s="2">
        <v>0</v>
      </c>
      <c r="X651">
        <v>0</v>
      </c>
      <c r="Y651" t="s">
        <v>60</v>
      </c>
      <c r="Z651" t="s">
        <v>248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5.68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46202</v>
      </c>
      <c r="B652" t="s">
        <v>48</v>
      </c>
      <c r="C652">
        <v>649163</v>
      </c>
      <c r="D652">
        <v>2033152454</v>
      </c>
      <c r="E652" t="s">
        <v>231</v>
      </c>
      <c r="F652" t="s">
        <v>743</v>
      </c>
      <c r="G652" t="s">
        <v>51</v>
      </c>
      <c r="H652" t="s">
        <v>302</v>
      </c>
      <c r="I652" t="s">
        <v>133</v>
      </c>
      <c r="J652" t="s">
        <v>134</v>
      </c>
      <c r="K652">
        <v>756418</v>
      </c>
      <c r="L652" t="s">
        <v>383</v>
      </c>
      <c r="M652" t="s">
        <v>384</v>
      </c>
      <c r="N652" t="s">
        <v>57</v>
      </c>
      <c r="O652" s="1">
        <v>46054</v>
      </c>
      <c r="Q652" s="1">
        <v>46235</v>
      </c>
      <c r="R652" s="2">
        <v>45.06</v>
      </c>
      <c r="S652">
        <v>1</v>
      </c>
      <c r="T652" t="s">
        <v>58</v>
      </c>
      <c r="U652" t="s">
        <v>59</v>
      </c>
      <c r="V652" s="4">
        <v>0.375</v>
      </c>
      <c r="W652" s="2">
        <v>0</v>
      </c>
      <c r="X652">
        <v>0</v>
      </c>
      <c r="Y652" t="s">
        <v>60</v>
      </c>
      <c r="Z652" t="s">
        <v>248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16.899999999999999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46202</v>
      </c>
      <c r="B653" t="s">
        <v>48</v>
      </c>
      <c r="C653">
        <v>649163</v>
      </c>
      <c r="D653">
        <v>2033156836</v>
      </c>
      <c r="E653" t="s">
        <v>963</v>
      </c>
      <c r="F653" t="s">
        <v>964</v>
      </c>
      <c r="G653" t="s">
        <v>51</v>
      </c>
      <c r="H653" t="s">
        <v>124</v>
      </c>
      <c r="I653" t="s">
        <v>133</v>
      </c>
      <c r="J653" t="s">
        <v>134</v>
      </c>
      <c r="K653">
        <v>789909</v>
      </c>
      <c r="L653" t="s">
        <v>711</v>
      </c>
      <c r="M653" t="s">
        <v>712</v>
      </c>
      <c r="N653" t="s">
        <v>57</v>
      </c>
      <c r="O653" s="1">
        <v>46054</v>
      </c>
      <c r="Q653" s="1">
        <v>46235</v>
      </c>
      <c r="R653" s="2">
        <v>99.1</v>
      </c>
      <c r="S653">
        <v>1</v>
      </c>
      <c r="T653" t="s">
        <v>58</v>
      </c>
      <c r="U653" t="s">
        <v>59</v>
      </c>
      <c r="V653" s="4">
        <v>0.375</v>
      </c>
      <c r="W653" s="2">
        <v>0</v>
      </c>
      <c r="X653">
        <v>0</v>
      </c>
      <c r="Y653" t="s">
        <v>60</v>
      </c>
      <c r="Z653" t="s">
        <v>248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37.159999999999997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46202</v>
      </c>
      <c r="B654" t="s">
        <v>48</v>
      </c>
      <c r="C654">
        <v>649163</v>
      </c>
      <c r="D654">
        <v>2033166589</v>
      </c>
      <c r="E654" t="s">
        <v>481</v>
      </c>
      <c r="F654" t="s">
        <v>482</v>
      </c>
      <c r="G654" t="s">
        <v>51</v>
      </c>
      <c r="H654" t="s">
        <v>117</v>
      </c>
      <c r="I654" t="s">
        <v>133</v>
      </c>
      <c r="J654" t="s">
        <v>134</v>
      </c>
      <c r="K654">
        <v>856163</v>
      </c>
      <c r="L654" t="s">
        <v>113</v>
      </c>
      <c r="M654" t="s">
        <v>452</v>
      </c>
      <c r="N654" t="s">
        <v>57</v>
      </c>
      <c r="O654" s="1">
        <v>46054</v>
      </c>
      <c r="Q654" s="1">
        <v>46235</v>
      </c>
      <c r="R654" s="2">
        <v>82.09</v>
      </c>
      <c r="S654">
        <v>1</v>
      </c>
      <c r="T654" t="s">
        <v>58</v>
      </c>
      <c r="U654" t="s">
        <v>59</v>
      </c>
      <c r="V654" s="4">
        <v>0.375</v>
      </c>
      <c r="W654" s="2">
        <v>0</v>
      </c>
      <c r="X654">
        <v>0</v>
      </c>
      <c r="Y654" t="s">
        <v>60</v>
      </c>
      <c r="Z654" t="s">
        <v>248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30.78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46202</v>
      </c>
      <c r="B655" t="s">
        <v>48</v>
      </c>
      <c r="C655">
        <v>649163</v>
      </c>
      <c r="D655">
        <v>2033174860</v>
      </c>
      <c r="E655" t="s">
        <v>746</v>
      </c>
      <c r="F655" t="s">
        <v>747</v>
      </c>
      <c r="G655" t="s">
        <v>51</v>
      </c>
      <c r="H655" t="s">
        <v>94</v>
      </c>
      <c r="I655" t="s">
        <v>133</v>
      </c>
      <c r="J655" t="s">
        <v>134</v>
      </c>
      <c r="K655">
        <v>856824</v>
      </c>
      <c r="L655" t="s">
        <v>85</v>
      </c>
      <c r="M655" t="s">
        <v>86</v>
      </c>
      <c r="N655" t="s">
        <v>57</v>
      </c>
      <c r="O655" s="1">
        <v>46054</v>
      </c>
      <c r="Q655" s="1">
        <v>46235</v>
      </c>
      <c r="R655" s="2">
        <v>25.55</v>
      </c>
      <c r="S655">
        <v>1</v>
      </c>
      <c r="T655" t="s">
        <v>58</v>
      </c>
      <c r="U655" t="s">
        <v>59</v>
      </c>
      <c r="V655" s="4">
        <v>0.375</v>
      </c>
      <c r="W655" s="2">
        <v>0</v>
      </c>
      <c r="X655">
        <v>0</v>
      </c>
      <c r="Y655" t="s">
        <v>60</v>
      </c>
      <c r="Z655" t="s">
        <v>248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9.58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46202</v>
      </c>
      <c r="B656" t="s">
        <v>48</v>
      </c>
      <c r="C656">
        <v>649163</v>
      </c>
      <c r="D656">
        <v>2033175060</v>
      </c>
      <c r="E656" t="s">
        <v>808</v>
      </c>
      <c r="F656" t="s">
        <v>598</v>
      </c>
      <c r="G656" t="s">
        <v>51</v>
      </c>
      <c r="H656" t="s">
        <v>332</v>
      </c>
      <c r="I656" t="s">
        <v>133</v>
      </c>
      <c r="J656" t="s">
        <v>134</v>
      </c>
      <c r="K656">
        <v>767312</v>
      </c>
      <c r="L656" t="s">
        <v>486</v>
      </c>
      <c r="M656" t="s">
        <v>379</v>
      </c>
      <c r="N656" t="s">
        <v>57</v>
      </c>
      <c r="O656" s="1">
        <v>46054</v>
      </c>
      <c r="Q656" s="1">
        <v>46235</v>
      </c>
      <c r="R656" s="2">
        <v>68.459999999999994</v>
      </c>
      <c r="S656">
        <v>1</v>
      </c>
      <c r="T656" t="s">
        <v>58</v>
      </c>
      <c r="U656" t="s">
        <v>59</v>
      </c>
      <c r="V656" s="4">
        <v>0.375</v>
      </c>
      <c r="W656" s="2">
        <v>0</v>
      </c>
      <c r="X656">
        <v>0</v>
      </c>
      <c r="Y656" t="s">
        <v>60</v>
      </c>
      <c r="Z656" t="s">
        <v>248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25.67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46202</v>
      </c>
      <c r="B657" t="s">
        <v>48</v>
      </c>
      <c r="C657">
        <v>649163</v>
      </c>
      <c r="D657">
        <v>2033177081</v>
      </c>
      <c r="E657" t="s">
        <v>748</v>
      </c>
      <c r="F657" t="s">
        <v>749</v>
      </c>
      <c r="G657" t="s">
        <v>51</v>
      </c>
      <c r="H657" t="s">
        <v>97</v>
      </c>
      <c r="I657" t="s">
        <v>133</v>
      </c>
      <c r="J657" t="s">
        <v>134</v>
      </c>
      <c r="K657">
        <v>812782</v>
      </c>
      <c r="L657" t="s">
        <v>181</v>
      </c>
      <c r="M657" t="s">
        <v>182</v>
      </c>
      <c r="N657" t="s">
        <v>57</v>
      </c>
      <c r="O657" s="1">
        <v>46054</v>
      </c>
      <c r="Q657" s="1">
        <v>46235</v>
      </c>
      <c r="R657" s="2">
        <v>100.9</v>
      </c>
      <c r="S657">
        <v>1</v>
      </c>
      <c r="T657" t="s">
        <v>58</v>
      </c>
      <c r="U657" t="s">
        <v>59</v>
      </c>
      <c r="V657" s="4">
        <v>0.375</v>
      </c>
      <c r="W657" s="2">
        <v>0</v>
      </c>
      <c r="X657">
        <v>0</v>
      </c>
      <c r="Y657" t="s">
        <v>60</v>
      </c>
      <c r="Z657" t="s">
        <v>248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37.840000000000003</v>
      </c>
      <c r="AN657" s="2">
        <v>37.840000000000003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46202</v>
      </c>
      <c r="B658" t="s">
        <v>48</v>
      </c>
      <c r="C658">
        <v>649163</v>
      </c>
      <c r="D658">
        <v>2033179422</v>
      </c>
      <c r="E658" t="s">
        <v>755</v>
      </c>
      <c r="F658" t="s">
        <v>478</v>
      </c>
      <c r="G658" t="s">
        <v>51</v>
      </c>
      <c r="H658" t="s">
        <v>425</v>
      </c>
      <c r="I658" t="s">
        <v>133</v>
      </c>
      <c r="J658" t="s">
        <v>134</v>
      </c>
      <c r="K658">
        <v>812994</v>
      </c>
      <c r="L658" t="s">
        <v>615</v>
      </c>
      <c r="M658" t="s">
        <v>616</v>
      </c>
      <c r="N658" t="s">
        <v>57</v>
      </c>
      <c r="O658" s="1">
        <v>46054</v>
      </c>
      <c r="Q658" s="1">
        <v>46235</v>
      </c>
      <c r="R658" s="2">
        <v>90.22</v>
      </c>
      <c r="S658">
        <v>1</v>
      </c>
      <c r="T658" t="s">
        <v>58</v>
      </c>
      <c r="U658" t="s">
        <v>59</v>
      </c>
      <c r="V658" s="4">
        <v>0.375</v>
      </c>
      <c r="W658" s="2">
        <v>0</v>
      </c>
      <c r="X658">
        <v>0</v>
      </c>
      <c r="Y658" t="s">
        <v>60</v>
      </c>
      <c r="Z658" t="s">
        <v>248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33.83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46202</v>
      </c>
      <c r="B659" t="s">
        <v>48</v>
      </c>
      <c r="C659">
        <v>649163</v>
      </c>
      <c r="D659">
        <v>2033179604</v>
      </c>
      <c r="E659" t="s">
        <v>494</v>
      </c>
      <c r="F659" t="s">
        <v>495</v>
      </c>
      <c r="G659" t="s">
        <v>51</v>
      </c>
      <c r="H659" t="s">
        <v>496</v>
      </c>
      <c r="I659" t="s">
        <v>133</v>
      </c>
      <c r="J659" t="s">
        <v>134</v>
      </c>
      <c r="K659">
        <v>651818</v>
      </c>
      <c r="L659" t="s">
        <v>210</v>
      </c>
      <c r="M659" t="s">
        <v>211</v>
      </c>
      <c r="N659" t="s">
        <v>57</v>
      </c>
      <c r="O659" s="1">
        <v>46054</v>
      </c>
      <c r="Q659" s="1">
        <v>46235</v>
      </c>
      <c r="R659" s="2">
        <v>84.72</v>
      </c>
      <c r="S659">
        <v>1</v>
      </c>
      <c r="T659" t="s">
        <v>58</v>
      </c>
      <c r="U659" t="s">
        <v>59</v>
      </c>
      <c r="V659" s="4">
        <v>0.375</v>
      </c>
      <c r="W659" s="2">
        <v>0</v>
      </c>
      <c r="X659">
        <v>0</v>
      </c>
      <c r="Y659" t="s">
        <v>60</v>
      </c>
      <c r="Z659" t="s">
        <v>248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31.77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46202</v>
      </c>
      <c r="B660" t="s">
        <v>48</v>
      </c>
      <c r="C660">
        <v>649163</v>
      </c>
      <c r="D660">
        <v>2033183851</v>
      </c>
      <c r="E660" t="s">
        <v>628</v>
      </c>
      <c r="F660" t="s">
        <v>629</v>
      </c>
      <c r="G660" t="s">
        <v>51</v>
      </c>
      <c r="H660" t="s">
        <v>200</v>
      </c>
      <c r="I660" t="s">
        <v>133</v>
      </c>
      <c r="J660" t="s">
        <v>134</v>
      </c>
      <c r="K660">
        <v>902581</v>
      </c>
      <c r="L660" t="s">
        <v>630</v>
      </c>
      <c r="M660" t="s">
        <v>631</v>
      </c>
      <c r="N660" t="s">
        <v>57</v>
      </c>
      <c r="O660" s="1">
        <v>46054</v>
      </c>
      <c r="Q660" s="1">
        <v>46235</v>
      </c>
      <c r="R660" s="2">
        <v>86.96</v>
      </c>
      <c r="S660">
        <v>1</v>
      </c>
      <c r="T660" t="s">
        <v>58</v>
      </c>
      <c r="U660" t="s">
        <v>59</v>
      </c>
      <c r="V660" s="4">
        <v>0.375</v>
      </c>
      <c r="W660" s="2">
        <v>0</v>
      </c>
      <c r="X660">
        <v>0</v>
      </c>
      <c r="Y660" t="s">
        <v>60</v>
      </c>
      <c r="Z660" t="s">
        <v>248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32.61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46202</v>
      </c>
      <c r="B661" t="s">
        <v>48</v>
      </c>
      <c r="C661">
        <v>649163</v>
      </c>
      <c r="D661">
        <v>2033211922</v>
      </c>
      <c r="E661" t="s">
        <v>231</v>
      </c>
      <c r="F661" t="s">
        <v>489</v>
      </c>
      <c r="G661" t="s">
        <v>51</v>
      </c>
      <c r="H661" t="s">
        <v>89</v>
      </c>
      <c r="I661" t="s">
        <v>133</v>
      </c>
      <c r="J661" t="s">
        <v>134</v>
      </c>
      <c r="K661">
        <v>821015</v>
      </c>
      <c r="L661" t="s">
        <v>172</v>
      </c>
      <c r="M661" t="s">
        <v>173</v>
      </c>
      <c r="N661" t="s">
        <v>57</v>
      </c>
      <c r="O661" s="1">
        <v>46054</v>
      </c>
      <c r="Q661" s="1">
        <v>46235</v>
      </c>
      <c r="R661" s="2">
        <v>261.47000000000003</v>
      </c>
      <c r="S661">
        <v>1</v>
      </c>
      <c r="T661" t="s">
        <v>58</v>
      </c>
      <c r="U661" t="s">
        <v>59</v>
      </c>
      <c r="V661" s="4">
        <v>0.375</v>
      </c>
      <c r="W661" s="2">
        <v>0</v>
      </c>
      <c r="X661">
        <v>0</v>
      </c>
      <c r="Y661" t="s">
        <v>60</v>
      </c>
      <c r="Z661" t="s">
        <v>248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98.05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46202</v>
      </c>
      <c r="B662" t="s">
        <v>48</v>
      </c>
      <c r="C662">
        <v>649163</v>
      </c>
      <c r="D662">
        <v>2033245389</v>
      </c>
      <c r="E662" t="s">
        <v>762</v>
      </c>
      <c r="F662" t="s">
        <v>965</v>
      </c>
      <c r="G662" t="s">
        <v>51</v>
      </c>
      <c r="H662" t="s">
        <v>89</v>
      </c>
      <c r="I662" t="s">
        <v>133</v>
      </c>
      <c r="J662" t="s">
        <v>134</v>
      </c>
      <c r="K662">
        <v>814033</v>
      </c>
      <c r="L662" t="s">
        <v>490</v>
      </c>
      <c r="M662" t="s">
        <v>491</v>
      </c>
      <c r="N662" t="s">
        <v>57</v>
      </c>
      <c r="O662" s="1">
        <v>46054</v>
      </c>
      <c r="Q662" s="1">
        <v>46235</v>
      </c>
      <c r="R662" s="2">
        <v>73.7</v>
      </c>
      <c r="S662">
        <v>1</v>
      </c>
      <c r="T662" t="s">
        <v>58</v>
      </c>
      <c r="U662" t="s">
        <v>59</v>
      </c>
      <c r="V662" s="4">
        <v>0.375</v>
      </c>
      <c r="W662" s="2">
        <v>0</v>
      </c>
      <c r="X662">
        <v>0</v>
      </c>
      <c r="Y662" t="s">
        <v>60</v>
      </c>
      <c r="Z662" t="s">
        <v>248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27.64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46202</v>
      </c>
      <c r="B663" t="s">
        <v>48</v>
      </c>
      <c r="C663">
        <v>649163</v>
      </c>
      <c r="D663">
        <v>2033249077</v>
      </c>
      <c r="E663" t="s">
        <v>765</v>
      </c>
      <c r="F663" t="s">
        <v>766</v>
      </c>
      <c r="G663" t="s">
        <v>51</v>
      </c>
      <c r="H663" t="s">
        <v>89</v>
      </c>
      <c r="I663" t="s">
        <v>133</v>
      </c>
      <c r="J663" t="s">
        <v>134</v>
      </c>
      <c r="K663">
        <v>824062</v>
      </c>
      <c r="L663" t="s">
        <v>90</v>
      </c>
      <c r="M663" t="s">
        <v>91</v>
      </c>
      <c r="N663" t="s">
        <v>57</v>
      </c>
      <c r="O663" s="1">
        <v>46054</v>
      </c>
      <c r="Q663" s="1">
        <v>46235</v>
      </c>
      <c r="R663" s="2">
        <v>160.96</v>
      </c>
      <c r="S663">
        <v>1</v>
      </c>
      <c r="T663" t="s">
        <v>58</v>
      </c>
      <c r="U663" t="s">
        <v>59</v>
      </c>
      <c r="V663" s="4">
        <v>0.375</v>
      </c>
      <c r="W663" s="2">
        <v>0</v>
      </c>
      <c r="X663">
        <v>0</v>
      </c>
      <c r="Y663" t="s">
        <v>60</v>
      </c>
      <c r="Z663" t="s">
        <v>248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60.36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46202</v>
      </c>
      <c r="B664" t="s">
        <v>48</v>
      </c>
      <c r="C664">
        <v>649163</v>
      </c>
      <c r="D664">
        <v>2033259943</v>
      </c>
      <c r="E664" t="s">
        <v>513</v>
      </c>
      <c r="F664" t="s">
        <v>514</v>
      </c>
      <c r="G664" t="s">
        <v>51</v>
      </c>
      <c r="H664" t="s">
        <v>89</v>
      </c>
      <c r="I664" t="s">
        <v>133</v>
      </c>
      <c r="J664" t="s">
        <v>134</v>
      </c>
      <c r="K664">
        <v>824062</v>
      </c>
      <c r="L664" t="s">
        <v>90</v>
      </c>
      <c r="M664" t="s">
        <v>91</v>
      </c>
      <c r="N664" t="s">
        <v>57</v>
      </c>
      <c r="O664" s="1">
        <v>46054</v>
      </c>
      <c r="Q664" s="1">
        <v>46235</v>
      </c>
      <c r="R664" s="2">
        <v>78.760000000000005</v>
      </c>
      <c r="S664">
        <v>1</v>
      </c>
      <c r="T664" t="s">
        <v>58</v>
      </c>
      <c r="U664" t="s">
        <v>59</v>
      </c>
      <c r="V664" s="4">
        <v>0.375</v>
      </c>
      <c r="W664" s="2">
        <v>0</v>
      </c>
      <c r="X664">
        <v>0</v>
      </c>
      <c r="Y664" t="s">
        <v>60</v>
      </c>
      <c r="Z664" t="s">
        <v>248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29.54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46202</v>
      </c>
      <c r="B665" t="s">
        <v>48</v>
      </c>
      <c r="C665">
        <v>649163</v>
      </c>
      <c r="D665">
        <v>2033263116</v>
      </c>
      <c r="E665" t="s">
        <v>767</v>
      </c>
      <c r="F665" t="s">
        <v>768</v>
      </c>
      <c r="G665" t="s">
        <v>51</v>
      </c>
      <c r="H665" t="s">
        <v>89</v>
      </c>
      <c r="I665" t="s">
        <v>133</v>
      </c>
      <c r="J665" t="s">
        <v>134</v>
      </c>
      <c r="K665">
        <v>824062</v>
      </c>
      <c r="L665" t="s">
        <v>90</v>
      </c>
      <c r="M665" t="s">
        <v>91</v>
      </c>
      <c r="N665" t="s">
        <v>57</v>
      </c>
      <c r="O665" s="1">
        <v>46054</v>
      </c>
      <c r="Q665" s="1">
        <v>46235</v>
      </c>
      <c r="R665" s="2">
        <v>78.760000000000005</v>
      </c>
      <c r="S665">
        <v>1</v>
      </c>
      <c r="T665" t="s">
        <v>58</v>
      </c>
      <c r="U665" t="s">
        <v>59</v>
      </c>
      <c r="V665" s="4">
        <v>0.375</v>
      </c>
      <c r="W665" s="2">
        <v>0</v>
      </c>
      <c r="X665">
        <v>0</v>
      </c>
      <c r="Y665" t="s">
        <v>60</v>
      </c>
      <c r="Z665" t="s">
        <v>248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29.54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46202</v>
      </c>
      <c r="B666" t="s">
        <v>48</v>
      </c>
      <c r="C666">
        <v>649163</v>
      </c>
      <c r="D666">
        <v>2033268475</v>
      </c>
      <c r="E666" t="s">
        <v>769</v>
      </c>
      <c r="F666" t="s">
        <v>457</v>
      </c>
      <c r="G666" t="s">
        <v>51</v>
      </c>
      <c r="H666" t="s">
        <v>89</v>
      </c>
      <c r="I666" t="s">
        <v>133</v>
      </c>
      <c r="J666" t="s">
        <v>134</v>
      </c>
      <c r="K666">
        <v>882035</v>
      </c>
      <c r="L666" t="s">
        <v>770</v>
      </c>
      <c r="M666" t="s">
        <v>771</v>
      </c>
      <c r="N666" t="s">
        <v>57</v>
      </c>
      <c r="O666" s="1">
        <v>46054</v>
      </c>
      <c r="Q666" s="1">
        <v>46235</v>
      </c>
      <c r="R666" s="2">
        <v>78.760000000000005</v>
      </c>
      <c r="S666">
        <v>1</v>
      </c>
      <c r="T666" t="s">
        <v>58</v>
      </c>
      <c r="U666" t="s">
        <v>59</v>
      </c>
      <c r="V666" s="4">
        <v>0.375</v>
      </c>
      <c r="W666" s="2">
        <v>0</v>
      </c>
      <c r="X666">
        <v>0</v>
      </c>
      <c r="Y666" t="s">
        <v>60</v>
      </c>
      <c r="Z666" t="s">
        <v>248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29.54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46202</v>
      </c>
      <c r="B667" t="s">
        <v>48</v>
      </c>
      <c r="C667">
        <v>649163</v>
      </c>
      <c r="D667">
        <v>2033280425</v>
      </c>
      <c r="E667" t="s">
        <v>777</v>
      </c>
      <c r="F667" t="s">
        <v>171</v>
      </c>
      <c r="G667" t="s">
        <v>51</v>
      </c>
      <c r="H667" t="s">
        <v>89</v>
      </c>
      <c r="I667" t="s">
        <v>133</v>
      </c>
      <c r="J667" t="s">
        <v>134</v>
      </c>
      <c r="K667">
        <v>824062</v>
      </c>
      <c r="L667" t="s">
        <v>90</v>
      </c>
      <c r="M667" t="s">
        <v>91</v>
      </c>
      <c r="N667" t="s">
        <v>57</v>
      </c>
      <c r="O667" s="1">
        <v>46054</v>
      </c>
      <c r="Q667" s="1">
        <v>46235</v>
      </c>
      <c r="R667" s="2">
        <v>152.33000000000001</v>
      </c>
      <c r="S667">
        <v>1</v>
      </c>
      <c r="T667" t="s">
        <v>58</v>
      </c>
      <c r="U667" t="s">
        <v>59</v>
      </c>
      <c r="V667" s="4">
        <v>0.375</v>
      </c>
      <c r="W667" s="2">
        <v>0</v>
      </c>
      <c r="X667">
        <v>0</v>
      </c>
      <c r="Y667" t="s">
        <v>60</v>
      </c>
      <c r="Z667" t="s">
        <v>248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57.12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46202</v>
      </c>
      <c r="B668" t="s">
        <v>48</v>
      </c>
      <c r="C668">
        <v>649163</v>
      </c>
      <c r="D668">
        <v>2033285975</v>
      </c>
      <c r="E668" t="s">
        <v>517</v>
      </c>
      <c r="F668" t="s">
        <v>778</v>
      </c>
      <c r="G668" t="s">
        <v>51</v>
      </c>
      <c r="H668" t="s">
        <v>89</v>
      </c>
      <c r="I668" t="s">
        <v>133</v>
      </c>
      <c r="J668" t="s">
        <v>134</v>
      </c>
      <c r="K668">
        <v>824062</v>
      </c>
      <c r="L668" t="s">
        <v>90</v>
      </c>
      <c r="M668" t="s">
        <v>91</v>
      </c>
      <c r="N668" t="s">
        <v>57</v>
      </c>
      <c r="O668" s="1">
        <v>46054</v>
      </c>
      <c r="Q668" s="1">
        <v>46235</v>
      </c>
      <c r="R668" s="2">
        <v>78.760000000000005</v>
      </c>
      <c r="S668">
        <v>1</v>
      </c>
      <c r="T668" t="s">
        <v>58</v>
      </c>
      <c r="U668" t="s">
        <v>59</v>
      </c>
      <c r="V668" s="4">
        <v>0.375</v>
      </c>
      <c r="W668" s="2">
        <v>0</v>
      </c>
      <c r="X668">
        <v>0</v>
      </c>
      <c r="Y668" t="s">
        <v>60</v>
      </c>
      <c r="Z668" t="s">
        <v>248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29.54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46202</v>
      </c>
      <c r="B669" t="s">
        <v>48</v>
      </c>
      <c r="C669">
        <v>649163</v>
      </c>
      <c r="D669">
        <v>2033287399</v>
      </c>
      <c r="E669" t="s">
        <v>779</v>
      </c>
      <c r="F669" t="s">
        <v>780</v>
      </c>
      <c r="G669" t="s">
        <v>51</v>
      </c>
      <c r="H669" t="s">
        <v>89</v>
      </c>
      <c r="I669" t="s">
        <v>133</v>
      </c>
      <c r="J669" t="s">
        <v>134</v>
      </c>
      <c r="K669">
        <v>840313</v>
      </c>
      <c r="L669" t="s">
        <v>158</v>
      </c>
      <c r="M669" t="s">
        <v>159</v>
      </c>
      <c r="N669" t="s">
        <v>57</v>
      </c>
      <c r="O669" s="1">
        <v>46054</v>
      </c>
      <c r="Q669" s="1">
        <v>46235</v>
      </c>
      <c r="R669" s="2">
        <v>78.760000000000005</v>
      </c>
      <c r="S669">
        <v>1</v>
      </c>
      <c r="T669" t="s">
        <v>58</v>
      </c>
      <c r="U669" t="s">
        <v>59</v>
      </c>
      <c r="V669" s="4">
        <v>0.375</v>
      </c>
      <c r="W669" s="2">
        <v>0</v>
      </c>
      <c r="X669">
        <v>0</v>
      </c>
      <c r="Y669" t="s">
        <v>60</v>
      </c>
      <c r="Z669" t="s">
        <v>248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29.54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46202</v>
      </c>
      <c r="B670" t="s">
        <v>48</v>
      </c>
      <c r="C670">
        <v>649163</v>
      </c>
      <c r="D670">
        <v>2033300226</v>
      </c>
      <c r="E670" t="s">
        <v>781</v>
      </c>
      <c r="F670" t="s">
        <v>782</v>
      </c>
      <c r="G670" t="s">
        <v>51</v>
      </c>
      <c r="H670" t="s">
        <v>89</v>
      </c>
      <c r="I670" t="s">
        <v>133</v>
      </c>
      <c r="J670" t="s">
        <v>134</v>
      </c>
      <c r="K670">
        <v>768271</v>
      </c>
      <c r="L670" t="s">
        <v>206</v>
      </c>
      <c r="M670" t="s">
        <v>207</v>
      </c>
      <c r="N670" t="s">
        <v>57</v>
      </c>
      <c r="O670" s="1">
        <v>46054</v>
      </c>
      <c r="Q670" s="1">
        <v>46235</v>
      </c>
      <c r="R670" s="2">
        <v>78.760000000000005</v>
      </c>
      <c r="S670">
        <v>1</v>
      </c>
      <c r="T670" t="s">
        <v>58</v>
      </c>
      <c r="U670" t="s">
        <v>59</v>
      </c>
      <c r="V670" s="4">
        <v>0.375</v>
      </c>
      <c r="W670" s="2">
        <v>0</v>
      </c>
      <c r="X670">
        <v>0</v>
      </c>
      <c r="Y670" t="s">
        <v>60</v>
      </c>
      <c r="Z670" t="s">
        <v>248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29.54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46202</v>
      </c>
      <c r="B671" t="s">
        <v>48</v>
      </c>
      <c r="C671">
        <v>649163</v>
      </c>
      <c r="D671">
        <v>2033339644</v>
      </c>
      <c r="E671" t="s">
        <v>446</v>
      </c>
      <c r="F671" t="s">
        <v>966</v>
      </c>
      <c r="G671" t="s">
        <v>51</v>
      </c>
      <c r="H671" t="s">
        <v>52</v>
      </c>
      <c r="I671" t="s">
        <v>133</v>
      </c>
      <c r="J671" t="s">
        <v>134</v>
      </c>
      <c r="K671">
        <v>650218</v>
      </c>
      <c r="L671" t="s">
        <v>266</v>
      </c>
      <c r="M671" t="s">
        <v>267</v>
      </c>
      <c r="N671" t="s">
        <v>57</v>
      </c>
      <c r="O671" s="1">
        <v>46054</v>
      </c>
      <c r="Q671" s="1">
        <v>46235</v>
      </c>
      <c r="R671" s="2">
        <v>28.32</v>
      </c>
      <c r="S671">
        <v>1</v>
      </c>
      <c r="T671" t="s">
        <v>58</v>
      </c>
      <c r="U671" t="s">
        <v>59</v>
      </c>
      <c r="V671" s="4">
        <v>0.375</v>
      </c>
      <c r="W671" s="2">
        <v>0</v>
      </c>
      <c r="X671">
        <v>0</v>
      </c>
      <c r="Y671" t="s">
        <v>60</v>
      </c>
      <c r="Z671" t="s">
        <v>248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10.62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46202</v>
      </c>
      <c r="B672" t="s">
        <v>48</v>
      </c>
      <c r="C672">
        <v>649163</v>
      </c>
      <c r="D672">
        <v>2033344713</v>
      </c>
      <c r="E672" t="s">
        <v>789</v>
      </c>
      <c r="F672" t="s">
        <v>379</v>
      </c>
      <c r="G672" t="s">
        <v>51</v>
      </c>
      <c r="H672" t="s">
        <v>332</v>
      </c>
      <c r="I672" t="s">
        <v>133</v>
      </c>
      <c r="J672" t="s">
        <v>134</v>
      </c>
      <c r="K672">
        <v>673059</v>
      </c>
      <c r="L672" t="s">
        <v>102</v>
      </c>
      <c r="M672" t="s">
        <v>103</v>
      </c>
      <c r="N672" t="s">
        <v>57</v>
      </c>
      <c r="O672" s="1">
        <v>46050</v>
      </c>
      <c r="Q672" s="1">
        <v>46231</v>
      </c>
      <c r="R672" s="2">
        <v>106.49</v>
      </c>
      <c r="S672">
        <v>1</v>
      </c>
      <c r="T672" t="s">
        <v>58</v>
      </c>
      <c r="U672" t="s">
        <v>59</v>
      </c>
      <c r="V672" s="4">
        <v>0.375</v>
      </c>
      <c r="W672" s="2">
        <v>0</v>
      </c>
      <c r="X672">
        <v>0</v>
      </c>
      <c r="Y672" t="s">
        <v>60</v>
      </c>
      <c r="Z672" t="s">
        <v>248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39.93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46202</v>
      </c>
      <c r="B673" t="s">
        <v>48</v>
      </c>
      <c r="C673">
        <v>649163</v>
      </c>
      <c r="D673">
        <v>2033346778</v>
      </c>
      <c r="E673" t="s">
        <v>793</v>
      </c>
      <c r="F673" t="s">
        <v>478</v>
      </c>
      <c r="G673" t="s">
        <v>51</v>
      </c>
      <c r="H673" t="s">
        <v>89</v>
      </c>
      <c r="I673" t="s">
        <v>133</v>
      </c>
      <c r="J673" t="s">
        <v>134</v>
      </c>
      <c r="K673">
        <v>812782</v>
      </c>
      <c r="L673" t="s">
        <v>181</v>
      </c>
      <c r="M673" t="s">
        <v>182</v>
      </c>
      <c r="N673" t="s">
        <v>57</v>
      </c>
      <c r="O673" s="1">
        <v>46054</v>
      </c>
      <c r="Q673" s="1">
        <v>46235</v>
      </c>
      <c r="R673" s="2">
        <v>54.7</v>
      </c>
      <c r="S673">
        <v>1</v>
      </c>
      <c r="T673" t="s">
        <v>58</v>
      </c>
      <c r="U673" t="s">
        <v>59</v>
      </c>
      <c r="V673" s="4">
        <v>0.375</v>
      </c>
      <c r="W673" s="2">
        <v>0</v>
      </c>
      <c r="X673">
        <v>0</v>
      </c>
      <c r="Y673" t="s">
        <v>60</v>
      </c>
      <c r="Z673" t="s">
        <v>248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20.51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46202</v>
      </c>
      <c r="B674" t="s">
        <v>48</v>
      </c>
      <c r="C674">
        <v>649163</v>
      </c>
      <c r="D674">
        <v>2033355859</v>
      </c>
      <c r="E674" t="s">
        <v>796</v>
      </c>
      <c r="F674" t="s">
        <v>254</v>
      </c>
      <c r="G674" t="s">
        <v>51</v>
      </c>
      <c r="H674" t="s">
        <v>200</v>
      </c>
      <c r="I674" t="s">
        <v>133</v>
      </c>
      <c r="J674" t="s">
        <v>134</v>
      </c>
      <c r="K674">
        <v>812656</v>
      </c>
      <c r="L674" t="s">
        <v>186</v>
      </c>
      <c r="M674" t="s">
        <v>187</v>
      </c>
      <c r="N674" t="s">
        <v>57</v>
      </c>
      <c r="O674" s="1">
        <v>46054</v>
      </c>
      <c r="Q674" s="1">
        <v>46235</v>
      </c>
      <c r="R674" s="2">
        <v>45.79</v>
      </c>
      <c r="S674">
        <v>1</v>
      </c>
      <c r="T674" t="s">
        <v>58</v>
      </c>
      <c r="U674" t="s">
        <v>59</v>
      </c>
      <c r="V674" s="4">
        <v>0.375</v>
      </c>
      <c r="W674" s="2">
        <v>0</v>
      </c>
      <c r="X674">
        <v>0</v>
      </c>
      <c r="Y674" t="s">
        <v>60</v>
      </c>
      <c r="Z674" t="s">
        <v>248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17.170000000000002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46202</v>
      </c>
      <c r="B675" t="s">
        <v>48</v>
      </c>
      <c r="C675">
        <v>649163</v>
      </c>
      <c r="D675">
        <v>2033365518</v>
      </c>
      <c r="E675" t="s">
        <v>532</v>
      </c>
      <c r="F675" t="s">
        <v>533</v>
      </c>
      <c r="G675" t="s">
        <v>51</v>
      </c>
      <c r="H675" t="s">
        <v>89</v>
      </c>
      <c r="I675" t="s">
        <v>133</v>
      </c>
      <c r="J675" t="s">
        <v>134</v>
      </c>
      <c r="K675">
        <v>824062</v>
      </c>
      <c r="L675" t="s">
        <v>90</v>
      </c>
      <c r="M675" t="s">
        <v>91</v>
      </c>
      <c r="N675" t="s">
        <v>57</v>
      </c>
      <c r="O675" s="1">
        <v>46054</v>
      </c>
      <c r="Q675" s="1">
        <v>46235</v>
      </c>
      <c r="R675" s="2">
        <v>160.96</v>
      </c>
      <c r="S675">
        <v>1</v>
      </c>
      <c r="T675" t="s">
        <v>58</v>
      </c>
      <c r="U675" t="s">
        <v>59</v>
      </c>
      <c r="V675" s="4">
        <v>0.375</v>
      </c>
      <c r="W675" s="2">
        <v>0</v>
      </c>
      <c r="X675">
        <v>0</v>
      </c>
      <c r="Y675" t="s">
        <v>60</v>
      </c>
      <c r="Z675" t="s">
        <v>248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60.36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46202</v>
      </c>
      <c r="B676" t="s">
        <v>48</v>
      </c>
      <c r="C676">
        <v>649163</v>
      </c>
      <c r="D676">
        <v>2033371200</v>
      </c>
      <c r="E676" t="s">
        <v>534</v>
      </c>
      <c r="F676" t="s">
        <v>50</v>
      </c>
      <c r="G676" t="s">
        <v>51</v>
      </c>
      <c r="H676" t="s">
        <v>124</v>
      </c>
      <c r="I676" t="s">
        <v>133</v>
      </c>
      <c r="J676" t="s">
        <v>134</v>
      </c>
      <c r="K676">
        <v>753748</v>
      </c>
      <c r="L676" t="s">
        <v>358</v>
      </c>
      <c r="M676" t="s">
        <v>359</v>
      </c>
      <c r="N676" t="s">
        <v>57</v>
      </c>
      <c r="O676" s="1">
        <v>46054</v>
      </c>
      <c r="Q676" s="1">
        <v>46235</v>
      </c>
      <c r="R676" s="2">
        <v>36.47</v>
      </c>
      <c r="S676">
        <v>1</v>
      </c>
      <c r="T676" t="s">
        <v>58</v>
      </c>
      <c r="U676" t="s">
        <v>59</v>
      </c>
      <c r="V676" s="4">
        <v>0.375</v>
      </c>
      <c r="W676" s="2">
        <v>0</v>
      </c>
      <c r="X676">
        <v>0</v>
      </c>
      <c r="Y676" t="s">
        <v>60</v>
      </c>
      <c r="Z676" t="s">
        <v>248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13.68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46202</v>
      </c>
      <c r="B677" t="s">
        <v>48</v>
      </c>
      <c r="C677">
        <v>649163</v>
      </c>
      <c r="D677">
        <v>2033375396</v>
      </c>
      <c r="E677" t="s">
        <v>802</v>
      </c>
      <c r="F677" t="s">
        <v>803</v>
      </c>
      <c r="G677" t="s">
        <v>51</v>
      </c>
      <c r="H677" t="s">
        <v>89</v>
      </c>
      <c r="I677" t="s">
        <v>133</v>
      </c>
      <c r="J677" t="s">
        <v>134</v>
      </c>
      <c r="K677">
        <v>806645</v>
      </c>
      <c r="L677" t="s">
        <v>804</v>
      </c>
      <c r="M677" t="s">
        <v>805</v>
      </c>
      <c r="N677" t="s">
        <v>57</v>
      </c>
      <c r="O677" s="1">
        <v>46054</v>
      </c>
      <c r="Q677" s="1">
        <v>46235</v>
      </c>
      <c r="R677" s="2">
        <v>187.21</v>
      </c>
      <c r="S677">
        <v>1</v>
      </c>
      <c r="T677" t="s">
        <v>58</v>
      </c>
      <c r="U677" t="s">
        <v>59</v>
      </c>
      <c r="V677" s="4">
        <v>0.375</v>
      </c>
      <c r="W677" s="2">
        <v>0</v>
      </c>
      <c r="X677">
        <v>0</v>
      </c>
      <c r="Y677" t="s">
        <v>60</v>
      </c>
      <c r="Z677" t="s">
        <v>248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70.2</v>
      </c>
      <c r="AN677" s="2">
        <v>70.2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46202</v>
      </c>
      <c r="B678" t="s">
        <v>48</v>
      </c>
      <c r="C678">
        <v>649163</v>
      </c>
      <c r="D678">
        <v>2033382127</v>
      </c>
      <c r="E678" t="s">
        <v>967</v>
      </c>
      <c r="F678" t="s">
        <v>773</v>
      </c>
      <c r="G678" t="s">
        <v>51</v>
      </c>
      <c r="H678" t="s">
        <v>94</v>
      </c>
      <c r="I678" t="s">
        <v>133</v>
      </c>
      <c r="J678" t="s">
        <v>134</v>
      </c>
      <c r="K678">
        <v>796984</v>
      </c>
      <c r="L678" t="s">
        <v>344</v>
      </c>
      <c r="M678" t="s">
        <v>171</v>
      </c>
      <c r="N678" t="s">
        <v>57</v>
      </c>
      <c r="O678" s="1">
        <v>46054</v>
      </c>
      <c r="Q678" s="1">
        <v>46235</v>
      </c>
      <c r="R678" s="2">
        <v>47.63</v>
      </c>
      <c r="S678">
        <v>1</v>
      </c>
      <c r="T678" t="s">
        <v>58</v>
      </c>
      <c r="U678" t="s">
        <v>59</v>
      </c>
      <c r="V678" s="4">
        <v>0.375</v>
      </c>
      <c r="W678" s="2">
        <v>0</v>
      </c>
      <c r="X678">
        <v>0</v>
      </c>
      <c r="Y678" t="s">
        <v>60</v>
      </c>
      <c r="Z678" t="s">
        <v>248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17.86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46202</v>
      </c>
      <c r="B679" t="s">
        <v>48</v>
      </c>
      <c r="C679">
        <v>649163</v>
      </c>
      <c r="D679">
        <v>2033384421</v>
      </c>
      <c r="E679" t="s">
        <v>539</v>
      </c>
      <c r="F679" t="s">
        <v>540</v>
      </c>
      <c r="G679" t="s">
        <v>51</v>
      </c>
      <c r="H679" t="s">
        <v>89</v>
      </c>
      <c r="I679" t="s">
        <v>133</v>
      </c>
      <c r="J679" t="s">
        <v>134</v>
      </c>
      <c r="K679">
        <v>824062</v>
      </c>
      <c r="L679" t="s">
        <v>90</v>
      </c>
      <c r="M679" t="s">
        <v>91</v>
      </c>
      <c r="N679" t="s">
        <v>57</v>
      </c>
      <c r="O679" s="1">
        <v>46054</v>
      </c>
      <c r="Q679" s="1">
        <v>46235</v>
      </c>
      <c r="R679" s="2">
        <v>78.760000000000005</v>
      </c>
      <c r="S679">
        <v>1</v>
      </c>
      <c r="T679" t="s">
        <v>58</v>
      </c>
      <c r="U679" t="s">
        <v>59</v>
      </c>
      <c r="V679" s="4">
        <v>0.375</v>
      </c>
      <c r="W679" s="2">
        <v>0</v>
      </c>
      <c r="X679">
        <v>0</v>
      </c>
      <c r="Y679" t="s">
        <v>60</v>
      </c>
      <c r="Z679" t="s">
        <v>248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29.54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46202</v>
      </c>
      <c r="B680" t="s">
        <v>48</v>
      </c>
      <c r="C680">
        <v>649163</v>
      </c>
      <c r="D680">
        <v>2033385847</v>
      </c>
      <c r="E680" t="s">
        <v>541</v>
      </c>
      <c r="F680" t="s">
        <v>542</v>
      </c>
      <c r="G680" t="s">
        <v>51</v>
      </c>
      <c r="H680" t="s">
        <v>89</v>
      </c>
      <c r="I680" t="s">
        <v>133</v>
      </c>
      <c r="J680" t="s">
        <v>134</v>
      </c>
      <c r="K680">
        <v>814033</v>
      </c>
      <c r="L680" t="s">
        <v>490</v>
      </c>
      <c r="M680" t="s">
        <v>491</v>
      </c>
      <c r="N680" t="s">
        <v>57</v>
      </c>
      <c r="O680" s="1">
        <v>46054</v>
      </c>
      <c r="Q680" s="1">
        <v>46235</v>
      </c>
      <c r="R680" s="2">
        <v>54.7</v>
      </c>
      <c r="S680">
        <v>1</v>
      </c>
      <c r="T680" t="s">
        <v>58</v>
      </c>
      <c r="U680" t="s">
        <v>59</v>
      </c>
      <c r="V680" s="4">
        <v>0.375</v>
      </c>
      <c r="W680" s="2">
        <v>0</v>
      </c>
      <c r="X680">
        <v>0</v>
      </c>
      <c r="Y680" t="s">
        <v>60</v>
      </c>
      <c r="Z680" t="s">
        <v>248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20.51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46202</v>
      </c>
      <c r="B681" t="s">
        <v>48</v>
      </c>
      <c r="C681">
        <v>649163</v>
      </c>
      <c r="D681">
        <v>2033393475</v>
      </c>
      <c r="E681" t="s">
        <v>815</v>
      </c>
      <c r="F681" t="s">
        <v>414</v>
      </c>
      <c r="G681" t="s">
        <v>51</v>
      </c>
      <c r="H681" t="s">
        <v>89</v>
      </c>
      <c r="I681" t="s">
        <v>133</v>
      </c>
      <c r="J681" t="s">
        <v>134</v>
      </c>
      <c r="K681">
        <v>806645</v>
      </c>
      <c r="L681" t="s">
        <v>804</v>
      </c>
      <c r="M681" t="s">
        <v>805</v>
      </c>
      <c r="N681" t="s">
        <v>57</v>
      </c>
      <c r="O681" s="1">
        <v>46054</v>
      </c>
      <c r="Q681" s="1">
        <v>46235</v>
      </c>
      <c r="R681" s="2">
        <v>54.7</v>
      </c>
      <c r="S681">
        <v>1</v>
      </c>
      <c r="T681" t="s">
        <v>58</v>
      </c>
      <c r="U681" t="s">
        <v>59</v>
      </c>
      <c r="V681" s="4">
        <v>0.375</v>
      </c>
      <c r="W681" s="2">
        <v>0</v>
      </c>
      <c r="X681">
        <v>0</v>
      </c>
      <c r="Y681" t="s">
        <v>60</v>
      </c>
      <c r="Z681" t="s">
        <v>248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20.51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46202</v>
      </c>
      <c r="B682" t="s">
        <v>48</v>
      </c>
      <c r="C682">
        <v>649163</v>
      </c>
      <c r="D682">
        <v>2033406945</v>
      </c>
      <c r="E682" t="s">
        <v>549</v>
      </c>
      <c r="F682" t="s">
        <v>550</v>
      </c>
      <c r="G682" t="s">
        <v>51</v>
      </c>
      <c r="H682" t="s">
        <v>89</v>
      </c>
      <c r="I682" t="s">
        <v>133</v>
      </c>
      <c r="J682" t="s">
        <v>134</v>
      </c>
      <c r="K682">
        <v>824062</v>
      </c>
      <c r="L682" t="s">
        <v>90</v>
      </c>
      <c r="M682" t="s">
        <v>91</v>
      </c>
      <c r="N682" t="s">
        <v>57</v>
      </c>
      <c r="O682" s="1">
        <v>46054</v>
      </c>
      <c r="Q682" s="1">
        <v>46235</v>
      </c>
      <c r="R682" s="2">
        <v>78.760000000000005</v>
      </c>
      <c r="S682">
        <v>1</v>
      </c>
      <c r="T682" t="s">
        <v>58</v>
      </c>
      <c r="U682" t="s">
        <v>59</v>
      </c>
      <c r="V682" s="4">
        <v>0.375</v>
      </c>
      <c r="W682" s="2">
        <v>0</v>
      </c>
      <c r="X682">
        <v>0</v>
      </c>
      <c r="Y682" t="s">
        <v>60</v>
      </c>
      <c r="Z682" t="s">
        <v>248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29.54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46202</v>
      </c>
      <c r="B683" t="s">
        <v>48</v>
      </c>
      <c r="C683">
        <v>649163</v>
      </c>
      <c r="D683">
        <v>2033407693</v>
      </c>
      <c r="E683" t="s">
        <v>816</v>
      </c>
      <c r="F683" t="s">
        <v>817</v>
      </c>
      <c r="G683" t="s">
        <v>51</v>
      </c>
      <c r="H683" t="s">
        <v>89</v>
      </c>
      <c r="I683" t="s">
        <v>133</v>
      </c>
      <c r="J683" t="s">
        <v>134</v>
      </c>
      <c r="K683">
        <v>824076</v>
      </c>
      <c r="L683" t="s">
        <v>818</v>
      </c>
      <c r="M683" t="s">
        <v>819</v>
      </c>
      <c r="N683" t="s">
        <v>57</v>
      </c>
      <c r="O683" s="1">
        <v>46054</v>
      </c>
      <c r="Q683" s="1">
        <v>46235</v>
      </c>
      <c r="R683" s="2">
        <v>78.760000000000005</v>
      </c>
      <c r="S683">
        <v>1</v>
      </c>
      <c r="T683" t="s">
        <v>58</v>
      </c>
      <c r="U683" t="s">
        <v>59</v>
      </c>
      <c r="V683" s="4">
        <v>0.375</v>
      </c>
      <c r="W683" s="2">
        <v>0</v>
      </c>
      <c r="X683">
        <v>0</v>
      </c>
      <c r="Y683" t="s">
        <v>60</v>
      </c>
      <c r="Z683" t="s">
        <v>248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29.54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46202</v>
      </c>
      <c r="B684" t="s">
        <v>48</v>
      </c>
      <c r="C684">
        <v>649163</v>
      </c>
      <c r="D684">
        <v>2033407839</v>
      </c>
      <c r="E684" t="s">
        <v>968</v>
      </c>
      <c r="F684" t="s">
        <v>969</v>
      </c>
      <c r="G684" t="s">
        <v>51</v>
      </c>
      <c r="H684" t="s">
        <v>52</v>
      </c>
      <c r="I684" t="s">
        <v>133</v>
      </c>
      <c r="J684" t="s">
        <v>134</v>
      </c>
      <c r="K684">
        <v>650218</v>
      </c>
      <c r="L684" t="s">
        <v>266</v>
      </c>
      <c r="M684" t="s">
        <v>267</v>
      </c>
      <c r="N684" t="s">
        <v>57</v>
      </c>
      <c r="O684" s="1">
        <v>46054</v>
      </c>
      <c r="Q684" s="1">
        <v>46235</v>
      </c>
      <c r="R684" s="2">
        <v>44.56</v>
      </c>
      <c r="S684">
        <v>1</v>
      </c>
      <c r="T684" t="s">
        <v>58</v>
      </c>
      <c r="U684" t="s">
        <v>59</v>
      </c>
      <c r="V684" s="4">
        <v>0.375</v>
      </c>
      <c r="W684" s="2">
        <v>0</v>
      </c>
      <c r="X684">
        <v>0</v>
      </c>
      <c r="Y684" t="s">
        <v>60</v>
      </c>
      <c r="Z684" t="s">
        <v>248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16.71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46202</v>
      </c>
      <c r="B685" t="s">
        <v>48</v>
      </c>
      <c r="C685">
        <v>649163</v>
      </c>
      <c r="D685">
        <v>2033410886</v>
      </c>
      <c r="E685" t="s">
        <v>820</v>
      </c>
      <c r="F685" t="s">
        <v>821</v>
      </c>
      <c r="G685" t="s">
        <v>51</v>
      </c>
      <c r="H685" t="s">
        <v>52</v>
      </c>
      <c r="I685" t="s">
        <v>133</v>
      </c>
      <c r="J685" t="s">
        <v>134</v>
      </c>
      <c r="K685">
        <v>751867</v>
      </c>
      <c r="L685" t="s">
        <v>272</v>
      </c>
      <c r="M685" t="s">
        <v>209</v>
      </c>
      <c r="N685" t="s">
        <v>57</v>
      </c>
      <c r="O685" s="1">
        <v>46054</v>
      </c>
      <c r="Q685" s="1">
        <v>46235</v>
      </c>
      <c r="R685" s="2">
        <v>16.59</v>
      </c>
      <c r="S685">
        <v>1</v>
      </c>
      <c r="T685" t="s">
        <v>58</v>
      </c>
      <c r="U685" t="s">
        <v>59</v>
      </c>
      <c r="V685" s="4">
        <v>0.375</v>
      </c>
      <c r="W685" s="2">
        <v>0</v>
      </c>
      <c r="X685">
        <v>0</v>
      </c>
      <c r="Y685" t="s">
        <v>60</v>
      </c>
      <c r="Z685" t="s">
        <v>248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6.22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46202</v>
      </c>
      <c r="B686" t="s">
        <v>48</v>
      </c>
      <c r="C686">
        <v>649163</v>
      </c>
      <c r="D686">
        <v>2033411378</v>
      </c>
      <c r="E686" t="s">
        <v>551</v>
      </c>
      <c r="F686" t="s">
        <v>552</v>
      </c>
      <c r="G686" t="s">
        <v>51</v>
      </c>
      <c r="H686" t="s">
        <v>89</v>
      </c>
      <c r="I686" t="s">
        <v>133</v>
      </c>
      <c r="J686" t="s">
        <v>134</v>
      </c>
      <c r="K686">
        <v>824062</v>
      </c>
      <c r="L686" t="s">
        <v>90</v>
      </c>
      <c r="M686" t="s">
        <v>91</v>
      </c>
      <c r="N686" t="s">
        <v>57</v>
      </c>
      <c r="O686" s="1">
        <v>46054</v>
      </c>
      <c r="Q686" s="1">
        <v>46235</v>
      </c>
      <c r="R686" s="2">
        <v>78.760000000000005</v>
      </c>
      <c r="S686">
        <v>1</v>
      </c>
      <c r="T686" t="s">
        <v>58</v>
      </c>
      <c r="U686" t="s">
        <v>59</v>
      </c>
      <c r="V686" s="4">
        <v>0.375</v>
      </c>
      <c r="W686" s="2">
        <v>0</v>
      </c>
      <c r="X686">
        <v>0</v>
      </c>
      <c r="Y686" t="s">
        <v>60</v>
      </c>
      <c r="Z686" t="s">
        <v>248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29.54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46202</v>
      </c>
      <c r="B687" t="s">
        <v>48</v>
      </c>
      <c r="C687">
        <v>649163</v>
      </c>
      <c r="D687">
        <v>2033416942</v>
      </c>
      <c r="E687" t="s">
        <v>553</v>
      </c>
      <c r="F687" t="s">
        <v>554</v>
      </c>
      <c r="G687" t="s">
        <v>51</v>
      </c>
      <c r="H687" t="s">
        <v>94</v>
      </c>
      <c r="I687" t="s">
        <v>133</v>
      </c>
      <c r="J687" t="s">
        <v>134</v>
      </c>
      <c r="K687">
        <v>816021</v>
      </c>
      <c r="L687" t="s">
        <v>80</v>
      </c>
      <c r="M687" t="s">
        <v>81</v>
      </c>
      <c r="N687" t="s">
        <v>57</v>
      </c>
      <c r="O687" s="1">
        <v>46053</v>
      </c>
      <c r="Q687" s="1">
        <v>46233</v>
      </c>
      <c r="R687" s="2">
        <v>64.84</v>
      </c>
      <c r="S687">
        <v>1</v>
      </c>
      <c r="T687" t="s">
        <v>58</v>
      </c>
      <c r="U687" t="s">
        <v>59</v>
      </c>
      <c r="V687" s="4">
        <v>0.375</v>
      </c>
      <c r="W687" s="2">
        <v>0</v>
      </c>
      <c r="X687">
        <v>0</v>
      </c>
      <c r="Y687" t="s">
        <v>60</v>
      </c>
      <c r="Z687" t="s">
        <v>248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24.32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46202</v>
      </c>
      <c r="B688" t="s">
        <v>48</v>
      </c>
      <c r="C688">
        <v>649163</v>
      </c>
      <c r="D688">
        <v>2033417871</v>
      </c>
      <c r="E688" t="s">
        <v>555</v>
      </c>
      <c r="F688" t="s">
        <v>491</v>
      </c>
      <c r="G688" t="s">
        <v>51</v>
      </c>
      <c r="H688" t="s">
        <v>89</v>
      </c>
      <c r="I688" t="s">
        <v>133</v>
      </c>
      <c r="J688" t="s">
        <v>134</v>
      </c>
      <c r="K688">
        <v>823350</v>
      </c>
      <c r="L688" t="s">
        <v>113</v>
      </c>
      <c r="M688" t="s">
        <v>114</v>
      </c>
      <c r="N688" t="s">
        <v>57</v>
      </c>
      <c r="O688" s="1">
        <v>46055</v>
      </c>
      <c r="Q688" s="1">
        <v>46236</v>
      </c>
      <c r="R688" s="2">
        <v>78.760000000000005</v>
      </c>
      <c r="S688">
        <v>1</v>
      </c>
      <c r="T688" t="s">
        <v>58</v>
      </c>
      <c r="U688" t="s">
        <v>59</v>
      </c>
      <c r="V688" s="4">
        <v>0.375</v>
      </c>
      <c r="W688" s="2">
        <v>0</v>
      </c>
      <c r="X688">
        <v>0</v>
      </c>
      <c r="Y688" t="s">
        <v>60</v>
      </c>
      <c r="Z688" t="s">
        <v>248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29.54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46202</v>
      </c>
      <c r="B689" t="s">
        <v>48</v>
      </c>
      <c r="C689">
        <v>649163</v>
      </c>
      <c r="D689">
        <v>2033422852</v>
      </c>
      <c r="E689" t="s">
        <v>556</v>
      </c>
      <c r="F689" t="s">
        <v>557</v>
      </c>
      <c r="G689" t="s">
        <v>51</v>
      </c>
      <c r="H689" t="s">
        <v>89</v>
      </c>
      <c r="I689" t="s">
        <v>133</v>
      </c>
      <c r="J689" t="s">
        <v>134</v>
      </c>
      <c r="K689">
        <v>823350</v>
      </c>
      <c r="L689" t="s">
        <v>113</v>
      </c>
      <c r="M689" t="s">
        <v>114</v>
      </c>
      <c r="N689" t="s">
        <v>57</v>
      </c>
      <c r="O689" s="1">
        <v>46055</v>
      </c>
      <c r="Q689" s="1">
        <v>46236</v>
      </c>
      <c r="R689" s="2">
        <v>78.760000000000005</v>
      </c>
      <c r="S689">
        <v>1</v>
      </c>
      <c r="T689" t="s">
        <v>58</v>
      </c>
      <c r="U689" t="s">
        <v>59</v>
      </c>
      <c r="V689" s="4">
        <v>0.375</v>
      </c>
      <c r="W689" s="2">
        <v>0</v>
      </c>
      <c r="X689">
        <v>0</v>
      </c>
      <c r="Y689" t="s">
        <v>60</v>
      </c>
      <c r="Z689" t="s">
        <v>248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29.54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46202</v>
      </c>
      <c r="B690" t="s">
        <v>48</v>
      </c>
      <c r="C690">
        <v>649163</v>
      </c>
      <c r="D690">
        <v>2033434026</v>
      </c>
      <c r="E690" t="s">
        <v>641</v>
      </c>
      <c r="F690" t="s">
        <v>642</v>
      </c>
      <c r="G690" t="s">
        <v>51</v>
      </c>
      <c r="H690" t="s">
        <v>89</v>
      </c>
      <c r="I690" t="s">
        <v>133</v>
      </c>
      <c r="J690" t="s">
        <v>134</v>
      </c>
      <c r="K690">
        <v>812994</v>
      </c>
      <c r="L690" t="s">
        <v>615</v>
      </c>
      <c r="M690" t="s">
        <v>616</v>
      </c>
      <c r="N690" t="s">
        <v>57</v>
      </c>
      <c r="O690" s="1">
        <v>46054</v>
      </c>
      <c r="Q690" s="1">
        <v>46235</v>
      </c>
      <c r="R690" s="2">
        <v>78.760000000000005</v>
      </c>
      <c r="S690">
        <v>1</v>
      </c>
      <c r="T690" t="s">
        <v>58</v>
      </c>
      <c r="U690" t="s">
        <v>59</v>
      </c>
      <c r="V690" s="4">
        <v>0.375</v>
      </c>
      <c r="W690" s="2">
        <v>0</v>
      </c>
      <c r="X690">
        <v>0</v>
      </c>
      <c r="Y690" t="s">
        <v>60</v>
      </c>
      <c r="Z690" t="s">
        <v>248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29.54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46202</v>
      </c>
      <c r="B691" t="s">
        <v>48</v>
      </c>
      <c r="C691">
        <v>649163</v>
      </c>
      <c r="D691">
        <v>2033437426</v>
      </c>
      <c r="E691" t="s">
        <v>825</v>
      </c>
      <c r="F691" t="s">
        <v>826</v>
      </c>
      <c r="G691" t="s">
        <v>51</v>
      </c>
      <c r="H691" t="s">
        <v>94</v>
      </c>
      <c r="I691" t="s">
        <v>133</v>
      </c>
      <c r="J691" t="s">
        <v>134</v>
      </c>
      <c r="K691">
        <v>824082</v>
      </c>
      <c r="L691" t="s">
        <v>129</v>
      </c>
      <c r="M691" t="s">
        <v>130</v>
      </c>
      <c r="N691" t="s">
        <v>57</v>
      </c>
      <c r="O691" s="1">
        <v>46055</v>
      </c>
      <c r="Q691" s="1">
        <v>46236</v>
      </c>
      <c r="R691" s="2">
        <v>55.79</v>
      </c>
      <c r="S691">
        <v>1</v>
      </c>
      <c r="T691" t="s">
        <v>58</v>
      </c>
      <c r="U691" t="s">
        <v>59</v>
      </c>
      <c r="V691" s="4">
        <v>0.375</v>
      </c>
      <c r="W691" s="2">
        <v>0</v>
      </c>
      <c r="X691">
        <v>0</v>
      </c>
      <c r="Y691" t="s">
        <v>60</v>
      </c>
      <c r="Z691" t="s">
        <v>248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20.92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46202</v>
      </c>
      <c r="B692" t="s">
        <v>48</v>
      </c>
      <c r="C692">
        <v>649163</v>
      </c>
      <c r="D692">
        <v>2033539483</v>
      </c>
      <c r="E692" t="s">
        <v>827</v>
      </c>
      <c r="F692" t="s">
        <v>828</v>
      </c>
      <c r="G692" t="s">
        <v>51</v>
      </c>
      <c r="H692" t="s">
        <v>311</v>
      </c>
      <c r="I692" t="s">
        <v>133</v>
      </c>
      <c r="J692" t="s">
        <v>134</v>
      </c>
      <c r="K692">
        <v>902625</v>
      </c>
      <c r="L692" t="s">
        <v>147</v>
      </c>
      <c r="M692" t="s">
        <v>148</v>
      </c>
      <c r="N692" t="s">
        <v>57</v>
      </c>
      <c r="O692" s="1">
        <v>46081</v>
      </c>
      <c r="Q692" s="1">
        <v>46231</v>
      </c>
      <c r="R692" s="2">
        <v>34.69</v>
      </c>
      <c r="S692">
        <v>1</v>
      </c>
      <c r="T692" t="s">
        <v>58</v>
      </c>
      <c r="U692" t="s">
        <v>59</v>
      </c>
      <c r="V692" s="4">
        <v>0.375</v>
      </c>
      <c r="W692" s="2">
        <v>0</v>
      </c>
      <c r="X692">
        <v>0</v>
      </c>
      <c r="Y692" t="s">
        <v>60</v>
      </c>
      <c r="Z692" t="s">
        <v>248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13.01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46202</v>
      </c>
      <c r="B693" t="s">
        <v>48</v>
      </c>
      <c r="C693">
        <v>649163</v>
      </c>
      <c r="D693">
        <v>2033991825</v>
      </c>
      <c r="E693" t="s">
        <v>562</v>
      </c>
      <c r="F693" t="s">
        <v>478</v>
      </c>
      <c r="G693" t="s">
        <v>51</v>
      </c>
      <c r="H693" t="s">
        <v>200</v>
      </c>
      <c r="I693" t="s">
        <v>133</v>
      </c>
      <c r="J693" t="s">
        <v>134</v>
      </c>
      <c r="K693">
        <v>877790</v>
      </c>
      <c r="L693" t="s">
        <v>563</v>
      </c>
      <c r="M693" t="s">
        <v>564</v>
      </c>
      <c r="N693" t="s">
        <v>57</v>
      </c>
      <c r="O693" s="1">
        <v>46081</v>
      </c>
      <c r="Q693" s="1">
        <v>46231</v>
      </c>
      <c r="R693" s="2">
        <v>67.150000000000006</v>
      </c>
      <c r="S693">
        <v>1</v>
      </c>
      <c r="T693" t="s">
        <v>58</v>
      </c>
      <c r="U693" t="s">
        <v>59</v>
      </c>
      <c r="V693" s="4">
        <v>0.375</v>
      </c>
      <c r="W693" s="2">
        <v>0</v>
      </c>
      <c r="X693">
        <v>0</v>
      </c>
      <c r="Y693" t="s">
        <v>60</v>
      </c>
      <c r="Z693" t="s">
        <v>248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25.18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46202</v>
      </c>
      <c r="B694" t="s">
        <v>48</v>
      </c>
      <c r="C694">
        <v>649163</v>
      </c>
      <c r="D694">
        <v>2034373764</v>
      </c>
      <c r="E694" t="s">
        <v>565</v>
      </c>
      <c r="F694" t="s">
        <v>566</v>
      </c>
      <c r="G694" t="s">
        <v>51</v>
      </c>
      <c r="H694" t="s">
        <v>89</v>
      </c>
      <c r="I694" t="s">
        <v>133</v>
      </c>
      <c r="J694" t="s">
        <v>134</v>
      </c>
      <c r="K694">
        <v>824062</v>
      </c>
      <c r="L694" t="s">
        <v>90</v>
      </c>
      <c r="M694" t="s">
        <v>91</v>
      </c>
      <c r="N694" t="s">
        <v>57</v>
      </c>
      <c r="O694" s="1">
        <v>46140</v>
      </c>
      <c r="Q694" s="1">
        <v>46231</v>
      </c>
      <c r="R694" s="2">
        <v>78.760000000000005</v>
      </c>
      <c r="S694">
        <v>1</v>
      </c>
      <c r="T694" t="s">
        <v>58</v>
      </c>
      <c r="U694" t="s">
        <v>59</v>
      </c>
      <c r="V694" s="4">
        <v>0.375</v>
      </c>
      <c r="W694" s="2">
        <v>0</v>
      </c>
      <c r="X694">
        <v>0</v>
      </c>
      <c r="Y694" t="s">
        <v>60</v>
      </c>
      <c r="Z694" t="s">
        <v>248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29.54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46202</v>
      </c>
      <c r="B695" t="s">
        <v>48</v>
      </c>
      <c r="C695">
        <v>649163</v>
      </c>
      <c r="D695">
        <v>2034384126</v>
      </c>
      <c r="E695" t="s">
        <v>833</v>
      </c>
      <c r="F695" t="s">
        <v>335</v>
      </c>
      <c r="G695" t="s">
        <v>51</v>
      </c>
      <c r="H695" t="s">
        <v>68</v>
      </c>
      <c r="I695" t="s">
        <v>133</v>
      </c>
      <c r="J695" t="s">
        <v>134</v>
      </c>
      <c r="K695">
        <v>824062</v>
      </c>
      <c r="L695" t="s">
        <v>90</v>
      </c>
      <c r="M695" t="s">
        <v>91</v>
      </c>
      <c r="N695" t="s">
        <v>57</v>
      </c>
      <c r="O695" s="1">
        <v>46107</v>
      </c>
      <c r="Q695" s="1">
        <v>46229</v>
      </c>
      <c r="R695" s="2">
        <v>92.05</v>
      </c>
      <c r="S695">
        <v>1</v>
      </c>
      <c r="T695" t="s">
        <v>58</v>
      </c>
      <c r="U695" t="s">
        <v>59</v>
      </c>
      <c r="V695" s="4">
        <v>0.375</v>
      </c>
      <c r="W695" s="2">
        <v>0</v>
      </c>
      <c r="X695">
        <v>0</v>
      </c>
      <c r="Y695" t="s">
        <v>60</v>
      </c>
      <c r="Z695" t="s">
        <v>248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34.520000000000003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46202</v>
      </c>
      <c r="B696" t="s">
        <v>48</v>
      </c>
      <c r="C696">
        <v>649163</v>
      </c>
      <c r="D696">
        <v>2034650905</v>
      </c>
      <c r="E696" t="s">
        <v>705</v>
      </c>
      <c r="F696" t="s">
        <v>834</v>
      </c>
      <c r="G696" t="s">
        <v>51</v>
      </c>
      <c r="H696" t="s">
        <v>68</v>
      </c>
      <c r="I696" t="s">
        <v>133</v>
      </c>
      <c r="J696" t="s">
        <v>134</v>
      </c>
      <c r="K696">
        <v>956422</v>
      </c>
      <c r="L696" t="s">
        <v>741</v>
      </c>
      <c r="M696" t="s">
        <v>65</v>
      </c>
      <c r="N696" t="s">
        <v>57</v>
      </c>
      <c r="O696" s="1">
        <v>46112</v>
      </c>
      <c r="Q696" s="1">
        <v>46233</v>
      </c>
      <c r="R696" s="2">
        <v>48.11</v>
      </c>
      <c r="S696">
        <v>1</v>
      </c>
      <c r="T696" t="s">
        <v>58</v>
      </c>
      <c r="U696" t="s">
        <v>59</v>
      </c>
      <c r="V696" s="4">
        <v>0.375</v>
      </c>
      <c r="W696" s="2">
        <v>0</v>
      </c>
      <c r="X696">
        <v>0</v>
      </c>
      <c r="Y696" t="s">
        <v>60</v>
      </c>
      <c r="Z696" t="s">
        <v>248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18.04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46202</v>
      </c>
      <c r="B697" t="s">
        <v>48</v>
      </c>
      <c r="C697">
        <v>649163</v>
      </c>
      <c r="D697">
        <v>2035512729</v>
      </c>
      <c r="E697" t="s">
        <v>970</v>
      </c>
      <c r="F697" t="s">
        <v>971</v>
      </c>
      <c r="G697" t="s">
        <v>51</v>
      </c>
      <c r="H697" t="s">
        <v>972</v>
      </c>
      <c r="I697" t="s">
        <v>133</v>
      </c>
      <c r="J697" t="s">
        <v>134</v>
      </c>
      <c r="K697">
        <v>767312</v>
      </c>
      <c r="L697" t="s">
        <v>486</v>
      </c>
      <c r="M697" t="s">
        <v>379</v>
      </c>
      <c r="N697" t="s">
        <v>57</v>
      </c>
      <c r="O697" s="1">
        <v>46158</v>
      </c>
      <c r="Q697" s="1">
        <v>46219</v>
      </c>
      <c r="R697" s="2">
        <v>33.869999999999997</v>
      </c>
      <c r="S697">
        <v>1</v>
      </c>
      <c r="T697" t="s">
        <v>58</v>
      </c>
      <c r="U697" t="s">
        <v>59</v>
      </c>
      <c r="V697" s="4">
        <v>0.375</v>
      </c>
      <c r="W697" s="2">
        <v>0</v>
      </c>
      <c r="X697">
        <v>0</v>
      </c>
      <c r="Y697" t="s">
        <v>60</v>
      </c>
      <c r="Z697" t="s">
        <v>248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12.7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46202</v>
      </c>
      <c r="B698" t="s">
        <v>48</v>
      </c>
      <c r="C698">
        <v>649163</v>
      </c>
      <c r="D698">
        <v>2035689546</v>
      </c>
      <c r="E698" t="s">
        <v>973</v>
      </c>
      <c r="F698" t="s">
        <v>889</v>
      </c>
      <c r="G698" t="s">
        <v>51</v>
      </c>
      <c r="H698" t="s">
        <v>591</v>
      </c>
      <c r="I698" t="s">
        <v>133</v>
      </c>
      <c r="J698" t="s">
        <v>134</v>
      </c>
      <c r="K698">
        <v>673059</v>
      </c>
      <c r="L698" t="s">
        <v>102</v>
      </c>
      <c r="M698" t="s">
        <v>103</v>
      </c>
      <c r="N698" t="s">
        <v>57</v>
      </c>
      <c r="O698" s="1">
        <v>46170</v>
      </c>
      <c r="Q698" s="1">
        <v>46231</v>
      </c>
      <c r="R698" s="2">
        <v>38.9</v>
      </c>
      <c r="S698">
        <v>1</v>
      </c>
      <c r="T698" t="s">
        <v>58</v>
      </c>
      <c r="U698" t="s">
        <v>59</v>
      </c>
      <c r="V698" s="4">
        <v>0.375</v>
      </c>
      <c r="W698" s="2">
        <v>0</v>
      </c>
      <c r="X698">
        <v>0</v>
      </c>
      <c r="Y698" t="s">
        <v>60</v>
      </c>
      <c r="Z698" t="s">
        <v>248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14.59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46202</v>
      </c>
      <c r="B699" t="s">
        <v>48</v>
      </c>
      <c r="C699">
        <v>649163</v>
      </c>
      <c r="D699">
        <v>2035738337</v>
      </c>
      <c r="E699" t="s">
        <v>974</v>
      </c>
      <c r="F699" t="s">
        <v>975</v>
      </c>
      <c r="G699" t="s">
        <v>51</v>
      </c>
      <c r="H699" t="s">
        <v>124</v>
      </c>
      <c r="I699" t="s">
        <v>133</v>
      </c>
      <c r="J699" t="s">
        <v>134</v>
      </c>
      <c r="K699">
        <v>938894</v>
      </c>
      <c r="L699" t="s">
        <v>163</v>
      </c>
      <c r="M699" t="s">
        <v>164</v>
      </c>
      <c r="N699" t="s">
        <v>57</v>
      </c>
      <c r="O699" s="1">
        <v>46172</v>
      </c>
      <c r="Q699" s="1">
        <v>46233</v>
      </c>
      <c r="R699" s="2">
        <v>65.56</v>
      </c>
      <c r="S699">
        <v>1</v>
      </c>
      <c r="T699" t="s">
        <v>58</v>
      </c>
      <c r="U699" t="s">
        <v>59</v>
      </c>
      <c r="V699" s="4">
        <v>0.375</v>
      </c>
      <c r="W699" s="2">
        <v>0</v>
      </c>
      <c r="X699">
        <v>0</v>
      </c>
      <c r="Y699" t="s">
        <v>60</v>
      </c>
      <c r="Z699" t="s">
        <v>248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24.58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46202</v>
      </c>
      <c r="B700" t="s">
        <v>48</v>
      </c>
      <c r="C700">
        <v>649163</v>
      </c>
      <c r="D700">
        <v>2017517074</v>
      </c>
      <c r="E700" t="s">
        <v>976</v>
      </c>
      <c r="F700" t="s">
        <v>381</v>
      </c>
      <c r="G700" t="s">
        <v>51</v>
      </c>
      <c r="H700" t="s">
        <v>52</v>
      </c>
      <c r="I700" t="s">
        <v>188</v>
      </c>
      <c r="J700" t="s">
        <v>189</v>
      </c>
      <c r="K700">
        <v>649247</v>
      </c>
      <c r="L700" t="s">
        <v>255</v>
      </c>
      <c r="M700" t="s">
        <v>256</v>
      </c>
      <c r="N700" t="s">
        <v>57</v>
      </c>
      <c r="O700" s="1">
        <v>44958</v>
      </c>
      <c r="Q700" s="1">
        <v>46235</v>
      </c>
      <c r="R700" s="2">
        <v>38.11</v>
      </c>
      <c r="S700">
        <v>1</v>
      </c>
      <c r="T700" t="s">
        <v>58</v>
      </c>
      <c r="U700" t="s">
        <v>246</v>
      </c>
      <c r="V700" s="3">
        <v>0.1</v>
      </c>
      <c r="W700" s="2">
        <v>0</v>
      </c>
      <c r="X700">
        <v>0</v>
      </c>
      <c r="Y700" t="s">
        <v>247</v>
      </c>
      <c r="Z700" t="s">
        <v>248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3.81</v>
      </c>
      <c r="AN700" s="2">
        <v>3.81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46202</v>
      </c>
      <c r="B701" t="s">
        <v>48</v>
      </c>
      <c r="C701">
        <v>649163</v>
      </c>
      <c r="D701">
        <v>2022444748</v>
      </c>
      <c r="E701" t="s">
        <v>678</v>
      </c>
      <c r="F701" t="s">
        <v>679</v>
      </c>
      <c r="G701" t="s">
        <v>51</v>
      </c>
      <c r="H701" t="s">
        <v>52</v>
      </c>
      <c r="I701" t="s">
        <v>188</v>
      </c>
      <c r="J701" t="s">
        <v>189</v>
      </c>
      <c r="K701">
        <v>649247</v>
      </c>
      <c r="L701" t="s">
        <v>255</v>
      </c>
      <c r="M701" t="s">
        <v>256</v>
      </c>
      <c r="N701" t="s">
        <v>57</v>
      </c>
      <c r="O701" s="1">
        <v>45383</v>
      </c>
      <c r="Q701" s="1">
        <v>46235</v>
      </c>
      <c r="R701" s="2">
        <v>21.97</v>
      </c>
      <c r="S701">
        <v>1</v>
      </c>
      <c r="T701" t="s">
        <v>58</v>
      </c>
      <c r="U701" t="s">
        <v>246</v>
      </c>
      <c r="V701" s="3">
        <v>0.1</v>
      </c>
      <c r="W701" s="2">
        <v>0</v>
      </c>
      <c r="X701">
        <v>0</v>
      </c>
      <c r="Y701" t="s">
        <v>247</v>
      </c>
      <c r="Z701" t="s">
        <v>248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2.2000000000000002</v>
      </c>
      <c r="AN701" s="2">
        <v>2.2000000000000002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46202</v>
      </c>
      <c r="B702" t="s">
        <v>48</v>
      </c>
      <c r="C702">
        <v>649163</v>
      </c>
      <c r="D702">
        <v>2022453568</v>
      </c>
      <c r="E702" t="s">
        <v>977</v>
      </c>
      <c r="F702" t="s">
        <v>379</v>
      </c>
      <c r="G702" t="s">
        <v>51</v>
      </c>
      <c r="H702" t="s">
        <v>52</v>
      </c>
      <c r="I702" t="s">
        <v>188</v>
      </c>
      <c r="J702" t="s">
        <v>189</v>
      </c>
      <c r="K702">
        <v>649247</v>
      </c>
      <c r="L702" t="s">
        <v>255</v>
      </c>
      <c r="M702" t="s">
        <v>256</v>
      </c>
      <c r="N702" t="s">
        <v>57</v>
      </c>
      <c r="O702" s="1">
        <v>45383</v>
      </c>
      <c r="Q702" s="1">
        <v>46235</v>
      </c>
      <c r="R702" s="2">
        <v>21.97</v>
      </c>
      <c r="S702">
        <v>1</v>
      </c>
      <c r="T702" t="s">
        <v>58</v>
      </c>
      <c r="U702" t="s">
        <v>246</v>
      </c>
      <c r="V702" s="3">
        <v>0.1</v>
      </c>
      <c r="W702" s="2">
        <v>0</v>
      </c>
      <c r="X702">
        <v>0</v>
      </c>
      <c r="Y702" t="s">
        <v>247</v>
      </c>
      <c r="Z702" t="s">
        <v>248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2.2000000000000002</v>
      </c>
      <c r="AN702" s="2">
        <v>2.2000000000000002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46202</v>
      </c>
      <c r="B703" t="s">
        <v>48</v>
      </c>
      <c r="C703">
        <v>649163</v>
      </c>
      <c r="D703">
        <v>2022979208</v>
      </c>
      <c r="E703" t="s">
        <v>668</v>
      </c>
      <c r="F703" t="s">
        <v>978</v>
      </c>
      <c r="G703" t="s">
        <v>51</v>
      </c>
      <c r="H703" t="s">
        <v>52</v>
      </c>
      <c r="I703" t="s">
        <v>188</v>
      </c>
      <c r="J703" t="s">
        <v>189</v>
      </c>
      <c r="K703">
        <v>649247</v>
      </c>
      <c r="L703" t="s">
        <v>255</v>
      </c>
      <c r="M703" t="s">
        <v>256</v>
      </c>
      <c r="N703" t="s">
        <v>57</v>
      </c>
      <c r="O703" s="1">
        <v>45444</v>
      </c>
      <c r="Q703" s="1">
        <v>46235</v>
      </c>
      <c r="R703" s="2">
        <v>61.39</v>
      </c>
      <c r="S703">
        <v>1</v>
      </c>
      <c r="T703" t="s">
        <v>58</v>
      </c>
      <c r="U703" t="s">
        <v>246</v>
      </c>
      <c r="V703" s="3">
        <v>0.1</v>
      </c>
      <c r="W703" s="2">
        <v>0</v>
      </c>
      <c r="X703">
        <v>0</v>
      </c>
      <c r="Y703" t="s">
        <v>247</v>
      </c>
      <c r="Z703" t="s">
        <v>248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6.14</v>
      </c>
      <c r="AN703" s="2">
        <v>6.14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46202</v>
      </c>
      <c r="B704" t="s">
        <v>48</v>
      </c>
      <c r="C704">
        <v>649163</v>
      </c>
      <c r="D704">
        <v>2023184837</v>
      </c>
      <c r="E704" t="s">
        <v>680</v>
      </c>
      <c r="F704" t="s">
        <v>681</v>
      </c>
      <c r="G704" t="s">
        <v>51</v>
      </c>
      <c r="H704" t="s">
        <v>52</v>
      </c>
      <c r="I704" t="s">
        <v>188</v>
      </c>
      <c r="J704" t="s">
        <v>189</v>
      </c>
      <c r="K704">
        <v>649247</v>
      </c>
      <c r="L704" t="s">
        <v>255</v>
      </c>
      <c r="M704" t="s">
        <v>256</v>
      </c>
      <c r="N704" t="s">
        <v>57</v>
      </c>
      <c r="O704" s="1">
        <v>45444</v>
      </c>
      <c r="Q704" s="1">
        <v>46235</v>
      </c>
      <c r="R704" s="2">
        <v>21.97</v>
      </c>
      <c r="S704">
        <v>1</v>
      </c>
      <c r="T704" t="s">
        <v>58</v>
      </c>
      <c r="U704" t="s">
        <v>246</v>
      </c>
      <c r="V704" s="3">
        <v>0.1</v>
      </c>
      <c r="W704" s="2">
        <v>0</v>
      </c>
      <c r="X704">
        <v>0</v>
      </c>
      <c r="Y704" t="s">
        <v>247</v>
      </c>
      <c r="Z704" t="s">
        <v>248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2.2000000000000002</v>
      </c>
      <c r="AN704" s="2">
        <v>2.2000000000000002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46202</v>
      </c>
      <c r="B705" t="s">
        <v>48</v>
      </c>
      <c r="C705">
        <v>649163</v>
      </c>
      <c r="D705">
        <v>2023369899</v>
      </c>
      <c r="E705" t="s">
        <v>264</v>
      </c>
      <c r="F705" t="s">
        <v>265</v>
      </c>
      <c r="G705" t="s">
        <v>51</v>
      </c>
      <c r="H705" t="s">
        <v>52</v>
      </c>
      <c r="I705" t="s">
        <v>188</v>
      </c>
      <c r="J705" t="s">
        <v>189</v>
      </c>
      <c r="K705">
        <v>650218</v>
      </c>
      <c r="L705" t="s">
        <v>266</v>
      </c>
      <c r="M705" t="s">
        <v>267</v>
      </c>
      <c r="N705" t="s">
        <v>57</v>
      </c>
      <c r="O705" s="1">
        <v>45447</v>
      </c>
      <c r="Q705" s="1">
        <v>46238</v>
      </c>
      <c r="R705" s="2">
        <v>55.16</v>
      </c>
      <c r="S705">
        <v>1</v>
      </c>
      <c r="T705" t="s">
        <v>58</v>
      </c>
      <c r="U705" t="s">
        <v>246</v>
      </c>
      <c r="V705" s="3">
        <v>0.1</v>
      </c>
      <c r="W705" s="2">
        <v>0</v>
      </c>
      <c r="X705">
        <v>0</v>
      </c>
      <c r="Y705" t="s">
        <v>247</v>
      </c>
      <c r="Z705" t="s">
        <v>248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5.52</v>
      </c>
      <c r="AN705" s="2">
        <v>5.52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46202</v>
      </c>
      <c r="B706" t="s">
        <v>48</v>
      </c>
      <c r="C706">
        <v>649163</v>
      </c>
      <c r="D706">
        <v>2023668687</v>
      </c>
      <c r="E706" t="s">
        <v>270</v>
      </c>
      <c r="F706" t="s">
        <v>271</v>
      </c>
      <c r="G706" t="s">
        <v>51</v>
      </c>
      <c r="H706" t="s">
        <v>167</v>
      </c>
      <c r="I706" t="s">
        <v>188</v>
      </c>
      <c r="J706" t="s">
        <v>189</v>
      </c>
      <c r="K706">
        <v>751867</v>
      </c>
      <c r="L706" t="s">
        <v>272</v>
      </c>
      <c r="M706" t="s">
        <v>209</v>
      </c>
      <c r="N706" t="s">
        <v>57</v>
      </c>
      <c r="O706" s="1">
        <v>45474</v>
      </c>
      <c r="Q706" s="1">
        <v>46235</v>
      </c>
      <c r="R706" s="2">
        <v>22.98</v>
      </c>
      <c r="S706">
        <v>1</v>
      </c>
      <c r="T706" t="s">
        <v>58</v>
      </c>
      <c r="U706" t="s">
        <v>246</v>
      </c>
      <c r="V706" s="3">
        <v>0.1</v>
      </c>
      <c r="W706" s="2">
        <v>0</v>
      </c>
      <c r="X706">
        <v>0</v>
      </c>
      <c r="Y706" t="s">
        <v>247</v>
      </c>
      <c r="Z706" t="s">
        <v>248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2.2999999999999998</v>
      </c>
      <c r="AN706" s="2">
        <v>2.2999999999999998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46202</v>
      </c>
      <c r="B707" t="s">
        <v>48</v>
      </c>
      <c r="C707">
        <v>649163</v>
      </c>
      <c r="D707">
        <v>2023719130</v>
      </c>
      <c r="E707" t="s">
        <v>231</v>
      </c>
      <c r="F707" t="s">
        <v>273</v>
      </c>
      <c r="G707" t="s">
        <v>51</v>
      </c>
      <c r="H707" t="s">
        <v>124</v>
      </c>
      <c r="I707" t="s">
        <v>188</v>
      </c>
      <c r="J707" t="s">
        <v>189</v>
      </c>
      <c r="K707">
        <v>751867</v>
      </c>
      <c r="L707" t="s">
        <v>272</v>
      </c>
      <c r="M707" t="s">
        <v>209</v>
      </c>
      <c r="N707" t="s">
        <v>57</v>
      </c>
      <c r="O707" s="1">
        <v>45474</v>
      </c>
      <c r="Q707" s="1">
        <v>46235</v>
      </c>
      <c r="R707" s="2">
        <v>47.51</v>
      </c>
      <c r="S707">
        <v>1</v>
      </c>
      <c r="T707" t="s">
        <v>58</v>
      </c>
      <c r="U707" t="s">
        <v>246</v>
      </c>
      <c r="V707" s="3">
        <v>0.1</v>
      </c>
      <c r="W707" s="2">
        <v>0</v>
      </c>
      <c r="X707">
        <v>0</v>
      </c>
      <c r="Y707" t="s">
        <v>247</v>
      </c>
      <c r="Z707" t="s">
        <v>248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4.75</v>
      </c>
      <c r="AN707" s="2">
        <v>4.75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46202</v>
      </c>
      <c r="B708" t="s">
        <v>48</v>
      </c>
      <c r="C708">
        <v>649163</v>
      </c>
      <c r="D708">
        <v>2024477616</v>
      </c>
      <c r="E708" t="s">
        <v>692</v>
      </c>
      <c r="F708" t="s">
        <v>359</v>
      </c>
      <c r="G708" t="s">
        <v>51</v>
      </c>
      <c r="H708" t="s">
        <v>52</v>
      </c>
      <c r="I708" t="s">
        <v>188</v>
      </c>
      <c r="J708" t="s">
        <v>189</v>
      </c>
      <c r="K708">
        <v>650218</v>
      </c>
      <c r="L708" t="s">
        <v>266</v>
      </c>
      <c r="M708" t="s">
        <v>267</v>
      </c>
      <c r="N708" t="s">
        <v>57</v>
      </c>
      <c r="O708" s="1">
        <v>45536</v>
      </c>
      <c r="Q708" s="1">
        <v>46235</v>
      </c>
      <c r="R708" s="2">
        <v>38.11</v>
      </c>
      <c r="S708">
        <v>1</v>
      </c>
      <c r="T708" t="s">
        <v>58</v>
      </c>
      <c r="U708" t="s">
        <v>246</v>
      </c>
      <c r="V708" s="3">
        <v>0.1</v>
      </c>
      <c r="W708" s="2">
        <v>0</v>
      </c>
      <c r="X708">
        <v>0</v>
      </c>
      <c r="Y708" t="s">
        <v>247</v>
      </c>
      <c r="Z708" t="s">
        <v>248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3.81</v>
      </c>
      <c r="AN708" s="2">
        <v>3.81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46202</v>
      </c>
      <c r="B709" t="s">
        <v>48</v>
      </c>
      <c r="C709">
        <v>649163</v>
      </c>
      <c r="D709">
        <v>2024586356</v>
      </c>
      <c r="E709" t="s">
        <v>979</v>
      </c>
      <c r="F709" t="s">
        <v>980</v>
      </c>
      <c r="G709" t="s">
        <v>51</v>
      </c>
      <c r="H709" t="s">
        <v>52</v>
      </c>
      <c r="I709" t="s">
        <v>188</v>
      </c>
      <c r="J709" t="s">
        <v>189</v>
      </c>
      <c r="K709">
        <v>650218</v>
      </c>
      <c r="L709" t="s">
        <v>266</v>
      </c>
      <c r="M709" t="s">
        <v>267</v>
      </c>
      <c r="N709" t="s">
        <v>57</v>
      </c>
      <c r="O709" s="1">
        <v>45536</v>
      </c>
      <c r="Q709" s="1">
        <v>46235</v>
      </c>
      <c r="R709" s="2">
        <v>38.11</v>
      </c>
      <c r="S709">
        <v>1</v>
      </c>
      <c r="T709" t="s">
        <v>58</v>
      </c>
      <c r="U709" t="s">
        <v>246</v>
      </c>
      <c r="V709" s="3">
        <v>0.1</v>
      </c>
      <c r="W709" s="2">
        <v>0</v>
      </c>
      <c r="X709">
        <v>0</v>
      </c>
      <c r="Y709" t="s">
        <v>247</v>
      </c>
      <c r="Z709" t="s">
        <v>248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3.81</v>
      </c>
      <c r="AN709" s="2">
        <v>3.81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46202</v>
      </c>
      <c r="B710" t="s">
        <v>48</v>
      </c>
      <c r="C710">
        <v>649163</v>
      </c>
      <c r="D710">
        <v>2024591189</v>
      </c>
      <c r="E710" t="s">
        <v>695</v>
      </c>
      <c r="F710" t="s">
        <v>696</v>
      </c>
      <c r="G710" t="s">
        <v>51</v>
      </c>
      <c r="H710" t="s">
        <v>52</v>
      </c>
      <c r="I710" t="s">
        <v>188</v>
      </c>
      <c r="J710" t="s">
        <v>189</v>
      </c>
      <c r="K710">
        <v>650218</v>
      </c>
      <c r="L710" t="s">
        <v>266</v>
      </c>
      <c r="M710" t="s">
        <v>267</v>
      </c>
      <c r="N710" t="s">
        <v>57</v>
      </c>
      <c r="O710" s="1">
        <v>45536</v>
      </c>
      <c r="Q710" s="1">
        <v>46235</v>
      </c>
      <c r="R710" s="2">
        <v>53.16</v>
      </c>
      <c r="S710">
        <v>1</v>
      </c>
      <c r="T710" t="s">
        <v>58</v>
      </c>
      <c r="U710" t="s">
        <v>246</v>
      </c>
      <c r="V710" s="3">
        <v>0.1</v>
      </c>
      <c r="W710" s="2">
        <v>0</v>
      </c>
      <c r="X710">
        <v>0</v>
      </c>
      <c r="Y710" t="s">
        <v>247</v>
      </c>
      <c r="Z710" t="s">
        <v>248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5.32</v>
      </c>
      <c r="AN710" s="2">
        <v>5.32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46202</v>
      </c>
      <c r="B711" t="s">
        <v>48</v>
      </c>
      <c r="C711">
        <v>649163</v>
      </c>
      <c r="D711">
        <v>2024600969</v>
      </c>
      <c r="E711" t="s">
        <v>981</v>
      </c>
      <c r="F711" t="s">
        <v>401</v>
      </c>
      <c r="G711" t="s">
        <v>51</v>
      </c>
      <c r="H711" t="s">
        <v>52</v>
      </c>
      <c r="I711" t="s">
        <v>188</v>
      </c>
      <c r="J711" t="s">
        <v>189</v>
      </c>
      <c r="K711">
        <v>650218</v>
      </c>
      <c r="L711" t="s">
        <v>266</v>
      </c>
      <c r="M711" t="s">
        <v>267</v>
      </c>
      <c r="N711" t="s">
        <v>57</v>
      </c>
      <c r="O711" s="1">
        <v>45536</v>
      </c>
      <c r="Q711" s="1">
        <v>46235</v>
      </c>
      <c r="R711" s="2">
        <v>61.39</v>
      </c>
      <c r="S711">
        <v>1</v>
      </c>
      <c r="T711" t="s">
        <v>58</v>
      </c>
      <c r="U711" t="s">
        <v>246</v>
      </c>
      <c r="V711" s="3">
        <v>0.1</v>
      </c>
      <c r="W711" s="2">
        <v>0</v>
      </c>
      <c r="X711">
        <v>0</v>
      </c>
      <c r="Y711" t="s">
        <v>247</v>
      </c>
      <c r="Z711" t="s">
        <v>248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6.14</v>
      </c>
      <c r="AN711" s="2">
        <v>6.14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46202</v>
      </c>
      <c r="B712" t="s">
        <v>48</v>
      </c>
      <c r="C712">
        <v>649163</v>
      </c>
      <c r="D712">
        <v>2024645160</v>
      </c>
      <c r="E712" t="s">
        <v>697</v>
      </c>
      <c r="F712" t="s">
        <v>698</v>
      </c>
      <c r="G712" t="s">
        <v>51</v>
      </c>
      <c r="H712" t="s">
        <v>52</v>
      </c>
      <c r="I712" t="s">
        <v>188</v>
      </c>
      <c r="J712" t="s">
        <v>189</v>
      </c>
      <c r="K712">
        <v>650218</v>
      </c>
      <c r="L712" t="s">
        <v>266</v>
      </c>
      <c r="M712" t="s">
        <v>267</v>
      </c>
      <c r="N712" t="s">
        <v>57</v>
      </c>
      <c r="O712" s="1">
        <v>45536</v>
      </c>
      <c r="Q712" s="1">
        <v>46235</v>
      </c>
      <c r="R712" s="2">
        <v>13.43</v>
      </c>
      <c r="S712">
        <v>1</v>
      </c>
      <c r="T712" t="s">
        <v>58</v>
      </c>
      <c r="U712" t="s">
        <v>246</v>
      </c>
      <c r="V712" s="3">
        <v>0.1</v>
      </c>
      <c r="W712" s="2">
        <v>0</v>
      </c>
      <c r="X712">
        <v>0</v>
      </c>
      <c r="Y712" t="s">
        <v>247</v>
      </c>
      <c r="Z712" t="s">
        <v>248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1.34</v>
      </c>
      <c r="AN712" s="2">
        <v>1.34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46202</v>
      </c>
      <c r="B713" t="s">
        <v>48</v>
      </c>
      <c r="C713">
        <v>649163</v>
      </c>
      <c r="D713">
        <v>2025046019</v>
      </c>
      <c r="E713" t="s">
        <v>277</v>
      </c>
      <c r="F713" t="s">
        <v>278</v>
      </c>
      <c r="G713" t="s">
        <v>51</v>
      </c>
      <c r="H713" t="s">
        <v>52</v>
      </c>
      <c r="I713" t="s">
        <v>188</v>
      </c>
      <c r="J713" t="s">
        <v>189</v>
      </c>
      <c r="K713">
        <v>649247</v>
      </c>
      <c r="L713" t="s">
        <v>255</v>
      </c>
      <c r="M713" t="s">
        <v>256</v>
      </c>
      <c r="N713" t="s">
        <v>57</v>
      </c>
      <c r="O713" s="1">
        <v>45566</v>
      </c>
      <c r="Q713" s="1">
        <v>46235</v>
      </c>
      <c r="R713" s="2">
        <v>80.319999999999993</v>
      </c>
      <c r="S713">
        <v>1</v>
      </c>
      <c r="T713" t="s">
        <v>58</v>
      </c>
      <c r="U713" t="s">
        <v>246</v>
      </c>
      <c r="V713" s="3">
        <v>0.1</v>
      </c>
      <c r="W713" s="2">
        <v>0</v>
      </c>
      <c r="X713">
        <v>0</v>
      </c>
      <c r="Y713" t="s">
        <v>247</v>
      </c>
      <c r="Z713" t="s">
        <v>248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8.0299999999999994</v>
      </c>
      <c r="AN713" s="2">
        <v>8.0299999999999994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46202</v>
      </c>
      <c r="B714" t="s">
        <v>48</v>
      </c>
      <c r="C714">
        <v>649163</v>
      </c>
      <c r="D714">
        <v>2025246360</v>
      </c>
      <c r="E714" t="s">
        <v>600</v>
      </c>
      <c r="F714" t="s">
        <v>601</v>
      </c>
      <c r="G714" t="s">
        <v>51</v>
      </c>
      <c r="H714" t="s">
        <v>52</v>
      </c>
      <c r="I714" t="s">
        <v>188</v>
      </c>
      <c r="J714" t="s">
        <v>189</v>
      </c>
      <c r="K714">
        <v>650218</v>
      </c>
      <c r="L714" t="s">
        <v>266</v>
      </c>
      <c r="M714" t="s">
        <v>267</v>
      </c>
      <c r="N714" t="s">
        <v>57</v>
      </c>
      <c r="O714" s="1">
        <v>45597</v>
      </c>
      <c r="Q714" s="1">
        <v>46235</v>
      </c>
      <c r="R714" s="2">
        <v>69.63</v>
      </c>
      <c r="S714">
        <v>1</v>
      </c>
      <c r="T714" t="s">
        <v>58</v>
      </c>
      <c r="U714" t="s">
        <v>246</v>
      </c>
      <c r="V714" s="3">
        <v>0.1</v>
      </c>
      <c r="W714" s="2">
        <v>0</v>
      </c>
      <c r="X714">
        <v>0</v>
      </c>
      <c r="Y714" t="s">
        <v>247</v>
      </c>
      <c r="Z714" t="s">
        <v>248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6.96</v>
      </c>
      <c r="AN714" s="2">
        <v>6.96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46202</v>
      </c>
      <c r="B715" t="s">
        <v>48</v>
      </c>
      <c r="C715">
        <v>649163</v>
      </c>
      <c r="D715">
        <v>2025280496</v>
      </c>
      <c r="E715" t="s">
        <v>699</v>
      </c>
      <c r="F715" t="s">
        <v>700</v>
      </c>
      <c r="G715" t="s">
        <v>51</v>
      </c>
      <c r="H715" t="s">
        <v>52</v>
      </c>
      <c r="I715" t="s">
        <v>188</v>
      </c>
      <c r="J715" t="s">
        <v>189</v>
      </c>
      <c r="K715">
        <v>650218</v>
      </c>
      <c r="L715" t="s">
        <v>266</v>
      </c>
      <c r="M715" t="s">
        <v>267</v>
      </c>
      <c r="N715" t="s">
        <v>57</v>
      </c>
      <c r="O715" s="1">
        <v>45597</v>
      </c>
      <c r="Q715" s="1">
        <v>46235</v>
      </c>
      <c r="R715" s="2">
        <v>19.309999999999999</v>
      </c>
      <c r="S715">
        <v>1</v>
      </c>
      <c r="T715" t="s">
        <v>58</v>
      </c>
      <c r="U715" t="s">
        <v>246</v>
      </c>
      <c r="V715" s="3">
        <v>0.1</v>
      </c>
      <c r="W715" s="2">
        <v>0</v>
      </c>
      <c r="X715">
        <v>0</v>
      </c>
      <c r="Y715" t="s">
        <v>247</v>
      </c>
      <c r="Z715" t="s">
        <v>248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1.93</v>
      </c>
      <c r="AN715" s="2">
        <v>1.93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46202</v>
      </c>
      <c r="B716" t="s">
        <v>48</v>
      </c>
      <c r="C716">
        <v>649163</v>
      </c>
      <c r="D716">
        <v>2025303843</v>
      </c>
      <c r="E716" t="s">
        <v>279</v>
      </c>
      <c r="F716" t="s">
        <v>280</v>
      </c>
      <c r="G716" t="s">
        <v>51</v>
      </c>
      <c r="H716" t="s">
        <v>52</v>
      </c>
      <c r="I716" t="s">
        <v>188</v>
      </c>
      <c r="J716" t="s">
        <v>189</v>
      </c>
      <c r="K716">
        <v>650218</v>
      </c>
      <c r="L716" t="s">
        <v>266</v>
      </c>
      <c r="M716" t="s">
        <v>267</v>
      </c>
      <c r="N716" t="s">
        <v>57</v>
      </c>
      <c r="O716" s="1">
        <v>45597</v>
      </c>
      <c r="Q716" s="1">
        <v>46235</v>
      </c>
      <c r="R716" s="2">
        <v>61.39</v>
      </c>
      <c r="S716">
        <v>1</v>
      </c>
      <c r="T716" t="s">
        <v>58</v>
      </c>
      <c r="U716" t="s">
        <v>246</v>
      </c>
      <c r="V716" s="3">
        <v>0.1</v>
      </c>
      <c r="W716" s="2">
        <v>0</v>
      </c>
      <c r="X716">
        <v>0</v>
      </c>
      <c r="Y716" t="s">
        <v>247</v>
      </c>
      <c r="Z716" t="s">
        <v>248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6.14</v>
      </c>
      <c r="AN716" s="2">
        <v>6.14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46202</v>
      </c>
      <c r="B717" t="s">
        <v>48</v>
      </c>
      <c r="C717">
        <v>649163</v>
      </c>
      <c r="D717">
        <v>2025422150</v>
      </c>
      <c r="E717" t="s">
        <v>703</v>
      </c>
      <c r="F717" t="s">
        <v>704</v>
      </c>
      <c r="G717" t="s">
        <v>51</v>
      </c>
      <c r="H717" t="s">
        <v>52</v>
      </c>
      <c r="I717" t="s">
        <v>188</v>
      </c>
      <c r="J717" t="s">
        <v>189</v>
      </c>
      <c r="K717">
        <v>650218</v>
      </c>
      <c r="L717" t="s">
        <v>266</v>
      </c>
      <c r="M717" t="s">
        <v>267</v>
      </c>
      <c r="N717" t="s">
        <v>57</v>
      </c>
      <c r="O717" s="1">
        <v>45597</v>
      </c>
      <c r="Q717" s="1">
        <v>46235</v>
      </c>
      <c r="R717" s="2">
        <v>47.17</v>
      </c>
      <c r="S717">
        <v>1</v>
      </c>
      <c r="T717" t="s">
        <v>58</v>
      </c>
      <c r="U717" t="s">
        <v>246</v>
      </c>
      <c r="V717" s="3">
        <v>0.1</v>
      </c>
      <c r="W717" s="2">
        <v>0</v>
      </c>
      <c r="X717">
        <v>0</v>
      </c>
      <c r="Y717" t="s">
        <v>247</v>
      </c>
      <c r="Z717" t="s">
        <v>248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4.72</v>
      </c>
      <c r="AN717" s="2">
        <v>4.72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46202</v>
      </c>
      <c r="B718" t="s">
        <v>48</v>
      </c>
      <c r="C718">
        <v>649163</v>
      </c>
      <c r="D718">
        <v>2025689182</v>
      </c>
      <c r="E718" t="s">
        <v>342</v>
      </c>
      <c r="F718" t="s">
        <v>343</v>
      </c>
      <c r="G718" t="s">
        <v>51</v>
      </c>
      <c r="H718" t="s">
        <v>94</v>
      </c>
      <c r="I718" t="s">
        <v>188</v>
      </c>
      <c r="J718" t="s">
        <v>189</v>
      </c>
      <c r="K718">
        <v>796984</v>
      </c>
      <c r="L718" t="s">
        <v>344</v>
      </c>
      <c r="M718" t="s">
        <v>171</v>
      </c>
      <c r="N718" t="s">
        <v>57</v>
      </c>
      <c r="O718" s="1">
        <v>45627</v>
      </c>
      <c r="Q718" s="1">
        <v>46235</v>
      </c>
      <c r="R718" s="2">
        <v>53.62</v>
      </c>
      <c r="S718">
        <v>1</v>
      </c>
      <c r="T718" t="s">
        <v>58</v>
      </c>
      <c r="U718" t="s">
        <v>246</v>
      </c>
      <c r="V718" s="3">
        <v>0.1</v>
      </c>
      <c r="W718" s="2">
        <v>0</v>
      </c>
      <c r="X718">
        <v>0</v>
      </c>
      <c r="Y718" t="s">
        <v>247</v>
      </c>
      <c r="Z718" t="s">
        <v>248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5.36</v>
      </c>
      <c r="AN718" s="2">
        <v>5.36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46202</v>
      </c>
      <c r="B719" t="s">
        <v>48</v>
      </c>
      <c r="C719">
        <v>649163</v>
      </c>
      <c r="D719">
        <v>2025708052</v>
      </c>
      <c r="E719" t="s">
        <v>345</v>
      </c>
      <c r="F719" t="s">
        <v>199</v>
      </c>
      <c r="G719" t="s">
        <v>51</v>
      </c>
      <c r="H719" t="s">
        <v>94</v>
      </c>
      <c r="I719" t="s">
        <v>188</v>
      </c>
      <c r="J719" t="s">
        <v>189</v>
      </c>
      <c r="K719">
        <v>796984</v>
      </c>
      <c r="L719" t="s">
        <v>344</v>
      </c>
      <c r="M719" t="s">
        <v>171</v>
      </c>
      <c r="N719" t="s">
        <v>57</v>
      </c>
      <c r="O719" s="1">
        <v>45658</v>
      </c>
      <c r="Q719" s="1">
        <v>46235</v>
      </c>
      <c r="R719" s="2">
        <v>76.56</v>
      </c>
      <c r="S719">
        <v>1</v>
      </c>
      <c r="T719" t="s">
        <v>58</v>
      </c>
      <c r="U719" t="s">
        <v>246</v>
      </c>
      <c r="V719" s="3">
        <v>0.1</v>
      </c>
      <c r="W719" s="2">
        <v>0</v>
      </c>
      <c r="X719">
        <v>0</v>
      </c>
      <c r="Y719" t="s">
        <v>247</v>
      </c>
      <c r="Z719" t="s">
        <v>248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7.66</v>
      </c>
      <c r="AN719" s="2">
        <v>7.66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46202</v>
      </c>
      <c r="B720" t="s">
        <v>48</v>
      </c>
      <c r="C720">
        <v>649163</v>
      </c>
      <c r="D720">
        <v>2025787182</v>
      </c>
      <c r="E720" t="s">
        <v>346</v>
      </c>
      <c r="F720" t="s">
        <v>347</v>
      </c>
      <c r="G720" t="s">
        <v>51</v>
      </c>
      <c r="H720" t="s">
        <v>94</v>
      </c>
      <c r="I720" t="s">
        <v>188</v>
      </c>
      <c r="J720" t="s">
        <v>189</v>
      </c>
      <c r="K720">
        <v>796984</v>
      </c>
      <c r="L720" t="s">
        <v>344</v>
      </c>
      <c r="M720" t="s">
        <v>171</v>
      </c>
      <c r="N720" t="s">
        <v>57</v>
      </c>
      <c r="O720" s="1">
        <v>45627</v>
      </c>
      <c r="Q720" s="1">
        <v>46235</v>
      </c>
      <c r="R720" s="2">
        <v>60.5</v>
      </c>
      <c r="S720">
        <v>1</v>
      </c>
      <c r="T720" t="s">
        <v>58</v>
      </c>
      <c r="U720" t="s">
        <v>246</v>
      </c>
      <c r="V720" s="3">
        <v>0.1</v>
      </c>
      <c r="W720" s="2">
        <v>0</v>
      </c>
      <c r="X720">
        <v>0</v>
      </c>
      <c r="Y720" t="s">
        <v>247</v>
      </c>
      <c r="Z720" t="s">
        <v>248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6.05</v>
      </c>
      <c r="AN720" s="2">
        <v>6.05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46202</v>
      </c>
      <c r="B721" t="s">
        <v>48</v>
      </c>
      <c r="C721">
        <v>649163</v>
      </c>
      <c r="D721">
        <v>2025967188</v>
      </c>
      <c r="E721" t="s">
        <v>481</v>
      </c>
      <c r="F721" t="s">
        <v>603</v>
      </c>
      <c r="G721" t="s">
        <v>51</v>
      </c>
      <c r="H721" t="s">
        <v>311</v>
      </c>
      <c r="I721" t="s">
        <v>188</v>
      </c>
      <c r="J721" t="s">
        <v>189</v>
      </c>
      <c r="K721">
        <v>756418</v>
      </c>
      <c r="L721" t="s">
        <v>383</v>
      </c>
      <c r="M721" t="s">
        <v>384</v>
      </c>
      <c r="N721" t="s">
        <v>57</v>
      </c>
      <c r="O721" s="1">
        <v>45626</v>
      </c>
      <c r="Q721" s="1">
        <v>46233</v>
      </c>
      <c r="R721" s="2">
        <v>20.97</v>
      </c>
      <c r="S721">
        <v>1</v>
      </c>
      <c r="T721" t="s">
        <v>58</v>
      </c>
      <c r="U721" t="s">
        <v>246</v>
      </c>
      <c r="V721" s="3">
        <v>0.1</v>
      </c>
      <c r="W721" s="2">
        <v>0</v>
      </c>
      <c r="X721">
        <v>0</v>
      </c>
      <c r="Y721" t="s">
        <v>247</v>
      </c>
      <c r="Z721" t="s">
        <v>248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2.1</v>
      </c>
      <c r="AN721" s="2">
        <v>2.1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46202</v>
      </c>
      <c r="B722" t="s">
        <v>48</v>
      </c>
      <c r="C722">
        <v>649163</v>
      </c>
      <c r="D722">
        <v>2026541089</v>
      </c>
      <c r="E722" t="s">
        <v>720</v>
      </c>
      <c r="F722" t="s">
        <v>403</v>
      </c>
      <c r="G722" t="s">
        <v>51</v>
      </c>
      <c r="H722" t="s">
        <v>52</v>
      </c>
      <c r="I722" t="s">
        <v>188</v>
      </c>
      <c r="J722" t="s">
        <v>189</v>
      </c>
      <c r="K722">
        <v>650218</v>
      </c>
      <c r="L722" t="s">
        <v>266</v>
      </c>
      <c r="M722" t="s">
        <v>267</v>
      </c>
      <c r="N722" t="s">
        <v>57</v>
      </c>
      <c r="O722" s="1">
        <v>45689</v>
      </c>
      <c r="Q722" s="1">
        <v>46235</v>
      </c>
      <c r="R722" s="2">
        <v>55.16</v>
      </c>
      <c r="S722">
        <v>1</v>
      </c>
      <c r="T722" t="s">
        <v>58</v>
      </c>
      <c r="U722" t="s">
        <v>246</v>
      </c>
      <c r="V722" s="3">
        <v>0.1</v>
      </c>
      <c r="W722" s="2">
        <v>0</v>
      </c>
      <c r="X722">
        <v>0</v>
      </c>
      <c r="Y722" t="s">
        <v>247</v>
      </c>
      <c r="Z722" t="s">
        <v>248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5.52</v>
      </c>
      <c r="AN722" s="2">
        <v>5.52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46202</v>
      </c>
      <c r="B723" t="s">
        <v>48</v>
      </c>
      <c r="C723">
        <v>649163</v>
      </c>
      <c r="D723">
        <v>2026588334</v>
      </c>
      <c r="E723" t="s">
        <v>604</v>
      </c>
      <c r="F723" t="s">
        <v>605</v>
      </c>
      <c r="G723" t="s">
        <v>51</v>
      </c>
      <c r="H723" t="s">
        <v>97</v>
      </c>
      <c r="I723" t="s">
        <v>188</v>
      </c>
      <c r="J723" t="s">
        <v>189</v>
      </c>
      <c r="K723">
        <v>756418</v>
      </c>
      <c r="L723" t="s">
        <v>383</v>
      </c>
      <c r="M723" t="s">
        <v>384</v>
      </c>
      <c r="N723" t="s">
        <v>57</v>
      </c>
      <c r="O723" s="1">
        <v>45689</v>
      </c>
      <c r="Q723" s="1">
        <v>46235</v>
      </c>
      <c r="R723" s="2">
        <v>32.4</v>
      </c>
      <c r="S723">
        <v>1</v>
      </c>
      <c r="T723" t="s">
        <v>58</v>
      </c>
      <c r="U723" t="s">
        <v>246</v>
      </c>
      <c r="V723" s="3">
        <v>0.1</v>
      </c>
      <c r="W723" s="2">
        <v>0</v>
      </c>
      <c r="X723">
        <v>0</v>
      </c>
      <c r="Y723" t="s">
        <v>247</v>
      </c>
      <c r="Z723" t="s">
        <v>248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3.24</v>
      </c>
      <c r="AN723" s="2">
        <v>3.24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46202</v>
      </c>
      <c r="B724" t="s">
        <v>48</v>
      </c>
      <c r="C724">
        <v>649163</v>
      </c>
      <c r="D724">
        <v>2026610947</v>
      </c>
      <c r="E724" t="s">
        <v>288</v>
      </c>
      <c r="F724" t="s">
        <v>289</v>
      </c>
      <c r="G724" t="s">
        <v>51</v>
      </c>
      <c r="H724" t="s">
        <v>52</v>
      </c>
      <c r="I724" t="s">
        <v>188</v>
      </c>
      <c r="J724" t="s">
        <v>189</v>
      </c>
      <c r="K724">
        <v>751867</v>
      </c>
      <c r="L724" t="s">
        <v>272</v>
      </c>
      <c r="M724" t="s">
        <v>209</v>
      </c>
      <c r="N724" t="s">
        <v>57</v>
      </c>
      <c r="O724" s="1">
        <v>45689</v>
      </c>
      <c r="Q724" s="1">
        <v>46235</v>
      </c>
      <c r="R724" s="2">
        <v>46.13</v>
      </c>
      <c r="S724">
        <v>1</v>
      </c>
      <c r="T724" t="s">
        <v>58</v>
      </c>
      <c r="U724" t="s">
        <v>246</v>
      </c>
      <c r="V724" s="3">
        <v>0.1</v>
      </c>
      <c r="W724" s="2">
        <v>0</v>
      </c>
      <c r="X724">
        <v>0</v>
      </c>
      <c r="Y724" t="s">
        <v>247</v>
      </c>
      <c r="Z724" t="s">
        <v>248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4.6100000000000003</v>
      </c>
      <c r="AN724" s="2">
        <v>4.6100000000000003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46202</v>
      </c>
      <c r="B725" t="s">
        <v>48</v>
      </c>
      <c r="C725">
        <v>649163</v>
      </c>
      <c r="D725">
        <v>2026615270</v>
      </c>
      <c r="E725" t="s">
        <v>352</v>
      </c>
      <c r="F725" t="s">
        <v>353</v>
      </c>
      <c r="G725" t="s">
        <v>51</v>
      </c>
      <c r="H725" t="s">
        <v>94</v>
      </c>
      <c r="I725" t="s">
        <v>188</v>
      </c>
      <c r="J725" t="s">
        <v>189</v>
      </c>
      <c r="K725">
        <v>816021</v>
      </c>
      <c r="L725" t="s">
        <v>80</v>
      </c>
      <c r="M725" t="s">
        <v>81</v>
      </c>
      <c r="N725" t="s">
        <v>57</v>
      </c>
      <c r="O725" s="1">
        <v>45689</v>
      </c>
      <c r="Q725" s="1">
        <v>46235</v>
      </c>
      <c r="R725" s="2">
        <v>29.31</v>
      </c>
      <c r="S725">
        <v>1</v>
      </c>
      <c r="T725" t="s">
        <v>58</v>
      </c>
      <c r="U725" t="s">
        <v>246</v>
      </c>
      <c r="V725" s="3">
        <v>0.1</v>
      </c>
      <c r="W725" s="2">
        <v>0</v>
      </c>
      <c r="X725">
        <v>0</v>
      </c>
      <c r="Y725" t="s">
        <v>247</v>
      </c>
      <c r="Z725" t="s">
        <v>248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2.93</v>
      </c>
      <c r="AN725" s="2">
        <v>2.93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46202</v>
      </c>
      <c r="B726" t="s">
        <v>48</v>
      </c>
      <c r="C726">
        <v>649163</v>
      </c>
      <c r="D726">
        <v>2026649886</v>
      </c>
      <c r="E726" t="s">
        <v>290</v>
      </c>
      <c r="F726" t="s">
        <v>291</v>
      </c>
      <c r="G726" t="s">
        <v>51</v>
      </c>
      <c r="H726" t="s">
        <v>167</v>
      </c>
      <c r="I726" t="s">
        <v>188</v>
      </c>
      <c r="J726" t="s">
        <v>189</v>
      </c>
      <c r="K726">
        <v>650218</v>
      </c>
      <c r="L726" t="s">
        <v>266</v>
      </c>
      <c r="M726" t="s">
        <v>267</v>
      </c>
      <c r="N726" t="s">
        <v>57</v>
      </c>
      <c r="O726" s="1">
        <v>45689</v>
      </c>
      <c r="Q726" s="1">
        <v>46235</v>
      </c>
      <c r="R726" s="2">
        <v>26.12</v>
      </c>
      <c r="S726">
        <v>1</v>
      </c>
      <c r="T726" t="s">
        <v>58</v>
      </c>
      <c r="U726" t="s">
        <v>246</v>
      </c>
      <c r="V726" s="3">
        <v>0.1</v>
      </c>
      <c r="W726" s="2">
        <v>0</v>
      </c>
      <c r="X726">
        <v>0</v>
      </c>
      <c r="Y726" t="s">
        <v>247</v>
      </c>
      <c r="Z726" t="s">
        <v>248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2.61</v>
      </c>
      <c r="AN726" s="2">
        <v>2.61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46202</v>
      </c>
      <c r="B727" t="s">
        <v>48</v>
      </c>
      <c r="C727">
        <v>649163</v>
      </c>
      <c r="D727">
        <v>2026805533</v>
      </c>
      <c r="E727" t="s">
        <v>606</v>
      </c>
      <c r="F727" t="s">
        <v>607</v>
      </c>
      <c r="G727" t="s">
        <v>51</v>
      </c>
      <c r="H727" t="s">
        <v>124</v>
      </c>
      <c r="I727" t="s">
        <v>188</v>
      </c>
      <c r="J727" t="s">
        <v>189</v>
      </c>
      <c r="K727">
        <v>650218</v>
      </c>
      <c r="L727" t="s">
        <v>266</v>
      </c>
      <c r="M727" t="s">
        <v>267</v>
      </c>
      <c r="N727" t="s">
        <v>57</v>
      </c>
      <c r="O727" s="1">
        <v>45689</v>
      </c>
      <c r="Q727" s="1">
        <v>46235</v>
      </c>
      <c r="R727" s="2">
        <v>26.12</v>
      </c>
      <c r="S727">
        <v>1</v>
      </c>
      <c r="T727" t="s">
        <v>58</v>
      </c>
      <c r="U727" t="s">
        <v>246</v>
      </c>
      <c r="V727" s="3">
        <v>0.1</v>
      </c>
      <c r="W727" s="2">
        <v>0</v>
      </c>
      <c r="X727">
        <v>0</v>
      </c>
      <c r="Y727" t="s">
        <v>247</v>
      </c>
      <c r="Z727" t="s">
        <v>248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2.61</v>
      </c>
      <c r="AN727" s="2">
        <v>2.61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46202</v>
      </c>
      <c r="B728" t="s">
        <v>48</v>
      </c>
      <c r="C728">
        <v>649163</v>
      </c>
      <c r="D728">
        <v>2026812262</v>
      </c>
      <c r="E728" t="s">
        <v>608</v>
      </c>
      <c r="F728" t="s">
        <v>609</v>
      </c>
      <c r="G728" t="s">
        <v>51</v>
      </c>
      <c r="H728" t="s">
        <v>176</v>
      </c>
      <c r="I728" t="s">
        <v>188</v>
      </c>
      <c r="J728" t="s">
        <v>189</v>
      </c>
      <c r="K728">
        <v>650218</v>
      </c>
      <c r="L728" t="s">
        <v>266</v>
      </c>
      <c r="M728" t="s">
        <v>267</v>
      </c>
      <c r="N728" t="s">
        <v>57</v>
      </c>
      <c r="O728" s="1">
        <v>45689</v>
      </c>
      <c r="Q728" s="1">
        <v>46235</v>
      </c>
      <c r="R728" s="2">
        <v>35.94</v>
      </c>
      <c r="S728">
        <v>1</v>
      </c>
      <c r="T728" t="s">
        <v>58</v>
      </c>
      <c r="U728" t="s">
        <v>246</v>
      </c>
      <c r="V728" s="3">
        <v>0.1</v>
      </c>
      <c r="W728" s="2">
        <v>0</v>
      </c>
      <c r="X728">
        <v>0</v>
      </c>
      <c r="Y728" t="s">
        <v>247</v>
      </c>
      <c r="Z728" t="s">
        <v>248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3.59</v>
      </c>
      <c r="AN728" s="2">
        <v>3.59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46202</v>
      </c>
      <c r="B729" t="s">
        <v>48</v>
      </c>
      <c r="C729">
        <v>649163</v>
      </c>
      <c r="D729">
        <v>2026812434</v>
      </c>
      <c r="E729" t="s">
        <v>373</v>
      </c>
      <c r="F729" t="s">
        <v>374</v>
      </c>
      <c r="G729" t="s">
        <v>51</v>
      </c>
      <c r="H729" t="s">
        <v>94</v>
      </c>
      <c r="I729" t="s">
        <v>188</v>
      </c>
      <c r="J729" t="s">
        <v>189</v>
      </c>
      <c r="K729">
        <v>816021</v>
      </c>
      <c r="L729" t="s">
        <v>80</v>
      </c>
      <c r="M729" t="s">
        <v>81</v>
      </c>
      <c r="N729" t="s">
        <v>57</v>
      </c>
      <c r="O729" s="1">
        <v>45690</v>
      </c>
      <c r="Q729" s="1">
        <v>46236</v>
      </c>
      <c r="R729" s="2">
        <v>50.18</v>
      </c>
      <c r="S729">
        <v>1</v>
      </c>
      <c r="T729" t="s">
        <v>58</v>
      </c>
      <c r="U729" t="s">
        <v>246</v>
      </c>
      <c r="V729" s="3">
        <v>0.1</v>
      </c>
      <c r="W729" s="2">
        <v>0</v>
      </c>
      <c r="X729">
        <v>0</v>
      </c>
      <c r="Y729" t="s">
        <v>247</v>
      </c>
      <c r="Z729" t="s">
        <v>248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5.0199999999999996</v>
      </c>
      <c r="AN729" s="2">
        <v>5.0199999999999996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46202</v>
      </c>
      <c r="B730" t="s">
        <v>48</v>
      </c>
      <c r="C730">
        <v>649163</v>
      </c>
      <c r="D730">
        <v>2027665173</v>
      </c>
      <c r="E730" t="s">
        <v>297</v>
      </c>
      <c r="F730" t="s">
        <v>298</v>
      </c>
      <c r="G730" t="s">
        <v>51</v>
      </c>
      <c r="H730" t="s">
        <v>100</v>
      </c>
      <c r="I730" t="s">
        <v>188</v>
      </c>
      <c r="J730" t="s">
        <v>189</v>
      </c>
      <c r="K730">
        <v>751867</v>
      </c>
      <c r="L730" t="s">
        <v>272</v>
      </c>
      <c r="M730" t="s">
        <v>209</v>
      </c>
      <c r="N730" t="s">
        <v>57</v>
      </c>
      <c r="O730" s="1">
        <v>45748</v>
      </c>
      <c r="Q730" s="1">
        <v>46235</v>
      </c>
      <c r="R730" s="2">
        <v>13.24</v>
      </c>
      <c r="S730">
        <v>1</v>
      </c>
      <c r="T730" t="s">
        <v>58</v>
      </c>
      <c r="U730" t="s">
        <v>246</v>
      </c>
      <c r="V730" s="3">
        <v>0.1</v>
      </c>
      <c r="W730" s="2">
        <v>0</v>
      </c>
      <c r="X730">
        <v>0</v>
      </c>
      <c r="Y730" t="s">
        <v>247</v>
      </c>
      <c r="Z730" t="s">
        <v>248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1.32</v>
      </c>
      <c r="AN730" s="2">
        <v>1.32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46202</v>
      </c>
      <c r="B731" t="s">
        <v>48</v>
      </c>
      <c r="C731">
        <v>649163</v>
      </c>
      <c r="D731">
        <v>2027762074</v>
      </c>
      <c r="E731" t="s">
        <v>299</v>
      </c>
      <c r="F731" t="s">
        <v>300</v>
      </c>
      <c r="G731" t="s">
        <v>51</v>
      </c>
      <c r="H731" t="s">
        <v>52</v>
      </c>
      <c r="I731" t="s">
        <v>188</v>
      </c>
      <c r="J731" t="s">
        <v>189</v>
      </c>
      <c r="K731">
        <v>751867</v>
      </c>
      <c r="L731" t="s">
        <v>272</v>
      </c>
      <c r="M731" t="s">
        <v>209</v>
      </c>
      <c r="N731" t="s">
        <v>57</v>
      </c>
      <c r="O731" s="1">
        <v>45748</v>
      </c>
      <c r="Q731" s="1">
        <v>46235</v>
      </c>
      <c r="R731" s="2">
        <v>63.67</v>
      </c>
      <c r="S731">
        <v>1</v>
      </c>
      <c r="T731" t="s">
        <v>58</v>
      </c>
      <c r="U731" t="s">
        <v>246</v>
      </c>
      <c r="V731" s="3">
        <v>0.1</v>
      </c>
      <c r="W731" s="2">
        <v>0</v>
      </c>
      <c r="X731">
        <v>0</v>
      </c>
      <c r="Y731" t="s">
        <v>247</v>
      </c>
      <c r="Z731" t="s">
        <v>248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6.37</v>
      </c>
      <c r="AN731" s="2">
        <v>6.37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46202</v>
      </c>
      <c r="B732" t="s">
        <v>48</v>
      </c>
      <c r="C732">
        <v>649163</v>
      </c>
      <c r="D732">
        <v>2027765154</v>
      </c>
      <c r="E732" t="s">
        <v>982</v>
      </c>
      <c r="F732" t="s">
        <v>983</v>
      </c>
      <c r="G732" t="s">
        <v>51</v>
      </c>
      <c r="H732" t="s">
        <v>52</v>
      </c>
      <c r="I732" t="s">
        <v>188</v>
      </c>
      <c r="J732" t="s">
        <v>189</v>
      </c>
      <c r="K732">
        <v>751867</v>
      </c>
      <c r="L732" t="s">
        <v>272</v>
      </c>
      <c r="M732" t="s">
        <v>209</v>
      </c>
      <c r="N732" t="s">
        <v>57</v>
      </c>
      <c r="O732" s="1">
        <v>45748</v>
      </c>
      <c r="Q732" s="1">
        <v>46235</v>
      </c>
      <c r="R732" s="2">
        <v>30.27</v>
      </c>
      <c r="S732">
        <v>1</v>
      </c>
      <c r="T732" t="s">
        <v>58</v>
      </c>
      <c r="U732" t="s">
        <v>246</v>
      </c>
      <c r="V732" s="3">
        <v>0.1</v>
      </c>
      <c r="W732" s="2">
        <v>0</v>
      </c>
      <c r="X732">
        <v>0</v>
      </c>
      <c r="Y732" t="s">
        <v>247</v>
      </c>
      <c r="Z732" t="s">
        <v>248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3.03</v>
      </c>
      <c r="AN732" s="2">
        <v>3.03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46202</v>
      </c>
      <c r="B733" t="s">
        <v>48</v>
      </c>
      <c r="C733">
        <v>649163</v>
      </c>
      <c r="D733">
        <v>2028627542</v>
      </c>
      <c r="E733" t="s">
        <v>929</v>
      </c>
      <c r="F733" t="s">
        <v>930</v>
      </c>
      <c r="G733" t="s">
        <v>51</v>
      </c>
      <c r="H733" t="s">
        <v>397</v>
      </c>
      <c r="I733" t="s">
        <v>188</v>
      </c>
      <c r="J733" t="s">
        <v>191</v>
      </c>
      <c r="K733">
        <v>820873</v>
      </c>
      <c r="L733" t="s">
        <v>153</v>
      </c>
      <c r="M733" t="s">
        <v>154</v>
      </c>
      <c r="N733" t="s">
        <v>57</v>
      </c>
      <c r="O733" s="1">
        <v>45774</v>
      </c>
      <c r="Q733" s="1">
        <v>46230</v>
      </c>
      <c r="R733" s="2">
        <v>7.09</v>
      </c>
      <c r="S733">
        <v>1</v>
      </c>
      <c r="T733" t="s">
        <v>58</v>
      </c>
      <c r="U733" t="s">
        <v>246</v>
      </c>
      <c r="V733" s="3">
        <v>0.1</v>
      </c>
      <c r="W733" s="2">
        <v>0</v>
      </c>
      <c r="X733">
        <v>0</v>
      </c>
      <c r="Y733" t="s">
        <v>247</v>
      </c>
      <c r="Z733" t="s">
        <v>248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0.71</v>
      </c>
      <c r="AN733" s="2">
        <v>0.71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46202</v>
      </c>
      <c r="B734" t="s">
        <v>48</v>
      </c>
      <c r="C734">
        <v>649163</v>
      </c>
      <c r="D734">
        <v>2028649902</v>
      </c>
      <c r="E734" t="s">
        <v>929</v>
      </c>
      <c r="F734" t="s">
        <v>930</v>
      </c>
      <c r="G734" t="s">
        <v>51</v>
      </c>
      <c r="H734" t="s">
        <v>397</v>
      </c>
      <c r="I734" t="s">
        <v>188</v>
      </c>
      <c r="J734" t="s">
        <v>190</v>
      </c>
      <c r="K734">
        <v>820873</v>
      </c>
      <c r="L734" t="s">
        <v>153</v>
      </c>
      <c r="M734" t="s">
        <v>154</v>
      </c>
      <c r="N734" t="s">
        <v>57</v>
      </c>
      <c r="O734" s="1">
        <v>45776</v>
      </c>
      <c r="Q734" s="1">
        <v>46232</v>
      </c>
      <c r="R734" s="2">
        <v>131.32</v>
      </c>
      <c r="S734">
        <v>1</v>
      </c>
      <c r="T734" t="s">
        <v>58</v>
      </c>
      <c r="U734" t="s">
        <v>246</v>
      </c>
      <c r="V734" s="3">
        <v>0.1</v>
      </c>
      <c r="W734" s="2">
        <v>0</v>
      </c>
      <c r="X734">
        <v>0</v>
      </c>
      <c r="Y734" t="s">
        <v>247</v>
      </c>
      <c r="Z734" t="s">
        <v>248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13.13</v>
      </c>
      <c r="AN734" s="2">
        <v>13.13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46202</v>
      </c>
      <c r="B735" t="s">
        <v>48</v>
      </c>
      <c r="C735">
        <v>649163</v>
      </c>
      <c r="D735">
        <v>2029145086</v>
      </c>
      <c r="E735" t="s">
        <v>610</v>
      </c>
      <c r="F735" t="s">
        <v>611</v>
      </c>
      <c r="G735" t="s">
        <v>51</v>
      </c>
      <c r="H735" t="s">
        <v>89</v>
      </c>
      <c r="I735" t="s">
        <v>188</v>
      </c>
      <c r="J735" t="s">
        <v>189</v>
      </c>
      <c r="K735">
        <v>766422</v>
      </c>
      <c r="L735" t="s">
        <v>612</v>
      </c>
      <c r="M735" t="s">
        <v>211</v>
      </c>
      <c r="N735" t="s">
        <v>57</v>
      </c>
      <c r="O735" s="1">
        <v>45805</v>
      </c>
      <c r="Q735" s="1">
        <v>46231</v>
      </c>
      <c r="R735" s="2">
        <v>25.15</v>
      </c>
      <c r="S735">
        <v>1</v>
      </c>
      <c r="T735" t="s">
        <v>58</v>
      </c>
      <c r="U735" t="s">
        <v>246</v>
      </c>
      <c r="V735" s="3">
        <v>0.1</v>
      </c>
      <c r="W735" s="2">
        <v>0</v>
      </c>
      <c r="X735">
        <v>0</v>
      </c>
      <c r="Y735" t="s">
        <v>247</v>
      </c>
      <c r="Z735" t="s">
        <v>248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2.52</v>
      </c>
      <c r="AN735" s="2">
        <v>2.52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46202</v>
      </c>
      <c r="B736" t="s">
        <v>48</v>
      </c>
      <c r="C736">
        <v>649163</v>
      </c>
      <c r="D736">
        <v>2032259481</v>
      </c>
      <c r="E736" t="s">
        <v>446</v>
      </c>
      <c r="F736" t="s">
        <v>984</v>
      </c>
      <c r="G736" t="s">
        <v>51</v>
      </c>
      <c r="H736" t="s">
        <v>52</v>
      </c>
      <c r="I736" t="s">
        <v>188</v>
      </c>
      <c r="J736" t="s">
        <v>189</v>
      </c>
      <c r="K736">
        <v>929503</v>
      </c>
      <c r="L736" t="s">
        <v>304</v>
      </c>
      <c r="M736" t="s">
        <v>305</v>
      </c>
      <c r="N736" t="s">
        <v>57</v>
      </c>
      <c r="O736" s="1">
        <v>46023</v>
      </c>
      <c r="Q736" s="1">
        <v>46235</v>
      </c>
      <c r="R736" s="2">
        <v>116.64</v>
      </c>
      <c r="S736">
        <v>1</v>
      </c>
      <c r="T736" t="s">
        <v>58</v>
      </c>
      <c r="U736" t="s">
        <v>59</v>
      </c>
      <c r="V736" s="3">
        <v>0.38</v>
      </c>
      <c r="W736" s="2">
        <v>0</v>
      </c>
      <c r="X736">
        <v>0</v>
      </c>
      <c r="Y736" t="s">
        <v>60</v>
      </c>
      <c r="Z736" t="s">
        <v>248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44.32</v>
      </c>
      <c r="AN736" s="2">
        <v>44.32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46202</v>
      </c>
      <c r="B737" t="s">
        <v>48</v>
      </c>
      <c r="C737">
        <v>649163</v>
      </c>
      <c r="D737">
        <v>2032622440</v>
      </c>
      <c r="E737" t="s">
        <v>405</v>
      </c>
      <c r="F737" t="s">
        <v>406</v>
      </c>
      <c r="G737" t="s">
        <v>51</v>
      </c>
      <c r="H737" t="s">
        <v>89</v>
      </c>
      <c r="I737" t="s">
        <v>188</v>
      </c>
      <c r="J737" t="s">
        <v>190</v>
      </c>
      <c r="K737">
        <v>823350</v>
      </c>
      <c r="L737" t="s">
        <v>113</v>
      </c>
      <c r="M737" t="s">
        <v>114</v>
      </c>
      <c r="N737" t="s">
        <v>57</v>
      </c>
      <c r="O737" s="1">
        <v>46019</v>
      </c>
      <c r="Q737" s="1">
        <v>46231</v>
      </c>
      <c r="R737" s="2">
        <v>333.96</v>
      </c>
      <c r="S737">
        <v>1</v>
      </c>
      <c r="T737" t="s">
        <v>58</v>
      </c>
      <c r="U737" t="s">
        <v>59</v>
      </c>
      <c r="V737" s="3">
        <v>0.38</v>
      </c>
      <c r="W737" s="2">
        <v>0</v>
      </c>
      <c r="X737">
        <v>0</v>
      </c>
      <c r="Y737" t="s">
        <v>60</v>
      </c>
      <c r="Z737" t="s">
        <v>248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126.9</v>
      </c>
      <c r="AN737" s="2">
        <v>126.9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46202</v>
      </c>
      <c r="B738" t="s">
        <v>48</v>
      </c>
      <c r="C738">
        <v>649163</v>
      </c>
      <c r="D738">
        <v>2032622441</v>
      </c>
      <c r="E738" t="s">
        <v>405</v>
      </c>
      <c r="F738" t="s">
        <v>406</v>
      </c>
      <c r="G738" t="s">
        <v>51</v>
      </c>
      <c r="H738" t="s">
        <v>89</v>
      </c>
      <c r="I738" t="s">
        <v>188</v>
      </c>
      <c r="J738" t="s">
        <v>191</v>
      </c>
      <c r="K738">
        <v>823350</v>
      </c>
      <c r="L738" t="s">
        <v>113</v>
      </c>
      <c r="M738" t="s">
        <v>114</v>
      </c>
      <c r="N738" t="s">
        <v>57</v>
      </c>
      <c r="O738" s="1">
        <v>46019</v>
      </c>
      <c r="Q738" s="1">
        <v>46231</v>
      </c>
      <c r="R738" s="2">
        <v>7.09</v>
      </c>
      <c r="S738">
        <v>1</v>
      </c>
      <c r="T738" t="s">
        <v>58</v>
      </c>
      <c r="U738" t="s">
        <v>59</v>
      </c>
      <c r="V738" s="3">
        <v>0.38</v>
      </c>
      <c r="W738" s="2">
        <v>0</v>
      </c>
      <c r="X738">
        <v>0</v>
      </c>
      <c r="Y738" t="s">
        <v>60</v>
      </c>
      <c r="Z738" t="s">
        <v>248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2.69</v>
      </c>
      <c r="AN738" s="2">
        <v>2.69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46202</v>
      </c>
      <c r="B739" t="s">
        <v>48</v>
      </c>
      <c r="C739">
        <v>649163</v>
      </c>
      <c r="D739">
        <v>2032987489</v>
      </c>
      <c r="E739" t="s">
        <v>303</v>
      </c>
      <c r="F739" t="s">
        <v>202</v>
      </c>
      <c r="G739" t="s">
        <v>51</v>
      </c>
      <c r="H739" t="s">
        <v>52</v>
      </c>
      <c r="I739" t="s">
        <v>188</v>
      </c>
      <c r="J739" t="s">
        <v>189</v>
      </c>
      <c r="K739">
        <v>929503</v>
      </c>
      <c r="L739" t="s">
        <v>304</v>
      </c>
      <c r="M739" t="s">
        <v>305</v>
      </c>
      <c r="N739" t="s">
        <v>57</v>
      </c>
      <c r="O739" s="1">
        <v>46054</v>
      </c>
      <c r="Q739" s="1">
        <v>46235</v>
      </c>
      <c r="R739" s="2">
        <v>61.39</v>
      </c>
      <c r="S739">
        <v>1</v>
      </c>
      <c r="T739" t="s">
        <v>58</v>
      </c>
      <c r="U739" t="s">
        <v>59</v>
      </c>
      <c r="V739" s="3">
        <v>0.38</v>
      </c>
      <c r="W739" s="2">
        <v>0</v>
      </c>
      <c r="X739">
        <v>0</v>
      </c>
      <c r="Y739" t="s">
        <v>60</v>
      </c>
      <c r="Z739" t="s">
        <v>248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23.33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46202</v>
      </c>
      <c r="B740" t="s">
        <v>48</v>
      </c>
      <c r="C740">
        <v>649163</v>
      </c>
      <c r="D740">
        <v>2033053092</v>
      </c>
      <c r="E740" t="s">
        <v>307</v>
      </c>
      <c r="F740" t="s">
        <v>308</v>
      </c>
      <c r="G740" t="s">
        <v>51</v>
      </c>
      <c r="H740" t="s">
        <v>52</v>
      </c>
      <c r="I740" t="s">
        <v>188</v>
      </c>
      <c r="J740" t="s">
        <v>189</v>
      </c>
      <c r="K740">
        <v>929503</v>
      </c>
      <c r="L740" t="s">
        <v>304</v>
      </c>
      <c r="M740" t="s">
        <v>305</v>
      </c>
      <c r="N740" t="s">
        <v>57</v>
      </c>
      <c r="O740" s="1">
        <v>46054</v>
      </c>
      <c r="Q740" s="1">
        <v>46235</v>
      </c>
      <c r="R740" s="2">
        <v>21.97</v>
      </c>
      <c r="S740">
        <v>1</v>
      </c>
      <c r="T740" t="s">
        <v>58</v>
      </c>
      <c r="U740" t="s">
        <v>59</v>
      </c>
      <c r="V740" s="3">
        <v>0.38</v>
      </c>
      <c r="W740" s="2">
        <v>0</v>
      </c>
      <c r="X740">
        <v>0</v>
      </c>
      <c r="Y740" t="s">
        <v>60</v>
      </c>
      <c r="Z740" t="s">
        <v>248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8.35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46202</v>
      </c>
      <c r="B741" t="s">
        <v>48</v>
      </c>
      <c r="C741">
        <v>649163</v>
      </c>
      <c r="D741">
        <v>2033053981</v>
      </c>
      <c r="E741" t="s">
        <v>442</v>
      </c>
      <c r="F741" t="s">
        <v>443</v>
      </c>
      <c r="G741" t="s">
        <v>51</v>
      </c>
      <c r="H741" t="s">
        <v>332</v>
      </c>
      <c r="I741" t="s">
        <v>188</v>
      </c>
      <c r="J741" t="s">
        <v>189</v>
      </c>
      <c r="K741">
        <v>824062</v>
      </c>
      <c r="L741" t="s">
        <v>90</v>
      </c>
      <c r="M741" t="s">
        <v>91</v>
      </c>
      <c r="N741" t="s">
        <v>57</v>
      </c>
      <c r="O741" s="1">
        <v>46054</v>
      </c>
      <c r="Q741" s="1">
        <v>46235</v>
      </c>
      <c r="R741" s="2">
        <v>25.16</v>
      </c>
      <c r="S741">
        <v>1</v>
      </c>
      <c r="T741" t="s">
        <v>58</v>
      </c>
      <c r="U741" t="s">
        <v>59</v>
      </c>
      <c r="V741" s="3">
        <v>0.38</v>
      </c>
      <c r="W741" s="2">
        <v>0</v>
      </c>
      <c r="X741">
        <v>0</v>
      </c>
      <c r="Y741" t="s">
        <v>60</v>
      </c>
      <c r="Z741" t="s">
        <v>248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9.56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46202</v>
      </c>
      <c r="B742" t="s">
        <v>48</v>
      </c>
      <c r="C742">
        <v>649163</v>
      </c>
      <c r="D742">
        <v>2033073932</v>
      </c>
      <c r="E742" t="s">
        <v>328</v>
      </c>
      <c r="F742" t="s">
        <v>625</v>
      </c>
      <c r="G742" t="s">
        <v>51</v>
      </c>
      <c r="H742" t="s">
        <v>626</v>
      </c>
      <c r="I742" t="s">
        <v>188</v>
      </c>
      <c r="J742" t="s">
        <v>189</v>
      </c>
      <c r="K742">
        <v>929503</v>
      </c>
      <c r="L742" t="s">
        <v>304</v>
      </c>
      <c r="M742" t="s">
        <v>305</v>
      </c>
      <c r="N742" t="s">
        <v>57</v>
      </c>
      <c r="O742" s="1">
        <v>46054</v>
      </c>
      <c r="Q742" s="1">
        <v>46235</v>
      </c>
      <c r="R742" s="2">
        <v>26.12</v>
      </c>
      <c r="S742">
        <v>1</v>
      </c>
      <c r="T742" t="s">
        <v>58</v>
      </c>
      <c r="U742" t="s">
        <v>59</v>
      </c>
      <c r="V742" s="3">
        <v>0.38</v>
      </c>
      <c r="W742" s="2">
        <v>0</v>
      </c>
      <c r="X742">
        <v>0</v>
      </c>
      <c r="Y742" t="s">
        <v>60</v>
      </c>
      <c r="Z742" t="s">
        <v>248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9.93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46202</v>
      </c>
      <c r="B743" t="s">
        <v>48</v>
      </c>
      <c r="C743">
        <v>649163</v>
      </c>
      <c r="D743">
        <v>2033163404</v>
      </c>
      <c r="E743" t="s">
        <v>314</v>
      </c>
      <c r="F743" t="s">
        <v>315</v>
      </c>
      <c r="G743" t="s">
        <v>51</v>
      </c>
      <c r="H743" t="s">
        <v>89</v>
      </c>
      <c r="I743" t="s">
        <v>188</v>
      </c>
      <c r="J743" t="s">
        <v>189</v>
      </c>
      <c r="K743">
        <v>894525</v>
      </c>
      <c r="L743" t="s">
        <v>316</v>
      </c>
      <c r="M743" t="s">
        <v>317</v>
      </c>
      <c r="N743" t="s">
        <v>57</v>
      </c>
      <c r="O743" s="1">
        <v>46054</v>
      </c>
      <c r="Q743" s="1">
        <v>46235</v>
      </c>
      <c r="R743" s="2">
        <v>74.98</v>
      </c>
      <c r="S743">
        <v>1</v>
      </c>
      <c r="T743" t="s">
        <v>58</v>
      </c>
      <c r="U743" t="s">
        <v>59</v>
      </c>
      <c r="V743" s="3">
        <v>0.38</v>
      </c>
      <c r="W743" s="2">
        <v>0</v>
      </c>
      <c r="X743">
        <v>0</v>
      </c>
      <c r="Y743" t="s">
        <v>60</v>
      </c>
      <c r="Z743" t="s">
        <v>248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28.49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46202</v>
      </c>
      <c r="B744" t="s">
        <v>48</v>
      </c>
      <c r="C744">
        <v>649163</v>
      </c>
      <c r="D744">
        <v>2033196068</v>
      </c>
      <c r="E744" t="s">
        <v>328</v>
      </c>
      <c r="F744" t="s">
        <v>471</v>
      </c>
      <c r="G744" t="s">
        <v>51</v>
      </c>
      <c r="H744" t="s">
        <v>89</v>
      </c>
      <c r="I744" t="s">
        <v>188</v>
      </c>
      <c r="J744" t="s">
        <v>189</v>
      </c>
      <c r="K744">
        <v>894525</v>
      </c>
      <c r="L744" t="s">
        <v>316</v>
      </c>
      <c r="M744" t="s">
        <v>317</v>
      </c>
      <c r="N744" t="s">
        <v>57</v>
      </c>
      <c r="O744" s="1">
        <v>46054</v>
      </c>
      <c r="Q744" s="1">
        <v>46235</v>
      </c>
      <c r="R744" s="2">
        <v>40.5</v>
      </c>
      <c r="S744">
        <v>1</v>
      </c>
      <c r="T744" t="s">
        <v>58</v>
      </c>
      <c r="U744" t="s">
        <v>59</v>
      </c>
      <c r="V744" s="3">
        <v>0.38</v>
      </c>
      <c r="W744" s="2">
        <v>0</v>
      </c>
      <c r="X744">
        <v>0</v>
      </c>
      <c r="Y744" t="s">
        <v>60</v>
      </c>
      <c r="Z744" t="s">
        <v>248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15.39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46202</v>
      </c>
      <c r="B745" t="s">
        <v>48</v>
      </c>
      <c r="C745">
        <v>649163</v>
      </c>
      <c r="D745">
        <v>2033226441</v>
      </c>
      <c r="E745" t="s">
        <v>318</v>
      </c>
      <c r="F745" t="s">
        <v>319</v>
      </c>
      <c r="G745" t="s">
        <v>51</v>
      </c>
      <c r="H745" t="s">
        <v>52</v>
      </c>
      <c r="I745" t="s">
        <v>188</v>
      </c>
      <c r="J745" t="s">
        <v>190</v>
      </c>
      <c r="K745">
        <v>650218</v>
      </c>
      <c r="L745" t="s">
        <v>266</v>
      </c>
      <c r="M745" t="s">
        <v>267</v>
      </c>
      <c r="N745" t="s">
        <v>57</v>
      </c>
      <c r="O745" s="1">
        <v>46054</v>
      </c>
      <c r="Q745" s="1">
        <v>46235</v>
      </c>
      <c r="R745" s="2">
        <v>224.57</v>
      </c>
      <c r="S745">
        <v>1</v>
      </c>
      <c r="T745" t="s">
        <v>58</v>
      </c>
      <c r="U745" t="s">
        <v>59</v>
      </c>
      <c r="V745" s="3">
        <v>0.38</v>
      </c>
      <c r="W745" s="2">
        <v>0</v>
      </c>
      <c r="X745">
        <v>0</v>
      </c>
      <c r="Y745" t="s">
        <v>60</v>
      </c>
      <c r="Z745" t="s">
        <v>248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85.34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46202</v>
      </c>
      <c r="B746" t="s">
        <v>48</v>
      </c>
      <c r="C746">
        <v>649163</v>
      </c>
      <c r="D746">
        <v>2033226442</v>
      </c>
      <c r="E746" t="s">
        <v>318</v>
      </c>
      <c r="F746" t="s">
        <v>319</v>
      </c>
      <c r="G746" t="s">
        <v>51</v>
      </c>
      <c r="H746" t="s">
        <v>52</v>
      </c>
      <c r="I746" t="s">
        <v>188</v>
      </c>
      <c r="J746" t="s">
        <v>191</v>
      </c>
      <c r="K746">
        <v>650218</v>
      </c>
      <c r="L746" t="s">
        <v>266</v>
      </c>
      <c r="M746" t="s">
        <v>267</v>
      </c>
      <c r="N746" t="s">
        <v>57</v>
      </c>
      <c r="O746" s="1">
        <v>46054</v>
      </c>
      <c r="Q746" s="1">
        <v>46235</v>
      </c>
      <c r="R746" s="2">
        <v>7.09</v>
      </c>
      <c r="S746">
        <v>1</v>
      </c>
      <c r="T746" t="s">
        <v>58</v>
      </c>
      <c r="U746" t="s">
        <v>59</v>
      </c>
      <c r="V746" s="3">
        <v>0.38</v>
      </c>
      <c r="W746" s="2">
        <v>0</v>
      </c>
      <c r="X746">
        <v>0</v>
      </c>
      <c r="Y746" t="s">
        <v>60</v>
      </c>
      <c r="Z746" t="s">
        <v>248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2.69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46202</v>
      </c>
      <c r="B747" t="s">
        <v>48</v>
      </c>
      <c r="C747">
        <v>649163</v>
      </c>
      <c r="D747">
        <v>2033229537</v>
      </c>
      <c r="E747" t="s">
        <v>320</v>
      </c>
      <c r="F747" t="s">
        <v>321</v>
      </c>
      <c r="G747" t="s">
        <v>51</v>
      </c>
      <c r="H747" t="s">
        <v>52</v>
      </c>
      <c r="I747" t="s">
        <v>188</v>
      </c>
      <c r="J747" t="s">
        <v>189</v>
      </c>
      <c r="K747">
        <v>929503</v>
      </c>
      <c r="L747" t="s">
        <v>304</v>
      </c>
      <c r="M747" t="s">
        <v>305</v>
      </c>
      <c r="N747" t="s">
        <v>57</v>
      </c>
      <c r="O747" s="1">
        <v>46054</v>
      </c>
      <c r="Q747" s="1">
        <v>46235</v>
      </c>
      <c r="R747" s="2">
        <v>47.17</v>
      </c>
      <c r="S747">
        <v>1</v>
      </c>
      <c r="T747" t="s">
        <v>58</v>
      </c>
      <c r="U747" t="s">
        <v>59</v>
      </c>
      <c r="V747" s="3">
        <v>0.38</v>
      </c>
      <c r="W747" s="2">
        <v>0</v>
      </c>
      <c r="X747">
        <v>0</v>
      </c>
      <c r="Y747" t="s">
        <v>60</v>
      </c>
      <c r="Z747" t="s">
        <v>248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17.920000000000002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46202</v>
      </c>
      <c r="B748" t="s">
        <v>48</v>
      </c>
      <c r="C748">
        <v>649163</v>
      </c>
      <c r="D748">
        <v>2033259520</v>
      </c>
      <c r="E748" t="s">
        <v>322</v>
      </c>
      <c r="F748" t="s">
        <v>323</v>
      </c>
      <c r="G748" t="s">
        <v>51</v>
      </c>
      <c r="H748" t="s">
        <v>52</v>
      </c>
      <c r="I748" t="s">
        <v>188</v>
      </c>
      <c r="J748" t="s">
        <v>985</v>
      </c>
      <c r="K748">
        <v>650218</v>
      </c>
      <c r="L748" t="s">
        <v>266</v>
      </c>
      <c r="M748" t="s">
        <v>267</v>
      </c>
      <c r="N748" t="s">
        <v>57</v>
      </c>
      <c r="O748" s="1">
        <v>46054</v>
      </c>
      <c r="Q748" s="1">
        <v>46235</v>
      </c>
      <c r="R748" s="2">
        <v>230.06</v>
      </c>
      <c r="S748">
        <v>1</v>
      </c>
      <c r="T748" t="s">
        <v>58</v>
      </c>
      <c r="U748" t="s">
        <v>59</v>
      </c>
      <c r="V748" s="3">
        <v>0.19</v>
      </c>
      <c r="W748" s="2">
        <v>0</v>
      </c>
      <c r="X748">
        <v>0</v>
      </c>
      <c r="Y748" t="s">
        <v>60</v>
      </c>
      <c r="Z748" t="s">
        <v>248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43.71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46202</v>
      </c>
      <c r="B749" t="s">
        <v>48</v>
      </c>
      <c r="C749">
        <v>649163</v>
      </c>
      <c r="D749">
        <v>2033260675</v>
      </c>
      <c r="E749" t="s">
        <v>986</v>
      </c>
      <c r="F749" t="s">
        <v>987</v>
      </c>
      <c r="G749" t="s">
        <v>51</v>
      </c>
      <c r="H749" t="s">
        <v>52</v>
      </c>
      <c r="I749" t="s">
        <v>188</v>
      </c>
      <c r="J749" t="s">
        <v>190</v>
      </c>
      <c r="K749">
        <v>896468</v>
      </c>
      <c r="L749" t="s">
        <v>988</v>
      </c>
      <c r="M749" t="s">
        <v>989</v>
      </c>
      <c r="N749" t="s">
        <v>57</v>
      </c>
      <c r="O749" s="1">
        <v>46054</v>
      </c>
      <c r="Q749" s="1">
        <v>46235</v>
      </c>
      <c r="R749" s="2">
        <v>1309.58</v>
      </c>
      <c r="S749">
        <v>1</v>
      </c>
      <c r="T749" t="s">
        <v>58</v>
      </c>
      <c r="U749" t="s">
        <v>59</v>
      </c>
      <c r="V749" s="3">
        <v>0.08</v>
      </c>
      <c r="W749" s="2">
        <v>0</v>
      </c>
      <c r="X749">
        <v>0</v>
      </c>
      <c r="Y749" t="s">
        <v>60</v>
      </c>
      <c r="Z749" t="s">
        <v>248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104.77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46202</v>
      </c>
      <c r="B750" t="s">
        <v>48</v>
      </c>
      <c r="C750">
        <v>649163</v>
      </c>
      <c r="D750">
        <v>2033260676</v>
      </c>
      <c r="E750" t="s">
        <v>986</v>
      </c>
      <c r="F750" t="s">
        <v>987</v>
      </c>
      <c r="G750" t="s">
        <v>51</v>
      </c>
      <c r="H750" t="s">
        <v>52</v>
      </c>
      <c r="I750" t="s">
        <v>188</v>
      </c>
      <c r="J750" t="s">
        <v>191</v>
      </c>
      <c r="K750">
        <v>896468</v>
      </c>
      <c r="L750" t="s">
        <v>988</v>
      </c>
      <c r="M750" t="s">
        <v>989</v>
      </c>
      <c r="N750" t="s">
        <v>57</v>
      </c>
      <c r="O750" s="1">
        <v>46054</v>
      </c>
      <c r="Q750" s="1">
        <v>46235</v>
      </c>
      <c r="R750" s="2">
        <v>7.09</v>
      </c>
      <c r="S750">
        <v>1</v>
      </c>
      <c r="T750" t="s">
        <v>58</v>
      </c>
      <c r="U750" t="s">
        <v>59</v>
      </c>
      <c r="V750" s="3">
        <v>0.08</v>
      </c>
      <c r="W750" s="2">
        <v>0</v>
      </c>
      <c r="X750">
        <v>0</v>
      </c>
      <c r="Y750" t="s">
        <v>60</v>
      </c>
      <c r="Z750" t="s">
        <v>248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0.56999999999999995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46202</v>
      </c>
      <c r="B751" t="s">
        <v>48</v>
      </c>
      <c r="C751">
        <v>649163</v>
      </c>
      <c r="D751">
        <v>2033286912</v>
      </c>
      <c r="E751" t="s">
        <v>517</v>
      </c>
      <c r="F751" t="s">
        <v>518</v>
      </c>
      <c r="G751" t="s">
        <v>51</v>
      </c>
      <c r="H751" t="s">
        <v>89</v>
      </c>
      <c r="I751" t="s">
        <v>188</v>
      </c>
      <c r="J751" t="s">
        <v>190</v>
      </c>
      <c r="K751">
        <v>824062</v>
      </c>
      <c r="L751" t="s">
        <v>90</v>
      </c>
      <c r="M751" t="s">
        <v>91</v>
      </c>
      <c r="N751" t="s">
        <v>57</v>
      </c>
      <c r="O751" s="1">
        <v>46054</v>
      </c>
      <c r="Q751" s="1">
        <v>46235</v>
      </c>
      <c r="R751" s="2">
        <v>334.65</v>
      </c>
      <c r="S751">
        <v>1</v>
      </c>
      <c r="T751" t="s">
        <v>58</v>
      </c>
      <c r="U751" t="s">
        <v>59</v>
      </c>
      <c r="V751" s="3">
        <v>0.38</v>
      </c>
      <c r="W751" s="2">
        <v>0</v>
      </c>
      <c r="X751">
        <v>0</v>
      </c>
      <c r="Y751" t="s">
        <v>60</v>
      </c>
      <c r="Z751" t="s">
        <v>248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127.17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46202</v>
      </c>
      <c r="B752" t="s">
        <v>48</v>
      </c>
      <c r="C752">
        <v>649163</v>
      </c>
      <c r="D752">
        <v>2033286913</v>
      </c>
      <c r="E752" t="s">
        <v>517</v>
      </c>
      <c r="F752" t="s">
        <v>518</v>
      </c>
      <c r="G752" t="s">
        <v>51</v>
      </c>
      <c r="H752" t="s">
        <v>89</v>
      </c>
      <c r="I752" t="s">
        <v>188</v>
      </c>
      <c r="J752" t="s">
        <v>191</v>
      </c>
      <c r="K752">
        <v>824062</v>
      </c>
      <c r="L752" t="s">
        <v>90</v>
      </c>
      <c r="M752" t="s">
        <v>91</v>
      </c>
      <c r="N752" t="s">
        <v>57</v>
      </c>
      <c r="O752" s="1">
        <v>46054</v>
      </c>
      <c r="Q752" s="1">
        <v>46235</v>
      </c>
      <c r="R752" s="2">
        <v>7.09</v>
      </c>
      <c r="S752">
        <v>1</v>
      </c>
      <c r="T752" t="s">
        <v>58</v>
      </c>
      <c r="U752" t="s">
        <v>59</v>
      </c>
      <c r="V752" s="3">
        <v>0.38</v>
      </c>
      <c r="W752" s="2">
        <v>0</v>
      </c>
      <c r="X752">
        <v>0</v>
      </c>
      <c r="Y752" t="s">
        <v>60</v>
      </c>
      <c r="Z752" t="s">
        <v>248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2.69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46202</v>
      </c>
      <c r="B753" t="s">
        <v>48</v>
      </c>
      <c r="C753">
        <v>649163</v>
      </c>
      <c r="D753">
        <v>2033325944</v>
      </c>
      <c r="E753" t="s">
        <v>632</v>
      </c>
      <c r="F753" t="s">
        <v>633</v>
      </c>
      <c r="G753" t="s">
        <v>51</v>
      </c>
      <c r="H753" t="s">
        <v>89</v>
      </c>
      <c r="I753" t="s">
        <v>188</v>
      </c>
      <c r="J753" t="s">
        <v>190</v>
      </c>
      <c r="K753">
        <v>820873</v>
      </c>
      <c r="L753" t="s">
        <v>153</v>
      </c>
      <c r="M753" t="s">
        <v>154</v>
      </c>
      <c r="N753" t="s">
        <v>57</v>
      </c>
      <c r="O753" s="1">
        <v>46049</v>
      </c>
      <c r="Q753" s="1">
        <v>46230</v>
      </c>
      <c r="R753" s="2">
        <v>268.01</v>
      </c>
      <c r="S753">
        <v>1</v>
      </c>
      <c r="T753" t="s">
        <v>58</v>
      </c>
      <c r="U753" t="s">
        <v>59</v>
      </c>
      <c r="V753" s="3">
        <v>0.38</v>
      </c>
      <c r="W753" s="2">
        <v>0</v>
      </c>
      <c r="X753">
        <v>0</v>
      </c>
      <c r="Y753" t="s">
        <v>60</v>
      </c>
      <c r="Z753" t="s">
        <v>248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101.84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46202</v>
      </c>
      <c r="B754" t="s">
        <v>48</v>
      </c>
      <c r="C754">
        <v>649163</v>
      </c>
      <c r="D754">
        <v>2033325945</v>
      </c>
      <c r="E754" t="s">
        <v>632</v>
      </c>
      <c r="F754" t="s">
        <v>633</v>
      </c>
      <c r="G754" t="s">
        <v>51</v>
      </c>
      <c r="H754" t="s">
        <v>89</v>
      </c>
      <c r="I754" t="s">
        <v>188</v>
      </c>
      <c r="J754" t="s">
        <v>191</v>
      </c>
      <c r="K754">
        <v>820873</v>
      </c>
      <c r="L754" t="s">
        <v>153</v>
      </c>
      <c r="M754" t="s">
        <v>154</v>
      </c>
      <c r="N754" t="s">
        <v>57</v>
      </c>
      <c r="O754" s="1">
        <v>46049</v>
      </c>
      <c r="Q754" s="1">
        <v>46230</v>
      </c>
      <c r="R754" s="2">
        <v>7.09</v>
      </c>
      <c r="S754">
        <v>1</v>
      </c>
      <c r="T754" t="s">
        <v>58</v>
      </c>
      <c r="U754" t="s">
        <v>59</v>
      </c>
      <c r="V754" s="3">
        <v>0.38</v>
      </c>
      <c r="W754" s="2">
        <v>0</v>
      </c>
      <c r="X754">
        <v>0</v>
      </c>
      <c r="Y754" t="s">
        <v>60</v>
      </c>
      <c r="Z754" t="s">
        <v>248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2.69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46202</v>
      </c>
      <c r="B755" t="s">
        <v>48</v>
      </c>
      <c r="C755">
        <v>649163</v>
      </c>
      <c r="D755">
        <v>2033339645</v>
      </c>
      <c r="E755" t="s">
        <v>446</v>
      </c>
      <c r="F755" t="s">
        <v>966</v>
      </c>
      <c r="G755" t="s">
        <v>51</v>
      </c>
      <c r="H755" t="s">
        <v>52</v>
      </c>
      <c r="I755" t="s">
        <v>188</v>
      </c>
      <c r="J755" t="s">
        <v>189</v>
      </c>
      <c r="K755">
        <v>650218</v>
      </c>
      <c r="L755" t="s">
        <v>266</v>
      </c>
      <c r="M755" t="s">
        <v>267</v>
      </c>
      <c r="N755" t="s">
        <v>57</v>
      </c>
      <c r="O755" s="1">
        <v>46054</v>
      </c>
      <c r="Q755" s="1">
        <v>46235</v>
      </c>
      <c r="R755" s="2">
        <v>21.97</v>
      </c>
      <c r="S755">
        <v>1</v>
      </c>
      <c r="T755" t="s">
        <v>58</v>
      </c>
      <c r="U755" t="s">
        <v>59</v>
      </c>
      <c r="V755" s="3">
        <v>0.38</v>
      </c>
      <c r="W755" s="2">
        <v>0</v>
      </c>
      <c r="X755">
        <v>0</v>
      </c>
      <c r="Y755" t="s">
        <v>60</v>
      </c>
      <c r="Z755" t="s">
        <v>248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8.35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46202</v>
      </c>
      <c r="B756" t="s">
        <v>48</v>
      </c>
      <c r="C756">
        <v>649163</v>
      </c>
      <c r="D756">
        <v>2033352570</v>
      </c>
      <c r="E756" t="s">
        <v>990</v>
      </c>
      <c r="F756" t="s">
        <v>991</v>
      </c>
      <c r="G756" t="s">
        <v>51</v>
      </c>
      <c r="H756" t="s">
        <v>52</v>
      </c>
      <c r="I756" t="s">
        <v>188</v>
      </c>
      <c r="J756" t="s">
        <v>189</v>
      </c>
      <c r="K756">
        <v>650218</v>
      </c>
      <c r="L756" t="s">
        <v>266</v>
      </c>
      <c r="M756" t="s">
        <v>267</v>
      </c>
      <c r="N756" t="s">
        <v>57</v>
      </c>
      <c r="O756" s="1">
        <v>46054</v>
      </c>
      <c r="Q756" s="1">
        <v>46235</v>
      </c>
      <c r="R756" s="2">
        <v>55.16</v>
      </c>
      <c r="S756">
        <v>1</v>
      </c>
      <c r="T756" t="s">
        <v>58</v>
      </c>
      <c r="U756" t="s">
        <v>59</v>
      </c>
      <c r="V756" s="3">
        <v>0.38</v>
      </c>
      <c r="W756" s="2">
        <v>0</v>
      </c>
      <c r="X756">
        <v>0</v>
      </c>
      <c r="Y756" t="s">
        <v>60</v>
      </c>
      <c r="Z756" t="s">
        <v>248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20.96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46202</v>
      </c>
      <c r="B757" t="s">
        <v>48</v>
      </c>
      <c r="C757">
        <v>649163</v>
      </c>
      <c r="D757">
        <v>2033372022</v>
      </c>
      <c r="E757" t="s">
        <v>992</v>
      </c>
      <c r="F757" t="s">
        <v>529</v>
      </c>
      <c r="G757" t="s">
        <v>51</v>
      </c>
      <c r="H757" t="s">
        <v>52</v>
      </c>
      <c r="I757" t="s">
        <v>188</v>
      </c>
      <c r="J757" t="s">
        <v>189</v>
      </c>
      <c r="K757">
        <v>929503</v>
      </c>
      <c r="L757" t="s">
        <v>304</v>
      </c>
      <c r="M757" t="s">
        <v>305</v>
      </c>
      <c r="N757" t="s">
        <v>57</v>
      </c>
      <c r="O757" s="1">
        <v>46054</v>
      </c>
      <c r="Q757" s="1">
        <v>46235</v>
      </c>
      <c r="R757" s="2">
        <v>25.65</v>
      </c>
      <c r="S757">
        <v>1</v>
      </c>
      <c r="T757" t="s">
        <v>58</v>
      </c>
      <c r="U757" t="s">
        <v>59</v>
      </c>
      <c r="V757" s="3">
        <v>0.38</v>
      </c>
      <c r="W757" s="2">
        <v>0</v>
      </c>
      <c r="X757">
        <v>0</v>
      </c>
      <c r="Y757" t="s">
        <v>60</v>
      </c>
      <c r="Z757" t="s">
        <v>248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9.75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46202</v>
      </c>
      <c r="B758" t="s">
        <v>48</v>
      </c>
      <c r="C758">
        <v>649163</v>
      </c>
      <c r="D758">
        <v>2033407840</v>
      </c>
      <c r="E758" t="s">
        <v>968</v>
      </c>
      <c r="F758" t="s">
        <v>969</v>
      </c>
      <c r="G758" t="s">
        <v>51</v>
      </c>
      <c r="H758" t="s">
        <v>52</v>
      </c>
      <c r="I758" t="s">
        <v>188</v>
      </c>
      <c r="J758" t="s">
        <v>189</v>
      </c>
      <c r="K758">
        <v>650218</v>
      </c>
      <c r="L758" t="s">
        <v>266</v>
      </c>
      <c r="M758" t="s">
        <v>267</v>
      </c>
      <c r="N758" t="s">
        <v>57</v>
      </c>
      <c r="O758" s="1">
        <v>46054</v>
      </c>
      <c r="Q758" s="1">
        <v>46235</v>
      </c>
      <c r="R758" s="2">
        <v>68.040000000000006</v>
      </c>
      <c r="S758">
        <v>1</v>
      </c>
      <c r="T758" t="s">
        <v>58</v>
      </c>
      <c r="U758" t="s">
        <v>59</v>
      </c>
      <c r="V758" s="3">
        <v>0.38</v>
      </c>
      <c r="W758" s="2">
        <v>0</v>
      </c>
      <c r="X758">
        <v>0</v>
      </c>
      <c r="Y758" t="s">
        <v>60</v>
      </c>
      <c r="Z758" t="s">
        <v>248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25.86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46202</v>
      </c>
      <c r="B759" t="s">
        <v>48</v>
      </c>
      <c r="C759">
        <v>649163</v>
      </c>
      <c r="D759">
        <v>2033410887</v>
      </c>
      <c r="E759" t="s">
        <v>820</v>
      </c>
      <c r="F759" t="s">
        <v>821</v>
      </c>
      <c r="G759" t="s">
        <v>51</v>
      </c>
      <c r="H759" t="s">
        <v>52</v>
      </c>
      <c r="I759" t="s">
        <v>188</v>
      </c>
      <c r="J759" t="s">
        <v>189</v>
      </c>
      <c r="K759">
        <v>751867</v>
      </c>
      <c r="L759" t="s">
        <v>272</v>
      </c>
      <c r="M759" t="s">
        <v>209</v>
      </c>
      <c r="N759" t="s">
        <v>57</v>
      </c>
      <c r="O759" s="1">
        <v>46054</v>
      </c>
      <c r="Q759" s="1">
        <v>46235</v>
      </c>
      <c r="R759" s="2">
        <v>19.309999999999999</v>
      </c>
      <c r="S759">
        <v>1</v>
      </c>
      <c r="T759" t="s">
        <v>58</v>
      </c>
      <c r="U759" t="s">
        <v>59</v>
      </c>
      <c r="V759" s="3">
        <v>0.38</v>
      </c>
      <c r="W759" s="2">
        <v>0</v>
      </c>
      <c r="X759">
        <v>0</v>
      </c>
      <c r="Y759" t="s">
        <v>60</v>
      </c>
      <c r="Z759" t="s">
        <v>248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7.34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46202</v>
      </c>
      <c r="B760" t="s">
        <v>48</v>
      </c>
      <c r="C760">
        <v>649163</v>
      </c>
      <c r="D760">
        <v>2033416940</v>
      </c>
      <c r="E760" t="s">
        <v>553</v>
      </c>
      <c r="F760" t="s">
        <v>554</v>
      </c>
      <c r="G760" t="s">
        <v>51</v>
      </c>
      <c r="H760" t="s">
        <v>94</v>
      </c>
      <c r="I760" t="s">
        <v>188</v>
      </c>
      <c r="J760" t="s">
        <v>189</v>
      </c>
      <c r="K760">
        <v>816021</v>
      </c>
      <c r="L760" t="s">
        <v>80</v>
      </c>
      <c r="M760" t="s">
        <v>81</v>
      </c>
      <c r="N760" t="s">
        <v>57</v>
      </c>
      <c r="O760" s="1">
        <v>46053</v>
      </c>
      <c r="Q760" s="1">
        <v>46233</v>
      </c>
      <c r="R760" s="2">
        <v>13.63</v>
      </c>
      <c r="S760">
        <v>1</v>
      </c>
      <c r="T760" t="s">
        <v>58</v>
      </c>
      <c r="U760" t="s">
        <v>59</v>
      </c>
      <c r="V760" s="3">
        <v>0.38</v>
      </c>
      <c r="W760" s="2">
        <v>0</v>
      </c>
      <c r="X760">
        <v>0</v>
      </c>
      <c r="Y760" t="s">
        <v>60</v>
      </c>
      <c r="Z760" t="s">
        <v>248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5.18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46202</v>
      </c>
      <c r="B761" t="s">
        <v>48</v>
      </c>
      <c r="C761">
        <v>649163</v>
      </c>
      <c r="D761">
        <v>2033434211</v>
      </c>
      <c r="E761" t="s">
        <v>641</v>
      </c>
      <c r="F761" t="s">
        <v>642</v>
      </c>
      <c r="G761" t="s">
        <v>51</v>
      </c>
      <c r="H761" t="s">
        <v>89</v>
      </c>
      <c r="I761" t="s">
        <v>188</v>
      </c>
      <c r="J761" t="s">
        <v>190</v>
      </c>
      <c r="K761">
        <v>812994</v>
      </c>
      <c r="L761" t="s">
        <v>615</v>
      </c>
      <c r="M761" t="s">
        <v>616</v>
      </c>
      <c r="N761" t="s">
        <v>57</v>
      </c>
      <c r="O761" s="1">
        <v>46054</v>
      </c>
      <c r="Q761" s="1">
        <v>46235</v>
      </c>
      <c r="R761" s="2">
        <v>326.14</v>
      </c>
      <c r="S761">
        <v>1</v>
      </c>
      <c r="T761" t="s">
        <v>58</v>
      </c>
      <c r="U761" t="s">
        <v>59</v>
      </c>
      <c r="V761" s="3">
        <v>0.38</v>
      </c>
      <c r="W761" s="2">
        <v>0</v>
      </c>
      <c r="X761">
        <v>0</v>
      </c>
      <c r="Y761" t="s">
        <v>60</v>
      </c>
      <c r="Z761" t="s">
        <v>248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123.93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46202</v>
      </c>
      <c r="B762" t="s">
        <v>48</v>
      </c>
      <c r="C762">
        <v>649163</v>
      </c>
      <c r="D762">
        <v>2033572207</v>
      </c>
      <c r="E762" t="s">
        <v>643</v>
      </c>
      <c r="F762" t="s">
        <v>644</v>
      </c>
      <c r="G762" t="s">
        <v>51</v>
      </c>
      <c r="H762" t="s">
        <v>311</v>
      </c>
      <c r="I762" t="s">
        <v>188</v>
      </c>
      <c r="J762" t="s">
        <v>190</v>
      </c>
      <c r="K762">
        <v>902625</v>
      </c>
      <c r="L762" t="s">
        <v>147</v>
      </c>
      <c r="M762" t="s">
        <v>148</v>
      </c>
      <c r="N762" t="s">
        <v>57</v>
      </c>
      <c r="O762" s="1">
        <v>46063</v>
      </c>
      <c r="Q762" s="1">
        <v>46213</v>
      </c>
      <c r="R762" s="2">
        <v>311.67</v>
      </c>
      <c r="S762">
        <v>1</v>
      </c>
      <c r="T762" t="s">
        <v>58</v>
      </c>
      <c r="U762" t="s">
        <v>59</v>
      </c>
      <c r="V762" s="3">
        <v>0.38</v>
      </c>
      <c r="W762" s="2">
        <v>0</v>
      </c>
      <c r="X762">
        <v>0</v>
      </c>
      <c r="Y762" t="s">
        <v>60</v>
      </c>
      <c r="Z762" t="s">
        <v>248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118.43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46202</v>
      </c>
      <c r="B763" t="s">
        <v>48</v>
      </c>
      <c r="C763">
        <v>649163</v>
      </c>
      <c r="D763">
        <v>2033572208</v>
      </c>
      <c r="E763" t="s">
        <v>643</v>
      </c>
      <c r="F763" t="s">
        <v>644</v>
      </c>
      <c r="G763" t="s">
        <v>51</v>
      </c>
      <c r="H763" t="s">
        <v>311</v>
      </c>
      <c r="I763" t="s">
        <v>188</v>
      </c>
      <c r="J763" t="s">
        <v>191</v>
      </c>
      <c r="K763">
        <v>902625</v>
      </c>
      <c r="L763" t="s">
        <v>147</v>
      </c>
      <c r="M763" t="s">
        <v>148</v>
      </c>
      <c r="N763" t="s">
        <v>57</v>
      </c>
      <c r="O763" s="1">
        <v>46063</v>
      </c>
      <c r="Q763" s="1">
        <v>46213</v>
      </c>
      <c r="R763" s="2">
        <v>7.09</v>
      </c>
      <c r="S763">
        <v>1</v>
      </c>
      <c r="T763" t="s">
        <v>58</v>
      </c>
      <c r="U763" t="s">
        <v>59</v>
      </c>
      <c r="V763" s="3">
        <v>0.38</v>
      </c>
      <c r="W763" s="2">
        <v>0</v>
      </c>
      <c r="X763">
        <v>0</v>
      </c>
      <c r="Y763" t="s">
        <v>60</v>
      </c>
      <c r="Z763" t="s">
        <v>248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2.69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46202</v>
      </c>
      <c r="B764" t="s">
        <v>48</v>
      </c>
      <c r="C764">
        <v>649163</v>
      </c>
      <c r="D764">
        <v>2033612292</v>
      </c>
      <c r="E764" t="s">
        <v>645</v>
      </c>
      <c r="F764" t="s">
        <v>646</v>
      </c>
      <c r="G764" t="s">
        <v>51</v>
      </c>
      <c r="H764" t="s">
        <v>89</v>
      </c>
      <c r="I764" t="s">
        <v>188</v>
      </c>
      <c r="J764" t="s">
        <v>190</v>
      </c>
      <c r="K764">
        <v>812994</v>
      </c>
      <c r="L764" t="s">
        <v>615</v>
      </c>
      <c r="M764" t="s">
        <v>616</v>
      </c>
      <c r="N764" t="s">
        <v>257</v>
      </c>
      <c r="O764" s="1">
        <v>46065</v>
      </c>
      <c r="P764" s="1">
        <v>46202</v>
      </c>
      <c r="Q764" s="1">
        <v>46215</v>
      </c>
      <c r="R764" s="2">
        <v>-51.42</v>
      </c>
      <c r="S764">
        <v>1</v>
      </c>
      <c r="T764" t="s">
        <v>58</v>
      </c>
      <c r="U764" t="s">
        <v>59</v>
      </c>
      <c r="V764" s="3">
        <v>0.38</v>
      </c>
      <c r="W764" s="2">
        <v>0</v>
      </c>
      <c r="X764">
        <v>-1</v>
      </c>
      <c r="Y764" t="s">
        <v>60</v>
      </c>
      <c r="Z764" t="s">
        <v>248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-19.54</v>
      </c>
      <c r="AN764" s="2">
        <v>-19.54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46202</v>
      </c>
      <c r="B765" t="s">
        <v>48</v>
      </c>
      <c r="C765">
        <v>649163</v>
      </c>
      <c r="D765">
        <v>2035095472</v>
      </c>
      <c r="E765" t="s">
        <v>571</v>
      </c>
      <c r="F765" t="s">
        <v>572</v>
      </c>
      <c r="G765" t="s">
        <v>51</v>
      </c>
      <c r="H765" t="s">
        <v>94</v>
      </c>
      <c r="I765" t="s">
        <v>188</v>
      </c>
      <c r="J765" t="s">
        <v>189</v>
      </c>
      <c r="K765">
        <v>824082</v>
      </c>
      <c r="L765" t="s">
        <v>129</v>
      </c>
      <c r="M765" t="s">
        <v>130</v>
      </c>
      <c r="N765" t="s">
        <v>257</v>
      </c>
      <c r="O765" s="1">
        <v>46143</v>
      </c>
      <c r="P765" s="1">
        <v>46202</v>
      </c>
      <c r="Q765" s="1">
        <v>46204</v>
      </c>
      <c r="R765" s="2">
        <v>-8.73</v>
      </c>
      <c r="S765">
        <v>1</v>
      </c>
      <c r="T765" t="s">
        <v>58</v>
      </c>
      <c r="U765" t="s">
        <v>59</v>
      </c>
      <c r="V765" s="3">
        <v>0.38</v>
      </c>
      <c r="W765" s="2">
        <v>0</v>
      </c>
      <c r="X765">
        <v>-1</v>
      </c>
      <c r="Y765" t="s">
        <v>60</v>
      </c>
      <c r="Z765" t="s">
        <v>248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-3.32</v>
      </c>
      <c r="AN765" s="2">
        <v>-3.32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46202</v>
      </c>
      <c r="B766" t="s">
        <v>48</v>
      </c>
      <c r="C766">
        <v>649163</v>
      </c>
      <c r="D766">
        <v>2035165393</v>
      </c>
      <c r="E766" t="s">
        <v>647</v>
      </c>
      <c r="F766" t="s">
        <v>648</v>
      </c>
      <c r="G766" t="s">
        <v>51</v>
      </c>
      <c r="H766" t="s">
        <v>100</v>
      </c>
      <c r="I766" t="s">
        <v>188</v>
      </c>
      <c r="J766" t="s">
        <v>189</v>
      </c>
      <c r="K766">
        <v>650218</v>
      </c>
      <c r="L766" t="s">
        <v>266</v>
      </c>
      <c r="M766" t="s">
        <v>267</v>
      </c>
      <c r="N766" t="s">
        <v>57</v>
      </c>
      <c r="O766" s="1">
        <v>46141</v>
      </c>
      <c r="Q766" s="1">
        <v>46232</v>
      </c>
      <c r="R766" s="2">
        <v>39.28</v>
      </c>
      <c r="S766">
        <v>1</v>
      </c>
      <c r="T766" t="s">
        <v>58</v>
      </c>
      <c r="U766" t="s">
        <v>59</v>
      </c>
      <c r="V766" s="3">
        <v>0.38</v>
      </c>
      <c r="W766" s="2">
        <v>0</v>
      </c>
      <c r="X766">
        <v>0</v>
      </c>
      <c r="Y766" t="s">
        <v>60</v>
      </c>
      <c r="Z766" t="s">
        <v>248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14.93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46202</v>
      </c>
      <c r="B767" t="s">
        <v>48</v>
      </c>
      <c r="C767">
        <v>649163</v>
      </c>
      <c r="D767">
        <v>2035201716</v>
      </c>
      <c r="E767" t="s">
        <v>651</v>
      </c>
      <c r="F767" t="s">
        <v>132</v>
      </c>
      <c r="G767" t="s">
        <v>51</v>
      </c>
      <c r="H767" t="s">
        <v>89</v>
      </c>
      <c r="I767" t="s">
        <v>188</v>
      </c>
      <c r="J767" t="s">
        <v>190</v>
      </c>
      <c r="K767">
        <v>812656</v>
      </c>
      <c r="L767" t="s">
        <v>186</v>
      </c>
      <c r="M767" t="s">
        <v>187</v>
      </c>
      <c r="N767" t="s">
        <v>57</v>
      </c>
      <c r="O767" s="1">
        <v>46142</v>
      </c>
      <c r="Q767" s="1">
        <v>46233</v>
      </c>
      <c r="R767" s="2">
        <v>95.94</v>
      </c>
      <c r="S767">
        <v>1</v>
      </c>
      <c r="T767" t="s">
        <v>58</v>
      </c>
      <c r="U767" t="s">
        <v>59</v>
      </c>
      <c r="V767" s="3">
        <v>0.38</v>
      </c>
      <c r="W767" s="2">
        <v>0</v>
      </c>
      <c r="X767">
        <v>0</v>
      </c>
      <c r="Y767" t="s">
        <v>60</v>
      </c>
      <c r="Z767" t="s">
        <v>248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36.46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46202</v>
      </c>
      <c r="B768" t="s">
        <v>48</v>
      </c>
      <c r="C768">
        <v>649163</v>
      </c>
      <c r="D768">
        <v>2035257012</v>
      </c>
      <c r="E768" t="s">
        <v>652</v>
      </c>
      <c r="F768" t="s">
        <v>653</v>
      </c>
      <c r="G768" t="s">
        <v>51</v>
      </c>
      <c r="H768" t="s">
        <v>89</v>
      </c>
      <c r="I768" t="s">
        <v>188</v>
      </c>
      <c r="J768" t="s">
        <v>190</v>
      </c>
      <c r="K768">
        <v>768887</v>
      </c>
      <c r="L768" t="s">
        <v>368</v>
      </c>
      <c r="M768" t="s">
        <v>369</v>
      </c>
      <c r="N768" t="s">
        <v>57</v>
      </c>
      <c r="O768" s="1">
        <v>46144</v>
      </c>
      <c r="Q768" s="1">
        <v>46236</v>
      </c>
      <c r="R768" s="2">
        <v>172.55</v>
      </c>
      <c r="S768">
        <v>1</v>
      </c>
      <c r="T768" t="s">
        <v>58</v>
      </c>
      <c r="U768" t="s">
        <v>59</v>
      </c>
      <c r="V768" s="3">
        <v>0.38</v>
      </c>
      <c r="W768" s="2">
        <v>0</v>
      </c>
      <c r="X768">
        <v>0</v>
      </c>
      <c r="Y768" t="s">
        <v>60</v>
      </c>
      <c r="Z768" t="s">
        <v>248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65.569999999999993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46202</v>
      </c>
      <c r="B769" t="s">
        <v>48</v>
      </c>
      <c r="C769">
        <v>649163</v>
      </c>
      <c r="D769">
        <v>2035257013</v>
      </c>
      <c r="E769" t="s">
        <v>652</v>
      </c>
      <c r="F769" t="s">
        <v>653</v>
      </c>
      <c r="G769" t="s">
        <v>51</v>
      </c>
      <c r="H769" t="s">
        <v>89</v>
      </c>
      <c r="I769" t="s">
        <v>188</v>
      </c>
      <c r="J769" t="s">
        <v>189</v>
      </c>
      <c r="K769">
        <v>768887</v>
      </c>
      <c r="L769" t="s">
        <v>368</v>
      </c>
      <c r="M769" t="s">
        <v>369</v>
      </c>
      <c r="N769" t="s">
        <v>57</v>
      </c>
      <c r="O769" s="1">
        <v>46144</v>
      </c>
      <c r="Q769" s="1">
        <v>46236</v>
      </c>
      <c r="R769" s="2">
        <v>13.38</v>
      </c>
      <c r="S769">
        <v>1</v>
      </c>
      <c r="T769" t="s">
        <v>58</v>
      </c>
      <c r="U769" t="s">
        <v>59</v>
      </c>
      <c r="V769" s="3">
        <v>0.38</v>
      </c>
      <c r="W769" s="2">
        <v>0</v>
      </c>
      <c r="X769">
        <v>0</v>
      </c>
      <c r="Y769" t="s">
        <v>60</v>
      </c>
      <c r="Z769" t="s">
        <v>248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5.08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46202</v>
      </c>
      <c r="B770" t="s">
        <v>48</v>
      </c>
      <c r="C770">
        <v>649163</v>
      </c>
      <c r="D770">
        <v>2035257014</v>
      </c>
      <c r="E770" t="s">
        <v>652</v>
      </c>
      <c r="F770" t="s">
        <v>653</v>
      </c>
      <c r="G770" t="s">
        <v>51</v>
      </c>
      <c r="H770" t="s">
        <v>89</v>
      </c>
      <c r="I770" t="s">
        <v>188</v>
      </c>
      <c r="J770" t="s">
        <v>191</v>
      </c>
      <c r="K770">
        <v>768887</v>
      </c>
      <c r="L770" t="s">
        <v>368</v>
      </c>
      <c r="M770" t="s">
        <v>369</v>
      </c>
      <c r="N770" t="s">
        <v>57</v>
      </c>
      <c r="O770" s="1">
        <v>46144</v>
      </c>
      <c r="Q770" s="1">
        <v>46236</v>
      </c>
      <c r="R770" s="2">
        <v>7.09</v>
      </c>
      <c r="S770">
        <v>1</v>
      </c>
      <c r="T770" t="s">
        <v>58</v>
      </c>
      <c r="U770" t="s">
        <v>59</v>
      </c>
      <c r="V770" s="3">
        <v>0.38</v>
      </c>
      <c r="W770" s="2">
        <v>0</v>
      </c>
      <c r="X770">
        <v>0</v>
      </c>
      <c r="Y770" t="s">
        <v>60</v>
      </c>
      <c r="Z770" t="s">
        <v>248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2.69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46202</v>
      </c>
      <c r="B771" t="s">
        <v>48</v>
      </c>
      <c r="C771">
        <v>649163</v>
      </c>
      <c r="D771">
        <v>2035554500</v>
      </c>
      <c r="E771" t="s">
        <v>993</v>
      </c>
      <c r="F771" t="s">
        <v>994</v>
      </c>
      <c r="G771" t="s">
        <v>51</v>
      </c>
      <c r="H771" t="s">
        <v>52</v>
      </c>
      <c r="I771" t="s">
        <v>188</v>
      </c>
      <c r="J771" t="s">
        <v>189</v>
      </c>
      <c r="K771">
        <v>881253</v>
      </c>
      <c r="L771" t="s">
        <v>995</v>
      </c>
      <c r="M771" t="s">
        <v>996</v>
      </c>
      <c r="N771" t="s">
        <v>57</v>
      </c>
      <c r="O771" s="1">
        <v>46173</v>
      </c>
      <c r="Q771" s="1">
        <v>46233</v>
      </c>
      <c r="R771" s="2">
        <v>21.97</v>
      </c>
      <c r="S771">
        <v>1</v>
      </c>
      <c r="T771" t="s">
        <v>58</v>
      </c>
      <c r="U771" t="s">
        <v>59</v>
      </c>
      <c r="V771" s="3">
        <v>0.38</v>
      </c>
      <c r="W771" s="2">
        <v>0</v>
      </c>
      <c r="X771">
        <v>0</v>
      </c>
      <c r="Y771" t="s">
        <v>60</v>
      </c>
      <c r="Z771" t="s">
        <v>248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8.35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46202</v>
      </c>
      <c r="B772" t="s">
        <v>48</v>
      </c>
      <c r="C772">
        <v>649163</v>
      </c>
      <c r="D772">
        <v>2035685084</v>
      </c>
      <c r="E772" t="s">
        <v>471</v>
      </c>
      <c r="F772" t="s">
        <v>319</v>
      </c>
      <c r="G772" t="s">
        <v>51</v>
      </c>
      <c r="H772" t="s">
        <v>100</v>
      </c>
      <c r="I772" t="s">
        <v>188</v>
      </c>
      <c r="J772" t="s">
        <v>190</v>
      </c>
      <c r="K772">
        <v>650218</v>
      </c>
      <c r="L772" t="s">
        <v>266</v>
      </c>
      <c r="M772" t="s">
        <v>267</v>
      </c>
      <c r="N772" t="s">
        <v>57</v>
      </c>
      <c r="O772" s="1">
        <v>46170</v>
      </c>
      <c r="Q772" s="1">
        <v>46231</v>
      </c>
      <c r="R772" s="2">
        <v>328.85</v>
      </c>
      <c r="S772">
        <v>1</v>
      </c>
      <c r="T772" t="s">
        <v>58</v>
      </c>
      <c r="U772" t="s">
        <v>59</v>
      </c>
      <c r="V772" s="3">
        <v>0.38</v>
      </c>
      <c r="W772" s="2">
        <v>0</v>
      </c>
      <c r="X772">
        <v>0</v>
      </c>
      <c r="Y772" t="s">
        <v>60</v>
      </c>
      <c r="Z772" t="s">
        <v>248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124.96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46202</v>
      </c>
      <c r="B773" t="s">
        <v>48</v>
      </c>
      <c r="C773">
        <v>649163</v>
      </c>
      <c r="D773">
        <v>2035831647</v>
      </c>
      <c r="E773" t="s">
        <v>578</v>
      </c>
      <c r="F773" t="s">
        <v>579</v>
      </c>
      <c r="G773" t="s">
        <v>51</v>
      </c>
      <c r="H773" t="s">
        <v>332</v>
      </c>
      <c r="I773" t="s">
        <v>188</v>
      </c>
      <c r="J773" t="s">
        <v>189</v>
      </c>
      <c r="K773">
        <v>824082</v>
      </c>
      <c r="L773" t="s">
        <v>129</v>
      </c>
      <c r="M773" t="s">
        <v>130</v>
      </c>
      <c r="N773" t="s">
        <v>257</v>
      </c>
      <c r="O773" s="1">
        <v>46177</v>
      </c>
      <c r="P773" s="1">
        <v>46202</v>
      </c>
      <c r="Q773" s="1">
        <v>46207</v>
      </c>
      <c r="R773" s="2">
        <v>-14.69</v>
      </c>
      <c r="S773">
        <v>1</v>
      </c>
      <c r="T773" t="s">
        <v>58</v>
      </c>
      <c r="U773" t="s">
        <v>59</v>
      </c>
      <c r="V773" s="3">
        <v>0.38</v>
      </c>
      <c r="W773" s="2">
        <v>0</v>
      </c>
      <c r="X773">
        <v>-1</v>
      </c>
      <c r="Y773" t="s">
        <v>60</v>
      </c>
      <c r="Z773" t="s">
        <v>248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-5.58</v>
      </c>
      <c r="AN773" s="2">
        <v>-5.58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46202</v>
      </c>
      <c r="B774" t="s">
        <v>48</v>
      </c>
      <c r="C774">
        <v>649163</v>
      </c>
      <c r="D774">
        <v>2036006840</v>
      </c>
      <c r="E774" t="s">
        <v>904</v>
      </c>
      <c r="F774" t="s">
        <v>379</v>
      </c>
      <c r="G774" t="s">
        <v>51</v>
      </c>
      <c r="H774" t="s">
        <v>52</v>
      </c>
      <c r="I774" t="s">
        <v>188</v>
      </c>
      <c r="J774" t="s">
        <v>190</v>
      </c>
      <c r="K774">
        <v>929503</v>
      </c>
      <c r="L774" t="s">
        <v>304</v>
      </c>
      <c r="M774" t="s">
        <v>305</v>
      </c>
      <c r="N774" t="s">
        <v>257</v>
      </c>
      <c r="O774" s="1">
        <v>46186</v>
      </c>
      <c r="P774" s="1">
        <v>46202</v>
      </c>
      <c r="Q774" s="1">
        <v>46216</v>
      </c>
      <c r="R774" s="2">
        <v>-224.57</v>
      </c>
      <c r="S774">
        <v>1</v>
      </c>
      <c r="T774" t="s">
        <v>58</v>
      </c>
      <c r="U774" t="s">
        <v>59</v>
      </c>
      <c r="V774" s="3">
        <v>0.38</v>
      </c>
      <c r="W774" s="2">
        <v>0</v>
      </c>
      <c r="X774">
        <v>-1</v>
      </c>
      <c r="Y774" t="s">
        <v>60</v>
      </c>
      <c r="Z774" t="s">
        <v>248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-85.34</v>
      </c>
      <c r="AN774" s="2">
        <v>-85.34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46202</v>
      </c>
      <c r="B775" t="s">
        <v>48</v>
      </c>
      <c r="C775">
        <v>649163</v>
      </c>
      <c r="D775">
        <v>2036006841</v>
      </c>
      <c r="E775" t="s">
        <v>904</v>
      </c>
      <c r="F775" t="s">
        <v>379</v>
      </c>
      <c r="G775" t="s">
        <v>51</v>
      </c>
      <c r="H775" t="s">
        <v>52</v>
      </c>
      <c r="I775" t="s">
        <v>188</v>
      </c>
      <c r="J775" t="s">
        <v>191</v>
      </c>
      <c r="K775">
        <v>929503</v>
      </c>
      <c r="L775" t="s">
        <v>304</v>
      </c>
      <c r="M775" t="s">
        <v>305</v>
      </c>
      <c r="N775" t="s">
        <v>257</v>
      </c>
      <c r="O775" s="1">
        <v>46186</v>
      </c>
      <c r="P775" s="1">
        <v>46202</v>
      </c>
      <c r="Q775" s="1">
        <v>46216</v>
      </c>
      <c r="R775" s="2">
        <v>-9.9499999999999993</v>
      </c>
      <c r="S775">
        <v>1</v>
      </c>
      <c r="T775" t="s">
        <v>58</v>
      </c>
      <c r="U775" t="s">
        <v>59</v>
      </c>
      <c r="V775" s="3">
        <v>0.38</v>
      </c>
      <c r="W775" s="2">
        <v>0</v>
      </c>
      <c r="X775">
        <v>-1</v>
      </c>
      <c r="Y775" t="s">
        <v>60</v>
      </c>
      <c r="Z775" t="s">
        <v>248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-3.78</v>
      </c>
      <c r="AN775" s="2">
        <v>-3.78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46202</v>
      </c>
      <c r="B776" t="s">
        <v>48</v>
      </c>
      <c r="C776">
        <v>649163</v>
      </c>
      <c r="D776">
        <v>2024464933</v>
      </c>
      <c r="E776" t="s">
        <v>872</v>
      </c>
      <c r="F776" t="s">
        <v>873</v>
      </c>
      <c r="G776" t="s">
        <v>51</v>
      </c>
      <c r="H776" t="s">
        <v>89</v>
      </c>
      <c r="I776" t="s">
        <v>997</v>
      </c>
      <c r="J776" t="s">
        <v>998</v>
      </c>
      <c r="K776">
        <v>766422</v>
      </c>
      <c r="L776" t="s">
        <v>612</v>
      </c>
      <c r="M776" t="s">
        <v>211</v>
      </c>
      <c r="N776" t="s">
        <v>57</v>
      </c>
      <c r="O776" s="1">
        <v>45527</v>
      </c>
      <c r="Q776" s="1">
        <v>46226</v>
      </c>
      <c r="R776" s="2">
        <v>114.17</v>
      </c>
      <c r="S776">
        <v>1</v>
      </c>
      <c r="T776" t="s">
        <v>58</v>
      </c>
      <c r="U776" t="s">
        <v>246</v>
      </c>
      <c r="V776" s="3">
        <v>0.26</v>
      </c>
      <c r="W776" s="2">
        <v>0</v>
      </c>
      <c r="X776">
        <v>0</v>
      </c>
      <c r="Y776" t="s">
        <v>247</v>
      </c>
      <c r="Z776" t="s">
        <v>248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29.68</v>
      </c>
      <c r="AN776" s="2">
        <v>29.68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46202</v>
      </c>
      <c r="B777" t="s">
        <v>48</v>
      </c>
      <c r="C777">
        <v>649163</v>
      </c>
      <c r="D777">
        <v>2016956443</v>
      </c>
      <c r="E777" t="s">
        <v>656</v>
      </c>
      <c r="F777" t="s">
        <v>478</v>
      </c>
      <c r="G777" t="s">
        <v>51</v>
      </c>
      <c r="H777" t="s">
        <v>100</v>
      </c>
      <c r="I777" t="s">
        <v>194</v>
      </c>
      <c r="J777" t="s">
        <v>195</v>
      </c>
      <c r="K777">
        <v>649793</v>
      </c>
      <c r="L777" t="s">
        <v>102</v>
      </c>
      <c r="M777" t="s">
        <v>333</v>
      </c>
      <c r="N777" t="s">
        <v>57</v>
      </c>
      <c r="O777" s="1">
        <v>44958</v>
      </c>
      <c r="Q777" s="1">
        <v>46235</v>
      </c>
      <c r="R777" s="2">
        <v>80.73</v>
      </c>
      <c r="S777">
        <v>1</v>
      </c>
      <c r="T777" t="s">
        <v>58</v>
      </c>
      <c r="U777" t="s">
        <v>246</v>
      </c>
      <c r="V777" s="3">
        <v>0.15</v>
      </c>
      <c r="W777" s="2">
        <v>0</v>
      </c>
      <c r="X777">
        <v>0</v>
      </c>
      <c r="Y777" t="s">
        <v>247</v>
      </c>
      <c r="Z777" t="s">
        <v>248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12.11</v>
      </c>
      <c r="AN777" s="2">
        <v>12.11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46202</v>
      </c>
      <c r="B778" t="s">
        <v>48</v>
      </c>
      <c r="C778">
        <v>649163</v>
      </c>
      <c r="D778">
        <v>2017327782</v>
      </c>
      <c r="E778" t="s">
        <v>999</v>
      </c>
      <c r="F778" t="s">
        <v>691</v>
      </c>
      <c r="G778" t="s">
        <v>51</v>
      </c>
      <c r="H778" t="s">
        <v>68</v>
      </c>
      <c r="I778" t="s">
        <v>194</v>
      </c>
      <c r="J778" t="s">
        <v>881</v>
      </c>
      <c r="K778">
        <v>649793</v>
      </c>
      <c r="L778" t="s">
        <v>102</v>
      </c>
      <c r="M778" t="s">
        <v>333</v>
      </c>
      <c r="N778" t="s">
        <v>57</v>
      </c>
      <c r="O778" s="1">
        <v>44958</v>
      </c>
      <c r="Q778" s="1">
        <v>46235</v>
      </c>
      <c r="R778" s="2">
        <v>42.88</v>
      </c>
      <c r="S778">
        <v>1</v>
      </c>
      <c r="T778" t="s">
        <v>58</v>
      </c>
      <c r="U778" t="s">
        <v>246</v>
      </c>
      <c r="V778" s="3">
        <v>0.15</v>
      </c>
      <c r="W778" s="2">
        <v>0</v>
      </c>
      <c r="X778">
        <v>0</v>
      </c>
      <c r="Y778" t="s">
        <v>247</v>
      </c>
      <c r="Z778" t="s">
        <v>248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6.43</v>
      </c>
      <c r="AN778" s="2">
        <v>6.43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46202</v>
      </c>
      <c r="B779" t="s">
        <v>48</v>
      </c>
      <c r="C779">
        <v>649163</v>
      </c>
      <c r="D779">
        <v>2017333574</v>
      </c>
      <c r="E779" t="s">
        <v>330</v>
      </c>
      <c r="F779" t="s">
        <v>331</v>
      </c>
      <c r="G779" t="s">
        <v>51</v>
      </c>
      <c r="H779" t="s">
        <v>332</v>
      </c>
      <c r="I779" t="s">
        <v>194</v>
      </c>
      <c r="J779" t="s">
        <v>195</v>
      </c>
      <c r="K779">
        <v>649793</v>
      </c>
      <c r="L779" t="s">
        <v>102</v>
      </c>
      <c r="M779" t="s">
        <v>333</v>
      </c>
      <c r="N779" t="s">
        <v>57</v>
      </c>
      <c r="O779" s="1">
        <v>44958</v>
      </c>
      <c r="Q779" s="1">
        <v>46235</v>
      </c>
      <c r="R779" s="2">
        <v>96.96</v>
      </c>
      <c r="S779">
        <v>1</v>
      </c>
      <c r="T779" t="s">
        <v>58</v>
      </c>
      <c r="U779" t="s">
        <v>246</v>
      </c>
      <c r="V779" s="3">
        <v>0.15</v>
      </c>
      <c r="W779" s="2">
        <v>0</v>
      </c>
      <c r="X779">
        <v>0</v>
      </c>
      <c r="Y779" t="s">
        <v>247</v>
      </c>
      <c r="Z779" t="s">
        <v>248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14.54</v>
      </c>
      <c r="AN779" s="2">
        <v>14.54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46202</v>
      </c>
      <c r="B780" t="s">
        <v>48</v>
      </c>
      <c r="C780">
        <v>649163</v>
      </c>
      <c r="D780">
        <v>2017340028</v>
      </c>
      <c r="E780" t="s">
        <v>249</v>
      </c>
      <c r="F780" t="s">
        <v>250</v>
      </c>
      <c r="G780" t="s">
        <v>51</v>
      </c>
      <c r="H780" t="s">
        <v>52</v>
      </c>
      <c r="I780" t="s">
        <v>194</v>
      </c>
      <c r="J780" t="s">
        <v>881</v>
      </c>
      <c r="K780">
        <v>652037</v>
      </c>
      <c r="L780" t="s">
        <v>55</v>
      </c>
      <c r="M780" t="s">
        <v>252</v>
      </c>
      <c r="N780" t="s">
        <v>57</v>
      </c>
      <c r="O780" s="1">
        <v>44958</v>
      </c>
      <c r="Q780" s="1">
        <v>46235</v>
      </c>
      <c r="R780" s="2">
        <v>51.46</v>
      </c>
      <c r="S780">
        <v>1</v>
      </c>
      <c r="T780" t="s">
        <v>58</v>
      </c>
      <c r="U780" t="s">
        <v>246</v>
      </c>
      <c r="V780" s="3">
        <v>0.15</v>
      </c>
      <c r="W780" s="2">
        <v>0</v>
      </c>
      <c r="X780">
        <v>0</v>
      </c>
      <c r="Y780" t="s">
        <v>247</v>
      </c>
      <c r="Z780" t="s">
        <v>248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7.72</v>
      </c>
      <c r="AN780" s="2">
        <v>7.72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46202</v>
      </c>
      <c r="B781" t="s">
        <v>48</v>
      </c>
      <c r="C781">
        <v>649163</v>
      </c>
      <c r="D781">
        <v>2017351926</v>
      </c>
      <c r="E781" t="s">
        <v>334</v>
      </c>
      <c r="F781" t="s">
        <v>335</v>
      </c>
      <c r="G781" t="s">
        <v>51</v>
      </c>
      <c r="H781" t="s">
        <v>146</v>
      </c>
      <c r="I781" t="s">
        <v>194</v>
      </c>
      <c r="J781" t="s">
        <v>881</v>
      </c>
      <c r="K781">
        <v>652037</v>
      </c>
      <c r="L781" t="s">
        <v>55</v>
      </c>
      <c r="M781" t="s">
        <v>252</v>
      </c>
      <c r="N781" t="s">
        <v>57</v>
      </c>
      <c r="O781" s="1">
        <v>44958</v>
      </c>
      <c r="Q781" s="1">
        <v>46235</v>
      </c>
      <c r="R781" s="2">
        <v>24.61</v>
      </c>
      <c r="S781">
        <v>1</v>
      </c>
      <c r="T781" t="s">
        <v>58</v>
      </c>
      <c r="U781" t="s">
        <v>246</v>
      </c>
      <c r="V781" s="3">
        <v>0.15</v>
      </c>
      <c r="W781" s="2">
        <v>0</v>
      </c>
      <c r="X781">
        <v>0</v>
      </c>
      <c r="Y781" t="s">
        <v>247</v>
      </c>
      <c r="Z781" t="s">
        <v>248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3.69</v>
      </c>
      <c r="AN781" s="2">
        <v>3.69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46202</v>
      </c>
      <c r="B782" t="s">
        <v>48</v>
      </c>
      <c r="C782">
        <v>649163</v>
      </c>
      <c r="D782">
        <v>2017355242</v>
      </c>
      <c r="E782" t="s">
        <v>1000</v>
      </c>
      <c r="F782" t="s">
        <v>605</v>
      </c>
      <c r="G782" t="s">
        <v>51</v>
      </c>
      <c r="H782" t="s">
        <v>626</v>
      </c>
      <c r="I782" t="s">
        <v>194</v>
      </c>
      <c r="J782" t="s">
        <v>195</v>
      </c>
      <c r="K782">
        <v>649164</v>
      </c>
      <c r="L782" t="s">
        <v>244</v>
      </c>
      <c r="M782" t="s">
        <v>245</v>
      </c>
      <c r="N782" t="s">
        <v>57</v>
      </c>
      <c r="O782" s="1">
        <v>44958</v>
      </c>
      <c r="Q782" s="1">
        <v>46235</v>
      </c>
      <c r="R782" s="2">
        <v>166.17</v>
      </c>
      <c r="S782">
        <v>1</v>
      </c>
      <c r="T782" t="s">
        <v>58</v>
      </c>
      <c r="U782" t="s">
        <v>246</v>
      </c>
      <c r="V782" s="3">
        <v>0.15</v>
      </c>
      <c r="W782" s="2">
        <v>0</v>
      </c>
      <c r="X782">
        <v>0</v>
      </c>
      <c r="Y782" t="s">
        <v>247</v>
      </c>
      <c r="Z782" t="s">
        <v>248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24.93</v>
      </c>
      <c r="AN782" s="2">
        <v>24.93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46202</v>
      </c>
      <c r="B783" t="s">
        <v>48</v>
      </c>
      <c r="C783">
        <v>649163</v>
      </c>
      <c r="D783">
        <v>2017383051</v>
      </c>
      <c r="E783" t="s">
        <v>1001</v>
      </c>
      <c r="F783" t="s">
        <v>1002</v>
      </c>
      <c r="G783" t="s">
        <v>51</v>
      </c>
      <c r="H783" t="s">
        <v>167</v>
      </c>
      <c r="I783" t="s">
        <v>194</v>
      </c>
      <c r="J783" t="s">
        <v>217</v>
      </c>
      <c r="K783">
        <v>651818</v>
      </c>
      <c r="L783" t="s">
        <v>210</v>
      </c>
      <c r="M783" t="s">
        <v>211</v>
      </c>
      <c r="N783" t="s">
        <v>57</v>
      </c>
      <c r="O783" s="1">
        <v>44959</v>
      </c>
      <c r="Q783" s="1">
        <v>46236</v>
      </c>
      <c r="R783" s="2">
        <v>211.08</v>
      </c>
      <c r="S783">
        <v>1</v>
      </c>
      <c r="T783" t="s">
        <v>58</v>
      </c>
      <c r="U783" t="s">
        <v>246</v>
      </c>
      <c r="V783" s="3">
        <v>0.1</v>
      </c>
      <c r="W783" s="2">
        <v>0</v>
      </c>
      <c r="X783">
        <v>0</v>
      </c>
      <c r="Y783" t="s">
        <v>247</v>
      </c>
      <c r="Z783" t="s">
        <v>248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21.11</v>
      </c>
      <c r="AN783" s="2">
        <v>21.11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46202</v>
      </c>
      <c r="B784" t="s">
        <v>48</v>
      </c>
      <c r="C784">
        <v>649163</v>
      </c>
      <c r="D784">
        <v>2017416710</v>
      </c>
      <c r="E784" t="s">
        <v>658</v>
      </c>
      <c r="F784" t="s">
        <v>507</v>
      </c>
      <c r="G784" t="s">
        <v>51</v>
      </c>
      <c r="H784" t="s">
        <v>332</v>
      </c>
      <c r="I784" t="s">
        <v>194</v>
      </c>
      <c r="J784" t="s">
        <v>195</v>
      </c>
      <c r="K784">
        <v>649793</v>
      </c>
      <c r="L784" t="s">
        <v>102</v>
      </c>
      <c r="M784" t="s">
        <v>333</v>
      </c>
      <c r="N784" t="s">
        <v>57</v>
      </c>
      <c r="O784" s="1">
        <v>44958</v>
      </c>
      <c r="Q784" s="1">
        <v>46235</v>
      </c>
      <c r="R784" s="2">
        <v>86.35</v>
      </c>
      <c r="S784">
        <v>1</v>
      </c>
      <c r="T784" t="s">
        <v>58</v>
      </c>
      <c r="U784" t="s">
        <v>246</v>
      </c>
      <c r="V784" s="3">
        <v>0.15</v>
      </c>
      <c r="W784" s="2">
        <v>0</v>
      </c>
      <c r="X784">
        <v>0</v>
      </c>
      <c r="Y784" t="s">
        <v>247</v>
      </c>
      <c r="Z784" t="s">
        <v>248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12.95</v>
      </c>
      <c r="AN784" s="2">
        <v>12.95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46202</v>
      </c>
      <c r="B785" t="s">
        <v>48</v>
      </c>
      <c r="C785">
        <v>649163</v>
      </c>
      <c r="D785">
        <v>2017416712</v>
      </c>
      <c r="E785" t="s">
        <v>658</v>
      </c>
      <c r="F785" t="s">
        <v>507</v>
      </c>
      <c r="G785" t="s">
        <v>51</v>
      </c>
      <c r="H785" t="s">
        <v>332</v>
      </c>
      <c r="I785" t="s">
        <v>194</v>
      </c>
      <c r="J785" t="s">
        <v>881</v>
      </c>
      <c r="K785">
        <v>649793</v>
      </c>
      <c r="L785" t="s">
        <v>102</v>
      </c>
      <c r="M785" t="s">
        <v>333</v>
      </c>
      <c r="N785" t="s">
        <v>57</v>
      </c>
      <c r="O785" s="1">
        <v>44958</v>
      </c>
      <c r="Q785" s="1">
        <v>46235</v>
      </c>
      <c r="R785" s="2">
        <v>25.73</v>
      </c>
      <c r="S785">
        <v>1</v>
      </c>
      <c r="T785" t="s">
        <v>58</v>
      </c>
      <c r="U785" t="s">
        <v>246</v>
      </c>
      <c r="V785" s="3">
        <v>0.15</v>
      </c>
      <c r="W785" s="2">
        <v>0</v>
      </c>
      <c r="X785">
        <v>0</v>
      </c>
      <c r="Y785" t="s">
        <v>247</v>
      </c>
      <c r="Z785" t="s">
        <v>248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3.86</v>
      </c>
      <c r="AN785" s="2">
        <v>3.86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46202</v>
      </c>
      <c r="B786" t="s">
        <v>48</v>
      </c>
      <c r="C786">
        <v>649163</v>
      </c>
      <c r="D786">
        <v>2017521114</v>
      </c>
      <c r="E786" t="s">
        <v>661</v>
      </c>
      <c r="F786" t="s">
        <v>662</v>
      </c>
      <c r="G786" t="s">
        <v>51</v>
      </c>
      <c r="H786" t="s">
        <v>117</v>
      </c>
      <c r="I786" t="s">
        <v>194</v>
      </c>
      <c r="J786" t="s">
        <v>195</v>
      </c>
      <c r="K786">
        <v>649793</v>
      </c>
      <c r="L786" t="s">
        <v>102</v>
      </c>
      <c r="M786" t="s">
        <v>333</v>
      </c>
      <c r="N786" t="s">
        <v>57</v>
      </c>
      <c r="O786" s="1">
        <v>44958</v>
      </c>
      <c r="Q786" s="1">
        <v>46235</v>
      </c>
      <c r="R786" s="2">
        <v>35.04</v>
      </c>
      <c r="S786">
        <v>1</v>
      </c>
      <c r="T786" t="s">
        <v>58</v>
      </c>
      <c r="U786" t="s">
        <v>246</v>
      </c>
      <c r="V786" s="3">
        <v>0.15</v>
      </c>
      <c r="W786" s="2">
        <v>0</v>
      </c>
      <c r="X786">
        <v>0</v>
      </c>
      <c r="Y786" t="s">
        <v>247</v>
      </c>
      <c r="Z786" t="s">
        <v>248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5.26</v>
      </c>
      <c r="AN786" s="2">
        <v>5.26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46202</v>
      </c>
      <c r="B787" t="s">
        <v>48</v>
      </c>
      <c r="C787">
        <v>649163</v>
      </c>
      <c r="D787">
        <v>2018107017</v>
      </c>
      <c r="E787" t="s">
        <v>1003</v>
      </c>
      <c r="F787" t="s">
        <v>443</v>
      </c>
      <c r="G787" t="s">
        <v>51</v>
      </c>
      <c r="H787" t="s">
        <v>349</v>
      </c>
      <c r="I787" t="s">
        <v>194</v>
      </c>
      <c r="J787" t="s">
        <v>195</v>
      </c>
      <c r="K787">
        <v>673059</v>
      </c>
      <c r="L787" t="s">
        <v>102</v>
      </c>
      <c r="M787" t="s">
        <v>103</v>
      </c>
      <c r="N787" t="s">
        <v>57</v>
      </c>
      <c r="O787" s="1">
        <v>45012</v>
      </c>
      <c r="Q787" s="1">
        <v>46230</v>
      </c>
      <c r="R787" s="2">
        <v>35.369999999999997</v>
      </c>
      <c r="S787">
        <v>1</v>
      </c>
      <c r="T787" t="s">
        <v>58</v>
      </c>
      <c r="U787" t="s">
        <v>246</v>
      </c>
      <c r="V787" s="3">
        <v>0.15</v>
      </c>
      <c r="W787" s="2">
        <v>0</v>
      </c>
      <c r="X787">
        <v>0</v>
      </c>
      <c r="Y787" t="s">
        <v>247</v>
      </c>
      <c r="Z787" t="s">
        <v>248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5.31</v>
      </c>
      <c r="AN787" s="2">
        <v>5.31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46202</v>
      </c>
      <c r="B788" t="s">
        <v>48</v>
      </c>
      <c r="C788">
        <v>649163</v>
      </c>
      <c r="D788">
        <v>2018192803</v>
      </c>
      <c r="E788" t="s">
        <v>336</v>
      </c>
      <c r="F788" t="s">
        <v>337</v>
      </c>
      <c r="G788" t="s">
        <v>51</v>
      </c>
      <c r="H788" t="s">
        <v>124</v>
      </c>
      <c r="I788" t="s">
        <v>194</v>
      </c>
      <c r="J788" t="s">
        <v>217</v>
      </c>
      <c r="K788">
        <v>651818</v>
      </c>
      <c r="L788" t="s">
        <v>210</v>
      </c>
      <c r="M788" t="s">
        <v>211</v>
      </c>
      <c r="N788" t="s">
        <v>57</v>
      </c>
      <c r="O788" s="1">
        <v>45015</v>
      </c>
      <c r="Q788" s="1">
        <v>46233</v>
      </c>
      <c r="R788" s="2">
        <v>75.44</v>
      </c>
      <c r="S788">
        <v>1</v>
      </c>
      <c r="T788" t="s">
        <v>58</v>
      </c>
      <c r="U788" t="s">
        <v>246</v>
      </c>
      <c r="V788" s="3">
        <v>0.1</v>
      </c>
      <c r="W788" s="2">
        <v>0</v>
      </c>
      <c r="X788">
        <v>0</v>
      </c>
      <c r="Y788" t="s">
        <v>247</v>
      </c>
      <c r="Z788" t="s">
        <v>248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7.54</v>
      </c>
      <c r="AN788" s="2">
        <v>7.54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46202</v>
      </c>
      <c r="B789" t="s">
        <v>48</v>
      </c>
      <c r="C789">
        <v>649163</v>
      </c>
      <c r="D789">
        <v>2018732057</v>
      </c>
      <c r="E789" t="s">
        <v>339</v>
      </c>
      <c r="F789" t="s">
        <v>138</v>
      </c>
      <c r="G789" t="s">
        <v>51</v>
      </c>
      <c r="I789" t="s">
        <v>194</v>
      </c>
      <c r="J789" t="s">
        <v>881</v>
      </c>
      <c r="K789">
        <v>651818</v>
      </c>
      <c r="L789" t="s">
        <v>210</v>
      </c>
      <c r="M789" t="s">
        <v>211</v>
      </c>
      <c r="N789" t="s">
        <v>257</v>
      </c>
      <c r="O789" s="1">
        <v>45081</v>
      </c>
      <c r="P789" s="1">
        <v>46202</v>
      </c>
      <c r="Q789" s="1">
        <v>46207</v>
      </c>
      <c r="R789" s="2">
        <v>-3.16</v>
      </c>
      <c r="S789">
        <v>1</v>
      </c>
      <c r="T789" t="s">
        <v>58</v>
      </c>
      <c r="U789" t="s">
        <v>246</v>
      </c>
      <c r="V789" s="3">
        <v>0.15</v>
      </c>
      <c r="W789" s="2">
        <v>0</v>
      </c>
      <c r="X789">
        <v>-1</v>
      </c>
      <c r="Y789" t="s">
        <v>247</v>
      </c>
      <c r="Z789" t="s">
        <v>248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-0.47</v>
      </c>
      <c r="AN789" s="2">
        <v>-0.47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46202</v>
      </c>
      <c r="B790" t="s">
        <v>48</v>
      </c>
      <c r="C790">
        <v>649163</v>
      </c>
      <c r="D790">
        <v>2018732058</v>
      </c>
      <c r="E790" t="s">
        <v>339</v>
      </c>
      <c r="F790" t="s">
        <v>138</v>
      </c>
      <c r="G790" t="s">
        <v>51</v>
      </c>
      <c r="I790" t="s">
        <v>194</v>
      </c>
      <c r="J790" t="s">
        <v>217</v>
      </c>
      <c r="K790">
        <v>651818</v>
      </c>
      <c r="L790" t="s">
        <v>210</v>
      </c>
      <c r="M790" t="s">
        <v>211</v>
      </c>
      <c r="N790" t="s">
        <v>257</v>
      </c>
      <c r="O790" s="1">
        <v>45081</v>
      </c>
      <c r="P790" s="1">
        <v>46202</v>
      </c>
      <c r="Q790" s="1">
        <v>46207</v>
      </c>
      <c r="R790" s="2">
        <v>-6.55</v>
      </c>
      <c r="S790">
        <v>1</v>
      </c>
      <c r="T790" t="s">
        <v>58</v>
      </c>
      <c r="U790" t="s">
        <v>246</v>
      </c>
      <c r="V790" s="3">
        <v>0.1</v>
      </c>
      <c r="W790" s="2">
        <v>0</v>
      </c>
      <c r="X790">
        <v>-1</v>
      </c>
      <c r="Y790" t="s">
        <v>247</v>
      </c>
      <c r="Z790" t="s">
        <v>248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-0.66</v>
      </c>
      <c r="AN790" s="2">
        <v>-0.66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46202</v>
      </c>
      <c r="B791" t="s">
        <v>48</v>
      </c>
      <c r="C791">
        <v>649163</v>
      </c>
      <c r="D791">
        <v>2019527580</v>
      </c>
      <c r="E791" t="s">
        <v>1004</v>
      </c>
      <c r="F791" t="s">
        <v>401</v>
      </c>
      <c r="G791" t="s">
        <v>51</v>
      </c>
      <c r="H791" t="s">
        <v>591</v>
      </c>
      <c r="I791" t="s">
        <v>194</v>
      </c>
      <c r="J791" t="s">
        <v>217</v>
      </c>
      <c r="K791">
        <v>673059</v>
      </c>
      <c r="L791" t="s">
        <v>102</v>
      </c>
      <c r="M791" t="s">
        <v>103</v>
      </c>
      <c r="N791" t="s">
        <v>57</v>
      </c>
      <c r="O791" s="1">
        <v>45161</v>
      </c>
      <c r="Q791" s="1">
        <v>46226</v>
      </c>
      <c r="R791" s="2">
        <v>99.25</v>
      </c>
      <c r="S791">
        <v>1</v>
      </c>
      <c r="T791" t="s">
        <v>58</v>
      </c>
      <c r="U791" t="s">
        <v>246</v>
      </c>
      <c r="V791" s="3">
        <v>0.1</v>
      </c>
      <c r="W791" s="2">
        <v>0</v>
      </c>
      <c r="X791">
        <v>0</v>
      </c>
      <c r="Y791" t="s">
        <v>247</v>
      </c>
      <c r="Z791" t="s">
        <v>248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9.92</v>
      </c>
      <c r="AN791" s="2">
        <v>9.92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46202</v>
      </c>
      <c r="B792" t="s">
        <v>48</v>
      </c>
      <c r="C792">
        <v>649163</v>
      </c>
      <c r="D792">
        <v>2019662568</v>
      </c>
      <c r="E792" t="s">
        <v>1005</v>
      </c>
      <c r="F792" t="s">
        <v>1006</v>
      </c>
      <c r="G792" t="s">
        <v>51</v>
      </c>
      <c r="H792" t="s">
        <v>302</v>
      </c>
      <c r="I792" t="s">
        <v>194</v>
      </c>
      <c r="J792" t="s">
        <v>195</v>
      </c>
      <c r="K792">
        <v>673059</v>
      </c>
      <c r="L792" t="s">
        <v>102</v>
      </c>
      <c r="M792" t="s">
        <v>103</v>
      </c>
      <c r="N792" t="s">
        <v>57</v>
      </c>
      <c r="O792" s="1">
        <v>45170</v>
      </c>
      <c r="Q792" s="1">
        <v>46235</v>
      </c>
      <c r="R792" s="2">
        <v>82.76</v>
      </c>
      <c r="S792">
        <v>1</v>
      </c>
      <c r="T792" t="s">
        <v>58</v>
      </c>
      <c r="U792" t="s">
        <v>246</v>
      </c>
      <c r="V792" s="3">
        <v>0.15</v>
      </c>
      <c r="W792" s="2">
        <v>0</v>
      </c>
      <c r="X792">
        <v>0</v>
      </c>
      <c r="Y792" t="s">
        <v>247</v>
      </c>
      <c r="Z792" t="s">
        <v>248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12.41</v>
      </c>
      <c r="AN792" s="2">
        <v>12.41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46202</v>
      </c>
      <c r="B793" t="s">
        <v>48</v>
      </c>
      <c r="C793">
        <v>649163</v>
      </c>
      <c r="D793">
        <v>2021137941</v>
      </c>
      <c r="E793" t="s">
        <v>1007</v>
      </c>
      <c r="F793" t="s">
        <v>511</v>
      </c>
      <c r="G793" t="s">
        <v>51</v>
      </c>
      <c r="H793" t="s">
        <v>52</v>
      </c>
      <c r="I793" t="s">
        <v>194</v>
      </c>
      <c r="J793" t="s">
        <v>881</v>
      </c>
      <c r="K793">
        <v>649164</v>
      </c>
      <c r="L793" t="s">
        <v>244</v>
      </c>
      <c r="M793" t="s">
        <v>245</v>
      </c>
      <c r="N793" t="s">
        <v>57</v>
      </c>
      <c r="O793" s="1">
        <v>45323</v>
      </c>
      <c r="Q793" s="1">
        <v>46235</v>
      </c>
      <c r="R793" s="2">
        <v>25.73</v>
      </c>
      <c r="S793">
        <v>1</v>
      </c>
      <c r="T793" t="s">
        <v>58</v>
      </c>
      <c r="U793" t="s">
        <v>246</v>
      </c>
      <c r="V793" s="3">
        <v>0.15</v>
      </c>
      <c r="W793" s="2">
        <v>0</v>
      </c>
      <c r="X793">
        <v>0</v>
      </c>
      <c r="Y793" t="s">
        <v>247</v>
      </c>
      <c r="Z793" t="s">
        <v>248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3.86</v>
      </c>
      <c r="AN793" s="2">
        <v>3.86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46202</v>
      </c>
      <c r="B794" t="s">
        <v>48</v>
      </c>
      <c r="C794">
        <v>649163</v>
      </c>
      <c r="D794">
        <v>2021537049</v>
      </c>
      <c r="E794" t="s">
        <v>1008</v>
      </c>
      <c r="F794" t="s">
        <v>250</v>
      </c>
      <c r="G794" t="s">
        <v>51</v>
      </c>
      <c r="H794" t="s">
        <v>97</v>
      </c>
      <c r="I794" t="s">
        <v>194</v>
      </c>
      <c r="J794" t="s">
        <v>881</v>
      </c>
      <c r="K794">
        <v>673059</v>
      </c>
      <c r="L794" t="s">
        <v>102</v>
      </c>
      <c r="M794" t="s">
        <v>103</v>
      </c>
      <c r="N794" t="s">
        <v>57</v>
      </c>
      <c r="O794" s="1">
        <v>45323</v>
      </c>
      <c r="Q794" s="1">
        <v>46235</v>
      </c>
      <c r="R794" s="2">
        <v>46.78</v>
      </c>
      <c r="S794">
        <v>1</v>
      </c>
      <c r="T794" t="s">
        <v>58</v>
      </c>
      <c r="U794" t="s">
        <v>246</v>
      </c>
      <c r="V794" s="3">
        <v>0.15</v>
      </c>
      <c r="W794" s="2">
        <v>0</v>
      </c>
      <c r="X794">
        <v>0</v>
      </c>
      <c r="Y794" t="s">
        <v>247</v>
      </c>
      <c r="Z794" t="s">
        <v>248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7.02</v>
      </c>
      <c r="AN794" s="2">
        <v>7.02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46202</v>
      </c>
      <c r="B795" t="s">
        <v>48</v>
      </c>
      <c r="C795">
        <v>649163</v>
      </c>
      <c r="D795">
        <v>2021612241</v>
      </c>
      <c r="E795" t="s">
        <v>675</v>
      </c>
      <c r="F795" t="s">
        <v>676</v>
      </c>
      <c r="G795" t="s">
        <v>51</v>
      </c>
      <c r="H795" t="s">
        <v>100</v>
      </c>
      <c r="I795" t="s">
        <v>194</v>
      </c>
      <c r="J795" t="s">
        <v>881</v>
      </c>
      <c r="K795">
        <v>673059</v>
      </c>
      <c r="L795" t="s">
        <v>102</v>
      </c>
      <c r="M795" t="s">
        <v>103</v>
      </c>
      <c r="N795" t="s">
        <v>57</v>
      </c>
      <c r="O795" s="1">
        <v>45323</v>
      </c>
      <c r="Q795" s="1">
        <v>46235</v>
      </c>
      <c r="R795" s="2">
        <v>51.46</v>
      </c>
      <c r="S795">
        <v>1</v>
      </c>
      <c r="T795" t="s">
        <v>58</v>
      </c>
      <c r="U795" t="s">
        <v>246</v>
      </c>
      <c r="V795" s="3">
        <v>0.15</v>
      </c>
      <c r="W795" s="2">
        <v>0</v>
      </c>
      <c r="X795">
        <v>0</v>
      </c>
      <c r="Y795" t="s">
        <v>247</v>
      </c>
      <c r="Z795" t="s">
        <v>248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7.72</v>
      </c>
      <c r="AN795" s="2">
        <v>7.72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46202</v>
      </c>
      <c r="B796" t="s">
        <v>48</v>
      </c>
      <c r="C796">
        <v>649163</v>
      </c>
      <c r="D796">
        <v>2022351916</v>
      </c>
      <c r="E796" t="s">
        <v>677</v>
      </c>
      <c r="F796" t="s">
        <v>351</v>
      </c>
      <c r="G796" t="s">
        <v>51</v>
      </c>
      <c r="H796" t="s">
        <v>89</v>
      </c>
      <c r="I796" t="s">
        <v>194</v>
      </c>
      <c r="J796" t="s">
        <v>881</v>
      </c>
      <c r="K796">
        <v>673059</v>
      </c>
      <c r="L796" t="s">
        <v>102</v>
      </c>
      <c r="M796" t="s">
        <v>103</v>
      </c>
      <c r="N796" t="s">
        <v>57</v>
      </c>
      <c r="O796" s="1">
        <v>45383</v>
      </c>
      <c r="Q796" s="1">
        <v>46235</v>
      </c>
      <c r="R796" s="2">
        <v>25.73</v>
      </c>
      <c r="S796">
        <v>1</v>
      </c>
      <c r="T796" t="s">
        <v>58</v>
      </c>
      <c r="U796" t="s">
        <v>246</v>
      </c>
      <c r="V796" s="3">
        <v>0.15</v>
      </c>
      <c r="W796" s="2">
        <v>0</v>
      </c>
      <c r="X796">
        <v>0</v>
      </c>
      <c r="Y796" t="s">
        <v>247</v>
      </c>
      <c r="Z796" t="s">
        <v>248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3.86</v>
      </c>
      <c r="AN796" s="2">
        <v>3.86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46202</v>
      </c>
      <c r="B797" t="s">
        <v>48</v>
      </c>
      <c r="C797">
        <v>649163</v>
      </c>
      <c r="D797">
        <v>2022351917</v>
      </c>
      <c r="E797" t="s">
        <v>677</v>
      </c>
      <c r="F797" t="s">
        <v>351</v>
      </c>
      <c r="G797" t="s">
        <v>51</v>
      </c>
      <c r="H797" t="s">
        <v>89</v>
      </c>
      <c r="I797" t="s">
        <v>194</v>
      </c>
      <c r="J797" t="s">
        <v>195</v>
      </c>
      <c r="K797">
        <v>673059</v>
      </c>
      <c r="L797" t="s">
        <v>102</v>
      </c>
      <c r="M797" t="s">
        <v>103</v>
      </c>
      <c r="N797" t="s">
        <v>57</v>
      </c>
      <c r="O797" s="1">
        <v>45383</v>
      </c>
      <c r="Q797" s="1">
        <v>46235</v>
      </c>
      <c r="R797" s="2">
        <v>81.150000000000006</v>
      </c>
      <c r="S797">
        <v>1</v>
      </c>
      <c r="T797" t="s">
        <v>58</v>
      </c>
      <c r="U797" t="s">
        <v>246</v>
      </c>
      <c r="V797" s="3">
        <v>0.15</v>
      </c>
      <c r="W797" s="2">
        <v>0</v>
      </c>
      <c r="X797">
        <v>0</v>
      </c>
      <c r="Y797" t="s">
        <v>247</v>
      </c>
      <c r="Z797" t="s">
        <v>248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12.17</v>
      </c>
      <c r="AN797" s="2">
        <v>12.17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46202</v>
      </c>
      <c r="B798" t="s">
        <v>48</v>
      </c>
      <c r="C798">
        <v>649163</v>
      </c>
      <c r="D798">
        <v>2022463458</v>
      </c>
      <c r="E798" t="s">
        <v>1009</v>
      </c>
      <c r="F798" t="s">
        <v>1010</v>
      </c>
      <c r="G798" t="s">
        <v>51</v>
      </c>
      <c r="H798" t="s">
        <v>100</v>
      </c>
      <c r="I798" t="s">
        <v>194</v>
      </c>
      <c r="J798" t="s">
        <v>195</v>
      </c>
      <c r="K798">
        <v>649164</v>
      </c>
      <c r="L798" t="s">
        <v>244</v>
      </c>
      <c r="M798" t="s">
        <v>245</v>
      </c>
      <c r="N798" t="s">
        <v>57</v>
      </c>
      <c r="O798" s="1">
        <v>45383</v>
      </c>
      <c r="Q798" s="1">
        <v>46235</v>
      </c>
      <c r="R798" s="2">
        <v>79.819999999999993</v>
      </c>
      <c r="S798">
        <v>1</v>
      </c>
      <c r="T798" t="s">
        <v>58</v>
      </c>
      <c r="U798" t="s">
        <v>246</v>
      </c>
      <c r="V798" s="3">
        <v>0.15</v>
      </c>
      <c r="W798" s="2">
        <v>0</v>
      </c>
      <c r="X798">
        <v>0</v>
      </c>
      <c r="Y798" t="s">
        <v>247</v>
      </c>
      <c r="Z798" t="s">
        <v>248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11.97</v>
      </c>
      <c r="AN798" s="2">
        <v>11.97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46202</v>
      </c>
      <c r="B799" t="s">
        <v>48</v>
      </c>
      <c r="C799">
        <v>649163</v>
      </c>
      <c r="D799">
        <v>2023599967</v>
      </c>
      <c r="E799" t="s">
        <v>685</v>
      </c>
      <c r="F799" t="s">
        <v>291</v>
      </c>
      <c r="G799" t="s">
        <v>51</v>
      </c>
      <c r="H799" t="s">
        <v>89</v>
      </c>
      <c r="I799" t="s">
        <v>194</v>
      </c>
      <c r="J799" t="s">
        <v>195</v>
      </c>
      <c r="K799">
        <v>673059</v>
      </c>
      <c r="L799" t="s">
        <v>102</v>
      </c>
      <c r="M799" t="s">
        <v>103</v>
      </c>
      <c r="N799" t="s">
        <v>57</v>
      </c>
      <c r="O799" s="1">
        <v>45474</v>
      </c>
      <c r="Q799" s="1">
        <v>46235</v>
      </c>
      <c r="R799" s="2">
        <v>59.4</v>
      </c>
      <c r="S799">
        <v>1</v>
      </c>
      <c r="T799" t="s">
        <v>58</v>
      </c>
      <c r="U799" t="s">
        <v>246</v>
      </c>
      <c r="V799" s="3">
        <v>0.15</v>
      </c>
      <c r="W799" s="2">
        <v>0</v>
      </c>
      <c r="X799">
        <v>0</v>
      </c>
      <c r="Y799" t="s">
        <v>247</v>
      </c>
      <c r="Z799" t="s">
        <v>248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8.91</v>
      </c>
      <c r="AN799" s="2">
        <v>8.91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46202</v>
      </c>
      <c r="B800" t="s">
        <v>48</v>
      </c>
      <c r="C800">
        <v>649163</v>
      </c>
      <c r="D800">
        <v>2024151848</v>
      </c>
      <c r="E800" t="s">
        <v>690</v>
      </c>
      <c r="F800" t="s">
        <v>691</v>
      </c>
      <c r="G800" t="s">
        <v>51</v>
      </c>
      <c r="H800" t="s">
        <v>100</v>
      </c>
      <c r="I800" t="s">
        <v>194</v>
      </c>
      <c r="J800" t="s">
        <v>195</v>
      </c>
      <c r="K800">
        <v>767312</v>
      </c>
      <c r="L800" t="s">
        <v>486</v>
      </c>
      <c r="M800" t="s">
        <v>379</v>
      </c>
      <c r="N800" t="s">
        <v>57</v>
      </c>
      <c r="O800" s="1">
        <v>45504</v>
      </c>
      <c r="Q800" s="1">
        <v>46233</v>
      </c>
      <c r="R800" s="2">
        <v>14.08</v>
      </c>
      <c r="S800">
        <v>1</v>
      </c>
      <c r="T800" t="s">
        <v>58</v>
      </c>
      <c r="U800" t="s">
        <v>246</v>
      </c>
      <c r="V800" s="3">
        <v>0.15</v>
      </c>
      <c r="W800" s="2">
        <v>0</v>
      </c>
      <c r="X800">
        <v>0</v>
      </c>
      <c r="Y800" t="s">
        <v>247</v>
      </c>
      <c r="Z800" t="s">
        <v>248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2.11</v>
      </c>
      <c r="AN800" s="2">
        <v>2.11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46202</v>
      </c>
      <c r="B801" t="s">
        <v>48</v>
      </c>
      <c r="C801">
        <v>649163</v>
      </c>
      <c r="D801">
        <v>2024569206</v>
      </c>
      <c r="E801" t="s">
        <v>693</v>
      </c>
      <c r="F801" t="s">
        <v>694</v>
      </c>
      <c r="G801" t="s">
        <v>51</v>
      </c>
      <c r="H801" t="s">
        <v>626</v>
      </c>
      <c r="I801" t="s">
        <v>194</v>
      </c>
      <c r="J801" t="s">
        <v>195</v>
      </c>
      <c r="K801">
        <v>649247</v>
      </c>
      <c r="L801" t="s">
        <v>255</v>
      </c>
      <c r="M801" t="s">
        <v>256</v>
      </c>
      <c r="N801" t="s">
        <v>57</v>
      </c>
      <c r="O801" s="1">
        <v>45531</v>
      </c>
      <c r="Q801" s="1">
        <v>46230</v>
      </c>
      <c r="R801" s="2">
        <v>10.82</v>
      </c>
      <c r="S801">
        <v>1</v>
      </c>
      <c r="T801" t="s">
        <v>58</v>
      </c>
      <c r="U801" t="s">
        <v>246</v>
      </c>
      <c r="V801" s="3">
        <v>0.15</v>
      </c>
      <c r="W801" s="2">
        <v>0</v>
      </c>
      <c r="X801">
        <v>0</v>
      </c>
      <c r="Y801" t="s">
        <v>247</v>
      </c>
      <c r="Z801" t="s">
        <v>248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1.62</v>
      </c>
      <c r="AN801" s="2">
        <v>1.62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46202</v>
      </c>
      <c r="B802" t="s">
        <v>48</v>
      </c>
      <c r="C802">
        <v>649163</v>
      </c>
      <c r="D802">
        <v>2025082288</v>
      </c>
      <c r="E802" t="s">
        <v>744</v>
      </c>
      <c r="F802" t="s">
        <v>381</v>
      </c>
      <c r="G802" t="s">
        <v>51</v>
      </c>
      <c r="H802" t="s">
        <v>100</v>
      </c>
      <c r="I802" t="s">
        <v>194</v>
      </c>
      <c r="J802" t="s">
        <v>195</v>
      </c>
      <c r="K802">
        <v>756418</v>
      </c>
      <c r="L802" t="s">
        <v>383</v>
      </c>
      <c r="M802" t="s">
        <v>384</v>
      </c>
      <c r="N802" t="s">
        <v>57</v>
      </c>
      <c r="O802" s="1">
        <v>45564</v>
      </c>
      <c r="Q802" s="1">
        <v>46232</v>
      </c>
      <c r="R802" s="2">
        <v>40.98</v>
      </c>
      <c r="S802">
        <v>1</v>
      </c>
      <c r="T802" t="s">
        <v>58</v>
      </c>
      <c r="U802" t="s">
        <v>246</v>
      </c>
      <c r="V802" s="3">
        <v>0.15</v>
      </c>
      <c r="W802" s="2">
        <v>0</v>
      </c>
      <c r="X802">
        <v>0</v>
      </c>
      <c r="Y802" t="s">
        <v>247</v>
      </c>
      <c r="Z802" t="s">
        <v>248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6.15</v>
      </c>
      <c r="AN802" s="2">
        <v>6.15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46202</v>
      </c>
      <c r="B803" t="s">
        <v>48</v>
      </c>
      <c r="C803">
        <v>649163</v>
      </c>
      <c r="D803">
        <v>2025303845</v>
      </c>
      <c r="E803" t="s">
        <v>279</v>
      </c>
      <c r="F803" t="s">
        <v>280</v>
      </c>
      <c r="G803" t="s">
        <v>51</v>
      </c>
      <c r="H803" t="s">
        <v>52</v>
      </c>
      <c r="I803" t="s">
        <v>194</v>
      </c>
      <c r="J803" t="s">
        <v>881</v>
      </c>
      <c r="K803">
        <v>650218</v>
      </c>
      <c r="L803" t="s">
        <v>266</v>
      </c>
      <c r="M803" t="s">
        <v>267</v>
      </c>
      <c r="N803" t="s">
        <v>57</v>
      </c>
      <c r="O803" s="1">
        <v>45597</v>
      </c>
      <c r="Q803" s="1">
        <v>46235</v>
      </c>
      <c r="R803" s="2">
        <v>25.73</v>
      </c>
      <c r="S803">
        <v>1</v>
      </c>
      <c r="T803" t="s">
        <v>58</v>
      </c>
      <c r="U803" t="s">
        <v>246</v>
      </c>
      <c r="V803" s="3">
        <v>0.15</v>
      </c>
      <c r="W803" s="2">
        <v>0</v>
      </c>
      <c r="X803">
        <v>0</v>
      </c>
      <c r="Y803" t="s">
        <v>247</v>
      </c>
      <c r="Z803" t="s">
        <v>248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3.86</v>
      </c>
      <c r="AN803" s="2">
        <v>3.86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46202</v>
      </c>
      <c r="B804" t="s">
        <v>48</v>
      </c>
      <c r="C804">
        <v>649163</v>
      </c>
      <c r="D804">
        <v>2025535693</v>
      </c>
      <c r="E804" t="s">
        <v>707</v>
      </c>
      <c r="F804" t="s">
        <v>708</v>
      </c>
      <c r="G804" t="s">
        <v>51</v>
      </c>
      <c r="H804" t="s">
        <v>100</v>
      </c>
      <c r="I804" t="s">
        <v>194</v>
      </c>
      <c r="J804" t="s">
        <v>195</v>
      </c>
      <c r="K804">
        <v>756418</v>
      </c>
      <c r="L804" t="s">
        <v>383</v>
      </c>
      <c r="M804" t="s">
        <v>384</v>
      </c>
      <c r="N804" t="s">
        <v>57</v>
      </c>
      <c r="O804" s="1">
        <v>45595</v>
      </c>
      <c r="Q804" s="1">
        <v>46233</v>
      </c>
      <c r="R804" s="2">
        <v>37.299999999999997</v>
      </c>
      <c r="S804">
        <v>1</v>
      </c>
      <c r="T804" t="s">
        <v>58</v>
      </c>
      <c r="U804" t="s">
        <v>246</v>
      </c>
      <c r="V804" s="3">
        <v>0.15</v>
      </c>
      <c r="W804" s="2">
        <v>0</v>
      </c>
      <c r="X804">
        <v>0</v>
      </c>
      <c r="Y804" t="s">
        <v>247</v>
      </c>
      <c r="Z804" t="s">
        <v>248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5.6</v>
      </c>
      <c r="AN804" s="2">
        <v>5.6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46202</v>
      </c>
      <c r="B805" t="s">
        <v>48</v>
      </c>
      <c r="C805">
        <v>649163</v>
      </c>
      <c r="D805">
        <v>2025689181</v>
      </c>
      <c r="E805" t="s">
        <v>342</v>
      </c>
      <c r="F805" t="s">
        <v>343</v>
      </c>
      <c r="G805" t="s">
        <v>51</v>
      </c>
      <c r="H805" t="s">
        <v>94</v>
      </c>
      <c r="I805" t="s">
        <v>194</v>
      </c>
      <c r="J805" t="s">
        <v>195</v>
      </c>
      <c r="K805">
        <v>796984</v>
      </c>
      <c r="L805" t="s">
        <v>344</v>
      </c>
      <c r="M805" t="s">
        <v>171</v>
      </c>
      <c r="N805" t="s">
        <v>57</v>
      </c>
      <c r="O805" s="1">
        <v>45627</v>
      </c>
      <c r="Q805" s="1">
        <v>46235</v>
      </c>
      <c r="R805" s="2">
        <v>9.1</v>
      </c>
      <c r="S805">
        <v>1</v>
      </c>
      <c r="T805" t="s">
        <v>58</v>
      </c>
      <c r="U805" t="s">
        <v>246</v>
      </c>
      <c r="V805" s="3">
        <v>0.15</v>
      </c>
      <c r="W805" s="2">
        <v>0</v>
      </c>
      <c r="X805">
        <v>0</v>
      </c>
      <c r="Y805" t="s">
        <v>247</v>
      </c>
      <c r="Z805" t="s">
        <v>248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1.36</v>
      </c>
      <c r="AN805" s="2">
        <v>1.36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46202</v>
      </c>
      <c r="B806" t="s">
        <v>48</v>
      </c>
      <c r="C806">
        <v>649163</v>
      </c>
      <c r="D806">
        <v>2025708053</v>
      </c>
      <c r="E806" t="s">
        <v>345</v>
      </c>
      <c r="F806" t="s">
        <v>199</v>
      </c>
      <c r="G806" t="s">
        <v>51</v>
      </c>
      <c r="H806" t="s">
        <v>94</v>
      </c>
      <c r="I806" t="s">
        <v>194</v>
      </c>
      <c r="J806" t="s">
        <v>195</v>
      </c>
      <c r="K806">
        <v>796984</v>
      </c>
      <c r="L806" t="s">
        <v>344</v>
      </c>
      <c r="M806" t="s">
        <v>171</v>
      </c>
      <c r="N806" t="s">
        <v>57</v>
      </c>
      <c r="O806" s="1">
        <v>45658</v>
      </c>
      <c r="Q806" s="1">
        <v>46235</v>
      </c>
      <c r="R806" s="2">
        <v>18.2</v>
      </c>
      <c r="S806">
        <v>1</v>
      </c>
      <c r="T806" t="s">
        <v>58</v>
      </c>
      <c r="U806" t="s">
        <v>246</v>
      </c>
      <c r="V806" s="3">
        <v>0.15</v>
      </c>
      <c r="W806" s="2">
        <v>0</v>
      </c>
      <c r="X806">
        <v>0</v>
      </c>
      <c r="Y806" t="s">
        <v>247</v>
      </c>
      <c r="Z806" t="s">
        <v>248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2.73</v>
      </c>
      <c r="AN806" s="2">
        <v>2.73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46202</v>
      </c>
      <c r="B807" t="s">
        <v>48</v>
      </c>
      <c r="C807">
        <v>649163</v>
      </c>
      <c r="D807">
        <v>2025708054</v>
      </c>
      <c r="E807" t="s">
        <v>345</v>
      </c>
      <c r="F807" t="s">
        <v>199</v>
      </c>
      <c r="G807" t="s">
        <v>51</v>
      </c>
      <c r="H807" t="s">
        <v>94</v>
      </c>
      <c r="I807" t="s">
        <v>194</v>
      </c>
      <c r="J807" t="s">
        <v>881</v>
      </c>
      <c r="K807">
        <v>796984</v>
      </c>
      <c r="L807" t="s">
        <v>344</v>
      </c>
      <c r="M807" t="s">
        <v>171</v>
      </c>
      <c r="N807" t="s">
        <v>57</v>
      </c>
      <c r="O807" s="1">
        <v>45658</v>
      </c>
      <c r="Q807" s="1">
        <v>46235</v>
      </c>
      <c r="R807" s="2">
        <v>12.6</v>
      </c>
      <c r="S807">
        <v>1</v>
      </c>
      <c r="T807" t="s">
        <v>58</v>
      </c>
      <c r="U807" t="s">
        <v>246</v>
      </c>
      <c r="V807" s="3">
        <v>0.15</v>
      </c>
      <c r="W807" s="2">
        <v>0</v>
      </c>
      <c r="X807">
        <v>0</v>
      </c>
      <c r="Y807" t="s">
        <v>247</v>
      </c>
      <c r="Z807" t="s">
        <v>248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1.89</v>
      </c>
      <c r="AN807" s="2">
        <v>1.89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46202</v>
      </c>
      <c r="B808" t="s">
        <v>48</v>
      </c>
      <c r="C808">
        <v>649163</v>
      </c>
      <c r="D808">
        <v>2025787181</v>
      </c>
      <c r="E808" t="s">
        <v>346</v>
      </c>
      <c r="F808" t="s">
        <v>347</v>
      </c>
      <c r="G808" t="s">
        <v>51</v>
      </c>
      <c r="H808" t="s">
        <v>94</v>
      </c>
      <c r="I808" t="s">
        <v>194</v>
      </c>
      <c r="J808" t="s">
        <v>228</v>
      </c>
      <c r="K808">
        <v>796984</v>
      </c>
      <c r="L808" t="s">
        <v>344</v>
      </c>
      <c r="M808" t="s">
        <v>171</v>
      </c>
      <c r="N808" t="s">
        <v>57</v>
      </c>
      <c r="O808" s="1">
        <v>45627</v>
      </c>
      <c r="Q808" s="1">
        <v>46235</v>
      </c>
      <c r="R808" s="2">
        <v>38</v>
      </c>
      <c r="S808">
        <v>1</v>
      </c>
      <c r="T808" t="s">
        <v>58</v>
      </c>
      <c r="U808" t="s">
        <v>246</v>
      </c>
      <c r="V808" s="3">
        <v>0.09</v>
      </c>
      <c r="W808" s="2">
        <v>0</v>
      </c>
      <c r="X808">
        <v>0</v>
      </c>
      <c r="Y808" t="s">
        <v>247</v>
      </c>
      <c r="Z808" t="s">
        <v>248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3.42</v>
      </c>
      <c r="AN808" s="2">
        <v>3.42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46202</v>
      </c>
      <c r="B809" t="s">
        <v>48</v>
      </c>
      <c r="C809">
        <v>649163</v>
      </c>
      <c r="D809">
        <v>2025787183</v>
      </c>
      <c r="E809" t="s">
        <v>346</v>
      </c>
      <c r="F809" t="s">
        <v>347</v>
      </c>
      <c r="G809" t="s">
        <v>51</v>
      </c>
      <c r="H809" t="s">
        <v>94</v>
      </c>
      <c r="I809" t="s">
        <v>194</v>
      </c>
      <c r="J809" t="s">
        <v>195</v>
      </c>
      <c r="K809">
        <v>796984</v>
      </c>
      <c r="L809" t="s">
        <v>344</v>
      </c>
      <c r="M809" t="s">
        <v>171</v>
      </c>
      <c r="N809" t="s">
        <v>57</v>
      </c>
      <c r="O809" s="1">
        <v>45627</v>
      </c>
      <c r="Q809" s="1">
        <v>46235</v>
      </c>
      <c r="R809" s="2">
        <v>29.2</v>
      </c>
      <c r="S809">
        <v>1</v>
      </c>
      <c r="T809" t="s">
        <v>58</v>
      </c>
      <c r="U809" t="s">
        <v>246</v>
      </c>
      <c r="V809" s="3">
        <v>0.15</v>
      </c>
      <c r="W809" s="2">
        <v>0</v>
      </c>
      <c r="X809">
        <v>0</v>
      </c>
      <c r="Y809" t="s">
        <v>247</v>
      </c>
      <c r="Z809" t="s">
        <v>248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4.38</v>
      </c>
      <c r="AN809" s="2">
        <v>4.38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46202</v>
      </c>
      <c r="B810" t="s">
        <v>48</v>
      </c>
      <c r="C810">
        <v>649163</v>
      </c>
      <c r="D810">
        <v>2025831091</v>
      </c>
      <c r="E810" t="s">
        <v>713</v>
      </c>
      <c r="F810" t="s">
        <v>1011</v>
      </c>
      <c r="G810" t="s">
        <v>51</v>
      </c>
      <c r="H810" t="s">
        <v>100</v>
      </c>
      <c r="I810" t="s">
        <v>194</v>
      </c>
      <c r="J810" t="s">
        <v>195</v>
      </c>
      <c r="K810">
        <v>673059</v>
      </c>
      <c r="L810" t="s">
        <v>102</v>
      </c>
      <c r="M810" t="s">
        <v>103</v>
      </c>
      <c r="N810" t="s">
        <v>57</v>
      </c>
      <c r="O810" s="1">
        <v>45658</v>
      </c>
      <c r="Q810" s="1">
        <v>46235</v>
      </c>
      <c r="R810" s="2">
        <v>85.17</v>
      </c>
      <c r="S810">
        <v>1</v>
      </c>
      <c r="T810" t="s">
        <v>58</v>
      </c>
      <c r="U810" t="s">
        <v>246</v>
      </c>
      <c r="V810" s="3">
        <v>0.15</v>
      </c>
      <c r="W810" s="2">
        <v>0</v>
      </c>
      <c r="X810">
        <v>0</v>
      </c>
      <c r="Y810" t="s">
        <v>247</v>
      </c>
      <c r="Z810" t="s">
        <v>248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12.78</v>
      </c>
      <c r="AN810" s="2">
        <v>12.78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46202</v>
      </c>
      <c r="B811" t="s">
        <v>48</v>
      </c>
      <c r="C811">
        <v>649163</v>
      </c>
      <c r="D811">
        <v>2025831418</v>
      </c>
      <c r="E811" t="s">
        <v>713</v>
      </c>
      <c r="F811" t="s">
        <v>714</v>
      </c>
      <c r="G811" t="s">
        <v>51</v>
      </c>
      <c r="H811" t="s">
        <v>100</v>
      </c>
      <c r="I811" t="s">
        <v>194</v>
      </c>
      <c r="J811" t="s">
        <v>195</v>
      </c>
      <c r="K811">
        <v>673059</v>
      </c>
      <c r="L811" t="s">
        <v>102</v>
      </c>
      <c r="M811" t="s">
        <v>103</v>
      </c>
      <c r="N811" t="s">
        <v>57</v>
      </c>
      <c r="O811" s="1">
        <v>45658</v>
      </c>
      <c r="Q811" s="1">
        <v>46235</v>
      </c>
      <c r="R811" s="2">
        <v>16.72</v>
      </c>
      <c r="S811">
        <v>1</v>
      </c>
      <c r="T811" t="s">
        <v>58</v>
      </c>
      <c r="U811" t="s">
        <v>246</v>
      </c>
      <c r="V811" s="3">
        <v>0.15</v>
      </c>
      <c r="W811" s="2">
        <v>0</v>
      </c>
      <c r="X811">
        <v>0</v>
      </c>
      <c r="Y811" t="s">
        <v>247</v>
      </c>
      <c r="Z811" t="s">
        <v>248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2.5099999999999998</v>
      </c>
      <c r="AN811" s="2">
        <v>2.5099999999999998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46202</v>
      </c>
      <c r="B812" t="s">
        <v>48</v>
      </c>
      <c r="C812">
        <v>649163</v>
      </c>
      <c r="D812">
        <v>2025845088</v>
      </c>
      <c r="E812" t="s">
        <v>283</v>
      </c>
      <c r="F812" t="s">
        <v>284</v>
      </c>
      <c r="G812" t="s">
        <v>51</v>
      </c>
      <c r="H812" t="s">
        <v>52</v>
      </c>
      <c r="I812" t="s">
        <v>194</v>
      </c>
      <c r="J812" t="s">
        <v>881</v>
      </c>
      <c r="K812">
        <v>649164</v>
      </c>
      <c r="L812" t="s">
        <v>244</v>
      </c>
      <c r="M812" t="s">
        <v>245</v>
      </c>
      <c r="N812" t="s">
        <v>57</v>
      </c>
      <c r="O812" s="1">
        <v>45658</v>
      </c>
      <c r="Q812" s="1">
        <v>46235</v>
      </c>
      <c r="R812" s="2">
        <v>51.46</v>
      </c>
      <c r="S812">
        <v>1</v>
      </c>
      <c r="T812" t="s">
        <v>58</v>
      </c>
      <c r="U812" t="s">
        <v>246</v>
      </c>
      <c r="V812" s="3">
        <v>0.15</v>
      </c>
      <c r="W812" s="2">
        <v>0</v>
      </c>
      <c r="X812">
        <v>0</v>
      </c>
      <c r="Y812" t="s">
        <v>247</v>
      </c>
      <c r="Z812" t="s">
        <v>248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7.72</v>
      </c>
      <c r="AN812" s="2">
        <v>7.72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46202</v>
      </c>
      <c r="B813" t="s">
        <v>48</v>
      </c>
      <c r="C813">
        <v>649163</v>
      </c>
      <c r="D813">
        <v>2025997430</v>
      </c>
      <c r="E813" t="s">
        <v>348</v>
      </c>
      <c r="F813" t="s">
        <v>335</v>
      </c>
      <c r="G813" t="s">
        <v>51</v>
      </c>
      <c r="H813" t="s">
        <v>349</v>
      </c>
      <c r="I813" t="s">
        <v>194</v>
      </c>
      <c r="J813" t="s">
        <v>195</v>
      </c>
      <c r="K813">
        <v>673059</v>
      </c>
      <c r="L813" t="s">
        <v>102</v>
      </c>
      <c r="M813" t="s">
        <v>103</v>
      </c>
      <c r="N813" t="s">
        <v>57</v>
      </c>
      <c r="O813" s="1">
        <v>45689</v>
      </c>
      <c r="Q813" s="1">
        <v>46235</v>
      </c>
      <c r="R813" s="2">
        <v>120.5</v>
      </c>
      <c r="S813">
        <v>1</v>
      </c>
      <c r="T813" t="s">
        <v>58</v>
      </c>
      <c r="U813" t="s">
        <v>246</v>
      </c>
      <c r="V813" s="3">
        <v>0.15</v>
      </c>
      <c r="W813" s="2">
        <v>0</v>
      </c>
      <c r="X813">
        <v>0</v>
      </c>
      <c r="Y813" t="s">
        <v>247</v>
      </c>
      <c r="Z813" t="s">
        <v>248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18.079999999999998</v>
      </c>
      <c r="AN813" s="2">
        <v>18.079999999999998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46202</v>
      </c>
      <c r="B814" t="s">
        <v>48</v>
      </c>
      <c r="C814">
        <v>649163</v>
      </c>
      <c r="D814">
        <v>2026006726</v>
      </c>
      <c r="E814" t="s">
        <v>716</v>
      </c>
      <c r="F814" t="s">
        <v>265</v>
      </c>
      <c r="G814" t="s">
        <v>51</v>
      </c>
      <c r="H814" t="s">
        <v>68</v>
      </c>
      <c r="I814" t="s">
        <v>194</v>
      </c>
      <c r="J814" t="s">
        <v>195</v>
      </c>
      <c r="K814">
        <v>673059</v>
      </c>
      <c r="L814" t="s">
        <v>102</v>
      </c>
      <c r="M814" t="s">
        <v>103</v>
      </c>
      <c r="N814" t="s">
        <v>57</v>
      </c>
      <c r="O814" s="1">
        <v>45655</v>
      </c>
      <c r="Q814" s="1">
        <v>46232</v>
      </c>
      <c r="R814" s="2">
        <v>140.80000000000001</v>
      </c>
      <c r="S814">
        <v>1</v>
      </c>
      <c r="T814" t="s">
        <v>58</v>
      </c>
      <c r="U814" t="s">
        <v>246</v>
      </c>
      <c r="V814" s="3">
        <v>0.15</v>
      </c>
      <c r="W814" s="2">
        <v>0</v>
      </c>
      <c r="X814">
        <v>0</v>
      </c>
      <c r="Y814" t="s">
        <v>247</v>
      </c>
      <c r="Z814" t="s">
        <v>248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21.12</v>
      </c>
      <c r="AN814" s="2">
        <v>21.12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46202</v>
      </c>
      <c r="B815" t="s">
        <v>48</v>
      </c>
      <c r="C815">
        <v>649163</v>
      </c>
      <c r="D815">
        <v>2026328947</v>
      </c>
      <c r="E815" t="s">
        <v>918</v>
      </c>
      <c r="F815" t="s">
        <v>531</v>
      </c>
      <c r="G815" t="s">
        <v>51</v>
      </c>
      <c r="H815" t="s">
        <v>89</v>
      </c>
      <c r="I815" t="s">
        <v>194</v>
      </c>
      <c r="J815" t="s">
        <v>217</v>
      </c>
      <c r="K815">
        <v>792847</v>
      </c>
      <c r="L815" t="s">
        <v>918</v>
      </c>
      <c r="M815" t="s">
        <v>531</v>
      </c>
      <c r="N815" t="s">
        <v>57</v>
      </c>
      <c r="O815" s="1">
        <v>45689</v>
      </c>
      <c r="Q815" s="1">
        <v>46235</v>
      </c>
      <c r="R815" s="2">
        <v>35.5</v>
      </c>
      <c r="S815">
        <v>1</v>
      </c>
      <c r="T815" t="s">
        <v>58</v>
      </c>
      <c r="U815" t="s">
        <v>246</v>
      </c>
      <c r="V815" s="3">
        <v>0.1</v>
      </c>
      <c r="W815" s="2">
        <v>0</v>
      </c>
      <c r="X815">
        <v>0</v>
      </c>
      <c r="Y815" t="s">
        <v>247</v>
      </c>
      <c r="Z815" t="s">
        <v>248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3.55</v>
      </c>
      <c r="AN815" s="2">
        <v>3.55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46202</v>
      </c>
      <c r="B816" t="s">
        <v>48</v>
      </c>
      <c r="C816">
        <v>649163</v>
      </c>
      <c r="D816">
        <v>2026341991</v>
      </c>
      <c r="E816" t="s">
        <v>1012</v>
      </c>
      <c r="F816" t="s">
        <v>1013</v>
      </c>
      <c r="G816" t="s">
        <v>51</v>
      </c>
      <c r="H816" t="s">
        <v>89</v>
      </c>
      <c r="I816" t="s">
        <v>194</v>
      </c>
      <c r="J816" t="s">
        <v>195</v>
      </c>
      <c r="K816">
        <v>807212</v>
      </c>
      <c r="L816" t="s">
        <v>811</v>
      </c>
      <c r="M816" t="s">
        <v>812</v>
      </c>
      <c r="N816" t="s">
        <v>57</v>
      </c>
      <c r="O816" s="1">
        <v>45654</v>
      </c>
      <c r="Q816" s="1">
        <v>46231</v>
      </c>
      <c r="R816" s="2">
        <v>58.24</v>
      </c>
      <c r="S816">
        <v>1</v>
      </c>
      <c r="T816" t="s">
        <v>58</v>
      </c>
      <c r="U816" t="s">
        <v>246</v>
      </c>
      <c r="V816" s="3">
        <v>0.15</v>
      </c>
      <c r="W816" s="2">
        <v>0</v>
      </c>
      <c r="X816">
        <v>0</v>
      </c>
      <c r="Y816" t="s">
        <v>247</v>
      </c>
      <c r="Z816" t="s">
        <v>248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8.74</v>
      </c>
      <c r="AN816" s="2">
        <v>8.74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46202</v>
      </c>
      <c r="B817" t="s">
        <v>48</v>
      </c>
      <c r="C817">
        <v>649163</v>
      </c>
      <c r="D817">
        <v>2026421012</v>
      </c>
      <c r="E817" t="s">
        <v>717</v>
      </c>
      <c r="F817" t="s">
        <v>199</v>
      </c>
      <c r="G817" t="s">
        <v>51</v>
      </c>
      <c r="H817" t="s">
        <v>89</v>
      </c>
      <c r="I817" t="s">
        <v>194</v>
      </c>
      <c r="J817" t="s">
        <v>195</v>
      </c>
      <c r="K817">
        <v>766747</v>
      </c>
      <c r="L817" t="s">
        <v>718</v>
      </c>
      <c r="M817" t="s">
        <v>478</v>
      </c>
      <c r="N817" t="s">
        <v>57</v>
      </c>
      <c r="O817" s="1">
        <v>45689</v>
      </c>
      <c r="Q817" s="1">
        <v>46235</v>
      </c>
      <c r="R817" s="2">
        <v>11.5</v>
      </c>
      <c r="S817">
        <v>1</v>
      </c>
      <c r="T817" t="s">
        <v>58</v>
      </c>
      <c r="U817" t="s">
        <v>246</v>
      </c>
      <c r="V817" s="3">
        <v>0.15</v>
      </c>
      <c r="W817" s="2">
        <v>0</v>
      </c>
      <c r="X817">
        <v>0</v>
      </c>
      <c r="Y817" t="s">
        <v>247</v>
      </c>
      <c r="Z817" t="s">
        <v>248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1.72</v>
      </c>
      <c r="AN817" s="2">
        <v>1.72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46202</v>
      </c>
      <c r="B818" t="s">
        <v>48</v>
      </c>
      <c r="C818">
        <v>649163</v>
      </c>
      <c r="D818">
        <v>2026471870</v>
      </c>
      <c r="E818" t="s">
        <v>285</v>
      </c>
      <c r="F818" t="s">
        <v>286</v>
      </c>
      <c r="G818" t="s">
        <v>51</v>
      </c>
      <c r="H818" t="s">
        <v>117</v>
      </c>
      <c r="I818" t="s">
        <v>194</v>
      </c>
      <c r="J818" t="s">
        <v>195</v>
      </c>
      <c r="K818">
        <v>673059</v>
      </c>
      <c r="L818" t="s">
        <v>102</v>
      </c>
      <c r="M818" t="s">
        <v>103</v>
      </c>
      <c r="N818" t="s">
        <v>57</v>
      </c>
      <c r="O818" s="1">
        <v>45689</v>
      </c>
      <c r="Q818" s="1">
        <v>46235</v>
      </c>
      <c r="R818" s="2">
        <v>26.82</v>
      </c>
      <c r="S818">
        <v>1</v>
      </c>
      <c r="T818" t="s">
        <v>58</v>
      </c>
      <c r="U818" t="s">
        <v>246</v>
      </c>
      <c r="V818" s="3">
        <v>0.15</v>
      </c>
      <c r="W818" s="2">
        <v>0</v>
      </c>
      <c r="X818">
        <v>0</v>
      </c>
      <c r="Y818" t="s">
        <v>247</v>
      </c>
      <c r="Z818" t="s">
        <v>248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4.0199999999999996</v>
      </c>
      <c r="AN818" s="2">
        <v>4.0199999999999996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46202</v>
      </c>
      <c r="B819" t="s">
        <v>48</v>
      </c>
      <c r="C819">
        <v>649163</v>
      </c>
      <c r="D819">
        <v>2026471871</v>
      </c>
      <c r="E819" t="s">
        <v>285</v>
      </c>
      <c r="F819" t="s">
        <v>286</v>
      </c>
      <c r="G819" t="s">
        <v>51</v>
      </c>
      <c r="H819" t="s">
        <v>117</v>
      </c>
      <c r="I819" t="s">
        <v>194</v>
      </c>
      <c r="J819" t="s">
        <v>881</v>
      </c>
      <c r="K819">
        <v>673059</v>
      </c>
      <c r="L819" t="s">
        <v>102</v>
      </c>
      <c r="M819" t="s">
        <v>103</v>
      </c>
      <c r="N819" t="s">
        <v>57</v>
      </c>
      <c r="O819" s="1">
        <v>45689</v>
      </c>
      <c r="Q819" s="1">
        <v>46235</v>
      </c>
      <c r="R819" s="2">
        <v>25.73</v>
      </c>
      <c r="S819">
        <v>1</v>
      </c>
      <c r="T819" t="s">
        <v>58</v>
      </c>
      <c r="U819" t="s">
        <v>246</v>
      </c>
      <c r="V819" s="3">
        <v>0.15</v>
      </c>
      <c r="W819" s="2">
        <v>0</v>
      </c>
      <c r="X819">
        <v>0</v>
      </c>
      <c r="Y819" t="s">
        <v>247</v>
      </c>
      <c r="Z819" t="s">
        <v>248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3.86</v>
      </c>
      <c r="AN819" s="2">
        <v>3.86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46202</v>
      </c>
      <c r="B820" t="s">
        <v>48</v>
      </c>
      <c r="C820">
        <v>649163</v>
      </c>
      <c r="D820">
        <v>2026548461</v>
      </c>
      <c r="E820" t="s">
        <v>1014</v>
      </c>
      <c r="F820" t="s">
        <v>888</v>
      </c>
      <c r="G820" t="s">
        <v>51</v>
      </c>
      <c r="H820" t="s">
        <v>89</v>
      </c>
      <c r="I820" t="s">
        <v>194</v>
      </c>
      <c r="J820" t="s">
        <v>195</v>
      </c>
      <c r="K820">
        <v>812782</v>
      </c>
      <c r="L820" t="s">
        <v>181</v>
      </c>
      <c r="M820" t="s">
        <v>182</v>
      </c>
      <c r="N820" t="s">
        <v>57</v>
      </c>
      <c r="O820" s="1">
        <v>45689</v>
      </c>
      <c r="Q820" s="1">
        <v>46235</v>
      </c>
      <c r="R820" s="2">
        <v>198.36</v>
      </c>
      <c r="S820">
        <v>1</v>
      </c>
      <c r="T820" t="s">
        <v>58</v>
      </c>
      <c r="U820" t="s">
        <v>246</v>
      </c>
      <c r="V820" s="3">
        <v>0.15</v>
      </c>
      <c r="W820" s="2">
        <v>0</v>
      </c>
      <c r="X820">
        <v>0</v>
      </c>
      <c r="Y820" t="s">
        <v>247</v>
      </c>
      <c r="Z820" t="s">
        <v>248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29.75</v>
      </c>
      <c r="AN820" s="2">
        <v>29.75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46202</v>
      </c>
      <c r="B821" t="s">
        <v>48</v>
      </c>
      <c r="C821">
        <v>649163</v>
      </c>
      <c r="D821">
        <v>2026549078</v>
      </c>
      <c r="E821" t="s">
        <v>1014</v>
      </c>
      <c r="F821" t="s">
        <v>1015</v>
      </c>
      <c r="G821" t="s">
        <v>51</v>
      </c>
      <c r="H821" t="s">
        <v>89</v>
      </c>
      <c r="I821" t="s">
        <v>194</v>
      </c>
      <c r="J821" t="s">
        <v>195</v>
      </c>
      <c r="K821">
        <v>812782</v>
      </c>
      <c r="L821" t="s">
        <v>181</v>
      </c>
      <c r="M821" t="s">
        <v>182</v>
      </c>
      <c r="N821" t="s">
        <v>57</v>
      </c>
      <c r="O821" s="1">
        <v>45689</v>
      </c>
      <c r="Q821" s="1">
        <v>46235</v>
      </c>
      <c r="R821" s="2">
        <v>28.9</v>
      </c>
      <c r="S821">
        <v>1</v>
      </c>
      <c r="T821" t="s">
        <v>58</v>
      </c>
      <c r="U821" t="s">
        <v>246</v>
      </c>
      <c r="V821" s="3">
        <v>0.15</v>
      </c>
      <c r="W821" s="2">
        <v>0</v>
      </c>
      <c r="X821">
        <v>0</v>
      </c>
      <c r="Y821" t="s">
        <v>247</v>
      </c>
      <c r="Z821" t="s">
        <v>248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4.34</v>
      </c>
      <c r="AN821" s="2">
        <v>4.34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46202</v>
      </c>
      <c r="B822" t="s">
        <v>48</v>
      </c>
      <c r="C822">
        <v>649163</v>
      </c>
      <c r="D822">
        <v>2026568843</v>
      </c>
      <c r="E822" t="s">
        <v>1016</v>
      </c>
      <c r="F822" t="s">
        <v>1017</v>
      </c>
      <c r="G822" t="s">
        <v>51</v>
      </c>
      <c r="H822" t="s">
        <v>68</v>
      </c>
      <c r="I822" t="s">
        <v>194</v>
      </c>
      <c r="J822" t="s">
        <v>881</v>
      </c>
      <c r="K822">
        <v>673059</v>
      </c>
      <c r="L822" t="s">
        <v>102</v>
      </c>
      <c r="M822" t="s">
        <v>103</v>
      </c>
      <c r="N822" t="s">
        <v>57</v>
      </c>
      <c r="O822" s="1">
        <v>45689</v>
      </c>
      <c r="Q822" s="1">
        <v>46235</v>
      </c>
      <c r="R822" s="2">
        <v>21.44</v>
      </c>
      <c r="S822">
        <v>1</v>
      </c>
      <c r="T822" t="s">
        <v>58</v>
      </c>
      <c r="U822" t="s">
        <v>246</v>
      </c>
      <c r="V822" s="3">
        <v>0.15</v>
      </c>
      <c r="W822" s="2">
        <v>0</v>
      </c>
      <c r="X822">
        <v>0</v>
      </c>
      <c r="Y822" t="s">
        <v>247</v>
      </c>
      <c r="Z822" t="s">
        <v>248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3.22</v>
      </c>
      <c r="AN822" s="2">
        <v>3.22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46202</v>
      </c>
      <c r="B823" t="s">
        <v>48</v>
      </c>
      <c r="C823">
        <v>649163</v>
      </c>
      <c r="D823">
        <v>2026568844</v>
      </c>
      <c r="E823" t="s">
        <v>1016</v>
      </c>
      <c r="F823" t="s">
        <v>1017</v>
      </c>
      <c r="G823" t="s">
        <v>51</v>
      </c>
      <c r="H823" t="s">
        <v>68</v>
      </c>
      <c r="I823" t="s">
        <v>194</v>
      </c>
      <c r="J823" t="s">
        <v>195</v>
      </c>
      <c r="K823">
        <v>673059</v>
      </c>
      <c r="L823" t="s">
        <v>102</v>
      </c>
      <c r="M823" t="s">
        <v>103</v>
      </c>
      <c r="N823" t="s">
        <v>57</v>
      </c>
      <c r="O823" s="1">
        <v>45689</v>
      </c>
      <c r="Q823" s="1">
        <v>46235</v>
      </c>
      <c r="R823" s="2">
        <v>34</v>
      </c>
      <c r="S823">
        <v>1</v>
      </c>
      <c r="T823" t="s">
        <v>58</v>
      </c>
      <c r="U823" t="s">
        <v>246</v>
      </c>
      <c r="V823" s="3">
        <v>0.15</v>
      </c>
      <c r="W823" s="2">
        <v>0</v>
      </c>
      <c r="X823">
        <v>0</v>
      </c>
      <c r="Y823" t="s">
        <v>247</v>
      </c>
      <c r="Z823" t="s">
        <v>248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5.0999999999999996</v>
      </c>
      <c r="AN823" s="2">
        <v>5.0999999999999996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46202</v>
      </c>
      <c r="B824" t="s">
        <v>48</v>
      </c>
      <c r="C824">
        <v>649163</v>
      </c>
      <c r="D824">
        <v>2026588333</v>
      </c>
      <c r="E824" t="s">
        <v>604</v>
      </c>
      <c r="F824" t="s">
        <v>605</v>
      </c>
      <c r="G824" t="s">
        <v>51</v>
      </c>
      <c r="H824" t="s">
        <v>97</v>
      </c>
      <c r="I824" t="s">
        <v>194</v>
      </c>
      <c r="J824" t="s">
        <v>195</v>
      </c>
      <c r="K824">
        <v>756418</v>
      </c>
      <c r="L824" t="s">
        <v>383</v>
      </c>
      <c r="M824" t="s">
        <v>384</v>
      </c>
      <c r="N824" t="s">
        <v>57</v>
      </c>
      <c r="O824" s="1">
        <v>45689</v>
      </c>
      <c r="Q824" s="1">
        <v>46235</v>
      </c>
      <c r="R824" s="2">
        <v>89.8</v>
      </c>
      <c r="S824">
        <v>1</v>
      </c>
      <c r="T824" t="s">
        <v>58</v>
      </c>
      <c r="U824" t="s">
        <v>246</v>
      </c>
      <c r="V824" s="3">
        <v>0.15</v>
      </c>
      <c r="W824" s="2">
        <v>0</v>
      </c>
      <c r="X824">
        <v>0</v>
      </c>
      <c r="Y824" t="s">
        <v>247</v>
      </c>
      <c r="Z824" t="s">
        <v>248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13.47</v>
      </c>
      <c r="AN824" s="2">
        <v>13.47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46202</v>
      </c>
      <c r="B825" t="s">
        <v>48</v>
      </c>
      <c r="C825">
        <v>649163</v>
      </c>
      <c r="D825">
        <v>2026605719</v>
      </c>
      <c r="E825" t="s">
        <v>350</v>
      </c>
      <c r="F825" t="s">
        <v>351</v>
      </c>
      <c r="G825" t="s">
        <v>51</v>
      </c>
      <c r="H825" t="s">
        <v>94</v>
      </c>
      <c r="I825" t="s">
        <v>194</v>
      </c>
      <c r="J825" t="s">
        <v>195</v>
      </c>
      <c r="K825">
        <v>816021</v>
      </c>
      <c r="L825" t="s">
        <v>80</v>
      </c>
      <c r="M825" t="s">
        <v>81</v>
      </c>
      <c r="N825" t="s">
        <v>57</v>
      </c>
      <c r="O825" s="1">
        <v>45689</v>
      </c>
      <c r="Q825" s="1">
        <v>46235</v>
      </c>
      <c r="R825" s="2">
        <v>9.1</v>
      </c>
      <c r="S825">
        <v>1</v>
      </c>
      <c r="T825" t="s">
        <v>58</v>
      </c>
      <c r="U825" t="s">
        <v>246</v>
      </c>
      <c r="V825" s="3">
        <v>0.15</v>
      </c>
      <c r="W825" s="2">
        <v>0</v>
      </c>
      <c r="X825">
        <v>0</v>
      </c>
      <c r="Y825" t="s">
        <v>247</v>
      </c>
      <c r="Z825" t="s">
        <v>248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1.36</v>
      </c>
      <c r="AN825" s="2">
        <v>1.36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46202</v>
      </c>
      <c r="B826" t="s">
        <v>48</v>
      </c>
      <c r="C826">
        <v>649163</v>
      </c>
      <c r="D826">
        <v>2026606538</v>
      </c>
      <c r="E826" t="s">
        <v>1018</v>
      </c>
      <c r="F826" t="s">
        <v>1019</v>
      </c>
      <c r="G826" t="s">
        <v>51</v>
      </c>
      <c r="H826" t="s">
        <v>124</v>
      </c>
      <c r="I826" t="s">
        <v>194</v>
      </c>
      <c r="J826" t="s">
        <v>195</v>
      </c>
      <c r="K826">
        <v>753748</v>
      </c>
      <c r="L826" t="s">
        <v>358</v>
      </c>
      <c r="M826" t="s">
        <v>359</v>
      </c>
      <c r="N826" t="s">
        <v>57</v>
      </c>
      <c r="O826" s="1">
        <v>45689</v>
      </c>
      <c r="Q826" s="1">
        <v>46235</v>
      </c>
      <c r="R826" s="2">
        <v>237.05</v>
      </c>
      <c r="S826">
        <v>1</v>
      </c>
      <c r="T826" t="s">
        <v>58</v>
      </c>
      <c r="U826" t="s">
        <v>246</v>
      </c>
      <c r="V826" s="3">
        <v>0.15</v>
      </c>
      <c r="W826" s="2">
        <v>0</v>
      </c>
      <c r="X826">
        <v>0</v>
      </c>
      <c r="Y826" t="s">
        <v>247</v>
      </c>
      <c r="Z826" t="s">
        <v>248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35.56</v>
      </c>
      <c r="AN826" s="2">
        <v>35.56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46202</v>
      </c>
      <c r="B827" t="s">
        <v>48</v>
      </c>
      <c r="C827">
        <v>649163</v>
      </c>
      <c r="D827">
        <v>2026608092</v>
      </c>
      <c r="E827" t="s">
        <v>905</v>
      </c>
      <c r="F827" t="s">
        <v>533</v>
      </c>
      <c r="G827" t="s">
        <v>51</v>
      </c>
      <c r="H827" t="s">
        <v>94</v>
      </c>
      <c r="I827" t="s">
        <v>194</v>
      </c>
      <c r="J827" t="s">
        <v>195</v>
      </c>
      <c r="K827">
        <v>816021</v>
      </c>
      <c r="L827" t="s">
        <v>80</v>
      </c>
      <c r="M827" t="s">
        <v>81</v>
      </c>
      <c r="N827" t="s">
        <v>57</v>
      </c>
      <c r="O827" s="1">
        <v>45689</v>
      </c>
      <c r="Q827" s="1">
        <v>46235</v>
      </c>
      <c r="R827" s="2">
        <v>9.1</v>
      </c>
      <c r="S827">
        <v>1</v>
      </c>
      <c r="T827" t="s">
        <v>58</v>
      </c>
      <c r="U827" t="s">
        <v>246</v>
      </c>
      <c r="V827" s="3">
        <v>0.15</v>
      </c>
      <c r="W827" s="2">
        <v>0</v>
      </c>
      <c r="X827">
        <v>0</v>
      </c>
      <c r="Y827" t="s">
        <v>247</v>
      </c>
      <c r="Z827" t="s">
        <v>248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1.36</v>
      </c>
      <c r="AN827" s="2">
        <v>1.36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46202</v>
      </c>
      <c r="B828" t="s">
        <v>48</v>
      </c>
      <c r="C828">
        <v>649163</v>
      </c>
      <c r="D828">
        <v>2026615269</v>
      </c>
      <c r="E828" t="s">
        <v>352</v>
      </c>
      <c r="F828" t="s">
        <v>353</v>
      </c>
      <c r="G828" t="s">
        <v>51</v>
      </c>
      <c r="H828" t="s">
        <v>94</v>
      </c>
      <c r="I828" t="s">
        <v>194</v>
      </c>
      <c r="J828" t="s">
        <v>195</v>
      </c>
      <c r="K828">
        <v>816021</v>
      </c>
      <c r="L828" t="s">
        <v>80</v>
      </c>
      <c r="M828" t="s">
        <v>81</v>
      </c>
      <c r="N828" t="s">
        <v>57</v>
      </c>
      <c r="O828" s="1">
        <v>45689</v>
      </c>
      <c r="Q828" s="1">
        <v>46235</v>
      </c>
      <c r="R828" s="2">
        <v>9.1</v>
      </c>
      <c r="S828">
        <v>1</v>
      </c>
      <c r="T828" t="s">
        <v>58</v>
      </c>
      <c r="U828" t="s">
        <v>246</v>
      </c>
      <c r="V828" s="3">
        <v>0.15</v>
      </c>
      <c r="W828" s="2">
        <v>0</v>
      </c>
      <c r="X828">
        <v>0</v>
      </c>
      <c r="Y828" t="s">
        <v>247</v>
      </c>
      <c r="Z828" t="s">
        <v>248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1.36</v>
      </c>
      <c r="AN828" s="2">
        <v>1.36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46202</v>
      </c>
      <c r="B829" t="s">
        <v>48</v>
      </c>
      <c r="C829">
        <v>649163</v>
      </c>
      <c r="D829">
        <v>2026616496</v>
      </c>
      <c r="E829" t="s">
        <v>354</v>
      </c>
      <c r="F829" t="s">
        <v>355</v>
      </c>
      <c r="G829" t="s">
        <v>51</v>
      </c>
      <c r="H829" t="s">
        <v>117</v>
      </c>
      <c r="I829" t="s">
        <v>194</v>
      </c>
      <c r="J829" t="s">
        <v>195</v>
      </c>
      <c r="K829">
        <v>673059</v>
      </c>
      <c r="L829" t="s">
        <v>102</v>
      </c>
      <c r="M829" t="s">
        <v>103</v>
      </c>
      <c r="N829" t="s">
        <v>57</v>
      </c>
      <c r="O829" s="1">
        <v>45689</v>
      </c>
      <c r="Q829" s="1">
        <v>46235</v>
      </c>
      <c r="R829" s="2">
        <v>35.04</v>
      </c>
      <c r="S829">
        <v>1</v>
      </c>
      <c r="T829" t="s">
        <v>58</v>
      </c>
      <c r="U829" t="s">
        <v>246</v>
      </c>
      <c r="V829" s="3">
        <v>0.15</v>
      </c>
      <c r="W829" s="2">
        <v>0</v>
      </c>
      <c r="X829">
        <v>0</v>
      </c>
      <c r="Y829" t="s">
        <v>247</v>
      </c>
      <c r="Z829" t="s">
        <v>248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5.26</v>
      </c>
      <c r="AN829" s="2">
        <v>5.26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46202</v>
      </c>
      <c r="B830" t="s">
        <v>48</v>
      </c>
      <c r="C830">
        <v>649163</v>
      </c>
      <c r="D830">
        <v>2026616497</v>
      </c>
      <c r="E830" t="s">
        <v>354</v>
      </c>
      <c r="F830" t="s">
        <v>355</v>
      </c>
      <c r="G830" t="s">
        <v>51</v>
      </c>
      <c r="H830" t="s">
        <v>117</v>
      </c>
      <c r="I830" t="s">
        <v>194</v>
      </c>
      <c r="J830" t="s">
        <v>881</v>
      </c>
      <c r="K830">
        <v>673059</v>
      </c>
      <c r="L830" t="s">
        <v>102</v>
      </c>
      <c r="M830" t="s">
        <v>103</v>
      </c>
      <c r="N830" t="s">
        <v>57</v>
      </c>
      <c r="O830" s="1">
        <v>45689</v>
      </c>
      <c r="Q830" s="1">
        <v>46235</v>
      </c>
      <c r="R830" s="2">
        <v>25.73</v>
      </c>
      <c r="S830">
        <v>1</v>
      </c>
      <c r="T830" t="s">
        <v>58</v>
      </c>
      <c r="U830" t="s">
        <v>246</v>
      </c>
      <c r="V830" s="3">
        <v>0.15</v>
      </c>
      <c r="W830" s="2">
        <v>0</v>
      </c>
      <c r="X830">
        <v>0</v>
      </c>
      <c r="Y830" t="s">
        <v>247</v>
      </c>
      <c r="Z830" t="s">
        <v>248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3.86</v>
      </c>
      <c r="AN830" s="2">
        <v>3.86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46202</v>
      </c>
      <c r="B831" t="s">
        <v>48</v>
      </c>
      <c r="C831">
        <v>649163</v>
      </c>
      <c r="D831">
        <v>2026618581</v>
      </c>
      <c r="E831" t="s">
        <v>360</v>
      </c>
      <c r="F831" t="s">
        <v>361</v>
      </c>
      <c r="G831" t="s">
        <v>51</v>
      </c>
      <c r="H831" t="s">
        <v>75</v>
      </c>
      <c r="I831" t="s">
        <v>194</v>
      </c>
      <c r="J831" t="s">
        <v>195</v>
      </c>
      <c r="K831">
        <v>753748</v>
      </c>
      <c r="L831" t="s">
        <v>358</v>
      </c>
      <c r="M831" t="s">
        <v>359</v>
      </c>
      <c r="N831" t="s">
        <v>57</v>
      </c>
      <c r="O831" s="1">
        <v>45689</v>
      </c>
      <c r="Q831" s="1">
        <v>46235</v>
      </c>
      <c r="R831" s="2">
        <v>59.89</v>
      </c>
      <c r="S831">
        <v>1</v>
      </c>
      <c r="T831" t="s">
        <v>58</v>
      </c>
      <c r="U831" t="s">
        <v>246</v>
      </c>
      <c r="V831" s="3">
        <v>0.15</v>
      </c>
      <c r="W831" s="2">
        <v>0</v>
      </c>
      <c r="X831">
        <v>0</v>
      </c>
      <c r="Y831" t="s">
        <v>247</v>
      </c>
      <c r="Z831" t="s">
        <v>248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8.98</v>
      </c>
      <c r="AN831" s="2">
        <v>8.98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46202</v>
      </c>
      <c r="B832" t="s">
        <v>48</v>
      </c>
      <c r="C832">
        <v>649163</v>
      </c>
      <c r="D832">
        <v>2026619108</v>
      </c>
      <c r="E832" t="s">
        <v>362</v>
      </c>
      <c r="F832" t="s">
        <v>363</v>
      </c>
      <c r="G832" t="s">
        <v>51</v>
      </c>
      <c r="H832" t="s">
        <v>124</v>
      </c>
      <c r="I832" t="s">
        <v>194</v>
      </c>
      <c r="J832" t="s">
        <v>195</v>
      </c>
      <c r="K832">
        <v>673059</v>
      </c>
      <c r="L832" t="s">
        <v>102</v>
      </c>
      <c r="M832" t="s">
        <v>103</v>
      </c>
      <c r="N832" t="s">
        <v>57</v>
      </c>
      <c r="O832" s="1">
        <v>45689</v>
      </c>
      <c r="Q832" s="1">
        <v>46235</v>
      </c>
      <c r="R832" s="2">
        <v>109.36</v>
      </c>
      <c r="S832">
        <v>1</v>
      </c>
      <c r="T832" t="s">
        <v>58</v>
      </c>
      <c r="U832" t="s">
        <v>246</v>
      </c>
      <c r="V832" s="3">
        <v>0.15</v>
      </c>
      <c r="W832" s="2">
        <v>0</v>
      </c>
      <c r="X832">
        <v>0</v>
      </c>
      <c r="Y832" t="s">
        <v>247</v>
      </c>
      <c r="Z832" t="s">
        <v>248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16.399999999999999</v>
      </c>
      <c r="AN832" s="2">
        <v>16.399999999999999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46202</v>
      </c>
      <c r="B833" t="s">
        <v>48</v>
      </c>
      <c r="C833">
        <v>649163</v>
      </c>
      <c r="D833">
        <v>2026619109</v>
      </c>
      <c r="E833" t="s">
        <v>362</v>
      </c>
      <c r="F833" t="s">
        <v>363</v>
      </c>
      <c r="G833" t="s">
        <v>51</v>
      </c>
      <c r="H833" t="s">
        <v>124</v>
      </c>
      <c r="I833" t="s">
        <v>194</v>
      </c>
      <c r="J833" t="s">
        <v>881</v>
      </c>
      <c r="K833">
        <v>673059</v>
      </c>
      <c r="L833" t="s">
        <v>102</v>
      </c>
      <c r="M833" t="s">
        <v>103</v>
      </c>
      <c r="N833" t="s">
        <v>57</v>
      </c>
      <c r="O833" s="1">
        <v>45689</v>
      </c>
      <c r="Q833" s="1">
        <v>46235</v>
      </c>
      <c r="R833" s="2">
        <v>85.53</v>
      </c>
      <c r="S833">
        <v>1</v>
      </c>
      <c r="T833" t="s">
        <v>58</v>
      </c>
      <c r="U833" t="s">
        <v>246</v>
      </c>
      <c r="V833" s="3">
        <v>0.15</v>
      </c>
      <c r="W833" s="2">
        <v>0</v>
      </c>
      <c r="X833">
        <v>0</v>
      </c>
      <c r="Y833" t="s">
        <v>247</v>
      </c>
      <c r="Z833" t="s">
        <v>248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12.83</v>
      </c>
      <c r="AN833" s="2">
        <v>12.83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46202</v>
      </c>
      <c r="B834" t="s">
        <v>48</v>
      </c>
      <c r="C834">
        <v>649163</v>
      </c>
      <c r="D834">
        <v>2026637549</v>
      </c>
      <c r="E834" t="s">
        <v>906</v>
      </c>
      <c r="F834" t="s">
        <v>907</v>
      </c>
      <c r="G834" t="s">
        <v>51</v>
      </c>
      <c r="H834" t="s">
        <v>89</v>
      </c>
      <c r="I834" t="s">
        <v>194</v>
      </c>
      <c r="J834" t="s">
        <v>195</v>
      </c>
      <c r="K834">
        <v>812782</v>
      </c>
      <c r="L834" t="s">
        <v>181</v>
      </c>
      <c r="M834" t="s">
        <v>182</v>
      </c>
      <c r="N834" t="s">
        <v>57</v>
      </c>
      <c r="O834" s="1">
        <v>45689</v>
      </c>
      <c r="Q834" s="1">
        <v>46235</v>
      </c>
      <c r="R834" s="2">
        <v>11.5</v>
      </c>
      <c r="S834">
        <v>1</v>
      </c>
      <c r="T834" t="s">
        <v>58</v>
      </c>
      <c r="U834" t="s">
        <v>246</v>
      </c>
      <c r="V834" s="3">
        <v>0.15</v>
      </c>
      <c r="W834" s="2">
        <v>0</v>
      </c>
      <c r="X834">
        <v>0</v>
      </c>
      <c r="Y834" t="s">
        <v>247</v>
      </c>
      <c r="Z834" t="s">
        <v>248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1.72</v>
      </c>
      <c r="AN834" s="2">
        <v>1.72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46202</v>
      </c>
      <c r="B835" t="s">
        <v>48</v>
      </c>
      <c r="C835">
        <v>649163</v>
      </c>
      <c r="D835">
        <v>2026701618</v>
      </c>
      <c r="E835" t="s">
        <v>364</v>
      </c>
      <c r="F835" t="s">
        <v>365</v>
      </c>
      <c r="G835" t="s">
        <v>51</v>
      </c>
      <c r="H835" t="s">
        <v>89</v>
      </c>
      <c r="I835" t="s">
        <v>194</v>
      </c>
      <c r="J835" t="s">
        <v>195</v>
      </c>
      <c r="K835">
        <v>753748</v>
      </c>
      <c r="L835" t="s">
        <v>358</v>
      </c>
      <c r="M835" t="s">
        <v>359</v>
      </c>
      <c r="N835" t="s">
        <v>57</v>
      </c>
      <c r="O835" s="1">
        <v>45689</v>
      </c>
      <c r="Q835" s="1">
        <v>46235</v>
      </c>
      <c r="R835" s="2">
        <v>212.26</v>
      </c>
      <c r="S835">
        <v>1</v>
      </c>
      <c r="T835" t="s">
        <v>58</v>
      </c>
      <c r="U835" t="s">
        <v>246</v>
      </c>
      <c r="V835" s="3">
        <v>0.15</v>
      </c>
      <c r="W835" s="2">
        <v>0</v>
      </c>
      <c r="X835">
        <v>0</v>
      </c>
      <c r="Y835" t="s">
        <v>247</v>
      </c>
      <c r="Z835" t="s">
        <v>248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31.84</v>
      </c>
      <c r="AN835" s="2">
        <v>31.84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46202</v>
      </c>
      <c r="B836" t="s">
        <v>48</v>
      </c>
      <c r="C836">
        <v>649163</v>
      </c>
      <c r="D836">
        <v>2026703544</v>
      </c>
      <c r="E836" t="s">
        <v>604</v>
      </c>
      <c r="F836" t="s">
        <v>259</v>
      </c>
      <c r="G836" t="s">
        <v>51</v>
      </c>
      <c r="H836" t="s">
        <v>89</v>
      </c>
      <c r="I836" t="s">
        <v>194</v>
      </c>
      <c r="J836" t="s">
        <v>195</v>
      </c>
      <c r="K836">
        <v>766747</v>
      </c>
      <c r="L836" t="s">
        <v>718</v>
      </c>
      <c r="M836" t="s">
        <v>478</v>
      </c>
      <c r="N836" t="s">
        <v>57</v>
      </c>
      <c r="O836" s="1">
        <v>45689</v>
      </c>
      <c r="Q836" s="1">
        <v>46235</v>
      </c>
      <c r="R836" s="2">
        <v>169.06</v>
      </c>
      <c r="S836">
        <v>1</v>
      </c>
      <c r="T836" t="s">
        <v>58</v>
      </c>
      <c r="U836" t="s">
        <v>246</v>
      </c>
      <c r="V836" s="3">
        <v>0.15</v>
      </c>
      <c r="W836" s="2">
        <v>0</v>
      </c>
      <c r="X836">
        <v>0</v>
      </c>
      <c r="Y836" t="s">
        <v>247</v>
      </c>
      <c r="Z836" t="s">
        <v>248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25.36</v>
      </c>
      <c r="AN836" s="2">
        <v>25.36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46202</v>
      </c>
      <c r="B837" t="s">
        <v>48</v>
      </c>
      <c r="C837">
        <v>649163</v>
      </c>
      <c r="D837">
        <v>2026718142</v>
      </c>
      <c r="E837" t="s">
        <v>956</v>
      </c>
      <c r="F837" t="s">
        <v>259</v>
      </c>
      <c r="G837" t="s">
        <v>51</v>
      </c>
      <c r="H837" t="s">
        <v>89</v>
      </c>
      <c r="I837" t="s">
        <v>194</v>
      </c>
      <c r="J837" t="s">
        <v>195</v>
      </c>
      <c r="K837">
        <v>768271</v>
      </c>
      <c r="L837" t="s">
        <v>206</v>
      </c>
      <c r="M837" t="s">
        <v>207</v>
      </c>
      <c r="N837" t="s">
        <v>57</v>
      </c>
      <c r="O837" s="1">
        <v>45689</v>
      </c>
      <c r="Q837" s="1">
        <v>46235</v>
      </c>
      <c r="R837" s="2">
        <v>284.54000000000002</v>
      </c>
      <c r="S837">
        <v>1</v>
      </c>
      <c r="T837" t="s">
        <v>58</v>
      </c>
      <c r="U837" t="s">
        <v>246</v>
      </c>
      <c r="V837" s="3">
        <v>0.15</v>
      </c>
      <c r="W837" s="2">
        <v>0</v>
      </c>
      <c r="X837">
        <v>0</v>
      </c>
      <c r="Y837" t="s">
        <v>247</v>
      </c>
      <c r="Z837" t="s">
        <v>248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42.68</v>
      </c>
      <c r="AN837" s="2">
        <v>42.68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46202</v>
      </c>
      <c r="B838" t="s">
        <v>48</v>
      </c>
      <c r="C838">
        <v>649163</v>
      </c>
      <c r="D838">
        <v>2026728416</v>
      </c>
      <c r="E838" t="s">
        <v>910</v>
      </c>
      <c r="F838" t="s">
        <v>911</v>
      </c>
      <c r="G838" t="s">
        <v>51</v>
      </c>
      <c r="H838" t="s">
        <v>89</v>
      </c>
      <c r="I838" t="s">
        <v>194</v>
      </c>
      <c r="J838" t="s">
        <v>195</v>
      </c>
      <c r="K838">
        <v>822723</v>
      </c>
      <c r="L838" t="s">
        <v>912</v>
      </c>
      <c r="M838" t="s">
        <v>913</v>
      </c>
      <c r="N838" t="s">
        <v>57</v>
      </c>
      <c r="O838" s="1">
        <v>45689</v>
      </c>
      <c r="Q838" s="1">
        <v>46235</v>
      </c>
      <c r="R838" s="2">
        <v>126.92</v>
      </c>
      <c r="S838">
        <v>1</v>
      </c>
      <c r="T838" t="s">
        <v>58</v>
      </c>
      <c r="U838" t="s">
        <v>246</v>
      </c>
      <c r="V838" s="3">
        <v>0.15</v>
      </c>
      <c r="W838" s="2">
        <v>0</v>
      </c>
      <c r="X838">
        <v>0</v>
      </c>
      <c r="Y838" t="s">
        <v>247</v>
      </c>
      <c r="Z838" t="s">
        <v>248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19.04</v>
      </c>
      <c r="AN838" s="2">
        <v>19.04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46202</v>
      </c>
      <c r="B839" t="s">
        <v>48</v>
      </c>
      <c r="C839">
        <v>649163</v>
      </c>
      <c r="D839">
        <v>2026730179</v>
      </c>
      <c r="E839" t="s">
        <v>1020</v>
      </c>
      <c r="F839" t="s">
        <v>259</v>
      </c>
      <c r="G839" t="s">
        <v>51</v>
      </c>
      <c r="H839" t="s">
        <v>332</v>
      </c>
      <c r="I839" t="s">
        <v>194</v>
      </c>
      <c r="J839" t="s">
        <v>195</v>
      </c>
      <c r="K839">
        <v>673059</v>
      </c>
      <c r="L839" t="s">
        <v>102</v>
      </c>
      <c r="M839" t="s">
        <v>103</v>
      </c>
      <c r="N839" t="s">
        <v>57</v>
      </c>
      <c r="O839" s="1">
        <v>45689</v>
      </c>
      <c r="Q839" s="1">
        <v>46235</v>
      </c>
      <c r="R839" s="2">
        <v>158.44999999999999</v>
      </c>
      <c r="S839">
        <v>1</v>
      </c>
      <c r="T839" t="s">
        <v>58</v>
      </c>
      <c r="U839" t="s">
        <v>246</v>
      </c>
      <c r="V839" s="3">
        <v>0.15</v>
      </c>
      <c r="W839" s="2">
        <v>0</v>
      </c>
      <c r="X839">
        <v>0</v>
      </c>
      <c r="Y839" t="s">
        <v>247</v>
      </c>
      <c r="Z839" t="s">
        <v>248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23.77</v>
      </c>
      <c r="AN839" s="2">
        <v>23.77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46202</v>
      </c>
      <c r="B840" t="s">
        <v>48</v>
      </c>
      <c r="C840">
        <v>649163</v>
      </c>
      <c r="D840">
        <v>2026734342</v>
      </c>
      <c r="E840" t="s">
        <v>366</v>
      </c>
      <c r="F840" t="s">
        <v>367</v>
      </c>
      <c r="G840" t="s">
        <v>51</v>
      </c>
      <c r="H840" t="s">
        <v>100</v>
      </c>
      <c r="I840" t="s">
        <v>194</v>
      </c>
      <c r="J840" t="s">
        <v>195</v>
      </c>
      <c r="K840">
        <v>768887</v>
      </c>
      <c r="L840" t="s">
        <v>368</v>
      </c>
      <c r="M840" t="s">
        <v>369</v>
      </c>
      <c r="N840" t="s">
        <v>57</v>
      </c>
      <c r="O840" s="1">
        <v>45689</v>
      </c>
      <c r="Q840" s="1">
        <v>46235</v>
      </c>
      <c r="R840" s="2">
        <v>68.69</v>
      </c>
      <c r="S840">
        <v>1</v>
      </c>
      <c r="T840" t="s">
        <v>58</v>
      </c>
      <c r="U840" t="s">
        <v>246</v>
      </c>
      <c r="V840" s="3">
        <v>0.15</v>
      </c>
      <c r="W840" s="2">
        <v>0</v>
      </c>
      <c r="X840">
        <v>0</v>
      </c>
      <c r="Y840" t="s">
        <v>247</v>
      </c>
      <c r="Z840" t="s">
        <v>248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10.3</v>
      </c>
      <c r="AN840" s="2">
        <v>10.3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46202</v>
      </c>
      <c r="B841" t="s">
        <v>48</v>
      </c>
      <c r="C841">
        <v>649163</v>
      </c>
      <c r="D841">
        <v>2026735220</v>
      </c>
      <c r="E841" t="s">
        <v>370</v>
      </c>
      <c r="F841" t="s">
        <v>371</v>
      </c>
      <c r="G841" t="s">
        <v>51</v>
      </c>
      <c r="H841" t="s">
        <v>94</v>
      </c>
      <c r="I841" t="s">
        <v>194</v>
      </c>
      <c r="J841" t="s">
        <v>195</v>
      </c>
      <c r="K841">
        <v>816021</v>
      </c>
      <c r="L841" t="s">
        <v>80</v>
      </c>
      <c r="M841" t="s">
        <v>81</v>
      </c>
      <c r="N841" t="s">
        <v>57</v>
      </c>
      <c r="O841" s="1">
        <v>45689</v>
      </c>
      <c r="Q841" s="1">
        <v>46235</v>
      </c>
      <c r="R841" s="2">
        <v>9.1</v>
      </c>
      <c r="S841">
        <v>1</v>
      </c>
      <c r="T841" t="s">
        <v>58</v>
      </c>
      <c r="U841" t="s">
        <v>246</v>
      </c>
      <c r="V841" s="3">
        <v>0.15</v>
      </c>
      <c r="W841" s="2">
        <v>0</v>
      </c>
      <c r="X841">
        <v>0</v>
      </c>
      <c r="Y841" t="s">
        <v>247</v>
      </c>
      <c r="Z841" t="s">
        <v>248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1.36</v>
      </c>
      <c r="AN841" s="2">
        <v>1.36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46202</v>
      </c>
      <c r="B842" t="s">
        <v>48</v>
      </c>
      <c r="C842">
        <v>649163</v>
      </c>
      <c r="D842">
        <v>2026756190</v>
      </c>
      <c r="E842" t="s">
        <v>1021</v>
      </c>
      <c r="F842" t="s">
        <v>209</v>
      </c>
      <c r="G842" t="s">
        <v>51</v>
      </c>
      <c r="H842" t="s">
        <v>397</v>
      </c>
      <c r="I842" t="s">
        <v>194</v>
      </c>
      <c r="J842" t="s">
        <v>195</v>
      </c>
      <c r="K842">
        <v>823350</v>
      </c>
      <c r="L842" t="s">
        <v>113</v>
      </c>
      <c r="M842" t="s">
        <v>114</v>
      </c>
      <c r="N842" t="s">
        <v>57</v>
      </c>
      <c r="O842" s="1">
        <v>45689</v>
      </c>
      <c r="Q842" s="1">
        <v>46235</v>
      </c>
      <c r="R842" s="2">
        <v>67.17</v>
      </c>
      <c r="S842">
        <v>1</v>
      </c>
      <c r="T842" t="s">
        <v>58</v>
      </c>
      <c r="U842" t="s">
        <v>246</v>
      </c>
      <c r="V842" s="3">
        <v>0.15</v>
      </c>
      <c r="W842" s="2">
        <v>0</v>
      </c>
      <c r="X842">
        <v>0</v>
      </c>
      <c r="Y842" t="s">
        <v>247</v>
      </c>
      <c r="Z842" t="s">
        <v>248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10.08</v>
      </c>
      <c r="AN842" s="2">
        <v>10.08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46202</v>
      </c>
      <c r="B843" t="s">
        <v>48</v>
      </c>
      <c r="C843">
        <v>649163</v>
      </c>
      <c r="D843">
        <v>2026766427</v>
      </c>
      <c r="E843" t="s">
        <v>917</v>
      </c>
      <c r="F843" t="s">
        <v>254</v>
      </c>
      <c r="G843" t="s">
        <v>51</v>
      </c>
      <c r="H843" t="s">
        <v>89</v>
      </c>
      <c r="I843" t="s">
        <v>194</v>
      </c>
      <c r="J843" t="s">
        <v>195</v>
      </c>
      <c r="K843">
        <v>792847</v>
      </c>
      <c r="L843" t="s">
        <v>918</v>
      </c>
      <c r="M843" t="s">
        <v>531</v>
      </c>
      <c r="N843" t="s">
        <v>57</v>
      </c>
      <c r="O843" s="1">
        <v>45689</v>
      </c>
      <c r="Q843" s="1">
        <v>46235</v>
      </c>
      <c r="R843" s="2">
        <v>145.41999999999999</v>
      </c>
      <c r="S843">
        <v>1</v>
      </c>
      <c r="T843" t="s">
        <v>58</v>
      </c>
      <c r="U843" t="s">
        <v>246</v>
      </c>
      <c r="V843" s="3">
        <v>0.15</v>
      </c>
      <c r="W843" s="2">
        <v>0</v>
      </c>
      <c r="X843">
        <v>0</v>
      </c>
      <c r="Y843" t="s">
        <v>247</v>
      </c>
      <c r="Z843" t="s">
        <v>248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21.81</v>
      </c>
      <c r="AN843" s="2">
        <v>21.81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46202</v>
      </c>
      <c r="B844" t="s">
        <v>48</v>
      </c>
      <c r="C844">
        <v>649163</v>
      </c>
      <c r="D844">
        <v>2026805532</v>
      </c>
      <c r="E844" t="s">
        <v>606</v>
      </c>
      <c r="F844" t="s">
        <v>607</v>
      </c>
      <c r="G844" t="s">
        <v>51</v>
      </c>
      <c r="H844" t="s">
        <v>124</v>
      </c>
      <c r="I844" t="s">
        <v>194</v>
      </c>
      <c r="J844" t="s">
        <v>195</v>
      </c>
      <c r="K844">
        <v>650218</v>
      </c>
      <c r="L844" t="s">
        <v>266</v>
      </c>
      <c r="M844" t="s">
        <v>267</v>
      </c>
      <c r="N844" t="s">
        <v>57</v>
      </c>
      <c r="O844" s="1">
        <v>45689</v>
      </c>
      <c r="Q844" s="1">
        <v>46235</v>
      </c>
      <c r="R844" s="2">
        <v>22</v>
      </c>
      <c r="S844">
        <v>1</v>
      </c>
      <c r="T844" t="s">
        <v>58</v>
      </c>
      <c r="U844" t="s">
        <v>246</v>
      </c>
      <c r="V844" s="3">
        <v>0.15</v>
      </c>
      <c r="W844" s="2">
        <v>0</v>
      </c>
      <c r="X844">
        <v>0</v>
      </c>
      <c r="Y844" t="s">
        <v>247</v>
      </c>
      <c r="Z844" t="s">
        <v>248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3.3</v>
      </c>
      <c r="AN844" s="2">
        <v>3.3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46202</v>
      </c>
      <c r="B845" t="s">
        <v>48</v>
      </c>
      <c r="C845">
        <v>649163</v>
      </c>
      <c r="D845">
        <v>2026806627</v>
      </c>
      <c r="E845" t="s">
        <v>226</v>
      </c>
      <c r="F845" t="s">
        <v>681</v>
      </c>
      <c r="G845" t="s">
        <v>51</v>
      </c>
      <c r="H845" t="s">
        <v>302</v>
      </c>
      <c r="I845" t="s">
        <v>194</v>
      </c>
      <c r="J845" t="s">
        <v>195</v>
      </c>
      <c r="K845">
        <v>812994</v>
      </c>
      <c r="L845" t="s">
        <v>615</v>
      </c>
      <c r="M845" t="s">
        <v>616</v>
      </c>
      <c r="N845" t="s">
        <v>57</v>
      </c>
      <c r="O845" s="1">
        <v>45689</v>
      </c>
      <c r="Q845" s="1">
        <v>46235</v>
      </c>
      <c r="R845" s="2">
        <v>26.32</v>
      </c>
      <c r="S845">
        <v>1</v>
      </c>
      <c r="T845" t="s">
        <v>58</v>
      </c>
      <c r="U845" t="s">
        <v>246</v>
      </c>
      <c r="V845" s="3">
        <v>0.15</v>
      </c>
      <c r="W845" s="2">
        <v>0</v>
      </c>
      <c r="X845">
        <v>0</v>
      </c>
      <c r="Y845" t="s">
        <v>247</v>
      </c>
      <c r="Z845" t="s">
        <v>248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3.95</v>
      </c>
      <c r="AN845" s="2">
        <v>3.95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46202</v>
      </c>
      <c r="B846" t="s">
        <v>48</v>
      </c>
      <c r="C846">
        <v>649163</v>
      </c>
      <c r="D846">
        <v>2026809780</v>
      </c>
      <c r="E846" t="s">
        <v>202</v>
      </c>
      <c r="F846" t="s">
        <v>920</v>
      </c>
      <c r="G846" t="s">
        <v>51</v>
      </c>
      <c r="H846" t="s">
        <v>89</v>
      </c>
      <c r="I846" t="s">
        <v>194</v>
      </c>
      <c r="J846" t="s">
        <v>195</v>
      </c>
      <c r="K846">
        <v>824062</v>
      </c>
      <c r="L846" t="s">
        <v>90</v>
      </c>
      <c r="M846" t="s">
        <v>91</v>
      </c>
      <c r="N846" t="s">
        <v>57</v>
      </c>
      <c r="O846" s="1">
        <v>45689</v>
      </c>
      <c r="Q846" s="1">
        <v>46235</v>
      </c>
      <c r="R846" s="2">
        <v>257.39999999999998</v>
      </c>
      <c r="S846">
        <v>1</v>
      </c>
      <c r="T846" t="s">
        <v>58</v>
      </c>
      <c r="U846" t="s">
        <v>246</v>
      </c>
      <c r="V846" s="3">
        <v>0.15</v>
      </c>
      <c r="W846" s="2">
        <v>0</v>
      </c>
      <c r="X846">
        <v>0</v>
      </c>
      <c r="Y846" t="s">
        <v>247</v>
      </c>
      <c r="Z846" t="s">
        <v>248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38.61</v>
      </c>
      <c r="AN846" s="2">
        <v>38.61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46202</v>
      </c>
      <c r="B847" t="s">
        <v>48</v>
      </c>
      <c r="C847">
        <v>649163</v>
      </c>
      <c r="D847">
        <v>2026811338</v>
      </c>
      <c r="E847" t="s">
        <v>372</v>
      </c>
      <c r="F847" t="s">
        <v>284</v>
      </c>
      <c r="G847" t="s">
        <v>51</v>
      </c>
      <c r="H847" t="s">
        <v>94</v>
      </c>
      <c r="I847" t="s">
        <v>194</v>
      </c>
      <c r="J847" t="s">
        <v>195</v>
      </c>
      <c r="K847">
        <v>816021</v>
      </c>
      <c r="L847" t="s">
        <v>80</v>
      </c>
      <c r="M847" t="s">
        <v>81</v>
      </c>
      <c r="N847" t="s">
        <v>57</v>
      </c>
      <c r="O847" s="1">
        <v>45690</v>
      </c>
      <c r="Q847" s="1">
        <v>46236</v>
      </c>
      <c r="R847" s="2">
        <v>9.6999999999999993</v>
      </c>
      <c r="S847">
        <v>1</v>
      </c>
      <c r="T847" t="s">
        <v>58</v>
      </c>
      <c r="U847" t="s">
        <v>246</v>
      </c>
      <c r="V847" s="3">
        <v>0.15</v>
      </c>
      <c r="W847" s="2">
        <v>0</v>
      </c>
      <c r="X847">
        <v>0</v>
      </c>
      <c r="Y847" t="s">
        <v>247</v>
      </c>
      <c r="Z847" t="s">
        <v>248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1.46</v>
      </c>
      <c r="AN847" s="2">
        <v>1.46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46202</v>
      </c>
      <c r="B848" t="s">
        <v>48</v>
      </c>
      <c r="C848">
        <v>649163</v>
      </c>
      <c r="D848">
        <v>2026812432</v>
      </c>
      <c r="E848" t="s">
        <v>373</v>
      </c>
      <c r="F848" t="s">
        <v>374</v>
      </c>
      <c r="G848" t="s">
        <v>51</v>
      </c>
      <c r="H848" t="s">
        <v>94</v>
      </c>
      <c r="I848" t="s">
        <v>194</v>
      </c>
      <c r="J848" t="s">
        <v>195</v>
      </c>
      <c r="K848">
        <v>816021</v>
      </c>
      <c r="L848" t="s">
        <v>80</v>
      </c>
      <c r="M848" t="s">
        <v>81</v>
      </c>
      <c r="N848" t="s">
        <v>57</v>
      </c>
      <c r="O848" s="1">
        <v>45690</v>
      </c>
      <c r="Q848" s="1">
        <v>46236</v>
      </c>
      <c r="R848" s="2">
        <v>29.2</v>
      </c>
      <c r="S848">
        <v>1</v>
      </c>
      <c r="T848" t="s">
        <v>58</v>
      </c>
      <c r="U848" t="s">
        <v>246</v>
      </c>
      <c r="V848" s="3">
        <v>0.15</v>
      </c>
      <c r="W848" s="2">
        <v>0</v>
      </c>
      <c r="X848">
        <v>0</v>
      </c>
      <c r="Y848" t="s">
        <v>247</v>
      </c>
      <c r="Z848" t="s">
        <v>248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4.38</v>
      </c>
      <c r="AN848" s="2">
        <v>4.38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46202</v>
      </c>
      <c r="B849" t="s">
        <v>48</v>
      </c>
      <c r="C849">
        <v>649163</v>
      </c>
      <c r="D849">
        <v>2026817012</v>
      </c>
      <c r="E849" t="s">
        <v>375</v>
      </c>
      <c r="F849" t="s">
        <v>376</v>
      </c>
      <c r="G849" t="s">
        <v>51</v>
      </c>
      <c r="H849" t="s">
        <v>94</v>
      </c>
      <c r="I849" t="s">
        <v>194</v>
      </c>
      <c r="J849" t="s">
        <v>195</v>
      </c>
      <c r="K849">
        <v>796984</v>
      </c>
      <c r="L849" t="s">
        <v>344</v>
      </c>
      <c r="M849" t="s">
        <v>171</v>
      </c>
      <c r="N849" t="s">
        <v>57</v>
      </c>
      <c r="O849" s="1">
        <v>45689</v>
      </c>
      <c r="Q849" s="1">
        <v>46235</v>
      </c>
      <c r="R849" s="2">
        <v>9.1</v>
      </c>
      <c r="S849">
        <v>1</v>
      </c>
      <c r="T849" t="s">
        <v>58</v>
      </c>
      <c r="U849" t="s">
        <v>246</v>
      </c>
      <c r="V849" s="3">
        <v>0.15</v>
      </c>
      <c r="W849" s="2">
        <v>0</v>
      </c>
      <c r="X849">
        <v>0</v>
      </c>
      <c r="Y849" t="s">
        <v>247</v>
      </c>
      <c r="Z849" t="s">
        <v>248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1.36</v>
      </c>
      <c r="AN849" s="2">
        <v>1.36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46202</v>
      </c>
      <c r="B850" t="s">
        <v>48</v>
      </c>
      <c r="C850">
        <v>649163</v>
      </c>
      <c r="D850">
        <v>2026836407</v>
      </c>
      <c r="E850" t="s">
        <v>1022</v>
      </c>
      <c r="F850" t="s">
        <v>1023</v>
      </c>
      <c r="G850" t="s">
        <v>51</v>
      </c>
      <c r="H850" t="s">
        <v>162</v>
      </c>
      <c r="I850" t="s">
        <v>194</v>
      </c>
      <c r="J850" t="s">
        <v>195</v>
      </c>
      <c r="K850">
        <v>816021</v>
      </c>
      <c r="L850" t="s">
        <v>80</v>
      </c>
      <c r="M850" t="s">
        <v>81</v>
      </c>
      <c r="N850" t="s">
        <v>57</v>
      </c>
      <c r="O850" s="1">
        <v>45691</v>
      </c>
      <c r="Q850" s="1">
        <v>46237</v>
      </c>
      <c r="R850" s="2">
        <v>15.29</v>
      </c>
      <c r="S850">
        <v>1</v>
      </c>
      <c r="T850" t="s">
        <v>58</v>
      </c>
      <c r="U850" t="s">
        <v>246</v>
      </c>
      <c r="V850" s="3">
        <v>0.15</v>
      </c>
      <c r="W850" s="2">
        <v>0</v>
      </c>
      <c r="X850">
        <v>0</v>
      </c>
      <c r="Y850" t="s">
        <v>247</v>
      </c>
      <c r="Z850" t="s">
        <v>248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2.29</v>
      </c>
      <c r="AN850" s="2">
        <v>2.29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46202</v>
      </c>
      <c r="B851" t="s">
        <v>48</v>
      </c>
      <c r="C851">
        <v>649163</v>
      </c>
      <c r="D851">
        <v>2026838333</v>
      </c>
      <c r="E851" t="s">
        <v>921</v>
      </c>
      <c r="F851" t="s">
        <v>922</v>
      </c>
      <c r="G851" t="s">
        <v>51</v>
      </c>
      <c r="H851" t="s">
        <v>89</v>
      </c>
      <c r="I851" t="s">
        <v>194</v>
      </c>
      <c r="J851" t="s">
        <v>195</v>
      </c>
      <c r="K851">
        <v>814033</v>
      </c>
      <c r="L851" t="s">
        <v>490</v>
      </c>
      <c r="M851" t="s">
        <v>491</v>
      </c>
      <c r="N851" t="s">
        <v>57</v>
      </c>
      <c r="O851" s="1">
        <v>45689</v>
      </c>
      <c r="Q851" s="1">
        <v>46235</v>
      </c>
      <c r="R851" s="2">
        <v>248.47</v>
      </c>
      <c r="S851">
        <v>1</v>
      </c>
      <c r="T851" t="s">
        <v>58</v>
      </c>
      <c r="U851" t="s">
        <v>246</v>
      </c>
      <c r="V851" s="3">
        <v>0.15</v>
      </c>
      <c r="W851" s="2">
        <v>0</v>
      </c>
      <c r="X851">
        <v>0</v>
      </c>
      <c r="Y851" t="s">
        <v>247</v>
      </c>
      <c r="Z851" t="s">
        <v>248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37.270000000000003</v>
      </c>
      <c r="AN851" s="2">
        <v>37.270000000000003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46202</v>
      </c>
      <c r="B852" t="s">
        <v>48</v>
      </c>
      <c r="C852">
        <v>649163</v>
      </c>
      <c r="D852">
        <v>2026839646</v>
      </c>
      <c r="E852" t="s">
        <v>923</v>
      </c>
      <c r="F852" t="s">
        <v>924</v>
      </c>
      <c r="G852" t="s">
        <v>51</v>
      </c>
      <c r="H852" t="s">
        <v>397</v>
      </c>
      <c r="I852" t="s">
        <v>194</v>
      </c>
      <c r="J852" t="s">
        <v>195</v>
      </c>
      <c r="K852">
        <v>822723</v>
      </c>
      <c r="L852" t="s">
        <v>912</v>
      </c>
      <c r="M852" t="s">
        <v>913</v>
      </c>
      <c r="N852" t="s">
        <v>57</v>
      </c>
      <c r="O852" s="1">
        <v>45689</v>
      </c>
      <c r="Q852" s="1">
        <v>46235</v>
      </c>
      <c r="R852" s="2">
        <v>61.66</v>
      </c>
      <c r="S852">
        <v>1</v>
      </c>
      <c r="T852" t="s">
        <v>58</v>
      </c>
      <c r="U852" t="s">
        <v>246</v>
      </c>
      <c r="V852" s="3">
        <v>0.15</v>
      </c>
      <c r="W852" s="2">
        <v>0</v>
      </c>
      <c r="X852">
        <v>0</v>
      </c>
      <c r="Y852" t="s">
        <v>247</v>
      </c>
      <c r="Z852" t="s">
        <v>248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9.25</v>
      </c>
      <c r="AN852" s="2">
        <v>9.25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46202</v>
      </c>
      <c r="B853" t="s">
        <v>48</v>
      </c>
      <c r="C853">
        <v>649163</v>
      </c>
      <c r="D853">
        <v>2026857362</v>
      </c>
      <c r="E853" t="s">
        <v>1024</v>
      </c>
      <c r="F853" t="s">
        <v>451</v>
      </c>
      <c r="G853" t="s">
        <v>51</v>
      </c>
      <c r="H853" t="s">
        <v>89</v>
      </c>
      <c r="I853" t="s">
        <v>194</v>
      </c>
      <c r="J853" t="s">
        <v>195</v>
      </c>
      <c r="K853">
        <v>823350</v>
      </c>
      <c r="L853" t="s">
        <v>113</v>
      </c>
      <c r="M853" t="s">
        <v>114</v>
      </c>
      <c r="N853" t="s">
        <v>57</v>
      </c>
      <c r="O853" s="1">
        <v>45689</v>
      </c>
      <c r="Q853" s="1">
        <v>46235</v>
      </c>
      <c r="R853" s="2">
        <v>148.32</v>
      </c>
      <c r="S853">
        <v>1</v>
      </c>
      <c r="T853" t="s">
        <v>58</v>
      </c>
      <c r="U853" t="s">
        <v>246</v>
      </c>
      <c r="V853" s="3">
        <v>0.15</v>
      </c>
      <c r="W853" s="2">
        <v>0</v>
      </c>
      <c r="X853">
        <v>0</v>
      </c>
      <c r="Y853" t="s">
        <v>247</v>
      </c>
      <c r="Z853" t="s">
        <v>248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22.25</v>
      </c>
      <c r="AN853" s="2">
        <v>22.25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46202</v>
      </c>
      <c r="B854" t="s">
        <v>48</v>
      </c>
      <c r="C854">
        <v>649163</v>
      </c>
      <c r="D854">
        <v>2026875934</v>
      </c>
      <c r="E854" t="s">
        <v>1025</v>
      </c>
      <c r="F854" t="s">
        <v>1026</v>
      </c>
      <c r="G854" t="s">
        <v>51</v>
      </c>
      <c r="H854" t="s">
        <v>89</v>
      </c>
      <c r="I854" t="s">
        <v>194</v>
      </c>
      <c r="J854" t="s">
        <v>195</v>
      </c>
      <c r="K854">
        <v>807212</v>
      </c>
      <c r="L854" t="s">
        <v>811</v>
      </c>
      <c r="M854" t="s">
        <v>812</v>
      </c>
      <c r="N854" t="s">
        <v>57</v>
      </c>
      <c r="O854" s="1">
        <v>45689</v>
      </c>
      <c r="Q854" s="1">
        <v>46235</v>
      </c>
      <c r="R854" s="2">
        <v>52</v>
      </c>
      <c r="S854">
        <v>1</v>
      </c>
      <c r="T854" t="s">
        <v>58</v>
      </c>
      <c r="U854" t="s">
        <v>246</v>
      </c>
      <c r="V854" s="3">
        <v>0.15</v>
      </c>
      <c r="W854" s="2">
        <v>0</v>
      </c>
      <c r="X854">
        <v>0</v>
      </c>
      <c r="Y854" t="s">
        <v>247</v>
      </c>
      <c r="Z854" t="s">
        <v>248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7.8</v>
      </c>
      <c r="AN854" s="2">
        <v>7.8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46202</v>
      </c>
      <c r="B855" t="s">
        <v>48</v>
      </c>
      <c r="C855">
        <v>649163</v>
      </c>
      <c r="D855">
        <v>2026878482</v>
      </c>
      <c r="E855" t="s">
        <v>1027</v>
      </c>
      <c r="F855" t="s">
        <v>1028</v>
      </c>
      <c r="G855" t="s">
        <v>51</v>
      </c>
      <c r="H855" t="s">
        <v>52</v>
      </c>
      <c r="I855" t="s">
        <v>194</v>
      </c>
      <c r="J855" t="s">
        <v>881</v>
      </c>
      <c r="K855">
        <v>649247</v>
      </c>
      <c r="L855" t="s">
        <v>255</v>
      </c>
      <c r="M855" t="s">
        <v>256</v>
      </c>
      <c r="N855" t="s">
        <v>57</v>
      </c>
      <c r="O855" s="1">
        <v>45689</v>
      </c>
      <c r="Q855" s="1">
        <v>46235</v>
      </c>
      <c r="R855" s="2">
        <v>25.73</v>
      </c>
      <c r="S855">
        <v>1</v>
      </c>
      <c r="T855" t="s">
        <v>58</v>
      </c>
      <c r="U855" t="s">
        <v>246</v>
      </c>
      <c r="V855" s="3">
        <v>0.15</v>
      </c>
      <c r="W855" s="2">
        <v>0</v>
      </c>
      <c r="X855">
        <v>0</v>
      </c>
      <c r="Y855" t="s">
        <v>247</v>
      </c>
      <c r="Z855" t="s">
        <v>248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3.86</v>
      </c>
      <c r="AN855" s="2">
        <v>3.86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46202</v>
      </c>
      <c r="B856" t="s">
        <v>48</v>
      </c>
      <c r="C856">
        <v>649163</v>
      </c>
      <c r="D856">
        <v>2026887839</v>
      </c>
      <c r="E856" t="s">
        <v>956</v>
      </c>
      <c r="F856" t="s">
        <v>1029</v>
      </c>
      <c r="G856" t="s">
        <v>51</v>
      </c>
      <c r="H856" t="s">
        <v>89</v>
      </c>
      <c r="I856" t="s">
        <v>194</v>
      </c>
      <c r="J856" t="s">
        <v>195</v>
      </c>
      <c r="K856">
        <v>766422</v>
      </c>
      <c r="L856" t="s">
        <v>612</v>
      </c>
      <c r="M856" t="s">
        <v>211</v>
      </c>
      <c r="N856" t="s">
        <v>57</v>
      </c>
      <c r="O856" s="1">
        <v>45689</v>
      </c>
      <c r="Q856" s="1">
        <v>46235</v>
      </c>
      <c r="R856" s="2">
        <v>19</v>
      </c>
      <c r="S856">
        <v>1</v>
      </c>
      <c r="T856" t="s">
        <v>58</v>
      </c>
      <c r="U856" t="s">
        <v>246</v>
      </c>
      <c r="V856" s="3">
        <v>0.15</v>
      </c>
      <c r="W856" s="2">
        <v>0</v>
      </c>
      <c r="X856">
        <v>0</v>
      </c>
      <c r="Y856" t="s">
        <v>247</v>
      </c>
      <c r="Z856" t="s">
        <v>248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2.85</v>
      </c>
      <c r="AN856" s="2">
        <v>2.85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46202</v>
      </c>
      <c r="B857" t="s">
        <v>48</v>
      </c>
      <c r="C857">
        <v>649163</v>
      </c>
      <c r="D857">
        <v>2027108944</v>
      </c>
      <c r="E857" t="s">
        <v>1030</v>
      </c>
      <c r="F857" t="s">
        <v>1031</v>
      </c>
      <c r="G857" t="s">
        <v>51</v>
      </c>
      <c r="H857" t="s">
        <v>200</v>
      </c>
      <c r="I857" t="s">
        <v>194</v>
      </c>
      <c r="J857" t="s">
        <v>195</v>
      </c>
      <c r="K857">
        <v>766422</v>
      </c>
      <c r="L857" t="s">
        <v>612</v>
      </c>
      <c r="M857" t="s">
        <v>211</v>
      </c>
      <c r="N857" t="s">
        <v>57</v>
      </c>
      <c r="O857" s="1">
        <v>45717</v>
      </c>
      <c r="Q857" s="1">
        <v>46235</v>
      </c>
      <c r="R857" s="2">
        <v>28.78</v>
      </c>
      <c r="S857">
        <v>1</v>
      </c>
      <c r="T857" t="s">
        <v>58</v>
      </c>
      <c r="U857" t="s">
        <v>246</v>
      </c>
      <c r="V857" s="3">
        <v>0.15</v>
      </c>
      <c r="W857" s="2">
        <v>0</v>
      </c>
      <c r="X857">
        <v>0</v>
      </c>
      <c r="Y857" t="s">
        <v>247</v>
      </c>
      <c r="Z857" t="s">
        <v>248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4.32</v>
      </c>
      <c r="AN857" s="2">
        <v>4.32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46202</v>
      </c>
      <c r="B858" t="s">
        <v>48</v>
      </c>
      <c r="C858">
        <v>649163</v>
      </c>
      <c r="D858">
        <v>2027406567</v>
      </c>
      <c r="E858" t="s">
        <v>1032</v>
      </c>
      <c r="F858" t="s">
        <v>1033</v>
      </c>
      <c r="G858" t="s">
        <v>51</v>
      </c>
      <c r="H858" t="s">
        <v>89</v>
      </c>
      <c r="I858" t="s">
        <v>194</v>
      </c>
      <c r="J858" t="s">
        <v>195</v>
      </c>
      <c r="K858">
        <v>764123</v>
      </c>
      <c r="L858" t="s">
        <v>1034</v>
      </c>
      <c r="M858" t="s">
        <v>128</v>
      </c>
      <c r="N858" t="s">
        <v>57</v>
      </c>
      <c r="O858" s="1">
        <v>45715</v>
      </c>
      <c r="Q858" s="1">
        <v>46230</v>
      </c>
      <c r="R858" s="2">
        <v>101.22</v>
      </c>
      <c r="S858">
        <v>1</v>
      </c>
      <c r="T858" t="s">
        <v>58</v>
      </c>
      <c r="U858" t="s">
        <v>246</v>
      </c>
      <c r="V858" s="3">
        <v>0.15</v>
      </c>
      <c r="W858" s="2">
        <v>0</v>
      </c>
      <c r="X858">
        <v>0</v>
      </c>
      <c r="Y858" t="s">
        <v>247</v>
      </c>
      <c r="Z858" t="s">
        <v>248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15.18</v>
      </c>
      <c r="AN858" s="2">
        <v>15.18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46202</v>
      </c>
      <c r="B859" t="s">
        <v>48</v>
      </c>
      <c r="C859">
        <v>649163</v>
      </c>
      <c r="D859">
        <v>2027573958</v>
      </c>
      <c r="E859" t="s">
        <v>115</v>
      </c>
      <c r="F859" t="s">
        <v>886</v>
      </c>
      <c r="G859" t="s">
        <v>51</v>
      </c>
      <c r="H859" t="s">
        <v>97</v>
      </c>
      <c r="I859" t="s">
        <v>194</v>
      </c>
      <c r="J859" t="s">
        <v>195</v>
      </c>
      <c r="K859">
        <v>673059</v>
      </c>
      <c r="L859" t="s">
        <v>102</v>
      </c>
      <c r="M859" t="s">
        <v>103</v>
      </c>
      <c r="N859" t="s">
        <v>257</v>
      </c>
      <c r="O859" s="1">
        <v>45757</v>
      </c>
      <c r="P859" s="1">
        <v>46202</v>
      </c>
      <c r="Q859" s="1">
        <v>46213</v>
      </c>
      <c r="R859" s="2">
        <v>-86.85</v>
      </c>
      <c r="S859">
        <v>1</v>
      </c>
      <c r="T859" t="s">
        <v>58</v>
      </c>
      <c r="U859" t="s">
        <v>246</v>
      </c>
      <c r="V859" s="3">
        <v>0.15</v>
      </c>
      <c r="W859" s="2">
        <v>0</v>
      </c>
      <c r="X859">
        <v>-1</v>
      </c>
      <c r="Y859" t="s">
        <v>247</v>
      </c>
      <c r="Z859" t="s">
        <v>248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-13.03</v>
      </c>
      <c r="AN859" s="2">
        <v>-13.03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46202</v>
      </c>
      <c r="B860" t="s">
        <v>48</v>
      </c>
      <c r="C860">
        <v>649163</v>
      </c>
      <c r="D860">
        <v>2027694241</v>
      </c>
      <c r="E860" t="s">
        <v>1035</v>
      </c>
      <c r="F860" t="s">
        <v>1036</v>
      </c>
      <c r="G860" t="s">
        <v>51</v>
      </c>
      <c r="H860" t="s">
        <v>89</v>
      </c>
      <c r="I860" t="s">
        <v>194</v>
      </c>
      <c r="J860" t="s">
        <v>195</v>
      </c>
      <c r="K860">
        <v>812656</v>
      </c>
      <c r="L860" t="s">
        <v>186</v>
      </c>
      <c r="M860" t="s">
        <v>187</v>
      </c>
      <c r="N860" t="s">
        <v>57</v>
      </c>
      <c r="O860" s="1">
        <v>45748</v>
      </c>
      <c r="Q860" s="1">
        <v>46235</v>
      </c>
      <c r="R860" s="2">
        <v>80.95</v>
      </c>
      <c r="S860">
        <v>1</v>
      </c>
      <c r="T860" t="s">
        <v>58</v>
      </c>
      <c r="U860" t="s">
        <v>246</v>
      </c>
      <c r="V860" s="3">
        <v>0.15</v>
      </c>
      <c r="W860" s="2">
        <v>0</v>
      </c>
      <c r="X860">
        <v>0</v>
      </c>
      <c r="Y860" t="s">
        <v>247</v>
      </c>
      <c r="Z860" t="s">
        <v>248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12.14</v>
      </c>
      <c r="AN860" s="2">
        <v>12.14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46202</v>
      </c>
      <c r="B861" t="s">
        <v>48</v>
      </c>
      <c r="C861">
        <v>649163</v>
      </c>
      <c r="D861">
        <v>2027765153</v>
      </c>
      <c r="E861" t="s">
        <v>982</v>
      </c>
      <c r="F861" t="s">
        <v>983</v>
      </c>
      <c r="G861" t="s">
        <v>51</v>
      </c>
      <c r="H861" t="s">
        <v>52</v>
      </c>
      <c r="I861" t="s">
        <v>194</v>
      </c>
      <c r="J861" t="s">
        <v>881</v>
      </c>
      <c r="K861">
        <v>751867</v>
      </c>
      <c r="L861" t="s">
        <v>272</v>
      </c>
      <c r="M861" t="s">
        <v>209</v>
      </c>
      <c r="N861" t="s">
        <v>57</v>
      </c>
      <c r="O861" s="1">
        <v>45748</v>
      </c>
      <c r="Q861" s="1">
        <v>46235</v>
      </c>
      <c r="R861" s="2">
        <v>25.73</v>
      </c>
      <c r="S861">
        <v>1</v>
      </c>
      <c r="T861" t="s">
        <v>58</v>
      </c>
      <c r="U861" t="s">
        <v>246</v>
      </c>
      <c r="V861" s="3">
        <v>0.15</v>
      </c>
      <c r="W861" s="2">
        <v>0</v>
      </c>
      <c r="X861">
        <v>0</v>
      </c>
      <c r="Y861" t="s">
        <v>247</v>
      </c>
      <c r="Z861" t="s">
        <v>248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3.86</v>
      </c>
      <c r="AN861" s="2">
        <v>3.86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46202</v>
      </c>
      <c r="B862" t="s">
        <v>48</v>
      </c>
      <c r="C862">
        <v>649163</v>
      </c>
      <c r="D862">
        <v>2027864780</v>
      </c>
      <c r="E862" t="s">
        <v>925</v>
      </c>
      <c r="F862" t="s">
        <v>926</v>
      </c>
      <c r="G862" t="s">
        <v>51</v>
      </c>
      <c r="H862" t="s">
        <v>124</v>
      </c>
      <c r="I862" t="s">
        <v>194</v>
      </c>
      <c r="J862" t="s">
        <v>195</v>
      </c>
      <c r="K862">
        <v>806645</v>
      </c>
      <c r="L862" t="s">
        <v>804</v>
      </c>
      <c r="M862" t="s">
        <v>805</v>
      </c>
      <c r="N862" t="s">
        <v>57</v>
      </c>
      <c r="O862" s="1">
        <v>45748</v>
      </c>
      <c r="Q862" s="1">
        <v>46235</v>
      </c>
      <c r="R862" s="2">
        <v>18.100000000000001</v>
      </c>
      <c r="S862">
        <v>1</v>
      </c>
      <c r="T862" t="s">
        <v>58</v>
      </c>
      <c r="U862" t="s">
        <v>246</v>
      </c>
      <c r="V862" s="3">
        <v>0.15</v>
      </c>
      <c r="W862" s="2">
        <v>0</v>
      </c>
      <c r="X862">
        <v>0</v>
      </c>
      <c r="Y862" t="s">
        <v>247</v>
      </c>
      <c r="Z862" t="s">
        <v>248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2.72</v>
      </c>
      <c r="AN862" s="2">
        <v>2.72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46202</v>
      </c>
      <c r="B863" t="s">
        <v>48</v>
      </c>
      <c r="C863">
        <v>649163</v>
      </c>
      <c r="D863">
        <v>2027891947</v>
      </c>
      <c r="E863" t="s">
        <v>1037</v>
      </c>
      <c r="F863" t="s">
        <v>1038</v>
      </c>
      <c r="G863" t="s">
        <v>51</v>
      </c>
      <c r="H863" t="s">
        <v>89</v>
      </c>
      <c r="I863" t="s">
        <v>194</v>
      </c>
      <c r="J863" t="s">
        <v>195</v>
      </c>
      <c r="K863">
        <v>766747</v>
      </c>
      <c r="L863" t="s">
        <v>718</v>
      </c>
      <c r="M863" t="s">
        <v>478</v>
      </c>
      <c r="N863" t="s">
        <v>57</v>
      </c>
      <c r="O863" s="1">
        <v>45748</v>
      </c>
      <c r="Q863" s="1">
        <v>46235</v>
      </c>
      <c r="R863" s="2">
        <v>137.41</v>
      </c>
      <c r="S863">
        <v>1</v>
      </c>
      <c r="T863" t="s">
        <v>58</v>
      </c>
      <c r="U863" t="s">
        <v>246</v>
      </c>
      <c r="V863" s="3">
        <v>0.15</v>
      </c>
      <c r="W863" s="2">
        <v>0</v>
      </c>
      <c r="X863">
        <v>0</v>
      </c>
      <c r="Y863" t="s">
        <v>247</v>
      </c>
      <c r="Z863" t="s">
        <v>248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20.61</v>
      </c>
      <c r="AN863" s="2">
        <v>20.61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46202</v>
      </c>
      <c r="B864" t="s">
        <v>48</v>
      </c>
      <c r="C864">
        <v>649163</v>
      </c>
      <c r="D864">
        <v>2027920263</v>
      </c>
      <c r="E864" t="s">
        <v>377</v>
      </c>
      <c r="F864" t="s">
        <v>378</v>
      </c>
      <c r="G864" t="s">
        <v>51</v>
      </c>
      <c r="H864" t="s">
        <v>94</v>
      </c>
      <c r="I864" t="s">
        <v>194</v>
      </c>
      <c r="J864" t="s">
        <v>195</v>
      </c>
      <c r="K864">
        <v>816021</v>
      </c>
      <c r="L864" t="s">
        <v>80</v>
      </c>
      <c r="M864" t="s">
        <v>81</v>
      </c>
      <c r="N864" t="s">
        <v>57</v>
      </c>
      <c r="O864" s="1">
        <v>45744</v>
      </c>
      <c r="Q864" s="1">
        <v>46231</v>
      </c>
      <c r="R864" s="2">
        <v>9.1</v>
      </c>
      <c r="S864">
        <v>1</v>
      </c>
      <c r="T864" t="s">
        <v>58</v>
      </c>
      <c r="U864" t="s">
        <v>246</v>
      </c>
      <c r="V864" s="3">
        <v>0.15</v>
      </c>
      <c r="W864" s="2">
        <v>0</v>
      </c>
      <c r="X864">
        <v>0</v>
      </c>
      <c r="Y864" t="s">
        <v>247</v>
      </c>
      <c r="Z864" t="s">
        <v>248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1.36</v>
      </c>
      <c r="AN864" s="2">
        <v>1.36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46202</v>
      </c>
      <c r="B865" t="s">
        <v>48</v>
      </c>
      <c r="C865">
        <v>649163</v>
      </c>
      <c r="D865">
        <v>2027996023</v>
      </c>
      <c r="E865" t="s">
        <v>379</v>
      </c>
      <c r="F865" t="s">
        <v>132</v>
      </c>
      <c r="G865" t="s">
        <v>51</v>
      </c>
      <c r="H865" t="s">
        <v>100</v>
      </c>
      <c r="I865" t="s">
        <v>194</v>
      </c>
      <c r="J865" t="s">
        <v>195</v>
      </c>
      <c r="K865">
        <v>821015</v>
      </c>
      <c r="L865" t="s">
        <v>172</v>
      </c>
      <c r="M865" t="s">
        <v>173</v>
      </c>
      <c r="N865" t="s">
        <v>57</v>
      </c>
      <c r="O865" s="1">
        <v>45743</v>
      </c>
      <c r="Q865" s="1">
        <v>46230</v>
      </c>
      <c r="R865" s="2">
        <v>22</v>
      </c>
      <c r="S865">
        <v>1</v>
      </c>
      <c r="T865" t="s">
        <v>58</v>
      </c>
      <c r="U865" t="s">
        <v>246</v>
      </c>
      <c r="V865" s="3">
        <v>0.15</v>
      </c>
      <c r="W865" s="2">
        <v>0</v>
      </c>
      <c r="X865">
        <v>0</v>
      </c>
      <c r="Y865" t="s">
        <v>247</v>
      </c>
      <c r="Z865" t="s">
        <v>248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3.3</v>
      </c>
      <c r="AN865" s="2">
        <v>3.3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46202</v>
      </c>
      <c r="B866" t="s">
        <v>48</v>
      </c>
      <c r="C866">
        <v>649163</v>
      </c>
      <c r="D866">
        <v>2028143929</v>
      </c>
      <c r="E866" t="s">
        <v>884</v>
      </c>
      <c r="F866" t="s">
        <v>885</v>
      </c>
      <c r="G866" t="s">
        <v>51</v>
      </c>
      <c r="H866" t="s">
        <v>124</v>
      </c>
      <c r="I866" t="s">
        <v>194</v>
      </c>
      <c r="J866" t="s">
        <v>195</v>
      </c>
      <c r="K866">
        <v>822733</v>
      </c>
      <c r="L866" t="s">
        <v>229</v>
      </c>
      <c r="M866" t="s">
        <v>230</v>
      </c>
      <c r="N866" t="s">
        <v>257</v>
      </c>
      <c r="O866" s="1">
        <v>45754</v>
      </c>
      <c r="P866" s="1">
        <v>46202</v>
      </c>
      <c r="Q866" s="1">
        <v>46210</v>
      </c>
      <c r="R866" s="2">
        <v>-16.25</v>
      </c>
      <c r="S866">
        <v>1</v>
      </c>
      <c r="T866" t="s">
        <v>58</v>
      </c>
      <c r="U866" t="s">
        <v>246</v>
      </c>
      <c r="V866" s="3">
        <v>0.15</v>
      </c>
      <c r="W866" s="2">
        <v>0</v>
      </c>
      <c r="X866">
        <v>-1</v>
      </c>
      <c r="Y866" t="s">
        <v>247</v>
      </c>
      <c r="Z866" t="s">
        <v>248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-2.44</v>
      </c>
      <c r="AN866" s="2">
        <v>-2.44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46202</v>
      </c>
      <c r="B867" t="s">
        <v>48</v>
      </c>
      <c r="C867">
        <v>649163</v>
      </c>
      <c r="D867">
        <v>2028627543</v>
      </c>
      <c r="E867" t="s">
        <v>929</v>
      </c>
      <c r="F867" t="s">
        <v>930</v>
      </c>
      <c r="G867" t="s">
        <v>51</v>
      </c>
      <c r="H867" t="s">
        <v>397</v>
      </c>
      <c r="I867" t="s">
        <v>194</v>
      </c>
      <c r="J867" t="s">
        <v>195</v>
      </c>
      <c r="K867">
        <v>820873</v>
      </c>
      <c r="L867" t="s">
        <v>153</v>
      </c>
      <c r="M867" t="s">
        <v>154</v>
      </c>
      <c r="N867" t="s">
        <v>57</v>
      </c>
      <c r="O867" s="1">
        <v>45774</v>
      </c>
      <c r="Q867" s="1">
        <v>46230</v>
      </c>
      <c r="R867" s="2">
        <v>11.5</v>
      </c>
      <c r="S867">
        <v>1</v>
      </c>
      <c r="T867" t="s">
        <v>58</v>
      </c>
      <c r="U867" t="s">
        <v>246</v>
      </c>
      <c r="V867" s="3">
        <v>0.15</v>
      </c>
      <c r="W867" s="2">
        <v>0</v>
      </c>
      <c r="X867">
        <v>0</v>
      </c>
      <c r="Y867" t="s">
        <v>247</v>
      </c>
      <c r="Z867" t="s">
        <v>248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1.72</v>
      </c>
      <c r="AN867" s="2">
        <v>1.72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46202</v>
      </c>
      <c r="B868" t="s">
        <v>48</v>
      </c>
      <c r="C868">
        <v>649163</v>
      </c>
      <c r="D868">
        <v>2028654838</v>
      </c>
      <c r="E868" t="s">
        <v>931</v>
      </c>
      <c r="F868" t="s">
        <v>932</v>
      </c>
      <c r="G868" t="s">
        <v>51</v>
      </c>
      <c r="H868" t="s">
        <v>100</v>
      </c>
      <c r="I868" t="s">
        <v>194</v>
      </c>
      <c r="J868" t="s">
        <v>195</v>
      </c>
      <c r="K868">
        <v>823350</v>
      </c>
      <c r="L868" t="s">
        <v>113</v>
      </c>
      <c r="M868" t="s">
        <v>114</v>
      </c>
      <c r="N868" t="s">
        <v>57</v>
      </c>
      <c r="O868" s="1">
        <v>45776</v>
      </c>
      <c r="Q868" s="1">
        <v>46232</v>
      </c>
      <c r="R868" s="2">
        <v>66.72</v>
      </c>
      <c r="S868">
        <v>1</v>
      </c>
      <c r="T868" t="s">
        <v>58</v>
      </c>
      <c r="U868" t="s">
        <v>246</v>
      </c>
      <c r="V868" s="3">
        <v>0.15</v>
      </c>
      <c r="W868" s="2">
        <v>0</v>
      </c>
      <c r="X868">
        <v>0</v>
      </c>
      <c r="Y868" t="s">
        <v>247</v>
      </c>
      <c r="Z868" t="s">
        <v>248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10.01</v>
      </c>
      <c r="AN868" s="2">
        <v>10.01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46202</v>
      </c>
      <c r="B869" t="s">
        <v>48</v>
      </c>
      <c r="C869">
        <v>649163</v>
      </c>
      <c r="D869">
        <v>2028654839</v>
      </c>
      <c r="E869" t="s">
        <v>931</v>
      </c>
      <c r="F869" t="s">
        <v>932</v>
      </c>
      <c r="G869" t="s">
        <v>51</v>
      </c>
      <c r="H869" t="s">
        <v>100</v>
      </c>
      <c r="I869" t="s">
        <v>194</v>
      </c>
      <c r="J869" t="s">
        <v>217</v>
      </c>
      <c r="K869">
        <v>823350</v>
      </c>
      <c r="L869" t="s">
        <v>113</v>
      </c>
      <c r="M869" t="s">
        <v>114</v>
      </c>
      <c r="N869" t="s">
        <v>57</v>
      </c>
      <c r="O869" s="1">
        <v>45776</v>
      </c>
      <c r="Q869" s="1">
        <v>46232</v>
      </c>
      <c r="R869" s="2">
        <v>43.67</v>
      </c>
      <c r="S869">
        <v>1</v>
      </c>
      <c r="T869" t="s">
        <v>58</v>
      </c>
      <c r="U869" t="s">
        <v>246</v>
      </c>
      <c r="V869" s="3">
        <v>0.1</v>
      </c>
      <c r="W869" s="2">
        <v>0</v>
      </c>
      <c r="X869">
        <v>0</v>
      </c>
      <c r="Y869" t="s">
        <v>247</v>
      </c>
      <c r="Z869" t="s">
        <v>248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4.37</v>
      </c>
      <c r="AN869" s="2">
        <v>4.37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46202</v>
      </c>
      <c r="B870" t="s">
        <v>48</v>
      </c>
      <c r="C870">
        <v>649163</v>
      </c>
      <c r="D870">
        <v>2028662388</v>
      </c>
      <c r="E870" t="s">
        <v>1039</v>
      </c>
      <c r="F870" t="s">
        <v>1040</v>
      </c>
      <c r="G870" t="s">
        <v>51</v>
      </c>
      <c r="H870" t="s">
        <v>1041</v>
      </c>
      <c r="I870" t="s">
        <v>194</v>
      </c>
      <c r="J870" t="s">
        <v>217</v>
      </c>
      <c r="K870">
        <v>767312</v>
      </c>
      <c r="L870" t="s">
        <v>486</v>
      </c>
      <c r="M870" t="s">
        <v>379</v>
      </c>
      <c r="N870" t="s">
        <v>57</v>
      </c>
      <c r="O870" s="1">
        <v>45777</v>
      </c>
      <c r="Q870" s="1">
        <v>46233</v>
      </c>
      <c r="R870" s="2">
        <v>19.28</v>
      </c>
      <c r="S870">
        <v>1</v>
      </c>
      <c r="T870" t="s">
        <v>58</v>
      </c>
      <c r="U870" t="s">
        <v>246</v>
      </c>
      <c r="V870" s="3">
        <v>0.1</v>
      </c>
      <c r="W870" s="2">
        <v>0</v>
      </c>
      <c r="X870">
        <v>0</v>
      </c>
      <c r="Y870" t="s">
        <v>247</v>
      </c>
      <c r="Z870" t="s">
        <v>248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1.93</v>
      </c>
      <c r="AN870" s="2">
        <v>1.93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46202</v>
      </c>
      <c r="B871" t="s">
        <v>48</v>
      </c>
      <c r="C871">
        <v>649163</v>
      </c>
      <c r="D871">
        <v>2028664275</v>
      </c>
      <c r="E871" t="s">
        <v>355</v>
      </c>
      <c r="F871" t="s">
        <v>209</v>
      </c>
      <c r="G871" t="s">
        <v>51</v>
      </c>
      <c r="H871" t="s">
        <v>434</v>
      </c>
      <c r="I871" t="s">
        <v>194</v>
      </c>
      <c r="J871" t="s">
        <v>217</v>
      </c>
      <c r="K871">
        <v>767312</v>
      </c>
      <c r="L871" t="s">
        <v>486</v>
      </c>
      <c r="M871" t="s">
        <v>379</v>
      </c>
      <c r="N871" t="s">
        <v>57</v>
      </c>
      <c r="O871" s="1">
        <v>45777</v>
      </c>
      <c r="Q871" s="1">
        <v>46233</v>
      </c>
      <c r="R871" s="2">
        <v>83.63</v>
      </c>
      <c r="S871">
        <v>1</v>
      </c>
      <c r="T871" t="s">
        <v>58</v>
      </c>
      <c r="U871" t="s">
        <v>246</v>
      </c>
      <c r="V871" s="3">
        <v>0.1</v>
      </c>
      <c r="W871" s="2">
        <v>0</v>
      </c>
      <c r="X871">
        <v>0</v>
      </c>
      <c r="Y871" t="s">
        <v>247</v>
      </c>
      <c r="Z871" t="s">
        <v>248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8.36</v>
      </c>
      <c r="AN871" s="2">
        <v>8.36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46202</v>
      </c>
      <c r="B872" t="s">
        <v>48</v>
      </c>
      <c r="C872">
        <v>649163</v>
      </c>
      <c r="D872">
        <v>2028800424</v>
      </c>
      <c r="E872" t="s">
        <v>875</v>
      </c>
      <c r="F872" t="s">
        <v>1042</v>
      </c>
      <c r="G872" t="s">
        <v>51</v>
      </c>
      <c r="H872" t="s">
        <v>143</v>
      </c>
      <c r="I872" t="s">
        <v>194</v>
      </c>
      <c r="J872" t="s">
        <v>195</v>
      </c>
      <c r="K872">
        <v>673059</v>
      </c>
      <c r="L872" t="s">
        <v>102</v>
      </c>
      <c r="M872" t="s">
        <v>103</v>
      </c>
      <c r="N872" t="s">
        <v>57</v>
      </c>
      <c r="O872" s="1">
        <v>45804</v>
      </c>
      <c r="Q872" s="1">
        <v>46230</v>
      </c>
      <c r="R872" s="2">
        <v>141.32</v>
      </c>
      <c r="S872">
        <v>1</v>
      </c>
      <c r="T872" t="s">
        <v>58</v>
      </c>
      <c r="U872" t="s">
        <v>246</v>
      </c>
      <c r="V872" s="3">
        <v>0.15</v>
      </c>
      <c r="W872" s="2">
        <v>0</v>
      </c>
      <c r="X872">
        <v>0</v>
      </c>
      <c r="Y872" t="s">
        <v>247</v>
      </c>
      <c r="Z872" t="s">
        <v>248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21.2</v>
      </c>
      <c r="AN872" s="2">
        <v>21.2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46202</v>
      </c>
      <c r="B873" t="s">
        <v>48</v>
      </c>
      <c r="C873">
        <v>649163</v>
      </c>
      <c r="D873">
        <v>2029145085</v>
      </c>
      <c r="E873" t="s">
        <v>610</v>
      </c>
      <c r="F873" t="s">
        <v>611</v>
      </c>
      <c r="G873" t="s">
        <v>51</v>
      </c>
      <c r="H873" t="s">
        <v>89</v>
      </c>
      <c r="I873" t="s">
        <v>194</v>
      </c>
      <c r="J873" t="s">
        <v>195</v>
      </c>
      <c r="K873">
        <v>766422</v>
      </c>
      <c r="L873" t="s">
        <v>612</v>
      </c>
      <c r="M873" t="s">
        <v>211</v>
      </c>
      <c r="N873" t="s">
        <v>57</v>
      </c>
      <c r="O873" s="1">
        <v>45805</v>
      </c>
      <c r="Q873" s="1">
        <v>46231</v>
      </c>
      <c r="R873" s="2">
        <v>115.38</v>
      </c>
      <c r="S873">
        <v>1</v>
      </c>
      <c r="T873" t="s">
        <v>58</v>
      </c>
      <c r="U873" t="s">
        <v>246</v>
      </c>
      <c r="V873" s="3">
        <v>0.15</v>
      </c>
      <c r="W873" s="2">
        <v>0</v>
      </c>
      <c r="X873">
        <v>0</v>
      </c>
      <c r="Y873" t="s">
        <v>247</v>
      </c>
      <c r="Z873" t="s">
        <v>248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17.309999999999999</v>
      </c>
      <c r="AN873" s="2">
        <v>17.309999999999999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46202</v>
      </c>
      <c r="B874" t="s">
        <v>48</v>
      </c>
      <c r="C874">
        <v>649163</v>
      </c>
      <c r="D874">
        <v>2029624410</v>
      </c>
      <c r="E874" t="s">
        <v>938</v>
      </c>
      <c r="F874" t="s">
        <v>259</v>
      </c>
      <c r="G874" t="s">
        <v>51</v>
      </c>
      <c r="H874" t="s">
        <v>332</v>
      </c>
      <c r="I874" t="s">
        <v>194</v>
      </c>
      <c r="J874" t="s">
        <v>195</v>
      </c>
      <c r="K874">
        <v>822865</v>
      </c>
      <c r="L874" t="s">
        <v>935</v>
      </c>
      <c r="M874" t="s">
        <v>936</v>
      </c>
      <c r="N874" t="s">
        <v>57</v>
      </c>
      <c r="O874" s="1">
        <v>45838</v>
      </c>
      <c r="Q874" s="1">
        <v>46233</v>
      </c>
      <c r="R874" s="2">
        <v>49.18</v>
      </c>
      <c r="S874">
        <v>1</v>
      </c>
      <c r="T874" t="s">
        <v>58</v>
      </c>
      <c r="U874" t="s">
        <v>246</v>
      </c>
      <c r="V874" s="3">
        <v>0.15</v>
      </c>
      <c r="W874" s="2">
        <v>0</v>
      </c>
      <c r="X874">
        <v>0</v>
      </c>
      <c r="Y874" t="s">
        <v>247</v>
      </c>
      <c r="Z874" t="s">
        <v>248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7.38</v>
      </c>
      <c r="AN874" s="2">
        <v>7.38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46202</v>
      </c>
      <c r="B875" t="s">
        <v>48</v>
      </c>
      <c r="C875">
        <v>649163</v>
      </c>
      <c r="D875">
        <v>2029690468</v>
      </c>
      <c r="E875" t="s">
        <v>1043</v>
      </c>
      <c r="F875" t="s">
        <v>1044</v>
      </c>
      <c r="G875" t="s">
        <v>51</v>
      </c>
      <c r="H875" t="s">
        <v>124</v>
      </c>
      <c r="I875" t="s">
        <v>194</v>
      </c>
      <c r="J875" t="s">
        <v>195</v>
      </c>
      <c r="K875">
        <v>812994</v>
      </c>
      <c r="L875" t="s">
        <v>615</v>
      </c>
      <c r="M875" t="s">
        <v>616</v>
      </c>
      <c r="N875" t="s">
        <v>57</v>
      </c>
      <c r="O875" s="1">
        <v>45836</v>
      </c>
      <c r="Q875" s="1">
        <v>46231</v>
      </c>
      <c r="R875" s="2">
        <v>164.81</v>
      </c>
      <c r="S875">
        <v>1</v>
      </c>
      <c r="T875" t="s">
        <v>58</v>
      </c>
      <c r="U875" t="s">
        <v>246</v>
      </c>
      <c r="V875" s="3">
        <v>0.15</v>
      </c>
      <c r="W875" s="2">
        <v>0</v>
      </c>
      <c r="X875">
        <v>0</v>
      </c>
      <c r="Y875" t="s">
        <v>247</v>
      </c>
      <c r="Z875" t="s">
        <v>248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24.72</v>
      </c>
      <c r="AN875" s="2">
        <v>24.72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46202</v>
      </c>
      <c r="B876" t="s">
        <v>48</v>
      </c>
      <c r="C876">
        <v>649163</v>
      </c>
      <c r="D876">
        <v>2030178517</v>
      </c>
      <c r="E876" t="s">
        <v>941</v>
      </c>
      <c r="F876" t="s">
        <v>942</v>
      </c>
      <c r="G876" t="s">
        <v>51</v>
      </c>
      <c r="H876" t="s">
        <v>97</v>
      </c>
      <c r="I876" t="s">
        <v>194</v>
      </c>
      <c r="J876" t="s">
        <v>195</v>
      </c>
      <c r="K876">
        <v>822865</v>
      </c>
      <c r="L876" t="s">
        <v>935</v>
      </c>
      <c r="M876" t="s">
        <v>936</v>
      </c>
      <c r="N876" t="s">
        <v>57</v>
      </c>
      <c r="O876" s="1">
        <v>45867</v>
      </c>
      <c r="Q876" s="1">
        <v>46232</v>
      </c>
      <c r="R876" s="2">
        <v>31.15</v>
      </c>
      <c r="S876">
        <v>1</v>
      </c>
      <c r="T876" t="s">
        <v>58</v>
      </c>
      <c r="U876" t="s">
        <v>246</v>
      </c>
      <c r="V876" s="3">
        <v>0.7</v>
      </c>
      <c r="W876" s="2">
        <v>0</v>
      </c>
      <c r="X876">
        <v>0</v>
      </c>
      <c r="Y876" t="s">
        <v>60</v>
      </c>
      <c r="Z876" t="s">
        <v>248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21.8</v>
      </c>
      <c r="AN876" s="2">
        <v>21.8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46202</v>
      </c>
      <c r="B877" t="s">
        <v>48</v>
      </c>
      <c r="C877">
        <v>649163</v>
      </c>
      <c r="D877">
        <v>2030184968</v>
      </c>
      <c r="E877" t="s">
        <v>1045</v>
      </c>
      <c r="F877" t="s">
        <v>1046</v>
      </c>
      <c r="G877" t="s">
        <v>51</v>
      </c>
      <c r="H877" t="s">
        <v>89</v>
      </c>
      <c r="I877" t="s">
        <v>194</v>
      </c>
      <c r="J877" t="s">
        <v>195</v>
      </c>
      <c r="K877">
        <v>807212</v>
      </c>
      <c r="L877" t="s">
        <v>811</v>
      </c>
      <c r="M877" t="s">
        <v>812</v>
      </c>
      <c r="N877" t="s">
        <v>57</v>
      </c>
      <c r="O877" s="1">
        <v>45867</v>
      </c>
      <c r="Q877" s="1">
        <v>46232</v>
      </c>
      <c r="R877" s="2">
        <v>18.45</v>
      </c>
      <c r="S877">
        <v>1</v>
      </c>
      <c r="T877" t="s">
        <v>58</v>
      </c>
      <c r="U877" t="s">
        <v>246</v>
      </c>
      <c r="V877" s="3">
        <v>0.7</v>
      </c>
      <c r="W877" s="2">
        <v>0</v>
      </c>
      <c r="X877">
        <v>0</v>
      </c>
      <c r="Y877" t="s">
        <v>60</v>
      </c>
      <c r="Z877" t="s">
        <v>248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12.92</v>
      </c>
      <c r="AN877" s="2">
        <v>12.92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46202</v>
      </c>
      <c r="B878" t="s">
        <v>48</v>
      </c>
      <c r="C878">
        <v>649163</v>
      </c>
      <c r="D878">
        <v>2030199535</v>
      </c>
      <c r="E878" t="s">
        <v>381</v>
      </c>
      <c r="F878" t="s">
        <v>382</v>
      </c>
      <c r="G878" t="s">
        <v>51</v>
      </c>
      <c r="H878" t="s">
        <v>84</v>
      </c>
      <c r="I878" t="s">
        <v>194</v>
      </c>
      <c r="J878" t="s">
        <v>228</v>
      </c>
      <c r="K878">
        <v>756418</v>
      </c>
      <c r="L878" t="s">
        <v>383</v>
      </c>
      <c r="M878" t="s">
        <v>384</v>
      </c>
      <c r="N878" t="s">
        <v>57</v>
      </c>
      <c r="O878" s="1">
        <v>45868</v>
      </c>
      <c r="Q878" s="1">
        <v>46233</v>
      </c>
      <c r="R878" s="2">
        <v>22.02</v>
      </c>
      <c r="S878">
        <v>1</v>
      </c>
      <c r="T878" t="s">
        <v>58</v>
      </c>
      <c r="U878" t="s">
        <v>246</v>
      </c>
      <c r="V878" s="3">
        <v>0.42</v>
      </c>
      <c r="W878" s="2">
        <v>0</v>
      </c>
      <c r="X878">
        <v>0</v>
      </c>
      <c r="Y878" t="s">
        <v>60</v>
      </c>
      <c r="Z878" t="s">
        <v>248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9.25</v>
      </c>
      <c r="AN878" s="2">
        <v>9.25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46202</v>
      </c>
      <c r="B879" t="s">
        <v>48</v>
      </c>
      <c r="C879">
        <v>649163</v>
      </c>
      <c r="D879">
        <v>2030366106</v>
      </c>
      <c r="E879" t="s">
        <v>385</v>
      </c>
      <c r="F879" t="s">
        <v>386</v>
      </c>
      <c r="G879" t="s">
        <v>51</v>
      </c>
      <c r="H879" t="s">
        <v>124</v>
      </c>
      <c r="I879" t="s">
        <v>194</v>
      </c>
      <c r="J879" t="s">
        <v>195</v>
      </c>
      <c r="K879">
        <v>651818</v>
      </c>
      <c r="L879" t="s">
        <v>210</v>
      </c>
      <c r="M879" t="s">
        <v>211</v>
      </c>
      <c r="N879" t="s">
        <v>257</v>
      </c>
      <c r="O879" s="1">
        <v>45878</v>
      </c>
      <c r="P879" s="1">
        <v>46202</v>
      </c>
      <c r="Q879" s="1">
        <v>46212</v>
      </c>
      <c r="R879" s="2">
        <v>-13.24</v>
      </c>
      <c r="S879">
        <v>1</v>
      </c>
      <c r="T879" t="s">
        <v>58</v>
      </c>
      <c r="U879" t="s">
        <v>246</v>
      </c>
      <c r="V879" s="3">
        <v>0.7</v>
      </c>
      <c r="W879" s="2">
        <v>0</v>
      </c>
      <c r="X879">
        <v>-1</v>
      </c>
      <c r="Y879" t="s">
        <v>60</v>
      </c>
      <c r="Z879" t="s">
        <v>248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-9.27</v>
      </c>
      <c r="AN879" s="2">
        <v>-9.27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46202</v>
      </c>
      <c r="B880" t="s">
        <v>48</v>
      </c>
      <c r="C880">
        <v>649163</v>
      </c>
      <c r="D880">
        <v>2030450004</v>
      </c>
      <c r="E880" t="s">
        <v>387</v>
      </c>
      <c r="F880" t="s">
        <v>388</v>
      </c>
      <c r="G880" t="s">
        <v>51</v>
      </c>
      <c r="H880" t="s">
        <v>146</v>
      </c>
      <c r="I880" t="s">
        <v>194</v>
      </c>
      <c r="J880" t="s">
        <v>228</v>
      </c>
      <c r="K880">
        <v>823068</v>
      </c>
      <c r="L880" t="s">
        <v>389</v>
      </c>
      <c r="M880" t="s">
        <v>390</v>
      </c>
      <c r="N880" t="s">
        <v>257</v>
      </c>
      <c r="O880" s="1">
        <v>45888</v>
      </c>
      <c r="P880" s="1">
        <v>46202</v>
      </c>
      <c r="Q880" s="1">
        <v>46222</v>
      </c>
      <c r="R880" s="2">
        <v>-34.93</v>
      </c>
      <c r="S880">
        <v>1</v>
      </c>
      <c r="T880" t="s">
        <v>58</v>
      </c>
      <c r="U880" t="s">
        <v>246</v>
      </c>
      <c r="V880" s="3">
        <v>0.42</v>
      </c>
      <c r="W880" s="2">
        <v>0</v>
      </c>
      <c r="X880">
        <v>-1</v>
      </c>
      <c r="Y880" t="s">
        <v>60</v>
      </c>
      <c r="Z880" t="s">
        <v>248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-14.67</v>
      </c>
      <c r="AN880" s="2">
        <v>-14.67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46202</v>
      </c>
      <c r="B881" t="s">
        <v>48</v>
      </c>
      <c r="D881">
        <v>2030450005</v>
      </c>
      <c r="E881" t="s">
        <v>387</v>
      </c>
      <c r="F881" t="s">
        <v>388</v>
      </c>
      <c r="G881" t="s">
        <v>51</v>
      </c>
      <c r="H881" t="s">
        <v>146</v>
      </c>
      <c r="I881" t="s">
        <v>194</v>
      </c>
      <c r="J881" t="s">
        <v>203</v>
      </c>
      <c r="L881" t="s">
        <v>389</v>
      </c>
      <c r="M881" t="s">
        <v>390</v>
      </c>
      <c r="N881" t="s">
        <v>257</v>
      </c>
      <c r="O881" s="1">
        <v>45888</v>
      </c>
      <c r="P881" s="1">
        <v>46202</v>
      </c>
      <c r="Q881" s="1">
        <v>46222</v>
      </c>
      <c r="R881" s="2">
        <v>-26.2</v>
      </c>
      <c r="S881">
        <v>1</v>
      </c>
      <c r="T881" t="s">
        <v>58</v>
      </c>
      <c r="U881" t="s">
        <v>246</v>
      </c>
      <c r="V881" s="3">
        <v>0.7</v>
      </c>
      <c r="W881" s="2">
        <v>0</v>
      </c>
      <c r="X881">
        <v>-1</v>
      </c>
      <c r="Y881" t="s">
        <v>60</v>
      </c>
      <c r="Z881" t="s">
        <v>248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-18.34</v>
      </c>
      <c r="AN881" s="2">
        <v>-18.34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46202</v>
      </c>
      <c r="B882" t="s">
        <v>48</v>
      </c>
      <c r="C882">
        <v>649163</v>
      </c>
      <c r="D882">
        <v>2030594430</v>
      </c>
      <c r="E882" t="s">
        <v>943</v>
      </c>
      <c r="F882" t="s">
        <v>944</v>
      </c>
      <c r="G882" t="s">
        <v>51</v>
      </c>
      <c r="H882" t="s">
        <v>397</v>
      </c>
      <c r="I882" t="s">
        <v>194</v>
      </c>
      <c r="J882" t="s">
        <v>195</v>
      </c>
      <c r="K882">
        <v>822723</v>
      </c>
      <c r="L882" t="s">
        <v>912</v>
      </c>
      <c r="M882" t="s">
        <v>913</v>
      </c>
      <c r="N882" t="s">
        <v>57</v>
      </c>
      <c r="O882" s="1">
        <v>45898</v>
      </c>
      <c r="Q882" s="1">
        <v>46232</v>
      </c>
      <c r="R882" s="2">
        <v>41.5</v>
      </c>
      <c r="S882">
        <v>1</v>
      </c>
      <c r="T882" t="s">
        <v>58</v>
      </c>
      <c r="U882" t="s">
        <v>246</v>
      </c>
      <c r="V882" s="3">
        <v>0.7</v>
      </c>
      <c r="W882" s="2">
        <v>0</v>
      </c>
      <c r="X882">
        <v>0</v>
      </c>
      <c r="Y882" t="s">
        <v>60</v>
      </c>
      <c r="Z882" t="s">
        <v>248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29.05</v>
      </c>
      <c r="AN882" s="2">
        <v>29.05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46202</v>
      </c>
      <c r="B883" t="s">
        <v>48</v>
      </c>
      <c r="C883">
        <v>649163</v>
      </c>
      <c r="D883">
        <v>2031146811</v>
      </c>
      <c r="E883" t="s">
        <v>1047</v>
      </c>
      <c r="F883" t="s">
        <v>1048</v>
      </c>
      <c r="G883" t="s">
        <v>51</v>
      </c>
      <c r="H883" t="s">
        <v>89</v>
      </c>
      <c r="I883" t="s">
        <v>194</v>
      </c>
      <c r="J883" t="s">
        <v>228</v>
      </c>
      <c r="K883">
        <v>789909</v>
      </c>
      <c r="L883" t="s">
        <v>711</v>
      </c>
      <c r="M883" t="s">
        <v>712</v>
      </c>
      <c r="N883" t="s">
        <v>57</v>
      </c>
      <c r="O883" s="1">
        <v>45930</v>
      </c>
      <c r="Q883" s="1">
        <v>46233</v>
      </c>
      <c r="R883" s="2">
        <v>51</v>
      </c>
      <c r="S883">
        <v>1</v>
      </c>
      <c r="T883" t="s">
        <v>58</v>
      </c>
      <c r="U883" t="s">
        <v>59</v>
      </c>
      <c r="V883" s="3">
        <v>0.42</v>
      </c>
      <c r="W883" s="2">
        <v>0</v>
      </c>
      <c r="X883">
        <v>0</v>
      </c>
      <c r="Y883" t="s">
        <v>60</v>
      </c>
      <c r="Z883" t="s">
        <v>248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21.42</v>
      </c>
      <c r="AN883" s="2">
        <v>21.42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46202</v>
      </c>
      <c r="B884" t="s">
        <v>48</v>
      </c>
      <c r="C884">
        <v>649163</v>
      </c>
      <c r="D884">
        <v>2031343659</v>
      </c>
      <c r="E884" t="s">
        <v>884</v>
      </c>
      <c r="F884" t="s">
        <v>893</v>
      </c>
      <c r="G884" t="s">
        <v>51</v>
      </c>
      <c r="H884" t="s">
        <v>124</v>
      </c>
      <c r="I884" t="s">
        <v>194</v>
      </c>
      <c r="J884" t="s">
        <v>195</v>
      </c>
      <c r="K884">
        <v>822733</v>
      </c>
      <c r="L884" t="s">
        <v>229</v>
      </c>
      <c r="M884" t="s">
        <v>230</v>
      </c>
      <c r="N884" t="s">
        <v>257</v>
      </c>
      <c r="O884" s="1">
        <v>45931</v>
      </c>
      <c r="P884" s="1">
        <v>46202</v>
      </c>
      <c r="Q884" s="1">
        <v>46235</v>
      </c>
      <c r="R884" s="2">
        <v>-1.73</v>
      </c>
      <c r="S884">
        <v>1</v>
      </c>
      <c r="T884" t="s">
        <v>58</v>
      </c>
      <c r="U884" t="s">
        <v>59</v>
      </c>
      <c r="V884" s="3">
        <v>0.7</v>
      </c>
      <c r="W884" s="2">
        <v>0</v>
      </c>
      <c r="X884">
        <v>-1</v>
      </c>
      <c r="Y884" t="s">
        <v>60</v>
      </c>
      <c r="Z884" t="s">
        <v>248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-1.21</v>
      </c>
      <c r="AN884" s="2">
        <v>-1.21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46202</v>
      </c>
      <c r="B885" t="s">
        <v>48</v>
      </c>
      <c r="C885">
        <v>649163</v>
      </c>
      <c r="D885">
        <v>2031799852</v>
      </c>
      <c r="E885" t="s">
        <v>1049</v>
      </c>
      <c r="F885" t="s">
        <v>207</v>
      </c>
      <c r="G885" t="s">
        <v>51</v>
      </c>
      <c r="H885" t="s">
        <v>100</v>
      </c>
      <c r="I885" t="s">
        <v>194</v>
      </c>
      <c r="J885" t="s">
        <v>195</v>
      </c>
      <c r="K885">
        <v>856824</v>
      </c>
      <c r="L885" t="s">
        <v>85</v>
      </c>
      <c r="M885" t="s">
        <v>86</v>
      </c>
      <c r="N885" t="s">
        <v>57</v>
      </c>
      <c r="O885" s="1">
        <v>45957</v>
      </c>
      <c r="Q885" s="1">
        <v>46230</v>
      </c>
      <c r="R885" s="2">
        <v>50.9</v>
      </c>
      <c r="S885">
        <v>1</v>
      </c>
      <c r="T885" t="s">
        <v>58</v>
      </c>
      <c r="U885" t="s">
        <v>59</v>
      </c>
      <c r="V885" s="3">
        <v>0.7</v>
      </c>
      <c r="W885" s="2">
        <v>0</v>
      </c>
      <c r="X885">
        <v>0</v>
      </c>
      <c r="Y885" t="s">
        <v>60</v>
      </c>
      <c r="Z885" t="s">
        <v>248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35.630000000000003</v>
      </c>
      <c r="AN885" s="2">
        <v>35.630000000000003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46202</v>
      </c>
      <c r="B886" t="s">
        <v>48</v>
      </c>
      <c r="C886">
        <v>649163</v>
      </c>
      <c r="D886">
        <v>2031833749</v>
      </c>
      <c r="E886" t="s">
        <v>324</v>
      </c>
      <c r="F886" t="s">
        <v>945</v>
      </c>
      <c r="G886" t="s">
        <v>51</v>
      </c>
      <c r="H886" t="s">
        <v>434</v>
      </c>
      <c r="I886" t="s">
        <v>194</v>
      </c>
      <c r="J886" t="s">
        <v>195</v>
      </c>
      <c r="K886">
        <v>820140</v>
      </c>
      <c r="L886" t="s">
        <v>946</v>
      </c>
      <c r="M886" t="s">
        <v>317</v>
      </c>
      <c r="N886" t="s">
        <v>57</v>
      </c>
      <c r="O886" s="1">
        <v>45958</v>
      </c>
      <c r="Q886" s="1">
        <v>46231</v>
      </c>
      <c r="R886" s="2">
        <v>11.5</v>
      </c>
      <c r="S886">
        <v>1</v>
      </c>
      <c r="T886" t="s">
        <v>58</v>
      </c>
      <c r="U886" t="s">
        <v>59</v>
      </c>
      <c r="V886" s="3">
        <v>0.3</v>
      </c>
      <c r="W886" s="2">
        <v>0</v>
      </c>
      <c r="X886">
        <v>0</v>
      </c>
      <c r="Y886" t="s">
        <v>60</v>
      </c>
      <c r="Z886" t="s">
        <v>248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3.45</v>
      </c>
      <c r="AN886" s="2">
        <v>3.45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46202</v>
      </c>
      <c r="B887" t="s">
        <v>48</v>
      </c>
      <c r="C887">
        <v>649163</v>
      </c>
      <c r="D887">
        <v>2031983993</v>
      </c>
      <c r="E887" t="s">
        <v>949</v>
      </c>
      <c r="F887" t="s">
        <v>950</v>
      </c>
      <c r="G887" t="s">
        <v>51</v>
      </c>
      <c r="H887" t="s">
        <v>89</v>
      </c>
      <c r="I887" t="s">
        <v>194</v>
      </c>
      <c r="J887" t="s">
        <v>195</v>
      </c>
      <c r="K887">
        <v>806645</v>
      </c>
      <c r="L887" t="s">
        <v>804</v>
      </c>
      <c r="M887" t="s">
        <v>805</v>
      </c>
      <c r="N887" t="s">
        <v>57</v>
      </c>
      <c r="O887" s="1">
        <v>46054</v>
      </c>
      <c r="Q887" s="1">
        <v>46235</v>
      </c>
      <c r="R887" s="2">
        <v>34</v>
      </c>
      <c r="S887">
        <v>1</v>
      </c>
      <c r="T887" t="s">
        <v>58</v>
      </c>
      <c r="U887" t="s">
        <v>59</v>
      </c>
      <c r="V887" s="3">
        <v>0.7</v>
      </c>
      <c r="W887" s="2">
        <v>0</v>
      </c>
      <c r="X887">
        <v>0</v>
      </c>
      <c r="Y887" t="s">
        <v>60</v>
      </c>
      <c r="Z887" t="s">
        <v>248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23.8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46202</v>
      </c>
      <c r="B888" t="s">
        <v>48</v>
      </c>
      <c r="C888">
        <v>649163</v>
      </c>
      <c r="D888">
        <v>2032098955</v>
      </c>
      <c r="E888" t="s">
        <v>301</v>
      </c>
      <c r="F888" t="s">
        <v>209</v>
      </c>
      <c r="G888" t="s">
        <v>51</v>
      </c>
      <c r="H888" t="s">
        <v>302</v>
      </c>
      <c r="I888" t="s">
        <v>194</v>
      </c>
      <c r="J888" t="s">
        <v>195</v>
      </c>
      <c r="K888">
        <v>673059</v>
      </c>
      <c r="L888" t="s">
        <v>102</v>
      </c>
      <c r="M888" t="s">
        <v>103</v>
      </c>
      <c r="N888" t="s">
        <v>57</v>
      </c>
      <c r="O888" s="1">
        <v>46054</v>
      </c>
      <c r="Q888" s="1">
        <v>46235</v>
      </c>
      <c r="R888" s="2">
        <v>23.28</v>
      </c>
      <c r="S888">
        <v>1</v>
      </c>
      <c r="T888" t="s">
        <v>58</v>
      </c>
      <c r="U888" t="s">
        <v>59</v>
      </c>
      <c r="V888" s="3">
        <v>0.7</v>
      </c>
      <c r="W888" s="2">
        <v>0</v>
      </c>
      <c r="X888">
        <v>0</v>
      </c>
      <c r="Y888" t="s">
        <v>60</v>
      </c>
      <c r="Z888" t="s">
        <v>248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16.3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46202</v>
      </c>
      <c r="B889" t="s">
        <v>48</v>
      </c>
      <c r="C889">
        <v>649163</v>
      </c>
      <c r="D889">
        <v>2032220269</v>
      </c>
      <c r="E889" t="s">
        <v>391</v>
      </c>
      <c r="F889" t="s">
        <v>392</v>
      </c>
      <c r="G889" t="s">
        <v>51</v>
      </c>
      <c r="H889" t="s">
        <v>100</v>
      </c>
      <c r="I889" t="s">
        <v>194</v>
      </c>
      <c r="J889" t="s">
        <v>195</v>
      </c>
      <c r="K889">
        <v>651818</v>
      </c>
      <c r="L889" t="s">
        <v>210</v>
      </c>
      <c r="M889" t="s">
        <v>211</v>
      </c>
      <c r="N889" t="s">
        <v>57</v>
      </c>
      <c r="O889" s="1">
        <v>45992</v>
      </c>
      <c r="Q889" s="1">
        <v>46235</v>
      </c>
      <c r="R889" s="2">
        <v>41.66</v>
      </c>
      <c r="S889">
        <v>1</v>
      </c>
      <c r="T889" t="s">
        <v>58</v>
      </c>
      <c r="U889" t="s">
        <v>59</v>
      </c>
      <c r="V889" s="3">
        <v>0.7</v>
      </c>
      <c r="W889" s="2">
        <v>0</v>
      </c>
      <c r="X889">
        <v>0</v>
      </c>
      <c r="Y889" t="s">
        <v>60</v>
      </c>
      <c r="Z889" t="s">
        <v>248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29.16</v>
      </c>
      <c r="AN889" s="2">
        <v>29.16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46202</v>
      </c>
      <c r="B890" t="s">
        <v>48</v>
      </c>
      <c r="C890">
        <v>649163</v>
      </c>
      <c r="D890">
        <v>2032297145</v>
      </c>
      <c r="E890" t="s">
        <v>1050</v>
      </c>
      <c r="F890" t="s">
        <v>209</v>
      </c>
      <c r="G890" t="s">
        <v>51</v>
      </c>
      <c r="H890" t="s">
        <v>146</v>
      </c>
      <c r="I890" t="s">
        <v>194</v>
      </c>
      <c r="J890" t="s">
        <v>217</v>
      </c>
      <c r="K890">
        <v>823068</v>
      </c>
      <c r="L890" t="s">
        <v>389</v>
      </c>
      <c r="M890" t="s">
        <v>390</v>
      </c>
      <c r="N890" t="s">
        <v>57</v>
      </c>
      <c r="O890" s="1">
        <v>45988</v>
      </c>
      <c r="Q890" s="1">
        <v>46230</v>
      </c>
      <c r="R890" s="2">
        <v>67.88</v>
      </c>
      <c r="S890">
        <v>1</v>
      </c>
      <c r="T890" t="s">
        <v>58</v>
      </c>
      <c r="U890" t="s">
        <v>59</v>
      </c>
      <c r="V890" s="3">
        <v>0.9</v>
      </c>
      <c r="W890" s="2">
        <v>0</v>
      </c>
      <c r="X890">
        <v>0</v>
      </c>
      <c r="Y890" t="s">
        <v>60</v>
      </c>
      <c r="Z890" t="s">
        <v>248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61.09</v>
      </c>
      <c r="AN890" s="2">
        <v>61.09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46202</v>
      </c>
      <c r="B891" t="s">
        <v>48</v>
      </c>
      <c r="C891">
        <v>649163</v>
      </c>
      <c r="D891">
        <v>2032297146</v>
      </c>
      <c r="E891" t="s">
        <v>1050</v>
      </c>
      <c r="F891" t="s">
        <v>209</v>
      </c>
      <c r="G891" t="s">
        <v>51</v>
      </c>
      <c r="H891" t="s">
        <v>146</v>
      </c>
      <c r="I891" t="s">
        <v>194</v>
      </c>
      <c r="J891" t="s">
        <v>203</v>
      </c>
      <c r="K891">
        <v>823068</v>
      </c>
      <c r="L891" t="s">
        <v>389</v>
      </c>
      <c r="M891" t="s">
        <v>390</v>
      </c>
      <c r="N891" t="s">
        <v>57</v>
      </c>
      <c r="O891" s="1">
        <v>45988</v>
      </c>
      <c r="Q891" s="1">
        <v>46230</v>
      </c>
      <c r="R891" s="2">
        <v>24.61</v>
      </c>
      <c r="S891">
        <v>1</v>
      </c>
      <c r="T891" t="s">
        <v>58</v>
      </c>
      <c r="U891" t="s">
        <v>59</v>
      </c>
      <c r="V891" s="3">
        <v>0.7</v>
      </c>
      <c r="W891" s="2">
        <v>0</v>
      </c>
      <c r="X891">
        <v>0</v>
      </c>
      <c r="Y891" t="s">
        <v>60</v>
      </c>
      <c r="Z891" t="s">
        <v>248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17.23</v>
      </c>
      <c r="AN891" s="2">
        <v>17.23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46202</v>
      </c>
      <c r="B892" t="s">
        <v>48</v>
      </c>
      <c r="C892">
        <v>649163</v>
      </c>
      <c r="D892">
        <v>2032360821</v>
      </c>
      <c r="E892" t="s">
        <v>393</v>
      </c>
      <c r="F892" t="s">
        <v>394</v>
      </c>
      <c r="G892" t="s">
        <v>51</v>
      </c>
      <c r="H892" t="s">
        <v>94</v>
      </c>
      <c r="I892" t="s">
        <v>194</v>
      </c>
      <c r="J892" t="s">
        <v>195</v>
      </c>
      <c r="K892">
        <v>796984</v>
      </c>
      <c r="L892" t="s">
        <v>344</v>
      </c>
      <c r="M892" t="s">
        <v>171</v>
      </c>
      <c r="N892" t="s">
        <v>57</v>
      </c>
      <c r="O892" s="1">
        <v>46023</v>
      </c>
      <c r="Q892" s="1">
        <v>46235</v>
      </c>
      <c r="R892" s="2">
        <v>19.41</v>
      </c>
      <c r="S892">
        <v>1</v>
      </c>
      <c r="T892" t="s">
        <v>58</v>
      </c>
      <c r="U892" t="s">
        <v>59</v>
      </c>
      <c r="V892" s="3">
        <v>0.7</v>
      </c>
      <c r="W892" s="2">
        <v>0</v>
      </c>
      <c r="X892">
        <v>0</v>
      </c>
      <c r="Y892" t="s">
        <v>60</v>
      </c>
      <c r="Z892" t="s">
        <v>248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13.59</v>
      </c>
      <c r="AN892" s="2">
        <v>13.59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46202</v>
      </c>
      <c r="B893" t="s">
        <v>48</v>
      </c>
      <c r="C893">
        <v>649163</v>
      </c>
      <c r="D893">
        <v>2032377140</v>
      </c>
      <c r="E893" t="s">
        <v>391</v>
      </c>
      <c r="F893" t="s">
        <v>171</v>
      </c>
      <c r="G893" t="s">
        <v>51</v>
      </c>
      <c r="H893" t="s">
        <v>89</v>
      </c>
      <c r="I893" t="s">
        <v>194</v>
      </c>
      <c r="J893" t="s">
        <v>195</v>
      </c>
      <c r="K893">
        <v>820873</v>
      </c>
      <c r="L893" t="s">
        <v>153</v>
      </c>
      <c r="M893" t="s">
        <v>154</v>
      </c>
      <c r="N893" t="s">
        <v>57</v>
      </c>
      <c r="O893" s="1">
        <v>45988</v>
      </c>
      <c r="Q893" s="1">
        <v>46230</v>
      </c>
      <c r="R893" s="2">
        <v>39.25</v>
      </c>
      <c r="S893">
        <v>1</v>
      </c>
      <c r="T893" t="s">
        <v>58</v>
      </c>
      <c r="U893" t="s">
        <v>59</v>
      </c>
      <c r="V893" s="3">
        <v>0.7</v>
      </c>
      <c r="W893" s="2">
        <v>0</v>
      </c>
      <c r="X893">
        <v>0</v>
      </c>
      <c r="Y893" t="s">
        <v>60</v>
      </c>
      <c r="Z893" t="s">
        <v>248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27.48</v>
      </c>
      <c r="AN893" s="2">
        <v>27.48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46202</v>
      </c>
      <c r="B894" t="s">
        <v>48</v>
      </c>
      <c r="C894">
        <v>649163</v>
      </c>
      <c r="D894">
        <v>2032384112</v>
      </c>
      <c r="E894" t="s">
        <v>1051</v>
      </c>
      <c r="F894" t="s">
        <v>1052</v>
      </c>
      <c r="G894" t="s">
        <v>51</v>
      </c>
      <c r="H894" t="s">
        <v>397</v>
      </c>
      <c r="I894" t="s">
        <v>194</v>
      </c>
      <c r="J894" t="s">
        <v>195</v>
      </c>
      <c r="K894">
        <v>813184</v>
      </c>
      <c r="L894" t="s">
        <v>398</v>
      </c>
      <c r="M894" t="s">
        <v>399</v>
      </c>
      <c r="N894" t="s">
        <v>57</v>
      </c>
      <c r="O894" s="1">
        <v>45988</v>
      </c>
      <c r="Q894" s="1">
        <v>46230</v>
      </c>
      <c r="R894" s="2">
        <v>49.46</v>
      </c>
      <c r="S894">
        <v>1</v>
      </c>
      <c r="T894" t="s">
        <v>58</v>
      </c>
      <c r="U894" t="s">
        <v>59</v>
      </c>
      <c r="V894" s="3">
        <v>0.7</v>
      </c>
      <c r="W894" s="2">
        <v>0</v>
      </c>
      <c r="X894">
        <v>0</v>
      </c>
      <c r="Y894" t="s">
        <v>60</v>
      </c>
      <c r="Z894" t="s">
        <v>248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34.619999999999997</v>
      </c>
      <c r="AN894" s="2">
        <v>34.619999999999997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46202</v>
      </c>
      <c r="B895" t="s">
        <v>48</v>
      </c>
      <c r="C895">
        <v>649163</v>
      </c>
      <c r="D895">
        <v>2032393909</v>
      </c>
      <c r="E895" t="s">
        <v>1053</v>
      </c>
      <c r="F895" t="s">
        <v>1054</v>
      </c>
      <c r="G895" t="s">
        <v>51</v>
      </c>
      <c r="H895" t="s">
        <v>479</v>
      </c>
      <c r="I895" t="s">
        <v>194</v>
      </c>
      <c r="J895" t="s">
        <v>195</v>
      </c>
      <c r="K895">
        <v>822733</v>
      </c>
      <c r="L895" t="s">
        <v>229</v>
      </c>
      <c r="M895" t="s">
        <v>230</v>
      </c>
      <c r="N895" t="s">
        <v>57</v>
      </c>
      <c r="O895" s="1">
        <v>45989</v>
      </c>
      <c r="Q895" s="1">
        <v>46231</v>
      </c>
      <c r="R895" s="2">
        <v>31.28</v>
      </c>
      <c r="S895">
        <v>1</v>
      </c>
      <c r="T895" t="s">
        <v>58</v>
      </c>
      <c r="U895" t="s">
        <v>59</v>
      </c>
      <c r="V895" s="3">
        <v>0.7</v>
      </c>
      <c r="W895" s="2">
        <v>0</v>
      </c>
      <c r="X895">
        <v>0</v>
      </c>
      <c r="Y895" t="s">
        <v>60</v>
      </c>
      <c r="Z895" t="s">
        <v>248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21.9</v>
      </c>
      <c r="AN895" s="2">
        <v>21.9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46202</v>
      </c>
      <c r="B896" t="s">
        <v>48</v>
      </c>
      <c r="C896">
        <v>649163</v>
      </c>
      <c r="D896">
        <v>2032398126</v>
      </c>
      <c r="E896" t="s">
        <v>395</v>
      </c>
      <c r="F896" t="s">
        <v>396</v>
      </c>
      <c r="G896" t="s">
        <v>51</v>
      </c>
      <c r="H896" t="s">
        <v>397</v>
      </c>
      <c r="I896" t="s">
        <v>194</v>
      </c>
      <c r="J896" t="s">
        <v>195</v>
      </c>
      <c r="K896">
        <v>813184</v>
      </c>
      <c r="L896" t="s">
        <v>398</v>
      </c>
      <c r="M896" t="s">
        <v>399</v>
      </c>
      <c r="N896" t="s">
        <v>57</v>
      </c>
      <c r="O896" s="1">
        <v>45990</v>
      </c>
      <c r="Q896" s="1">
        <v>46232</v>
      </c>
      <c r="R896" s="2">
        <v>93.74</v>
      </c>
      <c r="S896">
        <v>1</v>
      </c>
      <c r="T896" t="s">
        <v>58</v>
      </c>
      <c r="U896" t="s">
        <v>59</v>
      </c>
      <c r="V896" s="3">
        <v>0.7</v>
      </c>
      <c r="W896" s="2">
        <v>0</v>
      </c>
      <c r="X896">
        <v>0</v>
      </c>
      <c r="Y896" t="s">
        <v>60</v>
      </c>
      <c r="Z896" t="s">
        <v>248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65.62</v>
      </c>
      <c r="AN896" s="2">
        <v>65.62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46202</v>
      </c>
      <c r="B897" t="s">
        <v>48</v>
      </c>
      <c r="C897">
        <v>649163</v>
      </c>
      <c r="D897">
        <v>2032406021</v>
      </c>
      <c r="E897" t="s">
        <v>1055</v>
      </c>
      <c r="F897" t="s">
        <v>1056</v>
      </c>
      <c r="G897" t="s">
        <v>51</v>
      </c>
      <c r="H897" t="s">
        <v>89</v>
      </c>
      <c r="I897" t="s">
        <v>194</v>
      </c>
      <c r="J897" t="s">
        <v>195</v>
      </c>
      <c r="K897">
        <v>893408</v>
      </c>
      <c r="L897" t="s">
        <v>120</v>
      </c>
      <c r="M897" t="s">
        <v>121</v>
      </c>
      <c r="N897" t="s">
        <v>57</v>
      </c>
      <c r="O897" s="1">
        <v>45990</v>
      </c>
      <c r="Q897" s="1">
        <v>46232</v>
      </c>
      <c r="R897" s="2">
        <v>58.24</v>
      </c>
      <c r="S897">
        <v>1</v>
      </c>
      <c r="T897" t="s">
        <v>58</v>
      </c>
      <c r="U897" t="s">
        <v>59</v>
      </c>
      <c r="V897" s="3">
        <v>0.7</v>
      </c>
      <c r="W897" s="2">
        <v>0</v>
      </c>
      <c r="X897">
        <v>0</v>
      </c>
      <c r="Y897" t="s">
        <v>60</v>
      </c>
      <c r="Z897" t="s">
        <v>248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40.770000000000003</v>
      </c>
      <c r="AN897" s="2">
        <v>40.770000000000003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46202</v>
      </c>
      <c r="B898" t="s">
        <v>48</v>
      </c>
      <c r="C898">
        <v>649163</v>
      </c>
      <c r="D898">
        <v>2032409394</v>
      </c>
      <c r="E898" t="s">
        <v>1057</v>
      </c>
      <c r="F898" t="s">
        <v>1040</v>
      </c>
      <c r="G898" t="s">
        <v>51</v>
      </c>
      <c r="H898" t="s">
        <v>89</v>
      </c>
      <c r="I898" t="s">
        <v>194</v>
      </c>
      <c r="J898" t="s">
        <v>195</v>
      </c>
      <c r="K898">
        <v>893408</v>
      </c>
      <c r="L898" t="s">
        <v>120</v>
      </c>
      <c r="M898" t="s">
        <v>121</v>
      </c>
      <c r="N898" t="s">
        <v>57</v>
      </c>
      <c r="O898" s="1">
        <v>45990</v>
      </c>
      <c r="Q898" s="1">
        <v>46232</v>
      </c>
      <c r="R898" s="2">
        <v>150.77000000000001</v>
      </c>
      <c r="S898">
        <v>1</v>
      </c>
      <c r="T898" t="s">
        <v>58</v>
      </c>
      <c r="U898" t="s">
        <v>59</v>
      </c>
      <c r="V898" s="3">
        <v>0.7</v>
      </c>
      <c r="W898" s="2">
        <v>0</v>
      </c>
      <c r="X898">
        <v>0</v>
      </c>
      <c r="Y898" t="s">
        <v>60</v>
      </c>
      <c r="Z898" t="s">
        <v>248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105.54</v>
      </c>
      <c r="AN898" s="2">
        <v>105.54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46202</v>
      </c>
      <c r="B899" t="s">
        <v>48</v>
      </c>
      <c r="C899">
        <v>649163</v>
      </c>
      <c r="D899">
        <v>2032418219</v>
      </c>
      <c r="E899" t="s">
        <v>951</v>
      </c>
      <c r="F899" t="s">
        <v>952</v>
      </c>
      <c r="G899" t="s">
        <v>51</v>
      </c>
      <c r="H899" t="s">
        <v>397</v>
      </c>
      <c r="I899" t="s">
        <v>194</v>
      </c>
      <c r="J899" t="s">
        <v>195</v>
      </c>
      <c r="K899">
        <v>756418</v>
      </c>
      <c r="L899" t="s">
        <v>383</v>
      </c>
      <c r="M899" t="s">
        <v>384</v>
      </c>
      <c r="N899" t="s">
        <v>57</v>
      </c>
      <c r="O899" s="1">
        <v>45991</v>
      </c>
      <c r="Q899" s="1">
        <v>46233</v>
      </c>
      <c r="R899" s="2">
        <v>28</v>
      </c>
      <c r="S899">
        <v>1</v>
      </c>
      <c r="T899" t="s">
        <v>58</v>
      </c>
      <c r="U899" t="s">
        <v>59</v>
      </c>
      <c r="V899" s="3">
        <v>0.7</v>
      </c>
      <c r="W899" s="2">
        <v>0</v>
      </c>
      <c r="X899">
        <v>0</v>
      </c>
      <c r="Y899" t="s">
        <v>60</v>
      </c>
      <c r="Z899" t="s">
        <v>248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19.600000000000001</v>
      </c>
      <c r="AN899" s="2">
        <v>19.600000000000001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46202</v>
      </c>
      <c r="B900" t="s">
        <v>48</v>
      </c>
      <c r="C900">
        <v>649163</v>
      </c>
      <c r="D900">
        <v>2032418220</v>
      </c>
      <c r="E900" t="s">
        <v>951</v>
      </c>
      <c r="F900" t="s">
        <v>952</v>
      </c>
      <c r="G900" t="s">
        <v>51</v>
      </c>
      <c r="H900" t="s">
        <v>397</v>
      </c>
      <c r="I900" t="s">
        <v>194</v>
      </c>
      <c r="J900" t="s">
        <v>217</v>
      </c>
      <c r="K900">
        <v>756418</v>
      </c>
      <c r="L900" t="s">
        <v>383</v>
      </c>
      <c r="M900" t="s">
        <v>384</v>
      </c>
      <c r="N900" t="s">
        <v>57</v>
      </c>
      <c r="O900" s="1">
        <v>45991</v>
      </c>
      <c r="Q900" s="1">
        <v>46233</v>
      </c>
      <c r="R900" s="2">
        <v>43.81</v>
      </c>
      <c r="S900">
        <v>1</v>
      </c>
      <c r="T900" t="s">
        <v>58</v>
      </c>
      <c r="U900" t="s">
        <v>59</v>
      </c>
      <c r="V900" s="3">
        <v>0.9</v>
      </c>
      <c r="W900" s="2">
        <v>0</v>
      </c>
      <c r="X900">
        <v>0</v>
      </c>
      <c r="Y900" t="s">
        <v>60</v>
      </c>
      <c r="Z900" t="s">
        <v>248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39.43</v>
      </c>
      <c r="AN900" s="2">
        <v>39.43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46202</v>
      </c>
      <c r="B901" t="s">
        <v>48</v>
      </c>
      <c r="C901">
        <v>649163</v>
      </c>
      <c r="D901">
        <v>2032542235</v>
      </c>
      <c r="E901" t="s">
        <v>400</v>
      </c>
      <c r="F901" t="s">
        <v>401</v>
      </c>
      <c r="G901" t="s">
        <v>51</v>
      </c>
      <c r="H901" t="s">
        <v>124</v>
      </c>
      <c r="I901" t="s">
        <v>194</v>
      </c>
      <c r="J901" t="s">
        <v>195</v>
      </c>
      <c r="K901">
        <v>753748</v>
      </c>
      <c r="L901" t="s">
        <v>358</v>
      </c>
      <c r="M901" t="s">
        <v>359</v>
      </c>
      <c r="N901" t="s">
        <v>57</v>
      </c>
      <c r="O901" s="1">
        <v>46054</v>
      </c>
      <c r="Q901" s="1">
        <v>46235</v>
      </c>
      <c r="R901" s="2">
        <v>28.38</v>
      </c>
      <c r="S901">
        <v>1</v>
      </c>
      <c r="T901" t="s">
        <v>58</v>
      </c>
      <c r="U901" t="s">
        <v>59</v>
      </c>
      <c r="V901" s="3">
        <v>0.7</v>
      </c>
      <c r="W901" s="2">
        <v>0</v>
      </c>
      <c r="X901">
        <v>0</v>
      </c>
      <c r="Y901" t="s">
        <v>60</v>
      </c>
      <c r="Z901" t="s">
        <v>248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19.87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46202</v>
      </c>
      <c r="B902" t="s">
        <v>48</v>
      </c>
      <c r="C902">
        <v>649163</v>
      </c>
      <c r="D902">
        <v>2032554421</v>
      </c>
      <c r="E902" t="s">
        <v>402</v>
      </c>
      <c r="F902" t="s">
        <v>403</v>
      </c>
      <c r="G902" t="s">
        <v>51</v>
      </c>
      <c r="H902" t="s">
        <v>404</v>
      </c>
      <c r="I902" t="s">
        <v>194</v>
      </c>
      <c r="J902" t="s">
        <v>195</v>
      </c>
      <c r="K902">
        <v>753748</v>
      </c>
      <c r="L902" t="s">
        <v>358</v>
      </c>
      <c r="M902" t="s">
        <v>359</v>
      </c>
      <c r="N902" t="s">
        <v>57</v>
      </c>
      <c r="O902" s="1">
        <v>46023</v>
      </c>
      <c r="Q902" s="1">
        <v>46235</v>
      </c>
      <c r="R902" s="2">
        <v>23.09</v>
      </c>
      <c r="S902">
        <v>1</v>
      </c>
      <c r="T902" t="s">
        <v>58</v>
      </c>
      <c r="U902" t="s">
        <v>59</v>
      </c>
      <c r="V902" s="3">
        <v>0.7</v>
      </c>
      <c r="W902" s="2">
        <v>0</v>
      </c>
      <c r="X902">
        <v>0</v>
      </c>
      <c r="Y902" t="s">
        <v>60</v>
      </c>
      <c r="Z902" t="s">
        <v>248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16.16</v>
      </c>
      <c r="AN902" s="2">
        <v>16.16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46202</v>
      </c>
      <c r="B903" t="s">
        <v>48</v>
      </c>
      <c r="C903">
        <v>649163</v>
      </c>
      <c r="D903">
        <v>2032622442</v>
      </c>
      <c r="E903" t="s">
        <v>405</v>
      </c>
      <c r="F903" t="s">
        <v>406</v>
      </c>
      <c r="G903" t="s">
        <v>51</v>
      </c>
      <c r="H903" t="s">
        <v>89</v>
      </c>
      <c r="I903" t="s">
        <v>194</v>
      </c>
      <c r="J903" t="s">
        <v>195</v>
      </c>
      <c r="K903">
        <v>823350</v>
      </c>
      <c r="L903" t="s">
        <v>113</v>
      </c>
      <c r="M903" t="s">
        <v>114</v>
      </c>
      <c r="N903" t="s">
        <v>57</v>
      </c>
      <c r="O903" s="1">
        <v>46019</v>
      </c>
      <c r="Q903" s="1">
        <v>46231</v>
      </c>
      <c r="R903" s="2">
        <v>212.26</v>
      </c>
      <c r="S903">
        <v>1</v>
      </c>
      <c r="T903" t="s">
        <v>58</v>
      </c>
      <c r="U903" t="s">
        <v>59</v>
      </c>
      <c r="V903" s="3">
        <v>0.7</v>
      </c>
      <c r="W903" s="2">
        <v>0</v>
      </c>
      <c r="X903">
        <v>0</v>
      </c>
      <c r="Y903" t="s">
        <v>60</v>
      </c>
      <c r="Z903" t="s">
        <v>248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148.58000000000001</v>
      </c>
      <c r="AN903" s="2">
        <v>148.58000000000001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46202</v>
      </c>
      <c r="B904" t="s">
        <v>48</v>
      </c>
      <c r="C904">
        <v>649163</v>
      </c>
      <c r="D904">
        <v>2032626949</v>
      </c>
      <c r="E904" t="s">
        <v>407</v>
      </c>
      <c r="F904" t="s">
        <v>408</v>
      </c>
      <c r="G904" t="s">
        <v>51</v>
      </c>
      <c r="H904" t="s">
        <v>89</v>
      </c>
      <c r="I904" t="s">
        <v>194</v>
      </c>
      <c r="J904" t="s">
        <v>195</v>
      </c>
      <c r="K904">
        <v>673059</v>
      </c>
      <c r="L904" t="s">
        <v>102</v>
      </c>
      <c r="M904" t="s">
        <v>103</v>
      </c>
      <c r="N904" t="s">
        <v>57</v>
      </c>
      <c r="O904" s="1">
        <v>46023</v>
      </c>
      <c r="Q904" s="1">
        <v>46235</v>
      </c>
      <c r="R904" s="2">
        <v>81.150000000000006</v>
      </c>
      <c r="S904">
        <v>1</v>
      </c>
      <c r="T904" t="s">
        <v>58</v>
      </c>
      <c r="U904" t="s">
        <v>59</v>
      </c>
      <c r="V904" s="3">
        <v>0.7</v>
      </c>
      <c r="W904" s="2">
        <v>0</v>
      </c>
      <c r="X904">
        <v>0</v>
      </c>
      <c r="Y904" t="s">
        <v>60</v>
      </c>
      <c r="Z904" t="s">
        <v>248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56.8</v>
      </c>
      <c r="AN904" s="2">
        <v>56.8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46202</v>
      </c>
      <c r="B905" t="s">
        <v>48</v>
      </c>
      <c r="C905">
        <v>649163</v>
      </c>
      <c r="D905">
        <v>2032681527</v>
      </c>
      <c r="E905" t="s">
        <v>953</v>
      </c>
      <c r="F905" t="s">
        <v>954</v>
      </c>
      <c r="G905" t="s">
        <v>51</v>
      </c>
      <c r="H905" t="s">
        <v>100</v>
      </c>
      <c r="I905" t="s">
        <v>194</v>
      </c>
      <c r="J905" t="s">
        <v>195</v>
      </c>
      <c r="K905">
        <v>822865</v>
      </c>
      <c r="L905" t="s">
        <v>935</v>
      </c>
      <c r="M905" t="s">
        <v>936</v>
      </c>
      <c r="N905" t="s">
        <v>57</v>
      </c>
      <c r="O905" s="1">
        <v>46054</v>
      </c>
      <c r="Q905" s="1">
        <v>46235</v>
      </c>
      <c r="R905" s="2">
        <v>78.44</v>
      </c>
      <c r="S905">
        <v>1</v>
      </c>
      <c r="T905" t="s">
        <v>58</v>
      </c>
      <c r="U905" t="s">
        <v>59</v>
      </c>
      <c r="V905" s="3">
        <v>0.7</v>
      </c>
      <c r="W905" s="2">
        <v>0</v>
      </c>
      <c r="X905">
        <v>0</v>
      </c>
      <c r="Y905" t="s">
        <v>60</v>
      </c>
      <c r="Z905" t="s">
        <v>248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54.91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46202</v>
      </c>
      <c r="B906" t="s">
        <v>48</v>
      </c>
      <c r="C906">
        <v>649163</v>
      </c>
      <c r="D906">
        <v>2032688249</v>
      </c>
      <c r="E906" t="s">
        <v>1058</v>
      </c>
      <c r="F906" t="s">
        <v>1059</v>
      </c>
      <c r="G906" t="s">
        <v>51</v>
      </c>
      <c r="H906" t="s">
        <v>146</v>
      </c>
      <c r="I906" t="s">
        <v>194</v>
      </c>
      <c r="J906" t="s">
        <v>228</v>
      </c>
      <c r="K906">
        <v>823068</v>
      </c>
      <c r="L906" t="s">
        <v>389</v>
      </c>
      <c r="M906" t="s">
        <v>390</v>
      </c>
      <c r="N906" t="s">
        <v>57</v>
      </c>
      <c r="O906" s="1">
        <v>46019</v>
      </c>
      <c r="Q906" s="1">
        <v>46231</v>
      </c>
      <c r="R906" s="2">
        <v>32.81</v>
      </c>
      <c r="S906">
        <v>1</v>
      </c>
      <c r="T906" t="s">
        <v>58</v>
      </c>
      <c r="U906" t="s">
        <v>59</v>
      </c>
      <c r="V906" s="3">
        <v>0.42</v>
      </c>
      <c r="W906" s="2">
        <v>0</v>
      </c>
      <c r="X906">
        <v>0</v>
      </c>
      <c r="Y906" t="s">
        <v>60</v>
      </c>
      <c r="Z906" t="s">
        <v>248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13.78</v>
      </c>
      <c r="AN906" s="2">
        <v>13.78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46202</v>
      </c>
      <c r="B907" t="s">
        <v>48</v>
      </c>
      <c r="C907">
        <v>649163</v>
      </c>
      <c r="D907">
        <v>2032688250</v>
      </c>
      <c r="E907" t="s">
        <v>1058</v>
      </c>
      <c r="F907" t="s">
        <v>1059</v>
      </c>
      <c r="G907" t="s">
        <v>51</v>
      </c>
      <c r="H907" t="s">
        <v>146</v>
      </c>
      <c r="I907" t="s">
        <v>194</v>
      </c>
      <c r="J907" t="s">
        <v>217</v>
      </c>
      <c r="K907">
        <v>823068</v>
      </c>
      <c r="L907" t="s">
        <v>389</v>
      </c>
      <c r="M907" t="s">
        <v>390</v>
      </c>
      <c r="N907" t="s">
        <v>57</v>
      </c>
      <c r="O907" s="1">
        <v>46019</v>
      </c>
      <c r="Q907" s="1">
        <v>46231</v>
      </c>
      <c r="R907" s="2">
        <v>16.170000000000002</v>
      </c>
      <c r="S907">
        <v>1</v>
      </c>
      <c r="T907" t="s">
        <v>58</v>
      </c>
      <c r="U907" t="s">
        <v>59</v>
      </c>
      <c r="V907" s="3">
        <v>0.9</v>
      </c>
      <c r="W907" s="2">
        <v>0</v>
      </c>
      <c r="X907">
        <v>0</v>
      </c>
      <c r="Y907" t="s">
        <v>60</v>
      </c>
      <c r="Z907" t="s">
        <v>248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14.55</v>
      </c>
      <c r="AN907" s="2">
        <v>14.55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46202</v>
      </c>
      <c r="B908" t="s">
        <v>48</v>
      </c>
      <c r="C908">
        <v>649163</v>
      </c>
      <c r="D908">
        <v>2032688251</v>
      </c>
      <c r="E908" t="s">
        <v>1058</v>
      </c>
      <c r="F908" t="s">
        <v>1059</v>
      </c>
      <c r="G908" t="s">
        <v>51</v>
      </c>
      <c r="H908" t="s">
        <v>146</v>
      </c>
      <c r="I908" t="s">
        <v>194</v>
      </c>
      <c r="J908" t="s">
        <v>203</v>
      </c>
      <c r="K908">
        <v>823068</v>
      </c>
      <c r="L908" t="s">
        <v>389</v>
      </c>
      <c r="M908" t="s">
        <v>390</v>
      </c>
      <c r="N908" t="s">
        <v>57</v>
      </c>
      <c r="O908" s="1">
        <v>46019</v>
      </c>
      <c r="Q908" s="1">
        <v>46231</v>
      </c>
      <c r="R908" s="2">
        <v>24.61</v>
      </c>
      <c r="S908">
        <v>1</v>
      </c>
      <c r="T908" t="s">
        <v>58</v>
      </c>
      <c r="U908" t="s">
        <v>59</v>
      </c>
      <c r="V908" s="3">
        <v>0.7</v>
      </c>
      <c r="W908" s="2">
        <v>0</v>
      </c>
      <c r="X908">
        <v>0</v>
      </c>
      <c r="Y908" t="s">
        <v>60</v>
      </c>
      <c r="Z908" t="s">
        <v>248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17.23</v>
      </c>
      <c r="AN908" s="2">
        <v>17.23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46202</v>
      </c>
      <c r="B909" t="s">
        <v>48</v>
      </c>
      <c r="C909">
        <v>649163</v>
      </c>
      <c r="D909">
        <v>2032690442</v>
      </c>
      <c r="E909" t="s">
        <v>1060</v>
      </c>
      <c r="F909" t="s">
        <v>182</v>
      </c>
      <c r="G909" t="s">
        <v>51</v>
      </c>
      <c r="H909" t="s">
        <v>94</v>
      </c>
      <c r="I909" t="s">
        <v>194</v>
      </c>
      <c r="J909" t="s">
        <v>195</v>
      </c>
      <c r="K909">
        <v>796984</v>
      </c>
      <c r="L909" t="s">
        <v>344</v>
      </c>
      <c r="M909" t="s">
        <v>171</v>
      </c>
      <c r="N909" t="s">
        <v>57</v>
      </c>
      <c r="O909" s="1">
        <v>46023</v>
      </c>
      <c r="Q909" s="1">
        <v>46235</v>
      </c>
      <c r="R909" s="2">
        <v>9.1</v>
      </c>
      <c r="S909">
        <v>1</v>
      </c>
      <c r="T909" t="s">
        <v>58</v>
      </c>
      <c r="U909" t="s">
        <v>59</v>
      </c>
      <c r="V909" s="3">
        <v>0.7</v>
      </c>
      <c r="W909" s="2">
        <v>0</v>
      </c>
      <c r="X909">
        <v>0</v>
      </c>
      <c r="Y909" t="s">
        <v>60</v>
      </c>
      <c r="Z909" t="s">
        <v>248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6.37</v>
      </c>
      <c r="AN909" s="2">
        <v>6.37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46202</v>
      </c>
      <c r="B910" t="s">
        <v>48</v>
      </c>
      <c r="C910">
        <v>649163</v>
      </c>
      <c r="D910">
        <v>2032702836</v>
      </c>
      <c r="E910" t="s">
        <v>896</v>
      </c>
      <c r="F910" t="s">
        <v>209</v>
      </c>
      <c r="G910" t="s">
        <v>51</v>
      </c>
      <c r="H910" t="s">
        <v>89</v>
      </c>
      <c r="I910" t="s">
        <v>194</v>
      </c>
      <c r="J910" t="s">
        <v>195</v>
      </c>
      <c r="K910">
        <v>821015</v>
      </c>
      <c r="L910" t="s">
        <v>172</v>
      </c>
      <c r="M910" t="s">
        <v>173</v>
      </c>
      <c r="N910" t="s">
        <v>257</v>
      </c>
      <c r="O910" s="1">
        <v>46023</v>
      </c>
      <c r="P910" s="1">
        <v>46202</v>
      </c>
      <c r="Q910" s="1">
        <v>46204</v>
      </c>
      <c r="R910" s="2">
        <v>-5.5</v>
      </c>
      <c r="S910">
        <v>1</v>
      </c>
      <c r="T910" t="s">
        <v>58</v>
      </c>
      <c r="U910" t="s">
        <v>59</v>
      </c>
      <c r="V910" s="3">
        <v>0.7</v>
      </c>
      <c r="W910" s="2">
        <v>0</v>
      </c>
      <c r="X910">
        <v>-1</v>
      </c>
      <c r="Y910" t="s">
        <v>60</v>
      </c>
      <c r="Z910" t="s">
        <v>248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-3.85</v>
      </c>
      <c r="AN910" s="2">
        <v>-3.85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46202</v>
      </c>
      <c r="B911" t="s">
        <v>48</v>
      </c>
      <c r="C911">
        <v>649163</v>
      </c>
      <c r="D911">
        <v>2032725733</v>
      </c>
      <c r="E911" t="s">
        <v>409</v>
      </c>
      <c r="F911" t="s">
        <v>243</v>
      </c>
      <c r="G911" t="s">
        <v>51</v>
      </c>
      <c r="H911" t="s">
        <v>146</v>
      </c>
      <c r="I911" t="s">
        <v>194</v>
      </c>
      <c r="J911" t="s">
        <v>203</v>
      </c>
      <c r="K911">
        <v>823068</v>
      </c>
      <c r="L911" t="s">
        <v>389</v>
      </c>
      <c r="M911" t="s">
        <v>390</v>
      </c>
      <c r="N911" t="s">
        <v>57</v>
      </c>
      <c r="O911" s="1">
        <v>46019</v>
      </c>
      <c r="Q911" s="1">
        <v>46231</v>
      </c>
      <c r="R911" s="2">
        <v>24.61</v>
      </c>
      <c r="S911">
        <v>1</v>
      </c>
      <c r="T911" t="s">
        <v>58</v>
      </c>
      <c r="U911" t="s">
        <v>59</v>
      </c>
      <c r="V911" s="3">
        <v>0.7</v>
      </c>
      <c r="W911" s="2">
        <v>0</v>
      </c>
      <c r="X911">
        <v>0</v>
      </c>
      <c r="Y911" t="s">
        <v>60</v>
      </c>
      <c r="Z911" t="s">
        <v>248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17.23</v>
      </c>
      <c r="AN911" s="2">
        <v>17.23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46202</v>
      </c>
      <c r="B912" t="s">
        <v>48</v>
      </c>
      <c r="C912">
        <v>649163</v>
      </c>
      <c r="D912">
        <v>2032821935</v>
      </c>
      <c r="E912" t="s">
        <v>875</v>
      </c>
      <c r="F912" t="s">
        <v>955</v>
      </c>
      <c r="G912" t="s">
        <v>51</v>
      </c>
      <c r="H912" t="s">
        <v>332</v>
      </c>
      <c r="I912" t="s">
        <v>194</v>
      </c>
      <c r="J912" t="s">
        <v>195</v>
      </c>
      <c r="K912">
        <v>938894</v>
      </c>
      <c r="L912" t="s">
        <v>163</v>
      </c>
      <c r="M912" t="s">
        <v>164</v>
      </c>
      <c r="N912" t="s">
        <v>57</v>
      </c>
      <c r="O912" s="1">
        <v>46054</v>
      </c>
      <c r="Q912" s="1">
        <v>46235</v>
      </c>
      <c r="R912" s="2">
        <v>54.48</v>
      </c>
      <c r="S912">
        <v>1</v>
      </c>
      <c r="T912" t="s">
        <v>58</v>
      </c>
      <c r="U912" t="s">
        <v>59</v>
      </c>
      <c r="V912" s="3">
        <v>0.7</v>
      </c>
      <c r="W912" s="2">
        <v>0</v>
      </c>
      <c r="X912">
        <v>0</v>
      </c>
      <c r="Y912" t="s">
        <v>60</v>
      </c>
      <c r="Z912" t="s">
        <v>248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38.14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46202</v>
      </c>
      <c r="B913" t="s">
        <v>48</v>
      </c>
      <c r="C913">
        <v>649163</v>
      </c>
      <c r="D913">
        <v>2032827916</v>
      </c>
      <c r="E913" t="s">
        <v>410</v>
      </c>
      <c r="F913" t="s">
        <v>411</v>
      </c>
      <c r="G913" t="s">
        <v>51</v>
      </c>
      <c r="H913" t="s">
        <v>332</v>
      </c>
      <c r="I913" t="s">
        <v>194</v>
      </c>
      <c r="J913" t="s">
        <v>195</v>
      </c>
      <c r="K913">
        <v>673059</v>
      </c>
      <c r="L913" t="s">
        <v>102</v>
      </c>
      <c r="M913" t="s">
        <v>103</v>
      </c>
      <c r="N913" t="s">
        <v>57</v>
      </c>
      <c r="O913" s="1">
        <v>46054</v>
      </c>
      <c r="Q913" s="1">
        <v>46235</v>
      </c>
      <c r="R913" s="2">
        <v>54.83</v>
      </c>
      <c r="S913">
        <v>1</v>
      </c>
      <c r="T913" t="s">
        <v>58</v>
      </c>
      <c r="U913" t="s">
        <v>59</v>
      </c>
      <c r="V913" s="3">
        <v>0.7</v>
      </c>
      <c r="W913" s="2">
        <v>0</v>
      </c>
      <c r="X913">
        <v>0</v>
      </c>
      <c r="Y913" t="s">
        <v>60</v>
      </c>
      <c r="Z913" t="s">
        <v>248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38.380000000000003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46202</v>
      </c>
      <c r="B914" t="s">
        <v>48</v>
      </c>
      <c r="C914">
        <v>649163</v>
      </c>
      <c r="D914">
        <v>2032875250</v>
      </c>
      <c r="E914" t="s">
        <v>413</v>
      </c>
      <c r="F914" t="s">
        <v>414</v>
      </c>
      <c r="G914" t="s">
        <v>51</v>
      </c>
      <c r="H914" t="s">
        <v>146</v>
      </c>
      <c r="I914" t="s">
        <v>194</v>
      </c>
      <c r="J914" t="s">
        <v>203</v>
      </c>
      <c r="K914">
        <v>823068</v>
      </c>
      <c r="L914" t="s">
        <v>389</v>
      </c>
      <c r="M914" t="s">
        <v>390</v>
      </c>
      <c r="N914" t="s">
        <v>57</v>
      </c>
      <c r="O914" s="1">
        <v>46021</v>
      </c>
      <c r="Q914" s="1">
        <v>46233</v>
      </c>
      <c r="R914" s="2">
        <v>48</v>
      </c>
      <c r="S914">
        <v>1</v>
      </c>
      <c r="T914" t="s">
        <v>58</v>
      </c>
      <c r="U914" t="s">
        <v>59</v>
      </c>
      <c r="V914" s="3">
        <v>0.7</v>
      </c>
      <c r="W914" s="2">
        <v>0</v>
      </c>
      <c r="X914">
        <v>0</v>
      </c>
      <c r="Y914" t="s">
        <v>60</v>
      </c>
      <c r="Z914" t="s">
        <v>248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33.6</v>
      </c>
      <c r="AN914" s="2">
        <v>33.6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46202</v>
      </c>
      <c r="B915" t="s">
        <v>48</v>
      </c>
      <c r="C915">
        <v>649163</v>
      </c>
      <c r="D915">
        <v>2032876820</v>
      </c>
      <c r="E915" t="s">
        <v>1061</v>
      </c>
      <c r="F915" t="s">
        <v>1062</v>
      </c>
      <c r="G915" t="s">
        <v>51</v>
      </c>
      <c r="H915" t="s">
        <v>100</v>
      </c>
      <c r="I915" t="s">
        <v>194</v>
      </c>
      <c r="J915" t="s">
        <v>195</v>
      </c>
      <c r="K915">
        <v>856824</v>
      </c>
      <c r="L915" t="s">
        <v>85</v>
      </c>
      <c r="M915" t="s">
        <v>86</v>
      </c>
      <c r="N915" t="s">
        <v>57</v>
      </c>
      <c r="O915" s="1">
        <v>46054</v>
      </c>
      <c r="Q915" s="1">
        <v>46235</v>
      </c>
      <c r="R915" s="2">
        <v>11.66</v>
      </c>
      <c r="S915">
        <v>1</v>
      </c>
      <c r="T915" t="s">
        <v>58</v>
      </c>
      <c r="U915" t="s">
        <v>59</v>
      </c>
      <c r="V915" s="3">
        <v>0.7</v>
      </c>
      <c r="W915" s="2">
        <v>0</v>
      </c>
      <c r="X915">
        <v>0</v>
      </c>
      <c r="Y915" t="s">
        <v>60</v>
      </c>
      <c r="Z915" t="s">
        <v>248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8.16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46202</v>
      </c>
      <c r="B916" t="s">
        <v>48</v>
      </c>
      <c r="C916">
        <v>649163</v>
      </c>
      <c r="D916">
        <v>2032877021</v>
      </c>
      <c r="E916" t="s">
        <v>415</v>
      </c>
      <c r="F916" t="s">
        <v>175</v>
      </c>
      <c r="G916" t="s">
        <v>51</v>
      </c>
      <c r="H916" t="s">
        <v>146</v>
      </c>
      <c r="I916" t="s">
        <v>194</v>
      </c>
      <c r="J916" t="s">
        <v>228</v>
      </c>
      <c r="K916">
        <v>823068</v>
      </c>
      <c r="L916" t="s">
        <v>389</v>
      </c>
      <c r="M916" t="s">
        <v>390</v>
      </c>
      <c r="N916" t="s">
        <v>57</v>
      </c>
      <c r="O916" s="1">
        <v>46021</v>
      </c>
      <c r="Q916" s="1">
        <v>46233</v>
      </c>
      <c r="R916" s="2">
        <v>32.81</v>
      </c>
      <c r="S916">
        <v>1</v>
      </c>
      <c r="T916" t="s">
        <v>58</v>
      </c>
      <c r="U916" t="s">
        <v>59</v>
      </c>
      <c r="V916" s="3">
        <v>0.42</v>
      </c>
      <c r="W916" s="2">
        <v>0</v>
      </c>
      <c r="X916">
        <v>0</v>
      </c>
      <c r="Y916" t="s">
        <v>60</v>
      </c>
      <c r="Z916" t="s">
        <v>248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13.78</v>
      </c>
      <c r="AN916" s="2">
        <v>13.78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46202</v>
      </c>
      <c r="B917" t="s">
        <v>48</v>
      </c>
      <c r="C917">
        <v>649163</v>
      </c>
      <c r="D917">
        <v>2032877022</v>
      </c>
      <c r="E917" t="s">
        <v>415</v>
      </c>
      <c r="F917" t="s">
        <v>175</v>
      </c>
      <c r="G917" t="s">
        <v>51</v>
      </c>
      <c r="H917" t="s">
        <v>146</v>
      </c>
      <c r="I917" t="s">
        <v>194</v>
      </c>
      <c r="J917" t="s">
        <v>203</v>
      </c>
      <c r="K917">
        <v>823068</v>
      </c>
      <c r="L917" t="s">
        <v>389</v>
      </c>
      <c r="M917" t="s">
        <v>390</v>
      </c>
      <c r="N917" t="s">
        <v>57</v>
      </c>
      <c r="O917" s="1">
        <v>46021</v>
      </c>
      <c r="Q917" s="1">
        <v>46233</v>
      </c>
      <c r="R917" s="2">
        <v>24.61</v>
      </c>
      <c r="S917">
        <v>1</v>
      </c>
      <c r="T917" t="s">
        <v>58</v>
      </c>
      <c r="U917" t="s">
        <v>59</v>
      </c>
      <c r="V917" s="3">
        <v>0.7</v>
      </c>
      <c r="W917" s="2">
        <v>0</v>
      </c>
      <c r="X917">
        <v>0</v>
      </c>
      <c r="Y917" t="s">
        <v>60</v>
      </c>
      <c r="Z917" t="s">
        <v>248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17.23</v>
      </c>
      <c r="AN917" s="2">
        <v>17.23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46202</v>
      </c>
      <c r="B918" t="s">
        <v>48</v>
      </c>
      <c r="C918">
        <v>649163</v>
      </c>
      <c r="D918">
        <v>2032881898</v>
      </c>
      <c r="E918" t="s">
        <v>1063</v>
      </c>
      <c r="F918" t="s">
        <v>1064</v>
      </c>
      <c r="G918" t="s">
        <v>51</v>
      </c>
      <c r="H918" t="s">
        <v>89</v>
      </c>
      <c r="I918" t="s">
        <v>194</v>
      </c>
      <c r="J918" t="s">
        <v>195</v>
      </c>
      <c r="K918">
        <v>893408</v>
      </c>
      <c r="L918" t="s">
        <v>120</v>
      </c>
      <c r="M918" t="s">
        <v>121</v>
      </c>
      <c r="N918" t="s">
        <v>57</v>
      </c>
      <c r="O918" s="1">
        <v>46021</v>
      </c>
      <c r="Q918" s="1">
        <v>46233</v>
      </c>
      <c r="R918" s="2">
        <v>128.55000000000001</v>
      </c>
      <c r="S918">
        <v>1</v>
      </c>
      <c r="T918" t="s">
        <v>58</v>
      </c>
      <c r="U918" t="s">
        <v>59</v>
      </c>
      <c r="V918" s="3">
        <v>0.7</v>
      </c>
      <c r="W918" s="2">
        <v>0</v>
      </c>
      <c r="X918">
        <v>0</v>
      </c>
      <c r="Y918" t="s">
        <v>60</v>
      </c>
      <c r="Z918" t="s">
        <v>248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89.98</v>
      </c>
      <c r="AN918" s="2">
        <v>89.98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46202</v>
      </c>
      <c r="B919" t="s">
        <v>48</v>
      </c>
      <c r="C919">
        <v>649163</v>
      </c>
      <c r="D919">
        <v>2032948956</v>
      </c>
      <c r="E919" t="s">
        <v>416</v>
      </c>
      <c r="F919" t="s">
        <v>187</v>
      </c>
      <c r="G919" t="s">
        <v>51</v>
      </c>
      <c r="H919" t="s">
        <v>167</v>
      </c>
      <c r="I919" t="s">
        <v>194</v>
      </c>
      <c r="J919" t="s">
        <v>195</v>
      </c>
      <c r="K919">
        <v>753748</v>
      </c>
      <c r="L919" t="s">
        <v>358</v>
      </c>
      <c r="M919" t="s">
        <v>359</v>
      </c>
      <c r="N919" t="s">
        <v>57</v>
      </c>
      <c r="O919" s="1">
        <v>46054</v>
      </c>
      <c r="Q919" s="1">
        <v>46235</v>
      </c>
      <c r="R919" s="2">
        <v>24.39</v>
      </c>
      <c r="S919">
        <v>1</v>
      </c>
      <c r="T919" t="s">
        <v>58</v>
      </c>
      <c r="U919" t="s">
        <v>59</v>
      </c>
      <c r="V919" s="3">
        <v>0.7</v>
      </c>
      <c r="W919" s="2">
        <v>0</v>
      </c>
      <c r="X919">
        <v>0</v>
      </c>
      <c r="Y919" t="s">
        <v>60</v>
      </c>
      <c r="Z919" t="s">
        <v>248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17.07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46202</v>
      </c>
      <c r="B920" t="s">
        <v>48</v>
      </c>
      <c r="C920">
        <v>649163</v>
      </c>
      <c r="D920">
        <v>2032954749</v>
      </c>
      <c r="E920" t="s">
        <v>417</v>
      </c>
      <c r="F920" t="s">
        <v>418</v>
      </c>
      <c r="G920" t="s">
        <v>51</v>
      </c>
      <c r="H920" t="s">
        <v>68</v>
      </c>
      <c r="I920" t="s">
        <v>194</v>
      </c>
      <c r="J920" t="s">
        <v>217</v>
      </c>
      <c r="K920">
        <v>753748</v>
      </c>
      <c r="L920" t="s">
        <v>358</v>
      </c>
      <c r="M920" t="s">
        <v>359</v>
      </c>
      <c r="N920" t="s">
        <v>57</v>
      </c>
      <c r="O920" s="1">
        <v>46054</v>
      </c>
      <c r="Q920" s="1">
        <v>46235</v>
      </c>
      <c r="R920" s="2">
        <v>51.25</v>
      </c>
      <c r="S920">
        <v>1</v>
      </c>
      <c r="T920" t="s">
        <v>58</v>
      </c>
      <c r="U920" t="s">
        <v>59</v>
      </c>
      <c r="V920" s="3">
        <v>0.9</v>
      </c>
      <c r="W920" s="2">
        <v>0</v>
      </c>
      <c r="X920">
        <v>0</v>
      </c>
      <c r="Y920" t="s">
        <v>60</v>
      </c>
      <c r="Z920" t="s">
        <v>248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46.12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46202</v>
      </c>
      <c r="B921" t="s">
        <v>48</v>
      </c>
      <c r="C921">
        <v>649163</v>
      </c>
      <c r="D921">
        <v>2032959560</v>
      </c>
      <c r="E921" t="s">
        <v>419</v>
      </c>
      <c r="F921" t="s">
        <v>420</v>
      </c>
      <c r="G921" t="s">
        <v>51</v>
      </c>
      <c r="H921" t="s">
        <v>200</v>
      </c>
      <c r="I921" t="s">
        <v>194</v>
      </c>
      <c r="J921" t="s">
        <v>195</v>
      </c>
      <c r="K921">
        <v>673059</v>
      </c>
      <c r="L921" t="s">
        <v>102</v>
      </c>
      <c r="M921" t="s">
        <v>103</v>
      </c>
      <c r="N921" t="s">
        <v>57</v>
      </c>
      <c r="O921" s="1">
        <v>46054</v>
      </c>
      <c r="Q921" s="1">
        <v>46235</v>
      </c>
      <c r="R921" s="2">
        <v>29.92</v>
      </c>
      <c r="S921">
        <v>1</v>
      </c>
      <c r="T921" t="s">
        <v>58</v>
      </c>
      <c r="U921" t="s">
        <v>59</v>
      </c>
      <c r="V921" s="3">
        <v>0.7</v>
      </c>
      <c r="W921" s="2">
        <v>0</v>
      </c>
      <c r="X921">
        <v>0</v>
      </c>
      <c r="Y921" t="s">
        <v>60</v>
      </c>
      <c r="Z921" t="s">
        <v>248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20.94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46202</v>
      </c>
      <c r="B922" t="s">
        <v>48</v>
      </c>
      <c r="C922">
        <v>649163</v>
      </c>
      <c r="D922">
        <v>2032959579</v>
      </c>
      <c r="E922" t="s">
        <v>421</v>
      </c>
      <c r="F922" t="s">
        <v>422</v>
      </c>
      <c r="G922" t="s">
        <v>51</v>
      </c>
      <c r="H922" t="s">
        <v>94</v>
      </c>
      <c r="I922" t="s">
        <v>194</v>
      </c>
      <c r="J922" t="s">
        <v>195</v>
      </c>
      <c r="K922">
        <v>753748</v>
      </c>
      <c r="L922" t="s">
        <v>358</v>
      </c>
      <c r="M922" t="s">
        <v>359</v>
      </c>
      <c r="N922" t="s">
        <v>57</v>
      </c>
      <c r="O922" s="1">
        <v>46054</v>
      </c>
      <c r="Q922" s="1">
        <v>46235</v>
      </c>
      <c r="R922" s="2">
        <v>8.49</v>
      </c>
      <c r="S922">
        <v>1</v>
      </c>
      <c r="T922" t="s">
        <v>58</v>
      </c>
      <c r="U922" t="s">
        <v>59</v>
      </c>
      <c r="V922" s="3">
        <v>0.7</v>
      </c>
      <c r="W922" s="2">
        <v>0</v>
      </c>
      <c r="X922">
        <v>0</v>
      </c>
      <c r="Y922" t="s">
        <v>60</v>
      </c>
      <c r="Z922" t="s">
        <v>248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5.94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46202</v>
      </c>
      <c r="B923" t="s">
        <v>48</v>
      </c>
      <c r="C923">
        <v>649163</v>
      </c>
      <c r="D923">
        <v>2032984365</v>
      </c>
      <c r="E923" t="s">
        <v>423</v>
      </c>
      <c r="F923" t="s">
        <v>424</v>
      </c>
      <c r="G923" t="s">
        <v>51</v>
      </c>
      <c r="H923" t="s">
        <v>425</v>
      </c>
      <c r="I923" t="s">
        <v>194</v>
      </c>
      <c r="J923" t="s">
        <v>195</v>
      </c>
      <c r="K923">
        <v>753748</v>
      </c>
      <c r="L923" t="s">
        <v>358</v>
      </c>
      <c r="M923" t="s">
        <v>359</v>
      </c>
      <c r="N923" t="s">
        <v>57</v>
      </c>
      <c r="O923" s="1">
        <v>46054</v>
      </c>
      <c r="Q923" s="1">
        <v>46235</v>
      </c>
      <c r="R923" s="2">
        <v>10.82</v>
      </c>
      <c r="S923">
        <v>1</v>
      </c>
      <c r="T923" t="s">
        <v>58</v>
      </c>
      <c r="U923" t="s">
        <v>59</v>
      </c>
      <c r="V923" s="3">
        <v>0.7</v>
      </c>
      <c r="W923" s="2">
        <v>0</v>
      </c>
      <c r="X923">
        <v>0</v>
      </c>
      <c r="Y923" t="s">
        <v>60</v>
      </c>
      <c r="Z923" t="s">
        <v>248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7.57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46202</v>
      </c>
      <c r="B924" t="s">
        <v>48</v>
      </c>
      <c r="C924">
        <v>649163</v>
      </c>
      <c r="D924">
        <v>2032984421</v>
      </c>
      <c r="E924" t="s">
        <v>573</v>
      </c>
      <c r="F924" t="s">
        <v>958</v>
      </c>
      <c r="G924" t="s">
        <v>51</v>
      </c>
      <c r="H924" t="s">
        <v>68</v>
      </c>
      <c r="I924" t="s">
        <v>194</v>
      </c>
      <c r="J924" t="s">
        <v>195</v>
      </c>
      <c r="K924">
        <v>893473</v>
      </c>
      <c r="L924" t="s">
        <v>959</v>
      </c>
      <c r="M924" t="s">
        <v>960</v>
      </c>
      <c r="N924" t="s">
        <v>57</v>
      </c>
      <c r="O924" s="1">
        <v>46054</v>
      </c>
      <c r="Q924" s="1">
        <v>46235</v>
      </c>
      <c r="R924" s="2">
        <v>44</v>
      </c>
      <c r="S924">
        <v>1</v>
      </c>
      <c r="T924" t="s">
        <v>58</v>
      </c>
      <c r="U924" t="s">
        <v>59</v>
      </c>
      <c r="V924" s="3">
        <v>0.7</v>
      </c>
      <c r="W924" s="2">
        <v>0</v>
      </c>
      <c r="X924">
        <v>0</v>
      </c>
      <c r="Y924" t="s">
        <v>60</v>
      </c>
      <c r="Z924" t="s">
        <v>248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30.8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46202</v>
      </c>
      <c r="B925" t="s">
        <v>48</v>
      </c>
      <c r="C925">
        <v>649163</v>
      </c>
      <c r="D925">
        <v>2032987595</v>
      </c>
      <c r="E925" t="s">
        <v>426</v>
      </c>
      <c r="F925" t="s">
        <v>427</v>
      </c>
      <c r="G925" t="s">
        <v>51</v>
      </c>
      <c r="H925" t="s">
        <v>143</v>
      </c>
      <c r="I925" t="s">
        <v>194</v>
      </c>
      <c r="J925" t="s">
        <v>195</v>
      </c>
      <c r="K925">
        <v>673059</v>
      </c>
      <c r="L925" t="s">
        <v>102</v>
      </c>
      <c r="M925" t="s">
        <v>103</v>
      </c>
      <c r="N925" t="s">
        <v>57</v>
      </c>
      <c r="O925" s="1">
        <v>46054</v>
      </c>
      <c r="Q925" s="1">
        <v>46235</v>
      </c>
      <c r="R925" s="2">
        <v>73.56</v>
      </c>
      <c r="S925">
        <v>1</v>
      </c>
      <c r="T925" t="s">
        <v>58</v>
      </c>
      <c r="U925" t="s">
        <v>59</v>
      </c>
      <c r="V925" s="3">
        <v>0.7</v>
      </c>
      <c r="W925" s="2">
        <v>0</v>
      </c>
      <c r="X925">
        <v>0</v>
      </c>
      <c r="Y925" t="s">
        <v>60</v>
      </c>
      <c r="Z925" t="s">
        <v>248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51.49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46202</v>
      </c>
      <c r="B926" t="s">
        <v>48</v>
      </c>
      <c r="C926">
        <v>649163</v>
      </c>
      <c r="D926">
        <v>2033010310</v>
      </c>
      <c r="E926" t="s">
        <v>430</v>
      </c>
      <c r="F926" t="s">
        <v>431</v>
      </c>
      <c r="G926" t="s">
        <v>51</v>
      </c>
      <c r="H926" t="s">
        <v>89</v>
      </c>
      <c r="I926" t="s">
        <v>194</v>
      </c>
      <c r="J926" t="s">
        <v>217</v>
      </c>
      <c r="K926">
        <v>823350</v>
      </c>
      <c r="L926" t="s">
        <v>113</v>
      </c>
      <c r="M926" t="s">
        <v>114</v>
      </c>
      <c r="N926" t="s">
        <v>257</v>
      </c>
      <c r="O926" s="1">
        <v>46032</v>
      </c>
      <c r="P926" s="1">
        <v>46202</v>
      </c>
      <c r="Q926" s="1">
        <v>46213</v>
      </c>
      <c r="R926" s="2">
        <v>-18</v>
      </c>
      <c r="S926">
        <v>1</v>
      </c>
      <c r="T926" t="s">
        <v>58</v>
      </c>
      <c r="U926" t="s">
        <v>59</v>
      </c>
      <c r="V926" s="3">
        <v>0.9</v>
      </c>
      <c r="W926" s="2">
        <v>0</v>
      </c>
      <c r="X926">
        <v>-1</v>
      </c>
      <c r="Y926" t="s">
        <v>60</v>
      </c>
      <c r="Z926" t="s">
        <v>248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-16.2</v>
      </c>
      <c r="AN926" s="2">
        <v>-16.2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46202</v>
      </c>
      <c r="B927" t="s">
        <v>48</v>
      </c>
      <c r="C927">
        <v>649163</v>
      </c>
      <c r="D927">
        <v>2033013433</v>
      </c>
      <c r="E927" t="s">
        <v>432</v>
      </c>
      <c r="F927" t="s">
        <v>433</v>
      </c>
      <c r="G927" t="s">
        <v>51</v>
      </c>
      <c r="H927" t="s">
        <v>434</v>
      </c>
      <c r="I927" t="s">
        <v>194</v>
      </c>
      <c r="J927" t="s">
        <v>195</v>
      </c>
      <c r="K927">
        <v>753748</v>
      </c>
      <c r="L927" t="s">
        <v>358</v>
      </c>
      <c r="M927" t="s">
        <v>359</v>
      </c>
      <c r="N927" t="s">
        <v>57</v>
      </c>
      <c r="O927" s="1">
        <v>46054</v>
      </c>
      <c r="Q927" s="1">
        <v>46235</v>
      </c>
      <c r="R927" s="2">
        <v>36.81</v>
      </c>
      <c r="S927">
        <v>1</v>
      </c>
      <c r="T927" t="s">
        <v>58</v>
      </c>
      <c r="U927" t="s">
        <v>59</v>
      </c>
      <c r="V927" s="3">
        <v>0.7</v>
      </c>
      <c r="W927" s="2">
        <v>0</v>
      </c>
      <c r="X927">
        <v>0</v>
      </c>
      <c r="Y927" t="s">
        <v>60</v>
      </c>
      <c r="Z927" t="s">
        <v>248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25.77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46202</v>
      </c>
      <c r="B928" t="s">
        <v>48</v>
      </c>
      <c r="C928">
        <v>649163</v>
      </c>
      <c r="D928">
        <v>2033017017</v>
      </c>
      <c r="E928" t="s">
        <v>435</v>
      </c>
      <c r="F928" t="s">
        <v>205</v>
      </c>
      <c r="G928" t="s">
        <v>51</v>
      </c>
      <c r="H928" t="s">
        <v>425</v>
      </c>
      <c r="I928" t="s">
        <v>194</v>
      </c>
      <c r="J928" t="s">
        <v>195</v>
      </c>
      <c r="K928">
        <v>753748</v>
      </c>
      <c r="L928" t="s">
        <v>358</v>
      </c>
      <c r="M928" t="s">
        <v>359</v>
      </c>
      <c r="N928" t="s">
        <v>57</v>
      </c>
      <c r="O928" s="1">
        <v>46054</v>
      </c>
      <c r="Q928" s="1">
        <v>46235</v>
      </c>
      <c r="R928" s="2">
        <v>46.27</v>
      </c>
      <c r="S928">
        <v>1</v>
      </c>
      <c r="T928" t="s">
        <v>58</v>
      </c>
      <c r="U928" t="s">
        <v>59</v>
      </c>
      <c r="V928" s="3">
        <v>0.7</v>
      </c>
      <c r="W928" s="2">
        <v>0</v>
      </c>
      <c r="X928">
        <v>0</v>
      </c>
      <c r="Y928" t="s">
        <v>60</v>
      </c>
      <c r="Z928" t="s">
        <v>248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32.39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46202</v>
      </c>
      <c r="B929" t="s">
        <v>48</v>
      </c>
      <c r="C929">
        <v>649163</v>
      </c>
      <c r="D929">
        <v>2033020577</v>
      </c>
      <c r="E929" t="s">
        <v>1065</v>
      </c>
      <c r="F929" t="s">
        <v>1066</v>
      </c>
      <c r="G929" t="s">
        <v>51</v>
      </c>
      <c r="H929" t="s">
        <v>332</v>
      </c>
      <c r="I929" t="s">
        <v>194</v>
      </c>
      <c r="J929" t="s">
        <v>195</v>
      </c>
      <c r="K929">
        <v>875334</v>
      </c>
      <c r="L929" t="s">
        <v>196</v>
      </c>
      <c r="M929" t="s">
        <v>197</v>
      </c>
      <c r="N929" t="s">
        <v>57</v>
      </c>
      <c r="O929" s="1">
        <v>46054</v>
      </c>
      <c r="Q929" s="1">
        <v>46235</v>
      </c>
      <c r="R929" s="2">
        <v>31.28</v>
      </c>
      <c r="S929">
        <v>1</v>
      </c>
      <c r="T929" t="s">
        <v>58</v>
      </c>
      <c r="U929" t="s">
        <v>59</v>
      </c>
      <c r="V929" s="3">
        <v>0.7</v>
      </c>
      <c r="W929" s="2">
        <v>0</v>
      </c>
      <c r="X929">
        <v>0</v>
      </c>
      <c r="Y929" t="s">
        <v>60</v>
      </c>
      <c r="Z929" t="s">
        <v>248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21.9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46202</v>
      </c>
      <c r="B930" t="s">
        <v>48</v>
      </c>
      <c r="C930">
        <v>649163</v>
      </c>
      <c r="D930">
        <v>2033025113</v>
      </c>
      <c r="E930" t="s">
        <v>438</v>
      </c>
      <c r="F930" t="s">
        <v>250</v>
      </c>
      <c r="G930" t="s">
        <v>51</v>
      </c>
      <c r="H930" t="s">
        <v>89</v>
      </c>
      <c r="I930" t="s">
        <v>194</v>
      </c>
      <c r="J930" t="s">
        <v>195</v>
      </c>
      <c r="K930">
        <v>673059</v>
      </c>
      <c r="L930" t="s">
        <v>102</v>
      </c>
      <c r="M930" t="s">
        <v>103</v>
      </c>
      <c r="N930" t="s">
        <v>57</v>
      </c>
      <c r="O930" s="1">
        <v>46054</v>
      </c>
      <c r="Q930" s="1">
        <v>46235</v>
      </c>
      <c r="R930" s="2">
        <v>81.150000000000006</v>
      </c>
      <c r="S930">
        <v>1</v>
      </c>
      <c r="T930" t="s">
        <v>58</v>
      </c>
      <c r="U930" t="s">
        <v>59</v>
      </c>
      <c r="V930" s="3">
        <v>0.7</v>
      </c>
      <c r="W930" s="2">
        <v>0</v>
      </c>
      <c r="X930">
        <v>0</v>
      </c>
      <c r="Y930" t="s">
        <v>60</v>
      </c>
      <c r="Z930" t="s">
        <v>248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56.8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46202</v>
      </c>
      <c r="B931" t="s">
        <v>48</v>
      </c>
      <c r="C931">
        <v>649163</v>
      </c>
      <c r="D931">
        <v>2033025114</v>
      </c>
      <c r="E931" t="s">
        <v>438</v>
      </c>
      <c r="F931" t="s">
        <v>250</v>
      </c>
      <c r="G931" t="s">
        <v>51</v>
      </c>
      <c r="H931" t="s">
        <v>89</v>
      </c>
      <c r="I931" t="s">
        <v>194</v>
      </c>
      <c r="J931" t="s">
        <v>203</v>
      </c>
      <c r="K931">
        <v>673059</v>
      </c>
      <c r="L931" t="s">
        <v>102</v>
      </c>
      <c r="M931" t="s">
        <v>103</v>
      </c>
      <c r="N931" t="s">
        <v>57</v>
      </c>
      <c r="O931" s="1">
        <v>46054</v>
      </c>
      <c r="Q931" s="1">
        <v>46235</v>
      </c>
      <c r="R931" s="2">
        <v>25.73</v>
      </c>
      <c r="S931">
        <v>1</v>
      </c>
      <c r="T931" t="s">
        <v>58</v>
      </c>
      <c r="U931" t="s">
        <v>59</v>
      </c>
      <c r="V931" s="3">
        <v>0.7</v>
      </c>
      <c r="W931" s="2">
        <v>0</v>
      </c>
      <c r="X931">
        <v>0</v>
      </c>
      <c r="Y931" t="s">
        <v>60</v>
      </c>
      <c r="Z931" t="s">
        <v>248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18.010000000000002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46202</v>
      </c>
      <c r="B932" t="s">
        <v>48</v>
      </c>
      <c r="C932">
        <v>649163</v>
      </c>
      <c r="D932">
        <v>2033028651</v>
      </c>
      <c r="E932" t="s">
        <v>282</v>
      </c>
      <c r="F932" t="s">
        <v>1067</v>
      </c>
      <c r="G932" t="s">
        <v>51</v>
      </c>
      <c r="H932" t="s">
        <v>68</v>
      </c>
      <c r="I932" t="s">
        <v>194</v>
      </c>
      <c r="J932" t="s">
        <v>195</v>
      </c>
      <c r="K932">
        <v>673059</v>
      </c>
      <c r="L932" t="s">
        <v>102</v>
      </c>
      <c r="M932" t="s">
        <v>103</v>
      </c>
      <c r="N932" t="s">
        <v>57</v>
      </c>
      <c r="O932" s="1">
        <v>46054</v>
      </c>
      <c r="Q932" s="1">
        <v>46235</v>
      </c>
      <c r="R932" s="2">
        <v>94.16</v>
      </c>
      <c r="S932">
        <v>1</v>
      </c>
      <c r="T932" t="s">
        <v>58</v>
      </c>
      <c r="U932" t="s">
        <v>59</v>
      </c>
      <c r="V932" s="3">
        <v>0.7</v>
      </c>
      <c r="W932" s="2">
        <v>0</v>
      </c>
      <c r="X932">
        <v>0</v>
      </c>
      <c r="Y932" t="s">
        <v>60</v>
      </c>
      <c r="Z932" t="s">
        <v>248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65.91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46202</v>
      </c>
      <c r="B933" t="s">
        <v>48</v>
      </c>
      <c r="C933">
        <v>649163</v>
      </c>
      <c r="D933">
        <v>2033035527</v>
      </c>
      <c r="E933" t="s">
        <v>439</v>
      </c>
      <c r="F933" t="s">
        <v>440</v>
      </c>
      <c r="G933" t="s">
        <v>51</v>
      </c>
      <c r="H933" t="s">
        <v>143</v>
      </c>
      <c r="I933" t="s">
        <v>194</v>
      </c>
      <c r="J933" t="s">
        <v>195</v>
      </c>
      <c r="K933">
        <v>753748</v>
      </c>
      <c r="L933" t="s">
        <v>358</v>
      </c>
      <c r="M933" t="s">
        <v>359</v>
      </c>
      <c r="N933" t="s">
        <v>57</v>
      </c>
      <c r="O933" s="1">
        <v>46054</v>
      </c>
      <c r="Q933" s="1">
        <v>46235</v>
      </c>
      <c r="R933" s="2">
        <v>46.72</v>
      </c>
      <c r="S933">
        <v>1</v>
      </c>
      <c r="T933" t="s">
        <v>58</v>
      </c>
      <c r="U933" t="s">
        <v>59</v>
      </c>
      <c r="V933" s="3">
        <v>0.7</v>
      </c>
      <c r="W933" s="2">
        <v>0</v>
      </c>
      <c r="X933">
        <v>0</v>
      </c>
      <c r="Y933" t="s">
        <v>60</v>
      </c>
      <c r="Z933" t="s">
        <v>248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32.700000000000003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46202</v>
      </c>
      <c r="B934" t="s">
        <v>48</v>
      </c>
      <c r="C934">
        <v>649163</v>
      </c>
      <c r="D934">
        <v>2033047070</v>
      </c>
      <c r="E934" t="s">
        <v>1068</v>
      </c>
      <c r="F934" t="s">
        <v>1069</v>
      </c>
      <c r="G934" t="s">
        <v>51</v>
      </c>
      <c r="H934" t="s">
        <v>89</v>
      </c>
      <c r="I934" t="s">
        <v>194</v>
      </c>
      <c r="J934" t="s">
        <v>195</v>
      </c>
      <c r="K934">
        <v>823350</v>
      </c>
      <c r="L934" t="s">
        <v>113</v>
      </c>
      <c r="M934" t="s">
        <v>114</v>
      </c>
      <c r="N934" t="s">
        <v>57</v>
      </c>
      <c r="O934" s="1">
        <v>46054</v>
      </c>
      <c r="Q934" s="1">
        <v>46235</v>
      </c>
      <c r="R934" s="2">
        <v>49.8</v>
      </c>
      <c r="S934">
        <v>1</v>
      </c>
      <c r="T934" t="s">
        <v>58</v>
      </c>
      <c r="U934" t="s">
        <v>59</v>
      </c>
      <c r="V934" s="3">
        <v>0.7</v>
      </c>
      <c r="W934" s="2">
        <v>0</v>
      </c>
      <c r="X934">
        <v>0</v>
      </c>
      <c r="Y934" t="s">
        <v>60</v>
      </c>
      <c r="Z934" t="s">
        <v>248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34.86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46202</v>
      </c>
      <c r="B935" t="s">
        <v>48</v>
      </c>
      <c r="C935">
        <v>649163</v>
      </c>
      <c r="D935">
        <v>2033048239</v>
      </c>
      <c r="E935" t="s">
        <v>1070</v>
      </c>
      <c r="F935" t="s">
        <v>889</v>
      </c>
      <c r="G935" t="s">
        <v>51</v>
      </c>
      <c r="H935" t="s">
        <v>89</v>
      </c>
      <c r="I935" t="s">
        <v>194</v>
      </c>
      <c r="J935" t="s">
        <v>195</v>
      </c>
      <c r="K935">
        <v>812782</v>
      </c>
      <c r="L935" t="s">
        <v>181</v>
      </c>
      <c r="M935" t="s">
        <v>182</v>
      </c>
      <c r="N935" t="s">
        <v>57</v>
      </c>
      <c r="O935" s="1">
        <v>46054</v>
      </c>
      <c r="Q935" s="1">
        <v>46235</v>
      </c>
      <c r="R935" s="2">
        <v>111.07</v>
      </c>
      <c r="S935">
        <v>1</v>
      </c>
      <c r="T935" t="s">
        <v>58</v>
      </c>
      <c r="U935" t="s">
        <v>59</v>
      </c>
      <c r="V935" s="3">
        <v>0.7</v>
      </c>
      <c r="W935" s="2">
        <v>0</v>
      </c>
      <c r="X935">
        <v>0</v>
      </c>
      <c r="Y935" t="s">
        <v>60</v>
      </c>
      <c r="Z935" t="s">
        <v>248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77.75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46202</v>
      </c>
      <c r="B936" t="s">
        <v>48</v>
      </c>
      <c r="C936">
        <v>649163</v>
      </c>
      <c r="D936">
        <v>2033049391</v>
      </c>
      <c r="E936" t="s">
        <v>961</v>
      </c>
      <c r="F936" t="s">
        <v>962</v>
      </c>
      <c r="G936" t="s">
        <v>51</v>
      </c>
      <c r="H936" t="s">
        <v>97</v>
      </c>
      <c r="I936" t="s">
        <v>194</v>
      </c>
      <c r="J936" t="s">
        <v>195</v>
      </c>
      <c r="K936">
        <v>751867</v>
      </c>
      <c r="L936" t="s">
        <v>272</v>
      </c>
      <c r="M936" t="s">
        <v>209</v>
      </c>
      <c r="N936" t="s">
        <v>57</v>
      </c>
      <c r="O936" s="1">
        <v>46054</v>
      </c>
      <c r="Q936" s="1">
        <v>46235</v>
      </c>
      <c r="R936" s="2">
        <v>68.62</v>
      </c>
      <c r="S936">
        <v>1</v>
      </c>
      <c r="T936" t="s">
        <v>58</v>
      </c>
      <c r="U936" t="s">
        <v>59</v>
      </c>
      <c r="V936" s="3">
        <v>0.7</v>
      </c>
      <c r="W936" s="2">
        <v>0</v>
      </c>
      <c r="X936">
        <v>0</v>
      </c>
      <c r="Y936" t="s">
        <v>60</v>
      </c>
      <c r="Z936" t="s">
        <v>248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48.03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46202</v>
      </c>
      <c r="B937" t="s">
        <v>48</v>
      </c>
      <c r="C937">
        <v>649163</v>
      </c>
      <c r="D937">
        <v>2033051158</v>
      </c>
      <c r="E937" t="s">
        <v>179</v>
      </c>
      <c r="F937" t="s">
        <v>441</v>
      </c>
      <c r="G937" t="s">
        <v>51</v>
      </c>
      <c r="H937" t="s">
        <v>425</v>
      </c>
      <c r="I937" t="s">
        <v>194</v>
      </c>
      <c r="J937" t="s">
        <v>195</v>
      </c>
      <c r="K937">
        <v>753748</v>
      </c>
      <c r="L937" t="s">
        <v>358</v>
      </c>
      <c r="M937" t="s">
        <v>359</v>
      </c>
      <c r="N937" t="s">
        <v>57</v>
      </c>
      <c r="O937" s="1">
        <v>46054</v>
      </c>
      <c r="Q937" s="1">
        <v>46235</v>
      </c>
      <c r="R937" s="2">
        <v>111.29</v>
      </c>
      <c r="S937">
        <v>1</v>
      </c>
      <c r="T937" t="s">
        <v>58</v>
      </c>
      <c r="U937" t="s">
        <v>59</v>
      </c>
      <c r="V937" s="3">
        <v>0.7</v>
      </c>
      <c r="W937" s="2">
        <v>0</v>
      </c>
      <c r="X937">
        <v>0</v>
      </c>
      <c r="Y937" t="s">
        <v>60</v>
      </c>
      <c r="Z937" t="s">
        <v>248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77.900000000000006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3807-BA33-4E3D-9619-4698D45A535C}">
  <dimension ref="A1:BA765"/>
  <sheetViews>
    <sheetView topLeftCell="I729" workbookViewId="0">
      <selection activeCell="R749" sqref="R749"/>
    </sheetView>
  </sheetViews>
  <sheetFormatPr defaultRowHeight="15" x14ac:dyDescent="0.25"/>
  <cols>
    <col min="1" max="1" width="11" bestFit="1" customWidth="1"/>
    <col min="2" max="2" width="13.5703125" customWidth="1"/>
    <col min="3" max="4" width="14.7109375" customWidth="1"/>
    <col min="5" max="5" width="5.5703125" bestFit="1" customWidth="1"/>
    <col min="6" max="6" width="13.85546875" customWidth="1"/>
    <col min="7" max="7" width="20.7109375" customWidth="1"/>
    <col min="8" max="8" width="22.42578125" customWidth="1"/>
    <col min="9" max="9" width="15.7109375" bestFit="1" customWidth="1"/>
    <col min="10" max="10" width="16.5703125" bestFit="1" customWidth="1"/>
    <col min="11" max="11" width="14.140625" bestFit="1" customWidth="1"/>
    <col min="12" max="12" width="14.140625" customWidth="1"/>
    <col min="13" max="13" width="6.5703125" customWidth="1"/>
    <col min="14" max="14" width="8.42578125" customWidth="1"/>
    <col min="15" max="15" width="10.7109375" customWidth="1"/>
    <col min="16" max="16" width="12" bestFit="1" customWidth="1"/>
    <col min="17" max="17" width="16" bestFit="1" customWidth="1"/>
    <col min="18" max="18" width="12.7109375" bestFit="1" customWidth="1"/>
    <col min="19" max="19" width="9.140625" customWidth="1"/>
    <col min="20" max="20" width="7.7109375" customWidth="1"/>
    <col min="21" max="21" width="8.28515625" bestFit="1" customWidth="1"/>
    <col min="22" max="22" width="7.140625" customWidth="1"/>
    <col min="23" max="23" width="6.42578125" customWidth="1"/>
    <col min="24" max="24" width="10.85546875" customWidth="1"/>
    <col min="25" max="25" width="13.7109375" bestFit="1" customWidth="1"/>
    <col min="26" max="26" width="18.7109375" bestFit="1" customWidth="1"/>
    <col min="27" max="27" width="21.85546875" bestFit="1" customWidth="1"/>
    <col min="28" max="28" width="16.28515625" bestFit="1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2017340028</v>
      </c>
      <c r="B2" t="s">
        <v>249</v>
      </c>
      <c r="C2" t="s">
        <v>250</v>
      </c>
      <c r="D2" t="str">
        <f>CONCATENATE(C2," ",B2)</f>
        <v>BENJAMIN LANDER</v>
      </c>
      <c r="E2" t="s">
        <v>52</v>
      </c>
      <c r="F2" t="s">
        <v>194</v>
      </c>
      <c r="G2" t="s">
        <v>881</v>
      </c>
      <c r="H2" t="s">
        <v>881</v>
      </c>
      <c r="I2" s="8">
        <v>9079571</v>
      </c>
      <c r="J2" t="s">
        <v>55</v>
      </c>
      <c r="K2" t="s">
        <v>252</v>
      </c>
      <c r="L2" t="str">
        <f t="shared" ref="L2:L65" si="0">CONCATENATE(K2," ",J2)</f>
        <v>ADAM RICHTER</v>
      </c>
      <c r="M2" t="s">
        <v>1133</v>
      </c>
      <c r="N2" t="s">
        <v>57</v>
      </c>
      <c r="O2" s="1">
        <v>44958</v>
      </c>
      <c r="P2" s="1">
        <v>46235</v>
      </c>
      <c r="Q2" s="2">
        <v>51.46</v>
      </c>
      <c r="R2" t="s">
        <v>58</v>
      </c>
      <c r="S2" s="3">
        <v>0.15</v>
      </c>
      <c r="T2">
        <v>0</v>
      </c>
      <c r="U2" t="s">
        <v>247</v>
      </c>
      <c r="V2" t="s">
        <v>248</v>
      </c>
      <c r="W2">
        <v>0</v>
      </c>
      <c r="X2" s="2">
        <v>0</v>
      </c>
      <c r="Y2" s="2">
        <v>7.72</v>
      </c>
      <c r="Z2" s="2">
        <v>7.72</v>
      </c>
      <c r="AA2" s="2">
        <v>7.72</v>
      </c>
      <c r="AB2" s="2">
        <v>0</v>
      </c>
    </row>
    <row r="3" spans="1:28" x14ac:dyDescent="0.25">
      <c r="A3">
        <v>2017351926</v>
      </c>
      <c r="B3" t="s">
        <v>334</v>
      </c>
      <c r="C3" t="s">
        <v>335</v>
      </c>
      <c r="D3" t="str">
        <f t="shared" ref="D3:D66" si="1">CONCATENATE(C3," ",B3)</f>
        <v>SCOTT PHILBRICK</v>
      </c>
      <c r="E3" t="s">
        <v>146</v>
      </c>
      <c r="F3" t="s">
        <v>194</v>
      </c>
      <c r="G3" t="s">
        <v>881</v>
      </c>
      <c r="H3" t="s">
        <v>881</v>
      </c>
      <c r="I3" s="8">
        <v>9079571</v>
      </c>
      <c r="J3" t="s">
        <v>55</v>
      </c>
      <c r="K3" t="s">
        <v>252</v>
      </c>
      <c r="L3" t="str">
        <f t="shared" si="0"/>
        <v>ADAM RICHTER</v>
      </c>
      <c r="M3" t="s">
        <v>1133</v>
      </c>
      <c r="N3" t="s">
        <v>57</v>
      </c>
      <c r="O3" s="1">
        <v>44958</v>
      </c>
      <c r="P3" s="1">
        <v>46235</v>
      </c>
      <c r="Q3" s="2">
        <v>24.61</v>
      </c>
      <c r="R3" t="s">
        <v>58</v>
      </c>
      <c r="S3" s="3">
        <v>0.15</v>
      </c>
      <c r="T3">
        <v>0</v>
      </c>
      <c r="U3" t="s">
        <v>247</v>
      </c>
      <c r="V3" t="s">
        <v>248</v>
      </c>
      <c r="W3">
        <v>0</v>
      </c>
      <c r="X3" s="2">
        <v>0</v>
      </c>
      <c r="Y3" s="2">
        <v>3.69</v>
      </c>
      <c r="Z3" s="2">
        <v>3.69</v>
      </c>
      <c r="AA3" s="2">
        <v>3.69</v>
      </c>
      <c r="AB3" s="2">
        <v>0</v>
      </c>
    </row>
    <row r="4" spans="1:28" x14ac:dyDescent="0.25">
      <c r="A4">
        <v>2017351925</v>
      </c>
      <c r="B4" t="s">
        <v>334</v>
      </c>
      <c r="C4" t="s">
        <v>335</v>
      </c>
      <c r="D4" t="str">
        <f t="shared" si="1"/>
        <v>SCOTT PHILBRICK</v>
      </c>
      <c r="E4" t="s">
        <v>146</v>
      </c>
      <c r="F4" t="s">
        <v>69</v>
      </c>
      <c r="G4" t="s">
        <v>79</v>
      </c>
      <c r="H4" t="s">
        <v>1080</v>
      </c>
      <c r="I4" s="8">
        <v>9079571</v>
      </c>
      <c r="J4" t="s">
        <v>55</v>
      </c>
      <c r="K4" t="s">
        <v>252</v>
      </c>
      <c r="L4" t="str">
        <f t="shared" si="0"/>
        <v>ADAM RICHTER</v>
      </c>
      <c r="M4" t="s">
        <v>1133</v>
      </c>
      <c r="N4" t="s">
        <v>57</v>
      </c>
      <c r="O4" s="1">
        <v>44958</v>
      </c>
      <c r="P4" s="1">
        <v>46235</v>
      </c>
      <c r="Q4" s="2">
        <v>73.08</v>
      </c>
      <c r="R4" t="s">
        <v>58</v>
      </c>
      <c r="S4" s="3">
        <v>0.1</v>
      </c>
      <c r="T4">
        <v>0</v>
      </c>
      <c r="U4" t="s">
        <v>247</v>
      </c>
      <c r="V4" t="s">
        <v>248</v>
      </c>
      <c r="W4">
        <v>0</v>
      </c>
      <c r="X4" s="2">
        <v>0</v>
      </c>
      <c r="Y4" s="2">
        <v>7.31</v>
      </c>
      <c r="Z4" s="2">
        <v>7.31</v>
      </c>
      <c r="AA4" s="2">
        <v>7.31</v>
      </c>
      <c r="AB4" s="2">
        <v>0</v>
      </c>
    </row>
    <row r="5" spans="1:28" x14ac:dyDescent="0.25">
      <c r="A5">
        <v>2033238959</v>
      </c>
      <c r="B5" t="s">
        <v>507</v>
      </c>
      <c r="C5" t="s">
        <v>508</v>
      </c>
      <c r="D5" t="str">
        <f t="shared" si="1"/>
        <v>CARA CHESTER</v>
      </c>
      <c r="E5" t="s">
        <v>146</v>
      </c>
      <c r="F5" t="s">
        <v>69</v>
      </c>
      <c r="G5" t="s">
        <v>79</v>
      </c>
      <c r="H5" t="s">
        <v>1080</v>
      </c>
      <c r="I5" s="8">
        <v>9079571</v>
      </c>
      <c r="J5" t="s">
        <v>55</v>
      </c>
      <c r="K5" t="s">
        <v>252</v>
      </c>
      <c r="L5" t="str">
        <f t="shared" si="0"/>
        <v>ADAM RICHTER</v>
      </c>
      <c r="M5" t="s">
        <v>1133</v>
      </c>
      <c r="N5" t="s">
        <v>57</v>
      </c>
      <c r="O5" s="1">
        <v>46054</v>
      </c>
      <c r="P5" s="1">
        <v>46235</v>
      </c>
      <c r="Q5" s="2">
        <v>39.549999999999997</v>
      </c>
      <c r="R5" t="s">
        <v>58</v>
      </c>
      <c r="S5" s="3">
        <v>0.9</v>
      </c>
      <c r="T5">
        <v>0</v>
      </c>
      <c r="U5" t="s">
        <v>60</v>
      </c>
      <c r="V5" t="s">
        <v>248</v>
      </c>
      <c r="W5">
        <v>0</v>
      </c>
      <c r="X5" s="2">
        <v>0</v>
      </c>
      <c r="Y5" s="2">
        <v>35.6</v>
      </c>
      <c r="Z5" s="2">
        <v>0</v>
      </c>
      <c r="AA5" s="2">
        <v>0</v>
      </c>
      <c r="AB5" s="2">
        <v>0</v>
      </c>
    </row>
    <row r="6" spans="1:28" x14ac:dyDescent="0.25">
      <c r="A6">
        <v>2033228525</v>
      </c>
      <c r="B6" t="s">
        <v>501</v>
      </c>
      <c r="C6" t="s">
        <v>254</v>
      </c>
      <c r="D6" t="str">
        <f t="shared" si="1"/>
        <v>SARAH STALLSMITH</v>
      </c>
      <c r="E6" t="s">
        <v>146</v>
      </c>
      <c r="F6" t="s">
        <v>69</v>
      </c>
      <c r="G6" t="s">
        <v>79</v>
      </c>
      <c r="H6" t="s">
        <v>1080</v>
      </c>
      <c r="I6" s="8">
        <v>9079571</v>
      </c>
      <c r="J6" t="s">
        <v>55</v>
      </c>
      <c r="K6" t="s">
        <v>252</v>
      </c>
      <c r="L6" t="str">
        <f t="shared" si="0"/>
        <v>ADAM RICHTER</v>
      </c>
      <c r="M6" t="s">
        <v>1133</v>
      </c>
      <c r="N6" t="s">
        <v>57</v>
      </c>
      <c r="O6" s="1">
        <v>46054</v>
      </c>
      <c r="P6" s="1">
        <v>46235</v>
      </c>
      <c r="Q6" s="2">
        <v>49.09</v>
      </c>
      <c r="R6" t="s">
        <v>58</v>
      </c>
      <c r="S6" s="3">
        <v>0.9</v>
      </c>
      <c r="T6">
        <v>0</v>
      </c>
      <c r="U6" t="s">
        <v>60</v>
      </c>
      <c r="V6" t="s">
        <v>248</v>
      </c>
      <c r="W6">
        <v>0</v>
      </c>
      <c r="X6" s="2">
        <v>0</v>
      </c>
      <c r="Y6" s="2">
        <v>44.18</v>
      </c>
      <c r="Z6" s="2">
        <v>0</v>
      </c>
      <c r="AA6" s="2">
        <v>0</v>
      </c>
      <c r="AB6" s="2">
        <v>0</v>
      </c>
    </row>
    <row r="7" spans="1:28" x14ac:dyDescent="0.25">
      <c r="A7">
        <v>2034425177</v>
      </c>
      <c r="B7" t="s">
        <v>567</v>
      </c>
      <c r="C7" t="s">
        <v>171</v>
      </c>
      <c r="D7" t="str">
        <f t="shared" si="1"/>
        <v>WILLIAM CORLEY</v>
      </c>
      <c r="E7" t="s">
        <v>146</v>
      </c>
      <c r="F7" t="s">
        <v>69</v>
      </c>
      <c r="G7" t="s">
        <v>79</v>
      </c>
      <c r="H7" t="s">
        <v>1080</v>
      </c>
      <c r="I7" s="8">
        <v>9079571</v>
      </c>
      <c r="J7" t="s">
        <v>55</v>
      </c>
      <c r="K7" t="s">
        <v>252</v>
      </c>
      <c r="L7" t="str">
        <f t="shared" si="0"/>
        <v>ADAM RICHTER</v>
      </c>
      <c r="M7" t="s">
        <v>1133</v>
      </c>
      <c r="N7" t="s">
        <v>57</v>
      </c>
      <c r="O7" s="1">
        <v>46109</v>
      </c>
      <c r="P7" s="1">
        <v>46231</v>
      </c>
      <c r="Q7" s="2">
        <v>73.25</v>
      </c>
      <c r="R7" t="s">
        <v>58</v>
      </c>
      <c r="S7" s="3">
        <v>0.9</v>
      </c>
      <c r="T7">
        <v>0</v>
      </c>
      <c r="U7" t="s">
        <v>60</v>
      </c>
      <c r="V7" t="s">
        <v>248</v>
      </c>
      <c r="W7">
        <v>0</v>
      </c>
      <c r="X7" s="2">
        <v>0</v>
      </c>
      <c r="Y7" s="2">
        <v>65.92</v>
      </c>
      <c r="Z7" s="2">
        <v>0</v>
      </c>
      <c r="AA7" s="2">
        <v>0</v>
      </c>
      <c r="AB7" s="2">
        <v>0</v>
      </c>
    </row>
    <row r="8" spans="1:28" x14ac:dyDescent="0.25">
      <c r="A8">
        <v>2033422325</v>
      </c>
      <c r="B8" t="s">
        <v>639</v>
      </c>
      <c r="C8" t="s">
        <v>640</v>
      </c>
      <c r="D8" t="str">
        <f t="shared" si="1"/>
        <v>YEGENDREN PILLAY</v>
      </c>
      <c r="E8" t="s">
        <v>404</v>
      </c>
      <c r="F8" t="s">
        <v>149</v>
      </c>
      <c r="G8" t="s">
        <v>584</v>
      </c>
      <c r="H8" t="s">
        <v>1082</v>
      </c>
      <c r="I8" s="8">
        <v>9079571</v>
      </c>
      <c r="J8" t="s">
        <v>55</v>
      </c>
      <c r="K8" t="s">
        <v>252</v>
      </c>
      <c r="L8" t="str">
        <f t="shared" si="0"/>
        <v>ADAM RICHTER</v>
      </c>
      <c r="M8" t="s">
        <v>1133</v>
      </c>
      <c r="N8" t="s">
        <v>57</v>
      </c>
      <c r="O8" s="1">
        <v>46054</v>
      </c>
      <c r="P8" s="1">
        <v>46235</v>
      </c>
      <c r="Q8" s="2">
        <v>15</v>
      </c>
      <c r="R8" t="s">
        <v>58</v>
      </c>
      <c r="S8" s="3">
        <v>0.28999999999999998</v>
      </c>
      <c r="T8">
        <v>0</v>
      </c>
      <c r="U8" t="s">
        <v>60</v>
      </c>
      <c r="V8" t="s">
        <v>248</v>
      </c>
      <c r="W8">
        <v>0</v>
      </c>
      <c r="X8" s="2">
        <v>0</v>
      </c>
      <c r="Y8" s="2">
        <v>4.3499999999999996</v>
      </c>
      <c r="Z8" s="2">
        <v>0</v>
      </c>
      <c r="AA8" s="2">
        <v>0</v>
      </c>
      <c r="AB8" s="2">
        <v>0</v>
      </c>
    </row>
    <row r="9" spans="1:28" x14ac:dyDescent="0.25">
      <c r="A9">
        <v>2033422323</v>
      </c>
      <c r="B9" t="s">
        <v>639</v>
      </c>
      <c r="C9" t="s">
        <v>640</v>
      </c>
      <c r="D9" t="str">
        <f t="shared" si="1"/>
        <v>YEGENDREN PILLAY</v>
      </c>
      <c r="E9" t="s">
        <v>404</v>
      </c>
      <c r="F9" t="s">
        <v>237</v>
      </c>
      <c r="G9" t="s">
        <v>853</v>
      </c>
      <c r="H9" t="s">
        <v>853</v>
      </c>
      <c r="I9" s="8">
        <v>9079571</v>
      </c>
      <c r="J9" t="s">
        <v>55</v>
      </c>
      <c r="K9" t="s">
        <v>252</v>
      </c>
      <c r="L9" t="str">
        <f t="shared" si="0"/>
        <v>ADAM RICHTER</v>
      </c>
      <c r="M9" t="s">
        <v>1133</v>
      </c>
      <c r="N9" t="s">
        <v>57</v>
      </c>
      <c r="O9" s="1">
        <v>46054</v>
      </c>
      <c r="P9" s="1">
        <v>46235</v>
      </c>
      <c r="Q9" s="2">
        <v>251.29</v>
      </c>
      <c r="R9" t="s">
        <v>58</v>
      </c>
      <c r="S9" s="3">
        <v>0.28999999999999998</v>
      </c>
      <c r="T9">
        <v>0</v>
      </c>
      <c r="U9" t="s">
        <v>60</v>
      </c>
      <c r="V9" t="s">
        <v>248</v>
      </c>
      <c r="W9">
        <v>0</v>
      </c>
      <c r="X9" s="2">
        <v>0</v>
      </c>
      <c r="Y9" s="2">
        <v>72.87</v>
      </c>
      <c r="Z9" s="2">
        <v>0</v>
      </c>
      <c r="AA9" s="2">
        <v>0</v>
      </c>
      <c r="AB9" s="2">
        <v>0</v>
      </c>
    </row>
    <row r="10" spans="1:28" x14ac:dyDescent="0.25">
      <c r="A10">
        <v>2033422324</v>
      </c>
      <c r="B10" t="s">
        <v>639</v>
      </c>
      <c r="C10" t="s">
        <v>640</v>
      </c>
      <c r="D10" t="str">
        <f t="shared" si="1"/>
        <v>YEGENDREN PILLAY</v>
      </c>
      <c r="E10" t="s">
        <v>404</v>
      </c>
      <c r="F10" t="s">
        <v>194</v>
      </c>
      <c r="G10" t="s">
        <v>195</v>
      </c>
      <c r="H10" t="s">
        <v>195</v>
      </c>
      <c r="I10" s="8">
        <v>9079571</v>
      </c>
      <c r="J10" t="s">
        <v>55</v>
      </c>
      <c r="K10" t="s">
        <v>252</v>
      </c>
      <c r="L10" t="str">
        <f t="shared" si="0"/>
        <v>ADAM RICHTER</v>
      </c>
      <c r="M10" t="s">
        <v>1133</v>
      </c>
      <c r="N10" t="s">
        <v>57</v>
      </c>
      <c r="O10" s="1">
        <v>46054</v>
      </c>
      <c r="P10" s="1">
        <v>46235</v>
      </c>
      <c r="Q10" s="2">
        <v>23.09</v>
      </c>
      <c r="R10" t="s">
        <v>58</v>
      </c>
      <c r="S10" s="3">
        <v>0.7</v>
      </c>
      <c r="T10">
        <v>0</v>
      </c>
      <c r="U10" t="s">
        <v>60</v>
      </c>
      <c r="V10" t="s">
        <v>248</v>
      </c>
      <c r="W10">
        <v>0</v>
      </c>
      <c r="X10" s="2">
        <v>0</v>
      </c>
      <c r="Y10" s="2">
        <v>16.16</v>
      </c>
      <c r="Z10" s="2">
        <v>0</v>
      </c>
      <c r="AA10" s="2">
        <v>0</v>
      </c>
      <c r="AB10" s="2">
        <v>0</v>
      </c>
    </row>
    <row r="11" spans="1:28" x14ac:dyDescent="0.25">
      <c r="A11">
        <v>2017340031</v>
      </c>
      <c r="B11" t="s">
        <v>249</v>
      </c>
      <c r="C11" t="s">
        <v>250</v>
      </c>
      <c r="D11" t="str">
        <f t="shared" si="1"/>
        <v>BENJAMIN LANDER</v>
      </c>
      <c r="E11" t="s">
        <v>52</v>
      </c>
      <c r="F11" t="s">
        <v>133</v>
      </c>
      <c r="G11" t="s">
        <v>134</v>
      </c>
      <c r="H11" t="s">
        <v>134</v>
      </c>
      <c r="I11" s="8">
        <v>9079571</v>
      </c>
      <c r="J11" t="s">
        <v>55</v>
      </c>
      <c r="K11" t="s">
        <v>252</v>
      </c>
      <c r="L11" t="str">
        <f t="shared" si="0"/>
        <v>ADAM RICHTER</v>
      </c>
      <c r="M11" t="s">
        <v>1133</v>
      </c>
      <c r="N11" t="s">
        <v>57</v>
      </c>
      <c r="O11" s="1">
        <v>44958</v>
      </c>
      <c r="P11" s="1">
        <v>46235</v>
      </c>
      <c r="Q11" s="2">
        <v>89</v>
      </c>
      <c r="R11" t="s">
        <v>58</v>
      </c>
      <c r="S11" s="3">
        <v>0.06</v>
      </c>
      <c r="T11">
        <v>0</v>
      </c>
      <c r="U11" t="s">
        <v>247</v>
      </c>
      <c r="V11" t="s">
        <v>248</v>
      </c>
      <c r="W11">
        <v>0</v>
      </c>
      <c r="X11" s="2">
        <v>0</v>
      </c>
      <c r="Y11" s="2">
        <v>5.34</v>
      </c>
      <c r="Z11" s="2">
        <v>5.34</v>
      </c>
      <c r="AA11" s="2">
        <v>5.34</v>
      </c>
      <c r="AB11" s="2">
        <v>0</v>
      </c>
    </row>
    <row r="12" spans="1:28" x14ac:dyDescent="0.25">
      <c r="A12">
        <v>2017340029</v>
      </c>
      <c r="B12" t="s">
        <v>249</v>
      </c>
      <c r="C12" t="s">
        <v>250</v>
      </c>
      <c r="D12" t="str">
        <f t="shared" si="1"/>
        <v>BENJAMIN LANDER</v>
      </c>
      <c r="E12" t="s">
        <v>52</v>
      </c>
      <c r="F12" t="s">
        <v>53</v>
      </c>
      <c r="G12" t="s">
        <v>251</v>
      </c>
      <c r="H12" t="s">
        <v>251</v>
      </c>
      <c r="I12" s="8">
        <v>9079571</v>
      </c>
      <c r="J12" t="s">
        <v>55</v>
      </c>
      <c r="K12" t="s">
        <v>252</v>
      </c>
      <c r="L12" t="str">
        <f t="shared" si="0"/>
        <v>ADAM RICHTER</v>
      </c>
      <c r="M12" t="s">
        <v>1133</v>
      </c>
      <c r="N12" t="s">
        <v>57</v>
      </c>
      <c r="O12" s="1">
        <v>44958</v>
      </c>
      <c r="P12" s="1">
        <v>46235</v>
      </c>
      <c r="Q12" s="2">
        <v>71.69</v>
      </c>
      <c r="R12" t="s">
        <v>58</v>
      </c>
      <c r="S12" s="4">
        <v>6.5000000000000002E-2</v>
      </c>
      <c r="T12">
        <v>0</v>
      </c>
      <c r="U12" t="s">
        <v>247</v>
      </c>
      <c r="V12" t="s">
        <v>248</v>
      </c>
      <c r="W12">
        <v>0</v>
      </c>
      <c r="X12" s="2">
        <v>0</v>
      </c>
      <c r="Y12" s="2">
        <v>4.66</v>
      </c>
      <c r="Z12" s="2">
        <v>4.66</v>
      </c>
      <c r="AA12" s="2">
        <v>4.66</v>
      </c>
      <c r="AB12" s="2">
        <v>0</v>
      </c>
    </row>
    <row r="13" spans="1:28" x14ac:dyDescent="0.25">
      <c r="A13">
        <v>2033079544</v>
      </c>
      <c r="B13" t="s">
        <v>309</v>
      </c>
      <c r="C13" t="s">
        <v>310</v>
      </c>
      <c r="D13" t="str">
        <f t="shared" si="1"/>
        <v>DAN JR</v>
      </c>
      <c r="E13" t="s">
        <v>311</v>
      </c>
      <c r="F13" t="s">
        <v>53</v>
      </c>
      <c r="G13" t="s">
        <v>54</v>
      </c>
      <c r="H13" t="s">
        <v>54</v>
      </c>
      <c r="I13" s="8">
        <v>9079571</v>
      </c>
      <c r="J13" t="s">
        <v>55</v>
      </c>
      <c r="K13" t="s">
        <v>252</v>
      </c>
      <c r="L13" t="str">
        <f t="shared" si="0"/>
        <v>ADAM RICHTER</v>
      </c>
      <c r="M13" t="s">
        <v>1133</v>
      </c>
      <c r="N13" t="s">
        <v>57</v>
      </c>
      <c r="O13" s="1">
        <v>46054</v>
      </c>
      <c r="P13" s="1">
        <v>46235</v>
      </c>
      <c r="Q13" s="2">
        <v>55.74</v>
      </c>
      <c r="R13" t="s">
        <v>58</v>
      </c>
      <c r="S13" s="3">
        <v>0.6</v>
      </c>
      <c r="T13">
        <v>0</v>
      </c>
      <c r="U13" t="s">
        <v>60</v>
      </c>
      <c r="V13" t="s">
        <v>248</v>
      </c>
      <c r="W13">
        <v>0</v>
      </c>
      <c r="X13" s="2">
        <v>0</v>
      </c>
      <c r="Y13" s="2">
        <v>33.44</v>
      </c>
      <c r="Z13" s="2">
        <v>0</v>
      </c>
      <c r="AA13" s="2">
        <v>0</v>
      </c>
      <c r="AB13" s="2">
        <v>0</v>
      </c>
    </row>
    <row r="14" spans="1:28" x14ac:dyDescent="0.25">
      <c r="A14">
        <v>2035257014</v>
      </c>
      <c r="B14" t="s">
        <v>652</v>
      </c>
      <c r="C14" t="s">
        <v>653</v>
      </c>
      <c r="D14" t="str">
        <f t="shared" si="1"/>
        <v>EMMALINE HINTON</v>
      </c>
      <c r="E14" t="s">
        <v>89</v>
      </c>
      <c r="F14" t="s">
        <v>188</v>
      </c>
      <c r="G14" t="s">
        <v>191</v>
      </c>
      <c r="H14" t="s">
        <v>190</v>
      </c>
      <c r="I14" s="8" t="s">
        <v>1101</v>
      </c>
      <c r="J14" t="s">
        <v>368</v>
      </c>
      <c r="K14" t="s">
        <v>369</v>
      </c>
      <c r="L14" t="str">
        <f t="shared" si="0"/>
        <v>ANDREA PETRUNGARO</v>
      </c>
      <c r="M14" t="s">
        <v>1134</v>
      </c>
      <c r="N14" t="s">
        <v>57</v>
      </c>
      <c r="O14" s="1">
        <v>46144</v>
      </c>
      <c r="P14" s="1">
        <v>46236</v>
      </c>
      <c r="Q14" s="2">
        <v>7.09</v>
      </c>
      <c r="R14" t="s">
        <v>58</v>
      </c>
      <c r="S14" s="3">
        <v>0.38</v>
      </c>
      <c r="T14">
        <v>0</v>
      </c>
      <c r="U14" t="s">
        <v>60</v>
      </c>
      <c r="V14" t="s">
        <v>248</v>
      </c>
      <c r="W14">
        <v>0</v>
      </c>
      <c r="X14" s="2">
        <v>0</v>
      </c>
      <c r="Y14" s="2">
        <v>2.69</v>
      </c>
      <c r="Z14" s="2">
        <v>0</v>
      </c>
      <c r="AA14" s="2">
        <v>0</v>
      </c>
      <c r="AB14" s="2">
        <v>0</v>
      </c>
    </row>
    <row r="15" spans="1:28" x14ac:dyDescent="0.25">
      <c r="A15">
        <v>2035257012</v>
      </c>
      <c r="B15" t="s">
        <v>652</v>
      </c>
      <c r="C15" t="s">
        <v>653</v>
      </c>
      <c r="D15" t="str">
        <f t="shared" si="1"/>
        <v>EMMALINE HINTON</v>
      </c>
      <c r="E15" t="s">
        <v>89</v>
      </c>
      <c r="F15" t="s">
        <v>188</v>
      </c>
      <c r="G15" t="s">
        <v>190</v>
      </c>
      <c r="H15" t="s">
        <v>190</v>
      </c>
      <c r="I15" s="8" t="s">
        <v>1101</v>
      </c>
      <c r="J15" t="s">
        <v>368</v>
      </c>
      <c r="K15" t="s">
        <v>369</v>
      </c>
      <c r="L15" t="str">
        <f t="shared" si="0"/>
        <v>ANDREA PETRUNGARO</v>
      </c>
      <c r="M15" t="s">
        <v>1134</v>
      </c>
      <c r="N15" t="s">
        <v>57</v>
      </c>
      <c r="O15" s="1">
        <v>46144</v>
      </c>
      <c r="P15" s="1">
        <v>46236</v>
      </c>
      <c r="Q15" s="2">
        <v>172.55</v>
      </c>
      <c r="R15" t="s">
        <v>58</v>
      </c>
      <c r="S15" s="3">
        <v>0.38</v>
      </c>
      <c r="T15">
        <v>0</v>
      </c>
      <c r="U15" t="s">
        <v>60</v>
      </c>
      <c r="V15" t="s">
        <v>248</v>
      </c>
      <c r="W15">
        <v>0</v>
      </c>
      <c r="X15" s="2">
        <v>0</v>
      </c>
      <c r="Y15" s="2">
        <v>65.569999999999993</v>
      </c>
      <c r="Z15" s="2">
        <v>0</v>
      </c>
      <c r="AA15" s="2">
        <v>0</v>
      </c>
      <c r="AB15" s="2">
        <v>0</v>
      </c>
    </row>
    <row r="16" spans="1:28" x14ac:dyDescent="0.25">
      <c r="A16">
        <v>2026734343</v>
      </c>
      <c r="B16" t="s">
        <v>366</v>
      </c>
      <c r="C16" t="s">
        <v>367</v>
      </c>
      <c r="D16" t="str">
        <f t="shared" si="1"/>
        <v>DEMETRA PAPADOPOULOS</v>
      </c>
      <c r="E16" t="s">
        <v>100</v>
      </c>
      <c r="F16" t="s">
        <v>69</v>
      </c>
      <c r="G16" t="s">
        <v>101</v>
      </c>
      <c r="H16" t="s">
        <v>1081</v>
      </c>
      <c r="I16" s="8">
        <v>16912722</v>
      </c>
      <c r="J16" t="s">
        <v>368</v>
      </c>
      <c r="K16" t="s">
        <v>369</v>
      </c>
      <c r="L16" t="str">
        <f t="shared" si="0"/>
        <v>ANDREA PETRUNGARO</v>
      </c>
      <c r="M16" t="s">
        <v>1133</v>
      </c>
      <c r="N16" t="s">
        <v>57</v>
      </c>
      <c r="O16" s="1">
        <v>45689</v>
      </c>
      <c r="P16" s="1">
        <v>46235</v>
      </c>
      <c r="Q16" s="2">
        <v>53.56</v>
      </c>
      <c r="R16" t="s">
        <v>58</v>
      </c>
      <c r="S16" s="3">
        <v>0.1</v>
      </c>
      <c r="T16">
        <v>0</v>
      </c>
      <c r="U16" t="s">
        <v>247</v>
      </c>
      <c r="V16" t="s">
        <v>248</v>
      </c>
      <c r="W16">
        <v>0</v>
      </c>
      <c r="X16" s="2">
        <v>0</v>
      </c>
      <c r="Y16" s="2">
        <v>5.36</v>
      </c>
      <c r="Z16" s="2">
        <v>5.36</v>
      </c>
      <c r="AA16" s="2">
        <v>5.36</v>
      </c>
      <c r="AB16" s="2">
        <v>0</v>
      </c>
    </row>
    <row r="17" spans="1:28" x14ac:dyDescent="0.25">
      <c r="A17">
        <v>2033957113</v>
      </c>
      <c r="B17" t="s">
        <v>368</v>
      </c>
      <c r="C17" t="s">
        <v>561</v>
      </c>
      <c r="D17" t="str">
        <f t="shared" si="1"/>
        <v>EUGENE PETRUNGARO</v>
      </c>
      <c r="E17" t="s">
        <v>89</v>
      </c>
      <c r="F17" t="s">
        <v>69</v>
      </c>
      <c r="G17" t="s">
        <v>79</v>
      </c>
      <c r="H17" t="s">
        <v>1080</v>
      </c>
      <c r="I17" s="8" t="s">
        <v>1101</v>
      </c>
      <c r="J17" t="s">
        <v>368</v>
      </c>
      <c r="K17" t="s">
        <v>369</v>
      </c>
      <c r="L17" t="str">
        <f t="shared" si="0"/>
        <v>ANDREA PETRUNGARO</v>
      </c>
      <c r="M17" t="s">
        <v>1134</v>
      </c>
      <c r="N17" t="s">
        <v>57</v>
      </c>
      <c r="O17" s="1">
        <v>46080</v>
      </c>
      <c r="P17" s="1">
        <v>46230</v>
      </c>
      <c r="Q17" s="2">
        <v>30.84</v>
      </c>
      <c r="R17" t="s">
        <v>58</v>
      </c>
      <c r="S17" s="3">
        <v>0.9</v>
      </c>
      <c r="T17">
        <v>0</v>
      </c>
      <c r="U17" t="s">
        <v>60</v>
      </c>
      <c r="V17" t="s">
        <v>248</v>
      </c>
      <c r="W17">
        <v>0</v>
      </c>
      <c r="X17" s="2">
        <v>0</v>
      </c>
      <c r="Y17" s="2">
        <v>27.76</v>
      </c>
      <c r="Z17" s="2">
        <v>0</v>
      </c>
      <c r="AA17" s="2">
        <v>0</v>
      </c>
      <c r="AB17" s="2">
        <v>0</v>
      </c>
    </row>
    <row r="18" spans="1:28" x14ac:dyDescent="0.25">
      <c r="A18">
        <v>2035257015</v>
      </c>
      <c r="B18" t="s">
        <v>652</v>
      </c>
      <c r="C18" t="s">
        <v>653</v>
      </c>
      <c r="D18" t="str">
        <f t="shared" si="1"/>
        <v>EMMALINE HINTON</v>
      </c>
      <c r="E18" t="s">
        <v>89</v>
      </c>
      <c r="F18" t="s">
        <v>149</v>
      </c>
      <c r="G18" t="s">
        <v>150</v>
      </c>
      <c r="H18" t="s">
        <v>150</v>
      </c>
      <c r="I18" s="8" t="s">
        <v>1101</v>
      </c>
      <c r="J18" t="s">
        <v>368</v>
      </c>
      <c r="K18" t="s">
        <v>369</v>
      </c>
      <c r="L18" t="str">
        <f t="shared" si="0"/>
        <v>ANDREA PETRUNGARO</v>
      </c>
      <c r="M18" t="s">
        <v>1134</v>
      </c>
      <c r="N18" t="s">
        <v>57</v>
      </c>
      <c r="O18" s="1">
        <v>46144</v>
      </c>
      <c r="P18" s="1">
        <v>46236</v>
      </c>
      <c r="Q18" s="2">
        <v>15</v>
      </c>
      <c r="R18" t="s">
        <v>58</v>
      </c>
      <c r="S18" s="3">
        <v>0.38</v>
      </c>
      <c r="T18">
        <v>0</v>
      </c>
      <c r="U18" t="s">
        <v>60</v>
      </c>
      <c r="V18" t="s">
        <v>248</v>
      </c>
      <c r="W18">
        <v>0</v>
      </c>
      <c r="X18" s="2">
        <v>0</v>
      </c>
      <c r="Y18" s="2">
        <v>5.7</v>
      </c>
      <c r="Z18" s="2">
        <v>0</v>
      </c>
      <c r="AA18" s="2">
        <v>0</v>
      </c>
      <c r="AB18" s="2">
        <v>0</v>
      </c>
    </row>
    <row r="19" spans="1:28" x14ac:dyDescent="0.25">
      <c r="A19">
        <v>2035257013</v>
      </c>
      <c r="B19" t="s">
        <v>652</v>
      </c>
      <c r="C19" t="s">
        <v>653</v>
      </c>
      <c r="D19" t="str">
        <f t="shared" si="1"/>
        <v>EMMALINE HINTON</v>
      </c>
      <c r="E19" t="s">
        <v>89</v>
      </c>
      <c r="F19" t="s">
        <v>188</v>
      </c>
      <c r="G19" t="s">
        <v>189</v>
      </c>
      <c r="H19" t="s">
        <v>189</v>
      </c>
      <c r="I19" s="8" t="s">
        <v>1101</v>
      </c>
      <c r="J19" t="s">
        <v>368</v>
      </c>
      <c r="K19" t="s">
        <v>369</v>
      </c>
      <c r="L19" t="str">
        <f t="shared" si="0"/>
        <v>ANDREA PETRUNGARO</v>
      </c>
      <c r="M19" t="s">
        <v>1134</v>
      </c>
      <c r="N19" t="s">
        <v>57</v>
      </c>
      <c r="O19" s="1">
        <v>46144</v>
      </c>
      <c r="P19" s="1">
        <v>46236</v>
      </c>
      <c r="Q19" s="2">
        <v>13.38</v>
      </c>
      <c r="R19" t="s">
        <v>58</v>
      </c>
      <c r="S19" s="3">
        <v>0.38</v>
      </c>
      <c r="T19">
        <v>0</v>
      </c>
      <c r="U19" t="s">
        <v>60</v>
      </c>
      <c r="V19" t="s">
        <v>248</v>
      </c>
      <c r="W19">
        <v>0</v>
      </c>
      <c r="X19" s="2">
        <v>0</v>
      </c>
      <c r="Y19" s="2">
        <v>5.08</v>
      </c>
      <c r="Z19" s="2">
        <v>0</v>
      </c>
      <c r="AA19" s="2">
        <v>0</v>
      </c>
      <c r="AB19" s="2">
        <v>0</v>
      </c>
    </row>
    <row r="20" spans="1:28" x14ac:dyDescent="0.25">
      <c r="A20">
        <v>2026721618</v>
      </c>
      <c r="B20" t="s">
        <v>875</v>
      </c>
      <c r="C20" t="s">
        <v>876</v>
      </c>
      <c r="D20" t="str">
        <f t="shared" si="1"/>
        <v>STEVEN ANDERSON</v>
      </c>
      <c r="E20" t="s">
        <v>397</v>
      </c>
      <c r="F20" t="s">
        <v>240</v>
      </c>
      <c r="G20" t="s">
        <v>877</v>
      </c>
      <c r="H20" t="s">
        <v>877</v>
      </c>
      <c r="I20" s="8">
        <v>16912722</v>
      </c>
      <c r="J20" t="s">
        <v>368</v>
      </c>
      <c r="K20" t="s">
        <v>369</v>
      </c>
      <c r="L20" t="str">
        <f t="shared" si="0"/>
        <v>ANDREA PETRUNGARO</v>
      </c>
      <c r="M20" t="s">
        <v>1133</v>
      </c>
      <c r="N20" t="s">
        <v>57</v>
      </c>
      <c r="O20" s="1">
        <v>45680</v>
      </c>
      <c r="P20" s="1">
        <v>46226</v>
      </c>
      <c r="Q20" s="2">
        <v>113.89</v>
      </c>
      <c r="R20" t="s">
        <v>58</v>
      </c>
      <c r="S20" s="3">
        <v>0.08</v>
      </c>
      <c r="T20">
        <v>0</v>
      </c>
      <c r="U20" t="s">
        <v>247</v>
      </c>
      <c r="V20" t="s">
        <v>248</v>
      </c>
      <c r="W20">
        <v>0</v>
      </c>
      <c r="X20" s="2">
        <v>0</v>
      </c>
      <c r="Y20" s="2">
        <v>9.11</v>
      </c>
      <c r="Z20" s="2">
        <v>9.11</v>
      </c>
      <c r="AA20" s="2">
        <v>9.11</v>
      </c>
      <c r="AB20" s="2">
        <v>0</v>
      </c>
    </row>
    <row r="21" spans="1:28" x14ac:dyDescent="0.25">
      <c r="A21">
        <v>2026734342</v>
      </c>
      <c r="B21" t="s">
        <v>366</v>
      </c>
      <c r="C21" t="s">
        <v>367</v>
      </c>
      <c r="D21" t="str">
        <f t="shared" si="1"/>
        <v>DEMETRA PAPADOPOULOS</v>
      </c>
      <c r="E21" t="s">
        <v>100</v>
      </c>
      <c r="F21" t="s">
        <v>194</v>
      </c>
      <c r="G21" t="s">
        <v>195</v>
      </c>
      <c r="H21" t="s">
        <v>195</v>
      </c>
      <c r="I21" s="8">
        <v>16912722</v>
      </c>
      <c r="J21" t="s">
        <v>368</v>
      </c>
      <c r="K21" t="s">
        <v>369</v>
      </c>
      <c r="L21" t="str">
        <f t="shared" si="0"/>
        <v>ANDREA PETRUNGARO</v>
      </c>
      <c r="M21" t="s">
        <v>1133</v>
      </c>
      <c r="N21" t="s">
        <v>57</v>
      </c>
      <c r="O21" s="1">
        <v>45689</v>
      </c>
      <c r="P21" s="1">
        <v>46235</v>
      </c>
      <c r="Q21" s="2">
        <v>68.69</v>
      </c>
      <c r="R21" t="s">
        <v>58</v>
      </c>
      <c r="S21" s="3">
        <v>0.15</v>
      </c>
      <c r="T21">
        <v>0</v>
      </c>
      <c r="U21" t="s">
        <v>247</v>
      </c>
      <c r="V21" t="s">
        <v>248</v>
      </c>
      <c r="W21">
        <v>0</v>
      </c>
      <c r="X21" s="2">
        <v>0</v>
      </c>
      <c r="Y21" s="2">
        <v>10.3</v>
      </c>
      <c r="Z21" s="2">
        <v>10.3</v>
      </c>
      <c r="AA21" s="2">
        <v>10.3</v>
      </c>
      <c r="AB21" s="2">
        <v>0</v>
      </c>
    </row>
    <row r="22" spans="1:28" x14ac:dyDescent="0.25">
      <c r="A22">
        <v>2033957114</v>
      </c>
      <c r="B22" t="s">
        <v>368</v>
      </c>
      <c r="C22" t="s">
        <v>561</v>
      </c>
      <c r="D22" t="str">
        <f t="shared" si="1"/>
        <v>EUGENE PETRUNGARO</v>
      </c>
      <c r="E22" t="s">
        <v>89</v>
      </c>
      <c r="F22" t="s">
        <v>194</v>
      </c>
      <c r="G22" t="s">
        <v>195</v>
      </c>
      <c r="H22" t="s">
        <v>195</v>
      </c>
      <c r="I22" s="8" t="s">
        <v>1101</v>
      </c>
      <c r="J22" t="s">
        <v>368</v>
      </c>
      <c r="K22" t="s">
        <v>369</v>
      </c>
      <c r="L22" t="str">
        <f t="shared" si="0"/>
        <v>ANDREA PETRUNGARO</v>
      </c>
      <c r="M22" t="s">
        <v>1134</v>
      </c>
      <c r="N22" t="s">
        <v>57</v>
      </c>
      <c r="O22" s="1">
        <v>46080</v>
      </c>
      <c r="P22" s="1">
        <v>46230</v>
      </c>
      <c r="Q22" s="2">
        <v>39.35</v>
      </c>
      <c r="R22" t="s">
        <v>58</v>
      </c>
      <c r="S22" s="3">
        <v>0.7</v>
      </c>
      <c r="T22">
        <v>0</v>
      </c>
      <c r="U22" t="s">
        <v>60</v>
      </c>
      <c r="V22" t="s">
        <v>248</v>
      </c>
      <c r="W22">
        <v>0</v>
      </c>
      <c r="X22" s="2">
        <v>0</v>
      </c>
      <c r="Y22" s="2">
        <v>27.54</v>
      </c>
      <c r="Z22" s="2">
        <v>0</v>
      </c>
      <c r="AA22" s="2">
        <v>0</v>
      </c>
      <c r="AB22" s="2">
        <v>0</v>
      </c>
    </row>
    <row r="23" spans="1:28" x14ac:dyDescent="0.25">
      <c r="A23">
        <v>2033337348</v>
      </c>
      <c r="B23" t="s">
        <v>786</v>
      </c>
      <c r="C23" t="s">
        <v>671</v>
      </c>
      <c r="D23" t="str">
        <f t="shared" si="1"/>
        <v>MORGAN ANGELO</v>
      </c>
      <c r="E23" t="s">
        <v>89</v>
      </c>
      <c r="F23" t="s">
        <v>194</v>
      </c>
      <c r="G23" t="s">
        <v>195</v>
      </c>
      <c r="H23" t="s">
        <v>195</v>
      </c>
      <c r="I23" s="8" t="s">
        <v>1101</v>
      </c>
      <c r="J23" t="s">
        <v>368</v>
      </c>
      <c r="K23" t="s">
        <v>369</v>
      </c>
      <c r="L23" t="str">
        <f t="shared" si="0"/>
        <v>ANDREA PETRUNGARO</v>
      </c>
      <c r="M23" t="s">
        <v>1134</v>
      </c>
      <c r="N23" t="s">
        <v>57</v>
      </c>
      <c r="O23" s="1">
        <v>46049</v>
      </c>
      <c r="P23" s="1">
        <v>46230</v>
      </c>
      <c r="Q23" s="2">
        <v>49.8</v>
      </c>
      <c r="R23" t="s">
        <v>58</v>
      </c>
      <c r="S23" s="3">
        <v>0.7</v>
      </c>
      <c r="T23">
        <v>0</v>
      </c>
      <c r="U23" t="s">
        <v>60</v>
      </c>
      <c r="V23" t="s">
        <v>248</v>
      </c>
      <c r="W23">
        <v>0</v>
      </c>
      <c r="X23" s="2">
        <v>0</v>
      </c>
      <c r="Y23" s="2">
        <v>34.86</v>
      </c>
      <c r="Z23" s="2">
        <v>0</v>
      </c>
      <c r="AA23" s="2">
        <v>0</v>
      </c>
      <c r="AB23" s="2">
        <v>0</v>
      </c>
    </row>
    <row r="24" spans="1:28" x14ac:dyDescent="0.25">
      <c r="A24">
        <v>2033200319</v>
      </c>
      <c r="B24" t="s">
        <v>758</v>
      </c>
      <c r="C24" t="s">
        <v>319</v>
      </c>
      <c r="D24" t="str">
        <f t="shared" si="1"/>
        <v>PAMELA CERASANI</v>
      </c>
      <c r="E24" t="s">
        <v>89</v>
      </c>
      <c r="F24" t="s">
        <v>194</v>
      </c>
      <c r="G24" t="s">
        <v>195</v>
      </c>
      <c r="H24" t="s">
        <v>195</v>
      </c>
      <c r="I24" s="8" t="s">
        <v>1101</v>
      </c>
      <c r="J24" t="s">
        <v>368</v>
      </c>
      <c r="K24" t="s">
        <v>369</v>
      </c>
      <c r="L24" t="str">
        <f t="shared" si="0"/>
        <v>ANDREA PETRUNGARO</v>
      </c>
      <c r="M24" t="s">
        <v>1134</v>
      </c>
      <c r="N24" t="s">
        <v>57</v>
      </c>
      <c r="O24" s="1">
        <v>46054</v>
      </c>
      <c r="P24" s="1">
        <v>46235</v>
      </c>
      <c r="Q24" s="2">
        <v>78.569999999999993</v>
      </c>
      <c r="R24" t="s">
        <v>58</v>
      </c>
      <c r="S24" s="3">
        <v>0.7</v>
      </c>
      <c r="T24">
        <v>0</v>
      </c>
      <c r="U24" t="s">
        <v>60</v>
      </c>
      <c r="V24" t="s">
        <v>248</v>
      </c>
      <c r="W24">
        <v>0</v>
      </c>
      <c r="X24" s="2">
        <v>0</v>
      </c>
      <c r="Y24" s="2">
        <v>55</v>
      </c>
      <c r="Z24" s="2">
        <v>0</v>
      </c>
      <c r="AA24" s="2">
        <v>0</v>
      </c>
      <c r="AB24" s="2">
        <v>0</v>
      </c>
    </row>
    <row r="25" spans="1:28" x14ac:dyDescent="0.25">
      <c r="A25">
        <v>2033363507</v>
      </c>
      <c r="B25" t="s">
        <v>799</v>
      </c>
      <c r="C25" t="s">
        <v>800</v>
      </c>
      <c r="D25" t="str">
        <f t="shared" si="1"/>
        <v>MANJIT KAUR</v>
      </c>
      <c r="E25" t="s">
        <v>89</v>
      </c>
      <c r="F25" t="s">
        <v>194</v>
      </c>
      <c r="G25" t="s">
        <v>195</v>
      </c>
      <c r="H25" t="s">
        <v>195</v>
      </c>
      <c r="I25" s="8" t="s">
        <v>1101</v>
      </c>
      <c r="J25" t="s">
        <v>368</v>
      </c>
      <c r="K25" t="s">
        <v>369</v>
      </c>
      <c r="L25" t="str">
        <f t="shared" si="0"/>
        <v>ANDREA PETRUNGARO</v>
      </c>
      <c r="M25" t="s">
        <v>1134</v>
      </c>
      <c r="N25" t="s">
        <v>57</v>
      </c>
      <c r="O25" s="1">
        <v>46054</v>
      </c>
      <c r="P25" s="1">
        <v>46235</v>
      </c>
      <c r="Q25" s="2">
        <v>96</v>
      </c>
      <c r="R25" t="s">
        <v>58</v>
      </c>
      <c r="S25" s="3">
        <v>0.7</v>
      </c>
      <c r="T25">
        <v>0</v>
      </c>
      <c r="U25" t="s">
        <v>60</v>
      </c>
      <c r="V25" t="s">
        <v>248</v>
      </c>
      <c r="W25">
        <v>0</v>
      </c>
      <c r="X25" s="2">
        <v>0</v>
      </c>
      <c r="Y25" s="2">
        <v>67.2</v>
      </c>
      <c r="Z25" s="2">
        <v>0</v>
      </c>
      <c r="AA25" s="2">
        <v>0</v>
      </c>
      <c r="AB25" s="2">
        <v>0</v>
      </c>
    </row>
    <row r="26" spans="1:28" x14ac:dyDescent="0.25">
      <c r="A26">
        <v>2033286913</v>
      </c>
      <c r="B26" t="s">
        <v>517</v>
      </c>
      <c r="C26" t="s">
        <v>518</v>
      </c>
      <c r="D26" t="str">
        <f t="shared" si="1"/>
        <v>RALF ESPINA</v>
      </c>
      <c r="E26" t="s">
        <v>89</v>
      </c>
      <c r="F26" t="s">
        <v>188</v>
      </c>
      <c r="G26" t="s">
        <v>191</v>
      </c>
      <c r="H26" t="s">
        <v>190</v>
      </c>
      <c r="I26" s="8" t="s">
        <v>1092</v>
      </c>
      <c r="J26" t="s">
        <v>90</v>
      </c>
      <c r="K26" t="s">
        <v>91</v>
      </c>
      <c r="L26" t="str">
        <f t="shared" si="0"/>
        <v>Andrew Choi</v>
      </c>
      <c r="M26" t="s">
        <v>1134</v>
      </c>
      <c r="N26" t="s">
        <v>57</v>
      </c>
      <c r="O26" s="1">
        <v>46054</v>
      </c>
      <c r="P26" s="1">
        <v>46235</v>
      </c>
      <c r="Q26" s="2">
        <v>7.09</v>
      </c>
      <c r="R26" t="s">
        <v>58</v>
      </c>
      <c r="S26" s="3">
        <v>0.38</v>
      </c>
      <c r="T26">
        <v>0</v>
      </c>
      <c r="U26" t="s">
        <v>60</v>
      </c>
      <c r="V26" t="s">
        <v>248</v>
      </c>
      <c r="W26">
        <v>0</v>
      </c>
      <c r="X26" s="2">
        <v>0</v>
      </c>
      <c r="Y26" s="2">
        <v>2.69</v>
      </c>
      <c r="Z26" s="2">
        <v>0</v>
      </c>
      <c r="AA26" s="2">
        <v>0</v>
      </c>
      <c r="AB26" s="2">
        <v>0</v>
      </c>
    </row>
    <row r="27" spans="1:28" x14ac:dyDescent="0.25">
      <c r="A27">
        <v>2033286912</v>
      </c>
      <c r="B27" t="s">
        <v>517</v>
      </c>
      <c r="C27" t="s">
        <v>518</v>
      </c>
      <c r="D27" t="str">
        <f t="shared" si="1"/>
        <v>RALF ESPINA</v>
      </c>
      <c r="E27" t="s">
        <v>89</v>
      </c>
      <c r="F27" t="s">
        <v>188</v>
      </c>
      <c r="G27" t="s">
        <v>190</v>
      </c>
      <c r="H27" t="s">
        <v>190</v>
      </c>
      <c r="I27" s="8" t="s">
        <v>1092</v>
      </c>
      <c r="J27" t="s">
        <v>90</v>
      </c>
      <c r="K27" t="s">
        <v>91</v>
      </c>
      <c r="L27" t="str">
        <f t="shared" si="0"/>
        <v>Andrew Choi</v>
      </c>
      <c r="M27" t="s">
        <v>1134</v>
      </c>
      <c r="N27" t="s">
        <v>57</v>
      </c>
      <c r="O27" s="1">
        <v>46054</v>
      </c>
      <c r="P27" s="1">
        <v>46235</v>
      </c>
      <c r="Q27" s="2">
        <v>334.65</v>
      </c>
      <c r="R27" t="s">
        <v>58</v>
      </c>
      <c r="S27" s="3">
        <v>0.38</v>
      </c>
      <c r="T27">
        <v>0</v>
      </c>
      <c r="U27" t="s">
        <v>60</v>
      </c>
      <c r="V27" t="s">
        <v>248</v>
      </c>
      <c r="W27">
        <v>0</v>
      </c>
      <c r="X27" s="2">
        <v>0</v>
      </c>
      <c r="Y27" s="2">
        <v>127.17</v>
      </c>
      <c r="Z27" s="2">
        <v>0</v>
      </c>
      <c r="AA27" s="2">
        <v>0</v>
      </c>
      <c r="AB27" s="2">
        <v>0</v>
      </c>
    </row>
    <row r="28" spans="1:28" x14ac:dyDescent="0.25">
      <c r="A28">
        <v>2034373765</v>
      </c>
      <c r="B28" t="s">
        <v>565</v>
      </c>
      <c r="C28" t="s">
        <v>566</v>
      </c>
      <c r="D28" t="str">
        <f t="shared" si="1"/>
        <v>DYLAN BRANIA</v>
      </c>
      <c r="E28" t="s">
        <v>89</v>
      </c>
      <c r="F28" t="s">
        <v>69</v>
      </c>
      <c r="G28" t="s">
        <v>79</v>
      </c>
      <c r="H28" t="s">
        <v>1080</v>
      </c>
      <c r="I28" s="8" t="s">
        <v>1092</v>
      </c>
      <c r="J28" t="s">
        <v>90</v>
      </c>
      <c r="K28" t="s">
        <v>91</v>
      </c>
      <c r="L28" t="str">
        <f t="shared" si="0"/>
        <v>Andrew Choi</v>
      </c>
      <c r="M28" t="s">
        <v>1134</v>
      </c>
      <c r="N28" t="s">
        <v>57</v>
      </c>
      <c r="O28" s="1">
        <v>46140</v>
      </c>
      <c r="P28" s="1">
        <v>46231</v>
      </c>
      <c r="Q28" s="2">
        <v>42.82</v>
      </c>
      <c r="R28" t="s">
        <v>58</v>
      </c>
      <c r="S28" s="3">
        <v>0.9</v>
      </c>
      <c r="T28">
        <v>0</v>
      </c>
      <c r="U28" t="s">
        <v>60</v>
      </c>
      <c r="V28" t="s">
        <v>248</v>
      </c>
      <c r="W28">
        <v>0</v>
      </c>
      <c r="X28" s="2">
        <v>0</v>
      </c>
      <c r="Y28" s="2">
        <v>38.54</v>
      </c>
      <c r="Z28" s="2">
        <v>0</v>
      </c>
      <c r="AA28" s="2">
        <v>0</v>
      </c>
      <c r="AB28" s="2">
        <v>0</v>
      </c>
    </row>
    <row r="29" spans="1:28" x14ac:dyDescent="0.25">
      <c r="A29">
        <v>2033286914</v>
      </c>
      <c r="B29" t="s">
        <v>517</v>
      </c>
      <c r="C29" t="s">
        <v>518</v>
      </c>
      <c r="D29" t="str">
        <f t="shared" si="1"/>
        <v>RALF ESPINA</v>
      </c>
      <c r="E29" t="s">
        <v>89</v>
      </c>
      <c r="F29" t="s">
        <v>69</v>
      </c>
      <c r="G29" t="s">
        <v>79</v>
      </c>
      <c r="H29" t="s">
        <v>1080</v>
      </c>
      <c r="I29" s="8" t="s">
        <v>1092</v>
      </c>
      <c r="J29" t="s">
        <v>90</v>
      </c>
      <c r="K29" t="s">
        <v>91</v>
      </c>
      <c r="L29" t="str">
        <f t="shared" si="0"/>
        <v>Andrew Choi</v>
      </c>
      <c r="M29" t="s">
        <v>1134</v>
      </c>
      <c r="N29" t="s">
        <v>57</v>
      </c>
      <c r="O29" s="1">
        <v>46054</v>
      </c>
      <c r="P29" s="1">
        <v>46235</v>
      </c>
      <c r="Q29" s="2">
        <v>53.48</v>
      </c>
      <c r="R29" t="s">
        <v>58</v>
      </c>
      <c r="S29" s="3">
        <v>0.9</v>
      </c>
      <c r="T29">
        <v>0</v>
      </c>
      <c r="U29" t="s">
        <v>60</v>
      </c>
      <c r="V29" t="s">
        <v>248</v>
      </c>
      <c r="W29">
        <v>0</v>
      </c>
      <c r="X29" s="2">
        <v>0</v>
      </c>
      <c r="Y29" s="2">
        <v>48.13</v>
      </c>
      <c r="Z29" s="2">
        <v>0</v>
      </c>
      <c r="AA29" s="2">
        <v>0</v>
      </c>
      <c r="AB29" s="2">
        <v>0</v>
      </c>
    </row>
    <row r="30" spans="1:28" x14ac:dyDescent="0.25">
      <c r="A30">
        <v>2033406946</v>
      </c>
      <c r="B30" t="s">
        <v>549</v>
      </c>
      <c r="C30" t="s">
        <v>550</v>
      </c>
      <c r="D30" t="str">
        <f t="shared" si="1"/>
        <v>JEANNE KANG</v>
      </c>
      <c r="E30" t="s">
        <v>89</v>
      </c>
      <c r="F30" t="s">
        <v>69</v>
      </c>
      <c r="G30" t="s">
        <v>79</v>
      </c>
      <c r="H30" t="s">
        <v>1080</v>
      </c>
      <c r="I30" s="8" t="s">
        <v>1092</v>
      </c>
      <c r="J30" t="s">
        <v>90</v>
      </c>
      <c r="K30" t="s">
        <v>91</v>
      </c>
      <c r="L30" t="str">
        <f t="shared" si="0"/>
        <v>Andrew Choi</v>
      </c>
      <c r="M30" t="s">
        <v>1134</v>
      </c>
      <c r="N30" t="s">
        <v>57</v>
      </c>
      <c r="O30" s="1">
        <v>46054</v>
      </c>
      <c r="P30" s="1">
        <v>46235</v>
      </c>
      <c r="Q30" s="2">
        <v>60.66</v>
      </c>
      <c r="R30" t="s">
        <v>58</v>
      </c>
      <c r="S30" s="3">
        <v>0.9</v>
      </c>
      <c r="T30">
        <v>0</v>
      </c>
      <c r="U30" t="s">
        <v>60</v>
      </c>
      <c r="V30" t="s">
        <v>248</v>
      </c>
      <c r="W30">
        <v>0</v>
      </c>
      <c r="X30" s="2">
        <v>0</v>
      </c>
      <c r="Y30" s="2">
        <v>54.59</v>
      </c>
      <c r="Z30" s="2">
        <v>0</v>
      </c>
      <c r="AA30" s="2">
        <v>0</v>
      </c>
      <c r="AB30" s="2">
        <v>0</v>
      </c>
    </row>
    <row r="31" spans="1:28" x14ac:dyDescent="0.25">
      <c r="A31">
        <v>2033259945</v>
      </c>
      <c r="B31" t="s">
        <v>513</v>
      </c>
      <c r="C31" t="s">
        <v>514</v>
      </c>
      <c r="D31" t="str">
        <f t="shared" si="1"/>
        <v>ELMA DULANG</v>
      </c>
      <c r="E31" t="s">
        <v>89</v>
      </c>
      <c r="F31" t="s">
        <v>69</v>
      </c>
      <c r="G31" t="s">
        <v>79</v>
      </c>
      <c r="H31" t="s">
        <v>1080</v>
      </c>
      <c r="I31" s="8" t="s">
        <v>1092</v>
      </c>
      <c r="J31" t="s">
        <v>90</v>
      </c>
      <c r="K31" t="s">
        <v>91</v>
      </c>
      <c r="L31" t="str">
        <f t="shared" si="0"/>
        <v>Andrew Choi</v>
      </c>
      <c r="M31" t="s">
        <v>1134</v>
      </c>
      <c r="N31" t="s">
        <v>57</v>
      </c>
      <c r="O31" s="1">
        <v>46054</v>
      </c>
      <c r="P31" s="1">
        <v>46235</v>
      </c>
      <c r="Q31" s="2">
        <v>61.54</v>
      </c>
      <c r="R31" t="s">
        <v>58</v>
      </c>
      <c r="S31" s="3">
        <v>0.9</v>
      </c>
      <c r="T31">
        <v>0</v>
      </c>
      <c r="U31" t="s">
        <v>60</v>
      </c>
      <c r="V31" t="s">
        <v>248</v>
      </c>
      <c r="W31">
        <v>0</v>
      </c>
      <c r="X31" s="2">
        <v>0</v>
      </c>
      <c r="Y31" s="2">
        <v>55.39</v>
      </c>
      <c r="Z31" s="2">
        <v>0</v>
      </c>
      <c r="AA31" s="2">
        <v>0</v>
      </c>
      <c r="AB31" s="2">
        <v>0</v>
      </c>
    </row>
    <row r="32" spans="1:28" x14ac:dyDescent="0.25">
      <c r="A32">
        <v>2033222450</v>
      </c>
      <c r="B32" t="s">
        <v>500</v>
      </c>
      <c r="C32" t="s">
        <v>182</v>
      </c>
      <c r="D32" t="str">
        <f t="shared" si="1"/>
        <v>JACOB HARRINGTON</v>
      </c>
      <c r="E32" t="s">
        <v>89</v>
      </c>
      <c r="F32" t="s">
        <v>69</v>
      </c>
      <c r="G32" t="s">
        <v>79</v>
      </c>
      <c r="H32" t="s">
        <v>1080</v>
      </c>
      <c r="I32" s="8" t="s">
        <v>1092</v>
      </c>
      <c r="J32" t="s">
        <v>90</v>
      </c>
      <c r="K32" t="s">
        <v>91</v>
      </c>
      <c r="L32" t="str">
        <f t="shared" si="0"/>
        <v>Andrew Choi</v>
      </c>
      <c r="M32" t="s">
        <v>1134</v>
      </c>
      <c r="N32" t="s">
        <v>57</v>
      </c>
      <c r="O32" s="1">
        <v>46054</v>
      </c>
      <c r="P32" s="1">
        <v>46235</v>
      </c>
      <c r="Q32" s="2">
        <v>73.27</v>
      </c>
      <c r="R32" t="s">
        <v>58</v>
      </c>
      <c r="S32" s="3">
        <v>0.9</v>
      </c>
      <c r="T32">
        <v>0</v>
      </c>
      <c r="U32" t="s">
        <v>60</v>
      </c>
      <c r="V32" t="s">
        <v>248</v>
      </c>
      <c r="W32">
        <v>0</v>
      </c>
      <c r="X32" s="2">
        <v>0</v>
      </c>
      <c r="Y32" s="2">
        <v>65.94</v>
      </c>
      <c r="Z32" s="2">
        <v>0</v>
      </c>
      <c r="AA32" s="2">
        <v>0</v>
      </c>
      <c r="AB32" s="2">
        <v>0</v>
      </c>
    </row>
    <row r="33" spans="1:53" x14ac:dyDescent="0.25">
      <c r="A33">
        <v>2033067683</v>
      </c>
      <c r="B33" t="s">
        <v>447</v>
      </c>
      <c r="C33" t="s">
        <v>365</v>
      </c>
      <c r="D33" t="str">
        <f t="shared" si="1"/>
        <v>DEANNA PALOIAN</v>
      </c>
      <c r="E33" t="s">
        <v>89</v>
      </c>
      <c r="F33" t="s">
        <v>69</v>
      </c>
      <c r="G33" t="s">
        <v>79</v>
      </c>
      <c r="H33" t="s">
        <v>1080</v>
      </c>
      <c r="I33" s="8" t="s">
        <v>1092</v>
      </c>
      <c r="J33" t="s">
        <v>90</v>
      </c>
      <c r="K33" t="s">
        <v>91</v>
      </c>
      <c r="L33" t="str">
        <f t="shared" si="0"/>
        <v>Andrew Choi</v>
      </c>
      <c r="M33" t="s">
        <v>1134</v>
      </c>
      <c r="N33" t="s">
        <v>57</v>
      </c>
      <c r="O33" s="1">
        <v>46054</v>
      </c>
      <c r="P33" s="1">
        <v>46235</v>
      </c>
      <c r="Q33" s="2">
        <v>100.13</v>
      </c>
      <c r="R33" t="s">
        <v>58</v>
      </c>
      <c r="S33" s="3">
        <v>0.9</v>
      </c>
      <c r="T33">
        <v>0</v>
      </c>
      <c r="U33" t="s">
        <v>60</v>
      </c>
      <c r="V33" t="s">
        <v>248</v>
      </c>
      <c r="W33">
        <v>0</v>
      </c>
      <c r="X33" s="2">
        <v>0</v>
      </c>
      <c r="Y33" s="2">
        <v>90.12</v>
      </c>
      <c r="Z33" s="2">
        <v>0</v>
      </c>
      <c r="AA33" s="2">
        <v>0</v>
      </c>
      <c r="AB33" s="2">
        <v>0</v>
      </c>
    </row>
    <row r="34" spans="1:53" x14ac:dyDescent="0.25">
      <c r="A34">
        <v>2033411379</v>
      </c>
      <c r="B34" t="s">
        <v>551</v>
      </c>
      <c r="C34" t="s">
        <v>552</v>
      </c>
      <c r="D34" t="str">
        <f t="shared" si="1"/>
        <v>MARK MURRAY</v>
      </c>
      <c r="E34" t="s">
        <v>89</v>
      </c>
      <c r="F34" t="s">
        <v>69</v>
      </c>
      <c r="G34" t="s">
        <v>79</v>
      </c>
      <c r="H34" t="s">
        <v>1080</v>
      </c>
      <c r="I34" s="8" t="s">
        <v>1092</v>
      </c>
      <c r="J34" t="s">
        <v>90</v>
      </c>
      <c r="K34" t="s">
        <v>91</v>
      </c>
      <c r="L34" t="str">
        <f t="shared" si="0"/>
        <v>Andrew Choi</v>
      </c>
      <c r="M34" t="s">
        <v>1134</v>
      </c>
      <c r="N34" t="s">
        <v>57</v>
      </c>
      <c r="O34" s="1">
        <v>46054</v>
      </c>
      <c r="P34" s="1">
        <v>46235</v>
      </c>
      <c r="Q34" s="2">
        <v>211.67</v>
      </c>
      <c r="R34" t="s">
        <v>58</v>
      </c>
      <c r="S34" s="3">
        <v>0.9</v>
      </c>
      <c r="T34">
        <v>0</v>
      </c>
      <c r="U34" t="s">
        <v>60</v>
      </c>
      <c r="V34" t="s">
        <v>248</v>
      </c>
      <c r="W34">
        <v>0</v>
      </c>
      <c r="X34" s="2">
        <v>0</v>
      </c>
      <c r="Y34" s="2">
        <v>190.5</v>
      </c>
      <c r="Z34" s="2">
        <v>0</v>
      </c>
      <c r="AA34" s="2">
        <v>0</v>
      </c>
      <c r="AB34" s="2">
        <v>0</v>
      </c>
    </row>
    <row r="35" spans="1:53" x14ac:dyDescent="0.25">
      <c r="A35">
        <v>2033384423</v>
      </c>
      <c r="B35" t="s">
        <v>539</v>
      </c>
      <c r="C35" t="s">
        <v>540</v>
      </c>
      <c r="D35" t="str">
        <f t="shared" si="1"/>
        <v>REBECCA CROCKETT</v>
      </c>
      <c r="E35" t="s">
        <v>89</v>
      </c>
      <c r="F35" t="s">
        <v>69</v>
      </c>
      <c r="G35" t="s">
        <v>79</v>
      </c>
      <c r="H35" t="s">
        <v>1080</v>
      </c>
      <c r="I35" s="8" t="s">
        <v>1092</v>
      </c>
      <c r="J35" t="s">
        <v>90</v>
      </c>
      <c r="K35" t="s">
        <v>91</v>
      </c>
      <c r="L35" t="str">
        <f t="shared" si="0"/>
        <v>Andrew Choi</v>
      </c>
      <c r="M35" t="s">
        <v>1134</v>
      </c>
      <c r="N35" t="s">
        <v>57</v>
      </c>
      <c r="O35" s="1">
        <v>46054</v>
      </c>
      <c r="P35" s="1">
        <v>46235</v>
      </c>
      <c r="Q35" s="2">
        <v>248.82</v>
      </c>
      <c r="R35" t="s">
        <v>58</v>
      </c>
      <c r="S35" s="3">
        <v>0.9</v>
      </c>
      <c r="T35">
        <v>0</v>
      </c>
      <c r="U35" t="s">
        <v>60</v>
      </c>
      <c r="V35" t="s">
        <v>248</v>
      </c>
      <c r="W35">
        <v>0</v>
      </c>
      <c r="X35" s="2">
        <v>0</v>
      </c>
      <c r="Y35" s="2">
        <v>223.94</v>
      </c>
      <c r="Z35" s="2">
        <v>0</v>
      </c>
      <c r="AA35" s="2">
        <v>0</v>
      </c>
      <c r="AB35" s="2">
        <v>0</v>
      </c>
    </row>
    <row r="36" spans="1:53" x14ac:dyDescent="0.25">
      <c r="A36">
        <v>2033053980</v>
      </c>
      <c r="B36" t="s">
        <v>442</v>
      </c>
      <c r="C36" t="s">
        <v>443</v>
      </c>
      <c r="D36" t="str">
        <f t="shared" si="1"/>
        <v>HEIDI NIKOLICH</v>
      </c>
      <c r="E36" t="s">
        <v>332</v>
      </c>
      <c r="F36" t="s">
        <v>69</v>
      </c>
      <c r="G36" t="s">
        <v>79</v>
      </c>
      <c r="H36" t="s">
        <v>1080</v>
      </c>
      <c r="I36" s="8" t="s">
        <v>1092</v>
      </c>
      <c r="J36" t="s">
        <v>90</v>
      </c>
      <c r="K36" t="s">
        <v>91</v>
      </c>
      <c r="L36" t="str">
        <f t="shared" si="0"/>
        <v>Andrew Choi</v>
      </c>
      <c r="M36" t="s">
        <v>1134</v>
      </c>
      <c r="N36" t="s">
        <v>57</v>
      </c>
      <c r="O36" s="1">
        <v>46054</v>
      </c>
      <c r="P36" s="1">
        <v>46235</v>
      </c>
      <c r="Q36" s="2">
        <v>306.13</v>
      </c>
      <c r="R36" t="s">
        <v>58</v>
      </c>
      <c r="S36" s="3">
        <v>0.9</v>
      </c>
      <c r="T36">
        <v>0</v>
      </c>
      <c r="U36" t="s">
        <v>60</v>
      </c>
      <c r="V36" t="s">
        <v>248</v>
      </c>
      <c r="W36">
        <v>0</v>
      </c>
      <c r="X36" s="2">
        <v>0</v>
      </c>
      <c r="Y36" s="2">
        <v>275.52</v>
      </c>
      <c r="Z36" s="2">
        <v>0</v>
      </c>
      <c r="AA36" s="2">
        <v>0</v>
      </c>
      <c r="AB36" s="2">
        <v>0</v>
      </c>
    </row>
    <row r="37" spans="1:53" x14ac:dyDescent="0.25">
      <c r="A37">
        <v>2033365520</v>
      </c>
      <c r="B37" t="s">
        <v>532</v>
      </c>
      <c r="C37" t="s">
        <v>533</v>
      </c>
      <c r="D37" t="str">
        <f t="shared" si="1"/>
        <v>JULIE NAGY</v>
      </c>
      <c r="E37" t="s">
        <v>89</v>
      </c>
      <c r="F37" t="s">
        <v>69</v>
      </c>
      <c r="G37" t="s">
        <v>79</v>
      </c>
      <c r="H37" t="s">
        <v>1080</v>
      </c>
      <c r="I37" s="8" t="s">
        <v>1092</v>
      </c>
      <c r="J37" t="s">
        <v>90</v>
      </c>
      <c r="K37" t="s">
        <v>91</v>
      </c>
      <c r="L37" t="str">
        <f t="shared" si="0"/>
        <v>Andrew Choi</v>
      </c>
      <c r="M37" t="s">
        <v>1134</v>
      </c>
      <c r="N37" t="s">
        <v>57</v>
      </c>
      <c r="O37" s="1">
        <v>46054</v>
      </c>
      <c r="P37" s="1">
        <v>46235</v>
      </c>
      <c r="Q37" s="2">
        <v>349.25</v>
      </c>
      <c r="R37" t="s">
        <v>58</v>
      </c>
      <c r="S37" s="3">
        <v>0.9</v>
      </c>
      <c r="T37">
        <v>0</v>
      </c>
      <c r="U37" t="s">
        <v>60</v>
      </c>
      <c r="V37" t="s">
        <v>248</v>
      </c>
      <c r="W37">
        <v>0</v>
      </c>
      <c r="X37" s="2">
        <v>0</v>
      </c>
      <c r="Y37" s="2">
        <v>314.32</v>
      </c>
      <c r="Z37" s="2">
        <v>0</v>
      </c>
      <c r="AA37" s="2">
        <v>0</v>
      </c>
      <c r="AB37" s="2">
        <v>0</v>
      </c>
    </row>
    <row r="38" spans="1:53" x14ac:dyDescent="0.25">
      <c r="A38">
        <v>2033222448</v>
      </c>
      <c r="B38" t="s">
        <v>500</v>
      </c>
      <c r="C38" t="s">
        <v>182</v>
      </c>
      <c r="D38" t="str">
        <f t="shared" si="1"/>
        <v>JACOB HARRINGTON</v>
      </c>
      <c r="E38" t="s">
        <v>89</v>
      </c>
      <c r="F38" t="s">
        <v>194</v>
      </c>
      <c r="G38" t="s">
        <v>228</v>
      </c>
      <c r="H38" t="s">
        <v>228</v>
      </c>
      <c r="I38" s="8" t="s">
        <v>1092</v>
      </c>
      <c r="J38" t="s">
        <v>90</v>
      </c>
      <c r="K38" t="s">
        <v>91</v>
      </c>
      <c r="L38" t="str">
        <f t="shared" si="0"/>
        <v>Andrew Choi</v>
      </c>
      <c r="M38" t="s">
        <v>1134</v>
      </c>
      <c r="N38" t="s">
        <v>57</v>
      </c>
      <c r="O38" s="1">
        <v>46054</v>
      </c>
      <c r="P38" s="1">
        <v>46235</v>
      </c>
      <c r="Q38" s="2">
        <v>32.64</v>
      </c>
      <c r="R38" t="s">
        <v>58</v>
      </c>
      <c r="S38" s="3">
        <v>0.42</v>
      </c>
      <c r="T38">
        <v>0</v>
      </c>
      <c r="U38" t="s">
        <v>60</v>
      </c>
      <c r="V38" t="s">
        <v>248</v>
      </c>
      <c r="W38">
        <v>0</v>
      </c>
      <c r="X38" s="2">
        <v>0</v>
      </c>
      <c r="Y38" s="2">
        <v>13.71</v>
      </c>
      <c r="Z38" s="2">
        <v>0</v>
      </c>
      <c r="AA38" s="2">
        <v>0</v>
      </c>
      <c r="AB38" s="2">
        <v>0</v>
      </c>
    </row>
    <row r="39" spans="1:53" x14ac:dyDescent="0.25">
      <c r="A39">
        <v>2033286916</v>
      </c>
      <c r="B39" t="s">
        <v>517</v>
      </c>
      <c r="C39" t="s">
        <v>518</v>
      </c>
      <c r="D39" t="str">
        <f t="shared" si="1"/>
        <v>RALF ESPINA</v>
      </c>
      <c r="E39" t="s">
        <v>89</v>
      </c>
      <c r="F39" t="s">
        <v>149</v>
      </c>
      <c r="G39" t="s">
        <v>150</v>
      </c>
      <c r="H39" t="s">
        <v>150</v>
      </c>
      <c r="I39" s="8" t="s">
        <v>1092</v>
      </c>
      <c r="J39" t="s">
        <v>90</v>
      </c>
      <c r="K39" t="s">
        <v>91</v>
      </c>
      <c r="L39" t="str">
        <f t="shared" si="0"/>
        <v>Andrew Choi</v>
      </c>
      <c r="M39" t="s">
        <v>1134</v>
      </c>
      <c r="N39" t="s">
        <v>57</v>
      </c>
      <c r="O39" s="1">
        <v>46054</v>
      </c>
      <c r="P39" s="1">
        <v>46235</v>
      </c>
      <c r="Q39" s="2">
        <v>15</v>
      </c>
      <c r="R39" t="s">
        <v>58</v>
      </c>
      <c r="S39" s="3">
        <v>0.38</v>
      </c>
      <c r="T39">
        <v>0</v>
      </c>
      <c r="U39" t="s">
        <v>60</v>
      </c>
      <c r="V39" t="s">
        <v>248</v>
      </c>
      <c r="W39">
        <v>0</v>
      </c>
      <c r="X39" s="2">
        <v>0</v>
      </c>
      <c r="Y39" s="2">
        <v>5.7</v>
      </c>
      <c r="Z39" s="2">
        <v>0</v>
      </c>
      <c r="AA39" s="2">
        <v>0</v>
      </c>
      <c r="AB39" s="2">
        <v>0</v>
      </c>
    </row>
    <row r="40" spans="1:53" x14ac:dyDescent="0.25">
      <c r="A40">
        <v>2033053982</v>
      </c>
      <c r="B40" t="s">
        <v>442</v>
      </c>
      <c r="C40" t="s">
        <v>443</v>
      </c>
      <c r="D40" t="str">
        <f t="shared" si="1"/>
        <v>HEIDI NIKOLICH</v>
      </c>
      <c r="E40" t="s">
        <v>332</v>
      </c>
      <c r="F40" t="s">
        <v>149</v>
      </c>
      <c r="G40" t="s">
        <v>602</v>
      </c>
      <c r="H40" t="s">
        <v>602</v>
      </c>
      <c r="I40" s="8" t="s">
        <v>1092</v>
      </c>
      <c r="J40" t="s">
        <v>90</v>
      </c>
      <c r="K40" t="s">
        <v>91</v>
      </c>
      <c r="L40" t="str">
        <f t="shared" si="0"/>
        <v>Andrew Choi</v>
      </c>
      <c r="M40" t="s">
        <v>1134</v>
      </c>
      <c r="N40" t="s">
        <v>57</v>
      </c>
      <c r="O40" s="1">
        <v>46054</v>
      </c>
      <c r="P40" s="1">
        <v>46235</v>
      </c>
      <c r="Q40" s="2">
        <v>15</v>
      </c>
      <c r="R40" t="s">
        <v>58</v>
      </c>
      <c r="S40" s="3">
        <v>0.38</v>
      </c>
      <c r="T40">
        <v>0</v>
      </c>
      <c r="U40" t="s">
        <v>60</v>
      </c>
      <c r="V40" t="s">
        <v>248</v>
      </c>
      <c r="W40">
        <v>0</v>
      </c>
      <c r="X40" s="2">
        <v>0</v>
      </c>
      <c r="Y40" s="2">
        <v>5.7</v>
      </c>
      <c r="Z40" s="2">
        <v>0</v>
      </c>
      <c r="AA40" s="2">
        <v>0</v>
      </c>
      <c r="AB40" s="2">
        <v>0</v>
      </c>
    </row>
    <row r="41" spans="1:53" x14ac:dyDescent="0.25">
      <c r="A41">
        <v>2033053981</v>
      </c>
      <c r="B41" t="s">
        <v>442</v>
      </c>
      <c r="C41" t="s">
        <v>443</v>
      </c>
      <c r="D41" t="str">
        <f t="shared" si="1"/>
        <v>HEIDI NIKOLICH</v>
      </c>
      <c r="E41" t="s">
        <v>332</v>
      </c>
      <c r="F41" t="s">
        <v>188</v>
      </c>
      <c r="G41" t="s">
        <v>189</v>
      </c>
      <c r="H41" t="s">
        <v>189</v>
      </c>
      <c r="I41" s="8" t="s">
        <v>1092</v>
      </c>
      <c r="J41" t="s">
        <v>90</v>
      </c>
      <c r="K41" t="s">
        <v>91</v>
      </c>
      <c r="L41" t="str">
        <f t="shared" si="0"/>
        <v>Andrew Choi</v>
      </c>
      <c r="M41" t="s">
        <v>1134</v>
      </c>
      <c r="N41" t="s">
        <v>57</v>
      </c>
      <c r="O41" s="1">
        <v>46054</v>
      </c>
      <c r="P41" s="1">
        <v>46235</v>
      </c>
      <c r="Q41" s="2">
        <v>25.16</v>
      </c>
      <c r="R41" t="s">
        <v>58</v>
      </c>
      <c r="S41" s="3">
        <v>0.38</v>
      </c>
      <c r="T41">
        <v>0</v>
      </c>
      <c r="U41" t="s">
        <v>60</v>
      </c>
      <c r="V41" t="s">
        <v>248</v>
      </c>
      <c r="W41">
        <v>0</v>
      </c>
      <c r="X41" s="2">
        <v>0</v>
      </c>
      <c r="Y41" s="2">
        <v>9.56</v>
      </c>
      <c r="Z41" s="2">
        <v>0</v>
      </c>
      <c r="AA41" s="2">
        <v>0</v>
      </c>
      <c r="AB41" s="2">
        <v>0</v>
      </c>
    </row>
    <row r="42" spans="1:53" x14ac:dyDescent="0.25">
      <c r="A42">
        <v>2026809780</v>
      </c>
      <c r="B42" t="s">
        <v>202</v>
      </c>
      <c r="C42" t="s">
        <v>920</v>
      </c>
      <c r="D42" t="str">
        <f t="shared" si="1"/>
        <v>ALAN LEWIS</v>
      </c>
      <c r="E42" t="s">
        <v>89</v>
      </c>
      <c r="F42" t="s">
        <v>194</v>
      </c>
      <c r="G42" t="s">
        <v>195</v>
      </c>
      <c r="H42" t="s">
        <v>195</v>
      </c>
      <c r="I42" s="8">
        <v>7470776</v>
      </c>
      <c r="J42" t="s">
        <v>90</v>
      </c>
      <c r="K42" t="s">
        <v>91</v>
      </c>
      <c r="L42" t="str">
        <f t="shared" si="0"/>
        <v>Andrew Choi</v>
      </c>
      <c r="M42" t="s">
        <v>1133</v>
      </c>
      <c r="N42" t="s">
        <v>57</v>
      </c>
      <c r="O42" s="1">
        <v>45689</v>
      </c>
      <c r="P42" s="1">
        <v>46235</v>
      </c>
      <c r="Q42" s="2">
        <v>257.39999999999998</v>
      </c>
      <c r="R42" t="s">
        <v>58</v>
      </c>
      <c r="S42" s="3">
        <v>0.15</v>
      </c>
      <c r="T42">
        <v>0</v>
      </c>
      <c r="U42" t="s">
        <v>247</v>
      </c>
      <c r="V42" t="s">
        <v>248</v>
      </c>
      <c r="W42">
        <v>0</v>
      </c>
      <c r="X42" s="2">
        <v>0</v>
      </c>
      <c r="Y42" s="2">
        <v>38.61</v>
      </c>
      <c r="Z42" s="2">
        <v>38.61</v>
      </c>
      <c r="AA42" s="2">
        <v>38.61</v>
      </c>
      <c r="AB42" s="2">
        <v>0</v>
      </c>
    </row>
    <row r="43" spans="1:53" x14ac:dyDescent="0.25">
      <c r="A43">
        <v>2033148642</v>
      </c>
      <c r="B43" t="s">
        <v>738</v>
      </c>
      <c r="C43" t="s">
        <v>739</v>
      </c>
      <c r="D43" t="str">
        <f t="shared" si="1"/>
        <v>LIEZL TEHAN</v>
      </c>
      <c r="E43" t="s">
        <v>89</v>
      </c>
      <c r="F43" t="s">
        <v>194</v>
      </c>
      <c r="G43" t="s">
        <v>195</v>
      </c>
      <c r="H43" t="s">
        <v>195</v>
      </c>
      <c r="I43" s="8" t="s">
        <v>1092</v>
      </c>
      <c r="J43" t="s">
        <v>90</v>
      </c>
      <c r="K43" t="s">
        <v>91</v>
      </c>
      <c r="L43" t="str">
        <f t="shared" si="0"/>
        <v>Andrew Choi</v>
      </c>
      <c r="M43" t="s">
        <v>1134</v>
      </c>
      <c r="N43" t="s">
        <v>57</v>
      </c>
      <c r="O43" s="1">
        <v>46054</v>
      </c>
      <c r="P43" s="1">
        <v>46235</v>
      </c>
      <c r="Q43" s="2">
        <v>11.5</v>
      </c>
      <c r="R43" t="s">
        <v>58</v>
      </c>
      <c r="S43" s="3">
        <v>0.7</v>
      </c>
      <c r="T43">
        <v>0</v>
      </c>
      <c r="U43" t="s">
        <v>60</v>
      </c>
      <c r="V43" t="s">
        <v>248</v>
      </c>
      <c r="W43">
        <v>0</v>
      </c>
      <c r="X43" s="2">
        <v>0</v>
      </c>
      <c r="Y43" s="2">
        <v>8.0500000000000007</v>
      </c>
      <c r="Z43" s="2">
        <v>0</v>
      </c>
      <c r="AA43" s="2">
        <v>0</v>
      </c>
      <c r="AB43" s="2">
        <v>0</v>
      </c>
    </row>
    <row r="44" spans="1:53" x14ac:dyDescent="0.25">
      <c r="A44">
        <v>2033259944</v>
      </c>
      <c r="B44" t="s">
        <v>513</v>
      </c>
      <c r="C44" t="s">
        <v>514</v>
      </c>
      <c r="D44" t="str">
        <f t="shared" si="1"/>
        <v>ELMA DULANG</v>
      </c>
      <c r="E44" t="s">
        <v>89</v>
      </c>
      <c r="F44" t="s">
        <v>194</v>
      </c>
      <c r="G44" t="s">
        <v>195</v>
      </c>
      <c r="H44" t="s">
        <v>195</v>
      </c>
      <c r="I44" s="8" t="s">
        <v>1092</v>
      </c>
      <c r="J44" t="s">
        <v>90</v>
      </c>
      <c r="K44" t="s">
        <v>91</v>
      </c>
      <c r="L44" t="str">
        <f t="shared" si="0"/>
        <v>Andrew Choi</v>
      </c>
      <c r="M44" t="s">
        <v>1134</v>
      </c>
      <c r="N44" t="s">
        <v>57</v>
      </c>
      <c r="O44" s="1">
        <v>46054</v>
      </c>
      <c r="P44" s="1">
        <v>46235</v>
      </c>
      <c r="Q44" s="2">
        <v>11.5</v>
      </c>
      <c r="R44" t="s">
        <v>58</v>
      </c>
      <c r="S44" s="3">
        <v>0.7</v>
      </c>
      <c r="T44">
        <v>0</v>
      </c>
      <c r="U44" t="s">
        <v>60</v>
      </c>
      <c r="V44" t="s">
        <v>248</v>
      </c>
      <c r="W44">
        <v>0</v>
      </c>
      <c r="X44" s="2">
        <v>0</v>
      </c>
      <c r="Y44" s="2">
        <v>8.0500000000000007</v>
      </c>
      <c r="Z44" s="2">
        <v>0</v>
      </c>
      <c r="AA44" s="2">
        <v>0</v>
      </c>
      <c r="AB44" s="2">
        <v>0</v>
      </c>
    </row>
    <row r="45" spans="1:53" x14ac:dyDescent="0.25">
      <c r="A45">
        <v>2033285976</v>
      </c>
      <c r="B45" t="s">
        <v>517</v>
      </c>
      <c r="C45" t="s">
        <v>778</v>
      </c>
      <c r="D45" t="str">
        <f t="shared" si="1"/>
        <v>ROSAL ESPINA</v>
      </c>
      <c r="E45" t="s">
        <v>89</v>
      </c>
      <c r="F45" t="s">
        <v>194</v>
      </c>
      <c r="G45" t="s">
        <v>195</v>
      </c>
      <c r="H45" t="s">
        <v>195</v>
      </c>
      <c r="I45" s="8" t="s">
        <v>1092</v>
      </c>
      <c r="J45" t="s">
        <v>90</v>
      </c>
      <c r="K45" t="s">
        <v>91</v>
      </c>
      <c r="L45" t="str">
        <f t="shared" si="0"/>
        <v>Andrew Choi</v>
      </c>
      <c r="M45" t="s">
        <v>1134</v>
      </c>
      <c r="N45" t="s">
        <v>57</v>
      </c>
      <c r="O45" s="1">
        <v>46054</v>
      </c>
      <c r="P45" s="1">
        <v>46235</v>
      </c>
      <c r="Q45" s="2">
        <v>11.5</v>
      </c>
      <c r="R45" t="s">
        <v>58</v>
      </c>
      <c r="S45" s="3">
        <v>0.7</v>
      </c>
      <c r="T45">
        <v>0</v>
      </c>
      <c r="U45" t="s">
        <v>60</v>
      </c>
      <c r="V45" t="s">
        <v>248</v>
      </c>
      <c r="W45">
        <v>0</v>
      </c>
      <c r="X45" s="2">
        <v>0</v>
      </c>
      <c r="Y45" s="2">
        <v>8.0500000000000007</v>
      </c>
      <c r="Z45" s="2">
        <v>0</v>
      </c>
      <c r="AA45" s="2">
        <v>0</v>
      </c>
      <c r="AB45" s="2">
        <v>0</v>
      </c>
    </row>
    <row r="46" spans="1:53" x14ac:dyDescent="0.25">
      <c r="A46">
        <v>2033249078</v>
      </c>
      <c r="B46" t="s">
        <v>765</v>
      </c>
      <c r="C46" t="s">
        <v>766</v>
      </c>
      <c r="D46" t="str">
        <f t="shared" si="1"/>
        <v>CONAL BLANCA</v>
      </c>
      <c r="E46" t="s">
        <v>89</v>
      </c>
      <c r="F46" t="s">
        <v>194</v>
      </c>
      <c r="G46" t="s">
        <v>195</v>
      </c>
      <c r="H46" t="s">
        <v>195</v>
      </c>
      <c r="I46" s="8" t="s">
        <v>1092</v>
      </c>
      <c r="J46" t="s">
        <v>90</v>
      </c>
      <c r="K46" t="s">
        <v>91</v>
      </c>
      <c r="L46" t="str">
        <f t="shared" si="0"/>
        <v>Andrew Choi</v>
      </c>
      <c r="M46" t="s">
        <v>1134</v>
      </c>
      <c r="N46" t="s">
        <v>57</v>
      </c>
      <c r="O46" s="1">
        <v>46054</v>
      </c>
      <c r="P46" s="1">
        <v>46235</v>
      </c>
      <c r="Q46" s="2">
        <v>15.75</v>
      </c>
      <c r="R46" t="s">
        <v>58</v>
      </c>
      <c r="S46" s="3">
        <v>0.7</v>
      </c>
      <c r="T46">
        <v>0</v>
      </c>
      <c r="U46" t="s">
        <v>60</v>
      </c>
      <c r="V46" t="s">
        <v>248</v>
      </c>
      <c r="W46">
        <v>0</v>
      </c>
      <c r="X46" s="2">
        <v>0</v>
      </c>
      <c r="Y46" s="2">
        <v>11.02</v>
      </c>
      <c r="Z46" s="2">
        <v>0</v>
      </c>
      <c r="AA46" s="2">
        <v>0</v>
      </c>
      <c r="AB46" s="2">
        <v>0</v>
      </c>
    </row>
    <row r="47" spans="1:53" x14ac:dyDescent="0.25">
      <c r="A47">
        <v>2033280426</v>
      </c>
      <c r="B47" t="s">
        <v>777</v>
      </c>
      <c r="C47" t="s">
        <v>171</v>
      </c>
      <c r="D47" t="str">
        <f t="shared" si="1"/>
        <v>WILLIAM RESURRECCION</v>
      </c>
      <c r="E47" t="s">
        <v>89</v>
      </c>
      <c r="F47" t="s">
        <v>194</v>
      </c>
      <c r="G47" t="s">
        <v>195</v>
      </c>
      <c r="H47" t="s">
        <v>195</v>
      </c>
      <c r="I47" s="8" t="s">
        <v>1092</v>
      </c>
      <c r="J47" t="s">
        <v>90</v>
      </c>
      <c r="K47" t="s">
        <v>91</v>
      </c>
      <c r="L47" t="str">
        <f t="shared" si="0"/>
        <v>Andrew Choi</v>
      </c>
      <c r="M47" t="s">
        <v>1134</v>
      </c>
      <c r="N47" t="s">
        <v>57</v>
      </c>
      <c r="O47" s="1">
        <v>46054</v>
      </c>
      <c r="P47" s="1">
        <v>46235</v>
      </c>
      <c r="Q47" s="2">
        <v>15.75</v>
      </c>
      <c r="R47" t="s">
        <v>58</v>
      </c>
      <c r="S47" s="3">
        <v>0.7</v>
      </c>
      <c r="T47">
        <v>0</v>
      </c>
      <c r="U47" t="s">
        <v>60</v>
      </c>
      <c r="V47" t="s">
        <v>248</v>
      </c>
      <c r="W47">
        <v>0</v>
      </c>
      <c r="X47" s="2">
        <v>0</v>
      </c>
      <c r="Y47" s="2">
        <v>11.02</v>
      </c>
      <c r="Z47" s="2">
        <v>0</v>
      </c>
      <c r="AA47" s="2">
        <v>0</v>
      </c>
      <c r="AB47" s="2">
        <v>0</v>
      </c>
    </row>
    <row r="48" spans="1:53" s="9" customFormat="1" x14ac:dyDescent="0.25">
      <c r="A48">
        <v>2033286915</v>
      </c>
      <c r="B48" t="s">
        <v>517</v>
      </c>
      <c r="C48" t="s">
        <v>518</v>
      </c>
      <c r="D48" t="str">
        <f t="shared" si="1"/>
        <v>RALF ESPINA</v>
      </c>
      <c r="E48" t="s">
        <v>89</v>
      </c>
      <c r="F48" t="s">
        <v>194</v>
      </c>
      <c r="G48" t="s">
        <v>195</v>
      </c>
      <c r="H48" t="s">
        <v>195</v>
      </c>
      <c r="I48" s="8" t="s">
        <v>1092</v>
      </c>
      <c r="J48" t="s">
        <v>90</v>
      </c>
      <c r="K48" t="s">
        <v>91</v>
      </c>
      <c r="L48" t="str">
        <f t="shared" si="0"/>
        <v>Andrew Choi</v>
      </c>
      <c r="M48" t="s">
        <v>1134</v>
      </c>
      <c r="N48" t="s">
        <v>57</v>
      </c>
      <c r="O48" s="1">
        <v>46054</v>
      </c>
      <c r="P48" s="1">
        <v>46235</v>
      </c>
      <c r="Q48" s="2">
        <v>15.75</v>
      </c>
      <c r="R48" t="s">
        <v>58</v>
      </c>
      <c r="S48" s="3">
        <v>0.7</v>
      </c>
      <c r="T48">
        <v>0</v>
      </c>
      <c r="U48" t="s">
        <v>60</v>
      </c>
      <c r="V48" t="s">
        <v>248</v>
      </c>
      <c r="W48">
        <v>0</v>
      </c>
      <c r="X48" s="2">
        <v>0</v>
      </c>
      <c r="Y48" s="2">
        <v>11.02</v>
      </c>
      <c r="Z48" s="2">
        <v>0</v>
      </c>
      <c r="AA48" s="2">
        <v>0</v>
      </c>
      <c r="AB48" s="2">
        <v>0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3" s="9" customFormat="1" x14ac:dyDescent="0.25">
      <c r="A49">
        <v>2033263117</v>
      </c>
      <c r="B49" t="s">
        <v>767</v>
      </c>
      <c r="C49" t="s">
        <v>768</v>
      </c>
      <c r="D49" t="str">
        <f t="shared" si="1"/>
        <v>ALMA HOMDUS</v>
      </c>
      <c r="E49" t="s">
        <v>89</v>
      </c>
      <c r="F49" t="s">
        <v>194</v>
      </c>
      <c r="G49" t="s">
        <v>195</v>
      </c>
      <c r="H49" t="s">
        <v>195</v>
      </c>
      <c r="I49" s="8" t="s">
        <v>1092</v>
      </c>
      <c r="J49" t="s">
        <v>90</v>
      </c>
      <c r="K49" t="s">
        <v>91</v>
      </c>
      <c r="L49" t="str">
        <f t="shared" si="0"/>
        <v>Andrew Choi</v>
      </c>
      <c r="M49" t="s">
        <v>1134</v>
      </c>
      <c r="N49" t="s">
        <v>57</v>
      </c>
      <c r="O49" s="1">
        <v>46054</v>
      </c>
      <c r="P49" s="1">
        <v>46235</v>
      </c>
      <c r="Q49" s="2">
        <v>19</v>
      </c>
      <c r="R49" t="s">
        <v>58</v>
      </c>
      <c r="S49" s="3">
        <v>0.7</v>
      </c>
      <c r="T49">
        <v>0</v>
      </c>
      <c r="U49" t="s">
        <v>60</v>
      </c>
      <c r="V49" t="s">
        <v>248</v>
      </c>
      <c r="W49">
        <v>0</v>
      </c>
      <c r="X49" s="2">
        <v>0</v>
      </c>
      <c r="Y49" s="2">
        <v>13.3</v>
      </c>
      <c r="Z49" s="2">
        <v>0</v>
      </c>
      <c r="AA49" s="2">
        <v>0</v>
      </c>
      <c r="AB49" s="2">
        <v>0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 s="9" customFormat="1" x14ac:dyDescent="0.25">
      <c r="A50">
        <v>2034373766</v>
      </c>
      <c r="B50" t="s">
        <v>565</v>
      </c>
      <c r="C50" t="s">
        <v>566</v>
      </c>
      <c r="D50" t="str">
        <f t="shared" si="1"/>
        <v>DYLAN BRANIA</v>
      </c>
      <c r="E50" t="s">
        <v>89</v>
      </c>
      <c r="F50" t="s">
        <v>194</v>
      </c>
      <c r="G50" t="s">
        <v>195</v>
      </c>
      <c r="H50" t="s">
        <v>195</v>
      </c>
      <c r="I50" s="8" t="s">
        <v>1092</v>
      </c>
      <c r="J50" t="s">
        <v>90</v>
      </c>
      <c r="K50" t="s">
        <v>91</v>
      </c>
      <c r="L50" t="str">
        <f t="shared" si="0"/>
        <v>Andrew Choi</v>
      </c>
      <c r="M50" t="s">
        <v>1134</v>
      </c>
      <c r="N50" t="s">
        <v>57</v>
      </c>
      <c r="O50" s="1">
        <v>46140</v>
      </c>
      <c r="P50" s="1">
        <v>46231</v>
      </c>
      <c r="Q50" s="2">
        <v>19</v>
      </c>
      <c r="R50" t="s">
        <v>58</v>
      </c>
      <c r="S50" s="3">
        <v>0.7</v>
      </c>
      <c r="T50">
        <v>0</v>
      </c>
      <c r="U50" t="s">
        <v>60</v>
      </c>
      <c r="V50" t="s">
        <v>248</v>
      </c>
      <c r="W50">
        <v>0</v>
      </c>
      <c r="X50" s="2">
        <v>0</v>
      </c>
      <c r="Y50" s="2">
        <v>13.3</v>
      </c>
      <c r="Z50" s="2">
        <v>0</v>
      </c>
      <c r="AA50" s="2">
        <v>0</v>
      </c>
      <c r="AB50" s="2">
        <v>0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3" s="9" customFormat="1" x14ac:dyDescent="0.25">
      <c r="A51">
        <v>2034384125</v>
      </c>
      <c r="B51" t="s">
        <v>833</v>
      </c>
      <c r="C51" t="s">
        <v>335</v>
      </c>
      <c r="D51" t="str">
        <f t="shared" si="1"/>
        <v>SCOTT SESSO</v>
      </c>
      <c r="E51" t="s">
        <v>68</v>
      </c>
      <c r="F51" t="s">
        <v>194</v>
      </c>
      <c r="G51" t="s">
        <v>195</v>
      </c>
      <c r="H51" t="s">
        <v>195</v>
      </c>
      <c r="I51" s="8" t="s">
        <v>1092</v>
      </c>
      <c r="J51" t="s">
        <v>90</v>
      </c>
      <c r="K51" t="s">
        <v>91</v>
      </c>
      <c r="L51" t="str">
        <f t="shared" si="0"/>
        <v>Andrew Choi</v>
      </c>
      <c r="M51" t="s">
        <v>1134</v>
      </c>
      <c r="N51" t="s">
        <v>57</v>
      </c>
      <c r="O51" s="1">
        <v>46107</v>
      </c>
      <c r="P51" s="1">
        <v>46229</v>
      </c>
      <c r="Q51" s="2">
        <v>19.46</v>
      </c>
      <c r="R51" t="s">
        <v>58</v>
      </c>
      <c r="S51" s="3">
        <v>0.7</v>
      </c>
      <c r="T51">
        <v>0</v>
      </c>
      <c r="U51" t="s">
        <v>60</v>
      </c>
      <c r="V51" t="s">
        <v>248</v>
      </c>
      <c r="W51">
        <v>0</v>
      </c>
      <c r="X51" s="2">
        <v>0</v>
      </c>
      <c r="Y51" s="2">
        <v>13.62</v>
      </c>
      <c r="Z51" s="2">
        <v>0</v>
      </c>
      <c r="AA51" s="2">
        <v>0</v>
      </c>
      <c r="AB51" s="2">
        <v>0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x14ac:dyDescent="0.25">
      <c r="A52">
        <v>2033067682</v>
      </c>
      <c r="B52" t="s">
        <v>447</v>
      </c>
      <c r="C52" t="s">
        <v>365</v>
      </c>
      <c r="D52" t="str">
        <f t="shared" si="1"/>
        <v>DEANNA PALOIAN</v>
      </c>
      <c r="E52" t="s">
        <v>89</v>
      </c>
      <c r="F52" t="s">
        <v>194</v>
      </c>
      <c r="G52" t="s">
        <v>195</v>
      </c>
      <c r="H52" t="s">
        <v>195</v>
      </c>
      <c r="I52" s="8" t="s">
        <v>1092</v>
      </c>
      <c r="J52" t="s">
        <v>90</v>
      </c>
      <c r="K52" t="s">
        <v>91</v>
      </c>
      <c r="L52" t="str">
        <f t="shared" si="0"/>
        <v>Andrew Choi</v>
      </c>
      <c r="M52" t="s">
        <v>1134</v>
      </c>
      <c r="N52" t="s">
        <v>57</v>
      </c>
      <c r="O52" s="1">
        <v>46054</v>
      </c>
      <c r="P52" s="1">
        <v>46235</v>
      </c>
      <c r="Q52" s="2">
        <v>22</v>
      </c>
      <c r="R52" t="s">
        <v>58</v>
      </c>
      <c r="S52" s="3">
        <v>0.7</v>
      </c>
      <c r="T52">
        <v>0</v>
      </c>
      <c r="U52" t="s">
        <v>60</v>
      </c>
      <c r="V52" t="s">
        <v>248</v>
      </c>
      <c r="W52">
        <v>0</v>
      </c>
      <c r="X52" s="2">
        <v>0</v>
      </c>
      <c r="Y52" s="2">
        <v>15.4</v>
      </c>
      <c r="Z52" s="2">
        <v>0</v>
      </c>
      <c r="AA52" s="2">
        <v>0</v>
      </c>
      <c r="AB52" s="2">
        <v>0</v>
      </c>
    </row>
    <row r="53" spans="1:53" x14ac:dyDescent="0.25">
      <c r="A53">
        <v>2033222449</v>
      </c>
      <c r="B53" t="s">
        <v>500</v>
      </c>
      <c r="C53" t="s">
        <v>182</v>
      </c>
      <c r="D53" t="str">
        <f t="shared" si="1"/>
        <v>JACOB HARRINGTON</v>
      </c>
      <c r="E53" t="s">
        <v>89</v>
      </c>
      <c r="F53" t="s">
        <v>194</v>
      </c>
      <c r="G53" t="s">
        <v>195</v>
      </c>
      <c r="H53" t="s">
        <v>195</v>
      </c>
      <c r="I53" s="8" t="s">
        <v>1092</v>
      </c>
      <c r="J53" t="s">
        <v>90</v>
      </c>
      <c r="K53" t="s">
        <v>91</v>
      </c>
      <c r="L53" t="str">
        <f t="shared" si="0"/>
        <v>Andrew Choi</v>
      </c>
      <c r="M53" t="s">
        <v>1134</v>
      </c>
      <c r="N53" t="s">
        <v>57</v>
      </c>
      <c r="O53" s="1">
        <v>46054</v>
      </c>
      <c r="P53" s="1">
        <v>46235</v>
      </c>
      <c r="Q53" s="2">
        <v>22</v>
      </c>
      <c r="R53" t="s">
        <v>58</v>
      </c>
      <c r="S53" s="3">
        <v>0.7</v>
      </c>
      <c r="T53">
        <v>0</v>
      </c>
      <c r="U53" t="s">
        <v>60</v>
      </c>
      <c r="V53" t="s">
        <v>248</v>
      </c>
      <c r="W53">
        <v>0</v>
      </c>
      <c r="X53" s="2">
        <v>0</v>
      </c>
      <c r="Y53" s="2">
        <v>15.4</v>
      </c>
      <c r="Z53" s="2">
        <v>0</v>
      </c>
      <c r="AA53" s="2">
        <v>0</v>
      </c>
      <c r="AB53" s="2">
        <v>0</v>
      </c>
    </row>
    <row r="54" spans="1:53" x14ac:dyDescent="0.25">
      <c r="A54">
        <v>2033384422</v>
      </c>
      <c r="B54" t="s">
        <v>539</v>
      </c>
      <c r="C54" t="s">
        <v>540</v>
      </c>
      <c r="D54" t="str">
        <f t="shared" si="1"/>
        <v>REBECCA CROCKETT</v>
      </c>
      <c r="E54" t="s">
        <v>89</v>
      </c>
      <c r="F54" t="s">
        <v>194</v>
      </c>
      <c r="G54" t="s">
        <v>195</v>
      </c>
      <c r="H54" t="s">
        <v>195</v>
      </c>
      <c r="I54" s="8" t="s">
        <v>1092</v>
      </c>
      <c r="J54" t="s">
        <v>90</v>
      </c>
      <c r="K54" t="s">
        <v>91</v>
      </c>
      <c r="L54" t="str">
        <f t="shared" si="0"/>
        <v>Andrew Choi</v>
      </c>
      <c r="M54" t="s">
        <v>1134</v>
      </c>
      <c r="N54" t="s">
        <v>57</v>
      </c>
      <c r="O54" s="1">
        <v>46054</v>
      </c>
      <c r="P54" s="1">
        <v>46235</v>
      </c>
      <c r="Q54" s="2">
        <v>110.16</v>
      </c>
      <c r="R54" t="s">
        <v>58</v>
      </c>
      <c r="S54" s="3">
        <v>0.7</v>
      </c>
      <c r="T54">
        <v>0</v>
      </c>
      <c r="U54" t="s">
        <v>60</v>
      </c>
      <c r="V54" t="s">
        <v>248</v>
      </c>
      <c r="W54">
        <v>0</v>
      </c>
      <c r="X54" s="2">
        <v>0</v>
      </c>
      <c r="Y54" s="2">
        <v>77.11</v>
      </c>
      <c r="Z54" s="2">
        <v>0</v>
      </c>
      <c r="AA54" s="2">
        <v>0</v>
      </c>
      <c r="AB54" s="2">
        <v>0</v>
      </c>
    </row>
    <row r="55" spans="1:53" x14ac:dyDescent="0.25">
      <c r="A55">
        <v>2033365519</v>
      </c>
      <c r="B55" t="s">
        <v>532</v>
      </c>
      <c r="C55" t="s">
        <v>533</v>
      </c>
      <c r="D55" t="str">
        <f t="shared" si="1"/>
        <v>JULIE NAGY</v>
      </c>
      <c r="E55" t="s">
        <v>89</v>
      </c>
      <c r="F55" t="s">
        <v>194</v>
      </c>
      <c r="G55" t="s">
        <v>195</v>
      </c>
      <c r="H55" t="s">
        <v>195</v>
      </c>
      <c r="I55" s="8" t="s">
        <v>1092</v>
      </c>
      <c r="J55" t="s">
        <v>90</v>
      </c>
      <c r="K55" t="s">
        <v>91</v>
      </c>
      <c r="L55" t="str">
        <f t="shared" si="0"/>
        <v>Andrew Choi</v>
      </c>
      <c r="M55" t="s">
        <v>1134</v>
      </c>
      <c r="N55" t="s">
        <v>57</v>
      </c>
      <c r="O55" s="1">
        <v>46054</v>
      </c>
      <c r="P55" s="1">
        <v>46235</v>
      </c>
      <c r="Q55" s="2">
        <v>216.41</v>
      </c>
      <c r="R55" t="s">
        <v>58</v>
      </c>
      <c r="S55" s="3">
        <v>0.7</v>
      </c>
      <c r="T55">
        <v>0</v>
      </c>
      <c r="U55" t="s">
        <v>60</v>
      </c>
      <c r="V55" t="s">
        <v>248</v>
      </c>
      <c r="W55">
        <v>0</v>
      </c>
      <c r="X55" s="2">
        <v>0</v>
      </c>
      <c r="Y55" s="2">
        <v>151.49</v>
      </c>
      <c r="Z55" s="2">
        <v>0</v>
      </c>
      <c r="AA55" s="2">
        <v>0</v>
      </c>
      <c r="AB55" s="2">
        <v>0</v>
      </c>
    </row>
    <row r="56" spans="1:53" x14ac:dyDescent="0.25">
      <c r="A56">
        <v>2033053979</v>
      </c>
      <c r="B56" t="s">
        <v>442</v>
      </c>
      <c r="C56" t="s">
        <v>443</v>
      </c>
      <c r="D56" t="str">
        <f t="shared" si="1"/>
        <v>HEIDI NIKOLICH</v>
      </c>
      <c r="E56" t="s">
        <v>332</v>
      </c>
      <c r="F56" t="s">
        <v>194</v>
      </c>
      <c r="G56" t="s">
        <v>195</v>
      </c>
      <c r="H56" t="s">
        <v>195</v>
      </c>
      <c r="I56" s="8" t="s">
        <v>1092</v>
      </c>
      <c r="J56" t="s">
        <v>90</v>
      </c>
      <c r="K56" t="s">
        <v>91</v>
      </c>
      <c r="L56" t="str">
        <f t="shared" si="0"/>
        <v>Andrew Choi</v>
      </c>
      <c r="M56" t="s">
        <v>1134</v>
      </c>
      <c r="N56" t="s">
        <v>57</v>
      </c>
      <c r="O56" s="1">
        <v>46054</v>
      </c>
      <c r="P56" s="1">
        <v>46235</v>
      </c>
      <c r="Q56" s="2">
        <v>221.48</v>
      </c>
      <c r="R56" t="s">
        <v>58</v>
      </c>
      <c r="S56" s="3">
        <v>0.7</v>
      </c>
      <c r="T56">
        <v>0</v>
      </c>
      <c r="U56" t="s">
        <v>60</v>
      </c>
      <c r="V56" t="s">
        <v>248</v>
      </c>
      <c r="W56">
        <v>0</v>
      </c>
      <c r="X56" s="2">
        <v>0</v>
      </c>
      <c r="Y56" s="2">
        <v>155.04</v>
      </c>
      <c r="Z56" s="2">
        <v>0</v>
      </c>
      <c r="AA56" s="2">
        <v>0</v>
      </c>
      <c r="AB56" s="2">
        <v>0</v>
      </c>
    </row>
    <row r="57" spans="1:53" x14ac:dyDescent="0.25">
      <c r="A57">
        <v>2026809781</v>
      </c>
      <c r="B57" t="s">
        <v>202</v>
      </c>
      <c r="C57" t="s">
        <v>920</v>
      </c>
      <c r="D57" t="str">
        <f t="shared" si="1"/>
        <v>ALAN LEWIS</v>
      </c>
      <c r="E57" t="s">
        <v>89</v>
      </c>
      <c r="F57" t="s">
        <v>133</v>
      </c>
      <c r="G57" t="s">
        <v>134</v>
      </c>
      <c r="H57" t="s">
        <v>134</v>
      </c>
      <c r="I57" s="8">
        <v>7470776</v>
      </c>
      <c r="J57" t="s">
        <v>90</v>
      </c>
      <c r="K57" t="s">
        <v>91</v>
      </c>
      <c r="L57" t="str">
        <f t="shared" si="0"/>
        <v>Andrew Choi</v>
      </c>
      <c r="M57" t="s">
        <v>1133</v>
      </c>
      <c r="N57" t="s">
        <v>57</v>
      </c>
      <c r="O57" s="1">
        <v>45689</v>
      </c>
      <c r="P57" s="1">
        <v>46235</v>
      </c>
      <c r="Q57" s="2">
        <v>64.760000000000005</v>
      </c>
      <c r="R57" t="s">
        <v>58</v>
      </c>
      <c r="S57" s="3">
        <v>0.06</v>
      </c>
      <c r="T57">
        <v>0</v>
      </c>
      <c r="U57" t="s">
        <v>247</v>
      </c>
      <c r="V57" t="s">
        <v>248</v>
      </c>
      <c r="W57">
        <v>0</v>
      </c>
      <c r="X57" s="2">
        <v>0</v>
      </c>
      <c r="Y57" s="2">
        <v>3.89</v>
      </c>
      <c r="Z57" s="2">
        <v>3.89</v>
      </c>
      <c r="AA57" s="2">
        <v>3.89</v>
      </c>
      <c r="AB57" s="2">
        <v>0</v>
      </c>
    </row>
    <row r="58" spans="1:53" x14ac:dyDescent="0.25">
      <c r="A58">
        <v>2033053978</v>
      </c>
      <c r="B58" t="s">
        <v>442</v>
      </c>
      <c r="C58" t="s">
        <v>443</v>
      </c>
      <c r="D58" t="str">
        <f t="shared" si="1"/>
        <v>HEIDI NIKOLICH</v>
      </c>
      <c r="E58" t="s">
        <v>332</v>
      </c>
      <c r="F58" t="s">
        <v>133</v>
      </c>
      <c r="G58" t="s">
        <v>134</v>
      </c>
      <c r="H58" t="s">
        <v>134</v>
      </c>
      <c r="I58" s="8" t="s">
        <v>1092</v>
      </c>
      <c r="J58" t="s">
        <v>90</v>
      </c>
      <c r="K58" t="s">
        <v>91</v>
      </c>
      <c r="L58" t="str">
        <f t="shared" si="0"/>
        <v>Andrew Choi</v>
      </c>
      <c r="M58" t="s">
        <v>1134</v>
      </c>
      <c r="N58" t="s">
        <v>57</v>
      </c>
      <c r="O58" s="1">
        <v>46054</v>
      </c>
      <c r="P58" s="1">
        <v>46235</v>
      </c>
      <c r="Q58" s="2">
        <v>69.97</v>
      </c>
      <c r="R58" t="s">
        <v>58</v>
      </c>
      <c r="S58" s="4">
        <v>0.375</v>
      </c>
      <c r="T58">
        <v>0</v>
      </c>
      <c r="U58" t="s">
        <v>60</v>
      </c>
      <c r="V58" t="s">
        <v>248</v>
      </c>
      <c r="W58">
        <v>0</v>
      </c>
      <c r="X58" s="2">
        <v>0</v>
      </c>
      <c r="Y58" s="2">
        <v>26.24</v>
      </c>
      <c r="Z58" s="2">
        <v>0</v>
      </c>
      <c r="AA58" s="2">
        <v>0</v>
      </c>
      <c r="AB58" s="2">
        <v>0</v>
      </c>
    </row>
    <row r="59" spans="1:53" x14ac:dyDescent="0.25">
      <c r="A59">
        <v>2033067681</v>
      </c>
      <c r="B59" t="s">
        <v>447</v>
      </c>
      <c r="C59" t="s">
        <v>365</v>
      </c>
      <c r="D59" t="str">
        <f t="shared" si="1"/>
        <v>DEANNA PALOIAN</v>
      </c>
      <c r="E59" t="s">
        <v>89</v>
      </c>
      <c r="F59" t="s">
        <v>133</v>
      </c>
      <c r="G59" t="s">
        <v>134</v>
      </c>
      <c r="H59" t="s">
        <v>134</v>
      </c>
      <c r="I59" s="8" t="s">
        <v>1092</v>
      </c>
      <c r="J59" t="s">
        <v>90</v>
      </c>
      <c r="K59" t="s">
        <v>91</v>
      </c>
      <c r="L59" t="str">
        <f t="shared" si="0"/>
        <v>Andrew Choi</v>
      </c>
      <c r="M59" t="s">
        <v>1134</v>
      </c>
      <c r="N59" t="s">
        <v>57</v>
      </c>
      <c r="O59" s="1">
        <v>46054</v>
      </c>
      <c r="P59" s="1">
        <v>46235</v>
      </c>
      <c r="Q59" s="2">
        <v>78.760000000000005</v>
      </c>
      <c r="R59" t="s">
        <v>58</v>
      </c>
      <c r="S59" s="4">
        <v>0.375</v>
      </c>
      <c r="T59">
        <v>0</v>
      </c>
      <c r="U59" t="s">
        <v>60</v>
      </c>
      <c r="V59" t="s">
        <v>248</v>
      </c>
      <c r="W59">
        <v>0</v>
      </c>
      <c r="X59" s="2">
        <v>0</v>
      </c>
      <c r="Y59" s="2">
        <v>29.54</v>
      </c>
      <c r="Z59" s="2">
        <v>0</v>
      </c>
      <c r="AA59" s="2">
        <v>0</v>
      </c>
      <c r="AB59" s="2">
        <v>0</v>
      </c>
    </row>
    <row r="60" spans="1:53" x14ac:dyDescent="0.25">
      <c r="A60">
        <v>2033148641</v>
      </c>
      <c r="B60" t="s">
        <v>738</v>
      </c>
      <c r="C60" t="s">
        <v>739</v>
      </c>
      <c r="D60" t="str">
        <f t="shared" si="1"/>
        <v>LIEZL TEHAN</v>
      </c>
      <c r="E60" t="s">
        <v>89</v>
      </c>
      <c r="F60" t="s">
        <v>133</v>
      </c>
      <c r="G60" t="s">
        <v>134</v>
      </c>
      <c r="H60" t="s">
        <v>134</v>
      </c>
      <c r="I60" s="8" t="s">
        <v>1092</v>
      </c>
      <c r="J60" t="s">
        <v>90</v>
      </c>
      <c r="K60" t="s">
        <v>91</v>
      </c>
      <c r="L60" t="str">
        <f t="shared" si="0"/>
        <v>Andrew Choi</v>
      </c>
      <c r="M60" t="s">
        <v>1134</v>
      </c>
      <c r="N60" t="s">
        <v>57</v>
      </c>
      <c r="O60" s="1">
        <v>46054</v>
      </c>
      <c r="P60" s="1">
        <v>46235</v>
      </c>
      <c r="Q60" s="2">
        <v>78.760000000000005</v>
      </c>
      <c r="R60" t="s">
        <v>58</v>
      </c>
      <c r="S60" s="4">
        <v>0.375</v>
      </c>
      <c r="T60">
        <v>0</v>
      </c>
      <c r="U60" t="s">
        <v>60</v>
      </c>
      <c r="V60" t="s">
        <v>248</v>
      </c>
      <c r="W60">
        <v>0</v>
      </c>
      <c r="X60" s="2">
        <v>0</v>
      </c>
      <c r="Y60" s="2">
        <v>29.54</v>
      </c>
      <c r="Z60" s="2">
        <v>0</v>
      </c>
      <c r="AA60" s="2">
        <v>0</v>
      </c>
      <c r="AB60" s="2">
        <v>0</v>
      </c>
    </row>
    <row r="61" spans="1:53" x14ac:dyDescent="0.25">
      <c r="A61">
        <v>2033259943</v>
      </c>
      <c r="B61" t="s">
        <v>513</v>
      </c>
      <c r="C61" t="s">
        <v>514</v>
      </c>
      <c r="D61" t="str">
        <f t="shared" si="1"/>
        <v>ELMA DULANG</v>
      </c>
      <c r="E61" t="s">
        <v>89</v>
      </c>
      <c r="F61" t="s">
        <v>133</v>
      </c>
      <c r="G61" t="s">
        <v>134</v>
      </c>
      <c r="H61" t="s">
        <v>134</v>
      </c>
      <c r="I61" s="8" t="s">
        <v>1092</v>
      </c>
      <c r="J61" t="s">
        <v>90</v>
      </c>
      <c r="K61" t="s">
        <v>91</v>
      </c>
      <c r="L61" t="str">
        <f t="shared" si="0"/>
        <v>Andrew Choi</v>
      </c>
      <c r="M61" t="s">
        <v>1134</v>
      </c>
      <c r="N61" t="s">
        <v>57</v>
      </c>
      <c r="O61" s="1">
        <v>46054</v>
      </c>
      <c r="P61" s="1">
        <v>46235</v>
      </c>
      <c r="Q61" s="2">
        <v>78.760000000000005</v>
      </c>
      <c r="R61" t="s">
        <v>58</v>
      </c>
      <c r="S61" s="4">
        <v>0.375</v>
      </c>
      <c r="T61">
        <v>0</v>
      </c>
      <c r="U61" t="s">
        <v>60</v>
      </c>
      <c r="V61" t="s">
        <v>248</v>
      </c>
      <c r="W61">
        <v>0</v>
      </c>
      <c r="X61" s="2">
        <v>0</v>
      </c>
      <c r="Y61" s="2">
        <v>29.54</v>
      </c>
      <c r="Z61" s="2">
        <v>0</v>
      </c>
      <c r="AA61" s="2">
        <v>0</v>
      </c>
      <c r="AB61" s="2">
        <v>0</v>
      </c>
    </row>
    <row r="62" spans="1:53" x14ac:dyDescent="0.25">
      <c r="A62">
        <v>2033263116</v>
      </c>
      <c r="B62" t="s">
        <v>767</v>
      </c>
      <c r="C62" t="s">
        <v>768</v>
      </c>
      <c r="D62" t="str">
        <f t="shared" si="1"/>
        <v>ALMA HOMDUS</v>
      </c>
      <c r="E62" t="s">
        <v>89</v>
      </c>
      <c r="F62" t="s">
        <v>133</v>
      </c>
      <c r="G62" t="s">
        <v>134</v>
      </c>
      <c r="H62" t="s">
        <v>134</v>
      </c>
      <c r="I62" s="8" t="s">
        <v>1092</v>
      </c>
      <c r="J62" t="s">
        <v>90</v>
      </c>
      <c r="K62" t="s">
        <v>91</v>
      </c>
      <c r="L62" t="str">
        <f t="shared" si="0"/>
        <v>Andrew Choi</v>
      </c>
      <c r="M62" t="s">
        <v>1134</v>
      </c>
      <c r="N62" t="s">
        <v>57</v>
      </c>
      <c r="O62" s="1">
        <v>46054</v>
      </c>
      <c r="P62" s="1">
        <v>46235</v>
      </c>
      <c r="Q62" s="2">
        <v>78.760000000000005</v>
      </c>
      <c r="R62" t="s">
        <v>58</v>
      </c>
      <c r="S62" s="4">
        <v>0.375</v>
      </c>
      <c r="T62">
        <v>0</v>
      </c>
      <c r="U62" t="s">
        <v>60</v>
      </c>
      <c r="V62" t="s">
        <v>248</v>
      </c>
      <c r="W62">
        <v>0</v>
      </c>
      <c r="X62" s="2">
        <v>0</v>
      </c>
      <c r="Y62" s="2">
        <v>29.54</v>
      </c>
      <c r="Z62" s="2">
        <v>0</v>
      </c>
      <c r="AA62" s="2">
        <v>0</v>
      </c>
      <c r="AB62" s="2">
        <v>0</v>
      </c>
    </row>
    <row r="63" spans="1:53" x14ac:dyDescent="0.25">
      <c r="A63">
        <v>2033285975</v>
      </c>
      <c r="B63" t="s">
        <v>517</v>
      </c>
      <c r="C63" t="s">
        <v>778</v>
      </c>
      <c r="D63" t="str">
        <f t="shared" si="1"/>
        <v>ROSAL ESPINA</v>
      </c>
      <c r="E63" t="s">
        <v>89</v>
      </c>
      <c r="F63" t="s">
        <v>133</v>
      </c>
      <c r="G63" t="s">
        <v>134</v>
      </c>
      <c r="H63" t="s">
        <v>134</v>
      </c>
      <c r="I63" s="8" t="s">
        <v>1092</v>
      </c>
      <c r="J63" t="s">
        <v>90</v>
      </c>
      <c r="K63" t="s">
        <v>91</v>
      </c>
      <c r="L63" t="str">
        <f t="shared" si="0"/>
        <v>Andrew Choi</v>
      </c>
      <c r="M63" t="s">
        <v>1134</v>
      </c>
      <c r="N63" t="s">
        <v>57</v>
      </c>
      <c r="O63" s="1">
        <v>46054</v>
      </c>
      <c r="P63" s="1">
        <v>46235</v>
      </c>
      <c r="Q63" s="2">
        <v>78.760000000000005</v>
      </c>
      <c r="R63" t="s">
        <v>58</v>
      </c>
      <c r="S63" s="4">
        <v>0.375</v>
      </c>
      <c r="T63">
        <v>0</v>
      </c>
      <c r="U63" t="s">
        <v>60</v>
      </c>
      <c r="V63" t="s">
        <v>248</v>
      </c>
      <c r="W63">
        <v>0</v>
      </c>
      <c r="X63" s="2">
        <v>0</v>
      </c>
      <c r="Y63" s="2">
        <v>29.54</v>
      </c>
      <c r="Z63" s="2">
        <v>0</v>
      </c>
      <c r="AA63" s="2">
        <v>0</v>
      </c>
      <c r="AB63" s="2">
        <v>0</v>
      </c>
    </row>
    <row r="64" spans="1:53" x14ac:dyDescent="0.25">
      <c r="A64">
        <v>2033384421</v>
      </c>
      <c r="B64" t="s">
        <v>539</v>
      </c>
      <c r="C64" t="s">
        <v>540</v>
      </c>
      <c r="D64" t="str">
        <f t="shared" si="1"/>
        <v>REBECCA CROCKETT</v>
      </c>
      <c r="E64" t="s">
        <v>89</v>
      </c>
      <c r="F64" t="s">
        <v>133</v>
      </c>
      <c r="G64" t="s">
        <v>134</v>
      </c>
      <c r="H64" t="s">
        <v>134</v>
      </c>
      <c r="I64" s="8" t="s">
        <v>1092</v>
      </c>
      <c r="J64" t="s">
        <v>90</v>
      </c>
      <c r="K64" t="s">
        <v>91</v>
      </c>
      <c r="L64" t="str">
        <f t="shared" si="0"/>
        <v>Andrew Choi</v>
      </c>
      <c r="M64" t="s">
        <v>1134</v>
      </c>
      <c r="N64" t="s">
        <v>57</v>
      </c>
      <c r="O64" s="1">
        <v>46054</v>
      </c>
      <c r="P64" s="1">
        <v>46235</v>
      </c>
      <c r="Q64" s="2">
        <v>78.760000000000005</v>
      </c>
      <c r="R64" t="s">
        <v>58</v>
      </c>
      <c r="S64" s="4">
        <v>0.375</v>
      </c>
      <c r="T64">
        <v>0</v>
      </c>
      <c r="U64" t="s">
        <v>60</v>
      </c>
      <c r="V64" t="s">
        <v>248</v>
      </c>
      <c r="W64">
        <v>0</v>
      </c>
      <c r="X64" s="2">
        <v>0</v>
      </c>
      <c r="Y64" s="2">
        <v>29.54</v>
      </c>
      <c r="Z64" s="2">
        <v>0</v>
      </c>
      <c r="AA64" s="2">
        <v>0</v>
      </c>
      <c r="AB64" s="2">
        <v>0</v>
      </c>
    </row>
    <row r="65" spans="1:28" x14ac:dyDescent="0.25">
      <c r="A65">
        <v>2033406945</v>
      </c>
      <c r="B65" t="s">
        <v>549</v>
      </c>
      <c r="C65" t="s">
        <v>550</v>
      </c>
      <c r="D65" t="str">
        <f t="shared" si="1"/>
        <v>JEANNE KANG</v>
      </c>
      <c r="E65" t="s">
        <v>89</v>
      </c>
      <c r="F65" t="s">
        <v>133</v>
      </c>
      <c r="G65" t="s">
        <v>134</v>
      </c>
      <c r="H65" t="s">
        <v>134</v>
      </c>
      <c r="I65" s="8" t="s">
        <v>1092</v>
      </c>
      <c r="J65" t="s">
        <v>90</v>
      </c>
      <c r="K65" t="s">
        <v>91</v>
      </c>
      <c r="L65" t="str">
        <f t="shared" si="0"/>
        <v>Andrew Choi</v>
      </c>
      <c r="M65" t="s">
        <v>1134</v>
      </c>
      <c r="N65" t="s">
        <v>57</v>
      </c>
      <c r="O65" s="1">
        <v>46054</v>
      </c>
      <c r="P65" s="1">
        <v>46235</v>
      </c>
      <c r="Q65" s="2">
        <v>78.760000000000005</v>
      </c>
      <c r="R65" t="s">
        <v>58</v>
      </c>
      <c r="S65" s="4">
        <v>0.375</v>
      </c>
      <c r="T65">
        <v>0</v>
      </c>
      <c r="U65" t="s">
        <v>60</v>
      </c>
      <c r="V65" t="s">
        <v>248</v>
      </c>
      <c r="W65">
        <v>0</v>
      </c>
      <c r="X65" s="2">
        <v>0</v>
      </c>
      <c r="Y65" s="2">
        <v>29.54</v>
      </c>
      <c r="Z65" s="2">
        <v>0</v>
      </c>
      <c r="AA65" s="2">
        <v>0</v>
      </c>
      <c r="AB65" s="2">
        <v>0</v>
      </c>
    </row>
    <row r="66" spans="1:28" x14ac:dyDescent="0.25">
      <c r="A66">
        <v>2033411378</v>
      </c>
      <c r="B66" t="s">
        <v>551</v>
      </c>
      <c r="C66" t="s">
        <v>552</v>
      </c>
      <c r="D66" t="str">
        <f t="shared" si="1"/>
        <v>MARK MURRAY</v>
      </c>
      <c r="E66" t="s">
        <v>89</v>
      </c>
      <c r="F66" t="s">
        <v>133</v>
      </c>
      <c r="G66" t="s">
        <v>134</v>
      </c>
      <c r="H66" t="s">
        <v>134</v>
      </c>
      <c r="I66" s="8" t="s">
        <v>1092</v>
      </c>
      <c r="J66" t="s">
        <v>90</v>
      </c>
      <c r="K66" t="s">
        <v>91</v>
      </c>
      <c r="L66" t="str">
        <f t="shared" ref="L66:L129" si="2">CONCATENATE(K66," ",J66)</f>
        <v>Andrew Choi</v>
      </c>
      <c r="M66" t="s">
        <v>1134</v>
      </c>
      <c r="N66" t="s">
        <v>57</v>
      </c>
      <c r="O66" s="1">
        <v>46054</v>
      </c>
      <c r="P66" s="1">
        <v>46235</v>
      </c>
      <c r="Q66" s="2">
        <v>78.760000000000005</v>
      </c>
      <c r="R66" t="s">
        <v>58</v>
      </c>
      <c r="S66" s="4">
        <v>0.375</v>
      </c>
      <c r="T66">
        <v>0</v>
      </c>
      <c r="U66" t="s">
        <v>60</v>
      </c>
      <c r="V66" t="s">
        <v>248</v>
      </c>
      <c r="W66">
        <v>0</v>
      </c>
      <c r="X66" s="2">
        <v>0</v>
      </c>
      <c r="Y66" s="2">
        <v>29.54</v>
      </c>
      <c r="Z66" s="2">
        <v>0</v>
      </c>
      <c r="AA66" s="2">
        <v>0</v>
      </c>
      <c r="AB66" s="2">
        <v>0</v>
      </c>
    </row>
    <row r="67" spans="1:28" x14ac:dyDescent="0.25">
      <c r="A67">
        <v>2034373764</v>
      </c>
      <c r="B67" t="s">
        <v>565</v>
      </c>
      <c r="C67" t="s">
        <v>566</v>
      </c>
      <c r="D67" t="str">
        <f t="shared" ref="D67:D130" si="3">CONCATENATE(C67," ",B67)</f>
        <v>DYLAN BRANIA</v>
      </c>
      <c r="E67" t="s">
        <v>89</v>
      </c>
      <c r="F67" t="s">
        <v>133</v>
      </c>
      <c r="G67" t="s">
        <v>134</v>
      </c>
      <c r="H67" t="s">
        <v>134</v>
      </c>
      <c r="I67" s="8" t="s">
        <v>1092</v>
      </c>
      <c r="J67" t="s">
        <v>90</v>
      </c>
      <c r="K67" t="s">
        <v>91</v>
      </c>
      <c r="L67" t="str">
        <f t="shared" si="2"/>
        <v>Andrew Choi</v>
      </c>
      <c r="M67" t="s">
        <v>1134</v>
      </c>
      <c r="N67" t="s">
        <v>57</v>
      </c>
      <c r="O67" s="1">
        <v>46140</v>
      </c>
      <c r="P67" s="1">
        <v>46231</v>
      </c>
      <c r="Q67" s="2">
        <v>78.760000000000005</v>
      </c>
      <c r="R67" t="s">
        <v>58</v>
      </c>
      <c r="S67" s="4">
        <v>0.375</v>
      </c>
      <c r="T67">
        <v>0</v>
      </c>
      <c r="U67" t="s">
        <v>60</v>
      </c>
      <c r="V67" t="s">
        <v>248</v>
      </c>
      <c r="W67">
        <v>0</v>
      </c>
      <c r="X67" s="2">
        <v>0</v>
      </c>
      <c r="Y67" s="2">
        <v>29.54</v>
      </c>
      <c r="Z67" s="2">
        <v>0</v>
      </c>
      <c r="AA67" s="2">
        <v>0</v>
      </c>
      <c r="AB67" s="2">
        <v>0</v>
      </c>
    </row>
    <row r="68" spans="1:28" x14ac:dyDescent="0.25">
      <c r="A68">
        <v>2034384126</v>
      </c>
      <c r="B68" t="s">
        <v>833</v>
      </c>
      <c r="C68" t="s">
        <v>335</v>
      </c>
      <c r="D68" t="str">
        <f t="shared" si="3"/>
        <v>SCOTT SESSO</v>
      </c>
      <c r="E68" t="s">
        <v>68</v>
      </c>
      <c r="F68" t="s">
        <v>133</v>
      </c>
      <c r="G68" t="s">
        <v>134</v>
      </c>
      <c r="H68" t="s">
        <v>134</v>
      </c>
      <c r="I68" s="8" t="s">
        <v>1092</v>
      </c>
      <c r="J68" t="s">
        <v>90</v>
      </c>
      <c r="K68" t="s">
        <v>91</v>
      </c>
      <c r="L68" t="str">
        <f t="shared" si="2"/>
        <v>Andrew Choi</v>
      </c>
      <c r="M68" t="s">
        <v>1134</v>
      </c>
      <c r="N68" t="s">
        <v>57</v>
      </c>
      <c r="O68" s="1">
        <v>46107</v>
      </c>
      <c r="P68" s="1">
        <v>46229</v>
      </c>
      <c r="Q68" s="2">
        <v>92.05</v>
      </c>
      <c r="R68" t="s">
        <v>58</v>
      </c>
      <c r="S68" s="4">
        <v>0.375</v>
      </c>
      <c r="T68">
        <v>0</v>
      </c>
      <c r="U68" t="s">
        <v>60</v>
      </c>
      <c r="V68" t="s">
        <v>248</v>
      </c>
      <c r="W68">
        <v>0</v>
      </c>
      <c r="X68" s="2">
        <v>0</v>
      </c>
      <c r="Y68" s="2">
        <v>34.520000000000003</v>
      </c>
      <c r="Z68" s="2">
        <v>0</v>
      </c>
      <c r="AA68" s="2">
        <v>0</v>
      </c>
      <c r="AB68" s="2">
        <v>0</v>
      </c>
    </row>
    <row r="69" spans="1:28" x14ac:dyDescent="0.25">
      <c r="A69">
        <v>2033280425</v>
      </c>
      <c r="B69" t="s">
        <v>777</v>
      </c>
      <c r="C69" t="s">
        <v>171</v>
      </c>
      <c r="D69" t="str">
        <f t="shared" si="3"/>
        <v>WILLIAM RESURRECCION</v>
      </c>
      <c r="E69" t="s">
        <v>89</v>
      </c>
      <c r="F69" t="s">
        <v>133</v>
      </c>
      <c r="G69" t="s">
        <v>134</v>
      </c>
      <c r="H69" t="s">
        <v>134</v>
      </c>
      <c r="I69" s="8" t="s">
        <v>1092</v>
      </c>
      <c r="J69" t="s">
        <v>90</v>
      </c>
      <c r="K69" t="s">
        <v>91</v>
      </c>
      <c r="L69" t="str">
        <f t="shared" si="2"/>
        <v>Andrew Choi</v>
      </c>
      <c r="M69" t="s">
        <v>1134</v>
      </c>
      <c r="N69" t="s">
        <v>57</v>
      </c>
      <c r="O69" s="1">
        <v>46054</v>
      </c>
      <c r="P69" s="1">
        <v>46235</v>
      </c>
      <c r="Q69" s="2">
        <v>152.33000000000001</v>
      </c>
      <c r="R69" t="s">
        <v>58</v>
      </c>
      <c r="S69" s="4">
        <v>0.375</v>
      </c>
      <c r="T69">
        <v>0</v>
      </c>
      <c r="U69" t="s">
        <v>60</v>
      </c>
      <c r="V69" t="s">
        <v>248</v>
      </c>
      <c r="W69">
        <v>0</v>
      </c>
      <c r="X69" s="2">
        <v>0</v>
      </c>
      <c r="Y69" s="2">
        <v>57.12</v>
      </c>
      <c r="Z69" s="2">
        <v>0</v>
      </c>
      <c r="AA69" s="2">
        <v>0</v>
      </c>
      <c r="AB69" s="2">
        <v>0</v>
      </c>
    </row>
    <row r="70" spans="1:28" x14ac:dyDescent="0.25">
      <c r="A70">
        <v>2033249077</v>
      </c>
      <c r="B70" t="s">
        <v>765</v>
      </c>
      <c r="C70" t="s">
        <v>766</v>
      </c>
      <c r="D70" t="str">
        <f t="shared" si="3"/>
        <v>CONAL BLANCA</v>
      </c>
      <c r="E70" t="s">
        <v>89</v>
      </c>
      <c r="F70" t="s">
        <v>133</v>
      </c>
      <c r="G70" t="s">
        <v>134</v>
      </c>
      <c r="H70" t="s">
        <v>134</v>
      </c>
      <c r="I70" s="8" t="s">
        <v>1092</v>
      </c>
      <c r="J70" t="s">
        <v>90</v>
      </c>
      <c r="K70" t="s">
        <v>91</v>
      </c>
      <c r="L70" t="str">
        <f t="shared" si="2"/>
        <v>Andrew Choi</v>
      </c>
      <c r="M70" t="s">
        <v>1134</v>
      </c>
      <c r="N70" t="s">
        <v>57</v>
      </c>
      <c r="O70" s="1">
        <v>46054</v>
      </c>
      <c r="P70" s="1">
        <v>46235</v>
      </c>
      <c r="Q70" s="2">
        <v>160.96</v>
      </c>
      <c r="R70" t="s">
        <v>58</v>
      </c>
      <c r="S70" s="4">
        <v>0.375</v>
      </c>
      <c r="T70">
        <v>0</v>
      </c>
      <c r="U70" t="s">
        <v>60</v>
      </c>
      <c r="V70" t="s">
        <v>248</v>
      </c>
      <c r="W70">
        <v>0</v>
      </c>
      <c r="X70" s="2">
        <v>0</v>
      </c>
      <c r="Y70" s="2">
        <v>60.36</v>
      </c>
      <c r="Z70" s="2">
        <v>0</v>
      </c>
      <c r="AA70" s="2">
        <v>0</v>
      </c>
      <c r="AB70" s="2">
        <v>0</v>
      </c>
    </row>
    <row r="71" spans="1:28" x14ac:dyDescent="0.25">
      <c r="A71">
        <v>2033365518</v>
      </c>
      <c r="B71" t="s">
        <v>532</v>
      </c>
      <c r="C71" t="s">
        <v>533</v>
      </c>
      <c r="D71" t="str">
        <f t="shared" si="3"/>
        <v>JULIE NAGY</v>
      </c>
      <c r="E71" t="s">
        <v>89</v>
      </c>
      <c r="F71" t="s">
        <v>133</v>
      </c>
      <c r="G71" t="s">
        <v>134</v>
      </c>
      <c r="H71" t="s">
        <v>134</v>
      </c>
      <c r="I71" s="8" t="s">
        <v>1092</v>
      </c>
      <c r="J71" t="s">
        <v>90</v>
      </c>
      <c r="K71" t="s">
        <v>91</v>
      </c>
      <c r="L71" t="str">
        <f t="shared" si="2"/>
        <v>Andrew Choi</v>
      </c>
      <c r="M71" t="s">
        <v>1134</v>
      </c>
      <c r="N71" t="s">
        <v>57</v>
      </c>
      <c r="O71" s="1">
        <v>46054</v>
      </c>
      <c r="P71" s="1">
        <v>46235</v>
      </c>
      <c r="Q71" s="2">
        <v>160.96</v>
      </c>
      <c r="R71" t="s">
        <v>58</v>
      </c>
      <c r="S71" s="4">
        <v>0.375</v>
      </c>
      <c r="T71">
        <v>0</v>
      </c>
      <c r="U71" t="s">
        <v>60</v>
      </c>
      <c r="V71" t="s">
        <v>248</v>
      </c>
      <c r="W71">
        <v>0</v>
      </c>
      <c r="X71" s="2">
        <v>0</v>
      </c>
      <c r="Y71" s="2">
        <v>60.36</v>
      </c>
      <c r="Z71" s="2">
        <v>0</v>
      </c>
      <c r="AA71" s="2">
        <v>0</v>
      </c>
      <c r="AB71" s="2">
        <v>0</v>
      </c>
    </row>
    <row r="72" spans="1:28" x14ac:dyDescent="0.25">
      <c r="A72">
        <v>2033263118</v>
      </c>
      <c r="B72" t="s">
        <v>767</v>
      </c>
      <c r="C72" t="s">
        <v>768</v>
      </c>
      <c r="D72" t="str">
        <f t="shared" si="3"/>
        <v>ALMA HOMDUS</v>
      </c>
      <c r="E72" t="s">
        <v>89</v>
      </c>
      <c r="F72" t="s">
        <v>194</v>
      </c>
      <c r="G72" t="s">
        <v>217</v>
      </c>
      <c r="H72" t="s">
        <v>217</v>
      </c>
      <c r="I72" s="8" t="s">
        <v>1092</v>
      </c>
      <c r="J72" t="s">
        <v>90</v>
      </c>
      <c r="K72" t="s">
        <v>91</v>
      </c>
      <c r="L72" t="str">
        <f t="shared" si="2"/>
        <v>Andrew Choi</v>
      </c>
      <c r="M72" t="s">
        <v>1134</v>
      </c>
      <c r="N72" t="s">
        <v>57</v>
      </c>
      <c r="O72" s="1">
        <v>46054</v>
      </c>
      <c r="P72" s="1">
        <v>46235</v>
      </c>
      <c r="Q72" s="2">
        <v>146.88</v>
      </c>
      <c r="R72" t="s">
        <v>58</v>
      </c>
      <c r="S72" s="3">
        <v>0.9</v>
      </c>
      <c r="T72">
        <v>0</v>
      </c>
      <c r="U72" t="s">
        <v>60</v>
      </c>
      <c r="V72" t="s">
        <v>248</v>
      </c>
      <c r="W72">
        <v>0</v>
      </c>
      <c r="X72" s="2">
        <v>0</v>
      </c>
      <c r="Y72" s="2">
        <v>132.19</v>
      </c>
      <c r="Z72" s="2">
        <v>0</v>
      </c>
      <c r="AA72" s="2">
        <v>0</v>
      </c>
      <c r="AB72" s="2">
        <v>0</v>
      </c>
    </row>
    <row r="73" spans="1:28" x14ac:dyDescent="0.25">
      <c r="A73">
        <v>2026878482</v>
      </c>
      <c r="B73" t="s">
        <v>1027</v>
      </c>
      <c r="C73" t="s">
        <v>1028</v>
      </c>
      <c r="D73" t="str">
        <f t="shared" si="3"/>
        <v>BRION FLYNN</v>
      </c>
      <c r="E73" t="s">
        <v>52</v>
      </c>
      <c r="F73" t="s">
        <v>194</v>
      </c>
      <c r="G73" t="s">
        <v>881</v>
      </c>
      <c r="H73" t="s">
        <v>881</v>
      </c>
      <c r="I73" s="8" t="s">
        <v>1071</v>
      </c>
      <c r="J73" t="s">
        <v>255</v>
      </c>
      <c r="K73" t="s">
        <v>256</v>
      </c>
      <c r="L73" t="str">
        <f t="shared" si="2"/>
        <v>ANNE MARIE KOZACHECK</v>
      </c>
      <c r="M73" t="s">
        <v>1133</v>
      </c>
      <c r="N73" t="s">
        <v>57</v>
      </c>
      <c r="O73" s="1">
        <v>45689</v>
      </c>
      <c r="P73" s="1">
        <v>46235</v>
      </c>
      <c r="Q73" s="2">
        <v>25.73</v>
      </c>
      <c r="R73" t="s">
        <v>58</v>
      </c>
      <c r="S73" s="3">
        <v>0.15</v>
      </c>
      <c r="T73">
        <v>0</v>
      </c>
      <c r="U73" t="s">
        <v>247</v>
      </c>
      <c r="V73" t="s">
        <v>248</v>
      </c>
      <c r="W73">
        <v>0</v>
      </c>
      <c r="X73" s="2">
        <v>0</v>
      </c>
      <c r="Y73" s="2">
        <v>3.86</v>
      </c>
      <c r="Z73" s="2">
        <v>3.86</v>
      </c>
      <c r="AA73" s="2">
        <v>3.86</v>
      </c>
      <c r="AB73" s="2">
        <v>0</v>
      </c>
    </row>
    <row r="74" spans="1:28" x14ac:dyDescent="0.25">
      <c r="A74">
        <v>2021515732</v>
      </c>
      <c r="B74" t="s">
        <v>260</v>
      </c>
      <c r="C74" t="s">
        <v>261</v>
      </c>
      <c r="D74" t="str">
        <f t="shared" si="3"/>
        <v>JOY BASKERVILLE</v>
      </c>
      <c r="E74" t="s">
        <v>52</v>
      </c>
      <c r="F74" t="s">
        <v>240</v>
      </c>
      <c r="G74" t="s">
        <v>865</v>
      </c>
      <c r="H74" t="s">
        <v>865</v>
      </c>
      <c r="I74" s="8" t="s">
        <v>1071</v>
      </c>
      <c r="J74" t="s">
        <v>255</v>
      </c>
      <c r="K74" t="s">
        <v>256</v>
      </c>
      <c r="L74" t="str">
        <f t="shared" si="2"/>
        <v>ANNE MARIE KOZACHECK</v>
      </c>
      <c r="M74" t="s">
        <v>1133</v>
      </c>
      <c r="N74" t="s">
        <v>57</v>
      </c>
      <c r="O74" s="1">
        <v>45315</v>
      </c>
      <c r="P74" s="1">
        <v>46227</v>
      </c>
      <c r="Q74" s="2">
        <v>54.54</v>
      </c>
      <c r="R74" t="s">
        <v>58</v>
      </c>
      <c r="S74" s="4">
        <v>5.2499999999999998E-2</v>
      </c>
      <c r="T74">
        <v>0</v>
      </c>
      <c r="U74" t="s">
        <v>247</v>
      </c>
      <c r="V74" t="s">
        <v>248</v>
      </c>
      <c r="W74">
        <v>0</v>
      </c>
      <c r="X74" s="2">
        <v>0</v>
      </c>
      <c r="Y74" s="2">
        <v>2.86</v>
      </c>
      <c r="Z74" s="2">
        <v>2.86</v>
      </c>
      <c r="AA74" s="2">
        <v>2.86</v>
      </c>
      <c r="AB74" s="2">
        <v>0</v>
      </c>
    </row>
    <row r="75" spans="1:28" x14ac:dyDescent="0.25">
      <c r="A75">
        <v>2024526899</v>
      </c>
      <c r="B75" t="s">
        <v>578</v>
      </c>
      <c r="C75" t="s">
        <v>874</v>
      </c>
      <c r="D75" t="str">
        <f t="shared" si="3"/>
        <v>BARBARA BROOME</v>
      </c>
      <c r="E75" t="s">
        <v>52</v>
      </c>
      <c r="F75" t="s">
        <v>240</v>
      </c>
      <c r="G75" t="s">
        <v>865</v>
      </c>
      <c r="H75" t="s">
        <v>865</v>
      </c>
      <c r="I75" s="8" t="s">
        <v>1071</v>
      </c>
      <c r="J75" t="s">
        <v>255</v>
      </c>
      <c r="K75" t="s">
        <v>256</v>
      </c>
      <c r="L75" t="str">
        <f t="shared" si="2"/>
        <v>ANNE MARIE KOZACHECK</v>
      </c>
      <c r="M75" t="s">
        <v>1133</v>
      </c>
      <c r="N75" t="s">
        <v>57</v>
      </c>
      <c r="O75" s="1">
        <v>45528</v>
      </c>
      <c r="P75" s="1">
        <v>46227</v>
      </c>
      <c r="Q75" s="2">
        <v>50.6</v>
      </c>
      <c r="R75" t="s">
        <v>58</v>
      </c>
      <c r="S75" s="4">
        <v>5.2499999999999998E-2</v>
      </c>
      <c r="T75">
        <v>0</v>
      </c>
      <c r="U75" t="s">
        <v>247</v>
      </c>
      <c r="V75" t="s">
        <v>248</v>
      </c>
      <c r="W75">
        <v>0</v>
      </c>
      <c r="X75" s="2">
        <v>0</v>
      </c>
      <c r="Y75" s="2">
        <v>2.66</v>
      </c>
      <c r="Z75" s="2">
        <v>2.66</v>
      </c>
      <c r="AA75" s="2">
        <v>2.66</v>
      </c>
      <c r="AB75" s="2">
        <v>0</v>
      </c>
    </row>
    <row r="76" spans="1:28" x14ac:dyDescent="0.25">
      <c r="A76">
        <v>2017517074</v>
      </c>
      <c r="B76" t="s">
        <v>976</v>
      </c>
      <c r="C76" t="s">
        <v>381</v>
      </c>
      <c r="D76" t="str">
        <f t="shared" si="3"/>
        <v>DAVID HEATH</v>
      </c>
      <c r="E76" t="s">
        <v>52</v>
      </c>
      <c r="F76" t="s">
        <v>188</v>
      </c>
      <c r="G76" t="s">
        <v>189</v>
      </c>
      <c r="H76" t="s">
        <v>189</v>
      </c>
      <c r="I76" s="8" t="s">
        <v>1071</v>
      </c>
      <c r="J76" t="s">
        <v>255</v>
      </c>
      <c r="K76" t="s">
        <v>256</v>
      </c>
      <c r="L76" t="str">
        <f t="shared" si="2"/>
        <v>ANNE MARIE KOZACHECK</v>
      </c>
      <c r="M76" t="s">
        <v>1133</v>
      </c>
      <c r="N76" t="s">
        <v>57</v>
      </c>
      <c r="O76" s="1">
        <v>44958</v>
      </c>
      <c r="P76" s="1">
        <v>46235</v>
      </c>
      <c r="Q76" s="2">
        <v>38.11</v>
      </c>
      <c r="R76" t="s">
        <v>58</v>
      </c>
      <c r="S76" s="3">
        <v>0.1</v>
      </c>
      <c r="T76">
        <v>0</v>
      </c>
      <c r="U76" t="s">
        <v>247</v>
      </c>
      <c r="V76" t="s">
        <v>248</v>
      </c>
      <c r="W76">
        <v>0</v>
      </c>
      <c r="X76" s="2">
        <v>0</v>
      </c>
      <c r="Y76" s="2">
        <v>3.81</v>
      </c>
      <c r="Z76" s="2">
        <v>3.81</v>
      </c>
      <c r="AA76" s="2">
        <v>3.81</v>
      </c>
      <c r="AB76" s="2">
        <v>0</v>
      </c>
    </row>
    <row r="77" spans="1:28" x14ac:dyDescent="0.25">
      <c r="A77">
        <v>2022444748</v>
      </c>
      <c r="B77" t="s">
        <v>678</v>
      </c>
      <c r="C77" t="s">
        <v>679</v>
      </c>
      <c r="D77" t="str">
        <f t="shared" si="3"/>
        <v>KYLE DESOUSA</v>
      </c>
      <c r="E77" t="s">
        <v>52</v>
      </c>
      <c r="F77" t="s">
        <v>188</v>
      </c>
      <c r="G77" t="s">
        <v>189</v>
      </c>
      <c r="H77" t="s">
        <v>189</v>
      </c>
      <c r="I77" s="8" t="s">
        <v>1071</v>
      </c>
      <c r="J77" t="s">
        <v>255</v>
      </c>
      <c r="K77" t="s">
        <v>256</v>
      </c>
      <c r="L77" t="str">
        <f t="shared" si="2"/>
        <v>ANNE MARIE KOZACHECK</v>
      </c>
      <c r="M77" t="s">
        <v>1133</v>
      </c>
      <c r="N77" t="s">
        <v>57</v>
      </c>
      <c r="O77" s="1">
        <v>45383</v>
      </c>
      <c r="P77" s="1">
        <v>46235</v>
      </c>
      <c r="Q77" s="2">
        <v>21.97</v>
      </c>
      <c r="R77" t="s">
        <v>58</v>
      </c>
      <c r="S77" s="3">
        <v>0.1</v>
      </c>
      <c r="T77">
        <v>0</v>
      </c>
      <c r="U77" t="s">
        <v>247</v>
      </c>
      <c r="V77" t="s">
        <v>248</v>
      </c>
      <c r="W77">
        <v>0</v>
      </c>
      <c r="X77" s="2">
        <v>0</v>
      </c>
      <c r="Y77" s="2">
        <v>2.2000000000000002</v>
      </c>
      <c r="Z77" s="2">
        <v>2.2000000000000002</v>
      </c>
      <c r="AA77" s="2">
        <v>2.2000000000000002</v>
      </c>
      <c r="AB77" s="2">
        <v>0</v>
      </c>
    </row>
    <row r="78" spans="1:28" x14ac:dyDescent="0.25">
      <c r="A78">
        <v>2022453568</v>
      </c>
      <c r="B78" t="s">
        <v>977</v>
      </c>
      <c r="C78" t="s">
        <v>379</v>
      </c>
      <c r="D78" t="str">
        <f t="shared" si="3"/>
        <v>THOMAS WICK</v>
      </c>
      <c r="E78" t="s">
        <v>52</v>
      </c>
      <c r="F78" t="s">
        <v>188</v>
      </c>
      <c r="G78" t="s">
        <v>189</v>
      </c>
      <c r="H78" t="s">
        <v>189</v>
      </c>
      <c r="I78" s="8" t="s">
        <v>1071</v>
      </c>
      <c r="J78" t="s">
        <v>255</v>
      </c>
      <c r="K78" t="s">
        <v>256</v>
      </c>
      <c r="L78" t="str">
        <f t="shared" si="2"/>
        <v>ANNE MARIE KOZACHECK</v>
      </c>
      <c r="M78" t="s">
        <v>1133</v>
      </c>
      <c r="N78" t="s">
        <v>57</v>
      </c>
      <c r="O78" s="1">
        <v>45383</v>
      </c>
      <c r="P78" s="1">
        <v>46235</v>
      </c>
      <c r="Q78" s="2">
        <v>21.97</v>
      </c>
      <c r="R78" t="s">
        <v>58</v>
      </c>
      <c r="S78" s="3">
        <v>0.1</v>
      </c>
      <c r="T78">
        <v>0</v>
      </c>
      <c r="U78" t="s">
        <v>247</v>
      </c>
      <c r="V78" t="s">
        <v>248</v>
      </c>
      <c r="W78">
        <v>0</v>
      </c>
      <c r="X78" s="2">
        <v>0</v>
      </c>
      <c r="Y78" s="2">
        <v>2.2000000000000002</v>
      </c>
      <c r="Z78" s="2">
        <v>2.2000000000000002</v>
      </c>
      <c r="AA78" s="2">
        <v>2.2000000000000002</v>
      </c>
      <c r="AB78" s="2">
        <v>0</v>
      </c>
    </row>
    <row r="79" spans="1:28" x14ac:dyDescent="0.25">
      <c r="A79">
        <v>2022979208</v>
      </c>
      <c r="B79" t="s">
        <v>668</v>
      </c>
      <c r="C79" t="s">
        <v>978</v>
      </c>
      <c r="D79" t="str">
        <f t="shared" si="3"/>
        <v>DOMENIC LOPEZ</v>
      </c>
      <c r="E79" t="s">
        <v>52</v>
      </c>
      <c r="F79" t="s">
        <v>188</v>
      </c>
      <c r="G79" t="s">
        <v>189</v>
      </c>
      <c r="H79" t="s">
        <v>189</v>
      </c>
      <c r="I79" s="8" t="s">
        <v>1071</v>
      </c>
      <c r="J79" t="s">
        <v>255</v>
      </c>
      <c r="K79" t="s">
        <v>256</v>
      </c>
      <c r="L79" t="str">
        <f t="shared" si="2"/>
        <v>ANNE MARIE KOZACHECK</v>
      </c>
      <c r="M79" t="s">
        <v>1133</v>
      </c>
      <c r="N79" t="s">
        <v>57</v>
      </c>
      <c r="O79" s="1">
        <v>45444</v>
      </c>
      <c r="P79" s="1">
        <v>46235</v>
      </c>
      <c r="Q79" s="2">
        <v>61.39</v>
      </c>
      <c r="R79" t="s">
        <v>58</v>
      </c>
      <c r="S79" s="3">
        <v>0.1</v>
      </c>
      <c r="T79">
        <v>0</v>
      </c>
      <c r="U79" t="s">
        <v>247</v>
      </c>
      <c r="V79" t="s">
        <v>248</v>
      </c>
      <c r="W79">
        <v>0</v>
      </c>
      <c r="X79" s="2">
        <v>0</v>
      </c>
      <c r="Y79" s="2">
        <v>6.14</v>
      </c>
      <c r="Z79" s="2">
        <v>6.14</v>
      </c>
      <c r="AA79" s="2">
        <v>6.14</v>
      </c>
      <c r="AB79" s="2">
        <v>0</v>
      </c>
    </row>
    <row r="80" spans="1:28" x14ac:dyDescent="0.25">
      <c r="A80">
        <v>2023184837</v>
      </c>
      <c r="B80" t="s">
        <v>680</v>
      </c>
      <c r="C80" t="s">
        <v>681</v>
      </c>
      <c r="D80" t="str">
        <f t="shared" si="3"/>
        <v>EVAN STINSON</v>
      </c>
      <c r="E80" t="s">
        <v>52</v>
      </c>
      <c r="F80" t="s">
        <v>188</v>
      </c>
      <c r="G80" t="s">
        <v>189</v>
      </c>
      <c r="H80" t="s">
        <v>189</v>
      </c>
      <c r="I80" s="8" t="s">
        <v>1071</v>
      </c>
      <c r="J80" t="s">
        <v>255</v>
      </c>
      <c r="K80" t="s">
        <v>256</v>
      </c>
      <c r="L80" t="str">
        <f t="shared" si="2"/>
        <v>ANNE MARIE KOZACHECK</v>
      </c>
      <c r="M80" t="s">
        <v>1133</v>
      </c>
      <c r="N80" t="s">
        <v>57</v>
      </c>
      <c r="O80" s="1">
        <v>45444</v>
      </c>
      <c r="P80" s="1">
        <v>46235</v>
      </c>
      <c r="Q80" s="2">
        <v>21.97</v>
      </c>
      <c r="R80" t="s">
        <v>58</v>
      </c>
      <c r="S80" s="3">
        <v>0.1</v>
      </c>
      <c r="T80">
        <v>0</v>
      </c>
      <c r="U80" t="s">
        <v>247</v>
      </c>
      <c r="V80" t="s">
        <v>248</v>
      </c>
      <c r="W80">
        <v>0</v>
      </c>
      <c r="X80" s="2">
        <v>0</v>
      </c>
      <c r="Y80" s="2">
        <v>2.2000000000000002</v>
      </c>
      <c r="Z80" s="2">
        <v>2.2000000000000002</v>
      </c>
      <c r="AA80" s="2">
        <v>2.2000000000000002</v>
      </c>
      <c r="AB80" s="2">
        <v>0</v>
      </c>
    </row>
    <row r="81" spans="1:28" x14ac:dyDescent="0.25">
      <c r="A81">
        <v>2025046019</v>
      </c>
      <c r="B81" t="s">
        <v>277</v>
      </c>
      <c r="C81" t="s">
        <v>278</v>
      </c>
      <c r="D81" t="str">
        <f t="shared" si="3"/>
        <v>JOAQUIN TRAVERSO-RODRIQUEZ</v>
      </c>
      <c r="E81" t="s">
        <v>52</v>
      </c>
      <c r="F81" t="s">
        <v>188</v>
      </c>
      <c r="G81" t="s">
        <v>189</v>
      </c>
      <c r="H81" t="s">
        <v>189</v>
      </c>
      <c r="I81" s="8" t="s">
        <v>1071</v>
      </c>
      <c r="J81" t="s">
        <v>255</v>
      </c>
      <c r="K81" t="s">
        <v>256</v>
      </c>
      <c r="L81" t="str">
        <f t="shared" si="2"/>
        <v>ANNE MARIE KOZACHECK</v>
      </c>
      <c r="M81" t="s">
        <v>1133</v>
      </c>
      <c r="N81" t="s">
        <v>57</v>
      </c>
      <c r="O81" s="1">
        <v>45566</v>
      </c>
      <c r="P81" s="1">
        <v>46235</v>
      </c>
      <c r="Q81" s="2">
        <v>80.319999999999993</v>
      </c>
      <c r="R81" t="s">
        <v>58</v>
      </c>
      <c r="S81" s="3">
        <v>0.1</v>
      </c>
      <c r="T81">
        <v>0</v>
      </c>
      <c r="U81" t="s">
        <v>247</v>
      </c>
      <c r="V81" t="s">
        <v>248</v>
      </c>
      <c r="W81">
        <v>0</v>
      </c>
      <c r="X81" s="2">
        <v>0</v>
      </c>
      <c r="Y81" s="2">
        <v>8.0299999999999994</v>
      </c>
      <c r="Z81" s="2">
        <v>8.0299999999999994</v>
      </c>
      <c r="AA81" s="2">
        <v>8.0299999999999994</v>
      </c>
      <c r="AB81" s="2">
        <v>0</v>
      </c>
    </row>
    <row r="82" spans="1:28" x14ac:dyDescent="0.25">
      <c r="A82">
        <v>2024569206</v>
      </c>
      <c r="B82" t="s">
        <v>693</v>
      </c>
      <c r="C82" t="s">
        <v>694</v>
      </c>
      <c r="D82" t="str">
        <f t="shared" si="3"/>
        <v>CAROLINA CASILLAS</v>
      </c>
      <c r="E82" t="s">
        <v>626</v>
      </c>
      <c r="F82" t="s">
        <v>194</v>
      </c>
      <c r="G82" t="s">
        <v>195</v>
      </c>
      <c r="H82" t="s">
        <v>195</v>
      </c>
      <c r="I82" s="8" t="s">
        <v>1071</v>
      </c>
      <c r="J82" t="s">
        <v>255</v>
      </c>
      <c r="K82" t="s">
        <v>256</v>
      </c>
      <c r="L82" t="str">
        <f t="shared" si="2"/>
        <v>ANNE MARIE KOZACHECK</v>
      </c>
      <c r="M82" t="s">
        <v>1133</v>
      </c>
      <c r="N82" t="s">
        <v>57</v>
      </c>
      <c r="O82" s="1">
        <v>45531</v>
      </c>
      <c r="P82" s="1">
        <v>46230</v>
      </c>
      <c r="Q82" s="2">
        <v>10.82</v>
      </c>
      <c r="R82" t="s">
        <v>58</v>
      </c>
      <c r="S82" s="3">
        <v>0.15</v>
      </c>
      <c r="T82">
        <v>0</v>
      </c>
      <c r="U82" t="s">
        <v>247</v>
      </c>
      <c r="V82" t="s">
        <v>248</v>
      </c>
      <c r="W82">
        <v>0</v>
      </c>
      <c r="X82" s="2">
        <v>0</v>
      </c>
      <c r="Y82" s="2">
        <v>1.62</v>
      </c>
      <c r="Z82" s="2">
        <v>1.62</v>
      </c>
      <c r="AA82" s="2">
        <v>1.62</v>
      </c>
      <c r="AB82" s="2">
        <v>0</v>
      </c>
    </row>
    <row r="83" spans="1:28" x14ac:dyDescent="0.25">
      <c r="A83">
        <v>2022444747</v>
      </c>
      <c r="B83" t="s">
        <v>678</v>
      </c>
      <c r="C83" t="s">
        <v>679</v>
      </c>
      <c r="D83" t="str">
        <f t="shared" si="3"/>
        <v>KYLE DESOUSA</v>
      </c>
      <c r="E83" t="s">
        <v>52</v>
      </c>
      <c r="F83" t="s">
        <v>133</v>
      </c>
      <c r="G83" t="s">
        <v>134</v>
      </c>
      <c r="H83" t="s">
        <v>134</v>
      </c>
      <c r="I83" s="8" t="s">
        <v>1071</v>
      </c>
      <c r="J83" t="s">
        <v>255</v>
      </c>
      <c r="K83" t="s">
        <v>256</v>
      </c>
      <c r="L83" t="str">
        <f t="shared" si="2"/>
        <v>ANNE MARIE KOZACHECK</v>
      </c>
      <c r="M83" t="s">
        <v>1133</v>
      </c>
      <c r="N83" t="s">
        <v>57</v>
      </c>
      <c r="O83" s="1">
        <v>45383</v>
      </c>
      <c r="P83" s="1">
        <v>46235</v>
      </c>
      <c r="Q83" s="2">
        <v>35.979999999999997</v>
      </c>
      <c r="R83" t="s">
        <v>58</v>
      </c>
      <c r="S83" s="3">
        <v>0.06</v>
      </c>
      <c r="T83">
        <v>0</v>
      </c>
      <c r="U83" t="s">
        <v>247</v>
      </c>
      <c r="V83" t="s">
        <v>248</v>
      </c>
      <c r="W83">
        <v>0</v>
      </c>
      <c r="X83" s="2">
        <v>0</v>
      </c>
      <c r="Y83" s="2">
        <v>2.16</v>
      </c>
      <c r="Z83" s="2">
        <v>2.16</v>
      </c>
      <c r="AA83" s="2">
        <v>2.16</v>
      </c>
      <c r="AB83" s="2">
        <v>0</v>
      </c>
    </row>
    <row r="84" spans="1:28" x14ac:dyDescent="0.25">
      <c r="A84">
        <v>2023184836</v>
      </c>
      <c r="B84" t="s">
        <v>680</v>
      </c>
      <c r="C84" t="s">
        <v>681</v>
      </c>
      <c r="D84" t="str">
        <f t="shared" si="3"/>
        <v>EVAN STINSON</v>
      </c>
      <c r="E84" t="s">
        <v>52</v>
      </c>
      <c r="F84" t="s">
        <v>133</v>
      </c>
      <c r="G84" t="s">
        <v>134</v>
      </c>
      <c r="H84" t="s">
        <v>134</v>
      </c>
      <c r="I84" s="8" t="s">
        <v>1071</v>
      </c>
      <c r="J84" t="s">
        <v>255</v>
      </c>
      <c r="K84" t="s">
        <v>256</v>
      </c>
      <c r="L84" t="str">
        <f t="shared" si="2"/>
        <v>ANNE MARIE KOZACHECK</v>
      </c>
      <c r="M84" t="s">
        <v>1133</v>
      </c>
      <c r="N84" t="s">
        <v>57</v>
      </c>
      <c r="O84" s="1">
        <v>45444</v>
      </c>
      <c r="P84" s="1">
        <v>46235</v>
      </c>
      <c r="Q84" s="2">
        <v>35.979999999999997</v>
      </c>
      <c r="R84" t="s">
        <v>58</v>
      </c>
      <c r="S84" s="3">
        <v>0.06</v>
      </c>
      <c r="T84">
        <v>0</v>
      </c>
      <c r="U84" t="s">
        <v>247</v>
      </c>
      <c r="V84" t="s">
        <v>248</v>
      </c>
      <c r="W84">
        <v>0</v>
      </c>
      <c r="X84" s="2">
        <v>0</v>
      </c>
      <c r="Y84" s="2">
        <v>2.16</v>
      </c>
      <c r="Z84" s="2">
        <v>2.16</v>
      </c>
      <c r="AA84" s="2">
        <v>2.16</v>
      </c>
      <c r="AB84" s="2">
        <v>0</v>
      </c>
    </row>
    <row r="85" spans="1:28" x14ac:dyDescent="0.25">
      <c r="A85">
        <v>2023651869</v>
      </c>
      <c r="B85" t="s">
        <v>686</v>
      </c>
      <c r="C85" t="s">
        <v>687</v>
      </c>
      <c r="D85" t="str">
        <f t="shared" si="3"/>
        <v>RICHARD HAWKINSON</v>
      </c>
      <c r="E85" t="s">
        <v>52</v>
      </c>
      <c r="F85" t="s">
        <v>133</v>
      </c>
      <c r="G85" t="s">
        <v>134</v>
      </c>
      <c r="H85" t="s">
        <v>134</v>
      </c>
      <c r="I85" s="8" t="s">
        <v>1071</v>
      </c>
      <c r="J85" t="s">
        <v>255</v>
      </c>
      <c r="K85" t="s">
        <v>256</v>
      </c>
      <c r="L85" t="str">
        <f t="shared" si="2"/>
        <v>ANNE MARIE KOZACHECK</v>
      </c>
      <c r="M85" t="s">
        <v>1133</v>
      </c>
      <c r="N85" t="s">
        <v>57</v>
      </c>
      <c r="O85" s="1">
        <v>45474</v>
      </c>
      <c r="P85" s="1">
        <v>46235</v>
      </c>
      <c r="Q85" s="2">
        <v>39.979999999999997</v>
      </c>
      <c r="R85" t="s">
        <v>58</v>
      </c>
      <c r="S85" s="3">
        <v>0.06</v>
      </c>
      <c r="T85">
        <v>0</v>
      </c>
      <c r="U85" t="s">
        <v>247</v>
      </c>
      <c r="V85" t="s">
        <v>248</v>
      </c>
      <c r="W85">
        <v>0</v>
      </c>
      <c r="X85" s="2">
        <v>0</v>
      </c>
      <c r="Y85" s="2">
        <v>2.4</v>
      </c>
      <c r="Z85" s="2">
        <v>2.4</v>
      </c>
      <c r="AA85" s="2">
        <v>2.4</v>
      </c>
      <c r="AB85" s="2">
        <v>0</v>
      </c>
    </row>
    <row r="86" spans="1:28" x14ac:dyDescent="0.25">
      <c r="A86">
        <v>2024382485</v>
      </c>
      <c r="B86" t="s">
        <v>274</v>
      </c>
      <c r="C86" t="s">
        <v>275</v>
      </c>
      <c r="D86" t="str">
        <f t="shared" si="3"/>
        <v>CHARLES MADDEN</v>
      </c>
      <c r="E86" t="s">
        <v>52</v>
      </c>
      <c r="F86" t="s">
        <v>133</v>
      </c>
      <c r="G86" t="s">
        <v>134</v>
      </c>
      <c r="H86" t="s">
        <v>134</v>
      </c>
      <c r="I86" s="8" t="s">
        <v>1071</v>
      </c>
      <c r="J86" t="s">
        <v>255</v>
      </c>
      <c r="K86" t="s">
        <v>256</v>
      </c>
      <c r="L86" t="str">
        <f t="shared" si="2"/>
        <v>ANNE MARIE KOZACHECK</v>
      </c>
      <c r="M86" t="s">
        <v>1133</v>
      </c>
      <c r="N86" t="s">
        <v>57</v>
      </c>
      <c r="O86" s="1">
        <v>45536</v>
      </c>
      <c r="P86" s="1">
        <v>46235</v>
      </c>
      <c r="Q86" s="2">
        <v>44.98</v>
      </c>
      <c r="R86" t="s">
        <v>58</v>
      </c>
      <c r="S86" s="3">
        <v>0.06</v>
      </c>
      <c r="T86">
        <v>0</v>
      </c>
      <c r="U86" t="s">
        <v>247</v>
      </c>
      <c r="V86" t="s">
        <v>248</v>
      </c>
      <c r="W86">
        <v>0</v>
      </c>
      <c r="X86" s="2">
        <v>0</v>
      </c>
      <c r="Y86" s="2">
        <v>2.7</v>
      </c>
      <c r="Z86" s="2">
        <v>2.7</v>
      </c>
      <c r="AA86" s="2">
        <v>2.7</v>
      </c>
      <c r="AB86" s="2">
        <v>0</v>
      </c>
    </row>
    <row r="87" spans="1:28" x14ac:dyDescent="0.25">
      <c r="A87">
        <v>2024569205</v>
      </c>
      <c r="B87" t="s">
        <v>693</v>
      </c>
      <c r="C87" t="s">
        <v>694</v>
      </c>
      <c r="D87" t="str">
        <f t="shared" si="3"/>
        <v>CAROLINA CASILLAS</v>
      </c>
      <c r="E87" t="s">
        <v>626</v>
      </c>
      <c r="F87" t="s">
        <v>133</v>
      </c>
      <c r="G87" t="s">
        <v>134</v>
      </c>
      <c r="H87" t="s">
        <v>134</v>
      </c>
      <c r="I87" s="8" t="s">
        <v>1071</v>
      </c>
      <c r="J87" t="s">
        <v>255</v>
      </c>
      <c r="K87" t="s">
        <v>256</v>
      </c>
      <c r="L87" t="str">
        <f t="shared" si="2"/>
        <v>ANNE MARIE KOZACHECK</v>
      </c>
      <c r="M87" t="s">
        <v>1133</v>
      </c>
      <c r="N87" t="s">
        <v>57</v>
      </c>
      <c r="O87" s="1">
        <v>45531</v>
      </c>
      <c r="P87" s="1">
        <v>46230</v>
      </c>
      <c r="Q87" s="2">
        <v>60.87</v>
      </c>
      <c r="R87" t="s">
        <v>58</v>
      </c>
      <c r="S87" s="3">
        <v>0.06</v>
      </c>
      <c r="T87">
        <v>0</v>
      </c>
      <c r="U87" t="s">
        <v>247</v>
      </c>
      <c r="V87" t="s">
        <v>248</v>
      </c>
      <c r="W87">
        <v>0</v>
      </c>
      <c r="X87" s="2">
        <v>0</v>
      </c>
      <c r="Y87" s="2">
        <v>3.65</v>
      </c>
      <c r="Z87" s="2">
        <v>3.65</v>
      </c>
      <c r="AA87" s="2">
        <v>3.65</v>
      </c>
      <c r="AB87" s="2">
        <v>0</v>
      </c>
    </row>
    <row r="88" spans="1:28" x14ac:dyDescent="0.25">
      <c r="A88">
        <v>2025046020</v>
      </c>
      <c r="B88" t="s">
        <v>277</v>
      </c>
      <c r="C88" t="s">
        <v>278</v>
      </c>
      <c r="D88" t="str">
        <f t="shared" si="3"/>
        <v>JOAQUIN TRAVERSO-RODRIQUEZ</v>
      </c>
      <c r="E88" t="s">
        <v>52</v>
      </c>
      <c r="F88" t="s">
        <v>53</v>
      </c>
      <c r="G88" t="s">
        <v>251</v>
      </c>
      <c r="H88" t="s">
        <v>251</v>
      </c>
      <c r="I88" s="8" t="s">
        <v>1071</v>
      </c>
      <c r="J88" t="s">
        <v>255</v>
      </c>
      <c r="K88" t="s">
        <v>256</v>
      </c>
      <c r="L88" t="str">
        <f t="shared" si="2"/>
        <v>ANNE MARIE KOZACHECK</v>
      </c>
      <c r="M88" t="s">
        <v>1133</v>
      </c>
      <c r="N88" t="s">
        <v>57</v>
      </c>
      <c r="O88" s="1">
        <v>45566</v>
      </c>
      <c r="P88" s="1">
        <v>46235</v>
      </c>
      <c r="Q88" s="2">
        <v>88.27</v>
      </c>
      <c r="R88" t="s">
        <v>58</v>
      </c>
      <c r="S88" s="4">
        <v>6.5000000000000002E-2</v>
      </c>
      <c r="T88">
        <v>0</v>
      </c>
      <c r="U88" t="s">
        <v>247</v>
      </c>
      <c r="V88" t="s">
        <v>248</v>
      </c>
      <c r="W88">
        <v>0</v>
      </c>
      <c r="X88" s="2">
        <v>0</v>
      </c>
      <c r="Y88" s="2">
        <v>5.74</v>
      </c>
      <c r="Z88" s="2">
        <v>5.74</v>
      </c>
      <c r="AA88" s="2">
        <v>5.74</v>
      </c>
      <c r="AB88" s="2">
        <v>0</v>
      </c>
    </row>
    <row r="89" spans="1:28" x14ac:dyDescent="0.25">
      <c r="A89">
        <v>2021515733</v>
      </c>
      <c r="B89" t="s">
        <v>260</v>
      </c>
      <c r="C89" t="s">
        <v>261</v>
      </c>
      <c r="D89" t="str">
        <f t="shared" si="3"/>
        <v>JOY BASKERVILLE</v>
      </c>
      <c r="E89" t="s">
        <v>52</v>
      </c>
      <c r="F89" t="s">
        <v>53</v>
      </c>
      <c r="G89" t="s">
        <v>54</v>
      </c>
      <c r="H89" t="s">
        <v>54</v>
      </c>
      <c r="I89" s="8" t="s">
        <v>1071</v>
      </c>
      <c r="J89" t="s">
        <v>255</v>
      </c>
      <c r="K89" t="s">
        <v>256</v>
      </c>
      <c r="L89" t="str">
        <f t="shared" si="2"/>
        <v>ANNE MARIE KOZACHECK</v>
      </c>
      <c r="M89" t="s">
        <v>1133</v>
      </c>
      <c r="N89" t="s">
        <v>57</v>
      </c>
      <c r="O89" s="1">
        <v>45315</v>
      </c>
      <c r="P89" s="1">
        <v>46227</v>
      </c>
      <c r="Q89" s="2">
        <v>42.45</v>
      </c>
      <c r="R89" t="s">
        <v>58</v>
      </c>
      <c r="S89" s="4">
        <v>6.5000000000000002E-2</v>
      </c>
      <c r="T89">
        <v>0</v>
      </c>
      <c r="U89" t="s">
        <v>247</v>
      </c>
      <c r="V89" t="s">
        <v>248</v>
      </c>
      <c r="W89">
        <v>0</v>
      </c>
      <c r="X89" s="2">
        <v>0</v>
      </c>
      <c r="Y89" s="2">
        <v>2.76</v>
      </c>
      <c r="Z89" s="2">
        <v>2.76</v>
      </c>
      <c r="AA89" s="2">
        <v>2.76</v>
      </c>
      <c r="AB89" s="2">
        <v>0</v>
      </c>
    </row>
    <row r="90" spans="1:28" x14ac:dyDescent="0.25">
      <c r="A90">
        <v>2024382486</v>
      </c>
      <c r="B90" t="s">
        <v>274</v>
      </c>
      <c r="C90" t="s">
        <v>275</v>
      </c>
      <c r="D90" t="str">
        <f t="shared" si="3"/>
        <v>CHARLES MADDEN</v>
      </c>
      <c r="E90" t="s">
        <v>52</v>
      </c>
      <c r="F90" t="s">
        <v>53</v>
      </c>
      <c r="G90" t="s">
        <v>54</v>
      </c>
      <c r="H90" t="s">
        <v>54</v>
      </c>
      <c r="I90" s="8" t="s">
        <v>1071</v>
      </c>
      <c r="J90" t="s">
        <v>255</v>
      </c>
      <c r="K90" t="s">
        <v>256</v>
      </c>
      <c r="L90" t="str">
        <f t="shared" si="2"/>
        <v>ANNE MARIE KOZACHECK</v>
      </c>
      <c r="M90" t="s">
        <v>1133</v>
      </c>
      <c r="N90" t="s">
        <v>57</v>
      </c>
      <c r="O90" s="1">
        <v>45536</v>
      </c>
      <c r="P90" s="1">
        <v>46235</v>
      </c>
      <c r="Q90" s="2">
        <v>42.45</v>
      </c>
      <c r="R90" t="s">
        <v>58</v>
      </c>
      <c r="S90" s="4">
        <v>6.5000000000000002E-2</v>
      </c>
      <c r="T90">
        <v>0</v>
      </c>
      <c r="U90" t="s">
        <v>247</v>
      </c>
      <c r="V90" t="s">
        <v>248</v>
      </c>
      <c r="W90">
        <v>0</v>
      </c>
      <c r="X90" s="2">
        <v>0</v>
      </c>
      <c r="Y90" s="2">
        <v>2.76</v>
      </c>
      <c r="Z90" s="2">
        <v>2.76</v>
      </c>
      <c r="AA90" s="2">
        <v>2.76</v>
      </c>
      <c r="AB90" s="2">
        <v>0</v>
      </c>
    </row>
    <row r="91" spans="1:28" x14ac:dyDescent="0.25">
      <c r="A91">
        <v>2026748270</v>
      </c>
      <c r="B91" t="s">
        <v>292</v>
      </c>
      <c r="C91" t="s">
        <v>293</v>
      </c>
      <c r="D91" t="str">
        <f t="shared" si="3"/>
        <v>RAJ KAPADIA</v>
      </c>
      <c r="E91" t="s">
        <v>52</v>
      </c>
      <c r="F91" t="s">
        <v>53</v>
      </c>
      <c r="G91" t="s">
        <v>54</v>
      </c>
      <c r="H91" t="s">
        <v>54</v>
      </c>
      <c r="I91" s="8" t="s">
        <v>1071</v>
      </c>
      <c r="J91" t="s">
        <v>255</v>
      </c>
      <c r="K91" t="s">
        <v>256</v>
      </c>
      <c r="L91" t="str">
        <f t="shared" si="2"/>
        <v>ANNE MARIE KOZACHECK</v>
      </c>
      <c r="M91" t="s">
        <v>1133</v>
      </c>
      <c r="N91" t="s">
        <v>57</v>
      </c>
      <c r="O91" s="1">
        <v>45689</v>
      </c>
      <c r="P91" s="1">
        <v>46235</v>
      </c>
      <c r="Q91" s="2">
        <v>71.510000000000005</v>
      </c>
      <c r="R91" t="s">
        <v>58</v>
      </c>
      <c r="S91" s="4">
        <v>6.5000000000000002E-2</v>
      </c>
      <c r="T91">
        <v>0</v>
      </c>
      <c r="U91" t="s">
        <v>247</v>
      </c>
      <c r="V91" t="s">
        <v>248</v>
      </c>
      <c r="W91">
        <v>0</v>
      </c>
      <c r="X91" s="2">
        <v>0</v>
      </c>
      <c r="Y91" s="2">
        <v>4.6500000000000004</v>
      </c>
      <c r="Z91" s="2">
        <v>4.6500000000000004</v>
      </c>
      <c r="AA91" s="2">
        <v>4.6500000000000004</v>
      </c>
      <c r="AB91" s="2">
        <v>0</v>
      </c>
    </row>
    <row r="92" spans="1:28" x14ac:dyDescent="0.25">
      <c r="A92">
        <v>2031906962</v>
      </c>
      <c r="B92" t="s">
        <v>620</v>
      </c>
      <c r="C92" t="s">
        <v>209</v>
      </c>
      <c r="D92" t="str">
        <f t="shared" si="3"/>
        <v>JOHN PESZEK</v>
      </c>
      <c r="E92" t="s">
        <v>332</v>
      </c>
      <c r="F92" t="s">
        <v>149</v>
      </c>
      <c r="G92" t="s">
        <v>584</v>
      </c>
      <c r="H92" t="s">
        <v>1082</v>
      </c>
      <c r="I92" s="8" t="s">
        <v>1104</v>
      </c>
      <c r="J92" t="s">
        <v>158</v>
      </c>
      <c r="K92" t="s">
        <v>159</v>
      </c>
      <c r="L92" t="str">
        <f t="shared" si="2"/>
        <v>Anthony Hunsberger</v>
      </c>
      <c r="M92" t="s">
        <v>1135</v>
      </c>
      <c r="N92" t="s">
        <v>57</v>
      </c>
      <c r="O92" s="1">
        <v>45961</v>
      </c>
      <c r="P92" s="1">
        <v>46233</v>
      </c>
      <c r="Q92" s="2">
        <v>15</v>
      </c>
      <c r="R92" t="s">
        <v>58</v>
      </c>
      <c r="S92" s="3">
        <v>0.28999999999999998</v>
      </c>
      <c r="T92">
        <v>0</v>
      </c>
      <c r="U92" t="s">
        <v>60</v>
      </c>
      <c r="V92" t="s">
        <v>248</v>
      </c>
      <c r="W92">
        <v>0</v>
      </c>
      <c r="X92" s="2">
        <v>0</v>
      </c>
      <c r="Y92" s="2">
        <v>4.3499999999999996</v>
      </c>
      <c r="Z92" s="2">
        <v>4.3499999999999996</v>
      </c>
      <c r="AA92" s="2">
        <v>4.3499999999999996</v>
      </c>
      <c r="AB92" s="2">
        <v>0</v>
      </c>
    </row>
    <row r="93" spans="1:28" x14ac:dyDescent="0.25">
      <c r="A93">
        <v>2031906961</v>
      </c>
      <c r="B93" t="s">
        <v>620</v>
      </c>
      <c r="C93" t="s">
        <v>209</v>
      </c>
      <c r="D93" t="str">
        <f t="shared" si="3"/>
        <v>JOHN PESZEK</v>
      </c>
      <c r="E93" t="s">
        <v>332</v>
      </c>
      <c r="F93" t="s">
        <v>237</v>
      </c>
      <c r="G93" t="s">
        <v>852</v>
      </c>
      <c r="H93" t="s">
        <v>853</v>
      </c>
      <c r="I93" s="8">
        <v>7146581</v>
      </c>
      <c r="J93" t="s">
        <v>158</v>
      </c>
      <c r="K93" t="s">
        <v>159</v>
      </c>
      <c r="L93" t="str">
        <f t="shared" si="2"/>
        <v>Anthony Hunsberger</v>
      </c>
      <c r="M93" t="s">
        <v>1133</v>
      </c>
      <c r="N93" t="s">
        <v>57</v>
      </c>
      <c r="O93" s="1">
        <v>45961</v>
      </c>
      <c r="P93" s="1">
        <v>46233</v>
      </c>
      <c r="Q93" s="2">
        <v>490.65</v>
      </c>
      <c r="R93" t="s">
        <v>58</v>
      </c>
      <c r="S93" s="3">
        <v>0.28999999999999998</v>
      </c>
      <c r="T93">
        <v>0</v>
      </c>
      <c r="U93" t="s">
        <v>60</v>
      </c>
      <c r="V93" t="s">
        <v>248</v>
      </c>
      <c r="W93">
        <v>0</v>
      </c>
      <c r="X93" s="2">
        <v>0</v>
      </c>
      <c r="Y93" s="2">
        <v>142.29</v>
      </c>
      <c r="Z93" s="2">
        <v>142.29</v>
      </c>
      <c r="AA93" s="2">
        <v>142.29</v>
      </c>
      <c r="AB93" s="2">
        <v>0</v>
      </c>
    </row>
    <row r="94" spans="1:28" x14ac:dyDescent="0.25">
      <c r="A94">
        <v>2033287400</v>
      </c>
      <c r="B94" t="s">
        <v>779</v>
      </c>
      <c r="C94" t="s">
        <v>780</v>
      </c>
      <c r="D94" t="str">
        <f t="shared" si="3"/>
        <v>QUINN ZINTL</v>
      </c>
      <c r="E94" t="s">
        <v>89</v>
      </c>
      <c r="F94" t="s">
        <v>194</v>
      </c>
      <c r="G94" t="s">
        <v>195</v>
      </c>
      <c r="H94" t="s">
        <v>195</v>
      </c>
      <c r="I94" s="8" t="s">
        <v>1104</v>
      </c>
      <c r="J94" t="s">
        <v>158</v>
      </c>
      <c r="K94" t="s">
        <v>159</v>
      </c>
      <c r="L94" t="str">
        <f t="shared" si="2"/>
        <v>Anthony Hunsberger</v>
      </c>
      <c r="M94" t="s">
        <v>1134</v>
      </c>
      <c r="N94" t="s">
        <v>57</v>
      </c>
      <c r="O94" s="1">
        <v>46054</v>
      </c>
      <c r="P94" s="1">
        <v>46235</v>
      </c>
      <c r="Q94" s="2">
        <v>19</v>
      </c>
      <c r="R94" t="s">
        <v>58</v>
      </c>
      <c r="S94" s="3">
        <v>0.7</v>
      </c>
      <c r="T94">
        <v>0</v>
      </c>
      <c r="U94" t="s">
        <v>60</v>
      </c>
      <c r="V94" t="s">
        <v>248</v>
      </c>
      <c r="W94">
        <v>0</v>
      </c>
      <c r="X94" s="2">
        <v>0</v>
      </c>
      <c r="Y94" s="2">
        <v>13.3</v>
      </c>
      <c r="Z94" s="2">
        <v>0</v>
      </c>
      <c r="AA94" s="2">
        <v>0</v>
      </c>
      <c r="AB94" s="2">
        <v>0</v>
      </c>
    </row>
    <row r="95" spans="1:28" x14ac:dyDescent="0.25">
      <c r="A95">
        <v>2033287399</v>
      </c>
      <c r="B95" t="s">
        <v>779</v>
      </c>
      <c r="C95" t="s">
        <v>780</v>
      </c>
      <c r="D95" t="str">
        <f t="shared" si="3"/>
        <v>QUINN ZINTL</v>
      </c>
      <c r="E95" t="s">
        <v>89</v>
      </c>
      <c r="F95" t="s">
        <v>133</v>
      </c>
      <c r="G95" t="s">
        <v>134</v>
      </c>
      <c r="H95" t="s">
        <v>134</v>
      </c>
      <c r="I95" s="8" t="s">
        <v>1104</v>
      </c>
      <c r="J95" t="s">
        <v>158</v>
      </c>
      <c r="K95" t="s">
        <v>159</v>
      </c>
      <c r="L95" t="str">
        <f t="shared" si="2"/>
        <v>Anthony Hunsberger</v>
      </c>
      <c r="M95" t="s">
        <v>1134</v>
      </c>
      <c r="N95" t="s">
        <v>57</v>
      </c>
      <c r="O95" s="1">
        <v>46054</v>
      </c>
      <c r="P95" s="1">
        <v>46235</v>
      </c>
      <c r="Q95" s="2">
        <v>78.760000000000005</v>
      </c>
      <c r="R95" t="s">
        <v>58</v>
      </c>
      <c r="S95" s="4">
        <v>0.375</v>
      </c>
      <c r="T95">
        <v>0</v>
      </c>
      <c r="U95" t="s">
        <v>60</v>
      </c>
      <c r="V95" t="s">
        <v>248</v>
      </c>
      <c r="W95">
        <v>0</v>
      </c>
      <c r="X95" s="2">
        <v>0</v>
      </c>
      <c r="Y95" s="2">
        <v>29.54</v>
      </c>
      <c r="Z95" s="2">
        <v>0</v>
      </c>
      <c r="AA95" s="2">
        <v>0</v>
      </c>
      <c r="AB95" s="2">
        <v>0</v>
      </c>
    </row>
    <row r="96" spans="1:28" x14ac:dyDescent="0.25">
      <c r="A96">
        <v>2033375395</v>
      </c>
      <c r="B96" t="s">
        <v>802</v>
      </c>
      <c r="C96" t="s">
        <v>803</v>
      </c>
      <c r="D96" t="str">
        <f t="shared" si="3"/>
        <v>SERGIO GALIINDO</v>
      </c>
      <c r="E96" t="s">
        <v>89</v>
      </c>
      <c r="F96" t="s">
        <v>194</v>
      </c>
      <c r="G96" t="s">
        <v>195</v>
      </c>
      <c r="H96" t="s">
        <v>195</v>
      </c>
      <c r="I96" s="8">
        <v>21348299</v>
      </c>
      <c r="J96" t="s">
        <v>804</v>
      </c>
      <c r="K96" t="s">
        <v>805</v>
      </c>
      <c r="L96" t="str">
        <f t="shared" si="2"/>
        <v>BARRY BRENNER</v>
      </c>
      <c r="M96" t="s">
        <v>1133</v>
      </c>
      <c r="N96" t="s">
        <v>57</v>
      </c>
      <c r="O96" s="1">
        <v>46054</v>
      </c>
      <c r="P96" s="1">
        <v>46235</v>
      </c>
      <c r="Q96" s="2">
        <v>145.41999999999999</v>
      </c>
      <c r="R96" t="s">
        <v>58</v>
      </c>
      <c r="S96" s="3">
        <v>0.7</v>
      </c>
      <c r="T96">
        <v>0</v>
      </c>
      <c r="U96" t="s">
        <v>60</v>
      </c>
      <c r="V96" t="s">
        <v>248</v>
      </c>
      <c r="W96">
        <v>0</v>
      </c>
      <c r="X96" s="2">
        <v>0</v>
      </c>
      <c r="Y96" s="2">
        <v>101.79</v>
      </c>
      <c r="Z96" s="2">
        <v>101.79</v>
      </c>
      <c r="AA96" s="2">
        <v>101.79</v>
      </c>
      <c r="AB96" s="2">
        <v>0</v>
      </c>
    </row>
    <row r="97" spans="1:28" x14ac:dyDescent="0.25">
      <c r="A97">
        <v>2027864780</v>
      </c>
      <c r="B97" t="s">
        <v>925</v>
      </c>
      <c r="C97" t="s">
        <v>926</v>
      </c>
      <c r="D97" t="str">
        <f t="shared" si="3"/>
        <v>AUDREY FAUST</v>
      </c>
      <c r="E97" t="s">
        <v>124</v>
      </c>
      <c r="F97" t="s">
        <v>194</v>
      </c>
      <c r="G97" t="s">
        <v>195</v>
      </c>
      <c r="H97" t="s">
        <v>195</v>
      </c>
      <c r="I97" s="8" t="s">
        <v>1123</v>
      </c>
      <c r="J97" t="s">
        <v>804</v>
      </c>
      <c r="K97" t="s">
        <v>805</v>
      </c>
      <c r="L97" t="str">
        <f t="shared" si="2"/>
        <v>BARRY BRENNER</v>
      </c>
      <c r="M97" t="s">
        <v>1133</v>
      </c>
      <c r="N97" t="s">
        <v>57</v>
      </c>
      <c r="O97" s="1">
        <v>45748</v>
      </c>
      <c r="P97" s="1">
        <v>46235</v>
      </c>
      <c r="Q97" s="2">
        <v>18.100000000000001</v>
      </c>
      <c r="R97" t="s">
        <v>58</v>
      </c>
      <c r="S97" s="3">
        <v>0.15</v>
      </c>
      <c r="T97">
        <v>0</v>
      </c>
      <c r="U97" t="s">
        <v>247</v>
      </c>
      <c r="V97" t="s">
        <v>248</v>
      </c>
      <c r="W97">
        <v>0</v>
      </c>
      <c r="X97" s="2">
        <v>0</v>
      </c>
      <c r="Y97" s="2">
        <v>2.72</v>
      </c>
      <c r="Z97" s="2">
        <v>2.72</v>
      </c>
      <c r="AA97" s="2">
        <v>2.72</v>
      </c>
      <c r="AB97" s="2">
        <v>0</v>
      </c>
    </row>
    <row r="98" spans="1:28" x14ac:dyDescent="0.25">
      <c r="A98">
        <v>2033393476</v>
      </c>
      <c r="B98" t="s">
        <v>815</v>
      </c>
      <c r="C98" t="s">
        <v>414</v>
      </c>
      <c r="D98" t="str">
        <f t="shared" si="3"/>
        <v>DANIEL MCCORMACK</v>
      </c>
      <c r="E98" t="s">
        <v>89</v>
      </c>
      <c r="F98" t="s">
        <v>194</v>
      </c>
      <c r="G98" t="s">
        <v>195</v>
      </c>
      <c r="H98" t="s">
        <v>195</v>
      </c>
      <c r="I98" s="8">
        <v>21348299</v>
      </c>
      <c r="J98" t="s">
        <v>804</v>
      </c>
      <c r="K98" t="s">
        <v>805</v>
      </c>
      <c r="L98" t="str">
        <f t="shared" si="2"/>
        <v>BARRY BRENNER</v>
      </c>
      <c r="M98" t="s">
        <v>1133</v>
      </c>
      <c r="N98" t="s">
        <v>57</v>
      </c>
      <c r="O98" s="1">
        <v>46054</v>
      </c>
      <c r="P98" s="1">
        <v>46235</v>
      </c>
      <c r="Q98" s="2">
        <v>28</v>
      </c>
      <c r="R98" t="s">
        <v>58</v>
      </c>
      <c r="S98" s="3">
        <v>0.7</v>
      </c>
      <c r="T98">
        <v>0</v>
      </c>
      <c r="U98" t="s">
        <v>60</v>
      </c>
      <c r="V98" t="s">
        <v>248</v>
      </c>
      <c r="W98">
        <v>0</v>
      </c>
      <c r="X98" s="2">
        <v>0</v>
      </c>
      <c r="Y98" s="2">
        <v>19.600000000000001</v>
      </c>
      <c r="Z98" s="2">
        <v>0</v>
      </c>
      <c r="AA98" s="2">
        <v>0</v>
      </c>
      <c r="AB98" s="2">
        <v>0</v>
      </c>
    </row>
    <row r="99" spans="1:28" x14ac:dyDescent="0.25">
      <c r="A99">
        <v>2031983993</v>
      </c>
      <c r="B99" t="s">
        <v>949</v>
      </c>
      <c r="C99" t="s">
        <v>950</v>
      </c>
      <c r="D99" t="str">
        <f t="shared" si="3"/>
        <v>KAMRYN KIMMEL</v>
      </c>
      <c r="E99" t="s">
        <v>89</v>
      </c>
      <c r="F99" t="s">
        <v>194</v>
      </c>
      <c r="G99" t="s">
        <v>195</v>
      </c>
      <c r="H99" t="s">
        <v>195</v>
      </c>
      <c r="I99" s="8">
        <v>21348299</v>
      </c>
      <c r="J99" t="s">
        <v>804</v>
      </c>
      <c r="K99" t="s">
        <v>805</v>
      </c>
      <c r="L99" t="str">
        <f t="shared" si="2"/>
        <v>BARRY BRENNER</v>
      </c>
      <c r="M99" t="s">
        <v>1133</v>
      </c>
      <c r="N99" t="s">
        <v>57</v>
      </c>
      <c r="O99" s="1">
        <v>46054</v>
      </c>
      <c r="P99" s="1">
        <v>46235</v>
      </c>
      <c r="Q99" s="2">
        <v>34</v>
      </c>
      <c r="R99" t="s">
        <v>58</v>
      </c>
      <c r="S99" s="3">
        <v>0.7</v>
      </c>
      <c r="T99">
        <v>0</v>
      </c>
      <c r="U99" t="s">
        <v>60</v>
      </c>
      <c r="V99" t="s">
        <v>248</v>
      </c>
      <c r="W99">
        <v>0</v>
      </c>
      <c r="X99" s="2">
        <v>0</v>
      </c>
      <c r="Y99" s="2">
        <v>23.8</v>
      </c>
      <c r="Z99" s="2">
        <v>0</v>
      </c>
      <c r="AA99" s="2">
        <v>0</v>
      </c>
      <c r="AB99" s="2">
        <v>0</v>
      </c>
    </row>
    <row r="100" spans="1:28" x14ac:dyDescent="0.25">
      <c r="A100">
        <v>2033390818</v>
      </c>
      <c r="B100" t="s">
        <v>744</v>
      </c>
      <c r="C100" t="s">
        <v>814</v>
      </c>
      <c r="D100" t="str">
        <f t="shared" si="3"/>
        <v>MALCOLM BROWN</v>
      </c>
      <c r="E100" t="s">
        <v>89</v>
      </c>
      <c r="F100" t="s">
        <v>194</v>
      </c>
      <c r="G100" t="s">
        <v>195</v>
      </c>
      <c r="H100" t="s">
        <v>195</v>
      </c>
      <c r="I100" s="8">
        <v>21348299</v>
      </c>
      <c r="J100" t="s">
        <v>804</v>
      </c>
      <c r="K100" t="s">
        <v>805</v>
      </c>
      <c r="L100" t="str">
        <f t="shared" si="2"/>
        <v>BARRY BRENNER</v>
      </c>
      <c r="M100" t="s">
        <v>1133</v>
      </c>
      <c r="N100" t="s">
        <v>57</v>
      </c>
      <c r="O100" s="1">
        <v>46054</v>
      </c>
      <c r="P100" s="1">
        <v>46235</v>
      </c>
      <c r="Q100" s="2">
        <v>58.24</v>
      </c>
      <c r="R100" t="s">
        <v>58</v>
      </c>
      <c r="S100" s="3">
        <v>0.7</v>
      </c>
      <c r="T100">
        <v>0</v>
      </c>
      <c r="U100" t="s">
        <v>60</v>
      </c>
      <c r="V100" t="s">
        <v>248</v>
      </c>
      <c r="W100">
        <v>0</v>
      </c>
      <c r="X100" s="2">
        <v>0</v>
      </c>
      <c r="Y100" s="2">
        <v>40.770000000000003</v>
      </c>
      <c r="Z100" s="2">
        <v>0</v>
      </c>
      <c r="AA100" s="2">
        <v>0</v>
      </c>
      <c r="AB100" s="2">
        <v>0</v>
      </c>
    </row>
    <row r="101" spans="1:28" x14ac:dyDescent="0.25">
      <c r="A101">
        <v>2033421511</v>
      </c>
      <c r="B101" t="s">
        <v>604</v>
      </c>
      <c r="C101" t="s">
        <v>824</v>
      </c>
      <c r="D101" t="str">
        <f t="shared" si="3"/>
        <v>LATHAM WILLIAMS</v>
      </c>
      <c r="E101" t="s">
        <v>89</v>
      </c>
      <c r="F101" t="s">
        <v>194</v>
      </c>
      <c r="G101" t="s">
        <v>195</v>
      </c>
      <c r="H101" t="s">
        <v>195</v>
      </c>
      <c r="I101" s="8">
        <v>21348299</v>
      </c>
      <c r="J101" t="s">
        <v>804</v>
      </c>
      <c r="K101" t="s">
        <v>805</v>
      </c>
      <c r="L101" t="str">
        <f t="shared" si="2"/>
        <v>BARRY BRENNER</v>
      </c>
      <c r="M101" t="s">
        <v>1133</v>
      </c>
      <c r="N101" t="s">
        <v>57</v>
      </c>
      <c r="O101" s="1">
        <v>46054</v>
      </c>
      <c r="P101" s="1">
        <v>46235</v>
      </c>
      <c r="Q101" s="2">
        <v>58.24</v>
      </c>
      <c r="R101" t="s">
        <v>58</v>
      </c>
      <c r="S101" s="3">
        <v>0.7</v>
      </c>
      <c r="T101">
        <v>0</v>
      </c>
      <c r="U101" t="s">
        <v>60</v>
      </c>
      <c r="V101" t="s">
        <v>248</v>
      </c>
      <c r="W101">
        <v>0</v>
      </c>
      <c r="X101" s="2">
        <v>0</v>
      </c>
      <c r="Y101" s="2">
        <v>40.770000000000003</v>
      </c>
      <c r="Z101" s="2">
        <v>0</v>
      </c>
      <c r="AA101" s="2">
        <v>0</v>
      </c>
      <c r="AB101" s="2">
        <v>0</v>
      </c>
    </row>
    <row r="102" spans="1:28" x14ac:dyDescent="0.25">
      <c r="A102">
        <v>2027864779</v>
      </c>
      <c r="B102" t="s">
        <v>925</v>
      </c>
      <c r="C102" t="s">
        <v>926</v>
      </c>
      <c r="D102" t="str">
        <f t="shared" si="3"/>
        <v>AUDREY FAUST</v>
      </c>
      <c r="E102" t="s">
        <v>124</v>
      </c>
      <c r="F102" t="s">
        <v>133</v>
      </c>
      <c r="G102" t="s">
        <v>134</v>
      </c>
      <c r="H102" t="s">
        <v>134</v>
      </c>
      <c r="I102" s="8" t="s">
        <v>1123</v>
      </c>
      <c r="J102" t="s">
        <v>804</v>
      </c>
      <c r="K102" t="s">
        <v>805</v>
      </c>
      <c r="L102" t="str">
        <f t="shared" si="2"/>
        <v>BARRY BRENNER</v>
      </c>
      <c r="M102" t="s">
        <v>1133</v>
      </c>
      <c r="N102" t="s">
        <v>57</v>
      </c>
      <c r="O102" s="1">
        <v>45748</v>
      </c>
      <c r="P102" s="1">
        <v>46235</v>
      </c>
      <c r="Q102" s="2">
        <v>57.96</v>
      </c>
      <c r="R102" t="s">
        <v>58</v>
      </c>
      <c r="S102" s="3">
        <v>0.06</v>
      </c>
      <c r="T102">
        <v>0</v>
      </c>
      <c r="U102" t="s">
        <v>247</v>
      </c>
      <c r="V102" t="s">
        <v>248</v>
      </c>
      <c r="W102">
        <v>0</v>
      </c>
      <c r="X102" s="2">
        <v>0</v>
      </c>
      <c r="Y102" s="2">
        <v>3.48</v>
      </c>
      <c r="Z102" s="2">
        <v>3.48</v>
      </c>
      <c r="AA102" s="2">
        <v>3.48</v>
      </c>
      <c r="AB102" s="2">
        <v>0</v>
      </c>
    </row>
    <row r="103" spans="1:28" x14ac:dyDescent="0.25">
      <c r="A103">
        <v>2033375396</v>
      </c>
      <c r="B103" t="s">
        <v>802</v>
      </c>
      <c r="C103" t="s">
        <v>803</v>
      </c>
      <c r="D103" t="str">
        <f t="shared" si="3"/>
        <v>SERGIO GALIINDO</v>
      </c>
      <c r="E103" t="s">
        <v>89</v>
      </c>
      <c r="F103" t="s">
        <v>133</v>
      </c>
      <c r="G103" t="s">
        <v>134</v>
      </c>
      <c r="H103" t="s">
        <v>134</v>
      </c>
      <c r="I103" s="8">
        <v>21348299</v>
      </c>
      <c r="J103" t="s">
        <v>804</v>
      </c>
      <c r="K103" t="s">
        <v>805</v>
      </c>
      <c r="L103" t="str">
        <f t="shared" si="2"/>
        <v>BARRY BRENNER</v>
      </c>
      <c r="M103" t="s">
        <v>1133</v>
      </c>
      <c r="N103" t="s">
        <v>57</v>
      </c>
      <c r="O103" s="1">
        <v>46054</v>
      </c>
      <c r="P103" s="1">
        <v>46235</v>
      </c>
      <c r="Q103" s="2">
        <v>187.21</v>
      </c>
      <c r="R103" t="s">
        <v>58</v>
      </c>
      <c r="S103" s="4">
        <v>0.375</v>
      </c>
      <c r="T103">
        <v>0</v>
      </c>
      <c r="U103" t="s">
        <v>60</v>
      </c>
      <c r="V103" t="s">
        <v>248</v>
      </c>
      <c r="W103">
        <v>0</v>
      </c>
      <c r="X103" s="2">
        <v>0</v>
      </c>
      <c r="Y103" s="2">
        <v>70.2</v>
      </c>
      <c r="Z103" s="2">
        <v>70.2</v>
      </c>
      <c r="AA103" s="2">
        <v>70.2</v>
      </c>
      <c r="AB103" s="2">
        <v>0</v>
      </c>
    </row>
    <row r="104" spans="1:28" x14ac:dyDescent="0.25">
      <c r="A104">
        <v>2031983994</v>
      </c>
      <c r="B104" t="s">
        <v>949</v>
      </c>
      <c r="C104" t="s">
        <v>950</v>
      </c>
      <c r="D104" t="str">
        <f t="shared" si="3"/>
        <v>KAMRYN KIMMEL</v>
      </c>
      <c r="E104" t="s">
        <v>89</v>
      </c>
      <c r="F104" t="s">
        <v>133</v>
      </c>
      <c r="G104" t="s">
        <v>134</v>
      </c>
      <c r="H104" t="s">
        <v>134</v>
      </c>
      <c r="I104" s="8">
        <v>21348299</v>
      </c>
      <c r="J104" t="s">
        <v>804</v>
      </c>
      <c r="K104" t="s">
        <v>805</v>
      </c>
      <c r="L104" t="str">
        <f t="shared" si="2"/>
        <v>BARRY BRENNER</v>
      </c>
      <c r="M104" t="s">
        <v>1133</v>
      </c>
      <c r="N104" t="s">
        <v>57</v>
      </c>
      <c r="O104" s="1">
        <v>46054</v>
      </c>
      <c r="P104" s="1">
        <v>46235</v>
      </c>
      <c r="Q104" s="2">
        <v>54.7</v>
      </c>
      <c r="R104" t="s">
        <v>58</v>
      </c>
      <c r="S104" s="4">
        <v>0.375</v>
      </c>
      <c r="T104">
        <v>0</v>
      </c>
      <c r="U104" t="s">
        <v>60</v>
      </c>
      <c r="V104" t="s">
        <v>248</v>
      </c>
      <c r="W104">
        <v>0</v>
      </c>
      <c r="X104" s="2">
        <v>0</v>
      </c>
      <c r="Y104" s="2">
        <v>20.51</v>
      </c>
      <c r="Z104" s="2">
        <v>0</v>
      </c>
      <c r="AA104" s="2">
        <v>0</v>
      </c>
      <c r="AB104" s="2">
        <v>0</v>
      </c>
    </row>
    <row r="105" spans="1:28" x14ac:dyDescent="0.25">
      <c r="A105">
        <v>2033393475</v>
      </c>
      <c r="B105" t="s">
        <v>815</v>
      </c>
      <c r="C105" t="s">
        <v>414</v>
      </c>
      <c r="D105" t="str">
        <f t="shared" si="3"/>
        <v>DANIEL MCCORMACK</v>
      </c>
      <c r="E105" t="s">
        <v>89</v>
      </c>
      <c r="F105" t="s">
        <v>133</v>
      </c>
      <c r="G105" t="s">
        <v>134</v>
      </c>
      <c r="H105" t="s">
        <v>134</v>
      </c>
      <c r="I105" s="8">
        <v>21348299</v>
      </c>
      <c r="J105" t="s">
        <v>804</v>
      </c>
      <c r="K105" t="s">
        <v>805</v>
      </c>
      <c r="L105" t="str">
        <f t="shared" si="2"/>
        <v>BARRY BRENNER</v>
      </c>
      <c r="M105" t="s">
        <v>1133</v>
      </c>
      <c r="N105" t="s">
        <v>57</v>
      </c>
      <c r="O105" s="1">
        <v>46054</v>
      </c>
      <c r="P105" s="1">
        <v>46235</v>
      </c>
      <c r="Q105" s="2">
        <v>54.7</v>
      </c>
      <c r="R105" t="s">
        <v>58</v>
      </c>
      <c r="S105" s="4">
        <v>0.375</v>
      </c>
      <c r="T105">
        <v>0</v>
      </c>
      <c r="U105" t="s">
        <v>60</v>
      </c>
      <c r="V105" t="s">
        <v>248</v>
      </c>
      <c r="W105">
        <v>0</v>
      </c>
      <c r="X105" s="2">
        <v>0</v>
      </c>
      <c r="Y105" s="2">
        <v>20.51</v>
      </c>
      <c r="Z105" s="2">
        <v>0</v>
      </c>
      <c r="AA105" s="2">
        <v>0</v>
      </c>
      <c r="AB105" s="2">
        <v>0</v>
      </c>
    </row>
    <row r="106" spans="1:28" x14ac:dyDescent="0.25">
      <c r="A106">
        <v>2033211921</v>
      </c>
      <c r="B106" t="s">
        <v>231</v>
      </c>
      <c r="C106" t="s">
        <v>489</v>
      </c>
      <c r="D106" t="str">
        <f t="shared" si="3"/>
        <v>AARON JOHNSON</v>
      </c>
      <c r="E106" t="s">
        <v>89</v>
      </c>
      <c r="F106" t="s">
        <v>69</v>
      </c>
      <c r="G106" t="s">
        <v>70</v>
      </c>
      <c r="H106" t="s">
        <v>1079</v>
      </c>
      <c r="I106" s="8" t="s">
        <v>1077</v>
      </c>
      <c r="J106" t="s">
        <v>172</v>
      </c>
      <c r="K106" t="s">
        <v>173</v>
      </c>
      <c r="L106" t="str">
        <f t="shared" si="2"/>
        <v>Barry Schumann</v>
      </c>
      <c r="M106" t="s">
        <v>1134</v>
      </c>
      <c r="N106" t="s">
        <v>57</v>
      </c>
      <c r="O106" s="1">
        <v>46054</v>
      </c>
      <c r="P106" s="1">
        <v>46235</v>
      </c>
      <c r="Q106" s="2">
        <v>107.62</v>
      </c>
      <c r="R106" t="s">
        <v>58</v>
      </c>
      <c r="S106" s="3">
        <v>0.75</v>
      </c>
      <c r="T106">
        <v>0</v>
      </c>
      <c r="U106" t="s">
        <v>60</v>
      </c>
      <c r="V106" t="s">
        <v>248</v>
      </c>
      <c r="W106">
        <v>0</v>
      </c>
      <c r="X106" s="2">
        <v>0</v>
      </c>
      <c r="Y106" s="2">
        <v>80.72</v>
      </c>
      <c r="Z106" s="2">
        <v>0</v>
      </c>
      <c r="AA106" s="2">
        <v>0</v>
      </c>
      <c r="AB106" s="2">
        <v>0</v>
      </c>
    </row>
    <row r="107" spans="1:28" x14ac:dyDescent="0.25">
      <c r="A107">
        <v>2027996022</v>
      </c>
      <c r="B107" t="s">
        <v>379</v>
      </c>
      <c r="C107" t="s">
        <v>132</v>
      </c>
      <c r="D107" t="str">
        <f t="shared" si="3"/>
        <v>CAMERON THOMAS</v>
      </c>
      <c r="E107" t="s">
        <v>100</v>
      </c>
      <c r="F107" t="s">
        <v>69</v>
      </c>
      <c r="G107" t="s">
        <v>101</v>
      </c>
      <c r="H107" t="s">
        <v>1081</v>
      </c>
      <c r="I107" s="8">
        <v>19586992</v>
      </c>
      <c r="J107" t="s">
        <v>172</v>
      </c>
      <c r="K107" t="s">
        <v>173</v>
      </c>
      <c r="L107" t="str">
        <f t="shared" si="2"/>
        <v>Barry Schumann</v>
      </c>
      <c r="M107" t="s">
        <v>1133</v>
      </c>
      <c r="N107" t="s">
        <v>57</v>
      </c>
      <c r="O107" s="1">
        <v>45743</v>
      </c>
      <c r="P107" s="1">
        <v>46230</v>
      </c>
      <c r="Q107" s="2">
        <v>16.29</v>
      </c>
      <c r="R107" t="s">
        <v>58</v>
      </c>
      <c r="S107" s="3">
        <v>0.1</v>
      </c>
      <c r="T107">
        <v>0</v>
      </c>
      <c r="U107" t="s">
        <v>247</v>
      </c>
      <c r="V107" t="s">
        <v>248</v>
      </c>
      <c r="W107">
        <v>0</v>
      </c>
      <c r="X107" s="2">
        <v>0</v>
      </c>
      <c r="Y107" s="2">
        <v>1.63</v>
      </c>
      <c r="Z107" s="2">
        <v>1.63</v>
      </c>
      <c r="AA107" s="2">
        <v>1.63</v>
      </c>
      <c r="AB107" s="2">
        <v>0</v>
      </c>
    </row>
    <row r="108" spans="1:28" x14ac:dyDescent="0.25">
      <c r="A108">
        <v>2027996023</v>
      </c>
      <c r="B108" t="s">
        <v>379</v>
      </c>
      <c r="C108" t="s">
        <v>132</v>
      </c>
      <c r="D108" t="str">
        <f t="shared" si="3"/>
        <v>CAMERON THOMAS</v>
      </c>
      <c r="E108" t="s">
        <v>100</v>
      </c>
      <c r="F108" t="s">
        <v>194</v>
      </c>
      <c r="G108" t="s">
        <v>195</v>
      </c>
      <c r="H108" t="s">
        <v>195</v>
      </c>
      <c r="I108" s="8">
        <v>19586992</v>
      </c>
      <c r="J108" t="s">
        <v>172</v>
      </c>
      <c r="K108" t="s">
        <v>173</v>
      </c>
      <c r="L108" t="str">
        <f t="shared" si="2"/>
        <v>Barry Schumann</v>
      </c>
      <c r="M108" t="s">
        <v>1133</v>
      </c>
      <c r="N108" t="s">
        <v>57</v>
      </c>
      <c r="O108" s="1">
        <v>45743</v>
      </c>
      <c r="P108" s="1">
        <v>46230</v>
      </c>
      <c r="Q108" s="2">
        <v>22</v>
      </c>
      <c r="R108" t="s">
        <v>58</v>
      </c>
      <c r="S108" s="3">
        <v>0.15</v>
      </c>
      <c r="T108">
        <v>0</v>
      </c>
      <c r="U108" t="s">
        <v>247</v>
      </c>
      <c r="V108" t="s">
        <v>248</v>
      </c>
      <c r="W108">
        <v>0</v>
      </c>
      <c r="X108" s="2">
        <v>0</v>
      </c>
      <c r="Y108" s="2">
        <v>3.3</v>
      </c>
      <c r="Z108" s="2">
        <v>3.3</v>
      </c>
      <c r="AA108" s="2">
        <v>3.3</v>
      </c>
      <c r="AB108" s="2">
        <v>0</v>
      </c>
    </row>
    <row r="109" spans="1:28" x14ac:dyDescent="0.25">
      <c r="A109">
        <v>2033211923</v>
      </c>
      <c r="B109" t="s">
        <v>231</v>
      </c>
      <c r="C109" t="s">
        <v>489</v>
      </c>
      <c r="D109" t="str">
        <f t="shared" si="3"/>
        <v>AARON JOHNSON</v>
      </c>
      <c r="E109" t="s">
        <v>89</v>
      </c>
      <c r="F109" t="s">
        <v>194</v>
      </c>
      <c r="G109" t="s">
        <v>195</v>
      </c>
      <c r="H109" t="s">
        <v>195</v>
      </c>
      <c r="I109" s="8" t="s">
        <v>1077</v>
      </c>
      <c r="J109" t="s">
        <v>172</v>
      </c>
      <c r="K109" t="s">
        <v>173</v>
      </c>
      <c r="L109" t="str">
        <f t="shared" si="2"/>
        <v>Barry Schumann</v>
      </c>
      <c r="M109" t="s">
        <v>1134</v>
      </c>
      <c r="N109" t="s">
        <v>57</v>
      </c>
      <c r="O109" s="1">
        <v>46054</v>
      </c>
      <c r="P109" s="1">
        <v>46235</v>
      </c>
      <c r="Q109" s="2">
        <v>209.78</v>
      </c>
      <c r="R109" t="s">
        <v>58</v>
      </c>
      <c r="S109" s="3">
        <v>0.7</v>
      </c>
      <c r="T109">
        <v>0</v>
      </c>
      <c r="U109" t="s">
        <v>60</v>
      </c>
      <c r="V109" t="s">
        <v>248</v>
      </c>
      <c r="W109">
        <v>0</v>
      </c>
      <c r="X109" s="2">
        <v>0</v>
      </c>
      <c r="Y109" s="2">
        <v>146.85</v>
      </c>
      <c r="Z109" s="2">
        <v>0</v>
      </c>
      <c r="AA109" s="2">
        <v>0</v>
      </c>
      <c r="AB109" s="2">
        <v>0</v>
      </c>
    </row>
    <row r="110" spans="1:28" x14ac:dyDescent="0.25">
      <c r="A110">
        <v>2033211922</v>
      </c>
      <c r="B110" t="s">
        <v>231</v>
      </c>
      <c r="C110" t="s">
        <v>489</v>
      </c>
      <c r="D110" t="str">
        <f t="shared" si="3"/>
        <v>AARON JOHNSON</v>
      </c>
      <c r="E110" t="s">
        <v>89</v>
      </c>
      <c r="F110" t="s">
        <v>133</v>
      </c>
      <c r="G110" t="s">
        <v>134</v>
      </c>
      <c r="H110" t="s">
        <v>134</v>
      </c>
      <c r="I110" s="8" t="s">
        <v>1077</v>
      </c>
      <c r="J110" t="s">
        <v>172</v>
      </c>
      <c r="K110" t="s">
        <v>173</v>
      </c>
      <c r="L110" t="str">
        <f t="shared" si="2"/>
        <v>Barry Schumann</v>
      </c>
      <c r="M110" t="s">
        <v>1134</v>
      </c>
      <c r="N110" t="s">
        <v>57</v>
      </c>
      <c r="O110" s="1">
        <v>46054</v>
      </c>
      <c r="P110" s="1">
        <v>46235</v>
      </c>
      <c r="Q110" s="2">
        <v>261.47000000000003</v>
      </c>
      <c r="R110" t="s">
        <v>58</v>
      </c>
      <c r="S110" s="4">
        <v>0.375</v>
      </c>
      <c r="T110">
        <v>0</v>
      </c>
      <c r="U110" t="s">
        <v>60</v>
      </c>
      <c r="V110" t="s">
        <v>248</v>
      </c>
      <c r="W110">
        <v>0</v>
      </c>
      <c r="X110" s="2">
        <v>0</v>
      </c>
      <c r="Y110" s="2">
        <v>98.05</v>
      </c>
      <c r="Z110" s="2">
        <v>0</v>
      </c>
      <c r="AA110" s="2">
        <v>0</v>
      </c>
      <c r="AB110" s="2">
        <v>0</v>
      </c>
    </row>
    <row r="111" spans="1:28" x14ac:dyDescent="0.25">
      <c r="A111">
        <v>2033221518</v>
      </c>
      <c r="B111" t="s">
        <v>761</v>
      </c>
      <c r="C111" t="s">
        <v>254</v>
      </c>
      <c r="D111" t="str">
        <f t="shared" si="3"/>
        <v>SARAH GULLETTE-JOUHNSON</v>
      </c>
      <c r="E111" t="s">
        <v>89</v>
      </c>
      <c r="F111" t="s">
        <v>194</v>
      </c>
      <c r="G111" t="s">
        <v>217</v>
      </c>
      <c r="H111" t="s">
        <v>217</v>
      </c>
      <c r="I111" s="8" t="s">
        <v>1077</v>
      </c>
      <c r="J111" t="s">
        <v>172</v>
      </c>
      <c r="K111" t="s">
        <v>173</v>
      </c>
      <c r="L111" t="str">
        <f t="shared" si="2"/>
        <v>Barry Schumann</v>
      </c>
      <c r="M111" t="s">
        <v>1134</v>
      </c>
      <c r="N111" t="s">
        <v>57</v>
      </c>
      <c r="O111" s="1">
        <v>46054</v>
      </c>
      <c r="P111" s="1">
        <v>46235</v>
      </c>
      <c r="Q111" s="2">
        <v>71.63</v>
      </c>
      <c r="R111" t="s">
        <v>58</v>
      </c>
      <c r="S111" s="3">
        <v>0.9</v>
      </c>
      <c r="T111">
        <v>0</v>
      </c>
      <c r="U111" t="s">
        <v>60</v>
      </c>
      <c r="V111" t="s">
        <v>248</v>
      </c>
      <c r="W111">
        <v>0</v>
      </c>
      <c r="X111" s="2">
        <v>0</v>
      </c>
      <c r="Y111" s="2">
        <v>64.47</v>
      </c>
      <c r="Z111" s="2">
        <v>0</v>
      </c>
      <c r="AA111" s="2">
        <v>0</v>
      </c>
      <c r="AB111" s="2">
        <v>0</v>
      </c>
    </row>
    <row r="112" spans="1:28" x14ac:dyDescent="0.25">
      <c r="A112">
        <v>2026718142</v>
      </c>
      <c r="B112" t="s">
        <v>956</v>
      </c>
      <c r="C112" t="s">
        <v>259</v>
      </c>
      <c r="D112" t="str">
        <f t="shared" si="3"/>
        <v>DOUGLAS JONES</v>
      </c>
      <c r="E112" t="s">
        <v>89</v>
      </c>
      <c r="F112" t="s">
        <v>194</v>
      </c>
      <c r="G112" t="s">
        <v>195</v>
      </c>
      <c r="H112" t="s">
        <v>195</v>
      </c>
      <c r="I112" s="8">
        <v>21104854</v>
      </c>
      <c r="J112" t="s">
        <v>206</v>
      </c>
      <c r="K112" t="s">
        <v>207</v>
      </c>
      <c r="L112" t="str">
        <f t="shared" si="2"/>
        <v>BRIAN STROHMAN</v>
      </c>
      <c r="M112" t="s">
        <v>1133</v>
      </c>
      <c r="N112" t="s">
        <v>57</v>
      </c>
      <c r="O112" s="1">
        <v>45689</v>
      </c>
      <c r="P112" s="1">
        <v>46235</v>
      </c>
      <c r="Q112" s="2">
        <v>284.54000000000002</v>
      </c>
      <c r="R112" t="s">
        <v>58</v>
      </c>
      <c r="S112" s="3">
        <v>0.15</v>
      </c>
      <c r="T112">
        <v>0</v>
      </c>
      <c r="U112" t="s">
        <v>247</v>
      </c>
      <c r="V112" t="s">
        <v>248</v>
      </c>
      <c r="W112">
        <v>0</v>
      </c>
      <c r="X112" s="2">
        <v>0</v>
      </c>
      <c r="Y112" s="2">
        <v>42.68</v>
      </c>
      <c r="Z112" s="2">
        <v>42.68</v>
      </c>
      <c r="AA112" s="2">
        <v>42.68</v>
      </c>
      <c r="AB112" s="2">
        <v>0</v>
      </c>
    </row>
    <row r="113" spans="1:28" x14ac:dyDescent="0.25">
      <c r="A113">
        <v>2033300227</v>
      </c>
      <c r="B113" t="s">
        <v>781</v>
      </c>
      <c r="C113" t="s">
        <v>782</v>
      </c>
      <c r="D113" t="str">
        <f t="shared" si="3"/>
        <v>BEVERLY WILLIAMSON</v>
      </c>
      <c r="E113" t="s">
        <v>89</v>
      </c>
      <c r="F113" t="s">
        <v>194</v>
      </c>
      <c r="G113" t="s">
        <v>195</v>
      </c>
      <c r="H113" t="s">
        <v>195</v>
      </c>
      <c r="I113" s="8" t="s">
        <v>1120</v>
      </c>
      <c r="J113" t="s">
        <v>206</v>
      </c>
      <c r="K113" t="s">
        <v>207</v>
      </c>
      <c r="L113" t="str">
        <f t="shared" si="2"/>
        <v>BRIAN STROHMAN</v>
      </c>
      <c r="M113" t="s">
        <v>1134</v>
      </c>
      <c r="N113" t="s">
        <v>57</v>
      </c>
      <c r="O113" s="1">
        <v>46054</v>
      </c>
      <c r="P113" s="1">
        <v>46235</v>
      </c>
      <c r="Q113" s="2">
        <v>11.5</v>
      </c>
      <c r="R113" t="s">
        <v>58</v>
      </c>
      <c r="S113" s="3">
        <v>0.7</v>
      </c>
      <c r="T113">
        <v>0</v>
      </c>
      <c r="U113" t="s">
        <v>60</v>
      </c>
      <c r="V113" t="s">
        <v>248</v>
      </c>
      <c r="W113">
        <v>0</v>
      </c>
      <c r="X113" s="2">
        <v>0</v>
      </c>
      <c r="Y113" s="2">
        <v>8.0500000000000007</v>
      </c>
      <c r="Z113" s="2">
        <v>0</v>
      </c>
      <c r="AA113" s="2">
        <v>0</v>
      </c>
      <c r="AB113" s="2">
        <v>0</v>
      </c>
    </row>
    <row r="114" spans="1:28" x14ac:dyDescent="0.25">
      <c r="A114">
        <v>2033305576</v>
      </c>
      <c r="B114" t="s">
        <v>783</v>
      </c>
      <c r="C114" t="s">
        <v>784</v>
      </c>
      <c r="D114" t="str">
        <f t="shared" si="3"/>
        <v>JOSE HERNANDEZ</v>
      </c>
      <c r="E114" t="s">
        <v>89</v>
      </c>
      <c r="F114" t="s">
        <v>194</v>
      </c>
      <c r="G114" t="s">
        <v>195</v>
      </c>
      <c r="H114" t="s">
        <v>195</v>
      </c>
      <c r="I114" s="8" t="s">
        <v>1120</v>
      </c>
      <c r="J114" t="s">
        <v>206</v>
      </c>
      <c r="K114" t="s">
        <v>207</v>
      </c>
      <c r="L114" t="str">
        <f t="shared" si="2"/>
        <v>BRIAN STROHMAN</v>
      </c>
      <c r="M114" t="s">
        <v>1134</v>
      </c>
      <c r="N114" t="s">
        <v>57</v>
      </c>
      <c r="O114" s="1">
        <v>46054</v>
      </c>
      <c r="P114" s="1">
        <v>46235</v>
      </c>
      <c r="Q114" s="2">
        <v>22</v>
      </c>
      <c r="R114" t="s">
        <v>58</v>
      </c>
      <c r="S114" s="3">
        <v>0.7</v>
      </c>
      <c r="T114">
        <v>0</v>
      </c>
      <c r="U114" t="s">
        <v>60</v>
      </c>
      <c r="V114" t="s">
        <v>248</v>
      </c>
      <c r="W114">
        <v>0</v>
      </c>
      <c r="X114" s="2">
        <v>0</v>
      </c>
      <c r="Y114" s="2">
        <v>15.4</v>
      </c>
      <c r="Z114" s="2">
        <v>0</v>
      </c>
      <c r="AA114" s="2">
        <v>0</v>
      </c>
      <c r="AB114" s="2">
        <v>0</v>
      </c>
    </row>
    <row r="115" spans="1:28" x14ac:dyDescent="0.25">
      <c r="A115">
        <v>2033300226</v>
      </c>
      <c r="B115" t="s">
        <v>781</v>
      </c>
      <c r="C115" t="s">
        <v>782</v>
      </c>
      <c r="D115" t="str">
        <f t="shared" si="3"/>
        <v>BEVERLY WILLIAMSON</v>
      </c>
      <c r="E115" t="s">
        <v>89</v>
      </c>
      <c r="F115" t="s">
        <v>133</v>
      </c>
      <c r="G115" t="s">
        <v>134</v>
      </c>
      <c r="H115" t="s">
        <v>134</v>
      </c>
      <c r="I115" s="8" t="s">
        <v>1120</v>
      </c>
      <c r="J115" t="s">
        <v>206</v>
      </c>
      <c r="K115" t="s">
        <v>207</v>
      </c>
      <c r="L115" t="str">
        <f t="shared" si="2"/>
        <v>BRIAN STROHMAN</v>
      </c>
      <c r="M115" t="s">
        <v>1134</v>
      </c>
      <c r="N115" t="s">
        <v>57</v>
      </c>
      <c r="O115" s="1">
        <v>46054</v>
      </c>
      <c r="P115" s="1">
        <v>46235</v>
      </c>
      <c r="Q115" s="2">
        <v>78.760000000000005</v>
      </c>
      <c r="R115" t="s">
        <v>58</v>
      </c>
      <c r="S115" s="4">
        <v>0.375</v>
      </c>
      <c r="T115">
        <v>0</v>
      </c>
      <c r="U115" t="s">
        <v>60</v>
      </c>
      <c r="V115" t="s">
        <v>248</v>
      </c>
      <c r="W115">
        <v>0</v>
      </c>
      <c r="X115" s="2">
        <v>0</v>
      </c>
      <c r="Y115" s="2">
        <v>29.54</v>
      </c>
      <c r="Z115" s="2">
        <v>0</v>
      </c>
      <c r="AA115" s="2">
        <v>0</v>
      </c>
      <c r="AB115" s="2">
        <v>0</v>
      </c>
    </row>
    <row r="116" spans="1:28" x14ac:dyDescent="0.25">
      <c r="A116">
        <v>2033431243</v>
      </c>
      <c r="B116" t="s">
        <v>558</v>
      </c>
      <c r="C116" t="s">
        <v>559</v>
      </c>
      <c r="D116" t="str">
        <f t="shared" si="3"/>
        <v>PATRICK EVANS</v>
      </c>
      <c r="E116" t="s">
        <v>146</v>
      </c>
      <c r="F116" t="s">
        <v>194</v>
      </c>
      <c r="G116" t="s">
        <v>203</v>
      </c>
      <c r="H116" t="s">
        <v>881</v>
      </c>
      <c r="I116" s="8" t="s">
        <v>1099</v>
      </c>
      <c r="J116" t="s">
        <v>147</v>
      </c>
      <c r="K116" t="s">
        <v>148</v>
      </c>
      <c r="L116" t="str">
        <f t="shared" si="2"/>
        <v>Brittany Oliver</v>
      </c>
      <c r="M116" t="s">
        <v>1134</v>
      </c>
      <c r="N116" t="s">
        <v>57</v>
      </c>
      <c r="O116" s="1">
        <v>46054</v>
      </c>
      <c r="P116" s="1">
        <v>46235</v>
      </c>
      <c r="Q116" s="2">
        <v>24.61</v>
      </c>
      <c r="R116" t="s">
        <v>58</v>
      </c>
      <c r="S116" s="3">
        <v>0.7</v>
      </c>
      <c r="T116">
        <v>0</v>
      </c>
      <c r="U116" t="s">
        <v>60</v>
      </c>
      <c r="V116" t="s">
        <v>248</v>
      </c>
      <c r="W116">
        <v>0</v>
      </c>
      <c r="X116" s="2">
        <v>0</v>
      </c>
      <c r="Y116" s="2">
        <v>17.23</v>
      </c>
      <c r="Z116" s="2">
        <v>0</v>
      </c>
      <c r="AA116" s="2">
        <v>0</v>
      </c>
      <c r="AB116" s="2">
        <v>0</v>
      </c>
    </row>
    <row r="117" spans="1:28" x14ac:dyDescent="0.25">
      <c r="A117">
        <v>2033572208</v>
      </c>
      <c r="B117" t="s">
        <v>643</v>
      </c>
      <c r="C117" t="s">
        <v>644</v>
      </c>
      <c r="D117" t="str">
        <f t="shared" si="3"/>
        <v>SOLANGE MOUE</v>
      </c>
      <c r="E117" t="s">
        <v>311</v>
      </c>
      <c r="F117" t="s">
        <v>188</v>
      </c>
      <c r="G117" t="s">
        <v>191</v>
      </c>
      <c r="H117" t="s">
        <v>190</v>
      </c>
      <c r="I117" s="8" t="s">
        <v>1099</v>
      </c>
      <c r="J117" t="s">
        <v>147</v>
      </c>
      <c r="K117" t="s">
        <v>148</v>
      </c>
      <c r="L117" t="str">
        <f t="shared" si="2"/>
        <v>Brittany Oliver</v>
      </c>
      <c r="M117" t="s">
        <v>1134</v>
      </c>
      <c r="N117" t="s">
        <v>57</v>
      </c>
      <c r="O117" s="1">
        <v>46063</v>
      </c>
      <c r="P117" s="1">
        <v>46213</v>
      </c>
      <c r="Q117" s="2">
        <v>7.09</v>
      </c>
      <c r="R117" t="s">
        <v>58</v>
      </c>
      <c r="S117" s="3">
        <v>0.38</v>
      </c>
      <c r="T117">
        <v>0</v>
      </c>
      <c r="U117" t="s">
        <v>60</v>
      </c>
      <c r="V117" t="s">
        <v>248</v>
      </c>
      <c r="W117">
        <v>0</v>
      </c>
      <c r="X117" s="2">
        <v>0</v>
      </c>
      <c r="Y117" s="2">
        <v>2.69</v>
      </c>
      <c r="Z117" s="2">
        <v>0</v>
      </c>
      <c r="AA117" s="2">
        <v>0</v>
      </c>
      <c r="AB117" s="2">
        <v>0</v>
      </c>
    </row>
    <row r="118" spans="1:28" x14ac:dyDescent="0.25">
      <c r="A118">
        <v>2033572207</v>
      </c>
      <c r="B118" t="s">
        <v>643</v>
      </c>
      <c r="C118" t="s">
        <v>644</v>
      </c>
      <c r="D118" t="str">
        <f t="shared" si="3"/>
        <v>SOLANGE MOUE</v>
      </c>
      <c r="E118" t="s">
        <v>311</v>
      </c>
      <c r="F118" t="s">
        <v>188</v>
      </c>
      <c r="G118" t="s">
        <v>190</v>
      </c>
      <c r="H118" t="s">
        <v>190</v>
      </c>
      <c r="I118" s="8" t="s">
        <v>1099</v>
      </c>
      <c r="J118" t="s">
        <v>147</v>
      </c>
      <c r="K118" t="s">
        <v>148</v>
      </c>
      <c r="L118" t="str">
        <f t="shared" si="2"/>
        <v>Brittany Oliver</v>
      </c>
      <c r="M118" t="s">
        <v>1134</v>
      </c>
      <c r="N118" t="s">
        <v>57</v>
      </c>
      <c r="O118" s="1">
        <v>46063</v>
      </c>
      <c r="P118" s="1">
        <v>46213</v>
      </c>
      <c r="Q118" s="2">
        <v>311.67</v>
      </c>
      <c r="R118" t="s">
        <v>58</v>
      </c>
      <c r="S118" s="3">
        <v>0.38</v>
      </c>
      <c r="T118">
        <v>0</v>
      </c>
      <c r="U118" t="s">
        <v>60</v>
      </c>
      <c r="V118" t="s">
        <v>248</v>
      </c>
      <c r="W118">
        <v>0</v>
      </c>
      <c r="X118" s="2">
        <v>0</v>
      </c>
      <c r="Y118" s="2">
        <v>118.43</v>
      </c>
      <c r="Z118" s="2">
        <v>0</v>
      </c>
      <c r="AA118" s="2">
        <v>0</v>
      </c>
      <c r="AB118" s="2">
        <v>0</v>
      </c>
    </row>
    <row r="119" spans="1:28" x14ac:dyDescent="0.25">
      <c r="A119">
        <v>2033354399</v>
      </c>
      <c r="B119" t="s">
        <v>530</v>
      </c>
      <c r="C119" t="s">
        <v>531</v>
      </c>
      <c r="D119" t="str">
        <f t="shared" si="3"/>
        <v>VICTOR CHAFA</v>
      </c>
      <c r="E119" t="s">
        <v>146</v>
      </c>
      <c r="F119" t="s">
        <v>69</v>
      </c>
      <c r="G119" t="s">
        <v>79</v>
      </c>
      <c r="H119" t="s">
        <v>1080</v>
      </c>
      <c r="I119" s="8" t="s">
        <v>1099</v>
      </c>
      <c r="J119" t="s">
        <v>147</v>
      </c>
      <c r="K119" t="s">
        <v>148</v>
      </c>
      <c r="L119" t="str">
        <f t="shared" si="2"/>
        <v>Brittany Oliver</v>
      </c>
      <c r="M119" t="s">
        <v>1134</v>
      </c>
      <c r="N119" t="s">
        <v>57</v>
      </c>
      <c r="O119" s="1">
        <v>46054</v>
      </c>
      <c r="P119" s="1">
        <v>46235</v>
      </c>
      <c r="Q119" s="2">
        <v>38.07</v>
      </c>
      <c r="R119" t="s">
        <v>58</v>
      </c>
      <c r="S119" s="3">
        <v>0.9</v>
      </c>
      <c r="T119">
        <v>0</v>
      </c>
      <c r="U119" t="s">
        <v>60</v>
      </c>
      <c r="V119" t="s">
        <v>248</v>
      </c>
      <c r="W119">
        <v>0</v>
      </c>
      <c r="X119" s="2">
        <v>0</v>
      </c>
      <c r="Y119" s="2">
        <v>34.26</v>
      </c>
      <c r="Z119" s="2">
        <v>0</v>
      </c>
      <c r="AA119" s="2">
        <v>0</v>
      </c>
      <c r="AB119" s="2">
        <v>0</v>
      </c>
    </row>
    <row r="120" spans="1:28" x14ac:dyDescent="0.25">
      <c r="A120">
        <v>2033431242</v>
      </c>
      <c r="B120" t="s">
        <v>558</v>
      </c>
      <c r="C120" t="s">
        <v>559</v>
      </c>
      <c r="D120" t="str">
        <f t="shared" si="3"/>
        <v>PATRICK EVANS</v>
      </c>
      <c r="E120" t="s">
        <v>146</v>
      </c>
      <c r="F120" t="s">
        <v>69</v>
      </c>
      <c r="G120" t="s">
        <v>79</v>
      </c>
      <c r="H120" t="s">
        <v>1080</v>
      </c>
      <c r="I120" s="8" t="s">
        <v>1099</v>
      </c>
      <c r="J120" t="s">
        <v>147</v>
      </c>
      <c r="K120" t="s">
        <v>148</v>
      </c>
      <c r="L120" t="str">
        <f t="shared" si="2"/>
        <v>Brittany Oliver</v>
      </c>
      <c r="M120" t="s">
        <v>1134</v>
      </c>
      <c r="N120" t="s">
        <v>57</v>
      </c>
      <c r="O120" s="1">
        <v>46054</v>
      </c>
      <c r="P120" s="1">
        <v>46235</v>
      </c>
      <c r="Q120" s="2">
        <v>55.13</v>
      </c>
      <c r="R120" t="s">
        <v>58</v>
      </c>
      <c r="S120" s="3">
        <v>0.9</v>
      </c>
      <c r="T120">
        <v>0</v>
      </c>
      <c r="U120" t="s">
        <v>60</v>
      </c>
      <c r="V120" t="s">
        <v>248</v>
      </c>
      <c r="W120">
        <v>0</v>
      </c>
      <c r="X120" s="2">
        <v>0</v>
      </c>
      <c r="Y120" s="2">
        <v>49.62</v>
      </c>
      <c r="Z120" s="2">
        <v>0</v>
      </c>
      <c r="AA120" s="2">
        <v>0</v>
      </c>
      <c r="AB120" s="2">
        <v>0</v>
      </c>
    </row>
    <row r="121" spans="1:28" x14ac:dyDescent="0.25">
      <c r="A121">
        <v>2033572210</v>
      </c>
      <c r="B121" t="s">
        <v>643</v>
      </c>
      <c r="C121" t="s">
        <v>644</v>
      </c>
      <c r="D121" t="str">
        <f t="shared" si="3"/>
        <v>SOLANGE MOUE</v>
      </c>
      <c r="E121" t="s">
        <v>311</v>
      </c>
      <c r="F121" t="s">
        <v>149</v>
      </c>
      <c r="G121" t="s">
        <v>150</v>
      </c>
      <c r="H121" t="s">
        <v>150</v>
      </c>
      <c r="I121" s="8" t="s">
        <v>1099</v>
      </c>
      <c r="J121" t="s">
        <v>147</v>
      </c>
      <c r="K121" t="s">
        <v>148</v>
      </c>
      <c r="L121" t="str">
        <f t="shared" si="2"/>
        <v>Brittany Oliver</v>
      </c>
      <c r="M121" t="s">
        <v>1134</v>
      </c>
      <c r="N121" t="s">
        <v>57</v>
      </c>
      <c r="O121" s="1">
        <v>46063</v>
      </c>
      <c r="P121" s="1">
        <v>46213</v>
      </c>
      <c r="Q121" s="2">
        <v>15</v>
      </c>
      <c r="R121" t="s">
        <v>58</v>
      </c>
      <c r="S121" s="3">
        <v>0.38</v>
      </c>
      <c r="T121">
        <v>0</v>
      </c>
      <c r="U121" t="s">
        <v>60</v>
      </c>
      <c r="V121" t="s">
        <v>248</v>
      </c>
      <c r="W121">
        <v>0</v>
      </c>
      <c r="X121" s="2">
        <v>0</v>
      </c>
      <c r="Y121" s="2">
        <v>5.7</v>
      </c>
      <c r="Z121" s="2">
        <v>0</v>
      </c>
      <c r="AA121" s="2">
        <v>0</v>
      </c>
      <c r="AB121" s="2">
        <v>0</v>
      </c>
    </row>
    <row r="122" spans="1:28" x14ac:dyDescent="0.25">
      <c r="A122">
        <v>2033539484</v>
      </c>
      <c r="B122" t="s">
        <v>827</v>
      </c>
      <c r="C122" t="s">
        <v>828</v>
      </c>
      <c r="D122" t="str">
        <f t="shared" si="3"/>
        <v>JOYCE ELLIS</v>
      </c>
      <c r="E122" t="s">
        <v>311</v>
      </c>
      <c r="F122" t="s">
        <v>194</v>
      </c>
      <c r="G122" t="s">
        <v>195</v>
      </c>
      <c r="H122" t="s">
        <v>195</v>
      </c>
      <c r="I122" s="8" t="s">
        <v>1099</v>
      </c>
      <c r="J122" t="s">
        <v>147</v>
      </c>
      <c r="K122" t="s">
        <v>148</v>
      </c>
      <c r="L122" t="str">
        <f t="shared" si="2"/>
        <v>Brittany Oliver</v>
      </c>
      <c r="M122" t="s">
        <v>1134</v>
      </c>
      <c r="N122" t="s">
        <v>57</v>
      </c>
      <c r="O122" s="1">
        <v>46081</v>
      </c>
      <c r="P122" s="1">
        <v>46231</v>
      </c>
      <c r="Q122" s="2">
        <v>9.0399999999999991</v>
      </c>
      <c r="R122" t="s">
        <v>58</v>
      </c>
      <c r="S122" s="3">
        <v>0.7</v>
      </c>
      <c r="T122">
        <v>0</v>
      </c>
      <c r="U122" t="s">
        <v>60</v>
      </c>
      <c r="V122" t="s">
        <v>248</v>
      </c>
      <c r="W122">
        <v>0</v>
      </c>
      <c r="X122" s="2">
        <v>0</v>
      </c>
      <c r="Y122" s="2">
        <v>6.33</v>
      </c>
      <c r="Z122" s="2">
        <v>0</v>
      </c>
      <c r="AA122" s="2">
        <v>0</v>
      </c>
      <c r="AB122" s="2">
        <v>0</v>
      </c>
    </row>
    <row r="123" spans="1:28" x14ac:dyDescent="0.25">
      <c r="A123">
        <v>2033539483</v>
      </c>
      <c r="B123" t="s">
        <v>827</v>
      </c>
      <c r="C123" t="s">
        <v>828</v>
      </c>
      <c r="D123" t="str">
        <f t="shared" si="3"/>
        <v>JOYCE ELLIS</v>
      </c>
      <c r="E123" t="s">
        <v>311</v>
      </c>
      <c r="F123" t="s">
        <v>133</v>
      </c>
      <c r="G123" t="s">
        <v>134</v>
      </c>
      <c r="H123" t="s">
        <v>134</v>
      </c>
      <c r="I123" s="8" t="s">
        <v>1099</v>
      </c>
      <c r="J123" t="s">
        <v>147</v>
      </c>
      <c r="K123" t="s">
        <v>148</v>
      </c>
      <c r="L123" t="str">
        <f t="shared" si="2"/>
        <v>Brittany Oliver</v>
      </c>
      <c r="M123" t="s">
        <v>1134</v>
      </c>
      <c r="N123" t="s">
        <v>57</v>
      </c>
      <c r="O123" s="1">
        <v>46081</v>
      </c>
      <c r="P123" s="1">
        <v>46231</v>
      </c>
      <c r="Q123" s="2">
        <v>34.69</v>
      </c>
      <c r="R123" t="s">
        <v>58</v>
      </c>
      <c r="S123" s="4">
        <v>0.375</v>
      </c>
      <c r="T123">
        <v>0</v>
      </c>
      <c r="U123" t="s">
        <v>60</v>
      </c>
      <c r="V123" t="s">
        <v>248</v>
      </c>
      <c r="W123">
        <v>0</v>
      </c>
      <c r="X123" s="2">
        <v>0</v>
      </c>
      <c r="Y123" s="2">
        <v>13.01</v>
      </c>
      <c r="Z123" s="2">
        <v>0</v>
      </c>
      <c r="AA123" s="2">
        <v>0</v>
      </c>
      <c r="AB123" s="2">
        <v>0</v>
      </c>
    </row>
    <row r="124" spans="1:28" x14ac:dyDescent="0.25">
      <c r="A124">
        <v>2033354400</v>
      </c>
      <c r="B124" t="s">
        <v>530</v>
      </c>
      <c r="C124" t="s">
        <v>531</v>
      </c>
      <c r="D124" t="str">
        <f t="shared" si="3"/>
        <v>VICTOR CHAFA</v>
      </c>
      <c r="E124" t="s">
        <v>146</v>
      </c>
      <c r="F124" t="s">
        <v>194</v>
      </c>
      <c r="G124" t="s">
        <v>217</v>
      </c>
      <c r="H124" t="s">
        <v>217</v>
      </c>
      <c r="I124" s="8" t="s">
        <v>1099</v>
      </c>
      <c r="J124" t="s">
        <v>147</v>
      </c>
      <c r="K124" t="s">
        <v>148</v>
      </c>
      <c r="L124" t="str">
        <f t="shared" si="2"/>
        <v>Brittany Oliver</v>
      </c>
      <c r="M124" t="s">
        <v>1134</v>
      </c>
      <c r="N124" t="s">
        <v>57</v>
      </c>
      <c r="O124" s="1">
        <v>46054</v>
      </c>
      <c r="P124" s="1">
        <v>46235</v>
      </c>
      <c r="Q124" s="2">
        <v>11.93</v>
      </c>
      <c r="R124" t="s">
        <v>58</v>
      </c>
      <c r="S124" s="3">
        <v>0.9</v>
      </c>
      <c r="T124">
        <v>0</v>
      </c>
      <c r="U124" t="s">
        <v>60</v>
      </c>
      <c r="V124" t="s">
        <v>248</v>
      </c>
      <c r="W124">
        <v>0</v>
      </c>
      <c r="X124" s="2">
        <v>0</v>
      </c>
      <c r="Y124" s="2">
        <v>10.74</v>
      </c>
      <c r="Z124" s="2">
        <v>0</v>
      </c>
      <c r="AA124" s="2">
        <v>0</v>
      </c>
      <c r="AB124" s="2">
        <v>0</v>
      </c>
    </row>
    <row r="125" spans="1:28" x14ac:dyDescent="0.25">
      <c r="A125">
        <v>2033572209</v>
      </c>
      <c r="B125" t="s">
        <v>643</v>
      </c>
      <c r="C125" t="s">
        <v>644</v>
      </c>
      <c r="D125" t="str">
        <f t="shared" si="3"/>
        <v>SOLANGE MOUE</v>
      </c>
      <c r="E125" t="s">
        <v>311</v>
      </c>
      <c r="F125" t="s">
        <v>194</v>
      </c>
      <c r="G125" t="s">
        <v>217</v>
      </c>
      <c r="H125" t="s">
        <v>217</v>
      </c>
      <c r="I125" s="8" t="s">
        <v>1099</v>
      </c>
      <c r="J125" t="s">
        <v>147</v>
      </c>
      <c r="K125" t="s">
        <v>148</v>
      </c>
      <c r="L125" t="str">
        <f t="shared" si="2"/>
        <v>Brittany Oliver</v>
      </c>
      <c r="M125" t="s">
        <v>1134</v>
      </c>
      <c r="N125" t="s">
        <v>57</v>
      </c>
      <c r="O125" s="1">
        <v>46063</v>
      </c>
      <c r="P125" s="1">
        <v>46213</v>
      </c>
      <c r="Q125" s="2">
        <v>47.37</v>
      </c>
      <c r="R125" t="s">
        <v>58</v>
      </c>
      <c r="S125" s="3">
        <v>0.9</v>
      </c>
      <c r="T125">
        <v>0</v>
      </c>
      <c r="U125" t="s">
        <v>60</v>
      </c>
      <c r="V125" t="s">
        <v>248</v>
      </c>
      <c r="W125">
        <v>0</v>
      </c>
      <c r="X125" s="2">
        <v>0</v>
      </c>
      <c r="Y125" s="2">
        <v>42.63</v>
      </c>
      <c r="Z125" s="2">
        <v>0</v>
      </c>
      <c r="AA125" s="2">
        <v>0</v>
      </c>
      <c r="AB125" s="2">
        <v>0</v>
      </c>
    </row>
    <row r="126" spans="1:28" x14ac:dyDescent="0.25">
      <c r="A126">
        <v>2033539482</v>
      </c>
      <c r="B126" t="s">
        <v>827</v>
      </c>
      <c r="C126" t="s">
        <v>828</v>
      </c>
      <c r="D126" t="str">
        <f t="shared" si="3"/>
        <v>JOYCE ELLIS</v>
      </c>
      <c r="E126" t="s">
        <v>311</v>
      </c>
      <c r="F126" t="s">
        <v>194</v>
      </c>
      <c r="G126" t="s">
        <v>217</v>
      </c>
      <c r="H126" t="s">
        <v>217</v>
      </c>
      <c r="I126" s="8" t="s">
        <v>1099</v>
      </c>
      <c r="J126" t="s">
        <v>147</v>
      </c>
      <c r="K126" t="s">
        <v>148</v>
      </c>
      <c r="L126" t="str">
        <f t="shared" si="2"/>
        <v>Brittany Oliver</v>
      </c>
      <c r="M126" t="s">
        <v>1134</v>
      </c>
      <c r="N126" t="s">
        <v>57</v>
      </c>
      <c r="O126" s="1">
        <v>46081</v>
      </c>
      <c r="P126" s="1">
        <v>46231</v>
      </c>
      <c r="Q126" s="2">
        <v>51.63</v>
      </c>
      <c r="R126" t="s">
        <v>58</v>
      </c>
      <c r="S126" s="3">
        <v>0.9</v>
      </c>
      <c r="T126">
        <v>0</v>
      </c>
      <c r="U126" t="s">
        <v>60</v>
      </c>
      <c r="V126" t="s">
        <v>248</v>
      </c>
      <c r="W126">
        <v>0</v>
      </c>
      <c r="X126" s="2">
        <v>0</v>
      </c>
      <c r="Y126" s="2">
        <v>46.47</v>
      </c>
      <c r="Z126" s="2">
        <v>0</v>
      </c>
      <c r="AA126" s="2">
        <v>0</v>
      </c>
      <c r="AB126" s="2">
        <v>0</v>
      </c>
    </row>
    <row r="127" spans="1:28" x14ac:dyDescent="0.25">
      <c r="A127">
        <v>2025303845</v>
      </c>
      <c r="B127" t="s">
        <v>279</v>
      </c>
      <c r="C127" t="s">
        <v>280</v>
      </c>
      <c r="D127" t="str">
        <f t="shared" si="3"/>
        <v>JERRY HUANG</v>
      </c>
      <c r="E127" t="s">
        <v>52</v>
      </c>
      <c r="F127" t="s">
        <v>194</v>
      </c>
      <c r="G127" t="s">
        <v>881</v>
      </c>
      <c r="H127" t="s">
        <v>881</v>
      </c>
      <c r="I127" s="8">
        <v>17425766</v>
      </c>
      <c r="J127" t="s">
        <v>266</v>
      </c>
      <c r="K127" t="s">
        <v>267</v>
      </c>
      <c r="L127" t="str">
        <f t="shared" si="2"/>
        <v>CAROL FOLEY</v>
      </c>
      <c r="M127" t="s">
        <v>1133</v>
      </c>
      <c r="N127" t="s">
        <v>57</v>
      </c>
      <c r="O127" s="1">
        <v>45597</v>
      </c>
      <c r="P127" s="1">
        <v>46235</v>
      </c>
      <c r="Q127" s="2">
        <v>25.73</v>
      </c>
      <c r="R127" t="s">
        <v>58</v>
      </c>
      <c r="S127" s="3">
        <v>0.15</v>
      </c>
      <c r="T127">
        <v>0</v>
      </c>
      <c r="U127" t="s">
        <v>247</v>
      </c>
      <c r="V127" t="s">
        <v>248</v>
      </c>
      <c r="W127">
        <v>0</v>
      </c>
      <c r="X127" s="2">
        <v>0</v>
      </c>
      <c r="Y127" s="2">
        <v>3.86</v>
      </c>
      <c r="Z127" s="2">
        <v>3.86</v>
      </c>
      <c r="AA127" s="2">
        <v>3.86</v>
      </c>
      <c r="AB127" s="2">
        <v>0</v>
      </c>
    </row>
    <row r="128" spans="1:28" x14ac:dyDescent="0.25">
      <c r="A128">
        <v>2033226442</v>
      </c>
      <c r="B128" t="s">
        <v>318</v>
      </c>
      <c r="C128" t="s">
        <v>319</v>
      </c>
      <c r="D128" t="str">
        <f t="shared" si="3"/>
        <v>PAMELA MARTIN</v>
      </c>
      <c r="E128" t="s">
        <v>52</v>
      </c>
      <c r="F128" t="s">
        <v>188</v>
      </c>
      <c r="G128" t="s">
        <v>191</v>
      </c>
      <c r="H128" t="s">
        <v>190</v>
      </c>
      <c r="I128" s="8">
        <v>17425766</v>
      </c>
      <c r="J128" t="s">
        <v>266</v>
      </c>
      <c r="K128" t="s">
        <v>267</v>
      </c>
      <c r="L128" t="str">
        <f t="shared" si="2"/>
        <v>CAROL FOLEY</v>
      </c>
      <c r="M128" t="s">
        <v>1133</v>
      </c>
      <c r="N128" t="s">
        <v>57</v>
      </c>
      <c r="O128" s="1">
        <v>46054</v>
      </c>
      <c r="P128" s="1">
        <v>46235</v>
      </c>
      <c r="Q128" s="2">
        <v>7.09</v>
      </c>
      <c r="R128" t="s">
        <v>58</v>
      </c>
      <c r="S128" s="3">
        <v>0.38</v>
      </c>
      <c r="T128">
        <v>0</v>
      </c>
      <c r="U128" t="s">
        <v>60</v>
      </c>
      <c r="V128" t="s">
        <v>248</v>
      </c>
      <c r="W128">
        <v>0</v>
      </c>
      <c r="X128" s="2">
        <v>0</v>
      </c>
      <c r="Y128" s="2">
        <v>2.69</v>
      </c>
      <c r="Z128" s="2">
        <v>0</v>
      </c>
      <c r="AA128" s="2">
        <v>0</v>
      </c>
      <c r="AB128" s="2">
        <v>0</v>
      </c>
    </row>
    <row r="129" spans="1:28" x14ac:dyDescent="0.25">
      <c r="A129">
        <v>2033226441</v>
      </c>
      <c r="B129" t="s">
        <v>318</v>
      </c>
      <c r="C129" t="s">
        <v>319</v>
      </c>
      <c r="D129" t="str">
        <f t="shared" si="3"/>
        <v>PAMELA MARTIN</v>
      </c>
      <c r="E129" t="s">
        <v>52</v>
      </c>
      <c r="F129" t="s">
        <v>188</v>
      </c>
      <c r="G129" t="s">
        <v>190</v>
      </c>
      <c r="H129" t="s">
        <v>190</v>
      </c>
      <c r="I129" s="8">
        <v>17425766</v>
      </c>
      <c r="J129" t="s">
        <v>266</v>
      </c>
      <c r="K129" t="s">
        <v>267</v>
      </c>
      <c r="L129" t="str">
        <f t="shared" si="2"/>
        <v>CAROL FOLEY</v>
      </c>
      <c r="M129" t="s">
        <v>1133</v>
      </c>
      <c r="N129" t="s">
        <v>57</v>
      </c>
      <c r="O129" s="1">
        <v>46054</v>
      </c>
      <c r="P129" s="1">
        <v>46235</v>
      </c>
      <c r="Q129" s="2">
        <v>224.57</v>
      </c>
      <c r="R129" t="s">
        <v>58</v>
      </c>
      <c r="S129" s="3">
        <v>0.38</v>
      </c>
      <c r="T129">
        <v>0</v>
      </c>
      <c r="U129" t="s">
        <v>60</v>
      </c>
      <c r="V129" t="s">
        <v>248</v>
      </c>
      <c r="W129">
        <v>0</v>
      </c>
      <c r="X129" s="2">
        <v>0</v>
      </c>
      <c r="Y129" s="2">
        <v>85.34</v>
      </c>
      <c r="Z129" s="2">
        <v>0</v>
      </c>
      <c r="AA129" s="2">
        <v>0</v>
      </c>
      <c r="AB129" s="2">
        <v>0</v>
      </c>
    </row>
    <row r="130" spans="1:28" x14ac:dyDescent="0.25">
      <c r="A130">
        <v>2035685084</v>
      </c>
      <c r="B130" t="s">
        <v>471</v>
      </c>
      <c r="C130" t="s">
        <v>319</v>
      </c>
      <c r="D130" t="str">
        <f t="shared" si="3"/>
        <v>PAMELA KELLY</v>
      </c>
      <c r="E130" t="s">
        <v>100</v>
      </c>
      <c r="F130" t="s">
        <v>188</v>
      </c>
      <c r="G130" t="s">
        <v>190</v>
      </c>
      <c r="H130" t="s">
        <v>190</v>
      </c>
      <c r="I130" s="8">
        <v>17425766</v>
      </c>
      <c r="J130" t="s">
        <v>266</v>
      </c>
      <c r="K130" t="s">
        <v>267</v>
      </c>
      <c r="L130" t="str">
        <f t="shared" ref="L130:L193" si="4">CONCATENATE(K130," ",J130)</f>
        <v>CAROL FOLEY</v>
      </c>
      <c r="M130" t="s">
        <v>1133</v>
      </c>
      <c r="N130" t="s">
        <v>57</v>
      </c>
      <c r="O130" s="1">
        <v>46170</v>
      </c>
      <c r="P130" s="1">
        <v>46231</v>
      </c>
      <c r="Q130" s="2">
        <v>328.85</v>
      </c>
      <c r="R130" t="s">
        <v>58</v>
      </c>
      <c r="S130" s="3">
        <v>0.38</v>
      </c>
      <c r="T130">
        <v>0</v>
      </c>
      <c r="U130" t="s">
        <v>60</v>
      </c>
      <c r="V130" t="s">
        <v>248</v>
      </c>
      <c r="W130">
        <v>0</v>
      </c>
      <c r="X130" s="2">
        <v>0</v>
      </c>
      <c r="Y130" s="2">
        <v>124.96</v>
      </c>
      <c r="Z130" s="2">
        <v>0</v>
      </c>
      <c r="AA130" s="2">
        <v>0</v>
      </c>
      <c r="AB130" s="2">
        <v>0</v>
      </c>
    </row>
    <row r="131" spans="1:28" x14ac:dyDescent="0.25">
      <c r="A131">
        <v>2035685085</v>
      </c>
      <c r="B131" t="s">
        <v>471</v>
      </c>
      <c r="C131" t="s">
        <v>319</v>
      </c>
      <c r="D131" t="str">
        <f t="shared" ref="D131:D194" si="5">CONCATENATE(C131," ",B131)</f>
        <v>PAMELA KELLY</v>
      </c>
      <c r="E131" t="s">
        <v>100</v>
      </c>
      <c r="F131" t="s">
        <v>149</v>
      </c>
      <c r="G131" t="s">
        <v>150</v>
      </c>
      <c r="H131" t="s">
        <v>150</v>
      </c>
      <c r="I131" s="8">
        <v>17425766</v>
      </c>
      <c r="J131" t="s">
        <v>266</v>
      </c>
      <c r="K131" t="s">
        <v>267</v>
      </c>
      <c r="L131" t="str">
        <f t="shared" si="4"/>
        <v>CAROL FOLEY</v>
      </c>
      <c r="M131" t="s">
        <v>1133</v>
      </c>
      <c r="N131" t="s">
        <v>57</v>
      </c>
      <c r="O131" s="1">
        <v>46170</v>
      </c>
      <c r="P131" s="1">
        <v>46231</v>
      </c>
      <c r="Q131" s="2">
        <v>15</v>
      </c>
      <c r="R131" t="s">
        <v>58</v>
      </c>
      <c r="S131" s="3">
        <v>0.38</v>
      </c>
      <c r="T131">
        <v>0</v>
      </c>
      <c r="U131" t="s">
        <v>60</v>
      </c>
      <c r="V131" t="s">
        <v>248</v>
      </c>
      <c r="W131">
        <v>0</v>
      </c>
      <c r="X131" s="2">
        <v>0</v>
      </c>
      <c r="Y131" s="2">
        <v>5.7</v>
      </c>
      <c r="Z131" s="2">
        <v>0</v>
      </c>
      <c r="AA131" s="2">
        <v>0</v>
      </c>
      <c r="AB131" s="2">
        <v>0</v>
      </c>
    </row>
    <row r="132" spans="1:28" x14ac:dyDescent="0.25">
      <c r="A132">
        <v>2025246361</v>
      </c>
      <c r="B132" t="s">
        <v>600</v>
      </c>
      <c r="C132" t="s">
        <v>601</v>
      </c>
      <c r="D132" t="str">
        <f t="shared" si="5"/>
        <v>DEBBIE DEWALD</v>
      </c>
      <c r="E132" t="s">
        <v>52</v>
      </c>
      <c r="F132" t="s">
        <v>149</v>
      </c>
      <c r="G132" t="s">
        <v>602</v>
      </c>
      <c r="H132" t="s">
        <v>602</v>
      </c>
      <c r="I132" s="8">
        <v>17425766</v>
      </c>
      <c r="J132" t="s">
        <v>266</v>
      </c>
      <c r="K132" t="s">
        <v>267</v>
      </c>
      <c r="L132" t="str">
        <f t="shared" si="4"/>
        <v>CAROL FOLEY</v>
      </c>
      <c r="M132" t="s">
        <v>1133</v>
      </c>
      <c r="N132" t="s">
        <v>57</v>
      </c>
      <c r="O132" s="1">
        <v>45597</v>
      </c>
      <c r="P132" s="1">
        <v>46235</v>
      </c>
      <c r="Q132" s="2">
        <v>15</v>
      </c>
      <c r="R132" t="s">
        <v>58</v>
      </c>
      <c r="S132" s="3">
        <v>0.1</v>
      </c>
      <c r="T132">
        <v>0</v>
      </c>
      <c r="U132" t="s">
        <v>247</v>
      </c>
      <c r="V132" t="s">
        <v>248</v>
      </c>
      <c r="W132">
        <v>0</v>
      </c>
      <c r="X132" s="2">
        <v>0</v>
      </c>
      <c r="Y132" s="2">
        <v>1.5</v>
      </c>
      <c r="Z132" s="2">
        <v>1.5</v>
      </c>
      <c r="AA132" s="2">
        <v>1.5</v>
      </c>
      <c r="AB132" s="2">
        <v>0</v>
      </c>
    </row>
    <row r="133" spans="1:28" x14ac:dyDescent="0.25">
      <c r="A133">
        <v>2026805534</v>
      </c>
      <c r="B133" t="s">
        <v>606</v>
      </c>
      <c r="C133" t="s">
        <v>607</v>
      </c>
      <c r="D133" t="str">
        <f t="shared" si="5"/>
        <v>CLEON MITCHELL</v>
      </c>
      <c r="E133" t="s">
        <v>124</v>
      </c>
      <c r="F133" t="s">
        <v>149</v>
      </c>
      <c r="G133" t="s">
        <v>602</v>
      </c>
      <c r="H133" t="s">
        <v>602</v>
      </c>
      <c r="I133" s="8">
        <v>17425766</v>
      </c>
      <c r="J133" t="s">
        <v>266</v>
      </c>
      <c r="K133" t="s">
        <v>267</v>
      </c>
      <c r="L133" t="str">
        <f t="shared" si="4"/>
        <v>CAROL FOLEY</v>
      </c>
      <c r="M133" t="s">
        <v>1133</v>
      </c>
      <c r="N133" t="s">
        <v>57</v>
      </c>
      <c r="O133" s="1">
        <v>45689</v>
      </c>
      <c r="P133" s="1">
        <v>46235</v>
      </c>
      <c r="Q133" s="2">
        <v>15</v>
      </c>
      <c r="R133" t="s">
        <v>58</v>
      </c>
      <c r="S133" s="3">
        <v>0.1</v>
      </c>
      <c r="T133">
        <v>0</v>
      </c>
      <c r="U133" t="s">
        <v>247</v>
      </c>
      <c r="V133" t="s">
        <v>248</v>
      </c>
      <c r="W133">
        <v>0</v>
      </c>
      <c r="X133" s="2">
        <v>0</v>
      </c>
      <c r="Y133" s="2">
        <v>1.5</v>
      </c>
      <c r="Z133" s="2">
        <v>1.5</v>
      </c>
      <c r="AA133" s="2">
        <v>1.5</v>
      </c>
      <c r="AB133" s="2">
        <v>0</v>
      </c>
    </row>
    <row r="134" spans="1:28" x14ac:dyDescent="0.25">
      <c r="A134">
        <v>2026812263</v>
      </c>
      <c r="B134" t="s">
        <v>608</v>
      </c>
      <c r="C134" t="s">
        <v>609</v>
      </c>
      <c r="D134" t="str">
        <f t="shared" si="5"/>
        <v>JODI HEVELONE</v>
      </c>
      <c r="E134" t="s">
        <v>176</v>
      </c>
      <c r="F134" t="s">
        <v>149</v>
      </c>
      <c r="G134" t="s">
        <v>602</v>
      </c>
      <c r="H134" t="s">
        <v>602</v>
      </c>
      <c r="I134" s="8">
        <v>17425766</v>
      </c>
      <c r="J134" t="s">
        <v>266</v>
      </c>
      <c r="K134" t="s">
        <v>267</v>
      </c>
      <c r="L134" t="str">
        <f t="shared" si="4"/>
        <v>CAROL FOLEY</v>
      </c>
      <c r="M134" t="s">
        <v>1133</v>
      </c>
      <c r="N134" t="s">
        <v>57</v>
      </c>
      <c r="O134" s="1">
        <v>45689</v>
      </c>
      <c r="P134" s="1">
        <v>46235</v>
      </c>
      <c r="Q134" s="2">
        <v>15</v>
      </c>
      <c r="R134" t="s">
        <v>58</v>
      </c>
      <c r="S134" s="3">
        <v>0.1</v>
      </c>
      <c r="T134">
        <v>0</v>
      </c>
      <c r="U134" t="s">
        <v>247</v>
      </c>
      <c r="V134" t="s">
        <v>248</v>
      </c>
      <c r="W134">
        <v>0</v>
      </c>
      <c r="X134" s="2">
        <v>0</v>
      </c>
      <c r="Y134" s="2">
        <v>1.5</v>
      </c>
      <c r="Z134" s="2">
        <v>1.5</v>
      </c>
      <c r="AA134" s="2">
        <v>1.5</v>
      </c>
      <c r="AB134" s="2">
        <v>0</v>
      </c>
    </row>
    <row r="135" spans="1:28" x14ac:dyDescent="0.25">
      <c r="A135">
        <v>2035165394</v>
      </c>
      <c r="B135" t="s">
        <v>647</v>
      </c>
      <c r="C135" t="s">
        <v>648</v>
      </c>
      <c r="D135" t="str">
        <f t="shared" si="5"/>
        <v>AIESHA CROMARTE</v>
      </c>
      <c r="E135" t="s">
        <v>100</v>
      </c>
      <c r="F135" t="s">
        <v>149</v>
      </c>
      <c r="G135" t="s">
        <v>602</v>
      </c>
      <c r="H135" t="s">
        <v>602</v>
      </c>
      <c r="I135" s="8">
        <v>17425766</v>
      </c>
      <c r="J135" t="s">
        <v>266</v>
      </c>
      <c r="K135" t="s">
        <v>267</v>
      </c>
      <c r="L135" t="str">
        <f t="shared" si="4"/>
        <v>CAROL FOLEY</v>
      </c>
      <c r="M135" t="s">
        <v>1133</v>
      </c>
      <c r="N135" t="s">
        <v>57</v>
      </c>
      <c r="O135" s="1">
        <v>46141</v>
      </c>
      <c r="P135" s="1">
        <v>46232</v>
      </c>
      <c r="Q135" s="2">
        <v>15</v>
      </c>
      <c r="R135" t="s">
        <v>58</v>
      </c>
      <c r="S135" s="3">
        <v>0.38</v>
      </c>
      <c r="T135">
        <v>0</v>
      </c>
      <c r="U135" t="s">
        <v>60</v>
      </c>
      <c r="V135" t="s">
        <v>248</v>
      </c>
      <c r="W135">
        <v>0</v>
      </c>
      <c r="X135" s="2">
        <v>0</v>
      </c>
      <c r="Y135" s="2">
        <v>5.7</v>
      </c>
      <c r="Z135" s="2">
        <v>0</v>
      </c>
      <c r="AA135" s="2">
        <v>0</v>
      </c>
      <c r="AB135" s="2">
        <v>0</v>
      </c>
    </row>
    <row r="136" spans="1:28" x14ac:dyDescent="0.25">
      <c r="A136">
        <v>2033259520</v>
      </c>
      <c r="B136" t="s">
        <v>322</v>
      </c>
      <c r="C136" t="s">
        <v>323</v>
      </c>
      <c r="D136" t="str">
        <f t="shared" si="5"/>
        <v>ANNA CABOT</v>
      </c>
      <c r="E136" t="s">
        <v>52</v>
      </c>
      <c r="F136" t="s">
        <v>188</v>
      </c>
      <c r="G136" t="s">
        <v>985</v>
      </c>
      <c r="H136" t="s">
        <v>1085</v>
      </c>
      <c r="I136" s="8">
        <v>17425766</v>
      </c>
      <c r="J136" t="s">
        <v>266</v>
      </c>
      <c r="K136" t="s">
        <v>267</v>
      </c>
      <c r="L136" t="str">
        <f t="shared" si="4"/>
        <v>CAROL FOLEY</v>
      </c>
      <c r="M136" t="s">
        <v>1133</v>
      </c>
      <c r="N136" t="s">
        <v>57</v>
      </c>
      <c r="O136" s="1">
        <v>46054</v>
      </c>
      <c r="P136" s="1">
        <v>46235</v>
      </c>
      <c r="Q136" s="2">
        <v>230.06</v>
      </c>
      <c r="R136" t="s">
        <v>58</v>
      </c>
      <c r="S136" s="3">
        <v>0.19</v>
      </c>
      <c r="T136">
        <v>0</v>
      </c>
      <c r="U136" t="s">
        <v>60</v>
      </c>
      <c r="V136" t="s">
        <v>248</v>
      </c>
      <c r="W136">
        <v>0</v>
      </c>
      <c r="X136" s="2">
        <v>0</v>
      </c>
      <c r="Y136" s="2">
        <v>43.71</v>
      </c>
      <c r="Z136" s="2">
        <v>0</v>
      </c>
      <c r="AA136" s="2">
        <v>0</v>
      </c>
      <c r="AB136" s="2">
        <v>0</v>
      </c>
    </row>
    <row r="137" spans="1:28" x14ac:dyDescent="0.25">
      <c r="A137">
        <v>2023369899</v>
      </c>
      <c r="B137" t="s">
        <v>264</v>
      </c>
      <c r="C137" t="s">
        <v>265</v>
      </c>
      <c r="D137" t="str">
        <f t="shared" si="5"/>
        <v>THERESA MCGINLEY</v>
      </c>
      <c r="E137" t="s">
        <v>52</v>
      </c>
      <c r="F137" t="s">
        <v>188</v>
      </c>
      <c r="G137" t="s">
        <v>189</v>
      </c>
      <c r="H137" t="s">
        <v>189</v>
      </c>
      <c r="I137" s="8">
        <v>17425766</v>
      </c>
      <c r="J137" t="s">
        <v>266</v>
      </c>
      <c r="K137" t="s">
        <v>267</v>
      </c>
      <c r="L137" t="str">
        <f t="shared" si="4"/>
        <v>CAROL FOLEY</v>
      </c>
      <c r="M137" t="s">
        <v>1133</v>
      </c>
      <c r="N137" t="s">
        <v>57</v>
      </c>
      <c r="O137" s="1">
        <v>45447</v>
      </c>
      <c r="P137" s="1">
        <v>46238</v>
      </c>
      <c r="Q137" s="2">
        <v>55.16</v>
      </c>
      <c r="R137" t="s">
        <v>58</v>
      </c>
      <c r="S137" s="3">
        <v>0.1</v>
      </c>
      <c r="T137">
        <v>0</v>
      </c>
      <c r="U137" t="s">
        <v>247</v>
      </c>
      <c r="V137" t="s">
        <v>248</v>
      </c>
      <c r="W137">
        <v>0</v>
      </c>
      <c r="X137" s="2">
        <v>0</v>
      </c>
      <c r="Y137" s="2">
        <v>5.52</v>
      </c>
      <c r="Z137" s="2">
        <v>5.52</v>
      </c>
      <c r="AA137" s="2">
        <v>5.52</v>
      </c>
      <c r="AB137" s="2">
        <v>0</v>
      </c>
    </row>
    <row r="138" spans="1:28" x14ac:dyDescent="0.25">
      <c r="A138">
        <v>2024477616</v>
      </c>
      <c r="B138" t="s">
        <v>692</v>
      </c>
      <c r="C138" t="s">
        <v>359</v>
      </c>
      <c r="D138" t="str">
        <f t="shared" si="5"/>
        <v>MATTHEW KRYSIK</v>
      </c>
      <c r="E138" t="s">
        <v>52</v>
      </c>
      <c r="F138" t="s">
        <v>188</v>
      </c>
      <c r="G138" t="s">
        <v>189</v>
      </c>
      <c r="H138" t="s">
        <v>189</v>
      </c>
      <c r="I138" s="8">
        <v>17425766</v>
      </c>
      <c r="J138" t="s">
        <v>266</v>
      </c>
      <c r="K138" t="s">
        <v>267</v>
      </c>
      <c r="L138" t="str">
        <f t="shared" si="4"/>
        <v>CAROL FOLEY</v>
      </c>
      <c r="M138" t="s">
        <v>1133</v>
      </c>
      <c r="N138" t="s">
        <v>57</v>
      </c>
      <c r="O138" s="1">
        <v>45536</v>
      </c>
      <c r="P138" s="1">
        <v>46235</v>
      </c>
      <c r="Q138" s="2">
        <v>38.11</v>
      </c>
      <c r="R138" t="s">
        <v>58</v>
      </c>
      <c r="S138" s="3">
        <v>0.1</v>
      </c>
      <c r="T138">
        <v>0</v>
      </c>
      <c r="U138" t="s">
        <v>247</v>
      </c>
      <c r="V138" t="s">
        <v>248</v>
      </c>
      <c r="W138">
        <v>0</v>
      </c>
      <c r="X138" s="2">
        <v>0</v>
      </c>
      <c r="Y138" s="2">
        <v>3.81</v>
      </c>
      <c r="Z138" s="2">
        <v>3.81</v>
      </c>
      <c r="AA138" s="2">
        <v>3.81</v>
      </c>
      <c r="AB138" s="2">
        <v>0</v>
      </c>
    </row>
    <row r="139" spans="1:28" x14ac:dyDescent="0.25">
      <c r="A139">
        <v>2024586356</v>
      </c>
      <c r="B139" t="s">
        <v>979</v>
      </c>
      <c r="C139" t="s">
        <v>980</v>
      </c>
      <c r="D139" t="str">
        <f t="shared" si="5"/>
        <v>QUINCY CANNIE</v>
      </c>
      <c r="E139" t="s">
        <v>52</v>
      </c>
      <c r="F139" t="s">
        <v>188</v>
      </c>
      <c r="G139" t="s">
        <v>189</v>
      </c>
      <c r="H139" t="s">
        <v>189</v>
      </c>
      <c r="I139" s="8">
        <v>17425766</v>
      </c>
      <c r="J139" t="s">
        <v>266</v>
      </c>
      <c r="K139" t="s">
        <v>267</v>
      </c>
      <c r="L139" t="str">
        <f t="shared" si="4"/>
        <v>CAROL FOLEY</v>
      </c>
      <c r="M139" t="s">
        <v>1133</v>
      </c>
      <c r="N139" t="s">
        <v>57</v>
      </c>
      <c r="O139" s="1">
        <v>45536</v>
      </c>
      <c r="P139" s="1">
        <v>46235</v>
      </c>
      <c r="Q139" s="2">
        <v>38.11</v>
      </c>
      <c r="R139" t="s">
        <v>58</v>
      </c>
      <c r="S139" s="3">
        <v>0.1</v>
      </c>
      <c r="T139">
        <v>0</v>
      </c>
      <c r="U139" t="s">
        <v>247</v>
      </c>
      <c r="V139" t="s">
        <v>248</v>
      </c>
      <c r="W139">
        <v>0</v>
      </c>
      <c r="X139" s="2">
        <v>0</v>
      </c>
      <c r="Y139" s="2">
        <v>3.81</v>
      </c>
      <c r="Z139" s="2">
        <v>3.81</v>
      </c>
      <c r="AA139" s="2">
        <v>3.81</v>
      </c>
      <c r="AB139" s="2">
        <v>0</v>
      </c>
    </row>
    <row r="140" spans="1:28" x14ac:dyDescent="0.25">
      <c r="A140">
        <v>2024591189</v>
      </c>
      <c r="B140" t="s">
        <v>695</v>
      </c>
      <c r="C140" t="s">
        <v>696</v>
      </c>
      <c r="D140" t="str">
        <f t="shared" si="5"/>
        <v>MAZILYN REID-KAPLAN</v>
      </c>
      <c r="E140" t="s">
        <v>52</v>
      </c>
      <c r="F140" t="s">
        <v>188</v>
      </c>
      <c r="G140" t="s">
        <v>189</v>
      </c>
      <c r="H140" t="s">
        <v>189</v>
      </c>
      <c r="I140" s="8">
        <v>17425766</v>
      </c>
      <c r="J140" t="s">
        <v>266</v>
      </c>
      <c r="K140" t="s">
        <v>267</v>
      </c>
      <c r="L140" t="str">
        <f t="shared" si="4"/>
        <v>CAROL FOLEY</v>
      </c>
      <c r="M140" t="s">
        <v>1133</v>
      </c>
      <c r="N140" t="s">
        <v>57</v>
      </c>
      <c r="O140" s="1">
        <v>45536</v>
      </c>
      <c r="P140" s="1">
        <v>46235</v>
      </c>
      <c r="Q140" s="2">
        <v>53.16</v>
      </c>
      <c r="R140" t="s">
        <v>58</v>
      </c>
      <c r="S140" s="3">
        <v>0.1</v>
      </c>
      <c r="T140">
        <v>0</v>
      </c>
      <c r="U140" t="s">
        <v>247</v>
      </c>
      <c r="V140" t="s">
        <v>248</v>
      </c>
      <c r="W140">
        <v>0</v>
      </c>
      <c r="X140" s="2">
        <v>0</v>
      </c>
      <c r="Y140" s="2">
        <v>5.32</v>
      </c>
      <c r="Z140" s="2">
        <v>5.32</v>
      </c>
      <c r="AA140" s="2">
        <v>5.32</v>
      </c>
      <c r="AB140" s="2">
        <v>0</v>
      </c>
    </row>
    <row r="141" spans="1:28" x14ac:dyDescent="0.25">
      <c r="A141">
        <v>2024600969</v>
      </c>
      <c r="B141" t="s">
        <v>981</v>
      </c>
      <c r="C141" t="s">
        <v>401</v>
      </c>
      <c r="D141" t="str">
        <f t="shared" si="5"/>
        <v>LISA MOONEY</v>
      </c>
      <c r="E141" t="s">
        <v>52</v>
      </c>
      <c r="F141" t="s">
        <v>188</v>
      </c>
      <c r="G141" t="s">
        <v>189</v>
      </c>
      <c r="H141" t="s">
        <v>189</v>
      </c>
      <c r="I141" s="8">
        <v>17425766</v>
      </c>
      <c r="J141" t="s">
        <v>266</v>
      </c>
      <c r="K141" t="s">
        <v>267</v>
      </c>
      <c r="L141" t="str">
        <f t="shared" si="4"/>
        <v>CAROL FOLEY</v>
      </c>
      <c r="M141" t="s">
        <v>1133</v>
      </c>
      <c r="N141" t="s">
        <v>57</v>
      </c>
      <c r="O141" s="1">
        <v>45536</v>
      </c>
      <c r="P141" s="1">
        <v>46235</v>
      </c>
      <c r="Q141" s="2">
        <v>61.39</v>
      </c>
      <c r="R141" t="s">
        <v>58</v>
      </c>
      <c r="S141" s="3">
        <v>0.1</v>
      </c>
      <c r="T141">
        <v>0</v>
      </c>
      <c r="U141" t="s">
        <v>247</v>
      </c>
      <c r="V141" t="s">
        <v>248</v>
      </c>
      <c r="W141">
        <v>0</v>
      </c>
      <c r="X141" s="2">
        <v>0</v>
      </c>
      <c r="Y141" s="2">
        <v>6.14</v>
      </c>
      <c r="Z141" s="2">
        <v>6.14</v>
      </c>
      <c r="AA141" s="2">
        <v>6.14</v>
      </c>
      <c r="AB141" s="2">
        <v>0</v>
      </c>
    </row>
    <row r="142" spans="1:28" x14ac:dyDescent="0.25">
      <c r="A142">
        <v>2024645160</v>
      </c>
      <c r="B142" t="s">
        <v>697</v>
      </c>
      <c r="C142" t="s">
        <v>698</v>
      </c>
      <c r="D142" t="str">
        <f t="shared" si="5"/>
        <v>MAITRELLY ESPINOZA</v>
      </c>
      <c r="E142" t="s">
        <v>52</v>
      </c>
      <c r="F142" t="s">
        <v>188</v>
      </c>
      <c r="G142" t="s">
        <v>189</v>
      </c>
      <c r="H142" t="s">
        <v>189</v>
      </c>
      <c r="I142" s="8">
        <v>17425766</v>
      </c>
      <c r="J142" t="s">
        <v>266</v>
      </c>
      <c r="K142" t="s">
        <v>267</v>
      </c>
      <c r="L142" t="str">
        <f t="shared" si="4"/>
        <v>CAROL FOLEY</v>
      </c>
      <c r="M142" t="s">
        <v>1133</v>
      </c>
      <c r="N142" t="s">
        <v>57</v>
      </c>
      <c r="O142" s="1">
        <v>45536</v>
      </c>
      <c r="P142" s="1">
        <v>46235</v>
      </c>
      <c r="Q142" s="2">
        <v>13.43</v>
      </c>
      <c r="R142" t="s">
        <v>58</v>
      </c>
      <c r="S142" s="3">
        <v>0.1</v>
      </c>
      <c r="T142">
        <v>0</v>
      </c>
      <c r="U142" t="s">
        <v>247</v>
      </c>
      <c r="V142" t="s">
        <v>248</v>
      </c>
      <c r="W142">
        <v>0</v>
      </c>
      <c r="X142" s="2">
        <v>0</v>
      </c>
      <c r="Y142" s="2">
        <v>1.34</v>
      </c>
      <c r="Z142" s="2">
        <v>1.34</v>
      </c>
      <c r="AA142" s="2">
        <v>1.34</v>
      </c>
      <c r="AB142" s="2">
        <v>0</v>
      </c>
    </row>
    <row r="143" spans="1:28" x14ac:dyDescent="0.25">
      <c r="A143">
        <v>2025246360</v>
      </c>
      <c r="B143" t="s">
        <v>600</v>
      </c>
      <c r="C143" t="s">
        <v>601</v>
      </c>
      <c r="D143" t="str">
        <f t="shared" si="5"/>
        <v>DEBBIE DEWALD</v>
      </c>
      <c r="E143" t="s">
        <v>52</v>
      </c>
      <c r="F143" t="s">
        <v>188</v>
      </c>
      <c r="G143" t="s">
        <v>189</v>
      </c>
      <c r="H143" t="s">
        <v>189</v>
      </c>
      <c r="I143" s="8">
        <v>17425766</v>
      </c>
      <c r="J143" t="s">
        <v>266</v>
      </c>
      <c r="K143" t="s">
        <v>267</v>
      </c>
      <c r="L143" t="str">
        <f t="shared" si="4"/>
        <v>CAROL FOLEY</v>
      </c>
      <c r="M143" t="s">
        <v>1133</v>
      </c>
      <c r="N143" t="s">
        <v>57</v>
      </c>
      <c r="O143" s="1">
        <v>45597</v>
      </c>
      <c r="P143" s="1">
        <v>46235</v>
      </c>
      <c r="Q143" s="2">
        <v>69.63</v>
      </c>
      <c r="R143" t="s">
        <v>58</v>
      </c>
      <c r="S143" s="3">
        <v>0.1</v>
      </c>
      <c r="T143">
        <v>0</v>
      </c>
      <c r="U143" t="s">
        <v>247</v>
      </c>
      <c r="V143" t="s">
        <v>248</v>
      </c>
      <c r="W143">
        <v>0</v>
      </c>
      <c r="X143" s="2">
        <v>0</v>
      </c>
      <c r="Y143" s="2">
        <v>6.96</v>
      </c>
      <c r="Z143" s="2">
        <v>6.96</v>
      </c>
      <c r="AA143" s="2">
        <v>6.96</v>
      </c>
      <c r="AB143" s="2">
        <v>0</v>
      </c>
    </row>
    <row r="144" spans="1:28" x14ac:dyDescent="0.25">
      <c r="A144">
        <v>2025280496</v>
      </c>
      <c r="B144" t="s">
        <v>699</v>
      </c>
      <c r="C144" t="s">
        <v>700</v>
      </c>
      <c r="D144" t="str">
        <f t="shared" si="5"/>
        <v>GARBO CHEN</v>
      </c>
      <c r="E144" t="s">
        <v>52</v>
      </c>
      <c r="F144" t="s">
        <v>188</v>
      </c>
      <c r="G144" t="s">
        <v>189</v>
      </c>
      <c r="H144" t="s">
        <v>189</v>
      </c>
      <c r="I144" s="8">
        <v>17425766</v>
      </c>
      <c r="J144" t="s">
        <v>266</v>
      </c>
      <c r="K144" t="s">
        <v>267</v>
      </c>
      <c r="L144" t="str">
        <f t="shared" si="4"/>
        <v>CAROL FOLEY</v>
      </c>
      <c r="M144" t="s">
        <v>1133</v>
      </c>
      <c r="N144" t="s">
        <v>57</v>
      </c>
      <c r="O144" s="1">
        <v>45597</v>
      </c>
      <c r="P144" s="1">
        <v>46235</v>
      </c>
      <c r="Q144" s="2">
        <v>19.309999999999999</v>
      </c>
      <c r="R144" t="s">
        <v>58</v>
      </c>
      <c r="S144" s="3">
        <v>0.1</v>
      </c>
      <c r="T144">
        <v>0</v>
      </c>
      <c r="U144" t="s">
        <v>247</v>
      </c>
      <c r="V144" t="s">
        <v>248</v>
      </c>
      <c r="W144">
        <v>0</v>
      </c>
      <c r="X144" s="2">
        <v>0</v>
      </c>
      <c r="Y144" s="2">
        <v>1.93</v>
      </c>
      <c r="Z144" s="2">
        <v>1.93</v>
      </c>
      <c r="AA144" s="2">
        <v>1.93</v>
      </c>
      <c r="AB144" s="2">
        <v>0</v>
      </c>
    </row>
    <row r="145" spans="1:28" x14ac:dyDescent="0.25">
      <c r="A145">
        <v>2025303843</v>
      </c>
      <c r="B145" t="s">
        <v>279</v>
      </c>
      <c r="C145" t="s">
        <v>280</v>
      </c>
      <c r="D145" t="str">
        <f t="shared" si="5"/>
        <v>JERRY HUANG</v>
      </c>
      <c r="E145" t="s">
        <v>52</v>
      </c>
      <c r="F145" t="s">
        <v>188</v>
      </c>
      <c r="G145" t="s">
        <v>189</v>
      </c>
      <c r="H145" t="s">
        <v>189</v>
      </c>
      <c r="I145" s="8">
        <v>17425766</v>
      </c>
      <c r="J145" t="s">
        <v>266</v>
      </c>
      <c r="K145" t="s">
        <v>267</v>
      </c>
      <c r="L145" t="str">
        <f t="shared" si="4"/>
        <v>CAROL FOLEY</v>
      </c>
      <c r="M145" t="s">
        <v>1133</v>
      </c>
      <c r="N145" t="s">
        <v>57</v>
      </c>
      <c r="O145" s="1">
        <v>45597</v>
      </c>
      <c r="P145" s="1">
        <v>46235</v>
      </c>
      <c r="Q145" s="2">
        <v>61.39</v>
      </c>
      <c r="R145" t="s">
        <v>58</v>
      </c>
      <c r="S145" s="3">
        <v>0.1</v>
      </c>
      <c r="T145">
        <v>0</v>
      </c>
      <c r="U145" t="s">
        <v>247</v>
      </c>
      <c r="V145" t="s">
        <v>248</v>
      </c>
      <c r="W145">
        <v>0</v>
      </c>
      <c r="X145" s="2">
        <v>0</v>
      </c>
      <c r="Y145" s="2">
        <v>6.14</v>
      </c>
      <c r="Z145" s="2">
        <v>6.14</v>
      </c>
      <c r="AA145" s="2">
        <v>6.14</v>
      </c>
      <c r="AB145" s="2">
        <v>0</v>
      </c>
    </row>
    <row r="146" spans="1:28" x14ac:dyDescent="0.25">
      <c r="A146">
        <v>2025422150</v>
      </c>
      <c r="B146" t="s">
        <v>703</v>
      </c>
      <c r="C146" t="s">
        <v>704</v>
      </c>
      <c r="D146" t="str">
        <f t="shared" si="5"/>
        <v>LORA DODSON</v>
      </c>
      <c r="E146" t="s">
        <v>52</v>
      </c>
      <c r="F146" t="s">
        <v>188</v>
      </c>
      <c r="G146" t="s">
        <v>189</v>
      </c>
      <c r="H146" t="s">
        <v>189</v>
      </c>
      <c r="I146" s="8">
        <v>17425766</v>
      </c>
      <c r="J146" t="s">
        <v>266</v>
      </c>
      <c r="K146" t="s">
        <v>267</v>
      </c>
      <c r="L146" t="str">
        <f t="shared" si="4"/>
        <v>CAROL FOLEY</v>
      </c>
      <c r="M146" t="s">
        <v>1133</v>
      </c>
      <c r="N146" t="s">
        <v>57</v>
      </c>
      <c r="O146" s="1">
        <v>45597</v>
      </c>
      <c r="P146" s="1">
        <v>46235</v>
      </c>
      <c r="Q146" s="2">
        <v>47.17</v>
      </c>
      <c r="R146" t="s">
        <v>58</v>
      </c>
      <c r="S146" s="3">
        <v>0.1</v>
      </c>
      <c r="T146">
        <v>0</v>
      </c>
      <c r="U146" t="s">
        <v>247</v>
      </c>
      <c r="V146" t="s">
        <v>248</v>
      </c>
      <c r="W146">
        <v>0</v>
      </c>
      <c r="X146" s="2">
        <v>0</v>
      </c>
      <c r="Y146" s="2">
        <v>4.72</v>
      </c>
      <c r="Z146" s="2">
        <v>4.72</v>
      </c>
      <c r="AA146" s="2">
        <v>4.72</v>
      </c>
      <c r="AB146" s="2">
        <v>0</v>
      </c>
    </row>
    <row r="147" spans="1:28" x14ac:dyDescent="0.25">
      <c r="A147">
        <v>2026541089</v>
      </c>
      <c r="B147" t="s">
        <v>720</v>
      </c>
      <c r="C147" t="s">
        <v>403</v>
      </c>
      <c r="D147" t="str">
        <f t="shared" si="5"/>
        <v>SANDRA HERRICK</v>
      </c>
      <c r="E147" t="s">
        <v>52</v>
      </c>
      <c r="F147" t="s">
        <v>188</v>
      </c>
      <c r="G147" t="s">
        <v>189</v>
      </c>
      <c r="H147" t="s">
        <v>189</v>
      </c>
      <c r="I147" s="8">
        <v>17425766</v>
      </c>
      <c r="J147" t="s">
        <v>266</v>
      </c>
      <c r="K147" t="s">
        <v>267</v>
      </c>
      <c r="L147" t="str">
        <f t="shared" si="4"/>
        <v>CAROL FOLEY</v>
      </c>
      <c r="M147" t="s">
        <v>1133</v>
      </c>
      <c r="N147" t="s">
        <v>57</v>
      </c>
      <c r="O147" s="1">
        <v>45689</v>
      </c>
      <c r="P147" s="1">
        <v>46235</v>
      </c>
      <c r="Q147" s="2">
        <v>55.16</v>
      </c>
      <c r="R147" t="s">
        <v>58</v>
      </c>
      <c r="S147" s="3">
        <v>0.1</v>
      </c>
      <c r="T147">
        <v>0</v>
      </c>
      <c r="U147" t="s">
        <v>247</v>
      </c>
      <c r="V147" t="s">
        <v>248</v>
      </c>
      <c r="W147">
        <v>0</v>
      </c>
      <c r="X147" s="2">
        <v>0</v>
      </c>
      <c r="Y147" s="2">
        <v>5.52</v>
      </c>
      <c r="Z147" s="2">
        <v>5.52</v>
      </c>
      <c r="AA147" s="2">
        <v>5.52</v>
      </c>
      <c r="AB147" s="2">
        <v>0</v>
      </c>
    </row>
    <row r="148" spans="1:28" x14ac:dyDescent="0.25">
      <c r="A148">
        <v>2026649886</v>
      </c>
      <c r="B148" t="s">
        <v>290</v>
      </c>
      <c r="C148" t="s">
        <v>291</v>
      </c>
      <c r="D148" t="str">
        <f t="shared" si="5"/>
        <v>AMANDA STRENGTH</v>
      </c>
      <c r="E148" t="s">
        <v>167</v>
      </c>
      <c r="F148" t="s">
        <v>188</v>
      </c>
      <c r="G148" t="s">
        <v>189</v>
      </c>
      <c r="H148" t="s">
        <v>189</v>
      </c>
      <c r="I148" s="8">
        <v>17425766</v>
      </c>
      <c r="J148" t="s">
        <v>266</v>
      </c>
      <c r="K148" t="s">
        <v>267</v>
      </c>
      <c r="L148" t="str">
        <f t="shared" si="4"/>
        <v>CAROL FOLEY</v>
      </c>
      <c r="M148" t="s">
        <v>1133</v>
      </c>
      <c r="N148" t="s">
        <v>57</v>
      </c>
      <c r="O148" s="1">
        <v>45689</v>
      </c>
      <c r="P148" s="1">
        <v>46235</v>
      </c>
      <c r="Q148" s="2">
        <v>26.12</v>
      </c>
      <c r="R148" t="s">
        <v>58</v>
      </c>
      <c r="S148" s="3">
        <v>0.1</v>
      </c>
      <c r="T148">
        <v>0</v>
      </c>
      <c r="U148" t="s">
        <v>247</v>
      </c>
      <c r="V148" t="s">
        <v>248</v>
      </c>
      <c r="W148">
        <v>0</v>
      </c>
      <c r="X148" s="2">
        <v>0</v>
      </c>
      <c r="Y148" s="2">
        <v>2.61</v>
      </c>
      <c r="Z148" s="2">
        <v>2.61</v>
      </c>
      <c r="AA148" s="2">
        <v>2.61</v>
      </c>
      <c r="AB148" s="2">
        <v>0</v>
      </c>
    </row>
    <row r="149" spans="1:28" x14ac:dyDescent="0.25">
      <c r="A149">
        <v>2026805533</v>
      </c>
      <c r="B149" t="s">
        <v>606</v>
      </c>
      <c r="C149" t="s">
        <v>607</v>
      </c>
      <c r="D149" t="str">
        <f t="shared" si="5"/>
        <v>CLEON MITCHELL</v>
      </c>
      <c r="E149" t="s">
        <v>124</v>
      </c>
      <c r="F149" t="s">
        <v>188</v>
      </c>
      <c r="G149" t="s">
        <v>189</v>
      </c>
      <c r="H149" t="s">
        <v>189</v>
      </c>
      <c r="I149" s="8">
        <v>17425766</v>
      </c>
      <c r="J149" t="s">
        <v>266</v>
      </c>
      <c r="K149" t="s">
        <v>267</v>
      </c>
      <c r="L149" t="str">
        <f t="shared" si="4"/>
        <v>CAROL FOLEY</v>
      </c>
      <c r="M149" t="s">
        <v>1133</v>
      </c>
      <c r="N149" t="s">
        <v>57</v>
      </c>
      <c r="O149" s="1">
        <v>45689</v>
      </c>
      <c r="P149" s="1">
        <v>46235</v>
      </c>
      <c r="Q149" s="2">
        <v>26.12</v>
      </c>
      <c r="R149" t="s">
        <v>58</v>
      </c>
      <c r="S149" s="3">
        <v>0.1</v>
      </c>
      <c r="T149">
        <v>0</v>
      </c>
      <c r="U149" t="s">
        <v>247</v>
      </c>
      <c r="V149" t="s">
        <v>248</v>
      </c>
      <c r="W149">
        <v>0</v>
      </c>
      <c r="X149" s="2">
        <v>0</v>
      </c>
      <c r="Y149" s="2">
        <v>2.61</v>
      </c>
      <c r="Z149" s="2">
        <v>2.61</v>
      </c>
      <c r="AA149" s="2">
        <v>2.61</v>
      </c>
      <c r="AB149" s="2">
        <v>0</v>
      </c>
    </row>
    <row r="150" spans="1:28" x14ac:dyDescent="0.25">
      <c r="A150">
        <v>2026812262</v>
      </c>
      <c r="B150" t="s">
        <v>608</v>
      </c>
      <c r="C150" t="s">
        <v>609</v>
      </c>
      <c r="D150" t="str">
        <f t="shared" si="5"/>
        <v>JODI HEVELONE</v>
      </c>
      <c r="E150" t="s">
        <v>176</v>
      </c>
      <c r="F150" t="s">
        <v>188</v>
      </c>
      <c r="G150" t="s">
        <v>189</v>
      </c>
      <c r="H150" t="s">
        <v>189</v>
      </c>
      <c r="I150" s="8">
        <v>17425766</v>
      </c>
      <c r="J150" t="s">
        <v>266</v>
      </c>
      <c r="K150" t="s">
        <v>267</v>
      </c>
      <c r="L150" t="str">
        <f t="shared" si="4"/>
        <v>CAROL FOLEY</v>
      </c>
      <c r="M150" t="s">
        <v>1133</v>
      </c>
      <c r="N150" t="s">
        <v>57</v>
      </c>
      <c r="O150" s="1">
        <v>45689</v>
      </c>
      <c r="P150" s="1">
        <v>46235</v>
      </c>
      <c r="Q150" s="2">
        <v>35.94</v>
      </c>
      <c r="R150" t="s">
        <v>58</v>
      </c>
      <c r="S150" s="3">
        <v>0.1</v>
      </c>
      <c r="T150">
        <v>0</v>
      </c>
      <c r="U150" t="s">
        <v>247</v>
      </c>
      <c r="V150" t="s">
        <v>248</v>
      </c>
      <c r="W150">
        <v>0</v>
      </c>
      <c r="X150" s="2">
        <v>0</v>
      </c>
      <c r="Y150" s="2">
        <v>3.59</v>
      </c>
      <c r="Z150" s="2">
        <v>3.59</v>
      </c>
      <c r="AA150" s="2">
        <v>3.59</v>
      </c>
      <c r="AB150" s="2">
        <v>0</v>
      </c>
    </row>
    <row r="151" spans="1:28" x14ac:dyDescent="0.25">
      <c r="A151">
        <v>2033339645</v>
      </c>
      <c r="B151" t="s">
        <v>446</v>
      </c>
      <c r="C151" t="s">
        <v>966</v>
      </c>
      <c r="D151" t="str">
        <f t="shared" si="5"/>
        <v>NICHOLAS MILLER</v>
      </c>
      <c r="E151" t="s">
        <v>52</v>
      </c>
      <c r="F151" t="s">
        <v>188</v>
      </c>
      <c r="G151" t="s">
        <v>189</v>
      </c>
      <c r="H151" t="s">
        <v>189</v>
      </c>
      <c r="I151" s="8">
        <v>17425766</v>
      </c>
      <c r="J151" t="s">
        <v>266</v>
      </c>
      <c r="K151" t="s">
        <v>267</v>
      </c>
      <c r="L151" t="str">
        <f t="shared" si="4"/>
        <v>CAROL FOLEY</v>
      </c>
      <c r="M151" t="s">
        <v>1133</v>
      </c>
      <c r="N151" t="s">
        <v>57</v>
      </c>
      <c r="O151" s="1">
        <v>46054</v>
      </c>
      <c r="P151" s="1">
        <v>46235</v>
      </c>
      <c r="Q151" s="2">
        <v>21.97</v>
      </c>
      <c r="R151" t="s">
        <v>58</v>
      </c>
      <c r="S151" s="3">
        <v>0.38</v>
      </c>
      <c r="T151">
        <v>0</v>
      </c>
      <c r="U151" t="s">
        <v>60</v>
      </c>
      <c r="V151" t="s">
        <v>248</v>
      </c>
      <c r="W151">
        <v>0</v>
      </c>
      <c r="X151" s="2">
        <v>0</v>
      </c>
      <c r="Y151" s="2">
        <v>8.35</v>
      </c>
      <c r="Z151" s="2">
        <v>0</v>
      </c>
      <c r="AA151" s="2">
        <v>0</v>
      </c>
      <c r="AB151" s="2">
        <v>0</v>
      </c>
    </row>
    <row r="152" spans="1:28" x14ac:dyDescent="0.25">
      <c r="A152">
        <v>2035165393</v>
      </c>
      <c r="B152" t="s">
        <v>647</v>
      </c>
      <c r="C152" t="s">
        <v>648</v>
      </c>
      <c r="D152" t="str">
        <f t="shared" si="5"/>
        <v>AIESHA CROMARTE</v>
      </c>
      <c r="E152" t="s">
        <v>100</v>
      </c>
      <c r="F152" t="s">
        <v>188</v>
      </c>
      <c r="G152" t="s">
        <v>189</v>
      </c>
      <c r="H152" t="s">
        <v>189</v>
      </c>
      <c r="I152" s="8">
        <v>17425766</v>
      </c>
      <c r="J152" t="s">
        <v>266</v>
      </c>
      <c r="K152" t="s">
        <v>267</v>
      </c>
      <c r="L152" t="str">
        <f t="shared" si="4"/>
        <v>CAROL FOLEY</v>
      </c>
      <c r="M152" t="s">
        <v>1133</v>
      </c>
      <c r="N152" t="s">
        <v>57</v>
      </c>
      <c r="O152" s="1">
        <v>46141</v>
      </c>
      <c r="P152" s="1">
        <v>46232</v>
      </c>
      <c r="Q152" s="2">
        <v>39.28</v>
      </c>
      <c r="R152" t="s">
        <v>58</v>
      </c>
      <c r="S152" s="3">
        <v>0.38</v>
      </c>
      <c r="T152">
        <v>0</v>
      </c>
      <c r="U152" t="s">
        <v>60</v>
      </c>
      <c r="V152" t="s">
        <v>248</v>
      </c>
      <c r="W152">
        <v>0</v>
      </c>
      <c r="X152" s="2">
        <v>0</v>
      </c>
      <c r="Y152" s="2">
        <v>14.93</v>
      </c>
      <c r="Z152" s="2">
        <v>0</v>
      </c>
      <c r="AA152" s="2">
        <v>0</v>
      </c>
      <c r="AB152" s="2">
        <v>0</v>
      </c>
    </row>
    <row r="153" spans="1:28" x14ac:dyDescent="0.25">
      <c r="A153">
        <v>2033352570</v>
      </c>
      <c r="B153" t="s">
        <v>990</v>
      </c>
      <c r="C153" t="s">
        <v>991</v>
      </c>
      <c r="D153" t="str">
        <f t="shared" si="5"/>
        <v>MARA CIERVO</v>
      </c>
      <c r="E153" t="s">
        <v>52</v>
      </c>
      <c r="F153" t="s">
        <v>188</v>
      </c>
      <c r="G153" t="s">
        <v>189</v>
      </c>
      <c r="H153" t="s">
        <v>189</v>
      </c>
      <c r="I153" s="8">
        <v>17425766</v>
      </c>
      <c r="J153" t="s">
        <v>266</v>
      </c>
      <c r="K153" t="s">
        <v>267</v>
      </c>
      <c r="L153" t="str">
        <f t="shared" si="4"/>
        <v>CAROL FOLEY</v>
      </c>
      <c r="M153" t="s">
        <v>1133</v>
      </c>
      <c r="N153" t="s">
        <v>57</v>
      </c>
      <c r="O153" s="1">
        <v>46054</v>
      </c>
      <c r="P153" s="1">
        <v>46235</v>
      </c>
      <c r="Q153" s="2">
        <v>55.16</v>
      </c>
      <c r="R153" t="s">
        <v>58</v>
      </c>
      <c r="S153" s="3">
        <v>0.38</v>
      </c>
      <c r="T153">
        <v>0</v>
      </c>
      <c r="U153" t="s">
        <v>60</v>
      </c>
      <c r="V153" t="s">
        <v>248</v>
      </c>
      <c r="W153">
        <v>0</v>
      </c>
      <c r="X153" s="2">
        <v>0</v>
      </c>
      <c r="Y153" s="2">
        <v>20.96</v>
      </c>
      <c r="Z153" s="2">
        <v>0</v>
      </c>
      <c r="AA153" s="2">
        <v>0</v>
      </c>
      <c r="AB153" s="2">
        <v>0</v>
      </c>
    </row>
    <row r="154" spans="1:28" x14ac:dyDescent="0.25">
      <c r="A154">
        <v>2033407840</v>
      </c>
      <c r="B154" t="s">
        <v>968</v>
      </c>
      <c r="C154" t="s">
        <v>969</v>
      </c>
      <c r="D154" t="str">
        <f t="shared" si="5"/>
        <v>DANIELLE LOCKS</v>
      </c>
      <c r="E154" t="s">
        <v>52</v>
      </c>
      <c r="F154" t="s">
        <v>188</v>
      </c>
      <c r="G154" t="s">
        <v>189</v>
      </c>
      <c r="H154" t="s">
        <v>189</v>
      </c>
      <c r="I154" s="8">
        <v>17425766</v>
      </c>
      <c r="J154" t="s">
        <v>266</v>
      </c>
      <c r="K154" t="s">
        <v>267</v>
      </c>
      <c r="L154" t="str">
        <f t="shared" si="4"/>
        <v>CAROL FOLEY</v>
      </c>
      <c r="M154" t="s">
        <v>1133</v>
      </c>
      <c r="N154" t="s">
        <v>57</v>
      </c>
      <c r="O154" s="1">
        <v>46054</v>
      </c>
      <c r="P154" s="1">
        <v>46235</v>
      </c>
      <c r="Q154" s="2">
        <v>68.040000000000006</v>
      </c>
      <c r="R154" t="s">
        <v>58</v>
      </c>
      <c r="S154" s="3">
        <v>0.38</v>
      </c>
      <c r="T154">
        <v>0</v>
      </c>
      <c r="U154" t="s">
        <v>60</v>
      </c>
      <c r="V154" t="s">
        <v>248</v>
      </c>
      <c r="W154">
        <v>0</v>
      </c>
      <c r="X154" s="2">
        <v>0</v>
      </c>
      <c r="Y154" s="2">
        <v>25.86</v>
      </c>
      <c r="Z154" s="2">
        <v>0</v>
      </c>
      <c r="AA154" s="2">
        <v>0</v>
      </c>
      <c r="AB154" s="2">
        <v>0</v>
      </c>
    </row>
    <row r="155" spans="1:28" x14ac:dyDescent="0.25">
      <c r="A155">
        <v>2026805532</v>
      </c>
      <c r="B155" t="s">
        <v>606</v>
      </c>
      <c r="C155" t="s">
        <v>607</v>
      </c>
      <c r="D155" t="str">
        <f t="shared" si="5"/>
        <v>CLEON MITCHELL</v>
      </c>
      <c r="E155" t="s">
        <v>124</v>
      </c>
      <c r="F155" t="s">
        <v>194</v>
      </c>
      <c r="G155" t="s">
        <v>195</v>
      </c>
      <c r="H155" t="s">
        <v>195</v>
      </c>
      <c r="I155" s="8">
        <v>17425766</v>
      </c>
      <c r="J155" t="s">
        <v>266</v>
      </c>
      <c r="K155" t="s">
        <v>267</v>
      </c>
      <c r="L155" t="str">
        <f t="shared" si="4"/>
        <v>CAROL FOLEY</v>
      </c>
      <c r="M155" t="s">
        <v>1133</v>
      </c>
      <c r="N155" t="s">
        <v>57</v>
      </c>
      <c r="O155" s="1">
        <v>45689</v>
      </c>
      <c r="P155" s="1">
        <v>46235</v>
      </c>
      <c r="Q155" s="2">
        <v>22</v>
      </c>
      <c r="R155" t="s">
        <v>58</v>
      </c>
      <c r="S155" s="3">
        <v>0.15</v>
      </c>
      <c r="T155">
        <v>0</v>
      </c>
      <c r="U155" t="s">
        <v>247</v>
      </c>
      <c r="V155" t="s">
        <v>248</v>
      </c>
      <c r="W155">
        <v>0</v>
      </c>
      <c r="X155" s="2">
        <v>0</v>
      </c>
      <c r="Y155" s="2">
        <v>3.3</v>
      </c>
      <c r="Z155" s="2">
        <v>3.3</v>
      </c>
      <c r="AA155" s="2">
        <v>3.3</v>
      </c>
      <c r="AB155" s="2">
        <v>0</v>
      </c>
    </row>
    <row r="156" spans="1:28" x14ac:dyDescent="0.25">
      <c r="A156">
        <v>2018695482</v>
      </c>
      <c r="B156" t="s">
        <v>665</v>
      </c>
      <c r="C156" t="s">
        <v>478</v>
      </c>
      <c r="D156" t="str">
        <f t="shared" si="5"/>
        <v>MICHAEL FIGUEROA</v>
      </c>
      <c r="E156" t="s">
        <v>52</v>
      </c>
      <c r="F156" t="s">
        <v>133</v>
      </c>
      <c r="G156" t="s">
        <v>134</v>
      </c>
      <c r="H156" t="s">
        <v>134</v>
      </c>
      <c r="I156" s="8" t="s">
        <v>1107</v>
      </c>
      <c r="J156" t="s">
        <v>266</v>
      </c>
      <c r="K156" t="s">
        <v>267</v>
      </c>
      <c r="L156" t="str">
        <f t="shared" si="4"/>
        <v>CAROL FOLEY</v>
      </c>
      <c r="M156" t="s">
        <v>1133</v>
      </c>
      <c r="N156" t="s">
        <v>57</v>
      </c>
      <c r="O156" s="1">
        <v>45078</v>
      </c>
      <c r="P156" s="1">
        <v>46235</v>
      </c>
      <c r="Q156" s="2">
        <v>57.29</v>
      </c>
      <c r="R156" t="s">
        <v>58</v>
      </c>
      <c r="S156" s="3">
        <v>0.06</v>
      </c>
      <c r="T156">
        <v>0</v>
      </c>
      <c r="U156" t="s">
        <v>247</v>
      </c>
      <c r="V156" t="s">
        <v>248</v>
      </c>
      <c r="W156">
        <v>0</v>
      </c>
      <c r="X156" s="2">
        <v>0</v>
      </c>
      <c r="Y156" s="2">
        <v>3.44</v>
      </c>
      <c r="Z156" s="2">
        <v>3.44</v>
      </c>
      <c r="AA156" s="2">
        <v>3.44</v>
      </c>
      <c r="AB156" s="2">
        <v>0</v>
      </c>
    </row>
    <row r="157" spans="1:28" x14ac:dyDescent="0.25">
      <c r="A157">
        <v>2023252074</v>
      </c>
      <c r="B157" t="s">
        <v>684</v>
      </c>
      <c r="C157" t="s">
        <v>466</v>
      </c>
      <c r="D157" t="str">
        <f t="shared" si="5"/>
        <v>TODD STOFKA</v>
      </c>
      <c r="E157" t="s">
        <v>52</v>
      </c>
      <c r="F157" t="s">
        <v>133</v>
      </c>
      <c r="G157" t="s">
        <v>134</v>
      </c>
      <c r="H157" t="s">
        <v>134</v>
      </c>
      <c r="I157" s="8" t="s">
        <v>1108</v>
      </c>
      <c r="J157" t="s">
        <v>266</v>
      </c>
      <c r="K157" t="s">
        <v>267</v>
      </c>
      <c r="L157" t="str">
        <f t="shared" si="4"/>
        <v>CAROL FOLEY</v>
      </c>
      <c r="M157" t="s">
        <v>1133</v>
      </c>
      <c r="N157" t="s">
        <v>57</v>
      </c>
      <c r="O157" s="1">
        <v>45444</v>
      </c>
      <c r="P157" s="1">
        <v>46235</v>
      </c>
      <c r="Q157" s="2">
        <v>82.25</v>
      </c>
      <c r="R157" t="s">
        <v>58</v>
      </c>
      <c r="S157" s="3">
        <v>0.06</v>
      </c>
      <c r="T157">
        <v>0</v>
      </c>
      <c r="U157" t="s">
        <v>247</v>
      </c>
      <c r="V157" t="s">
        <v>248</v>
      </c>
      <c r="W157">
        <v>0</v>
      </c>
      <c r="X157" s="2">
        <v>0</v>
      </c>
      <c r="Y157" s="2">
        <v>4.9400000000000004</v>
      </c>
      <c r="Z157" s="2">
        <v>4.9400000000000004</v>
      </c>
      <c r="AA157" s="2">
        <v>4.9400000000000004</v>
      </c>
      <c r="AB157" s="2">
        <v>0</v>
      </c>
    </row>
    <row r="158" spans="1:28" x14ac:dyDescent="0.25">
      <c r="A158">
        <v>2023391301</v>
      </c>
      <c r="B158" t="s">
        <v>268</v>
      </c>
      <c r="C158" t="s">
        <v>269</v>
      </c>
      <c r="D158" t="str">
        <f t="shared" si="5"/>
        <v>LEE MCDERMOTT</v>
      </c>
      <c r="E158" t="s">
        <v>52</v>
      </c>
      <c r="F158" t="s">
        <v>133</v>
      </c>
      <c r="G158" t="s">
        <v>134</v>
      </c>
      <c r="H158" t="s">
        <v>134</v>
      </c>
      <c r="I158" s="8">
        <v>17425766</v>
      </c>
      <c r="J158" t="s">
        <v>266</v>
      </c>
      <c r="K158" t="s">
        <v>267</v>
      </c>
      <c r="L158" t="str">
        <f t="shared" si="4"/>
        <v>CAROL FOLEY</v>
      </c>
      <c r="M158" t="s">
        <v>1133</v>
      </c>
      <c r="N158" t="s">
        <v>57</v>
      </c>
      <c r="O158" s="1">
        <v>45474</v>
      </c>
      <c r="P158" s="1">
        <v>46235</v>
      </c>
      <c r="Q158" s="2">
        <v>44.21</v>
      </c>
      <c r="R158" t="s">
        <v>58</v>
      </c>
      <c r="S158" s="3">
        <v>0.06</v>
      </c>
      <c r="T158">
        <v>0</v>
      </c>
      <c r="U158" t="s">
        <v>247</v>
      </c>
      <c r="V158" t="s">
        <v>248</v>
      </c>
      <c r="W158">
        <v>0</v>
      </c>
      <c r="X158" s="2">
        <v>0</v>
      </c>
      <c r="Y158" s="2">
        <v>2.65</v>
      </c>
      <c r="Z158" s="2">
        <v>2.65</v>
      </c>
      <c r="AA158" s="2">
        <v>2.65</v>
      </c>
      <c r="AB158" s="2">
        <v>0</v>
      </c>
    </row>
    <row r="159" spans="1:28" x14ac:dyDescent="0.25">
      <c r="A159">
        <v>2023696965</v>
      </c>
      <c r="B159" t="s">
        <v>688</v>
      </c>
      <c r="C159" t="s">
        <v>689</v>
      </c>
      <c r="D159" t="str">
        <f t="shared" si="5"/>
        <v>JIOVANI NAIDOO</v>
      </c>
      <c r="E159" t="s">
        <v>167</v>
      </c>
      <c r="F159" t="s">
        <v>133</v>
      </c>
      <c r="G159" t="s">
        <v>134</v>
      </c>
      <c r="H159" t="s">
        <v>134</v>
      </c>
      <c r="I159" s="8">
        <v>17425766</v>
      </c>
      <c r="J159" t="s">
        <v>266</v>
      </c>
      <c r="K159" t="s">
        <v>267</v>
      </c>
      <c r="L159" t="str">
        <f t="shared" si="4"/>
        <v>CAROL FOLEY</v>
      </c>
      <c r="M159" t="s">
        <v>1133</v>
      </c>
      <c r="N159" t="s">
        <v>57</v>
      </c>
      <c r="O159" s="1">
        <v>45471</v>
      </c>
      <c r="P159" s="1">
        <v>46231</v>
      </c>
      <c r="Q159" s="2">
        <v>39.380000000000003</v>
      </c>
      <c r="R159" t="s">
        <v>58</v>
      </c>
      <c r="S159" s="3">
        <v>0.06</v>
      </c>
      <c r="T159">
        <v>0</v>
      </c>
      <c r="U159" t="s">
        <v>247</v>
      </c>
      <c r="V159" t="s">
        <v>248</v>
      </c>
      <c r="W159">
        <v>0</v>
      </c>
      <c r="X159" s="2">
        <v>0</v>
      </c>
      <c r="Y159" s="2">
        <v>2.36</v>
      </c>
      <c r="Z159" s="2">
        <v>2.36</v>
      </c>
      <c r="AA159" s="2">
        <v>2.36</v>
      </c>
      <c r="AB159" s="2">
        <v>0</v>
      </c>
    </row>
    <row r="160" spans="1:28" x14ac:dyDescent="0.25">
      <c r="A160">
        <v>2024477617</v>
      </c>
      <c r="B160" t="s">
        <v>692</v>
      </c>
      <c r="C160" t="s">
        <v>359</v>
      </c>
      <c r="D160" t="str">
        <f t="shared" si="5"/>
        <v>MATTHEW KRYSIK</v>
      </c>
      <c r="E160" t="s">
        <v>52</v>
      </c>
      <c r="F160" t="s">
        <v>133</v>
      </c>
      <c r="G160" t="s">
        <v>134</v>
      </c>
      <c r="H160" t="s">
        <v>134</v>
      </c>
      <c r="I160" s="8">
        <v>17425766</v>
      </c>
      <c r="J160" t="s">
        <v>266</v>
      </c>
      <c r="K160" t="s">
        <v>267</v>
      </c>
      <c r="L160" t="str">
        <f t="shared" si="4"/>
        <v>CAROL FOLEY</v>
      </c>
      <c r="M160" t="s">
        <v>1133</v>
      </c>
      <c r="N160" t="s">
        <v>57</v>
      </c>
      <c r="O160" s="1">
        <v>45536</v>
      </c>
      <c r="P160" s="1">
        <v>46235</v>
      </c>
      <c r="Q160" s="2">
        <v>44.21</v>
      </c>
      <c r="R160" t="s">
        <v>58</v>
      </c>
      <c r="S160" s="3">
        <v>0.06</v>
      </c>
      <c r="T160">
        <v>0</v>
      </c>
      <c r="U160" t="s">
        <v>247</v>
      </c>
      <c r="V160" t="s">
        <v>248</v>
      </c>
      <c r="W160">
        <v>0</v>
      </c>
      <c r="X160" s="2">
        <v>0</v>
      </c>
      <c r="Y160" s="2">
        <v>2.65</v>
      </c>
      <c r="Z160" s="2">
        <v>2.65</v>
      </c>
      <c r="AA160" s="2">
        <v>2.65</v>
      </c>
      <c r="AB160" s="2">
        <v>0</v>
      </c>
    </row>
    <row r="161" spans="1:28" x14ac:dyDescent="0.25">
      <c r="A161">
        <v>2024591190</v>
      </c>
      <c r="B161" t="s">
        <v>695</v>
      </c>
      <c r="C161" t="s">
        <v>696</v>
      </c>
      <c r="D161" t="str">
        <f t="shared" si="5"/>
        <v>MAZILYN REID-KAPLAN</v>
      </c>
      <c r="E161" t="s">
        <v>52</v>
      </c>
      <c r="F161" t="s">
        <v>133</v>
      </c>
      <c r="G161" t="s">
        <v>134</v>
      </c>
      <c r="H161" t="s">
        <v>134</v>
      </c>
      <c r="I161" s="8">
        <v>17425766</v>
      </c>
      <c r="J161" t="s">
        <v>266</v>
      </c>
      <c r="K161" t="s">
        <v>267</v>
      </c>
      <c r="L161" t="str">
        <f t="shared" si="4"/>
        <v>CAROL FOLEY</v>
      </c>
      <c r="M161" t="s">
        <v>1133</v>
      </c>
      <c r="N161" t="s">
        <v>57</v>
      </c>
      <c r="O161" s="1">
        <v>45536</v>
      </c>
      <c r="P161" s="1">
        <v>46235</v>
      </c>
      <c r="Q161" s="2">
        <v>27.11</v>
      </c>
      <c r="R161" t="s">
        <v>58</v>
      </c>
      <c r="S161" s="3">
        <v>0.06</v>
      </c>
      <c r="T161">
        <v>0</v>
      </c>
      <c r="U161" t="s">
        <v>247</v>
      </c>
      <c r="V161" t="s">
        <v>248</v>
      </c>
      <c r="W161">
        <v>0</v>
      </c>
      <c r="X161" s="2">
        <v>0</v>
      </c>
      <c r="Y161" s="2">
        <v>1.63</v>
      </c>
      <c r="Z161" s="2">
        <v>1.63</v>
      </c>
      <c r="AA161" s="2">
        <v>1.63</v>
      </c>
      <c r="AB161" s="2">
        <v>0</v>
      </c>
    </row>
    <row r="162" spans="1:28" x14ac:dyDescent="0.25">
      <c r="A162">
        <v>2024645159</v>
      </c>
      <c r="B162" t="s">
        <v>697</v>
      </c>
      <c r="C162" t="s">
        <v>698</v>
      </c>
      <c r="D162" t="str">
        <f t="shared" si="5"/>
        <v>MAITRELLY ESPINOZA</v>
      </c>
      <c r="E162" t="s">
        <v>52</v>
      </c>
      <c r="F162" t="s">
        <v>133</v>
      </c>
      <c r="G162" t="s">
        <v>134</v>
      </c>
      <c r="H162" t="s">
        <v>134</v>
      </c>
      <c r="I162" s="8">
        <v>17425766</v>
      </c>
      <c r="J162" t="s">
        <v>266</v>
      </c>
      <c r="K162" t="s">
        <v>267</v>
      </c>
      <c r="L162" t="str">
        <f t="shared" si="4"/>
        <v>CAROL FOLEY</v>
      </c>
      <c r="M162" t="s">
        <v>1133</v>
      </c>
      <c r="N162" t="s">
        <v>57</v>
      </c>
      <c r="O162" s="1">
        <v>45536</v>
      </c>
      <c r="P162" s="1">
        <v>46235</v>
      </c>
      <c r="Q162" s="2">
        <v>44.98</v>
      </c>
      <c r="R162" t="s">
        <v>58</v>
      </c>
      <c r="S162" s="3">
        <v>0.06</v>
      </c>
      <c r="T162">
        <v>0</v>
      </c>
      <c r="U162" t="s">
        <v>247</v>
      </c>
      <c r="V162" t="s">
        <v>248</v>
      </c>
      <c r="W162">
        <v>0</v>
      </c>
      <c r="X162" s="2">
        <v>0</v>
      </c>
      <c r="Y162" s="2">
        <v>2.7</v>
      </c>
      <c r="Z162" s="2">
        <v>2.7</v>
      </c>
      <c r="AA162" s="2">
        <v>2.7</v>
      </c>
      <c r="AB162" s="2">
        <v>0</v>
      </c>
    </row>
    <row r="163" spans="1:28" x14ac:dyDescent="0.25">
      <c r="A163">
        <v>2024915570</v>
      </c>
      <c r="B163" t="s">
        <v>276</v>
      </c>
      <c r="C163" t="s">
        <v>182</v>
      </c>
      <c r="D163" t="str">
        <f t="shared" si="5"/>
        <v>JACOB MATHIS</v>
      </c>
      <c r="E163" t="s">
        <v>52</v>
      </c>
      <c r="F163" t="s">
        <v>133</v>
      </c>
      <c r="G163" t="s">
        <v>134</v>
      </c>
      <c r="H163" t="s">
        <v>134</v>
      </c>
      <c r="I163" s="8">
        <v>17425766</v>
      </c>
      <c r="J163" t="s">
        <v>266</v>
      </c>
      <c r="K163" t="s">
        <v>267</v>
      </c>
      <c r="L163" t="str">
        <f t="shared" si="4"/>
        <v>CAROL FOLEY</v>
      </c>
      <c r="M163" t="s">
        <v>1133</v>
      </c>
      <c r="N163" t="s">
        <v>57</v>
      </c>
      <c r="O163" s="1">
        <v>45566</v>
      </c>
      <c r="P163" s="1">
        <v>46235</v>
      </c>
      <c r="Q163" s="2">
        <v>15.88</v>
      </c>
      <c r="R163" t="s">
        <v>58</v>
      </c>
      <c r="S163" s="3">
        <v>0.06</v>
      </c>
      <c r="T163">
        <v>0</v>
      </c>
      <c r="U163" t="s">
        <v>247</v>
      </c>
      <c r="V163" t="s">
        <v>248</v>
      </c>
      <c r="W163">
        <v>0</v>
      </c>
      <c r="X163" s="2">
        <v>0</v>
      </c>
      <c r="Y163" s="2">
        <v>0.95</v>
      </c>
      <c r="Z163" s="2">
        <v>0.95</v>
      </c>
      <c r="AA163" s="2">
        <v>0.95</v>
      </c>
      <c r="AB163" s="2">
        <v>0</v>
      </c>
    </row>
    <row r="164" spans="1:28" x14ac:dyDescent="0.25">
      <c r="A164">
        <v>2025280495</v>
      </c>
      <c r="B164" t="s">
        <v>699</v>
      </c>
      <c r="C164" t="s">
        <v>700</v>
      </c>
      <c r="D164" t="str">
        <f t="shared" si="5"/>
        <v>GARBO CHEN</v>
      </c>
      <c r="E164" t="s">
        <v>52</v>
      </c>
      <c r="F164" t="s">
        <v>133</v>
      </c>
      <c r="G164" t="s">
        <v>134</v>
      </c>
      <c r="H164" t="s">
        <v>134</v>
      </c>
      <c r="I164" s="8">
        <v>17425766</v>
      </c>
      <c r="J164" t="s">
        <v>266</v>
      </c>
      <c r="K164" t="s">
        <v>267</v>
      </c>
      <c r="L164" t="str">
        <f t="shared" si="4"/>
        <v>CAROL FOLEY</v>
      </c>
      <c r="M164" t="s">
        <v>1133</v>
      </c>
      <c r="N164" t="s">
        <v>57</v>
      </c>
      <c r="O164" s="1">
        <v>45597</v>
      </c>
      <c r="P164" s="1">
        <v>46235</v>
      </c>
      <c r="Q164" s="2">
        <v>27.11</v>
      </c>
      <c r="R164" t="s">
        <v>58</v>
      </c>
      <c r="S164" s="3">
        <v>0.06</v>
      </c>
      <c r="T164">
        <v>0</v>
      </c>
      <c r="U164" t="s">
        <v>247</v>
      </c>
      <c r="V164" t="s">
        <v>248</v>
      </c>
      <c r="W164">
        <v>0</v>
      </c>
      <c r="X164" s="2">
        <v>0</v>
      </c>
      <c r="Y164" s="2">
        <v>1.63</v>
      </c>
      <c r="Z164" s="2">
        <v>1.63</v>
      </c>
      <c r="AA164" s="2">
        <v>1.63</v>
      </c>
      <c r="AB164" s="2">
        <v>0</v>
      </c>
    </row>
    <row r="165" spans="1:28" x14ac:dyDescent="0.25">
      <c r="A165">
        <v>2025422151</v>
      </c>
      <c r="B165" t="s">
        <v>703</v>
      </c>
      <c r="C165" t="s">
        <v>704</v>
      </c>
      <c r="D165" t="str">
        <f t="shared" si="5"/>
        <v>LORA DODSON</v>
      </c>
      <c r="E165" t="s">
        <v>52</v>
      </c>
      <c r="F165" t="s">
        <v>133</v>
      </c>
      <c r="G165" t="s">
        <v>134</v>
      </c>
      <c r="H165" t="s">
        <v>134</v>
      </c>
      <c r="I165" s="8">
        <v>17425766</v>
      </c>
      <c r="J165" t="s">
        <v>266</v>
      </c>
      <c r="K165" t="s">
        <v>267</v>
      </c>
      <c r="L165" t="str">
        <f t="shared" si="4"/>
        <v>CAROL FOLEY</v>
      </c>
      <c r="M165" t="s">
        <v>1133</v>
      </c>
      <c r="N165" t="s">
        <v>57</v>
      </c>
      <c r="O165" s="1">
        <v>45597</v>
      </c>
      <c r="P165" s="1">
        <v>46235</v>
      </c>
      <c r="Q165" s="2">
        <v>53.08</v>
      </c>
      <c r="R165" t="s">
        <v>58</v>
      </c>
      <c r="S165" s="3">
        <v>0.06</v>
      </c>
      <c r="T165">
        <v>0</v>
      </c>
      <c r="U165" t="s">
        <v>247</v>
      </c>
      <c r="V165" t="s">
        <v>248</v>
      </c>
      <c r="W165">
        <v>0</v>
      </c>
      <c r="X165" s="2">
        <v>0</v>
      </c>
      <c r="Y165" s="2">
        <v>3.18</v>
      </c>
      <c r="Z165" s="2">
        <v>3.18</v>
      </c>
      <c r="AA165" s="2">
        <v>3.18</v>
      </c>
      <c r="AB165" s="2">
        <v>0</v>
      </c>
    </row>
    <row r="166" spans="1:28" x14ac:dyDescent="0.25">
      <c r="A166">
        <v>2026541090</v>
      </c>
      <c r="B166" t="s">
        <v>720</v>
      </c>
      <c r="C166" t="s">
        <v>403</v>
      </c>
      <c r="D166" t="str">
        <f t="shared" si="5"/>
        <v>SANDRA HERRICK</v>
      </c>
      <c r="E166" t="s">
        <v>52</v>
      </c>
      <c r="F166" t="s">
        <v>133</v>
      </c>
      <c r="G166" t="s">
        <v>134</v>
      </c>
      <c r="H166" t="s">
        <v>134</v>
      </c>
      <c r="I166" s="8">
        <v>17425766</v>
      </c>
      <c r="J166" t="s">
        <v>266</v>
      </c>
      <c r="K166" t="s">
        <v>267</v>
      </c>
      <c r="L166" t="str">
        <f t="shared" si="4"/>
        <v>CAROL FOLEY</v>
      </c>
      <c r="M166" t="s">
        <v>1133</v>
      </c>
      <c r="N166" t="s">
        <v>57</v>
      </c>
      <c r="O166" s="1">
        <v>45689</v>
      </c>
      <c r="P166" s="1">
        <v>46235</v>
      </c>
      <c r="Q166" s="2">
        <v>53.08</v>
      </c>
      <c r="R166" t="s">
        <v>58</v>
      </c>
      <c r="S166" s="3">
        <v>0.06</v>
      </c>
      <c r="T166">
        <v>0</v>
      </c>
      <c r="U166" t="s">
        <v>247</v>
      </c>
      <c r="V166" t="s">
        <v>248</v>
      </c>
      <c r="W166">
        <v>0</v>
      </c>
      <c r="X166" s="2">
        <v>0</v>
      </c>
      <c r="Y166" s="2">
        <v>3.18</v>
      </c>
      <c r="Z166" s="2">
        <v>3.18</v>
      </c>
      <c r="AA166" s="2">
        <v>3.18</v>
      </c>
      <c r="AB166" s="2">
        <v>0</v>
      </c>
    </row>
    <row r="167" spans="1:28" x14ac:dyDescent="0.25">
      <c r="A167">
        <v>2033339644</v>
      </c>
      <c r="B167" t="s">
        <v>446</v>
      </c>
      <c r="C167" t="s">
        <v>966</v>
      </c>
      <c r="D167" t="str">
        <f t="shared" si="5"/>
        <v>NICHOLAS MILLER</v>
      </c>
      <c r="E167" t="s">
        <v>52</v>
      </c>
      <c r="F167" t="s">
        <v>133</v>
      </c>
      <c r="G167" t="s">
        <v>134</v>
      </c>
      <c r="H167" t="s">
        <v>134</v>
      </c>
      <c r="I167" s="8">
        <v>17425766</v>
      </c>
      <c r="J167" t="s">
        <v>266</v>
      </c>
      <c r="K167" t="s">
        <v>267</v>
      </c>
      <c r="L167" t="str">
        <f t="shared" si="4"/>
        <v>CAROL FOLEY</v>
      </c>
      <c r="M167" t="s">
        <v>1133</v>
      </c>
      <c r="N167" t="s">
        <v>57</v>
      </c>
      <c r="O167" s="1">
        <v>46054</v>
      </c>
      <c r="P167" s="1">
        <v>46235</v>
      </c>
      <c r="Q167" s="2">
        <v>28.32</v>
      </c>
      <c r="R167" t="s">
        <v>58</v>
      </c>
      <c r="S167" s="4">
        <v>0.375</v>
      </c>
      <c r="T167">
        <v>0</v>
      </c>
      <c r="U167" t="s">
        <v>60</v>
      </c>
      <c r="V167" t="s">
        <v>248</v>
      </c>
      <c r="W167">
        <v>0</v>
      </c>
      <c r="X167" s="2">
        <v>0</v>
      </c>
      <c r="Y167" s="2">
        <v>10.62</v>
      </c>
      <c r="Z167" s="2">
        <v>0</v>
      </c>
      <c r="AA167" s="2">
        <v>0</v>
      </c>
      <c r="AB167" s="2">
        <v>0</v>
      </c>
    </row>
    <row r="168" spans="1:28" x14ac:dyDescent="0.25">
      <c r="A168">
        <v>2033407839</v>
      </c>
      <c r="B168" t="s">
        <v>968</v>
      </c>
      <c r="C168" t="s">
        <v>969</v>
      </c>
      <c r="D168" t="str">
        <f t="shared" si="5"/>
        <v>DANIELLE LOCKS</v>
      </c>
      <c r="E168" t="s">
        <v>52</v>
      </c>
      <c r="F168" t="s">
        <v>133</v>
      </c>
      <c r="G168" t="s">
        <v>134</v>
      </c>
      <c r="H168" t="s">
        <v>134</v>
      </c>
      <c r="I168" s="8">
        <v>17425766</v>
      </c>
      <c r="J168" t="s">
        <v>266</v>
      </c>
      <c r="K168" t="s">
        <v>267</v>
      </c>
      <c r="L168" t="str">
        <f t="shared" si="4"/>
        <v>CAROL FOLEY</v>
      </c>
      <c r="M168" t="s">
        <v>1133</v>
      </c>
      <c r="N168" t="s">
        <v>57</v>
      </c>
      <c r="O168" s="1">
        <v>46054</v>
      </c>
      <c r="P168" s="1">
        <v>46235</v>
      </c>
      <c r="Q168" s="2">
        <v>44.56</v>
      </c>
      <c r="R168" t="s">
        <v>58</v>
      </c>
      <c r="S168" s="4">
        <v>0.375</v>
      </c>
      <c r="T168">
        <v>0</v>
      </c>
      <c r="U168" t="s">
        <v>60</v>
      </c>
      <c r="V168" t="s">
        <v>248</v>
      </c>
      <c r="W168">
        <v>0</v>
      </c>
      <c r="X168" s="2">
        <v>0</v>
      </c>
      <c r="Y168" s="2">
        <v>16.71</v>
      </c>
      <c r="Z168" s="2">
        <v>0</v>
      </c>
      <c r="AA168" s="2">
        <v>0</v>
      </c>
      <c r="AB168" s="2">
        <v>0</v>
      </c>
    </row>
    <row r="169" spans="1:28" x14ac:dyDescent="0.25">
      <c r="A169">
        <v>2023369901</v>
      </c>
      <c r="B169" t="s">
        <v>264</v>
      </c>
      <c r="C169" t="s">
        <v>265</v>
      </c>
      <c r="D169" t="str">
        <f t="shared" si="5"/>
        <v>THERESA MCGINLEY</v>
      </c>
      <c r="E169" t="s">
        <v>52</v>
      </c>
      <c r="F169" t="s">
        <v>53</v>
      </c>
      <c r="G169" t="s">
        <v>54</v>
      </c>
      <c r="H169" t="s">
        <v>54</v>
      </c>
      <c r="I169" s="8">
        <v>17425766</v>
      </c>
      <c r="J169" t="s">
        <v>266</v>
      </c>
      <c r="K169" t="s">
        <v>267</v>
      </c>
      <c r="L169" t="str">
        <f t="shared" si="4"/>
        <v>CAROL FOLEY</v>
      </c>
      <c r="M169" t="s">
        <v>1133</v>
      </c>
      <c r="N169" t="s">
        <v>57</v>
      </c>
      <c r="O169" s="1">
        <v>45447</v>
      </c>
      <c r="P169" s="1">
        <v>46238</v>
      </c>
      <c r="Q169" s="2">
        <v>40.159999999999997</v>
      </c>
      <c r="R169" t="s">
        <v>58</v>
      </c>
      <c r="S169" s="4">
        <v>6.5000000000000002E-2</v>
      </c>
      <c r="T169">
        <v>0</v>
      </c>
      <c r="U169" t="s">
        <v>247</v>
      </c>
      <c r="V169" t="s">
        <v>248</v>
      </c>
      <c r="W169">
        <v>0</v>
      </c>
      <c r="X169" s="2">
        <v>0</v>
      </c>
      <c r="Y169" s="2">
        <v>2.61</v>
      </c>
      <c r="Z169" s="2">
        <v>2.61</v>
      </c>
      <c r="AA169" s="2">
        <v>2.61</v>
      </c>
      <c r="AB169" s="2">
        <v>0</v>
      </c>
    </row>
    <row r="170" spans="1:28" x14ac:dyDescent="0.25">
      <c r="A170">
        <v>2023391302</v>
      </c>
      <c r="B170" t="s">
        <v>268</v>
      </c>
      <c r="C170" t="s">
        <v>269</v>
      </c>
      <c r="D170" t="str">
        <f t="shared" si="5"/>
        <v>LEE MCDERMOTT</v>
      </c>
      <c r="E170" t="s">
        <v>52</v>
      </c>
      <c r="F170" t="s">
        <v>53</v>
      </c>
      <c r="G170" t="s">
        <v>54</v>
      </c>
      <c r="H170" t="s">
        <v>54</v>
      </c>
      <c r="I170" s="8">
        <v>17425766</v>
      </c>
      <c r="J170" t="s">
        <v>266</v>
      </c>
      <c r="K170" t="s">
        <v>267</v>
      </c>
      <c r="L170" t="str">
        <f t="shared" si="4"/>
        <v>CAROL FOLEY</v>
      </c>
      <c r="M170" t="s">
        <v>1133</v>
      </c>
      <c r="N170" t="s">
        <v>57</v>
      </c>
      <c r="O170" s="1">
        <v>45474</v>
      </c>
      <c r="P170" s="1">
        <v>46235</v>
      </c>
      <c r="Q170" s="2">
        <v>52.69</v>
      </c>
      <c r="R170" t="s">
        <v>58</v>
      </c>
      <c r="S170" s="4">
        <v>6.5000000000000002E-2</v>
      </c>
      <c r="T170">
        <v>0</v>
      </c>
      <c r="U170" t="s">
        <v>247</v>
      </c>
      <c r="V170" t="s">
        <v>248</v>
      </c>
      <c r="W170">
        <v>0</v>
      </c>
      <c r="X170" s="2">
        <v>0</v>
      </c>
      <c r="Y170" s="2">
        <v>3.42</v>
      </c>
      <c r="Z170" s="2">
        <v>3.42</v>
      </c>
      <c r="AA170" s="2">
        <v>3.42</v>
      </c>
      <c r="AB170" s="2">
        <v>0</v>
      </c>
    </row>
    <row r="171" spans="1:28" x14ac:dyDescent="0.25">
      <c r="A171">
        <v>2024915569</v>
      </c>
      <c r="B171" t="s">
        <v>276</v>
      </c>
      <c r="C171" t="s">
        <v>182</v>
      </c>
      <c r="D171" t="str">
        <f t="shared" si="5"/>
        <v>JACOB MATHIS</v>
      </c>
      <c r="E171" t="s">
        <v>52</v>
      </c>
      <c r="F171" t="s">
        <v>53</v>
      </c>
      <c r="G171" t="s">
        <v>54</v>
      </c>
      <c r="H171" t="s">
        <v>54</v>
      </c>
      <c r="I171" s="8">
        <v>17425766</v>
      </c>
      <c r="J171" t="s">
        <v>266</v>
      </c>
      <c r="K171" t="s">
        <v>267</v>
      </c>
      <c r="L171" t="str">
        <f t="shared" si="4"/>
        <v>CAROL FOLEY</v>
      </c>
      <c r="M171" t="s">
        <v>1133</v>
      </c>
      <c r="N171" t="s">
        <v>57</v>
      </c>
      <c r="O171" s="1">
        <v>45566</v>
      </c>
      <c r="P171" s="1">
        <v>46235</v>
      </c>
      <c r="Q171" s="2">
        <v>52.69</v>
      </c>
      <c r="R171" t="s">
        <v>58</v>
      </c>
      <c r="S171" s="4">
        <v>6.5000000000000002E-2</v>
      </c>
      <c r="T171">
        <v>0</v>
      </c>
      <c r="U171" t="s">
        <v>247</v>
      </c>
      <c r="V171" t="s">
        <v>248</v>
      </c>
      <c r="W171">
        <v>0</v>
      </c>
      <c r="X171" s="2">
        <v>0</v>
      </c>
      <c r="Y171" s="2">
        <v>3.42</v>
      </c>
      <c r="Z171" s="2">
        <v>3.42</v>
      </c>
      <c r="AA171" s="2">
        <v>3.42</v>
      </c>
      <c r="AB171" s="2">
        <v>0</v>
      </c>
    </row>
    <row r="172" spans="1:28" x14ac:dyDescent="0.25">
      <c r="A172">
        <v>2025303844</v>
      </c>
      <c r="B172" t="s">
        <v>279</v>
      </c>
      <c r="C172" t="s">
        <v>280</v>
      </c>
      <c r="D172" t="str">
        <f t="shared" si="5"/>
        <v>JERRY HUANG</v>
      </c>
      <c r="E172" t="s">
        <v>52</v>
      </c>
      <c r="F172" t="s">
        <v>53</v>
      </c>
      <c r="G172" t="s">
        <v>54</v>
      </c>
      <c r="H172" t="s">
        <v>54</v>
      </c>
      <c r="I172" s="8">
        <v>17425766</v>
      </c>
      <c r="J172" t="s">
        <v>266</v>
      </c>
      <c r="K172" t="s">
        <v>267</v>
      </c>
      <c r="L172" t="str">
        <f t="shared" si="4"/>
        <v>CAROL FOLEY</v>
      </c>
      <c r="M172" t="s">
        <v>1133</v>
      </c>
      <c r="N172" t="s">
        <v>57</v>
      </c>
      <c r="O172" s="1">
        <v>45597</v>
      </c>
      <c r="P172" s="1">
        <v>46235</v>
      </c>
      <c r="Q172" s="2">
        <v>56.69</v>
      </c>
      <c r="R172" t="s">
        <v>58</v>
      </c>
      <c r="S172" s="4">
        <v>6.5000000000000002E-2</v>
      </c>
      <c r="T172">
        <v>0</v>
      </c>
      <c r="U172" t="s">
        <v>247</v>
      </c>
      <c r="V172" t="s">
        <v>248</v>
      </c>
      <c r="W172">
        <v>0</v>
      </c>
      <c r="X172" s="2">
        <v>0</v>
      </c>
      <c r="Y172" s="2">
        <v>3.68</v>
      </c>
      <c r="Z172" s="2">
        <v>3.68</v>
      </c>
      <c r="AA172" s="2">
        <v>3.68</v>
      </c>
      <c r="AB172" s="2">
        <v>0</v>
      </c>
    </row>
    <row r="173" spans="1:28" x14ac:dyDescent="0.25">
      <c r="A173">
        <v>2026649887</v>
      </c>
      <c r="B173" t="s">
        <v>290</v>
      </c>
      <c r="C173" t="s">
        <v>291</v>
      </c>
      <c r="D173" t="str">
        <f t="shared" si="5"/>
        <v>AMANDA STRENGTH</v>
      </c>
      <c r="E173" t="s">
        <v>167</v>
      </c>
      <c r="F173" t="s">
        <v>53</v>
      </c>
      <c r="G173" t="s">
        <v>54</v>
      </c>
      <c r="H173" t="s">
        <v>54</v>
      </c>
      <c r="I173" s="8">
        <v>17425766</v>
      </c>
      <c r="J173" t="s">
        <v>266</v>
      </c>
      <c r="K173" t="s">
        <v>267</v>
      </c>
      <c r="L173" t="str">
        <f t="shared" si="4"/>
        <v>CAROL FOLEY</v>
      </c>
      <c r="M173" t="s">
        <v>1133</v>
      </c>
      <c r="N173" t="s">
        <v>57</v>
      </c>
      <c r="O173" s="1">
        <v>45689</v>
      </c>
      <c r="P173" s="1">
        <v>46235</v>
      </c>
      <c r="Q173" s="2">
        <v>56.69</v>
      </c>
      <c r="R173" t="s">
        <v>58</v>
      </c>
      <c r="S173" s="4">
        <v>6.5000000000000002E-2</v>
      </c>
      <c r="T173">
        <v>0</v>
      </c>
      <c r="U173" t="s">
        <v>247</v>
      </c>
      <c r="V173" t="s">
        <v>248</v>
      </c>
      <c r="W173">
        <v>0</v>
      </c>
      <c r="X173" s="2">
        <v>0</v>
      </c>
      <c r="Y173" s="2">
        <v>3.68</v>
      </c>
      <c r="Z173" s="2">
        <v>3.68</v>
      </c>
      <c r="AA173" s="2">
        <v>3.68</v>
      </c>
      <c r="AB173" s="2">
        <v>0</v>
      </c>
    </row>
    <row r="174" spans="1:28" x14ac:dyDescent="0.25">
      <c r="A174">
        <v>2033226443</v>
      </c>
      <c r="B174" t="s">
        <v>318</v>
      </c>
      <c r="C174" t="s">
        <v>319</v>
      </c>
      <c r="D174" t="str">
        <f t="shared" si="5"/>
        <v>PAMELA MARTIN</v>
      </c>
      <c r="E174" t="s">
        <v>52</v>
      </c>
      <c r="F174" t="s">
        <v>53</v>
      </c>
      <c r="G174" t="s">
        <v>54</v>
      </c>
      <c r="H174" t="s">
        <v>54</v>
      </c>
      <c r="I174" s="8">
        <v>17425766</v>
      </c>
      <c r="J174" t="s">
        <v>266</v>
      </c>
      <c r="K174" t="s">
        <v>267</v>
      </c>
      <c r="L174" t="str">
        <f t="shared" si="4"/>
        <v>CAROL FOLEY</v>
      </c>
      <c r="M174" t="s">
        <v>1133</v>
      </c>
      <c r="N174" t="s">
        <v>57</v>
      </c>
      <c r="O174" s="1">
        <v>46054</v>
      </c>
      <c r="P174" s="1">
        <v>46235</v>
      </c>
      <c r="Q174" s="2">
        <v>79.67</v>
      </c>
      <c r="R174" t="s">
        <v>58</v>
      </c>
      <c r="S174" s="3">
        <v>0.6</v>
      </c>
      <c r="T174">
        <v>0</v>
      </c>
      <c r="U174" t="s">
        <v>60</v>
      </c>
      <c r="V174" t="s">
        <v>248</v>
      </c>
      <c r="W174">
        <v>0</v>
      </c>
      <c r="X174" s="2">
        <v>0</v>
      </c>
      <c r="Y174" s="2">
        <v>47.8</v>
      </c>
      <c r="Z174" s="2">
        <v>0</v>
      </c>
      <c r="AA174" s="2">
        <v>0</v>
      </c>
      <c r="AB174" s="2">
        <v>0</v>
      </c>
    </row>
    <row r="175" spans="1:28" x14ac:dyDescent="0.25">
      <c r="A175">
        <v>2033259519</v>
      </c>
      <c r="B175" t="s">
        <v>322</v>
      </c>
      <c r="C175" t="s">
        <v>323</v>
      </c>
      <c r="D175" t="str">
        <f t="shared" si="5"/>
        <v>ANNA CABOT</v>
      </c>
      <c r="E175" t="s">
        <v>52</v>
      </c>
      <c r="F175" t="s">
        <v>53</v>
      </c>
      <c r="G175" t="s">
        <v>54</v>
      </c>
      <c r="H175" t="s">
        <v>54</v>
      </c>
      <c r="I175" s="8">
        <v>17425766</v>
      </c>
      <c r="J175" t="s">
        <v>266</v>
      </c>
      <c r="K175" t="s">
        <v>267</v>
      </c>
      <c r="L175" t="str">
        <f t="shared" si="4"/>
        <v>CAROL FOLEY</v>
      </c>
      <c r="M175" t="s">
        <v>1133</v>
      </c>
      <c r="N175" t="s">
        <v>57</v>
      </c>
      <c r="O175" s="1">
        <v>46054</v>
      </c>
      <c r="P175" s="1">
        <v>46235</v>
      </c>
      <c r="Q175" s="2">
        <v>79.67</v>
      </c>
      <c r="R175" t="s">
        <v>58</v>
      </c>
      <c r="S175" s="3">
        <v>0.6</v>
      </c>
      <c r="T175">
        <v>0</v>
      </c>
      <c r="U175" t="s">
        <v>60</v>
      </c>
      <c r="V175" t="s">
        <v>248</v>
      </c>
      <c r="W175">
        <v>0</v>
      </c>
      <c r="X175" s="2">
        <v>0</v>
      </c>
      <c r="Y175" s="2">
        <v>47.8</v>
      </c>
      <c r="Z175" s="2">
        <v>0</v>
      </c>
      <c r="AA175" s="2">
        <v>0</v>
      </c>
      <c r="AB175" s="2">
        <v>0</v>
      </c>
    </row>
    <row r="176" spans="1:28" x14ac:dyDescent="0.25">
      <c r="A176">
        <v>2033166590</v>
      </c>
      <c r="B176" t="s">
        <v>481</v>
      </c>
      <c r="C176" t="s">
        <v>482</v>
      </c>
      <c r="D176" t="str">
        <f t="shared" si="5"/>
        <v>SHANNON BROOKS</v>
      </c>
      <c r="E176" t="s">
        <v>117</v>
      </c>
      <c r="F176" t="s">
        <v>69</v>
      </c>
      <c r="G176" t="s">
        <v>70</v>
      </c>
      <c r="H176" t="s">
        <v>1079</v>
      </c>
      <c r="I176" s="8">
        <v>20003537</v>
      </c>
      <c r="J176" t="s">
        <v>113</v>
      </c>
      <c r="K176" t="s">
        <v>452</v>
      </c>
      <c r="L176" t="str">
        <f t="shared" si="4"/>
        <v>Chad Yale</v>
      </c>
      <c r="M176" t="s">
        <v>1133</v>
      </c>
      <c r="N176" t="s">
        <v>57</v>
      </c>
      <c r="O176" s="1">
        <v>46054</v>
      </c>
      <c r="P176" s="1">
        <v>46235</v>
      </c>
      <c r="Q176" s="2">
        <v>30.53</v>
      </c>
      <c r="R176" t="s">
        <v>58</v>
      </c>
      <c r="S176" s="3">
        <v>0.75</v>
      </c>
      <c r="T176">
        <v>0</v>
      </c>
      <c r="U176" t="s">
        <v>60</v>
      </c>
      <c r="V176" t="s">
        <v>248</v>
      </c>
      <c r="W176">
        <v>0</v>
      </c>
      <c r="X176" s="2">
        <v>0</v>
      </c>
      <c r="Y176" s="2">
        <v>22.9</v>
      </c>
      <c r="Z176" s="2">
        <v>0</v>
      </c>
      <c r="AA176" s="2">
        <v>0</v>
      </c>
      <c r="AB176" s="2">
        <v>0</v>
      </c>
    </row>
    <row r="177" spans="1:28" x14ac:dyDescent="0.25">
      <c r="A177">
        <v>2033071352</v>
      </c>
      <c r="B177" t="s">
        <v>450</v>
      </c>
      <c r="C177" t="s">
        <v>451</v>
      </c>
      <c r="D177" t="str">
        <f t="shared" si="5"/>
        <v>TAMARA BUIE</v>
      </c>
      <c r="E177" t="s">
        <v>97</v>
      </c>
      <c r="F177" t="s">
        <v>69</v>
      </c>
      <c r="G177" t="s">
        <v>70</v>
      </c>
      <c r="H177" t="s">
        <v>1079</v>
      </c>
      <c r="I177" s="8">
        <v>20003537</v>
      </c>
      <c r="J177" t="s">
        <v>113</v>
      </c>
      <c r="K177" t="s">
        <v>452</v>
      </c>
      <c r="L177" t="str">
        <f t="shared" si="4"/>
        <v>Chad Yale</v>
      </c>
      <c r="M177" t="s">
        <v>1133</v>
      </c>
      <c r="N177" t="s">
        <v>57</v>
      </c>
      <c r="O177" s="1">
        <v>46054</v>
      </c>
      <c r="P177" s="1">
        <v>46235</v>
      </c>
      <c r="Q177" s="2">
        <v>62.93</v>
      </c>
      <c r="R177" t="s">
        <v>58</v>
      </c>
      <c r="S177" s="3">
        <v>0.75</v>
      </c>
      <c r="T177">
        <v>0</v>
      </c>
      <c r="U177" t="s">
        <v>60</v>
      </c>
      <c r="V177" t="s">
        <v>248</v>
      </c>
      <c r="W177">
        <v>0</v>
      </c>
      <c r="X177" s="2">
        <v>0</v>
      </c>
      <c r="Y177" s="2">
        <v>47.2</v>
      </c>
      <c r="Z177" s="2">
        <v>0</v>
      </c>
      <c r="AA177" s="2">
        <v>0</v>
      </c>
      <c r="AB177" s="2">
        <v>0</v>
      </c>
    </row>
    <row r="178" spans="1:28" x14ac:dyDescent="0.25">
      <c r="A178">
        <v>2033389096</v>
      </c>
      <c r="B178" t="s">
        <v>370</v>
      </c>
      <c r="C178" t="s">
        <v>544</v>
      </c>
      <c r="D178" t="str">
        <f t="shared" si="5"/>
        <v>JERIMY CHAMBERS</v>
      </c>
      <c r="E178" t="s">
        <v>89</v>
      </c>
      <c r="F178" t="s">
        <v>69</v>
      </c>
      <c r="G178" t="s">
        <v>70</v>
      </c>
      <c r="H178" t="s">
        <v>1079</v>
      </c>
      <c r="I178" s="8">
        <v>20003537</v>
      </c>
      <c r="J178" t="s">
        <v>113</v>
      </c>
      <c r="K178" t="s">
        <v>452</v>
      </c>
      <c r="L178" t="str">
        <f t="shared" si="4"/>
        <v>Chad Yale</v>
      </c>
      <c r="M178" t="s">
        <v>1133</v>
      </c>
      <c r="N178" t="s">
        <v>57</v>
      </c>
      <c r="O178" s="1">
        <v>46054</v>
      </c>
      <c r="P178" s="1">
        <v>46235</v>
      </c>
      <c r="Q178" s="2">
        <v>66.099999999999994</v>
      </c>
      <c r="R178" t="s">
        <v>58</v>
      </c>
      <c r="S178" s="3">
        <v>0.75</v>
      </c>
      <c r="T178">
        <v>0</v>
      </c>
      <c r="U178" t="s">
        <v>60</v>
      </c>
      <c r="V178" t="s">
        <v>248</v>
      </c>
      <c r="W178">
        <v>0</v>
      </c>
      <c r="X178" s="2">
        <v>0</v>
      </c>
      <c r="Y178" s="2">
        <v>49.58</v>
      </c>
      <c r="Z178" s="2">
        <v>0</v>
      </c>
      <c r="AA178" s="2">
        <v>0</v>
      </c>
      <c r="AB178" s="2">
        <v>0</v>
      </c>
    </row>
    <row r="179" spans="1:28" x14ac:dyDescent="0.25">
      <c r="A179">
        <v>2033339867</v>
      </c>
      <c r="B179" t="s">
        <v>328</v>
      </c>
      <c r="C179" t="s">
        <v>525</v>
      </c>
      <c r="D179" t="str">
        <f t="shared" si="5"/>
        <v>CRAIG SMITH</v>
      </c>
      <c r="E179" t="s">
        <v>89</v>
      </c>
      <c r="F179" t="s">
        <v>69</v>
      </c>
      <c r="G179" t="s">
        <v>70</v>
      </c>
      <c r="H179" t="s">
        <v>1079</v>
      </c>
      <c r="I179" s="8">
        <v>20003537</v>
      </c>
      <c r="J179" t="s">
        <v>113</v>
      </c>
      <c r="K179" t="s">
        <v>452</v>
      </c>
      <c r="L179" t="str">
        <f t="shared" si="4"/>
        <v>Chad Yale</v>
      </c>
      <c r="M179" t="s">
        <v>1133</v>
      </c>
      <c r="N179" t="s">
        <v>57</v>
      </c>
      <c r="O179" s="1">
        <v>46054</v>
      </c>
      <c r="P179" s="1">
        <v>46235</v>
      </c>
      <c r="Q179" s="2">
        <v>126.33</v>
      </c>
      <c r="R179" t="s">
        <v>58</v>
      </c>
      <c r="S179" s="3">
        <v>0.75</v>
      </c>
      <c r="T179">
        <v>0</v>
      </c>
      <c r="U179" t="s">
        <v>60</v>
      </c>
      <c r="V179" t="s">
        <v>248</v>
      </c>
      <c r="W179">
        <v>0</v>
      </c>
      <c r="X179" s="2">
        <v>0</v>
      </c>
      <c r="Y179" s="2">
        <v>94.75</v>
      </c>
      <c r="Z179" s="2">
        <v>0</v>
      </c>
      <c r="AA179" s="2">
        <v>0</v>
      </c>
      <c r="AB179" s="2">
        <v>0</v>
      </c>
    </row>
    <row r="180" spans="1:28" x14ac:dyDescent="0.25">
      <c r="A180">
        <v>2033166588</v>
      </c>
      <c r="B180" t="s">
        <v>481</v>
      </c>
      <c r="C180" t="s">
        <v>482</v>
      </c>
      <c r="D180" t="str">
        <f t="shared" si="5"/>
        <v>SHANNON BROOKS</v>
      </c>
      <c r="E180" t="s">
        <v>117</v>
      </c>
      <c r="F180" t="s">
        <v>194</v>
      </c>
      <c r="G180" t="s">
        <v>195</v>
      </c>
      <c r="H180" t="s">
        <v>195</v>
      </c>
      <c r="I180" s="8">
        <v>20003537</v>
      </c>
      <c r="J180" t="s">
        <v>113</v>
      </c>
      <c r="K180" t="s">
        <v>452</v>
      </c>
      <c r="L180" t="str">
        <f t="shared" si="4"/>
        <v>Chad Yale</v>
      </c>
      <c r="M180" t="s">
        <v>1133</v>
      </c>
      <c r="N180" t="s">
        <v>57</v>
      </c>
      <c r="O180" s="1">
        <v>46054</v>
      </c>
      <c r="P180" s="1">
        <v>46235</v>
      </c>
      <c r="Q180" s="2">
        <v>35.04</v>
      </c>
      <c r="R180" t="s">
        <v>58</v>
      </c>
      <c r="S180" s="3">
        <v>0.7</v>
      </c>
      <c r="T180">
        <v>0</v>
      </c>
      <c r="U180" t="s">
        <v>60</v>
      </c>
      <c r="V180" t="s">
        <v>248</v>
      </c>
      <c r="W180">
        <v>0</v>
      </c>
      <c r="X180" s="2">
        <v>0</v>
      </c>
      <c r="Y180" s="2">
        <v>24.53</v>
      </c>
      <c r="Z180" s="2">
        <v>0</v>
      </c>
      <c r="AA180" s="2">
        <v>0</v>
      </c>
      <c r="AB180" s="2">
        <v>0</v>
      </c>
    </row>
    <row r="181" spans="1:28" x14ac:dyDescent="0.25">
      <c r="A181">
        <v>2033071351</v>
      </c>
      <c r="B181" t="s">
        <v>450</v>
      </c>
      <c r="C181" t="s">
        <v>451</v>
      </c>
      <c r="D181" t="str">
        <f t="shared" si="5"/>
        <v>TAMARA BUIE</v>
      </c>
      <c r="E181" t="s">
        <v>97</v>
      </c>
      <c r="F181" t="s">
        <v>194</v>
      </c>
      <c r="G181" t="s">
        <v>195</v>
      </c>
      <c r="H181" t="s">
        <v>195</v>
      </c>
      <c r="I181" s="8">
        <v>20003537</v>
      </c>
      <c r="J181" t="s">
        <v>113</v>
      </c>
      <c r="K181" t="s">
        <v>452</v>
      </c>
      <c r="L181" t="str">
        <f t="shared" si="4"/>
        <v>Chad Yale</v>
      </c>
      <c r="M181" t="s">
        <v>1133</v>
      </c>
      <c r="N181" t="s">
        <v>57</v>
      </c>
      <c r="O181" s="1">
        <v>46054</v>
      </c>
      <c r="P181" s="1">
        <v>46235</v>
      </c>
      <c r="Q181" s="2">
        <v>69.06</v>
      </c>
      <c r="R181" t="s">
        <v>58</v>
      </c>
      <c r="S181" s="3">
        <v>0.7</v>
      </c>
      <c r="T181">
        <v>0</v>
      </c>
      <c r="U181" t="s">
        <v>60</v>
      </c>
      <c r="V181" t="s">
        <v>248</v>
      </c>
      <c r="W181">
        <v>0</v>
      </c>
      <c r="X181" s="2">
        <v>0</v>
      </c>
      <c r="Y181" s="2">
        <v>48.34</v>
      </c>
      <c r="Z181" s="2">
        <v>0</v>
      </c>
      <c r="AA181" s="2">
        <v>0</v>
      </c>
      <c r="AB181" s="2">
        <v>0</v>
      </c>
    </row>
    <row r="182" spans="1:28" x14ac:dyDescent="0.25">
      <c r="A182">
        <v>2033389095</v>
      </c>
      <c r="B182" t="s">
        <v>370</v>
      </c>
      <c r="C182" t="s">
        <v>544</v>
      </c>
      <c r="D182" t="str">
        <f t="shared" si="5"/>
        <v>JERIMY CHAMBERS</v>
      </c>
      <c r="E182" t="s">
        <v>89</v>
      </c>
      <c r="F182" t="s">
        <v>194</v>
      </c>
      <c r="G182" t="s">
        <v>195</v>
      </c>
      <c r="H182" t="s">
        <v>195</v>
      </c>
      <c r="I182" s="8">
        <v>20003537</v>
      </c>
      <c r="J182" t="s">
        <v>113</v>
      </c>
      <c r="K182" t="s">
        <v>452</v>
      </c>
      <c r="L182" t="str">
        <f t="shared" si="4"/>
        <v>Chad Yale</v>
      </c>
      <c r="M182" t="s">
        <v>1133</v>
      </c>
      <c r="N182" t="s">
        <v>57</v>
      </c>
      <c r="O182" s="1">
        <v>46054</v>
      </c>
      <c r="P182" s="1">
        <v>46235</v>
      </c>
      <c r="Q182" s="2">
        <v>96</v>
      </c>
      <c r="R182" t="s">
        <v>58</v>
      </c>
      <c r="S182" s="3">
        <v>0.7</v>
      </c>
      <c r="T182">
        <v>0</v>
      </c>
      <c r="U182" t="s">
        <v>60</v>
      </c>
      <c r="V182" t="s">
        <v>248</v>
      </c>
      <c r="W182">
        <v>0</v>
      </c>
      <c r="X182" s="2">
        <v>0</v>
      </c>
      <c r="Y182" s="2">
        <v>67.2</v>
      </c>
      <c r="Z182" s="2">
        <v>0</v>
      </c>
      <c r="AA182" s="2">
        <v>0</v>
      </c>
      <c r="AB182" s="2">
        <v>0</v>
      </c>
    </row>
    <row r="183" spans="1:28" x14ac:dyDescent="0.25">
      <c r="A183">
        <v>2033339868</v>
      </c>
      <c r="B183" t="s">
        <v>328</v>
      </c>
      <c r="C183" t="s">
        <v>525</v>
      </c>
      <c r="D183" t="str">
        <f t="shared" si="5"/>
        <v>CRAIG SMITH</v>
      </c>
      <c r="E183" t="s">
        <v>89</v>
      </c>
      <c r="F183" t="s">
        <v>194</v>
      </c>
      <c r="G183" t="s">
        <v>195</v>
      </c>
      <c r="H183" t="s">
        <v>195</v>
      </c>
      <c r="I183" s="8">
        <v>20003537</v>
      </c>
      <c r="J183" t="s">
        <v>113</v>
      </c>
      <c r="K183" t="s">
        <v>452</v>
      </c>
      <c r="L183" t="str">
        <f t="shared" si="4"/>
        <v>Chad Yale</v>
      </c>
      <c r="M183" t="s">
        <v>1133</v>
      </c>
      <c r="N183" t="s">
        <v>57</v>
      </c>
      <c r="O183" s="1">
        <v>46054</v>
      </c>
      <c r="P183" s="1">
        <v>46235</v>
      </c>
      <c r="Q183" s="2">
        <v>170.76</v>
      </c>
      <c r="R183" t="s">
        <v>58</v>
      </c>
      <c r="S183" s="3">
        <v>0.7</v>
      </c>
      <c r="T183">
        <v>0</v>
      </c>
      <c r="U183" t="s">
        <v>60</v>
      </c>
      <c r="V183" t="s">
        <v>248</v>
      </c>
      <c r="W183">
        <v>0</v>
      </c>
      <c r="X183" s="2">
        <v>0</v>
      </c>
      <c r="Y183" s="2">
        <v>119.53</v>
      </c>
      <c r="Z183" s="2">
        <v>0</v>
      </c>
      <c r="AA183" s="2">
        <v>0</v>
      </c>
      <c r="AB183" s="2">
        <v>0</v>
      </c>
    </row>
    <row r="184" spans="1:28" x14ac:dyDescent="0.25">
      <c r="A184">
        <v>2033166589</v>
      </c>
      <c r="B184" t="s">
        <v>481</v>
      </c>
      <c r="C184" t="s">
        <v>482</v>
      </c>
      <c r="D184" t="str">
        <f t="shared" si="5"/>
        <v>SHANNON BROOKS</v>
      </c>
      <c r="E184" t="s">
        <v>117</v>
      </c>
      <c r="F184" t="s">
        <v>133</v>
      </c>
      <c r="G184" t="s">
        <v>134</v>
      </c>
      <c r="H184" t="s">
        <v>134</v>
      </c>
      <c r="I184" s="8">
        <v>20003537</v>
      </c>
      <c r="J184" t="s">
        <v>113</v>
      </c>
      <c r="K184" t="s">
        <v>452</v>
      </c>
      <c r="L184" t="str">
        <f t="shared" si="4"/>
        <v>Chad Yale</v>
      </c>
      <c r="M184" t="s">
        <v>1133</v>
      </c>
      <c r="N184" t="s">
        <v>57</v>
      </c>
      <c r="O184" s="1">
        <v>46054</v>
      </c>
      <c r="P184" s="1">
        <v>46235</v>
      </c>
      <c r="Q184" s="2">
        <v>82.09</v>
      </c>
      <c r="R184" t="s">
        <v>58</v>
      </c>
      <c r="S184" s="4">
        <v>0.375</v>
      </c>
      <c r="T184">
        <v>0</v>
      </c>
      <c r="U184" t="s">
        <v>60</v>
      </c>
      <c r="V184" t="s">
        <v>248</v>
      </c>
      <c r="W184">
        <v>0</v>
      </c>
      <c r="X184" s="2">
        <v>0</v>
      </c>
      <c r="Y184" s="2">
        <v>30.78</v>
      </c>
      <c r="Z184" s="2">
        <v>0</v>
      </c>
      <c r="AA184" s="2">
        <v>0</v>
      </c>
      <c r="AB184" s="2">
        <v>0</v>
      </c>
    </row>
    <row r="185" spans="1:28" x14ac:dyDescent="0.25">
      <c r="A185">
        <v>2032398127</v>
      </c>
      <c r="B185" t="s">
        <v>395</v>
      </c>
      <c r="C185" t="s">
        <v>396</v>
      </c>
      <c r="D185" t="str">
        <f t="shared" si="5"/>
        <v>PATRICIA ROBINSON</v>
      </c>
      <c r="E185" t="s">
        <v>397</v>
      </c>
      <c r="F185" t="s">
        <v>69</v>
      </c>
      <c r="G185" t="s">
        <v>70</v>
      </c>
      <c r="H185" t="s">
        <v>1079</v>
      </c>
      <c r="I185" s="8" t="s">
        <v>1091</v>
      </c>
      <c r="J185" t="s">
        <v>398</v>
      </c>
      <c r="K185" t="s">
        <v>399</v>
      </c>
      <c r="L185" t="str">
        <f t="shared" si="4"/>
        <v>CHRISTIAN TAUGNER</v>
      </c>
      <c r="M185" t="s">
        <v>1135</v>
      </c>
      <c r="N185" t="s">
        <v>57</v>
      </c>
      <c r="O185" s="1">
        <v>45990</v>
      </c>
      <c r="P185" s="1">
        <v>46232</v>
      </c>
      <c r="Q185" s="2">
        <v>85.15</v>
      </c>
      <c r="R185" t="s">
        <v>58</v>
      </c>
      <c r="S185" s="3">
        <v>0.75</v>
      </c>
      <c r="T185">
        <v>0</v>
      </c>
      <c r="U185" t="s">
        <v>60</v>
      </c>
      <c r="V185" t="s">
        <v>248</v>
      </c>
      <c r="W185">
        <v>0</v>
      </c>
      <c r="X185" s="2">
        <v>0</v>
      </c>
      <c r="Y185" s="2">
        <v>63.86</v>
      </c>
      <c r="Z185" s="2">
        <v>63.86</v>
      </c>
      <c r="AA185" s="2">
        <v>63.86</v>
      </c>
      <c r="AB185" s="2">
        <v>0</v>
      </c>
    </row>
    <row r="186" spans="1:28" x14ac:dyDescent="0.25">
      <c r="A186">
        <v>2033382375</v>
      </c>
      <c r="B186" t="s">
        <v>537</v>
      </c>
      <c r="C186" t="s">
        <v>538</v>
      </c>
      <c r="D186" t="str">
        <f t="shared" si="5"/>
        <v>BILLIE IANNOTTI</v>
      </c>
      <c r="E186" t="s">
        <v>89</v>
      </c>
      <c r="F186" t="s">
        <v>69</v>
      </c>
      <c r="G186" t="s">
        <v>70</v>
      </c>
      <c r="H186" t="s">
        <v>1079</v>
      </c>
      <c r="I186" s="8" t="s">
        <v>1091</v>
      </c>
      <c r="J186" t="s">
        <v>398</v>
      </c>
      <c r="K186" t="s">
        <v>399</v>
      </c>
      <c r="L186" t="str">
        <f t="shared" si="4"/>
        <v>CHRISTIAN TAUGNER</v>
      </c>
      <c r="M186" t="s">
        <v>1134</v>
      </c>
      <c r="N186" t="s">
        <v>57</v>
      </c>
      <c r="O186" s="1">
        <v>46052</v>
      </c>
      <c r="P186" s="1">
        <v>46233</v>
      </c>
      <c r="Q186" s="2">
        <v>32.28</v>
      </c>
      <c r="R186" t="s">
        <v>58</v>
      </c>
      <c r="S186" s="3">
        <v>0.75</v>
      </c>
      <c r="T186">
        <v>0</v>
      </c>
      <c r="U186" t="s">
        <v>60</v>
      </c>
      <c r="V186" t="s">
        <v>248</v>
      </c>
      <c r="W186">
        <v>0</v>
      </c>
      <c r="X186" s="2">
        <v>0</v>
      </c>
      <c r="Y186" s="2">
        <v>24.21</v>
      </c>
      <c r="Z186" s="2">
        <v>0</v>
      </c>
      <c r="AA186" s="2">
        <v>0</v>
      </c>
      <c r="AB186" s="2">
        <v>0</v>
      </c>
    </row>
    <row r="187" spans="1:28" x14ac:dyDescent="0.25">
      <c r="A187">
        <v>2033379493</v>
      </c>
      <c r="B187" t="s">
        <v>535</v>
      </c>
      <c r="C187" t="s">
        <v>536</v>
      </c>
      <c r="D187" t="str">
        <f t="shared" si="5"/>
        <v>WASEEM ALFAHEL</v>
      </c>
      <c r="E187" t="s">
        <v>89</v>
      </c>
      <c r="F187" t="s">
        <v>69</v>
      </c>
      <c r="G187" t="s">
        <v>70</v>
      </c>
      <c r="H187" t="s">
        <v>1079</v>
      </c>
      <c r="I187" s="8" t="s">
        <v>1091</v>
      </c>
      <c r="J187" t="s">
        <v>398</v>
      </c>
      <c r="K187" t="s">
        <v>399</v>
      </c>
      <c r="L187" t="str">
        <f t="shared" si="4"/>
        <v>CHRISTIAN TAUGNER</v>
      </c>
      <c r="M187" t="s">
        <v>1134</v>
      </c>
      <c r="N187" t="s">
        <v>57</v>
      </c>
      <c r="O187" s="1">
        <v>46054</v>
      </c>
      <c r="P187" s="1">
        <v>46235</v>
      </c>
      <c r="Q187" s="2">
        <v>45.88</v>
      </c>
      <c r="R187" t="s">
        <v>58</v>
      </c>
      <c r="S187" s="3">
        <v>0.75</v>
      </c>
      <c r="T187">
        <v>0</v>
      </c>
      <c r="U187" t="s">
        <v>60</v>
      </c>
      <c r="V187" t="s">
        <v>248</v>
      </c>
      <c r="W187">
        <v>0</v>
      </c>
      <c r="X187" s="2">
        <v>0</v>
      </c>
      <c r="Y187" s="2">
        <v>34.409999999999997</v>
      </c>
      <c r="Z187" s="2">
        <v>0</v>
      </c>
      <c r="AA187" s="2">
        <v>0</v>
      </c>
      <c r="AB187" s="2">
        <v>0</v>
      </c>
    </row>
    <row r="188" spans="1:28" x14ac:dyDescent="0.25">
      <c r="A188">
        <v>2034574492</v>
      </c>
      <c r="B188" t="s">
        <v>568</v>
      </c>
      <c r="C188" t="s">
        <v>254</v>
      </c>
      <c r="D188" t="str">
        <f t="shared" si="5"/>
        <v>SARAH HEATH-BROST</v>
      </c>
      <c r="E188" t="s">
        <v>89</v>
      </c>
      <c r="F188" t="s">
        <v>69</v>
      </c>
      <c r="G188" t="s">
        <v>79</v>
      </c>
      <c r="H188" t="s">
        <v>1080</v>
      </c>
      <c r="I188" s="8" t="s">
        <v>1091</v>
      </c>
      <c r="J188" t="s">
        <v>398</v>
      </c>
      <c r="K188" t="s">
        <v>399</v>
      </c>
      <c r="L188" t="str">
        <f t="shared" si="4"/>
        <v>CHRISTIAN TAUGNER</v>
      </c>
      <c r="M188" t="s">
        <v>1134</v>
      </c>
      <c r="N188" t="s">
        <v>57</v>
      </c>
      <c r="O188" s="1">
        <v>46108</v>
      </c>
      <c r="P188" s="1">
        <v>46230</v>
      </c>
      <c r="Q188" s="2">
        <v>15.23</v>
      </c>
      <c r="R188" t="s">
        <v>58</v>
      </c>
      <c r="S188" s="3">
        <v>0.9</v>
      </c>
      <c r="T188">
        <v>0</v>
      </c>
      <c r="U188" t="s">
        <v>60</v>
      </c>
      <c r="V188" t="s">
        <v>248</v>
      </c>
      <c r="W188">
        <v>0</v>
      </c>
      <c r="X188" s="2">
        <v>0</v>
      </c>
      <c r="Y188" s="2">
        <v>13.71</v>
      </c>
      <c r="Z188" s="2">
        <v>0</v>
      </c>
      <c r="AA188" s="2">
        <v>0</v>
      </c>
      <c r="AB188" s="2">
        <v>0</v>
      </c>
    </row>
    <row r="189" spans="1:28" x14ac:dyDescent="0.25">
      <c r="A189">
        <v>2032384112</v>
      </c>
      <c r="B189" t="s">
        <v>1051</v>
      </c>
      <c r="C189" t="s">
        <v>1052</v>
      </c>
      <c r="D189" t="str">
        <f t="shared" si="5"/>
        <v>ON MERRITT</v>
      </c>
      <c r="E189" t="s">
        <v>397</v>
      </c>
      <c r="F189" t="s">
        <v>194</v>
      </c>
      <c r="G189" t="s">
        <v>195</v>
      </c>
      <c r="H189" t="s">
        <v>195</v>
      </c>
      <c r="I189" s="8" t="s">
        <v>1091</v>
      </c>
      <c r="J189" t="s">
        <v>398</v>
      </c>
      <c r="K189" t="s">
        <v>399</v>
      </c>
      <c r="L189" t="str">
        <f t="shared" si="4"/>
        <v>CHRISTIAN TAUGNER</v>
      </c>
      <c r="M189" t="s">
        <v>1135</v>
      </c>
      <c r="N189" t="s">
        <v>57</v>
      </c>
      <c r="O189" s="1">
        <v>45988</v>
      </c>
      <c r="P189" s="1">
        <v>46230</v>
      </c>
      <c r="Q189" s="2">
        <v>49.46</v>
      </c>
      <c r="R189" t="s">
        <v>58</v>
      </c>
      <c r="S189" s="3">
        <v>0.7</v>
      </c>
      <c r="T189">
        <v>0</v>
      </c>
      <c r="U189" t="s">
        <v>60</v>
      </c>
      <c r="V189" t="s">
        <v>248</v>
      </c>
      <c r="W189">
        <v>0</v>
      </c>
      <c r="X189" s="2">
        <v>0</v>
      </c>
      <c r="Y189" s="2">
        <v>34.619999999999997</v>
      </c>
      <c r="Z189" s="2">
        <v>34.619999999999997</v>
      </c>
      <c r="AA189" s="2">
        <v>34.619999999999997</v>
      </c>
      <c r="AB189" s="2">
        <v>0</v>
      </c>
    </row>
    <row r="190" spans="1:28" x14ac:dyDescent="0.25">
      <c r="A190">
        <v>2032398126</v>
      </c>
      <c r="B190" t="s">
        <v>395</v>
      </c>
      <c r="C190" t="s">
        <v>396</v>
      </c>
      <c r="D190" t="str">
        <f t="shared" si="5"/>
        <v>PATRICIA ROBINSON</v>
      </c>
      <c r="E190" t="s">
        <v>397</v>
      </c>
      <c r="F190" t="s">
        <v>194</v>
      </c>
      <c r="G190" t="s">
        <v>195</v>
      </c>
      <c r="H190" t="s">
        <v>195</v>
      </c>
      <c r="I190" s="8" t="s">
        <v>1091</v>
      </c>
      <c r="J190" t="s">
        <v>398</v>
      </c>
      <c r="K190" t="s">
        <v>399</v>
      </c>
      <c r="L190" t="str">
        <f t="shared" si="4"/>
        <v>CHRISTIAN TAUGNER</v>
      </c>
      <c r="M190" t="s">
        <v>1135</v>
      </c>
      <c r="N190" t="s">
        <v>57</v>
      </c>
      <c r="O190" s="1">
        <v>45990</v>
      </c>
      <c r="P190" s="1">
        <v>46232</v>
      </c>
      <c r="Q190" s="2">
        <v>93.74</v>
      </c>
      <c r="R190" t="s">
        <v>58</v>
      </c>
      <c r="S190" s="3">
        <v>0.7</v>
      </c>
      <c r="T190">
        <v>0</v>
      </c>
      <c r="U190" t="s">
        <v>60</v>
      </c>
      <c r="V190" t="s">
        <v>248</v>
      </c>
      <c r="W190">
        <v>0</v>
      </c>
      <c r="X190" s="2">
        <v>0</v>
      </c>
      <c r="Y190" s="2">
        <v>65.62</v>
      </c>
      <c r="Z190" s="2">
        <v>65.62</v>
      </c>
      <c r="AA190" s="2">
        <v>65.62</v>
      </c>
      <c r="AB190" s="2">
        <v>0</v>
      </c>
    </row>
    <row r="191" spans="1:28" x14ac:dyDescent="0.25">
      <c r="A191">
        <v>2034574491</v>
      </c>
      <c r="B191" t="s">
        <v>568</v>
      </c>
      <c r="C191" t="s">
        <v>254</v>
      </c>
      <c r="D191" t="str">
        <f t="shared" si="5"/>
        <v>SARAH HEATH-BROST</v>
      </c>
      <c r="E191" t="s">
        <v>89</v>
      </c>
      <c r="F191" t="s">
        <v>194</v>
      </c>
      <c r="G191" t="s">
        <v>195</v>
      </c>
      <c r="H191" t="s">
        <v>195</v>
      </c>
      <c r="I191" s="8" t="s">
        <v>1091</v>
      </c>
      <c r="J191" t="s">
        <v>398</v>
      </c>
      <c r="K191" t="s">
        <v>399</v>
      </c>
      <c r="L191" t="str">
        <f t="shared" si="4"/>
        <v>CHRISTIAN TAUGNER</v>
      </c>
      <c r="M191" t="s">
        <v>1134</v>
      </c>
      <c r="N191" t="s">
        <v>57</v>
      </c>
      <c r="O191" s="1">
        <v>46108</v>
      </c>
      <c r="P191" s="1">
        <v>46230</v>
      </c>
      <c r="Q191" s="2">
        <v>28.9</v>
      </c>
      <c r="R191" t="s">
        <v>58</v>
      </c>
      <c r="S191" s="3">
        <v>0.7</v>
      </c>
      <c r="T191">
        <v>0</v>
      </c>
      <c r="U191" t="s">
        <v>60</v>
      </c>
      <c r="V191" t="s">
        <v>248</v>
      </c>
      <c r="W191">
        <v>0</v>
      </c>
      <c r="X191" s="2">
        <v>0</v>
      </c>
      <c r="Y191" s="2">
        <v>20.23</v>
      </c>
      <c r="Z191" s="2">
        <v>0</v>
      </c>
      <c r="AA191" s="2">
        <v>0</v>
      </c>
      <c r="AB191" s="2">
        <v>0</v>
      </c>
    </row>
    <row r="192" spans="1:28" x14ac:dyDescent="0.25">
      <c r="A192">
        <v>2035155179</v>
      </c>
      <c r="B192" t="s">
        <v>839</v>
      </c>
      <c r="C192" t="s">
        <v>478</v>
      </c>
      <c r="D192" t="str">
        <f t="shared" si="5"/>
        <v>MICHAEL COTTER</v>
      </c>
      <c r="E192" t="s">
        <v>89</v>
      </c>
      <c r="F192" t="s">
        <v>194</v>
      </c>
      <c r="G192" t="s">
        <v>195</v>
      </c>
      <c r="H192" t="s">
        <v>195</v>
      </c>
      <c r="I192" s="8" t="s">
        <v>1091</v>
      </c>
      <c r="J192" t="s">
        <v>398</v>
      </c>
      <c r="K192" t="s">
        <v>399</v>
      </c>
      <c r="L192" t="str">
        <f t="shared" si="4"/>
        <v>CHRISTIAN TAUGNER</v>
      </c>
      <c r="M192" t="s">
        <v>1134</v>
      </c>
      <c r="N192" t="s">
        <v>57</v>
      </c>
      <c r="O192" s="1">
        <v>46141</v>
      </c>
      <c r="P192" s="1">
        <v>46232</v>
      </c>
      <c r="Q192" s="2">
        <v>37.18</v>
      </c>
      <c r="R192" t="s">
        <v>58</v>
      </c>
      <c r="S192" s="3">
        <v>0.7</v>
      </c>
      <c r="T192">
        <v>0</v>
      </c>
      <c r="U192" t="s">
        <v>60</v>
      </c>
      <c r="V192" t="s">
        <v>248</v>
      </c>
      <c r="W192">
        <v>0</v>
      </c>
      <c r="X192" s="2">
        <v>0</v>
      </c>
      <c r="Y192" s="2">
        <v>26.03</v>
      </c>
      <c r="Z192" s="2">
        <v>0</v>
      </c>
      <c r="AA192" s="2">
        <v>0</v>
      </c>
      <c r="AB192" s="2">
        <v>0</v>
      </c>
    </row>
    <row r="193" spans="1:28" x14ac:dyDescent="0.25">
      <c r="A193">
        <v>2033382376</v>
      </c>
      <c r="B193" t="s">
        <v>537</v>
      </c>
      <c r="C193" t="s">
        <v>538</v>
      </c>
      <c r="D193" t="str">
        <f t="shared" si="5"/>
        <v>BILLIE IANNOTTI</v>
      </c>
      <c r="E193" t="s">
        <v>89</v>
      </c>
      <c r="F193" t="s">
        <v>194</v>
      </c>
      <c r="G193" t="s">
        <v>195</v>
      </c>
      <c r="H193" t="s">
        <v>195</v>
      </c>
      <c r="I193" s="8" t="s">
        <v>1091</v>
      </c>
      <c r="J193" t="s">
        <v>398</v>
      </c>
      <c r="K193" t="s">
        <v>399</v>
      </c>
      <c r="L193" t="str">
        <f t="shared" si="4"/>
        <v>CHRISTIAN TAUGNER</v>
      </c>
      <c r="M193" t="s">
        <v>1134</v>
      </c>
      <c r="N193" t="s">
        <v>57</v>
      </c>
      <c r="O193" s="1">
        <v>46052</v>
      </c>
      <c r="P193" s="1">
        <v>46233</v>
      </c>
      <c r="Q193" s="2">
        <v>74.58</v>
      </c>
      <c r="R193" t="s">
        <v>58</v>
      </c>
      <c r="S193" s="3">
        <v>0.7</v>
      </c>
      <c r="T193">
        <v>0</v>
      </c>
      <c r="U193" t="s">
        <v>60</v>
      </c>
      <c r="V193" t="s">
        <v>248</v>
      </c>
      <c r="W193">
        <v>0</v>
      </c>
      <c r="X193" s="2">
        <v>0</v>
      </c>
      <c r="Y193" s="2">
        <v>52.21</v>
      </c>
      <c r="Z193" s="2">
        <v>0</v>
      </c>
      <c r="AA193" s="2">
        <v>0</v>
      </c>
      <c r="AB193" s="2">
        <v>0</v>
      </c>
    </row>
    <row r="194" spans="1:28" x14ac:dyDescent="0.25">
      <c r="A194">
        <v>2033113976</v>
      </c>
      <c r="B194" t="s">
        <v>730</v>
      </c>
      <c r="C194" t="s">
        <v>731</v>
      </c>
      <c r="D194" t="str">
        <f t="shared" si="5"/>
        <v>JAN CLARK</v>
      </c>
      <c r="E194" t="s">
        <v>397</v>
      </c>
      <c r="F194" t="s">
        <v>194</v>
      </c>
      <c r="G194" t="s">
        <v>195</v>
      </c>
      <c r="H194" t="s">
        <v>195</v>
      </c>
      <c r="I194" s="8" t="s">
        <v>1091</v>
      </c>
      <c r="J194" t="s">
        <v>398</v>
      </c>
      <c r="K194" t="s">
        <v>399</v>
      </c>
      <c r="L194" t="str">
        <f t="shared" ref="L194:L257" si="6">CONCATENATE(K194," ",J194)</f>
        <v>CHRISTIAN TAUGNER</v>
      </c>
      <c r="M194" t="s">
        <v>1134</v>
      </c>
      <c r="N194" t="s">
        <v>57</v>
      </c>
      <c r="O194" s="1">
        <v>46054</v>
      </c>
      <c r="P194" s="1">
        <v>46235</v>
      </c>
      <c r="Q194" s="2">
        <v>93.74</v>
      </c>
      <c r="R194" t="s">
        <v>58</v>
      </c>
      <c r="S194" s="3">
        <v>0.7</v>
      </c>
      <c r="T194">
        <v>0</v>
      </c>
      <c r="U194" t="s">
        <v>60</v>
      </c>
      <c r="V194" t="s">
        <v>248</v>
      </c>
      <c r="W194">
        <v>0</v>
      </c>
      <c r="X194" s="2">
        <v>0</v>
      </c>
      <c r="Y194" s="2">
        <v>65.62</v>
      </c>
      <c r="Z194" s="2">
        <v>0</v>
      </c>
      <c r="AA194" s="2">
        <v>0</v>
      </c>
      <c r="AB194" s="2">
        <v>0</v>
      </c>
    </row>
    <row r="195" spans="1:28" x14ac:dyDescent="0.25">
      <c r="A195">
        <v>2033379494</v>
      </c>
      <c r="B195" t="s">
        <v>535</v>
      </c>
      <c r="C195" t="s">
        <v>536</v>
      </c>
      <c r="D195" t="str">
        <f t="shared" ref="D195:D258" si="7">CONCATENATE(C195," ",B195)</f>
        <v>WASEEM ALFAHEL</v>
      </c>
      <c r="E195" t="s">
        <v>89</v>
      </c>
      <c r="F195" t="s">
        <v>194</v>
      </c>
      <c r="G195" t="s">
        <v>195</v>
      </c>
      <c r="H195" t="s">
        <v>195</v>
      </c>
      <c r="I195" s="8" t="s">
        <v>1091</v>
      </c>
      <c r="J195" t="s">
        <v>398</v>
      </c>
      <c r="K195" t="s">
        <v>399</v>
      </c>
      <c r="L195" t="str">
        <f t="shared" si="6"/>
        <v>CHRISTIAN TAUGNER</v>
      </c>
      <c r="M195" t="s">
        <v>1134</v>
      </c>
      <c r="N195" t="s">
        <v>57</v>
      </c>
      <c r="O195" s="1">
        <v>46054</v>
      </c>
      <c r="P195" s="1">
        <v>46235</v>
      </c>
      <c r="Q195" s="2">
        <v>145.41999999999999</v>
      </c>
      <c r="R195" t="s">
        <v>58</v>
      </c>
      <c r="S195" s="3">
        <v>0.7</v>
      </c>
      <c r="T195">
        <v>0</v>
      </c>
      <c r="U195" t="s">
        <v>60</v>
      </c>
      <c r="V195" t="s">
        <v>248</v>
      </c>
      <c r="W195">
        <v>0</v>
      </c>
      <c r="X195" s="2">
        <v>0</v>
      </c>
      <c r="Y195" s="2">
        <v>101.79</v>
      </c>
      <c r="Z195" s="2">
        <v>0</v>
      </c>
      <c r="AA195" s="2">
        <v>0</v>
      </c>
      <c r="AB195" s="2">
        <v>0</v>
      </c>
    </row>
    <row r="196" spans="1:28" x14ac:dyDescent="0.25">
      <c r="A196">
        <v>2032393909</v>
      </c>
      <c r="B196" t="s">
        <v>1053</v>
      </c>
      <c r="C196" t="s">
        <v>1054</v>
      </c>
      <c r="D196" t="str">
        <f t="shared" si="7"/>
        <v>SAADIA SAEED</v>
      </c>
      <c r="E196" t="s">
        <v>479</v>
      </c>
      <c r="F196" t="s">
        <v>194</v>
      </c>
      <c r="G196" t="s">
        <v>195</v>
      </c>
      <c r="H196" t="s">
        <v>195</v>
      </c>
      <c r="I196" s="8">
        <v>21435997</v>
      </c>
      <c r="J196" t="s">
        <v>229</v>
      </c>
      <c r="K196" t="s">
        <v>230</v>
      </c>
      <c r="L196" t="str">
        <f t="shared" si="6"/>
        <v>Christopher Brousseau</v>
      </c>
      <c r="M196" t="s">
        <v>1133</v>
      </c>
      <c r="N196" t="s">
        <v>57</v>
      </c>
      <c r="O196" s="1">
        <v>45989</v>
      </c>
      <c r="P196" s="1">
        <v>46231</v>
      </c>
      <c r="Q196" s="2">
        <v>31.28</v>
      </c>
      <c r="R196" t="s">
        <v>58</v>
      </c>
      <c r="S196" s="3">
        <v>0.7</v>
      </c>
      <c r="T196">
        <v>0</v>
      </c>
      <c r="U196" t="s">
        <v>60</v>
      </c>
      <c r="V196" t="s">
        <v>248</v>
      </c>
      <c r="W196">
        <v>0</v>
      </c>
      <c r="X196" s="2">
        <v>0</v>
      </c>
      <c r="Y196" s="2">
        <v>21.9</v>
      </c>
      <c r="Z196" s="2">
        <v>21.9</v>
      </c>
      <c r="AA196" s="2">
        <v>21.9</v>
      </c>
      <c r="AB196" s="2">
        <v>0</v>
      </c>
    </row>
    <row r="197" spans="1:28" x14ac:dyDescent="0.25">
      <c r="A197">
        <v>2034634162</v>
      </c>
      <c r="B197" t="s">
        <v>328</v>
      </c>
      <c r="C197" t="s">
        <v>329</v>
      </c>
      <c r="D197" t="str">
        <f t="shared" si="7"/>
        <v>TYLER SMITH</v>
      </c>
      <c r="E197" t="s">
        <v>117</v>
      </c>
      <c r="F197" t="s">
        <v>53</v>
      </c>
      <c r="G197" t="s">
        <v>54</v>
      </c>
      <c r="H197" t="s">
        <v>54</v>
      </c>
      <c r="I197" s="8">
        <v>21435997</v>
      </c>
      <c r="J197" t="s">
        <v>229</v>
      </c>
      <c r="K197" t="s">
        <v>230</v>
      </c>
      <c r="L197" t="str">
        <f t="shared" si="6"/>
        <v>Christopher Brousseau</v>
      </c>
      <c r="M197" t="s">
        <v>1133</v>
      </c>
      <c r="N197" t="s">
        <v>57</v>
      </c>
      <c r="O197" s="1">
        <v>46111</v>
      </c>
      <c r="P197" s="1">
        <v>46233</v>
      </c>
      <c r="Q197" s="2">
        <v>52.69</v>
      </c>
      <c r="R197" t="s">
        <v>58</v>
      </c>
      <c r="S197" s="3">
        <v>0.6</v>
      </c>
      <c r="T197">
        <v>0</v>
      </c>
      <c r="U197" t="s">
        <v>60</v>
      </c>
      <c r="V197" t="s">
        <v>248</v>
      </c>
      <c r="W197">
        <v>0</v>
      </c>
      <c r="X197" s="2">
        <v>0</v>
      </c>
      <c r="Y197" s="2">
        <v>31.61</v>
      </c>
      <c r="Z197" s="2">
        <v>0</v>
      </c>
      <c r="AA197" s="2">
        <v>0</v>
      </c>
      <c r="AB197" s="2">
        <v>0</v>
      </c>
    </row>
    <row r="198" spans="1:28" x14ac:dyDescent="0.25">
      <c r="A198">
        <v>2024626405</v>
      </c>
      <c r="B198" t="s">
        <v>597</v>
      </c>
      <c r="C198" t="s">
        <v>598</v>
      </c>
      <c r="D198" t="str">
        <f t="shared" si="7"/>
        <v>ANTHONY HOEPPNER</v>
      </c>
      <c r="E198" t="s">
        <v>404</v>
      </c>
      <c r="F198" t="s">
        <v>149</v>
      </c>
      <c r="G198" t="s">
        <v>584</v>
      </c>
      <c r="H198" t="s">
        <v>1082</v>
      </c>
      <c r="I198" s="8">
        <v>17437820</v>
      </c>
      <c r="J198" t="s">
        <v>599</v>
      </c>
      <c r="K198" t="s">
        <v>193</v>
      </c>
      <c r="L198" t="str">
        <f t="shared" si="6"/>
        <v>COLLEEN FINNIGAN</v>
      </c>
      <c r="M198" t="s">
        <v>1133</v>
      </c>
      <c r="N198" t="s">
        <v>57</v>
      </c>
      <c r="O198" s="1">
        <v>45534</v>
      </c>
      <c r="P198" s="1">
        <v>46233</v>
      </c>
      <c r="Q198" s="2">
        <v>15</v>
      </c>
      <c r="R198" t="s">
        <v>58</v>
      </c>
      <c r="S198" s="3">
        <v>0.28999999999999998</v>
      </c>
      <c r="T198">
        <v>0</v>
      </c>
      <c r="U198" t="s">
        <v>247</v>
      </c>
      <c r="V198" t="s">
        <v>248</v>
      </c>
      <c r="W198">
        <v>0</v>
      </c>
      <c r="X198" s="2">
        <v>0</v>
      </c>
      <c r="Y198" s="2">
        <v>4.3499999999999996</v>
      </c>
      <c r="Z198" s="2">
        <v>4.3499999999999996</v>
      </c>
      <c r="AA198" s="2">
        <v>4.3499999999999996</v>
      </c>
      <c r="AB198" s="2">
        <v>0</v>
      </c>
    </row>
    <row r="199" spans="1:28" x14ac:dyDescent="0.25">
      <c r="A199">
        <v>2024626406</v>
      </c>
      <c r="B199" t="s">
        <v>598</v>
      </c>
      <c r="C199" t="s">
        <v>597</v>
      </c>
      <c r="D199" t="str">
        <f t="shared" si="7"/>
        <v>HOEPPNER ANTHONY</v>
      </c>
      <c r="E199" t="s">
        <v>404</v>
      </c>
      <c r="F199" t="s">
        <v>237</v>
      </c>
      <c r="G199" t="s">
        <v>853</v>
      </c>
      <c r="H199" t="s">
        <v>853</v>
      </c>
      <c r="I199" s="8">
        <v>17437820</v>
      </c>
      <c r="J199" t="s">
        <v>599</v>
      </c>
      <c r="K199" t="s">
        <v>193</v>
      </c>
      <c r="L199" t="str">
        <f t="shared" si="6"/>
        <v>COLLEEN FINNIGAN</v>
      </c>
      <c r="M199" t="s">
        <v>1133</v>
      </c>
      <c r="N199" t="s">
        <v>57</v>
      </c>
      <c r="O199" s="1">
        <v>45898</v>
      </c>
      <c r="P199" s="1">
        <v>46232</v>
      </c>
      <c r="Q199" s="2">
        <v>352.41</v>
      </c>
      <c r="R199" t="s">
        <v>58</v>
      </c>
      <c r="S199" s="3">
        <v>0.28999999999999998</v>
      </c>
      <c r="T199">
        <v>0</v>
      </c>
      <c r="U199" t="s">
        <v>60</v>
      </c>
      <c r="V199" t="s">
        <v>248</v>
      </c>
      <c r="W199">
        <v>0</v>
      </c>
      <c r="X199" s="2">
        <v>0</v>
      </c>
      <c r="Y199" s="2">
        <v>102.2</v>
      </c>
      <c r="Z199" s="2">
        <v>102.2</v>
      </c>
      <c r="AA199" s="2">
        <v>102.2</v>
      </c>
      <c r="AB199" s="2">
        <v>0</v>
      </c>
    </row>
    <row r="200" spans="1:28" x14ac:dyDescent="0.25">
      <c r="A200">
        <v>2033020577</v>
      </c>
      <c r="B200" t="s">
        <v>1065</v>
      </c>
      <c r="C200" t="s">
        <v>1066</v>
      </c>
      <c r="D200" t="str">
        <f t="shared" si="7"/>
        <v>SYLVIA BRINKMOELLER</v>
      </c>
      <c r="E200" t="s">
        <v>332</v>
      </c>
      <c r="F200" t="s">
        <v>194</v>
      </c>
      <c r="G200" t="s">
        <v>195</v>
      </c>
      <c r="H200" t="s">
        <v>195</v>
      </c>
      <c r="I200" s="8" t="s">
        <v>1116</v>
      </c>
      <c r="J200" t="s">
        <v>196</v>
      </c>
      <c r="K200" t="s">
        <v>197</v>
      </c>
      <c r="L200" t="str">
        <f t="shared" si="6"/>
        <v>Colleen Jerger</v>
      </c>
      <c r="M200" t="s">
        <v>1134</v>
      </c>
      <c r="N200" t="s">
        <v>57</v>
      </c>
      <c r="O200" s="1">
        <v>46054</v>
      </c>
      <c r="P200" s="1">
        <v>46235</v>
      </c>
      <c r="Q200" s="2">
        <v>31.28</v>
      </c>
      <c r="R200" t="s">
        <v>58</v>
      </c>
      <c r="S200" s="3">
        <v>0.7</v>
      </c>
      <c r="T200">
        <v>0</v>
      </c>
      <c r="U200" t="s">
        <v>60</v>
      </c>
      <c r="V200" t="s">
        <v>248</v>
      </c>
      <c r="W200">
        <v>0</v>
      </c>
      <c r="X200" s="2">
        <v>0</v>
      </c>
      <c r="Y200" s="2">
        <v>21.9</v>
      </c>
      <c r="Z200" s="2">
        <v>0</v>
      </c>
      <c r="AA200" s="2">
        <v>0</v>
      </c>
      <c r="AB200" s="2">
        <v>0</v>
      </c>
    </row>
    <row r="201" spans="1:28" x14ac:dyDescent="0.25">
      <c r="A201">
        <v>2033156416</v>
      </c>
      <c r="B201" t="s">
        <v>744</v>
      </c>
      <c r="C201" t="s">
        <v>462</v>
      </c>
      <c r="D201" t="str">
        <f t="shared" si="7"/>
        <v>VERONICA BROWN</v>
      </c>
      <c r="E201" t="s">
        <v>124</v>
      </c>
      <c r="F201" t="s">
        <v>194</v>
      </c>
      <c r="G201" t="s">
        <v>195</v>
      </c>
      <c r="H201" t="s">
        <v>195</v>
      </c>
      <c r="I201" s="8" t="s">
        <v>1116</v>
      </c>
      <c r="J201" t="s">
        <v>196</v>
      </c>
      <c r="K201" t="s">
        <v>197</v>
      </c>
      <c r="L201" t="str">
        <f t="shared" si="6"/>
        <v>Colleen Jerger</v>
      </c>
      <c r="M201" t="s">
        <v>1134</v>
      </c>
      <c r="N201" t="s">
        <v>57</v>
      </c>
      <c r="O201" s="1">
        <v>46054</v>
      </c>
      <c r="P201" s="1">
        <v>46235</v>
      </c>
      <c r="Q201" s="2">
        <v>32.200000000000003</v>
      </c>
      <c r="R201" t="s">
        <v>58</v>
      </c>
      <c r="S201" s="3">
        <v>0.7</v>
      </c>
      <c r="T201">
        <v>0</v>
      </c>
      <c r="U201" t="s">
        <v>60</v>
      </c>
      <c r="V201" t="s">
        <v>248</v>
      </c>
      <c r="W201">
        <v>0</v>
      </c>
      <c r="X201" s="2">
        <v>0</v>
      </c>
      <c r="Y201" s="2">
        <v>22.54</v>
      </c>
      <c r="Z201" s="2">
        <v>0</v>
      </c>
      <c r="AA201" s="2">
        <v>0</v>
      </c>
      <c r="AB201" s="2">
        <v>0</v>
      </c>
    </row>
    <row r="202" spans="1:28" x14ac:dyDescent="0.25">
      <c r="A202">
        <v>2033346024</v>
      </c>
      <c r="B202" t="s">
        <v>790</v>
      </c>
      <c r="C202" t="s">
        <v>433</v>
      </c>
      <c r="D202" t="str">
        <f t="shared" si="7"/>
        <v>TERESA BARRO</v>
      </c>
      <c r="E202" t="s">
        <v>124</v>
      </c>
      <c r="F202" t="s">
        <v>194</v>
      </c>
      <c r="G202" t="s">
        <v>195</v>
      </c>
      <c r="H202" t="s">
        <v>195</v>
      </c>
      <c r="I202" s="8" t="s">
        <v>1116</v>
      </c>
      <c r="J202" t="s">
        <v>196</v>
      </c>
      <c r="K202" t="s">
        <v>197</v>
      </c>
      <c r="L202" t="str">
        <f t="shared" si="6"/>
        <v>Colleen Jerger</v>
      </c>
      <c r="M202" t="s">
        <v>1134</v>
      </c>
      <c r="N202" t="s">
        <v>57</v>
      </c>
      <c r="O202" s="1">
        <v>46054</v>
      </c>
      <c r="P202" s="1">
        <v>46235</v>
      </c>
      <c r="Q202" s="2">
        <v>176.94</v>
      </c>
      <c r="R202" t="s">
        <v>58</v>
      </c>
      <c r="S202" s="3">
        <v>0.7</v>
      </c>
      <c r="T202">
        <v>0</v>
      </c>
      <c r="U202" t="s">
        <v>60</v>
      </c>
      <c r="V202" t="s">
        <v>248</v>
      </c>
      <c r="W202">
        <v>0</v>
      </c>
      <c r="X202" s="2">
        <v>0</v>
      </c>
      <c r="Y202" s="2">
        <v>123.86</v>
      </c>
      <c r="Z202" s="2">
        <v>0</v>
      </c>
      <c r="AA202" s="2">
        <v>0</v>
      </c>
      <c r="AB202" s="2">
        <v>0</v>
      </c>
    </row>
    <row r="203" spans="1:28" x14ac:dyDescent="0.25">
      <c r="A203">
        <v>2028627542</v>
      </c>
      <c r="B203" t="s">
        <v>929</v>
      </c>
      <c r="C203" t="s">
        <v>930</v>
      </c>
      <c r="D203" t="str">
        <f t="shared" si="7"/>
        <v>DELIA DIAZ</v>
      </c>
      <c r="E203" t="s">
        <v>397</v>
      </c>
      <c r="F203" t="s">
        <v>188</v>
      </c>
      <c r="G203" t="s">
        <v>191</v>
      </c>
      <c r="H203" t="s">
        <v>190</v>
      </c>
      <c r="I203" s="8">
        <v>8325282</v>
      </c>
      <c r="J203" t="s">
        <v>153</v>
      </c>
      <c r="K203" t="s">
        <v>154</v>
      </c>
      <c r="L203" t="str">
        <f t="shared" si="6"/>
        <v>Dale Walenga</v>
      </c>
      <c r="M203" t="s">
        <v>1133</v>
      </c>
      <c r="N203" t="s">
        <v>57</v>
      </c>
      <c r="O203" s="1">
        <v>45774</v>
      </c>
      <c r="P203" s="1">
        <v>46230</v>
      </c>
      <c r="Q203" s="2">
        <v>7.09</v>
      </c>
      <c r="R203" t="s">
        <v>58</v>
      </c>
      <c r="S203" s="3">
        <v>0.1</v>
      </c>
      <c r="T203">
        <v>0</v>
      </c>
      <c r="U203" t="s">
        <v>247</v>
      </c>
      <c r="V203" t="s">
        <v>248</v>
      </c>
      <c r="W203">
        <v>0</v>
      </c>
      <c r="X203" s="2">
        <v>0</v>
      </c>
      <c r="Y203" s="2">
        <v>0.71</v>
      </c>
      <c r="Z203" s="2">
        <v>0.71</v>
      </c>
      <c r="AA203" s="2">
        <v>0.71</v>
      </c>
      <c r="AB203" s="2">
        <v>0</v>
      </c>
    </row>
    <row r="204" spans="1:28" x14ac:dyDescent="0.25">
      <c r="A204">
        <v>2028649902</v>
      </c>
      <c r="B204" t="s">
        <v>929</v>
      </c>
      <c r="C204" t="s">
        <v>930</v>
      </c>
      <c r="D204" t="str">
        <f t="shared" si="7"/>
        <v>DELIA DIAZ</v>
      </c>
      <c r="E204" t="s">
        <v>397</v>
      </c>
      <c r="F204" t="s">
        <v>188</v>
      </c>
      <c r="G204" t="s">
        <v>190</v>
      </c>
      <c r="H204" t="s">
        <v>190</v>
      </c>
      <c r="I204" s="8">
        <v>8325282</v>
      </c>
      <c r="J204" t="s">
        <v>153</v>
      </c>
      <c r="K204" t="s">
        <v>154</v>
      </c>
      <c r="L204" t="str">
        <f t="shared" si="6"/>
        <v>Dale Walenga</v>
      </c>
      <c r="M204" t="s">
        <v>1133</v>
      </c>
      <c r="N204" t="s">
        <v>57</v>
      </c>
      <c r="O204" s="1">
        <v>45776</v>
      </c>
      <c r="P204" s="1">
        <v>46232</v>
      </c>
      <c r="Q204" s="2">
        <v>131.32</v>
      </c>
      <c r="R204" t="s">
        <v>58</v>
      </c>
      <c r="S204" s="3">
        <v>0.1</v>
      </c>
      <c r="T204">
        <v>0</v>
      </c>
      <c r="U204" t="s">
        <v>247</v>
      </c>
      <c r="V204" t="s">
        <v>248</v>
      </c>
      <c r="W204">
        <v>0</v>
      </c>
      <c r="X204" s="2">
        <v>0</v>
      </c>
      <c r="Y204" s="2">
        <v>13.13</v>
      </c>
      <c r="Z204" s="2">
        <v>13.13</v>
      </c>
      <c r="AA204" s="2">
        <v>13.13</v>
      </c>
      <c r="AB204" s="2">
        <v>0</v>
      </c>
    </row>
    <row r="205" spans="1:28" x14ac:dyDescent="0.25">
      <c r="A205">
        <v>2033325945</v>
      </c>
      <c r="B205" t="s">
        <v>632</v>
      </c>
      <c r="C205" t="s">
        <v>633</v>
      </c>
      <c r="D205" t="str">
        <f t="shared" si="7"/>
        <v>BRANDEE FONTANINI</v>
      </c>
      <c r="E205" t="s">
        <v>89</v>
      </c>
      <c r="F205" t="s">
        <v>188</v>
      </c>
      <c r="G205" t="s">
        <v>191</v>
      </c>
      <c r="H205" t="s">
        <v>190</v>
      </c>
      <c r="I205" s="8" t="s">
        <v>1105</v>
      </c>
      <c r="J205" t="s">
        <v>153</v>
      </c>
      <c r="K205" t="s">
        <v>154</v>
      </c>
      <c r="L205" t="str">
        <f t="shared" si="6"/>
        <v>Dale Walenga</v>
      </c>
      <c r="M205" t="s">
        <v>1134</v>
      </c>
      <c r="N205" t="s">
        <v>57</v>
      </c>
      <c r="O205" s="1">
        <v>46049</v>
      </c>
      <c r="P205" s="1">
        <v>46230</v>
      </c>
      <c r="Q205" s="2">
        <v>7.09</v>
      </c>
      <c r="R205" t="s">
        <v>58</v>
      </c>
      <c r="S205" s="3">
        <v>0.38</v>
      </c>
      <c r="T205">
        <v>0</v>
      </c>
      <c r="U205" t="s">
        <v>60</v>
      </c>
      <c r="V205" t="s">
        <v>248</v>
      </c>
      <c r="W205">
        <v>0</v>
      </c>
      <c r="X205" s="2">
        <v>0</v>
      </c>
      <c r="Y205" s="2">
        <v>2.69</v>
      </c>
      <c r="Z205" s="2">
        <v>0</v>
      </c>
      <c r="AA205" s="2">
        <v>0</v>
      </c>
      <c r="AB205" s="2">
        <v>0</v>
      </c>
    </row>
    <row r="206" spans="1:28" x14ac:dyDescent="0.25">
      <c r="A206">
        <v>2033325944</v>
      </c>
      <c r="B206" t="s">
        <v>632</v>
      </c>
      <c r="C206" t="s">
        <v>633</v>
      </c>
      <c r="D206" t="str">
        <f t="shared" si="7"/>
        <v>BRANDEE FONTANINI</v>
      </c>
      <c r="E206" t="s">
        <v>89</v>
      </c>
      <c r="F206" t="s">
        <v>188</v>
      </c>
      <c r="G206" t="s">
        <v>190</v>
      </c>
      <c r="H206" t="s">
        <v>190</v>
      </c>
      <c r="I206" s="8" t="s">
        <v>1105</v>
      </c>
      <c r="J206" t="s">
        <v>153</v>
      </c>
      <c r="K206" t="s">
        <v>154</v>
      </c>
      <c r="L206" t="str">
        <f t="shared" si="6"/>
        <v>Dale Walenga</v>
      </c>
      <c r="M206" t="s">
        <v>1134</v>
      </c>
      <c r="N206" t="s">
        <v>57</v>
      </c>
      <c r="O206" s="1">
        <v>46049</v>
      </c>
      <c r="P206" s="1">
        <v>46230</v>
      </c>
      <c r="Q206" s="2">
        <v>268.01</v>
      </c>
      <c r="R206" t="s">
        <v>58</v>
      </c>
      <c r="S206" s="3">
        <v>0.38</v>
      </c>
      <c r="T206">
        <v>0</v>
      </c>
      <c r="U206" t="s">
        <v>60</v>
      </c>
      <c r="V206" t="s">
        <v>248</v>
      </c>
      <c r="W206">
        <v>0</v>
      </c>
      <c r="X206" s="2">
        <v>0</v>
      </c>
      <c r="Y206" s="2">
        <v>101.84</v>
      </c>
      <c r="Z206" s="2">
        <v>0</v>
      </c>
      <c r="AA206" s="2">
        <v>0</v>
      </c>
      <c r="AB206" s="2">
        <v>0</v>
      </c>
    </row>
    <row r="207" spans="1:28" x14ac:dyDescent="0.25">
      <c r="A207">
        <v>2033325946</v>
      </c>
      <c r="B207" t="s">
        <v>632</v>
      </c>
      <c r="C207" t="s">
        <v>633</v>
      </c>
      <c r="D207" t="str">
        <f t="shared" si="7"/>
        <v>BRANDEE FONTANINI</v>
      </c>
      <c r="E207" t="s">
        <v>89</v>
      </c>
      <c r="F207" t="s">
        <v>149</v>
      </c>
      <c r="G207" t="s">
        <v>150</v>
      </c>
      <c r="H207" t="s">
        <v>150</v>
      </c>
      <c r="I207" s="8" t="s">
        <v>1105</v>
      </c>
      <c r="J207" t="s">
        <v>153</v>
      </c>
      <c r="K207" t="s">
        <v>154</v>
      </c>
      <c r="L207" t="str">
        <f t="shared" si="6"/>
        <v>Dale Walenga</v>
      </c>
      <c r="M207" t="s">
        <v>1134</v>
      </c>
      <c r="N207" t="s">
        <v>57</v>
      </c>
      <c r="O207" s="1">
        <v>46049</v>
      </c>
      <c r="P207" s="1">
        <v>46230</v>
      </c>
      <c r="Q207" s="2">
        <v>15</v>
      </c>
      <c r="R207" t="s">
        <v>58</v>
      </c>
      <c r="S207" s="3">
        <v>0.38</v>
      </c>
      <c r="T207">
        <v>0</v>
      </c>
      <c r="U207" t="s">
        <v>60</v>
      </c>
      <c r="V207" t="s">
        <v>248</v>
      </c>
      <c r="W207">
        <v>0</v>
      </c>
      <c r="X207" s="2">
        <v>0</v>
      </c>
      <c r="Y207" s="2">
        <v>5.7</v>
      </c>
      <c r="Z207" s="2">
        <v>0</v>
      </c>
      <c r="AA207" s="2">
        <v>0</v>
      </c>
      <c r="AB207" s="2">
        <v>0</v>
      </c>
    </row>
    <row r="208" spans="1:28" x14ac:dyDescent="0.25">
      <c r="A208">
        <v>2028627543</v>
      </c>
      <c r="B208" t="s">
        <v>929</v>
      </c>
      <c r="C208" t="s">
        <v>930</v>
      </c>
      <c r="D208" t="str">
        <f t="shared" si="7"/>
        <v>DELIA DIAZ</v>
      </c>
      <c r="E208" t="s">
        <v>397</v>
      </c>
      <c r="F208" t="s">
        <v>194</v>
      </c>
      <c r="G208" t="s">
        <v>195</v>
      </c>
      <c r="H208" t="s">
        <v>195</v>
      </c>
      <c r="I208" s="8">
        <v>8325282</v>
      </c>
      <c r="J208" t="s">
        <v>153</v>
      </c>
      <c r="K208" t="s">
        <v>154</v>
      </c>
      <c r="L208" t="str">
        <f t="shared" si="6"/>
        <v>Dale Walenga</v>
      </c>
      <c r="M208" t="s">
        <v>1133</v>
      </c>
      <c r="N208" t="s">
        <v>57</v>
      </c>
      <c r="O208" s="1">
        <v>45774</v>
      </c>
      <c r="P208" s="1">
        <v>46230</v>
      </c>
      <c r="Q208" s="2">
        <v>11.5</v>
      </c>
      <c r="R208" t="s">
        <v>58</v>
      </c>
      <c r="S208" s="3">
        <v>0.15</v>
      </c>
      <c r="T208">
        <v>0</v>
      </c>
      <c r="U208" t="s">
        <v>247</v>
      </c>
      <c r="V208" t="s">
        <v>248</v>
      </c>
      <c r="W208">
        <v>0</v>
      </c>
      <c r="X208" s="2">
        <v>0</v>
      </c>
      <c r="Y208" s="2">
        <v>1.72</v>
      </c>
      <c r="Z208" s="2">
        <v>1.72</v>
      </c>
      <c r="AA208" s="2">
        <v>1.72</v>
      </c>
      <c r="AB208" s="2">
        <v>0</v>
      </c>
    </row>
    <row r="209" spans="1:28" x14ac:dyDescent="0.25">
      <c r="A209">
        <v>2032377140</v>
      </c>
      <c r="B209" t="s">
        <v>391</v>
      </c>
      <c r="C209" t="s">
        <v>171</v>
      </c>
      <c r="D209" t="str">
        <f t="shared" si="7"/>
        <v>WILLIAM MEYER</v>
      </c>
      <c r="E209" t="s">
        <v>89</v>
      </c>
      <c r="F209" t="s">
        <v>194</v>
      </c>
      <c r="G209" t="s">
        <v>195</v>
      </c>
      <c r="H209" t="s">
        <v>195</v>
      </c>
      <c r="I209" s="8" t="s">
        <v>1105</v>
      </c>
      <c r="J209" t="s">
        <v>153</v>
      </c>
      <c r="K209" t="s">
        <v>154</v>
      </c>
      <c r="L209" t="str">
        <f t="shared" si="6"/>
        <v>Dale Walenga</v>
      </c>
      <c r="M209" t="s">
        <v>1135</v>
      </c>
      <c r="N209" t="s">
        <v>57</v>
      </c>
      <c r="O209" s="1">
        <v>45988</v>
      </c>
      <c r="P209" s="1">
        <v>46230</v>
      </c>
      <c r="Q209" s="2">
        <v>39.25</v>
      </c>
      <c r="R209" t="s">
        <v>58</v>
      </c>
      <c r="S209" s="3">
        <v>0.7</v>
      </c>
      <c r="T209">
        <v>0</v>
      </c>
      <c r="U209" t="s">
        <v>60</v>
      </c>
      <c r="V209" t="s">
        <v>248</v>
      </c>
      <c r="W209">
        <v>0</v>
      </c>
      <c r="X209" s="2">
        <v>0</v>
      </c>
      <c r="Y209" s="2">
        <v>27.48</v>
      </c>
      <c r="Z209" s="2">
        <v>27.48</v>
      </c>
      <c r="AA209" s="2">
        <v>27.48</v>
      </c>
      <c r="AB209" s="2">
        <v>0</v>
      </c>
    </row>
    <row r="210" spans="1:28" x14ac:dyDescent="0.25">
      <c r="A210">
        <v>2028627544</v>
      </c>
      <c r="B210" t="s">
        <v>929</v>
      </c>
      <c r="C210" t="s">
        <v>930</v>
      </c>
      <c r="D210" t="str">
        <f t="shared" si="7"/>
        <v>DELIA DIAZ</v>
      </c>
      <c r="E210" t="s">
        <v>397</v>
      </c>
      <c r="F210" t="s">
        <v>133</v>
      </c>
      <c r="G210" t="s">
        <v>134</v>
      </c>
      <c r="H210" t="s">
        <v>134</v>
      </c>
      <c r="I210" s="8">
        <v>8325282</v>
      </c>
      <c r="J210" t="s">
        <v>153</v>
      </c>
      <c r="K210" t="s">
        <v>154</v>
      </c>
      <c r="L210" t="str">
        <f t="shared" si="6"/>
        <v>Dale Walenga</v>
      </c>
      <c r="M210" t="s">
        <v>1133</v>
      </c>
      <c r="N210" t="s">
        <v>57</v>
      </c>
      <c r="O210" s="1">
        <v>45774</v>
      </c>
      <c r="P210" s="1">
        <v>46230</v>
      </c>
      <c r="Q210" s="2">
        <v>18.64</v>
      </c>
      <c r="R210" t="s">
        <v>58</v>
      </c>
      <c r="S210" s="3">
        <v>0.06</v>
      </c>
      <c r="T210">
        <v>0</v>
      </c>
      <c r="U210" t="s">
        <v>247</v>
      </c>
      <c r="V210" t="s">
        <v>248</v>
      </c>
      <c r="W210">
        <v>0</v>
      </c>
      <c r="X210" s="2">
        <v>0</v>
      </c>
      <c r="Y210" s="2">
        <v>1.1200000000000001</v>
      </c>
      <c r="Z210" s="2">
        <v>1.1200000000000001</v>
      </c>
      <c r="AA210" s="2">
        <v>1.1200000000000001</v>
      </c>
      <c r="AB210" s="2">
        <v>0</v>
      </c>
    </row>
    <row r="211" spans="1:28" x14ac:dyDescent="0.25">
      <c r="A211">
        <v>2033395612</v>
      </c>
      <c r="B211" t="s">
        <v>328</v>
      </c>
      <c r="C211" t="s">
        <v>638</v>
      </c>
      <c r="D211" t="str">
        <f t="shared" si="7"/>
        <v>DEBORAH SMITH</v>
      </c>
      <c r="E211" t="s">
        <v>200</v>
      </c>
      <c r="F211" t="s">
        <v>149</v>
      </c>
      <c r="G211" t="s">
        <v>624</v>
      </c>
      <c r="H211" t="s">
        <v>624</v>
      </c>
      <c r="I211" s="8">
        <v>21749481</v>
      </c>
      <c r="J211" t="s">
        <v>630</v>
      </c>
      <c r="K211" t="s">
        <v>631</v>
      </c>
      <c r="L211" t="str">
        <f t="shared" si="6"/>
        <v>Daniel Carney</v>
      </c>
      <c r="M211" t="s">
        <v>1133</v>
      </c>
      <c r="N211" t="s">
        <v>57</v>
      </c>
      <c r="O211" s="1">
        <v>46054</v>
      </c>
      <c r="P211" s="1">
        <v>46235</v>
      </c>
      <c r="Q211" s="2">
        <v>15</v>
      </c>
      <c r="R211" t="s">
        <v>58</v>
      </c>
      <c r="S211" s="3">
        <v>0.19</v>
      </c>
      <c r="T211">
        <v>0</v>
      </c>
      <c r="U211" t="s">
        <v>60</v>
      </c>
      <c r="V211" t="s">
        <v>248</v>
      </c>
      <c r="W211">
        <v>0</v>
      </c>
      <c r="X211" s="2">
        <v>0</v>
      </c>
      <c r="Y211" s="2">
        <v>2.85</v>
      </c>
      <c r="Z211" s="2">
        <v>2.85</v>
      </c>
      <c r="AA211" s="2">
        <v>2.85</v>
      </c>
      <c r="AB211" s="2">
        <v>0</v>
      </c>
    </row>
    <row r="212" spans="1:28" x14ac:dyDescent="0.25">
      <c r="A212">
        <v>2033183852</v>
      </c>
      <c r="B212" t="s">
        <v>628</v>
      </c>
      <c r="C212" t="s">
        <v>629</v>
      </c>
      <c r="D212" t="str">
        <f t="shared" si="7"/>
        <v>NATHANIEL EPLER</v>
      </c>
      <c r="E212" t="s">
        <v>200</v>
      </c>
      <c r="F212" t="s">
        <v>149</v>
      </c>
      <c r="G212" t="s">
        <v>624</v>
      </c>
      <c r="H212" t="s">
        <v>624</v>
      </c>
      <c r="I212" s="8">
        <v>21749481</v>
      </c>
      <c r="J212" t="s">
        <v>630</v>
      </c>
      <c r="K212" t="s">
        <v>631</v>
      </c>
      <c r="L212" t="str">
        <f t="shared" si="6"/>
        <v>Daniel Carney</v>
      </c>
      <c r="M212" t="s">
        <v>1133</v>
      </c>
      <c r="N212" t="s">
        <v>57</v>
      </c>
      <c r="O212" s="1">
        <v>46054</v>
      </c>
      <c r="P212" s="1">
        <v>46235</v>
      </c>
      <c r="Q212" s="2">
        <v>15</v>
      </c>
      <c r="R212" t="s">
        <v>58</v>
      </c>
      <c r="S212" s="3">
        <v>0.19</v>
      </c>
      <c r="T212">
        <v>0</v>
      </c>
      <c r="U212" t="s">
        <v>60</v>
      </c>
      <c r="V212" t="s">
        <v>248</v>
      </c>
      <c r="W212">
        <v>0</v>
      </c>
      <c r="X212" s="2">
        <v>0</v>
      </c>
      <c r="Y212" s="2">
        <v>2.85</v>
      </c>
      <c r="Z212" s="2">
        <v>0</v>
      </c>
      <c r="AA212" s="2">
        <v>0</v>
      </c>
      <c r="AB212" s="2">
        <v>0</v>
      </c>
    </row>
    <row r="213" spans="1:28" x14ac:dyDescent="0.25">
      <c r="A213">
        <v>2033392967</v>
      </c>
      <c r="B213" t="s">
        <v>636</v>
      </c>
      <c r="C213" t="s">
        <v>637</v>
      </c>
      <c r="D213" t="str">
        <f t="shared" si="7"/>
        <v>MAGNOLIA BELTZ</v>
      </c>
      <c r="E213" t="s">
        <v>200</v>
      </c>
      <c r="F213" t="s">
        <v>149</v>
      </c>
      <c r="G213" t="s">
        <v>624</v>
      </c>
      <c r="H213" t="s">
        <v>624</v>
      </c>
      <c r="I213" s="8">
        <v>21749481</v>
      </c>
      <c r="J213" t="s">
        <v>630</v>
      </c>
      <c r="K213" t="s">
        <v>631</v>
      </c>
      <c r="L213" t="str">
        <f t="shared" si="6"/>
        <v>Daniel Carney</v>
      </c>
      <c r="M213" t="s">
        <v>1133</v>
      </c>
      <c r="N213" t="s">
        <v>57</v>
      </c>
      <c r="O213" s="1">
        <v>46054</v>
      </c>
      <c r="P213" s="1">
        <v>46235</v>
      </c>
      <c r="Q213" s="2">
        <v>15</v>
      </c>
      <c r="R213" t="s">
        <v>58</v>
      </c>
      <c r="S213" s="3">
        <v>0.19</v>
      </c>
      <c r="T213">
        <v>0</v>
      </c>
      <c r="U213" t="s">
        <v>60</v>
      </c>
      <c r="V213" t="s">
        <v>248</v>
      </c>
      <c r="W213">
        <v>0</v>
      </c>
      <c r="X213" s="2">
        <v>0</v>
      </c>
      <c r="Y213" s="2">
        <v>2.85</v>
      </c>
      <c r="Z213" s="2">
        <v>0</v>
      </c>
      <c r="AA213" s="2">
        <v>0</v>
      </c>
      <c r="AB213" s="2">
        <v>0</v>
      </c>
    </row>
    <row r="214" spans="1:28" x14ac:dyDescent="0.25">
      <c r="A214">
        <v>2033395610</v>
      </c>
      <c r="B214" t="s">
        <v>328</v>
      </c>
      <c r="C214" t="s">
        <v>638</v>
      </c>
      <c r="D214" t="str">
        <f t="shared" si="7"/>
        <v>DEBORAH SMITH</v>
      </c>
      <c r="E214" t="s">
        <v>200</v>
      </c>
      <c r="F214" t="s">
        <v>237</v>
      </c>
      <c r="G214" t="s">
        <v>855</v>
      </c>
      <c r="H214" t="s">
        <v>1083</v>
      </c>
      <c r="I214" s="8">
        <v>21749481</v>
      </c>
      <c r="J214" t="s">
        <v>630</v>
      </c>
      <c r="K214" t="s">
        <v>631</v>
      </c>
      <c r="L214" t="str">
        <f t="shared" si="6"/>
        <v>Daniel Carney</v>
      </c>
      <c r="M214" t="s">
        <v>1133</v>
      </c>
      <c r="N214" t="s">
        <v>57</v>
      </c>
      <c r="O214" s="1">
        <v>46054</v>
      </c>
      <c r="P214" s="1">
        <v>46235</v>
      </c>
      <c r="Q214" s="2">
        <v>392.84</v>
      </c>
      <c r="R214" t="s">
        <v>58</v>
      </c>
      <c r="S214" s="3">
        <v>0.19</v>
      </c>
      <c r="T214">
        <v>0</v>
      </c>
      <c r="U214" t="s">
        <v>60</v>
      </c>
      <c r="V214" t="s">
        <v>248</v>
      </c>
      <c r="W214">
        <v>0</v>
      </c>
      <c r="X214" s="2">
        <v>0</v>
      </c>
      <c r="Y214" s="2">
        <v>74.64</v>
      </c>
      <c r="Z214" s="2">
        <v>74.64</v>
      </c>
      <c r="AA214" s="2">
        <v>74.64</v>
      </c>
      <c r="AB214" s="2">
        <v>0</v>
      </c>
    </row>
    <row r="215" spans="1:28" x14ac:dyDescent="0.25">
      <c r="A215">
        <v>2033395611</v>
      </c>
      <c r="B215" t="s">
        <v>328</v>
      </c>
      <c r="C215" t="s">
        <v>638</v>
      </c>
      <c r="D215" t="str">
        <f t="shared" si="7"/>
        <v>DEBORAH SMITH</v>
      </c>
      <c r="E215" t="s">
        <v>200</v>
      </c>
      <c r="F215" t="s">
        <v>237</v>
      </c>
      <c r="G215" t="s">
        <v>859</v>
      </c>
      <c r="H215" t="s">
        <v>1083</v>
      </c>
      <c r="I215" s="8">
        <v>21749481</v>
      </c>
      <c r="J215" t="s">
        <v>630</v>
      </c>
      <c r="K215" t="s">
        <v>631</v>
      </c>
      <c r="L215" t="str">
        <f t="shared" si="6"/>
        <v>Daniel Carney</v>
      </c>
      <c r="M215" t="s">
        <v>1133</v>
      </c>
      <c r="N215" t="s">
        <v>57</v>
      </c>
      <c r="O215" s="1">
        <v>46054</v>
      </c>
      <c r="P215" s="1">
        <v>46235</v>
      </c>
      <c r="Q215" s="2">
        <v>9.9499999999999993</v>
      </c>
      <c r="R215" t="s">
        <v>58</v>
      </c>
      <c r="S215" s="3">
        <v>0.19</v>
      </c>
      <c r="T215">
        <v>0</v>
      </c>
      <c r="U215" t="s">
        <v>60</v>
      </c>
      <c r="V215" t="s">
        <v>248</v>
      </c>
      <c r="W215">
        <v>0</v>
      </c>
      <c r="X215" s="2">
        <v>0</v>
      </c>
      <c r="Y215" s="2">
        <v>1.89</v>
      </c>
      <c r="Z215" s="2">
        <v>1.89</v>
      </c>
      <c r="AA215" s="2">
        <v>1.89</v>
      </c>
      <c r="AB215" s="2">
        <v>0</v>
      </c>
    </row>
    <row r="216" spans="1:28" x14ac:dyDescent="0.25">
      <c r="A216">
        <v>2033183850</v>
      </c>
      <c r="B216" t="s">
        <v>628</v>
      </c>
      <c r="C216" t="s">
        <v>629</v>
      </c>
      <c r="D216" t="str">
        <f t="shared" si="7"/>
        <v>NATHANIEL EPLER</v>
      </c>
      <c r="E216" t="s">
        <v>200</v>
      </c>
      <c r="F216" t="s">
        <v>237</v>
      </c>
      <c r="G216" t="s">
        <v>858</v>
      </c>
      <c r="H216" t="s">
        <v>1083</v>
      </c>
      <c r="I216" s="8">
        <v>21749481</v>
      </c>
      <c r="J216" t="s">
        <v>630</v>
      </c>
      <c r="K216" t="s">
        <v>631</v>
      </c>
      <c r="L216" t="str">
        <f t="shared" si="6"/>
        <v>Daniel Carney</v>
      </c>
      <c r="M216" t="s">
        <v>1133</v>
      </c>
      <c r="N216" t="s">
        <v>57</v>
      </c>
      <c r="O216" s="1">
        <v>46054</v>
      </c>
      <c r="P216" s="1">
        <v>46235</v>
      </c>
      <c r="Q216" s="2">
        <v>9.9499999999999993</v>
      </c>
      <c r="R216" t="s">
        <v>58</v>
      </c>
      <c r="S216" s="3">
        <v>0.19</v>
      </c>
      <c r="T216">
        <v>0</v>
      </c>
      <c r="U216" t="s">
        <v>60</v>
      </c>
      <c r="V216" t="s">
        <v>248</v>
      </c>
      <c r="W216">
        <v>0</v>
      </c>
      <c r="X216" s="2">
        <v>0</v>
      </c>
      <c r="Y216" s="2">
        <v>1.89</v>
      </c>
      <c r="Z216" s="2">
        <v>0</v>
      </c>
      <c r="AA216" s="2">
        <v>0</v>
      </c>
      <c r="AB216" s="2">
        <v>0</v>
      </c>
    </row>
    <row r="217" spans="1:28" x14ac:dyDescent="0.25">
      <c r="A217">
        <v>2033392966</v>
      </c>
      <c r="B217" t="s">
        <v>636</v>
      </c>
      <c r="C217" t="s">
        <v>637</v>
      </c>
      <c r="D217" t="str">
        <f t="shared" si="7"/>
        <v>MAGNOLIA BELTZ</v>
      </c>
      <c r="E217" t="s">
        <v>200</v>
      </c>
      <c r="F217" t="s">
        <v>237</v>
      </c>
      <c r="G217" t="s">
        <v>855</v>
      </c>
      <c r="H217" t="s">
        <v>1083</v>
      </c>
      <c r="I217" s="8">
        <v>21749481</v>
      </c>
      <c r="J217" t="s">
        <v>630</v>
      </c>
      <c r="K217" t="s">
        <v>631</v>
      </c>
      <c r="L217" t="str">
        <f t="shared" si="6"/>
        <v>Daniel Carney</v>
      </c>
      <c r="M217" t="s">
        <v>1133</v>
      </c>
      <c r="N217" t="s">
        <v>57</v>
      </c>
      <c r="O217" s="1">
        <v>46054</v>
      </c>
      <c r="P217" s="1">
        <v>46235</v>
      </c>
      <c r="Q217" s="2">
        <v>104.74</v>
      </c>
      <c r="R217" t="s">
        <v>58</v>
      </c>
      <c r="S217" s="3">
        <v>0.19</v>
      </c>
      <c r="T217">
        <v>0</v>
      </c>
      <c r="U217" t="s">
        <v>60</v>
      </c>
      <c r="V217" t="s">
        <v>248</v>
      </c>
      <c r="W217">
        <v>0</v>
      </c>
      <c r="X217" s="2">
        <v>0</v>
      </c>
      <c r="Y217" s="2">
        <v>19.899999999999999</v>
      </c>
      <c r="Z217" s="2">
        <v>0</v>
      </c>
      <c r="AA217" s="2">
        <v>0</v>
      </c>
      <c r="AB217" s="2">
        <v>0</v>
      </c>
    </row>
    <row r="218" spans="1:28" x14ac:dyDescent="0.25">
      <c r="A218">
        <v>2033183849</v>
      </c>
      <c r="B218" t="s">
        <v>628</v>
      </c>
      <c r="C218" t="s">
        <v>629</v>
      </c>
      <c r="D218" t="str">
        <f t="shared" si="7"/>
        <v>NATHANIEL EPLER</v>
      </c>
      <c r="E218" t="s">
        <v>200</v>
      </c>
      <c r="F218" t="s">
        <v>237</v>
      </c>
      <c r="G218" t="s">
        <v>854</v>
      </c>
      <c r="H218" t="s">
        <v>1083</v>
      </c>
      <c r="I218" s="8">
        <v>21749481</v>
      </c>
      <c r="J218" t="s">
        <v>630</v>
      </c>
      <c r="K218" t="s">
        <v>631</v>
      </c>
      <c r="L218" t="str">
        <f t="shared" si="6"/>
        <v>Daniel Carney</v>
      </c>
      <c r="M218" t="s">
        <v>1133</v>
      </c>
      <c r="N218" t="s">
        <v>57</v>
      </c>
      <c r="O218" s="1">
        <v>46054</v>
      </c>
      <c r="P218" s="1">
        <v>46235</v>
      </c>
      <c r="Q218" s="2">
        <v>455.3</v>
      </c>
      <c r="R218" t="s">
        <v>58</v>
      </c>
      <c r="S218" s="3">
        <v>0.19</v>
      </c>
      <c r="T218">
        <v>0</v>
      </c>
      <c r="U218" t="s">
        <v>60</v>
      </c>
      <c r="V218" t="s">
        <v>248</v>
      </c>
      <c r="W218">
        <v>0</v>
      </c>
      <c r="X218" s="2">
        <v>0</v>
      </c>
      <c r="Y218" s="2">
        <v>86.51</v>
      </c>
      <c r="Z218" s="2">
        <v>0</v>
      </c>
      <c r="AA218" s="2">
        <v>0</v>
      </c>
      <c r="AB218" s="2">
        <v>0</v>
      </c>
    </row>
    <row r="219" spans="1:28" x14ac:dyDescent="0.25">
      <c r="A219">
        <v>2033183851</v>
      </c>
      <c r="B219" t="s">
        <v>628</v>
      </c>
      <c r="C219" t="s">
        <v>629</v>
      </c>
      <c r="D219" t="str">
        <f t="shared" si="7"/>
        <v>NATHANIEL EPLER</v>
      </c>
      <c r="E219" t="s">
        <v>200</v>
      </c>
      <c r="F219" t="s">
        <v>133</v>
      </c>
      <c r="G219" t="s">
        <v>134</v>
      </c>
      <c r="H219" t="s">
        <v>134</v>
      </c>
      <c r="I219" s="8">
        <v>21749481</v>
      </c>
      <c r="J219" t="s">
        <v>630</v>
      </c>
      <c r="K219" t="s">
        <v>631</v>
      </c>
      <c r="L219" t="str">
        <f t="shared" si="6"/>
        <v>Daniel Carney</v>
      </c>
      <c r="M219" t="s">
        <v>1133</v>
      </c>
      <c r="N219" t="s">
        <v>57</v>
      </c>
      <c r="O219" s="1">
        <v>46054</v>
      </c>
      <c r="P219" s="1">
        <v>46235</v>
      </c>
      <c r="Q219" s="2">
        <v>86.96</v>
      </c>
      <c r="R219" t="s">
        <v>58</v>
      </c>
      <c r="S219" s="4">
        <v>0.375</v>
      </c>
      <c r="T219">
        <v>0</v>
      </c>
      <c r="U219" t="s">
        <v>60</v>
      </c>
      <c r="V219" t="s">
        <v>248</v>
      </c>
      <c r="W219">
        <v>0</v>
      </c>
      <c r="X219" s="2">
        <v>0</v>
      </c>
      <c r="Y219" s="2">
        <v>32.61</v>
      </c>
      <c r="Z219" s="2">
        <v>0</v>
      </c>
      <c r="AA219" s="2">
        <v>0</v>
      </c>
      <c r="AB219" s="2">
        <v>0</v>
      </c>
    </row>
    <row r="220" spans="1:28" x14ac:dyDescent="0.25">
      <c r="A220">
        <v>2033478391</v>
      </c>
      <c r="B220" t="s">
        <v>560</v>
      </c>
      <c r="C220" t="s">
        <v>156</v>
      </c>
      <c r="D220" t="str">
        <f t="shared" si="7"/>
        <v>WENDY REED</v>
      </c>
      <c r="E220" t="s">
        <v>200</v>
      </c>
      <c r="F220" t="s">
        <v>69</v>
      </c>
      <c r="G220" t="s">
        <v>338</v>
      </c>
      <c r="H220" t="s">
        <v>1079</v>
      </c>
      <c r="I220" s="8" t="s">
        <v>1100</v>
      </c>
      <c r="J220" t="s">
        <v>505</v>
      </c>
      <c r="K220" t="s">
        <v>506</v>
      </c>
      <c r="L220" t="str">
        <f t="shared" si="6"/>
        <v>Danna Green</v>
      </c>
      <c r="M220" t="s">
        <v>1134</v>
      </c>
      <c r="N220" t="s">
        <v>57</v>
      </c>
      <c r="O220" s="1">
        <v>46058</v>
      </c>
      <c r="P220" s="1">
        <v>46239</v>
      </c>
      <c r="Q220" s="2">
        <v>48.55</v>
      </c>
      <c r="R220" t="s">
        <v>58</v>
      </c>
      <c r="S220" s="3">
        <v>0.75</v>
      </c>
      <c r="T220">
        <v>0</v>
      </c>
      <c r="U220" t="s">
        <v>60</v>
      </c>
      <c r="V220" t="s">
        <v>248</v>
      </c>
      <c r="W220">
        <v>0</v>
      </c>
      <c r="X220" s="2">
        <v>0</v>
      </c>
      <c r="Y220" s="2">
        <v>36.409999999999997</v>
      </c>
      <c r="Z220" s="2">
        <v>0</v>
      </c>
      <c r="AA220" s="2">
        <v>0</v>
      </c>
      <c r="AB220" s="2">
        <v>0</v>
      </c>
    </row>
    <row r="221" spans="1:28" x14ac:dyDescent="0.25">
      <c r="A221">
        <v>2033235204</v>
      </c>
      <c r="B221" t="s">
        <v>503</v>
      </c>
      <c r="C221" t="s">
        <v>504</v>
      </c>
      <c r="D221" t="str">
        <f t="shared" si="7"/>
        <v>MICHELE WALKER</v>
      </c>
      <c r="E221" t="s">
        <v>200</v>
      </c>
      <c r="F221" t="s">
        <v>69</v>
      </c>
      <c r="G221" t="s">
        <v>338</v>
      </c>
      <c r="H221" t="s">
        <v>1079</v>
      </c>
      <c r="I221" s="8" t="s">
        <v>1098</v>
      </c>
      <c r="J221" t="s">
        <v>505</v>
      </c>
      <c r="K221" t="s">
        <v>506</v>
      </c>
      <c r="L221" t="str">
        <f t="shared" si="6"/>
        <v>Danna Green</v>
      </c>
      <c r="M221" t="s">
        <v>1133</v>
      </c>
      <c r="N221" t="s">
        <v>57</v>
      </c>
      <c r="O221" s="1">
        <v>46054</v>
      </c>
      <c r="P221" s="1">
        <v>46235</v>
      </c>
      <c r="Q221" s="2">
        <v>56.3</v>
      </c>
      <c r="R221" t="s">
        <v>58</v>
      </c>
      <c r="S221" s="3">
        <v>0.75</v>
      </c>
      <c r="T221">
        <v>0</v>
      </c>
      <c r="U221" t="s">
        <v>60</v>
      </c>
      <c r="V221" t="s">
        <v>248</v>
      </c>
      <c r="W221">
        <v>0</v>
      </c>
      <c r="X221" s="2">
        <v>0</v>
      </c>
      <c r="Y221" s="2">
        <v>42.22</v>
      </c>
      <c r="Z221" s="2">
        <v>0</v>
      </c>
      <c r="AA221" s="2">
        <v>0</v>
      </c>
      <c r="AB221" s="2">
        <v>0</v>
      </c>
    </row>
    <row r="222" spans="1:28" x14ac:dyDescent="0.25">
      <c r="A222">
        <v>2034671436</v>
      </c>
      <c r="B222" t="s">
        <v>569</v>
      </c>
      <c r="C222" t="s">
        <v>570</v>
      </c>
      <c r="D222" t="str">
        <f t="shared" si="7"/>
        <v>SELINNA ROBERTS</v>
      </c>
      <c r="E222" t="s">
        <v>200</v>
      </c>
      <c r="F222" t="s">
        <v>69</v>
      </c>
      <c r="G222" t="s">
        <v>79</v>
      </c>
      <c r="H222" t="s">
        <v>1080</v>
      </c>
      <c r="I222" s="8" t="s">
        <v>1100</v>
      </c>
      <c r="J222" t="s">
        <v>505</v>
      </c>
      <c r="K222" t="s">
        <v>506</v>
      </c>
      <c r="L222" t="str">
        <f t="shared" si="6"/>
        <v>Danna Green</v>
      </c>
      <c r="M222" t="s">
        <v>1134</v>
      </c>
      <c r="N222" t="s">
        <v>57</v>
      </c>
      <c r="O222" s="1">
        <v>46108</v>
      </c>
      <c r="P222" s="1">
        <v>46230</v>
      </c>
      <c r="Q222" s="2">
        <v>79.84</v>
      </c>
      <c r="R222" t="s">
        <v>58</v>
      </c>
      <c r="S222" s="3">
        <v>0.9</v>
      </c>
      <c r="T222">
        <v>0</v>
      </c>
      <c r="U222" t="s">
        <v>60</v>
      </c>
      <c r="V222" t="s">
        <v>248</v>
      </c>
      <c r="W222">
        <v>0</v>
      </c>
      <c r="X222" s="2">
        <v>0</v>
      </c>
      <c r="Y222" s="2">
        <v>71.86</v>
      </c>
      <c r="Z222" s="2">
        <v>0</v>
      </c>
      <c r="AA222" s="2">
        <v>0</v>
      </c>
      <c r="AB222" s="2">
        <v>0</v>
      </c>
    </row>
    <row r="223" spans="1:28" x14ac:dyDescent="0.25">
      <c r="A223">
        <v>2033372102</v>
      </c>
      <c r="B223" t="s">
        <v>634</v>
      </c>
      <c r="C223" t="s">
        <v>635</v>
      </c>
      <c r="D223" t="str">
        <f t="shared" si="7"/>
        <v>KIERSTON WHITLOCK</v>
      </c>
      <c r="E223" t="s">
        <v>200</v>
      </c>
      <c r="F223" t="s">
        <v>149</v>
      </c>
      <c r="G223" t="s">
        <v>624</v>
      </c>
      <c r="H223" t="s">
        <v>624</v>
      </c>
      <c r="I223" s="8" t="s">
        <v>1098</v>
      </c>
      <c r="J223" t="s">
        <v>505</v>
      </c>
      <c r="K223" t="s">
        <v>506</v>
      </c>
      <c r="L223" t="str">
        <f t="shared" si="6"/>
        <v>Danna Green</v>
      </c>
      <c r="M223" t="s">
        <v>1133</v>
      </c>
      <c r="N223" t="s">
        <v>57</v>
      </c>
      <c r="O223" s="1">
        <v>46054</v>
      </c>
      <c r="P223" s="1">
        <v>46235</v>
      </c>
      <c r="Q223" s="2">
        <v>15</v>
      </c>
      <c r="R223" t="s">
        <v>58</v>
      </c>
      <c r="S223" s="3">
        <v>0.19</v>
      </c>
      <c r="T223">
        <v>0</v>
      </c>
      <c r="U223" t="s">
        <v>60</v>
      </c>
      <c r="V223" t="s">
        <v>248</v>
      </c>
      <c r="W223">
        <v>0</v>
      </c>
      <c r="X223" s="2">
        <v>0</v>
      </c>
      <c r="Y223" s="2">
        <v>2.85</v>
      </c>
      <c r="Z223" s="2">
        <v>0</v>
      </c>
      <c r="AA223" s="2">
        <v>0</v>
      </c>
      <c r="AB223" s="2">
        <v>0</v>
      </c>
    </row>
    <row r="224" spans="1:28" x14ac:dyDescent="0.25">
      <c r="A224">
        <v>2034671438</v>
      </c>
      <c r="B224" t="s">
        <v>569</v>
      </c>
      <c r="C224" t="s">
        <v>570</v>
      </c>
      <c r="D224" t="str">
        <f t="shared" si="7"/>
        <v>SELINNA ROBERTS</v>
      </c>
      <c r="E224" t="s">
        <v>200</v>
      </c>
      <c r="F224" t="s">
        <v>149</v>
      </c>
      <c r="G224" t="s">
        <v>624</v>
      </c>
      <c r="H224" t="s">
        <v>624</v>
      </c>
      <c r="I224" s="8" t="s">
        <v>1100</v>
      </c>
      <c r="J224" t="s">
        <v>505</v>
      </c>
      <c r="K224" t="s">
        <v>506</v>
      </c>
      <c r="L224" t="str">
        <f t="shared" si="6"/>
        <v>Danna Green</v>
      </c>
      <c r="M224" t="s">
        <v>1134</v>
      </c>
      <c r="N224" t="s">
        <v>57</v>
      </c>
      <c r="O224" s="1">
        <v>46108</v>
      </c>
      <c r="P224" s="1">
        <v>46230</v>
      </c>
      <c r="Q224" s="2">
        <v>15</v>
      </c>
      <c r="R224" t="s">
        <v>58</v>
      </c>
      <c r="S224" s="3">
        <v>0.19</v>
      </c>
      <c r="T224">
        <v>0</v>
      </c>
      <c r="U224" t="s">
        <v>60</v>
      </c>
      <c r="V224" t="s">
        <v>248</v>
      </c>
      <c r="W224">
        <v>0</v>
      </c>
      <c r="X224" s="2">
        <v>0</v>
      </c>
      <c r="Y224" s="2">
        <v>2.85</v>
      </c>
      <c r="Z224" s="2">
        <v>0</v>
      </c>
      <c r="AA224" s="2">
        <v>0</v>
      </c>
      <c r="AB224" s="2">
        <v>0</v>
      </c>
    </row>
    <row r="225" spans="1:28" x14ac:dyDescent="0.25">
      <c r="A225">
        <v>2035188971</v>
      </c>
      <c r="B225" t="s">
        <v>649</v>
      </c>
      <c r="C225" t="s">
        <v>650</v>
      </c>
      <c r="D225" t="str">
        <f t="shared" si="7"/>
        <v>LINDA BARNES</v>
      </c>
      <c r="E225" t="s">
        <v>200</v>
      </c>
      <c r="F225" t="s">
        <v>149</v>
      </c>
      <c r="G225" t="s">
        <v>624</v>
      </c>
      <c r="H225" t="s">
        <v>624</v>
      </c>
      <c r="I225" s="8" t="s">
        <v>1106</v>
      </c>
      <c r="J225" t="s">
        <v>505</v>
      </c>
      <c r="K225" t="s">
        <v>506</v>
      </c>
      <c r="L225" t="str">
        <f t="shared" si="6"/>
        <v>Danna Green</v>
      </c>
      <c r="M225" t="s">
        <v>1134</v>
      </c>
      <c r="N225" t="s">
        <v>57</v>
      </c>
      <c r="O225" s="1">
        <v>46141</v>
      </c>
      <c r="P225" s="1">
        <v>46232</v>
      </c>
      <c r="Q225" s="2">
        <v>15</v>
      </c>
      <c r="R225" t="s">
        <v>58</v>
      </c>
      <c r="S225" s="3">
        <v>0.19</v>
      </c>
      <c r="T225">
        <v>0</v>
      </c>
      <c r="U225" t="s">
        <v>60</v>
      </c>
      <c r="V225" t="s">
        <v>248</v>
      </c>
      <c r="W225">
        <v>0</v>
      </c>
      <c r="X225" s="2">
        <v>0</v>
      </c>
      <c r="Y225" s="2">
        <v>2.85</v>
      </c>
      <c r="Z225" s="2">
        <v>0</v>
      </c>
      <c r="AA225" s="2">
        <v>0</v>
      </c>
      <c r="AB225" s="2">
        <v>0</v>
      </c>
    </row>
    <row r="226" spans="1:28" x14ac:dyDescent="0.25">
      <c r="A226">
        <v>2035666068</v>
      </c>
      <c r="B226" t="s">
        <v>654</v>
      </c>
      <c r="C226" t="s">
        <v>655</v>
      </c>
      <c r="D226" t="str">
        <f t="shared" si="7"/>
        <v>BRENNAN GUILKEY</v>
      </c>
      <c r="E226" t="s">
        <v>200</v>
      </c>
      <c r="F226" t="s">
        <v>149</v>
      </c>
      <c r="G226" t="s">
        <v>624</v>
      </c>
      <c r="H226" t="s">
        <v>624</v>
      </c>
      <c r="I226" s="8" t="s">
        <v>1106</v>
      </c>
      <c r="J226" t="s">
        <v>505</v>
      </c>
      <c r="K226" t="s">
        <v>506</v>
      </c>
      <c r="L226" t="str">
        <f t="shared" si="6"/>
        <v>Danna Green</v>
      </c>
      <c r="M226" t="s">
        <v>1134</v>
      </c>
      <c r="N226" t="s">
        <v>57</v>
      </c>
      <c r="O226" s="1">
        <v>46169</v>
      </c>
      <c r="P226" s="1">
        <v>46230</v>
      </c>
      <c r="Q226" s="2">
        <v>15</v>
      </c>
      <c r="R226" t="s">
        <v>58</v>
      </c>
      <c r="S226" s="3">
        <v>0.19</v>
      </c>
      <c r="T226">
        <v>0</v>
      </c>
      <c r="U226" t="s">
        <v>60</v>
      </c>
      <c r="V226" t="s">
        <v>248</v>
      </c>
      <c r="W226">
        <v>0</v>
      </c>
      <c r="X226" s="2">
        <v>0</v>
      </c>
      <c r="Y226" s="2">
        <v>2.85</v>
      </c>
      <c r="Z226" s="2">
        <v>0</v>
      </c>
      <c r="AA226" s="2">
        <v>0</v>
      </c>
      <c r="AB226" s="2">
        <v>0</v>
      </c>
    </row>
    <row r="227" spans="1:28" x14ac:dyDescent="0.25">
      <c r="A227">
        <v>2034671437</v>
      </c>
      <c r="B227" t="s">
        <v>569</v>
      </c>
      <c r="C227" t="s">
        <v>570</v>
      </c>
      <c r="D227" t="str">
        <f t="shared" si="7"/>
        <v>SELINNA ROBERTS</v>
      </c>
      <c r="E227" t="s">
        <v>200</v>
      </c>
      <c r="F227" t="s">
        <v>237</v>
      </c>
      <c r="G227" t="s">
        <v>858</v>
      </c>
      <c r="H227" t="s">
        <v>1083</v>
      </c>
      <c r="I227" s="8" t="s">
        <v>1098</v>
      </c>
      <c r="J227" t="s">
        <v>505</v>
      </c>
      <c r="K227" t="s">
        <v>506</v>
      </c>
      <c r="L227" t="str">
        <f t="shared" si="6"/>
        <v>Danna Green</v>
      </c>
      <c r="M227" t="s">
        <v>1133</v>
      </c>
      <c r="N227" t="s">
        <v>57</v>
      </c>
      <c r="O227" s="1">
        <v>46108</v>
      </c>
      <c r="P227" s="1">
        <v>46230</v>
      </c>
      <c r="Q227" s="2">
        <v>5</v>
      </c>
      <c r="R227" t="s">
        <v>58</v>
      </c>
      <c r="S227" s="3">
        <v>0.19</v>
      </c>
      <c r="T227">
        <v>0</v>
      </c>
      <c r="U227" t="s">
        <v>60</v>
      </c>
      <c r="V227" t="s">
        <v>248</v>
      </c>
      <c r="W227">
        <v>0</v>
      </c>
      <c r="X227" s="2">
        <v>0</v>
      </c>
      <c r="Y227" s="2">
        <v>0.95</v>
      </c>
      <c r="Z227" s="2">
        <v>0</v>
      </c>
      <c r="AA227" s="2">
        <v>0</v>
      </c>
      <c r="AB227" s="2">
        <v>0</v>
      </c>
    </row>
    <row r="228" spans="1:28" x14ac:dyDescent="0.25">
      <c r="A228">
        <v>2035188970</v>
      </c>
      <c r="B228" t="s">
        <v>649</v>
      </c>
      <c r="C228" t="s">
        <v>650</v>
      </c>
      <c r="D228" t="str">
        <f t="shared" si="7"/>
        <v>LINDA BARNES</v>
      </c>
      <c r="E228" t="s">
        <v>200</v>
      </c>
      <c r="F228" t="s">
        <v>237</v>
      </c>
      <c r="G228" t="s">
        <v>858</v>
      </c>
      <c r="H228" t="s">
        <v>1083</v>
      </c>
      <c r="I228" s="8" t="s">
        <v>1098</v>
      </c>
      <c r="J228" t="s">
        <v>505</v>
      </c>
      <c r="K228" t="s">
        <v>506</v>
      </c>
      <c r="L228" t="str">
        <f t="shared" si="6"/>
        <v>Danna Green</v>
      </c>
      <c r="M228" t="s">
        <v>1133</v>
      </c>
      <c r="N228" t="s">
        <v>57</v>
      </c>
      <c r="O228" s="1">
        <v>46141</v>
      </c>
      <c r="P228" s="1">
        <v>46232</v>
      </c>
      <c r="Q228" s="2">
        <v>9.9499999999999993</v>
      </c>
      <c r="R228" t="s">
        <v>58</v>
      </c>
      <c r="S228" s="3">
        <v>0.19</v>
      </c>
      <c r="T228">
        <v>0</v>
      </c>
      <c r="U228" t="s">
        <v>60</v>
      </c>
      <c r="V228" t="s">
        <v>248</v>
      </c>
      <c r="W228">
        <v>0</v>
      </c>
      <c r="X228" s="2">
        <v>0</v>
      </c>
      <c r="Y228" s="2">
        <v>1.89</v>
      </c>
      <c r="Z228" s="2">
        <v>0</v>
      </c>
      <c r="AA228" s="2">
        <v>0</v>
      </c>
      <c r="AB228" s="2">
        <v>0</v>
      </c>
    </row>
    <row r="229" spans="1:28" x14ac:dyDescent="0.25">
      <c r="A229">
        <v>2033372101</v>
      </c>
      <c r="B229" t="s">
        <v>634</v>
      </c>
      <c r="C229" t="s">
        <v>635</v>
      </c>
      <c r="D229" t="str">
        <f t="shared" si="7"/>
        <v>KIERSTON WHITLOCK</v>
      </c>
      <c r="E229" t="s">
        <v>200</v>
      </c>
      <c r="F229" t="s">
        <v>237</v>
      </c>
      <c r="G229" t="s">
        <v>854</v>
      </c>
      <c r="H229" t="s">
        <v>1083</v>
      </c>
      <c r="I229" s="8" t="s">
        <v>1098</v>
      </c>
      <c r="J229" t="s">
        <v>505</v>
      </c>
      <c r="K229" t="s">
        <v>506</v>
      </c>
      <c r="L229" t="str">
        <f t="shared" si="6"/>
        <v>Danna Green</v>
      </c>
      <c r="M229" t="s">
        <v>1133</v>
      </c>
      <c r="N229" t="s">
        <v>57</v>
      </c>
      <c r="O229" s="1">
        <v>46054</v>
      </c>
      <c r="P229" s="1">
        <v>46235</v>
      </c>
      <c r="Q229" s="2">
        <v>164.97</v>
      </c>
      <c r="R229" t="s">
        <v>58</v>
      </c>
      <c r="S229" s="3">
        <v>0.19</v>
      </c>
      <c r="T229">
        <v>0</v>
      </c>
      <c r="U229" t="s">
        <v>60</v>
      </c>
      <c r="V229" t="s">
        <v>248</v>
      </c>
      <c r="W229">
        <v>0</v>
      </c>
      <c r="X229" s="2">
        <v>0</v>
      </c>
      <c r="Y229" s="2">
        <v>31.34</v>
      </c>
      <c r="Z229" s="2">
        <v>0</v>
      </c>
      <c r="AA229" s="2">
        <v>0</v>
      </c>
      <c r="AB229" s="2">
        <v>0</v>
      </c>
    </row>
    <row r="230" spans="1:28" x14ac:dyDescent="0.25">
      <c r="A230">
        <v>2035666067</v>
      </c>
      <c r="B230" t="s">
        <v>654</v>
      </c>
      <c r="C230" t="s">
        <v>655</v>
      </c>
      <c r="D230" t="str">
        <f t="shared" si="7"/>
        <v>BRENNAN GUILKEY</v>
      </c>
      <c r="E230" t="s">
        <v>200</v>
      </c>
      <c r="F230" t="s">
        <v>237</v>
      </c>
      <c r="G230" t="s">
        <v>855</v>
      </c>
      <c r="H230" t="s">
        <v>1083</v>
      </c>
      <c r="I230" s="8">
        <v>16849453</v>
      </c>
      <c r="J230" t="s">
        <v>505</v>
      </c>
      <c r="K230" t="s">
        <v>506</v>
      </c>
      <c r="L230" t="str">
        <f t="shared" si="6"/>
        <v>Danna Green</v>
      </c>
      <c r="M230" t="s">
        <v>1133</v>
      </c>
      <c r="N230" t="s">
        <v>57</v>
      </c>
      <c r="O230" s="1">
        <v>46169</v>
      </c>
      <c r="P230" s="1">
        <v>46230</v>
      </c>
      <c r="Q230" s="2">
        <v>202.27</v>
      </c>
      <c r="R230" t="s">
        <v>58</v>
      </c>
      <c r="S230" s="3">
        <v>0.19</v>
      </c>
      <c r="T230">
        <v>0</v>
      </c>
      <c r="U230" t="s">
        <v>60</v>
      </c>
      <c r="V230" t="s">
        <v>248</v>
      </c>
      <c r="W230">
        <v>0</v>
      </c>
      <c r="X230" s="2">
        <v>0</v>
      </c>
      <c r="Y230" s="2">
        <v>38.43</v>
      </c>
      <c r="Z230" s="2">
        <v>0</v>
      </c>
      <c r="AA230" s="2">
        <v>0</v>
      </c>
      <c r="AB230" s="2">
        <v>0</v>
      </c>
    </row>
    <row r="231" spans="1:28" x14ac:dyDescent="0.25">
      <c r="A231">
        <v>2034671434</v>
      </c>
      <c r="B231" t="s">
        <v>569</v>
      </c>
      <c r="C231" t="s">
        <v>570</v>
      </c>
      <c r="D231" t="str">
        <f t="shared" si="7"/>
        <v>SELINNA ROBERTS</v>
      </c>
      <c r="E231" t="s">
        <v>200</v>
      </c>
      <c r="F231" t="s">
        <v>237</v>
      </c>
      <c r="G231" t="s">
        <v>854</v>
      </c>
      <c r="H231" t="s">
        <v>1083</v>
      </c>
      <c r="I231" s="8" t="s">
        <v>1098</v>
      </c>
      <c r="J231" t="s">
        <v>505</v>
      </c>
      <c r="K231" t="s">
        <v>506</v>
      </c>
      <c r="L231" t="str">
        <f t="shared" si="6"/>
        <v>Danna Green</v>
      </c>
      <c r="M231" t="s">
        <v>1133</v>
      </c>
      <c r="N231" t="s">
        <v>57</v>
      </c>
      <c r="O231" s="1">
        <v>46108</v>
      </c>
      <c r="P231" s="1">
        <v>46230</v>
      </c>
      <c r="Q231" s="2">
        <v>588.17999999999995</v>
      </c>
      <c r="R231" t="s">
        <v>58</v>
      </c>
      <c r="S231" s="3">
        <v>0.19</v>
      </c>
      <c r="T231">
        <v>0</v>
      </c>
      <c r="U231" t="s">
        <v>60</v>
      </c>
      <c r="V231" t="s">
        <v>248</v>
      </c>
      <c r="W231">
        <v>0</v>
      </c>
      <c r="X231" s="2">
        <v>0</v>
      </c>
      <c r="Y231" s="2">
        <v>111.75</v>
      </c>
      <c r="Z231" s="2">
        <v>0</v>
      </c>
      <c r="AA231" s="2">
        <v>0</v>
      </c>
      <c r="AB231" s="2">
        <v>0</v>
      </c>
    </row>
    <row r="232" spans="1:28" x14ac:dyDescent="0.25">
      <c r="A232">
        <v>2035188972</v>
      </c>
      <c r="B232" t="s">
        <v>649</v>
      </c>
      <c r="C232" t="s">
        <v>650</v>
      </c>
      <c r="D232" t="str">
        <f t="shared" si="7"/>
        <v>LINDA BARNES</v>
      </c>
      <c r="E232" t="s">
        <v>200</v>
      </c>
      <c r="F232" t="s">
        <v>237</v>
      </c>
      <c r="G232" t="s">
        <v>854</v>
      </c>
      <c r="H232" t="s">
        <v>1083</v>
      </c>
      <c r="I232" s="8" t="s">
        <v>1098</v>
      </c>
      <c r="J232" t="s">
        <v>505</v>
      </c>
      <c r="K232" t="s">
        <v>506</v>
      </c>
      <c r="L232" t="str">
        <f t="shared" si="6"/>
        <v>Danna Green</v>
      </c>
      <c r="M232" t="s">
        <v>1133</v>
      </c>
      <c r="N232" t="s">
        <v>57</v>
      </c>
      <c r="O232" s="1">
        <v>46141</v>
      </c>
      <c r="P232" s="1">
        <v>46232</v>
      </c>
      <c r="Q232" s="2">
        <v>1891.04</v>
      </c>
      <c r="R232" t="s">
        <v>58</v>
      </c>
      <c r="S232" s="3">
        <v>0.19</v>
      </c>
      <c r="T232">
        <v>0</v>
      </c>
      <c r="U232" t="s">
        <v>60</v>
      </c>
      <c r="V232" t="s">
        <v>248</v>
      </c>
      <c r="W232">
        <v>0</v>
      </c>
      <c r="X232" s="2">
        <v>0</v>
      </c>
      <c r="Y232" s="2">
        <v>359.3</v>
      </c>
      <c r="Z232" s="2">
        <v>0</v>
      </c>
      <c r="AA232" s="2">
        <v>0</v>
      </c>
      <c r="AB232" s="2">
        <v>0</v>
      </c>
    </row>
    <row r="233" spans="1:28" x14ac:dyDescent="0.25">
      <c r="A233">
        <v>2033478392</v>
      </c>
      <c r="B233" t="s">
        <v>560</v>
      </c>
      <c r="C233" t="s">
        <v>156</v>
      </c>
      <c r="D233" t="str">
        <f t="shared" si="7"/>
        <v>WENDY REED</v>
      </c>
      <c r="E233" t="s">
        <v>200</v>
      </c>
      <c r="F233" t="s">
        <v>194</v>
      </c>
      <c r="G233" t="s">
        <v>195</v>
      </c>
      <c r="H233" t="s">
        <v>195</v>
      </c>
      <c r="I233" s="8" t="s">
        <v>1100</v>
      </c>
      <c r="J233" t="s">
        <v>505</v>
      </c>
      <c r="K233" t="s">
        <v>506</v>
      </c>
      <c r="L233" t="str">
        <f t="shared" si="6"/>
        <v>Danna Green</v>
      </c>
      <c r="M233" t="s">
        <v>1134</v>
      </c>
      <c r="N233" t="s">
        <v>57</v>
      </c>
      <c r="O233" s="1">
        <v>46058</v>
      </c>
      <c r="P233" s="1">
        <v>46239</v>
      </c>
      <c r="Q233" s="2">
        <v>36.76</v>
      </c>
      <c r="R233" t="s">
        <v>58</v>
      </c>
      <c r="S233" s="3">
        <v>0.7</v>
      </c>
      <c r="T233">
        <v>0</v>
      </c>
      <c r="U233" t="s">
        <v>60</v>
      </c>
      <c r="V233" t="s">
        <v>248</v>
      </c>
      <c r="W233">
        <v>0</v>
      </c>
      <c r="X233" s="2">
        <v>0</v>
      </c>
      <c r="Y233" s="2">
        <v>25.73</v>
      </c>
      <c r="Z233" s="2">
        <v>0</v>
      </c>
      <c r="AA233" s="2">
        <v>0</v>
      </c>
      <c r="AB233" s="2">
        <v>0</v>
      </c>
    </row>
    <row r="234" spans="1:28" x14ac:dyDescent="0.25">
      <c r="A234">
        <v>2034671435</v>
      </c>
      <c r="B234" t="s">
        <v>569</v>
      </c>
      <c r="C234" t="s">
        <v>570</v>
      </c>
      <c r="D234" t="str">
        <f t="shared" si="7"/>
        <v>SELINNA ROBERTS</v>
      </c>
      <c r="E234" t="s">
        <v>200</v>
      </c>
      <c r="F234" t="s">
        <v>194</v>
      </c>
      <c r="G234" t="s">
        <v>195</v>
      </c>
      <c r="H234" t="s">
        <v>195</v>
      </c>
      <c r="I234" s="8" t="s">
        <v>1100</v>
      </c>
      <c r="J234" t="s">
        <v>505</v>
      </c>
      <c r="K234" t="s">
        <v>506</v>
      </c>
      <c r="L234" t="str">
        <f t="shared" si="6"/>
        <v>Danna Green</v>
      </c>
      <c r="M234" t="s">
        <v>1134</v>
      </c>
      <c r="N234" t="s">
        <v>57</v>
      </c>
      <c r="O234" s="1">
        <v>46108</v>
      </c>
      <c r="P234" s="1">
        <v>46230</v>
      </c>
      <c r="Q234" s="2">
        <v>37.700000000000003</v>
      </c>
      <c r="R234" t="s">
        <v>58</v>
      </c>
      <c r="S234" s="3">
        <v>0.7</v>
      </c>
      <c r="T234">
        <v>0</v>
      </c>
      <c r="U234" t="s">
        <v>60</v>
      </c>
      <c r="V234" t="s">
        <v>248</v>
      </c>
      <c r="W234">
        <v>0</v>
      </c>
      <c r="X234" s="2">
        <v>0</v>
      </c>
      <c r="Y234" s="2">
        <v>26.39</v>
      </c>
      <c r="Z234" s="2">
        <v>0</v>
      </c>
      <c r="AA234" s="2">
        <v>0</v>
      </c>
      <c r="AB234" s="2">
        <v>0</v>
      </c>
    </row>
    <row r="235" spans="1:28" x14ac:dyDescent="0.25">
      <c r="A235">
        <v>2021160584</v>
      </c>
      <c r="B235" t="s">
        <v>866</v>
      </c>
      <c r="C235" t="s">
        <v>605</v>
      </c>
      <c r="D235" t="str">
        <f t="shared" si="7"/>
        <v>KIMBERLY WHIGHAM</v>
      </c>
      <c r="E235" t="s">
        <v>52</v>
      </c>
      <c r="F235" t="s">
        <v>240</v>
      </c>
      <c r="G235" t="s">
        <v>865</v>
      </c>
      <c r="H235" t="s">
        <v>865</v>
      </c>
      <c r="I235" s="8">
        <v>17528908</v>
      </c>
      <c r="J235" t="s">
        <v>674</v>
      </c>
      <c r="K235" t="s">
        <v>638</v>
      </c>
      <c r="L235" t="str">
        <f t="shared" si="6"/>
        <v>DEBORAH INSKIPT</v>
      </c>
      <c r="M235" t="s">
        <v>1133</v>
      </c>
      <c r="N235" t="s">
        <v>57</v>
      </c>
      <c r="O235" s="1">
        <v>45292</v>
      </c>
      <c r="P235" s="1">
        <v>46204</v>
      </c>
      <c r="Q235" s="2">
        <v>67.180000000000007</v>
      </c>
      <c r="R235" t="s">
        <v>58</v>
      </c>
      <c r="S235" s="4">
        <v>5.2499999999999998E-2</v>
      </c>
      <c r="T235">
        <v>0</v>
      </c>
      <c r="U235" t="s">
        <v>247</v>
      </c>
      <c r="V235" t="s">
        <v>248</v>
      </c>
      <c r="W235">
        <v>0</v>
      </c>
      <c r="X235" s="2">
        <v>0</v>
      </c>
      <c r="Y235" s="2">
        <v>3.53</v>
      </c>
      <c r="Z235" s="2">
        <v>3.53</v>
      </c>
      <c r="AA235" s="2">
        <v>3.53</v>
      </c>
      <c r="AB235" s="2">
        <v>0</v>
      </c>
    </row>
    <row r="236" spans="1:28" x14ac:dyDescent="0.25">
      <c r="A236">
        <v>2022400180</v>
      </c>
      <c r="B236" t="s">
        <v>867</v>
      </c>
      <c r="C236" t="s">
        <v>868</v>
      </c>
      <c r="D236" t="str">
        <f t="shared" si="7"/>
        <v>AMIE GEHRON</v>
      </c>
      <c r="E236" t="s">
        <v>52</v>
      </c>
      <c r="F236" t="s">
        <v>240</v>
      </c>
      <c r="G236" t="s">
        <v>865</v>
      </c>
      <c r="H236" t="s">
        <v>865</v>
      </c>
      <c r="I236" s="8">
        <v>17528908</v>
      </c>
      <c r="J236" t="s">
        <v>674</v>
      </c>
      <c r="K236" t="s">
        <v>638</v>
      </c>
      <c r="L236" t="str">
        <f t="shared" si="6"/>
        <v>DEBORAH INSKIPT</v>
      </c>
      <c r="M236" t="s">
        <v>1133</v>
      </c>
      <c r="N236" t="s">
        <v>57</v>
      </c>
      <c r="O236" s="1">
        <v>45374</v>
      </c>
      <c r="P236" s="1">
        <v>46226</v>
      </c>
      <c r="Q236" s="2">
        <v>43.59</v>
      </c>
      <c r="R236" t="s">
        <v>58</v>
      </c>
      <c r="S236" s="4">
        <v>5.2499999999999998E-2</v>
      </c>
      <c r="T236">
        <v>0</v>
      </c>
      <c r="U236" t="s">
        <v>247</v>
      </c>
      <c r="V236" t="s">
        <v>248</v>
      </c>
      <c r="W236">
        <v>0</v>
      </c>
      <c r="X236" s="2">
        <v>0</v>
      </c>
      <c r="Y236" s="2">
        <v>2.29</v>
      </c>
      <c r="Z236" s="2">
        <v>2.29</v>
      </c>
      <c r="AA236" s="2">
        <v>2.29</v>
      </c>
      <c r="AB236" s="2">
        <v>0</v>
      </c>
    </row>
    <row r="237" spans="1:28" x14ac:dyDescent="0.25">
      <c r="A237">
        <v>2024084590</v>
      </c>
      <c r="B237" t="s">
        <v>446</v>
      </c>
      <c r="C237" t="s">
        <v>871</v>
      </c>
      <c r="D237" t="str">
        <f t="shared" si="7"/>
        <v>HENRY MILLER</v>
      </c>
      <c r="E237" t="s">
        <v>52</v>
      </c>
      <c r="F237" t="s">
        <v>240</v>
      </c>
      <c r="G237" t="s">
        <v>865</v>
      </c>
      <c r="H237" t="s">
        <v>865</v>
      </c>
      <c r="I237" s="8">
        <v>17528908</v>
      </c>
      <c r="J237" t="s">
        <v>674</v>
      </c>
      <c r="K237" t="s">
        <v>638</v>
      </c>
      <c r="L237" t="str">
        <f t="shared" si="6"/>
        <v>DEBORAH INSKIPT</v>
      </c>
      <c r="M237" t="s">
        <v>1133</v>
      </c>
      <c r="N237" t="s">
        <v>57</v>
      </c>
      <c r="O237" s="1">
        <v>45499</v>
      </c>
      <c r="P237" s="1">
        <v>46229</v>
      </c>
      <c r="Q237" s="2">
        <v>43.59</v>
      </c>
      <c r="R237" t="s">
        <v>58</v>
      </c>
      <c r="S237" s="4">
        <v>5.2499999999999998E-2</v>
      </c>
      <c r="T237">
        <v>0</v>
      </c>
      <c r="U237" t="s">
        <v>247</v>
      </c>
      <c r="V237" t="s">
        <v>248</v>
      </c>
      <c r="W237">
        <v>0</v>
      </c>
      <c r="X237" s="2">
        <v>0</v>
      </c>
      <c r="Y237" s="2">
        <v>2.29</v>
      </c>
      <c r="Z237" s="2">
        <v>2.29</v>
      </c>
      <c r="AA237" s="2">
        <v>2.29</v>
      </c>
      <c r="AB237" s="2">
        <v>0</v>
      </c>
    </row>
    <row r="238" spans="1:28" x14ac:dyDescent="0.25">
      <c r="A238">
        <v>2021403980</v>
      </c>
      <c r="B238" t="s">
        <v>673</v>
      </c>
      <c r="C238" t="s">
        <v>207</v>
      </c>
      <c r="D238" t="str">
        <f t="shared" si="7"/>
        <v>BRIAN COFFMAN</v>
      </c>
      <c r="E238" t="s">
        <v>52</v>
      </c>
      <c r="F238" t="s">
        <v>133</v>
      </c>
      <c r="G238" t="s">
        <v>134</v>
      </c>
      <c r="H238" t="s">
        <v>134</v>
      </c>
      <c r="I238" s="8">
        <v>17528908</v>
      </c>
      <c r="J238" t="s">
        <v>674</v>
      </c>
      <c r="K238" t="s">
        <v>638</v>
      </c>
      <c r="L238" t="str">
        <f t="shared" si="6"/>
        <v>DEBORAH INSKIPT</v>
      </c>
      <c r="M238" t="s">
        <v>1133</v>
      </c>
      <c r="N238" t="s">
        <v>57</v>
      </c>
      <c r="O238" s="1">
        <v>45323</v>
      </c>
      <c r="P238" s="1">
        <v>46235</v>
      </c>
      <c r="Q238" s="2">
        <v>49.98</v>
      </c>
      <c r="R238" t="s">
        <v>58</v>
      </c>
      <c r="S238" s="3">
        <v>0.06</v>
      </c>
      <c r="T238">
        <v>0</v>
      </c>
      <c r="U238" t="s">
        <v>247</v>
      </c>
      <c r="V238" t="s">
        <v>248</v>
      </c>
      <c r="W238">
        <v>0</v>
      </c>
      <c r="X238" s="2">
        <v>0</v>
      </c>
      <c r="Y238" s="2">
        <v>3</v>
      </c>
      <c r="Z238" s="2">
        <v>3</v>
      </c>
      <c r="AA238" s="2">
        <v>3</v>
      </c>
      <c r="AB238" s="2">
        <v>0</v>
      </c>
    </row>
    <row r="239" spans="1:28" x14ac:dyDescent="0.25">
      <c r="A239">
        <v>2023231878</v>
      </c>
      <c r="B239" t="s">
        <v>682</v>
      </c>
      <c r="C239" t="s">
        <v>683</v>
      </c>
      <c r="D239" t="str">
        <f t="shared" si="7"/>
        <v>ADELYNE BEJJANI</v>
      </c>
      <c r="E239" t="s">
        <v>52</v>
      </c>
      <c r="F239" t="s">
        <v>133</v>
      </c>
      <c r="G239" t="s">
        <v>134</v>
      </c>
      <c r="H239" t="s">
        <v>134</v>
      </c>
      <c r="I239" s="8">
        <v>17528908</v>
      </c>
      <c r="J239" t="s">
        <v>674</v>
      </c>
      <c r="K239" t="s">
        <v>638</v>
      </c>
      <c r="L239" t="str">
        <f t="shared" si="6"/>
        <v>DEBORAH INSKIPT</v>
      </c>
      <c r="M239" t="s">
        <v>1133</v>
      </c>
      <c r="N239" t="s">
        <v>57</v>
      </c>
      <c r="O239" s="1">
        <v>45444</v>
      </c>
      <c r="P239" s="1">
        <v>46235</v>
      </c>
      <c r="Q239" s="2">
        <v>49.12</v>
      </c>
      <c r="R239" t="s">
        <v>58</v>
      </c>
      <c r="S239" s="3">
        <v>0.06</v>
      </c>
      <c r="T239">
        <v>0</v>
      </c>
      <c r="U239" t="s">
        <v>247</v>
      </c>
      <c r="V239" t="s">
        <v>248</v>
      </c>
      <c r="W239">
        <v>0</v>
      </c>
      <c r="X239" s="2">
        <v>0</v>
      </c>
      <c r="Y239" s="2">
        <v>2.95</v>
      </c>
      <c r="Z239" s="2">
        <v>2.95</v>
      </c>
      <c r="AA239" s="2">
        <v>2.95</v>
      </c>
      <c r="AB239" s="2">
        <v>0</v>
      </c>
    </row>
    <row r="240" spans="1:28" x14ac:dyDescent="0.25">
      <c r="A240">
        <v>2027406567</v>
      </c>
      <c r="B240" t="s">
        <v>1032</v>
      </c>
      <c r="C240" t="s">
        <v>1033</v>
      </c>
      <c r="D240" t="str">
        <f t="shared" si="7"/>
        <v>DEVIN LARSEN</v>
      </c>
      <c r="E240" t="s">
        <v>89</v>
      </c>
      <c r="F240" t="s">
        <v>194</v>
      </c>
      <c r="G240" t="s">
        <v>195</v>
      </c>
      <c r="H240" t="s">
        <v>195</v>
      </c>
      <c r="I240" s="8">
        <v>17301495</v>
      </c>
      <c r="J240" t="s">
        <v>1034</v>
      </c>
      <c r="K240" t="s">
        <v>128</v>
      </c>
      <c r="L240" t="str">
        <f t="shared" si="6"/>
        <v>ESTHER HERRERA-LARSEN</v>
      </c>
      <c r="M240" t="s">
        <v>1133</v>
      </c>
      <c r="N240" t="s">
        <v>57</v>
      </c>
      <c r="O240" s="1">
        <v>45715</v>
      </c>
      <c r="P240" s="1">
        <v>46230</v>
      </c>
      <c r="Q240" s="2">
        <v>101.22</v>
      </c>
      <c r="R240" t="s">
        <v>58</v>
      </c>
      <c r="S240" s="3">
        <v>0.15</v>
      </c>
      <c r="T240">
        <v>0</v>
      </c>
      <c r="U240" t="s">
        <v>247</v>
      </c>
      <c r="V240" t="s">
        <v>248</v>
      </c>
      <c r="W240">
        <v>0</v>
      </c>
      <c r="X240" s="2">
        <v>0</v>
      </c>
      <c r="Y240" s="2">
        <v>15.18</v>
      </c>
      <c r="Z240" s="2">
        <v>15.18</v>
      </c>
      <c r="AA240" s="2">
        <v>15.18</v>
      </c>
      <c r="AB240" s="2">
        <v>0</v>
      </c>
    </row>
    <row r="241" spans="1:28" x14ac:dyDescent="0.25">
      <c r="A241">
        <v>2033178948</v>
      </c>
      <c r="B241" t="s">
        <v>488</v>
      </c>
      <c r="C241" t="s">
        <v>489</v>
      </c>
      <c r="D241" t="str">
        <f t="shared" si="7"/>
        <v>AARON MORALES</v>
      </c>
      <c r="E241" t="s">
        <v>89</v>
      </c>
      <c r="F241" t="s">
        <v>69</v>
      </c>
      <c r="G241" t="s">
        <v>70</v>
      </c>
      <c r="H241" t="s">
        <v>1079</v>
      </c>
      <c r="I241" s="8" t="s">
        <v>1096</v>
      </c>
      <c r="J241" t="s">
        <v>490</v>
      </c>
      <c r="K241" t="s">
        <v>491</v>
      </c>
      <c r="L241" t="str">
        <f t="shared" si="6"/>
        <v>FRANK LISKOVEC</v>
      </c>
      <c r="M241" t="s">
        <v>1134</v>
      </c>
      <c r="N241" t="s">
        <v>57</v>
      </c>
      <c r="O241" s="1">
        <v>46054</v>
      </c>
      <c r="P241" s="1">
        <v>46235</v>
      </c>
      <c r="Q241" s="2">
        <v>20.75</v>
      </c>
      <c r="R241" t="s">
        <v>58</v>
      </c>
      <c r="S241" s="3">
        <v>0.75</v>
      </c>
      <c r="T241">
        <v>0</v>
      </c>
      <c r="U241" t="s">
        <v>60</v>
      </c>
      <c r="V241" t="s">
        <v>248</v>
      </c>
      <c r="W241">
        <v>0</v>
      </c>
      <c r="X241" s="2">
        <v>0</v>
      </c>
      <c r="Y241" s="2">
        <v>15.56</v>
      </c>
      <c r="Z241" s="2">
        <v>0</v>
      </c>
      <c r="AA241" s="2">
        <v>0</v>
      </c>
      <c r="AB241" s="2">
        <v>0</v>
      </c>
    </row>
    <row r="242" spans="1:28" x14ac:dyDescent="0.25">
      <c r="A242">
        <v>2033385849</v>
      </c>
      <c r="B242" t="s">
        <v>541</v>
      </c>
      <c r="C242" t="s">
        <v>542</v>
      </c>
      <c r="D242" t="str">
        <f t="shared" si="7"/>
        <v>KRISTY KLADZYK</v>
      </c>
      <c r="E242" t="s">
        <v>89</v>
      </c>
      <c r="F242" t="s">
        <v>69</v>
      </c>
      <c r="G242" t="s">
        <v>70</v>
      </c>
      <c r="H242" t="s">
        <v>1079</v>
      </c>
      <c r="I242" s="8" t="s">
        <v>1096</v>
      </c>
      <c r="J242" t="s">
        <v>490</v>
      </c>
      <c r="K242" t="s">
        <v>491</v>
      </c>
      <c r="L242" t="str">
        <f t="shared" si="6"/>
        <v>FRANK LISKOVEC</v>
      </c>
      <c r="M242" t="s">
        <v>1134</v>
      </c>
      <c r="N242" t="s">
        <v>57</v>
      </c>
      <c r="O242" s="1">
        <v>46054</v>
      </c>
      <c r="P242" s="1">
        <v>46235</v>
      </c>
      <c r="Q242" s="2">
        <v>35.58</v>
      </c>
      <c r="R242" t="s">
        <v>58</v>
      </c>
      <c r="S242" s="3">
        <v>0.75</v>
      </c>
      <c r="T242">
        <v>0</v>
      </c>
      <c r="U242" t="s">
        <v>60</v>
      </c>
      <c r="V242" t="s">
        <v>248</v>
      </c>
      <c r="W242">
        <v>0</v>
      </c>
      <c r="X242" s="2">
        <v>0</v>
      </c>
      <c r="Y242" s="2">
        <v>26.68</v>
      </c>
      <c r="Z242" s="2">
        <v>0</v>
      </c>
      <c r="AA242" s="2">
        <v>0</v>
      </c>
      <c r="AB242" s="2">
        <v>0</v>
      </c>
    </row>
    <row r="243" spans="1:28" x14ac:dyDescent="0.25">
      <c r="A243">
        <v>2033178946</v>
      </c>
      <c r="B243" t="s">
        <v>488</v>
      </c>
      <c r="C243" t="s">
        <v>489</v>
      </c>
      <c r="D243" t="str">
        <f t="shared" si="7"/>
        <v>AARON MORALES</v>
      </c>
      <c r="E243" t="s">
        <v>89</v>
      </c>
      <c r="F243" t="s">
        <v>194</v>
      </c>
      <c r="G243" t="s">
        <v>228</v>
      </c>
      <c r="H243" t="s">
        <v>228</v>
      </c>
      <c r="I243" s="8" t="s">
        <v>1096</v>
      </c>
      <c r="J243" t="s">
        <v>490</v>
      </c>
      <c r="K243" t="s">
        <v>491</v>
      </c>
      <c r="L243" t="str">
        <f t="shared" si="6"/>
        <v>FRANK LISKOVEC</v>
      </c>
      <c r="M243" t="s">
        <v>1134</v>
      </c>
      <c r="N243" t="s">
        <v>57</v>
      </c>
      <c r="O243" s="1">
        <v>46054</v>
      </c>
      <c r="P243" s="1">
        <v>46235</v>
      </c>
      <c r="Q243" s="2">
        <v>25.08</v>
      </c>
      <c r="R243" t="s">
        <v>58</v>
      </c>
      <c r="S243" s="3">
        <v>0.42</v>
      </c>
      <c r="T243">
        <v>0</v>
      </c>
      <c r="U243" t="s">
        <v>60</v>
      </c>
      <c r="V243" t="s">
        <v>248</v>
      </c>
      <c r="W243">
        <v>0</v>
      </c>
      <c r="X243" s="2">
        <v>0</v>
      </c>
      <c r="Y243" s="2">
        <v>10.53</v>
      </c>
      <c r="Z243" s="2">
        <v>0</v>
      </c>
      <c r="AA243" s="2">
        <v>0</v>
      </c>
      <c r="AB243" s="2">
        <v>0</v>
      </c>
    </row>
    <row r="244" spans="1:28" x14ac:dyDescent="0.25">
      <c r="A244">
        <v>2033339736</v>
      </c>
      <c r="B244" t="s">
        <v>787</v>
      </c>
      <c r="C244" t="s">
        <v>788</v>
      </c>
      <c r="D244" t="str">
        <f t="shared" si="7"/>
        <v>DANA FISCHER</v>
      </c>
      <c r="E244" t="s">
        <v>89</v>
      </c>
      <c r="F244" t="s">
        <v>194</v>
      </c>
      <c r="G244" t="s">
        <v>228</v>
      </c>
      <c r="H244" t="s">
        <v>228</v>
      </c>
      <c r="I244" s="8" t="s">
        <v>1096</v>
      </c>
      <c r="J244" t="s">
        <v>490</v>
      </c>
      <c r="K244" t="s">
        <v>491</v>
      </c>
      <c r="L244" t="str">
        <f t="shared" si="6"/>
        <v>FRANK LISKOVEC</v>
      </c>
      <c r="M244" t="s">
        <v>1134</v>
      </c>
      <c r="N244" t="s">
        <v>57</v>
      </c>
      <c r="O244" s="1">
        <v>46054</v>
      </c>
      <c r="P244" s="1">
        <v>46235</v>
      </c>
      <c r="Q244" s="2">
        <v>25.08</v>
      </c>
      <c r="R244" t="s">
        <v>58</v>
      </c>
      <c r="S244" s="3">
        <v>0.42</v>
      </c>
      <c r="T244">
        <v>0</v>
      </c>
      <c r="U244" t="s">
        <v>60</v>
      </c>
      <c r="V244" t="s">
        <v>248</v>
      </c>
      <c r="W244">
        <v>0</v>
      </c>
      <c r="X244" s="2">
        <v>0</v>
      </c>
      <c r="Y244" s="2">
        <v>10.53</v>
      </c>
      <c r="Z244" s="2">
        <v>0</v>
      </c>
      <c r="AA244" s="2">
        <v>0</v>
      </c>
      <c r="AB244" s="2">
        <v>0</v>
      </c>
    </row>
    <row r="245" spans="1:28" x14ac:dyDescent="0.25">
      <c r="A245">
        <v>2026838333</v>
      </c>
      <c r="B245" t="s">
        <v>921</v>
      </c>
      <c r="C245" t="s">
        <v>922</v>
      </c>
      <c r="D245" t="str">
        <f t="shared" si="7"/>
        <v>KEVIN KINCAID</v>
      </c>
      <c r="E245" t="s">
        <v>89</v>
      </c>
      <c r="F245" t="s">
        <v>194</v>
      </c>
      <c r="G245" t="s">
        <v>195</v>
      </c>
      <c r="H245" t="s">
        <v>195</v>
      </c>
      <c r="I245" s="8">
        <v>8814784</v>
      </c>
      <c r="J245" t="s">
        <v>490</v>
      </c>
      <c r="K245" t="s">
        <v>491</v>
      </c>
      <c r="L245" t="str">
        <f t="shared" si="6"/>
        <v>FRANK LISKOVEC</v>
      </c>
      <c r="M245" t="s">
        <v>1133</v>
      </c>
      <c r="N245" t="s">
        <v>57</v>
      </c>
      <c r="O245" s="1">
        <v>45689</v>
      </c>
      <c r="P245" s="1">
        <v>46235</v>
      </c>
      <c r="Q245" s="2">
        <v>248.47</v>
      </c>
      <c r="R245" t="s">
        <v>58</v>
      </c>
      <c r="S245" s="3">
        <v>0.15</v>
      </c>
      <c r="T245">
        <v>0</v>
      </c>
      <c r="U245" t="s">
        <v>247</v>
      </c>
      <c r="V245" t="s">
        <v>248</v>
      </c>
      <c r="W245">
        <v>0</v>
      </c>
      <c r="X245" s="2">
        <v>0</v>
      </c>
      <c r="Y245" s="2">
        <v>37.270000000000003</v>
      </c>
      <c r="Z245" s="2">
        <v>37.270000000000003</v>
      </c>
      <c r="AA245" s="2">
        <v>37.270000000000003</v>
      </c>
      <c r="AB245" s="2">
        <v>0</v>
      </c>
    </row>
    <row r="246" spans="1:28" x14ac:dyDescent="0.25">
      <c r="A246">
        <v>2033178947</v>
      </c>
      <c r="B246" t="s">
        <v>488</v>
      </c>
      <c r="C246" t="s">
        <v>489</v>
      </c>
      <c r="D246" t="str">
        <f t="shared" si="7"/>
        <v>AARON MORALES</v>
      </c>
      <c r="E246" t="s">
        <v>89</v>
      </c>
      <c r="F246" t="s">
        <v>194</v>
      </c>
      <c r="G246" t="s">
        <v>195</v>
      </c>
      <c r="H246" t="s">
        <v>195</v>
      </c>
      <c r="I246" s="8" t="s">
        <v>1096</v>
      </c>
      <c r="J246" t="s">
        <v>490</v>
      </c>
      <c r="K246" t="s">
        <v>491</v>
      </c>
      <c r="L246" t="str">
        <f t="shared" si="6"/>
        <v>FRANK LISKOVEC</v>
      </c>
      <c r="M246" t="s">
        <v>1134</v>
      </c>
      <c r="N246" t="s">
        <v>57</v>
      </c>
      <c r="O246" s="1">
        <v>46054</v>
      </c>
      <c r="P246" s="1">
        <v>46235</v>
      </c>
      <c r="Q246" s="2">
        <v>33.119999999999997</v>
      </c>
      <c r="R246" t="s">
        <v>58</v>
      </c>
      <c r="S246" s="3">
        <v>0.7</v>
      </c>
      <c r="T246">
        <v>0</v>
      </c>
      <c r="U246" t="s">
        <v>60</v>
      </c>
      <c r="V246" t="s">
        <v>248</v>
      </c>
      <c r="W246">
        <v>0</v>
      </c>
      <c r="X246" s="2">
        <v>0</v>
      </c>
      <c r="Y246" s="2">
        <v>23.18</v>
      </c>
      <c r="Z246" s="2">
        <v>0</v>
      </c>
      <c r="AA246" s="2">
        <v>0</v>
      </c>
      <c r="AB246" s="2">
        <v>0</v>
      </c>
    </row>
    <row r="247" spans="1:28" x14ac:dyDescent="0.25">
      <c r="A247">
        <v>2033351576</v>
      </c>
      <c r="B247" t="s">
        <v>794</v>
      </c>
      <c r="C247" t="s">
        <v>795</v>
      </c>
      <c r="D247" t="str">
        <f t="shared" si="7"/>
        <v>TOMISLAV LAZAREVSKI</v>
      </c>
      <c r="E247" t="s">
        <v>89</v>
      </c>
      <c r="F247" t="s">
        <v>194</v>
      </c>
      <c r="G247" t="s">
        <v>195</v>
      </c>
      <c r="H247" t="s">
        <v>195</v>
      </c>
      <c r="I247" s="8" t="s">
        <v>1096</v>
      </c>
      <c r="J247" t="s">
        <v>490</v>
      </c>
      <c r="K247" t="s">
        <v>491</v>
      </c>
      <c r="L247" t="str">
        <f t="shared" si="6"/>
        <v>FRANK LISKOVEC</v>
      </c>
      <c r="M247" t="s">
        <v>1134</v>
      </c>
      <c r="N247" t="s">
        <v>57</v>
      </c>
      <c r="O247" s="1">
        <v>46054</v>
      </c>
      <c r="P247" s="1">
        <v>46235</v>
      </c>
      <c r="Q247" s="2">
        <v>33.119999999999997</v>
      </c>
      <c r="R247" t="s">
        <v>58</v>
      </c>
      <c r="S247" s="3">
        <v>0.7</v>
      </c>
      <c r="T247">
        <v>0</v>
      </c>
      <c r="U247" t="s">
        <v>60</v>
      </c>
      <c r="V247" t="s">
        <v>248</v>
      </c>
      <c r="W247">
        <v>0</v>
      </c>
      <c r="X247" s="2">
        <v>0</v>
      </c>
      <c r="Y247" s="2">
        <v>23.18</v>
      </c>
      <c r="Z247" s="2">
        <v>0</v>
      </c>
      <c r="AA247" s="2">
        <v>0</v>
      </c>
      <c r="AB247" s="2">
        <v>0</v>
      </c>
    </row>
    <row r="248" spans="1:28" x14ac:dyDescent="0.25">
      <c r="A248">
        <v>2033360740</v>
      </c>
      <c r="B248" t="s">
        <v>797</v>
      </c>
      <c r="C248" t="s">
        <v>798</v>
      </c>
      <c r="D248" t="str">
        <f t="shared" si="7"/>
        <v>GUNTHER STANGE</v>
      </c>
      <c r="E248" t="s">
        <v>89</v>
      </c>
      <c r="F248" t="s">
        <v>194</v>
      </c>
      <c r="G248" t="s">
        <v>195</v>
      </c>
      <c r="H248" t="s">
        <v>195</v>
      </c>
      <c r="I248" s="8" t="s">
        <v>1096</v>
      </c>
      <c r="J248" t="s">
        <v>490</v>
      </c>
      <c r="K248" t="s">
        <v>491</v>
      </c>
      <c r="L248" t="str">
        <f t="shared" si="6"/>
        <v>FRANK LISKOVEC</v>
      </c>
      <c r="M248" t="s">
        <v>1134</v>
      </c>
      <c r="N248" t="s">
        <v>57</v>
      </c>
      <c r="O248" s="1">
        <v>46054</v>
      </c>
      <c r="P248" s="1">
        <v>46235</v>
      </c>
      <c r="Q248" s="2">
        <v>39.35</v>
      </c>
      <c r="R248" t="s">
        <v>58</v>
      </c>
      <c r="S248" s="3">
        <v>0.7</v>
      </c>
      <c r="T248">
        <v>0</v>
      </c>
      <c r="U248" t="s">
        <v>60</v>
      </c>
      <c r="V248" t="s">
        <v>248</v>
      </c>
      <c r="W248">
        <v>0</v>
      </c>
      <c r="X248" s="2">
        <v>0</v>
      </c>
      <c r="Y248" s="2">
        <v>27.54</v>
      </c>
      <c r="Z248" s="2">
        <v>0</v>
      </c>
      <c r="AA248" s="2">
        <v>0</v>
      </c>
      <c r="AB248" s="2">
        <v>0</v>
      </c>
    </row>
    <row r="249" spans="1:28" x14ac:dyDescent="0.25">
      <c r="A249">
        <v>2033383183</v>
      </c>
      <c r="B249" t="s">
        <v>806</v>
      </c>
      <c r="C249" t="s">
        <v>807</v>
      </c>
      <c r="D249" t="str">
        <f t="shared" si="7"/>
        <v>PEGGY KALKOUNOS</v>
      </c>
      <c r="E249" t="s">
        <v>89</v>
      </c>
      <c r="F249" t="s">
        <v>194</v>
      </c>
      <c r="G249" t="s">
        <v>195</v>
      </c>
      <c r="H249" t="s">
        <v>195</v>
      </c>
      <c r="I249" s="8" t="s">
        <v>1096</v>
      </c>
      <c r="J249" t="s">
        <v>490</v>
      </c>
      <c r="K249" t="s">
        <v>491</v>
      </c>
      <c r="L249" t="str">
        <f t="shared" si="6"/>
        <v>FRANK LISKOVEC</v>
      </c>
      <c r="M249" t="s">
        <v>1134</v>
      </c>
      <c r="N249" t="s">
        <v>57</v>
      </c>
      <c r="O249" s="1">
        <v>46054</v>
      </c>
      <c r="P249" s="1">
        <v>46235</v>
      </c>
      <c r="Q249" s="2">
        <v>52</v>
      </c>
      <c r="R249" t="s">
        <v>58</v>
      </c>
      <c r="S249" s="3">
        <v>0.7</v>
      </c>
      <c r="T249">
        <v>0</v>
      </c>
      <c r="U249" t="s">
        <v>60</v>
      </c>
      <c r="V249" t="s">
        <v>248</v>
      </c>
      <c r="W249">
        <v>0</v>
      </c>
      <c r="X249" s="2">
        <v>0</v>
      </c>
      <c r="Y249" s="2">
        <v>36.4</v>
      </c>
      <c r="Z249" s="2">
        <v>0</v>
      </c>
      <c r="AA249" s="2">
        <v>0</v>
      </c>
      <c r="AB249" s="2">
        <v>0</v>
      </c>
    </row>
    <row r="250" spans="1:28" x14ac:dyDescent="0.25">
      <c r="A250">
        <v>2033339737</v>
      </c>
      <c r="B250" t="s">
        <v>787</v>
      </c>
      <c r="C250" t="s">
        <v>788</v>
      </c>
      <c r="D250" t="str">
        <f t="shared" si="7"/>
        <v>DANA FISCHER</v>
      </c>
      <c r="E250" t="s">
        <v>89</v>
      </c>
      <c r="F250" t="s">
        <v>194</v>
      </c>
      <c r="G250" t="s">
        <v>195</v>
      </c>
      <c r="H250" t="s">
        <v>195</v>
      </c>
      <c r="I250" s="8" t="s">
        <v>1096</v>
      </c>
      <c r="J250" t="s">
        <v>490</v>
      </c>
      <c r="K250" t="s">
        <v>491</v>
      </c>
      <c r="L250" t="str">
        <f t="shared" si="6"/>
        <v>FRANK LISKOVEC</v>
      </c>
      <c r="M250" t="s">
        <v>1134</v>
      </c>
      <c r="N250" t="s">
        <v>57</v>
      </c>
      <c r="O250" s="1">
        <v>46054</v>
      </c>
      <c r="P250" s="1">
        <v>46235</v>
      </c>
      <c r="Q250" s="2">
        <v>74</v>
      </c>
      <c r="R250" t="s">
        <v>58</v>
      </c>
      <c r="S250" s="3">
        <v>0.7</v>
      </c>
      <c r="T250">
        <v>0</v>
      </c>
      <c r="U250" t="s">
        <v>60</v>
      </c>
      <c r="V250" t="s">
        <v>248</v>
      </c>
      <c r="W250">
        <v>0</v>
      </c>
      <c r="X250" s="2">
        <v>0</v>
      </c>
      <c r="Y250" s="2">
        <v>51.8</v>
      </c>
      <c r="Z250" s="2">
        <v>0</v>
      </c>
      <c r="AA250" s="2">
        <v>0</v>
      </c>
      <c r="AB250" s="2">
        <v>0</v>
      </c>
    </row>
    <row r="251" spans="1:28" x14ac:dyDescent="0.25">
      <c r="A251">
        <v>2033385848</v>
      </c>
      <c r="B251" t="s">
        <v>541</v>
      </c>
      <c r="C251" t="s">
        <v>542</v>
      </c>
      <c r="D251" t="str">
        <f t="shared" si="7"/>
        <v>KRISTY KLADZYK</v>
      </c>
      <c r="E251" t="s">
        <v>89</v>
      </c>
      <c r="F251" t="s">
        <v>194</v>
      </c>
      <c r="G251" t="s">
        <v>195</v>
      </c>
      <c r="H251" t="s">
        <v>195</v>
      </c>
      <c r="I251" s="8" t="s">
        <v>1096</v>
      </c>
      <c r="J251" t="s">
        <v>490</v>
      </c>
      <c r="K251" t="s">
        <v>491</v>
      </c>
      <c r="L251" t="str">
        <f t="shared" si="6"/>
        <v>FRANK LISKOVEC</v>
      </c>
      <c r="M251" t="s">
        <v>1134</v>
      </c>
      <c r="N251" t="s">
        <v>57</v>
      </c>
      <c r="O251" s="1">
        <v>46054</v>
      </c>
      <c r="P251" s="1">
        <v>46235</v>
      </c>
      <c r="Q251" s="2">
        <v>74.58</v>
      </c>
      <c r="R251" t="s">
        <v>58</v>
      </c>
      <c r="S251" s="3">
        <v>0.7</v>
      </c>
      <c r="T251">
        <v>0</v>
      </c>
      <c r="U251" t="s">
        <v>60</v>
      </c>
      <c r="V251" t="s">
        <v>248</v>
      </c>
      <c r="W251">
        <v>0</v>
      </c>
      <c r="X251" s="2">
        <v>0</v>
      </c>
      <c r="Y251" s="2">
        <v>52.21</v>
      </c>
      <c r="Z251" s="2">
        <v>0</v>
      </c>
      <c r="AA251" s="2">
        <v>0</v>
      </c>
      <c r="AB251" s="2">
        <v>0</v>
      </c>
    </row>
    <row r="252" spans="1:28" x14ac:dyDescent="0.25">
      <c r="A252">
        <v>2033109533</v>
      </c>
      <c r="B252" t="s">
        <v>726</v>
      </c>
      <c r="C252" t="s">
        <v>727</v>
      </c>
      <c r="D252" t="str">
        <f t="shared" si="7"/>
        <v>JANIE BONILLA</v>
      </c>
      <c r="E252" t="s">
        <v>89</v>
      </c>
      <c r="F252" t="s">
        <v>194</v>
      </c>
      <c r="G252" t="s">
        <v>195</v>
      </c>
      <c r="H252" t="s">
        <v>195</v>
      </c>
      <c r="I252" s="8" t="s">
        <v>1096</v>
      </c>
      <c r="J252" t="s">
        <v>490</v>
      </c>
      <c r="K252" t="s">
        <v>491</v>
      </c>
      <c r="L252" t="str">
        <f t="shared" si="6"/>
        <v>FRANK LISKOVEC</v>
      </c>
      <c r="M252" t="s">
        <v>1134</v>
      </c>
      <c r="N252" t="s">
        <v>57</v>
      </c>
      <c r="O252" s="1">
        <v>46054</v>
      </c>
      <c r="P252" s="1">
        <v>46235</v>
      </c>
      <c r="Q252" s="2">
        <v>78.569999999999993</v>
      </c>
      <c r="R252" t="s">
        <v>58</v>
      </c>
      <c r="S252" s="3">
        <v>0.7</v>
      </c>
      <c r="T252">
        <v>0</v>
      </c>
      <c r="U252" t="s">
        <v>60</v>
      </c>
      <c r="V252" t="s">
        <v>248</v>
      </c>
      <c r="W252">
        <v>0</v>
      </c>
      <c r="X252" s="2">
        <v>0</v>
      </c>
      <c r="Y252" s="2">
        <v>55</v>
      </c>
      <c r="Z252" s="2">
        <v>0</v>
      </c>
      <c r="AA252" s="2">
        <v>0</v>
      </c>
      <c r="AB252" s="2">
        <v>0</v>
      </c>
    </row>
    <row r="253" spans="1:28" x14ac:dyDescent="0.25">
      <c r="A253">
        <v>2026838332</v>
      </c>
      <c r="B253" t="s">
        <v>921</v>
      </c>
      <c r="C253" t="s">
        <v>922</v>
      </c>
      <c r="D253" t="str">
        <f t="shared" si="7"/>
        <v>KEVIN KINCAID</v>
      </c>
      <c r="E253" t="s">
        <v>89</v>
      </c>
      <c r="F253" t="s">
        <v>133</v>
      </c>
      <c r="G253" t="s">
        <v>134</v>
      </c>
      <c r="H253" t="s">
        <v>134</v>
      </c>
      <c r="I253" s="8">
        <v>8814784</v>
      </c>
      <c r="J253" t="s">
        <v>490</v>
      </c>
      <c r="K253" t="s">
        <v>491</v>
      </c>
      <c r="L253" t="str">
        <f t="shared" si="6"/>
        <v>FRANK LISKOVEC</v>
      </c>
      <c r="M253" t="s">
        <v>1133</v>
      </c>
      <c r="N253" t="s">
        <v>57</v>
      </c>
      <c r="O253" s="1">
        <v>45689</v>
      </c>
      <c r="P253" s="1">
        <v>46235</v>
      </c>
      <c r="Q253" s="2">
        <v>83.05</v>
      </c>
      <c r="R253" t="s">
        <v>58</v>
      </c>
      <c r="S253" s="3">
        <v>0.06</v>
      </c>
      <c r="T253">
        <v>0</v>
      </c>
      <c r="U253" t="s">
        <v>247</v>
      </c>
      <c r="V253" t="s">
        <v>248</v>
      </c>
      <c r="W253">
        <v>0</v>
      </c>
      <c r="X253" s="2">
        <v>0</v>
      </c>
      <c r="Y253" s="2">
        <v>4.9800000000000004</v>
      </c>
      <c r="Z253" s="2">
        <v>4.9800000000000004</v>
      </c>
      <c r="AA253" s="2">
        <v>4.9800000000000004</v>
      </c>
      <c r="AB253" s="2">
        <v>0</v>
      </c>
    </row>
    <row r="254" spans="1:28" x14ac:dyDescent="0.25">
      <c r="A254">
        <v>2033385847</v>
      </c>
      <c r="B254" t="s">
        <v>541</v>
      </c>
      <c r="C254" t="s">
        <v>542</v>
      </c>
      <c r="D254" t="str">
        <f t="shared" si="7"/>
        <v>KRISTY KLADZYK</v>
      </c>
      <c r="E254" t="s">
        <v>89</v>
      </c>
      <c r="F254" t="s">
        <v>133</v>
      </c>
      <c r="G254" t="s">
        <v>134</v>
      </c>
      <c r="H254" t="s">
        <v>134</v>
      </c>
      <c r="I254" s="8" t="s">
        <v>1096</v>
      </c>
      <c r="J254" t="s">
        <v>490</v>
      </c>
      <c r="K254" t="s">
        <v>491</v>
      </c>
      <c r="L254" t="str">
        <f t="shared" si="6"/>
        <v>FRANK LISKOVEC</v>
      </c>
      <c r="M254" t="s">
        <v>1134</v>
      </c>
      <c r="N254" t="s">
        <v>57</v>
      </c>
      <c r="O254" s="1">
        <v>46054</v>
      </c>
      <c r="P254" s="1">
        <v>46235</v>
      </c>
      <c r="Q254" s="2">
        <v>54.7</v>
      </c>
      <c r="R254" t="s">
        <v>58</v>
      </c>
      <c r="S254" s="4">
        <v>0.375</v>
      </c>
      <c r="T254">
        <v>0</v>
      </c>
      <c r="U254" t="s">
        <v>60</v>
      </c>
      <c r="V254" t="s">
        <v>248</v>
      </c>
      <c r="W254">
        <v>0</v>
      </c>
      <c r="X254" s="2">
        <v>0</v>
      </c>
      <c r="Y254" s="2">
        <v>20.51</v>
      </c>
      <c r="Z254" s="2">
        <v>0</v>
      </c>
      <c r="AA254" s="2">
        <v>0</v>
      </c>
      <c r="AB254" s="2">
        <v>0</v>
      </c>
    </row>
    <row r="255" spans="1:28" x14ac:dyDescent="0.25">
      <c r="A255">
        <v>2033245389</v>
      </c>
      <c r="B255" t="s">
        <v>762</v>
      </c>
      <c r="C255" t="s">
        <v>965</v>
      </c>
      <c r="D255" t="str">
        <f t="shared" si="7"/>
        <v>KHALIL PATTON</v>
      </c>
      <c r="E255" t="s">
        <v>89</v>
      </c>
      <c r="F255" t="s">
        <v>133</v>
      </c>
      <c r="G255" t="s">
        <v>134</v>
      </c>
      <c r="H255" t="s">
        <v>134</v>
      </c>
      <c r="I255" s="8" t="s">
        <v>1096</v>
      </c>
      <c r="J255" t="s">
        <v>490</v>
      </c>
      <c r="K255" t="s">
        <v>491</v>
      </c>
      <c r="L255" t="str">
        <f t="shared" si="6"/>
        <v>FRANK LISKOVEC</v>
      </c>
      <c r="M255" t="s">
        <v>1134</v>
      </c>
      <c r="N255" t="s">
        <v>57</v>
      </c>
      <c r="O255" s="1">
        <v>46054</v>
      </c>
      <c r="P255" s="1">
        <v>46235</v>
      </c>
      <c r="Q255" s="2">
        <v>73.7</v>
      </c>
      <c r="R255" t="s">
        <v>58</v>
      </c>
      <c r="S255" s="4">
        <v>0.375</v>
      </c>
      <c r="T255">
        <v>0</v>
      </c>
      <c r="U255" t="s">
        <v>60</v>
      </c>
      <c r="V255" t="s">
        <v>248</v>
      </c>
      <c r="W255">
        <v>0</v>
      </c>
      <c r="X255" s="2">
        <v>0</v>
      </c>
      <c r="Y255" s="2">
        <v>27.64</v>
      </c>
      <c r="Z255" s="2">
        <v>0</v>
      </c>
      <c r="AA255" s="2">
        <v>0</v>
      </c>
      <c r="AB255" s="2">
        <v>0</v>
      </c>
    </row>
    <row r="256" spans="1:28" x14ac:dyDescent="0.25">
      <c r="A256">
        <v>2035201716</v>
      </c>
      <c r="B256" t="s">
        <v>651</v>
      </c>
      <c r="C256" t="s">
        <v>132</v>
      </c>
      <c r="D256" t="str">
        <f t="shared" si="7"/>
        <v>CAMERON CASTILLO</v>
      </c>
      <c r="E256" t="s">
        <v>89</v>
      </c>
      <c r="F256" t="s">
        <v>188</v>
      </c>
      <c r="G256" t="s">
        <v>190</v>
      </c>
      <c r="H256" t="s">
        <v>190</v>
      </c>
      <c r="I256" s="8">
        <v>9213293</v>
      </c>
      <c r="J256" t="s">
        <v>186</v>
      </c>
      <c r="K256" t="s">
        <v>187</v>
      </c>
      <c r="L256" t="str">
        <f t="shared" si="6"/>
        <v>GARY PORTUGAL</v>
      </c>
      <c r="M256" t="s">
        <v>1133</v>
      </c>
      <c r="N256" t="s">
        <v>57</v>
      </c>
      <c r="O256" s="1">
        <v>46142</v>
      </c>
      <c r="P256" s="1">
        <v>46233</v>
      </c>
      <c r="Q256" s="2">
        <v>95.94</v>
      </c>
      <c r="R256" t="s">
        <v>58</v>
      </c>
      <c r="S256" s="3">
        <v>0.38</v>
      </c>
      <c r="T256">
        <v>0</v>
      </c>
      <c r="U256" t="s">
        <v>60</v>
      </c>
      <c r="V256" t="s">
        <v>248</v>
      </c>
      <c r="W256">
        <v>0</v>
      </c>
      <c r="X256" s="2">
        <v>0</v>
      </c>
      <c r="Y256" s="2">
        <v>36.46</v>
      </c>
      <c r="Z256" s="2">
        <v>0</v>
      </c>
      <c r="AA256" s="2">
        <v>0</v>
      </c>
      <c r="AB256" s="2">
        <v>0</v>
      </c>
    </row>
    <row r="257" spans="1:28" x14ac:dyDescent="0.25">
      <c r="A257">
        <v>2035201718</v>
      </c>
      <c r="B257" t="s">
        <v>651</v>
      </c>
      <c r="C257" t="s">
        <v>132</v>
      </c>
      <c r="D257" t="str">
        <f t="shared" si="7"/>
        <v>CAMERON CASTILLO</v>
      </c>
      <c r="E257" t="s">
        <v>89</v>
      </c>
      <c r="F257" t="s">
        <v>149</v>
      </c>
      <c r="G257" t="s">
        <v>150</v>
      </c>
      <c r="H257" t="s">
        <v>150</v>
      </c>
      <c r="I257" s="8">
        <v>9213293</v>
      </c>
      <c r="J257" t="s">
        <v>186</v>
      </c>
      <c r="K257" t="s">
        <v>187</v>
      </c>
      <c r="L257" t="str">
        <f t="shared" si="6"/>
        <v>GARY PORTUGAL</v>
      </c>
      <c r="M257" t="s">
        <v>1133</v>
      </c>
      <c r="N257" t="s">
        <v>57</v>
      </c>
      <c r="O257" s="1">
        <v>46142</v>
      </c>
      <c r="P257" s="1">
        <v>46233</v>
      </c>
      <c r="Q257" s="2">
        <v>15</v>
      </c>
      <c r="R257" t="s">
        <v>58</v>
      </c>
      <c r="S257" s="3">
        <v>0.38</v>
      </c>
      <c r="T257">
        <v>0</v>
      </c>
      <c r="U257" t="s">
        <v>60</v>
      </c>
      <c r="V257" t="s">
        <v>248</v>
      </c>
      <c r="W257">
        <v>0</v>
      </c>
      <c r="X257" s="2">
        <v>0</v>
      </c>
      <c r="Y257" s="2">
        <v>5.7</v>
      </c>
      <c r="Z257" s="2">
        <v>0</v>
      </c>
      <c r="AA257" s="2">
        <v>0</v>
      </c>
      <c r="AB257" s="2">
        <v>0</v>
      </c>
    </row>
    <row r="258" spans="1:28" x14ac:dyDescent="0.25">
      <c r="A258">
        <v>2027694241</v>
      </c>
      <c r="B258" t="s">
        <v>1035</v>
      </c>
      <c r="C258" t="s">
        <v>1036</v>
      </c>
      <c r="D258" t="str">
        <f t="shared" si="7"/>
        <v>JOHANNA MONTOYA</v>
      </c>
      <c r="E258" t="s">
        <v>89</v>
      </c>
      <c r="F258" t="s">
        <v>194</v>
      </c>
      <c r="G258" t="s">
        <v>195</v>
      </c>
      <c r="H258" t="s">
        <v>195</v>
      </c>
      <c r="I258" s="8">
        <v>9213293</v>
      </c>
      <c r="J258" t="s">
        <v>186</v>
      </c>
      <c r="K258" t="s">
        <v>187</v>
      </c>
      <c r="L258" t="str">
        <f t="shared" ref="L258:L321" si="8">CONCATENATE(K258," ",J258)</f>
        <v>GARY PORTUGAL</v>
      </c>
      <c r="M258" t="s">
        <v>1133</v>
      </c>
      <c r="N258" t="s">
        <v>57</v>
      </c>
      <c r="O258" s="1">
        <v>45748</v>
      </c>
      <c r="P258" s="1">
        <v>46235</v>
      </c>
      <c r="Q258" s="2">
        <v>80.95</v>
      </c>
      <c r="R258" t="s">
        <v>58</v>
      </c>
      <c r="S258" s="3">
        <v>0.15</v>
      </c>
      <c r="T258">
        <v>0</v>
      </c>
      <c r="U258" t="s">
        <v>247</v>
      </c>
      <c r="V258" t="s">
        <v>248</v>
      </c>
      <c r="W258">
        <v>0</v>
      </c>
      <c r="X258" s="2">
        <v>0</v>
      </c>
      <c r="Y258" s="2">
        <v>12.14</v>
      </c>
      <c r="Z258" s="2">
        <v>12.14</v>
      </c>
      <c r="AA258" s="2">
        <v>12.14</v>
      </c>
      <c r="AB258" s="2">
        <v>0</v>
      </c>
    </row>
    <row r="259" spans="1:28" x14ac:dyDescent="0.25">
      <c r="A259">
        <v>2033355860</v>
      </c>
      <c r="B259" t="s">
        <v>796</v>
      </c>
      <c r="C259" t="s">
        <v>254</v>
      </c>
      <c r="D259" t="str">
        <f t="shared" ref="D259:D322" si="9">CONCATENATE(C259," ",B259)</f>
        <v>SARAH KOENEMAN</v>
      </c>
      <c r="E259" t="s">
        <v>200</v>
      </c>
      <c r="F259" t="s">
        <v>194</v>
      </c>
      <c r="G259" t="s">
        <v>195</v>
      </c>
      <c r="H259" t="s">
        <v>195</v>
      </c>
      <c r="I259" s="8">
        <v>9213293</v>
      </c>
      <c r="J259" t="s">
        <v>186</v>
      </c>
      <c r="K259" t="s">
        <v>187</v>
      </c>
      <c r="L259" t="str">
        <f t="shared" si="8"/>
        <v>GARY PORTUGAL</v>
      </c>
      <c r="M259" t="s">
        <v>1133</v>
      </c>
      <c r="N259" t="s">
        <v>57</v>
      </c>
      <c r="O259" s="1">
        <v>46054</v>
      </c>
      <c r="P259" s="1">
        <v>46235</v>
      </c>
      <c r="Q259" s="2">
        <v>18.510000000000002</v>
      </c>
      <c r="R259" t="s">
        <v>58</v>
      </c>
      <c r="S259" s="3">
        <v>0.7</v>
      </c>
      <c r="T259">
        <v>0</v>
      </c>
      <c r="U259" t="s">
        <v>60</v>
      </c>
      <c r="V259" t="s">
        <v>248</v>
      </c>
      <c r="W259">
        <v>0</v>
      </c>
      <c r="X259" s="2">
        <v>0</v>
      </c>
      <c r="Y259" s="2">
        <v>12.96</v>
      </c>
      <c r="Z259" s="2">
        <v>0</v>
      </c>
      <c r="AA259" s="2">
        <v>0</v>
      </c>
      <c r="AB259" s="2">
        <v>0</v>
      </c>
    </row>
    <row r="260" spans="1:28" x14ac:dyDescent="0.25">
      <c r="A260">
        <v>2035201717</v>
      </c>
      <c r="B260" t="s">
        <v>651</v>
      </c>
      <c r="C260" t="s">
        <v>132</v>
      </c>
      <c r="D260" t="str">
        <f t="shared" si="9"/>
        <v>CAMERON CASTILLO</v>
      </c>
      <c r="E260" t="s">
        <v>89</v>
      </c>
      <c r="F260" t="s">
        <v>194</v>
      </c>
      <c r="G260" t="s">
        <v>195</v>
      </c>
      <c r="H260" t="s">
        <v>195</v>
      </c>
      <c r="I260" s="8">
        <v>9213293</v>
      </c>
      <c r="J260" t="s">
        <v>186</v>
      </c>
      <c r="K260" t="s">
        <v>187</v>
      </c>
      <c r="L260" t="str">
        <f t="shared" si="8"/>
        <v>GARY PORTUGAL</v>
      </c>
      <c r="M260" t="s">
        <v>1133</v>
      </c>
      <c r="N260" t="s">
        <v>57</v>
      </c>
      <c r="O260" s="1">
        <v>46142</v>
      </c>
      <c r="P260" s="1">
        <v>46233</v>
      </c>
      <c r="Q260" s="2">
        <v>19</v>
      </c>
      <c r="R260" t="s">
        <v>58</v>
      </c>
      <c r="S260" s="3">
        <v>0.7</v>
      </c>
      <c r="T260">
        <v>0</v>
      </c>
      <c r="U260" t="s">
        <v>60</v>
      </c>
      <c r="V260" t="s">
        <v>248</v>
      </c>
      <c r="W260">
        <v>0</v>
      </c>
      <c r="X260" s="2">
        <v>0</v>
      </c>
      <c r="Y260" s="2">
        <v>13.3</v>
      </c>
      <c r="Z260" s="2">
        <v>0</v>
      </c>
      <c r="AA260" s="2">
        <v>0</v>
      </c>
      <c r="AB260" s="2">
        <v>0</v>
      </c>
    </row>
    <row r="261" spans="1:28" x14ac:dyDescent="0.25">
      <c r="A261">
        <v>2033374650</v>
      </c>
      <c r="B261" t="s">
        <v>801</v>
      </c>
      <c r="C261" t="s">
        <v>254</v>
      </c>
      <c r="D261" t="str">
        <f t="shared" si="9"/>
        <v>SARAH HECHT</v>
      </c>
      <c r="E261" t="s">
        <v>89</v>
      </c>
      <c r="F261" t="s">
        <v>194</v>
      </c>
      <c r="G261" t="s">
        <v>195</v>
      </c>
      <c r="H261" t="s">
        <v>195</v>
      </c>
      <c r="I261" s="8">
        <v>9213293</v>
      </c>
      <c r="J261" t="s">
        <v>186</v>
      </c>
      <c r="K261" t="s">
        <v>187</v>
      </c>
      <c r="L261" t="str">
        <f t="shared" si="8"/>
        <v>GARY PORTUGAL</v>
      </c>
      <c r="M261" t="s">
        <v>1133</v>
      </c>
      <c r="N261" t="s">
        <v>57</v>
      </c>
      <c r="O261" s="1">
        <v>46054</v>
      </c>
      <c r="P261" s="1">
        <v>46235</v>
      </c>
      <c r="Q261" s="2">
        <v>42.38</v>
      </c>
      <c r="R261" t="s">
        <v>58</v>
      </c>
      <c r="S261" s="3">
        <v>0.7</v>
      </c>
      <c r="T261">
        <v>0</v>
      </c>
      <c r="U261" t="s">
        <v>60</v>
      </c>
      <c r="V261" t="s">
        <v>248</v>
      </c>
      <c r="W261">
        <v>0</v>
      </c>
      <c r="X261" s="2">
        <v>0</v>
      </c>
      <c r="Y261" s="2">
        <v>29.67</v>
      </c>
      <c r="Z261" s="2">
        <v>0</v>
      </c>
      <c r="AA261" s="2">
        <v>0</v>
      </c>
      <c r="AB261" s="2">
        <v>0</v>
      </c>
    </row>
    <row r="262" spans="1:28" x14ac:dyDescent="0.25">
      <c r="A262">
        <v>2033219696</v>
      </c>
      <c r="B262" t="s">
        <v>759</v>
      </c>
      <c r="C262" t="s">
        <v>760</v>
      </c>
      <c r="D262" t="str">
        <f t="shared" si="9"/>
        <v>MARLON PESINA</v>
      </c>
      <c r="E262" t="s">
        <v>89</v>
      </c>
      <c r="F262" t="s">
        <v>194</v>
      </c>
      <c r="G262" t="s">
        <v>195</v>
      </c>
      <c r="H262" t="s">
        <v>195</v>
      </c>
      <c r="I262" s="8">
        <v>9213293</v>
      </c>
      <c r="J262" t="s">
        <v>186</v>
      </c>
      <c r="K262" t="s">
        <v>187</v>
      </c>
      <c r="L262" t="str">
        <f t="shared" si="8"/>
        <v>GARY PORTUGAL</v>
      </c>
      <c r="M262" t="s">
        <v>1133</v>
      </c>
      <c r="N262" t="s">
        <v>57</v>
      </c>
      <c r="O262" s="1">
        <v>46054</v>
      </c>
      <c r="P262" s="1">
        <v>46235</v>
      </c>
      <c r="Q262" s="2">
        <v>56.62</v>
      </c>
      <c r="R262" t="s">
        <v>58</v>
      </c>
      <c r="S262" s="3">
        <v>0.7</v>
      </c>
      <c r="T262">
        <v>0</v>
      </c>
      <c r="U262" t="s">
        <v>60</v>
      </c>
      <c r="V262" t="s">
        <v>248</v>
      </c>
      <c r="W262">
        <v>0</v>
      </c>
      <c r="X262" s="2">
        <v>0</v>
      </c>
      <c r="Y262" s="2">
        <v>39.630000000000003</v>
      </c>
      <c r="Z262" s="2">
        <v>0</v>
      </c>
      <c r="AA262" s="2">
        <v>0</v>
      </c>
      <c r="AB262" s="2">
        <v>0</v>
      </c>
    </row>
    <row r="263" spans="1:28" x14ac:dyDescent="0.25">
      <c r="A263">
        <v>2033173720</v>
      </c>
      <c r="B263" t="s">
        <v>745</v>
      </c>
      <c r="C263" t="s">
        <v>559</v>
      </c>
      <c r="D263" t="str">
        <f t="shared" si="9"/>
        <v>PATRICK RANDEL</v>
      </c>
      <c r="E263" t="s">
        <v>124</v>
      </c>
      <c r="F263" t="s">
        <v>194</v>
      </c>
      <c r="G263" t="s">
        <v>195</v>
      </c>
      <c r="H263" t="s">
        <v>195</v>
      </c>
      <c r="I263" s="8">
        <v>9213293</v>
      </c>
      <c r="J263" t="s">
        <v>186</v>
      </c>
      <c r="K263" t="s">
        <v>187</v>
      </c>
      <c r="L263" t="str">
        <f t="shared" si="8"/>
        <v>GARY PORTUGAL</v>
      </c>
      <c r="M263" t="s">
        <v>1133</v>
      </c>
      <c r="N263" t="s">
        <v>57</v>
      </c>
      <c r="O263" s="1">
        <v>46054</v>
      </c>
      <c r="P263" s="1">
        <v>46235</v>
      </c>
      <c r="Q263" s="2">
        <v>273.23</v>
      </c>
      <c r="R263" t="s">
        <v>58</v>
      </c>
      <c r="S263" s="3">
        <v>0.7</v>
      </c>
      <c r="T263">
        <v>0</v>
      </c>
      <c r="U263" t="s">
        <v>60</v>
      </c>
      <c r="V263" t="s">
        <v>248</v>
      </c>
      <c r="W263">
        <v>0</v>
      </c>
      <c r="X263" s="2">
        <v>0</v>
      </c>
      <c r="Y263" s="2">
        <v>191.26</v>
      </c>
      <c r="Z263" s="2">
        <v>0</v>
      </c>
      <c r="AA263" s="2">
        <v>0</v>
      </c>
      <c r="AB263" s="2">
        <v>0</v>
      </c>
    </row>
    <row r="264" spans="1:28" x14ac:dyDescent="0.25">
      <c r="A264">
        <v>2033355859</v>
      </c>
      <c r="B264" t="s">
        <v>796</v>
      </c>
      <c r="C264" t="s">
        <v>254</v>
      </c>
      <c r="D264" t="str">
        <f t="shared" si="9"/>
        <v>SARAH KOENEMAN</v>
      </c>
      <c r="E264" t="s">
        <v>200</v>
      </c>
      <c r="F264" t="s">
        <v>133</v>
      </c>
      <c r="G264" t="s">
        <v>134</v>
      </c>
      <c r="H264" t="s">
        <v>134</v>
      </c>
      <c r="I264" s="8">
        <v>9213293</v>
      </c>
      <c r="J264" t="s">
        <v>186</v>
      </c>
      <c r="K264" t="s">
        <v>187</v>
      </c>
      <c r="L264" t="str">
        <f t="shared" si="8"/>
        <v>GARY PORTUGAL</v>
      </c>
      <c r="M264" t="s">
        <v>1133</v>
      </c>
      <c r="N264" t="s">
        <v>57</v>
      </c>
      <c r="O264" s="1">
        <v>46054</v>
      </c>
      <c r="P264" s="1">
        <v>46235</v>
      </c>
      <c r="Q264" s="2">
        <v>45.79</v>
      </c>
      <c r="R264" t="s">
        <v>58</v>
      </c>
      <c r="S264" s="4">
        <v>0.375</v>
      </c>
      <c r="T264">
        <v>0</v>
      </c>
      <c r="U264" t="s">
        <v>60</v>
      </c>
      <c r="V264" t="s">
        <v>248</v>
      </c>
      <c r="W264">
        <v>0</v>
      </c>
      <c r="X264" s="2">
        <v>0</v>
      </c>
      <c r="Y264" s="2">
        <v>17.170000000000002</v>
      </c>
      <c r="Z264" s="2">
        <v>0</v>
      </c>
      <c r="AA264" s="2">
        <v>0</v>
      </c>
      <c r="AB264" s="2">
        <v>0</v>
      </c>
    </row>
    <row r="265" spans="1:28" x14ac:dyDescent="0.25">
      <c r="A265">
        <v>2029145087</v>
      </c>
      <c r="B265" t="s">
        <v>610</v>
      </c>
      <c r="C265" t="s">
        <v>611</v>
      </c>
      <c r="D265" t="str">
        <f t="shared" si="9"/>
        <v>JUDITH O'REILLY</v>
      </c>
      <c r="E265" t="s">
        <v>89</v>
      </c>
      <c r="F265" t="s">
        <v>149</v>
      </c>
      <c r="G265" t="s">
        <v>602</v>
      </c>
      <c r="H265" t="s">
        <v>602</v>
      </c>
      <c r="I265" s="8">
        <v>17094718</v>
      </c>
      <c r="J265" t="s">
        <v>612</v>
      </c>
      <c r="K265" t="s">
        <v>211</v>
      </c>
      <c r="L265" t="str">
        <f t="shared" si="8"/>
        <v>GREGORY HANSFORD</v>
      </c>
      <c r="M265" t="s">
        <v>1133</v>
      </c>
      <c r="N265" t="s">
        <v>57</v>
      </c>
      <c r="O265" s="1">
        <v>45805</v>
      </c>
      <c r="P265" s="1">
        <v>46231</v>
      </c>
      <c r="Q265" s="2">
        <v>15</v>
      </c>
      <c r="R265" t="s">
        <v>58</v>
      </c>
      <c r="S265" s="3">
        <v>0.1</v>
      </c>
      <c r="T265">
        <v>0</v>
      </c>
      <c r="U265" t="s">
        <v>247</v>
      </c>
      <c r="V265" t="s">
        <v>248</v>
      </c>
      <c r="W265">
        <v>0</v>
      </c>
      <c r="X265" s="2">
        <v>0</v>
      </c>
      <c r="Y265" s="2">
        <v>1.5</v>
      </c>
      <c r="Z265" s="2">
        <v>1.5</v>
      </c>
      <c r="AA265" s="2">
        <v>1.5</v>
      </c>
      <c r="AB265" s="2">
        <v>0</v>
      </c>
    </row>
    <row r="266" spans="1:28" x14ac:dyDescent="0.25">
      <c r="A266">
        <v>2024464934</v>
      </c>
      <c r="B266" t="s">
        <v>872</v>
      </c>
      <c r="C266" t="s">
        <v>873</v>
      </c>
      <c r="D266" t="str">
        <f t="shared" si="9"/>
        <v>MONA AFRASSIAB</v>
      </c>
      <c r="E266" t="s">
        <v>89</v>
      </c>
      <c r="F266" t="s">
        <v>240</v>
      </c>
      <c r="G266" t="s">
        <v>865</v>
      </c>
      <c r="H266" t="s">
        <v>865</v>
      </c>
      <c r="I266" s="8">
        <v>17094718</v>
      </c>
      <c r="J266" t="s">
        <v>612</v>
      </c>
      <c r="K266" t="s">
        <v>211</v>
      </c>
      <c r="L266" t="str">
        <f t="shared" si="8"/>
        <v>GREGORY HANSFORD</v>
      </c>
      <c r="M266" t="s">
        <v>1133</v>
      </c>
      <c r="N266" t="s">
        <v>57</v>
      </c>
      <c r="O266" s="1">
        <v>45527</v>
      </c>
      <c r="P266" s="1">
        <v>46226</v>
      </c>
      <c r="Q266" s="2">
        <v>109.48</v>
      </c>
      <c r="R266" t="s">
        <v>58</v>
      </c>
      <c r="S266" s="4">
        <v>5.2499999999999998E-2</v>
      </c>
      <c r="T266">
        <v>0</v>
      </c>
      <c r="U266" t="s">
        <v>247</v>
      </c>
      <c r="V266" t="s">
        <v>248</v>
      </c>
      <c r="W266">
        <v>0</v>
      </c>
      <c r="X266" s="2">
        <v>0</v>
      </c>
      <c r="Y266" s="2">
        <v>5.75</v>
      </c>
      <c r="Z266" s="2">
        <v>5.75</v>
      </c>
      <c r="AA266" s="2">
        <v>5.75</v>
      </c>
      <c r="AB266" s="2">
        <v>0</v>
      </c>
    </row>
    <row r="267" spans="1:28" x14ac:dyDescent="0.25">
      <c r="A267">
        <v>2029145086</v>
      </c>
      <c r="B267" t="s">
        <v>610</v>
      </c>
      <c r="C267" t="s">
        <v>611</v>
      </c>
      <c r="D267" t="str">
        <f t="shared" si="9"/>
        <v>JUDITH O'REILLY</v>
      </c>
      <c r="E267" t="s">
        <v>89</v>
      </c>
      <c r="F267" t="s">
        <v>188</v>
      </c>
      <c r="G267" t="s">
        <v>189</v>
      </c>
      <c r="H267" t="s">
        <v>189</v>
      </c>
      <c r="I267" s="8">
        <v>17094718</v>
      </c>
      <c r="J267" t="s">
        <v>612</v>
      </c>
      <c r="K267" t="s">
        <v>211</v>
      </c>
      <c r="L267" t="str">
        <f t="shared" si="8"/>
        <v>GREGORY HANSFORD</v>
      </c>
      <c r="M267" t="s">
        <v>1133</v>
      </c>
      <c r="N267" t="s">
        <v>57</v>
      </c>
      <c r="O267" s="1">
        <v>45805</v>
      </c>
      <c r="P267" s="1">
        <v>46231</v>
      </c>
      <c r="Q267" s="2">
        <v>25.15</v>
      </c>
      <c r="R267" t="s">
        <v>58</v>
      </c>
      <c r="S267" s="3">
        <v>0.1</v>
      </c>
      <c r="T267">
        <v>0</v>
      </c>
      <c r="U267" t="s">
        <v>247</v>
      </c>
      <c r="V267" t="s">
        <v>248</v>
      </c>
      <c r="W267">
        <v>0</v>
      </c>
      <c r="X267" s="2">
        <v>0</v>
      </c>
      <c r="Y267" s="2">
        <v>2.52</v>
      </c>
      <c r="Z267" s="2">
        <v>2.52</v>
      </c>
      <c r="AA267" s="2">
        <v>2.52</v>
      </c>
      <c r="AB267" s="2">
        <v>0</v>
      </c>
    </row>
    <row r="268" spans="1:28" x14ac:dyDescent="0.25">
      <c r="A268">
        <v>2024464933</v>
      </c>
      <c r="B268" t="s">
        <v>872</v>
      </c>
      <c r="C268" t="s">
        <v>873</v>
      </c>
      <c r="D268" t="str">
        <f t="shared" si="9"/>
        <v>MONA AFRASSIAB</v>
      </c>
      <c r="E268" t="s">
        <v>89</v>
      </c>
      <c r="F268" t="s">
        <v>997</v>
      </c>
      <c r="G268" t="s">
        <v>998</v>
      </c>
      <c r="H268" t="s">
        <v>1086</v>
      </c>
      <c r="I268" s="8">
        <v>17094718</v>
      </c>
      <c r="J268" t="s">
        <v>612</v>
      </c>
      <c r="K268" t="s">
        <v>211</v>
      </c>
      <c r="L268" t="str">
        <f t="shared" si="8"/>
        <v>GREGORY HANSFORD</v>
      </c>
      <c r="M268" t="s">
        <v>1133</v>
      </c>
      <c r="N268" t="s">
        <v>57</v>
      </c>
      <c r="O268" s="1">
        <v>45527</v>
      </c>
      <c r="P268" s="1">
        <v>46226</v>
      </c>
      <c r="Q268" s="2">
        <v>114.17</v>
      </c>
      <c r="R268" t="s">
        <v>58</v>
      </c>
      <c r="S268" s="3">
        <v>0.26</v>
      </c>
      <c r="T268">
        <v>0</v>
      </c>
      <c r="U268" t="s">
        <v>247</v>
      </c>
      <c r="V268" t="s">
        <v>248</v>
      </c>
      <c r="W268">
        <v>0</v>
      </c>
      <c r="X268" s="2">
        <v>0</v>
      </c>
      <c r="Y268" s="2">
        <v>29.68</v>
      </c>
      <c r="Z268" s="2">
        <v>29.68</v>
      </c>
      <c r="AA268" s="2">
        <v>29.68</v>
      </c>
      <c r="AB268" s="2">
        <v>0</v>
      </c>
    </row>
    <row r="269" spans="1:28" x14ac:dyDescent="0.25">
      <c r="A269">
        <v>2026887839</v>
      </c>
      <c r="B269" t="s">
        <v>956</v>
      </c>
      <c r="C269" t="s">
        <v>1029</v>
      </c>
      <c r="D269" t="str">
        <f t="shared" si="9"/>
        <v>JAQUALINE JONES</v>
      </c>
      <c r="E269" t="s">
        <v>89</v>
      </c>
      <c r="F269" t="s">
        <v>194</v>
      </c>
      <c r="G269" t="s">
        <v>195</v>
      </c>
      <c r="H269" t="s">
        <v>195</v>
      </c>
      <c r="I269" s="8">
        <v>17094718</v>
      </c>
      <c r="J269" t="s">
        <v>612</v>
      </c>
      <c r="K269" t="s">
        <v>211</v>
      </c>
      <c r="L269" t="str">
        <f t="shared" si="8"/>
        <v>GREGORY HANSFORD</v>
      </c>
      <c r="M269" t="s">
        <v>1133</v>
      </c>
      <c r="N269" t="s">
        <v>57</v>
      </c>
      <c r="O269" s="1">
        <v>45689</v>
      </c>
      <c r="P269" s="1">
        <v>46235</v>
      </c>
      <c r="Q269" s="2">
        <v>19</v>
      </c>
      <c r="R269" t="s">
        <v>58</v>
      </c>
      <c r="S269" s="3">
        <v>0.15</v>
      </c>
      <c r="T269">
        <v>0</v>
      </c>
      <c r="U269" t="s">
        <v>247</v>
      </c>
      <c r="V269" t="s">
        <v>248</v>
      </c>
      <c r="W269">
        <v>0</v>
      </c>
      <c r="X269" s="2">
        <v>0</v>
      </c>
      <c r="Y269" s="2">
        <v>2.85</v>
      </c>
      <c r="Z269" s="2">
        <v>2.85</v>
      </c>
      <c r="AA269" s="2">
        <v>2.85</v>
      </c>
      <c r="AB269" s="2">
        <v>0</v>
      </c>
    </row>
    <row r="270" spans="1:28" x14ac:dyDescent="0.25">
      <c r="A270">
        <v>2027108944</v>
      </c>
      <c r="B270" t="s">
        <v>1030</v>
      </c>
      <c r="C270" t="s">
        <v>1031</v>
      </c>
      <c r="D270" t="str">
        <f t="shared" si="9"/>
        <v>LAUREN SHEN</v>
      </c>
      <c r="E270" t="s">
        <v>200</v>
      </c>
      <c r="F270" t="s">
        <v>194</v>
      </c>
      <c r="G270" t="s">
        <v>195</v>
      </c>
      <c r="H270" t="s">
        <v>195</v>
      </c>
      <c r="I270" s="8">
        <v>17094718</v>
      </c>
      <c r="J270" t="s">
        <v>612</v>
      </c>
      <c r="K270" t="s">
        <v>211</v>
      </c>
      <c r="L270" t="str">
        <f t="shared" si="8"/>
        <v>GREGORY HANSFORD</v>
      </c>
      <c r="M270" t="s">
        <v>1133</v>
      </c>
      <c r="N270" t="s">
        <v>57</v>
      </c>
      <c r="O270" s="1">
        <v>45717</v>
      </c>
      <c r="P270" s="1">
        <v>46235</v>
      </c>
      <c r="Q270" s="2">
        <v>28.78</v>
      </c>
      <c r="R270" t="s">
        <v>58</v>
      </c>
      <c r="S270" s="3">
        <v>0.15</v>
      </c>
      <c r="T270">
        <v>0</v>
      </c>
      <c r="U270" t="s">
        <v>247</v>
      </c>
      <c r="V270" t="s">
        <v>248</v>
      </c>
      <c r="W270">
        <v>0</v>
      </c>
      <c r="X270" s="2">
        <v>0</v>
      </c>
      <c r="Y270" s="2">
        <v>4.32</v>
      </c>
      <c r="Z270" s="2">
        <v>4.32</v>
      </c>
      <c r="AA270" s="2">
        <v>4.32</v>
      </c>
      <c r="AB270" s="2">
        <v>0</v>
      </c>
    </row>
    <row r="271" spans="1:28" x14ac:dyDescent="0.25">
      <c r="A271">
        <v>2029145085</v>
      </c>
      <c r="B271" t="s">
        <v>610</v>
      </c>
      <c r="C271" t="s">
        <v>611</v>
      </c>
      <c r="D271" t="str">
        <f t="shared" si="9"/>
        <v>JUDITH O'REILLY</v>
      </c>
      <c r="E271" t="s">
        <v>89</v>
      </c>
      <c r="F271" t="s">
        <v>194</v>
      </c>
      <c r="G271" t="s">
        <v>195</v>
      </c>
      <c r="H271" t="s">
        <v>195</v>
      </c>
      <c r="I271" s="8">
        <v>17094718</v>
      </c>
      <c r="J271" t="s">
        <v>612</v>
      </c>
      <c r="K271" t="s">
        <v>211</v>
      </c>
      <c r="L271" t="str">
        <f t="shared" si="8"/>
        <v>GREGORY HANSFORD</v>
      </c>
      <c r="M271" t="s">
        <v>1133</v>
      </c>
      <c r="N271" t="s">
        <v>57</v>
      </c>
      <c r="O271" s="1">
        <v>45805</v>
      </c>
      <c r="P271" s="1">
        <v>46231</v>
      </c>
      <c r="Q271" s="2">
        <v>115.38</v>
      </c>
      <c r="R271" t="s">
        <v>58</v>
      </c>
      <c r="S271" s="3">
        <v>0.15</v>
      </c>
      <c r="T271">
        <v>0</v>
      </c>
      <c r="U271" t="s">
        <v>247</v>
      </c>
      <c r="V271" t="s">
        <v>248</v>
      </c>
      <c r="W271">
        <v>0</v>
      </c>
      <c r="X271" s="2">
        <v>0</v>
      </c>
      <c r="Y271" s="2">
        <v>17.309999999999999</v>
      </c>
      <c r="Z271" s="2">
        <v>17.309999999999999</v>
      </c>
      <c r="AA271" s="2">
        <v>17.309999999999999</v>
      </c>
      <c r="AB271" s="2">
        <v>0</v>
      </c>
    </row>
    <row r="272" spans="1:28" x14ac:dyDescent="0.25">
      <c r="A272">
        <v>2033094198</v>
      </c>
      <c r="B272" t="s">
        <v>569</v>
      </c>
      <c r="C272" t="s">
        <v>533</v>
      </c>
      <c r="D272" t="str">
        <f t="shared" si="9"/>
        <v>JULIE ROBERTS</v>
      </c>
      <c r="E272" t="s">
        <v>89</v>
      </c>
      <c r="F272" t="s">
        <v>194</v>
      </c>
      <c r="G272" t="s">
        <v>195</v>
      </c>
      <c r="H272" t="s">
        <v>195</v>
      </c>
      <c r="I272" s="8" t="s">
        <v>1111</v>
      </c>
      <c r="J272" t="s">
        <v>612</v>
      </c>
      <c r="K272" t="s">
        <v>211</v>
      </c>
      <c r="L272" t="str">
        <f t="shared" si="8"/>
        <v>GREGORY HANSFORD</v>
      </c>
      <c r="M272" t="s">
        <v>1134</v>
      </c>
      <c r="N272" t="s">
        <v>57</v>
      </c>
      <c r="O272" s="1">
        <v>46054</v>
      </c>
      <c r="P272" s="1">
        <v>46235</v>
      </c>
      <c r="Q272" s="2">
        <v>26.5</v>
      </c>
      <c r="R272" t="s">
        <v>58</v>
      </c>
      <c r="S272" s="3">
        <v>0.7</v>
      </c>
      <c r="T272">
        <v>0</v>
      </c>
      <c r="U272" t="s">
        <v>60</v>
      </c>
      <c r="V272" t="s">
        <v>248</v>
      </c>
      <c r="W272">
        <v>0</v>
      </c>
      <c r="X272" s="2">
        <v>0</v>
      </c>
      <c r="Y272" s="2">
        <v>18.55</v>
      </c>
      <c r="Z272" s="2">
        <v>0</v>
      </c>
      <c r="AA272" s="2">
        <v>0</v>
      </c>
      <c r="AB272" s="2">
        <v>0</v>
      </c>
    </row>
    <row r="273" spans="1:28" x14ac:dyDescent="0.25">
      <c r="A273">
        <v>2029145084</v>
      </c>
      <c r="B273" t="s">
        <v>610</v>
      </c>
      <c r="C273" t="s">
        <v>611</v>
      </c>
      <c r="D273" t="str">
        <f t="shared" si="9"/>
        <v>JUDITH O'REILLY</v>
      </c>
      <c r="E273" t="s">
        <v>89</v>
      </c>
      <c r="F273" t="s">
        <v>133</v>
      </c>
      <c r="G273" t="s">
        <v>134</v>
      </c>
      <c r="H273" t="s">
        <v>134</v>
      </c>
      <c r="I273" s="8">
        <v>17094718</v>
      </c>
      <c r="J273" t="s">
        <v>612</v>
      </c>
      <c r="K273" t="s">
        <v>211</v>
      </c>
      <c r="L273" t="str">
        <f t="shared" si="8"/>
        <v>GREGORY HANSFORD</v>
      </c>
      <c r="M273" t="s">
        <v>1133</v>
      </c>
      <c r="N273" t="s">
        <v>57</v>
      </c>
      <c r="O273" s="1">
        <v>45805</v>
      </c>
      <c r="P273" s="1">
        <v>46231</v>
      </c>
      <c r="Q273" s="2">
        <v>27.64</v>
      </c>
      <c r="R273" t="s">
        <v>58</v>
      </c>
      <c r="S273" s="3">
        <v>0.06</v>
      </c>
      <c r="T273">
        <v>0</v>
      </c>
      <c r="U273" t="s">
        <v>247</v>
      </c>
      <c r="V273" t="s">
        <v>248</v>
      </c>
      <c r="W273">
        <v>0</v>
      </c>
      <c r="X273" s="2">
        <v>0</v>
      </c>
      <c r="Y273" s="2">
        <v>1.66</v>
      </c>
      <c r="Z273" s="2">
        <v>1.66</v>
      </c>
      <c r="AA273" s="2">
        <v>1.66</v>
      </c>
      <c r="AB273" s="2">
        <v>0</v>
      </c>
    </row>
    <row r="274" spans="1:28" x14ac:dyDescent="0.25">
      <c r="A274">
        <v>2018192802</v>
      </c>
      <c r="B274" t="s">
        <v>336</v>
      </c>
      <c r="C274" t="s">
        <v>337</v>
      </c>
      <c r="D274" t="str">
        <f t="shared" si="9"/>
        <v>MELISSA MERCER</v>
      </c>
      <c r="E274" t="s">
        <v>124</v>
      </c>
      <c r="F274" t="s">
        <v>69</v>
      </c>
      <c r="G274" t="s">
        <v>338</v>
      </c>
      <c r="H274" t="s">
        <v>1079</v>
      </c>
      <c r="I274" s="8">
        <v>8307933</v>
      </c>
      <c r="J274" t="s">
        <v>210</v>
      </c>
      <c r="K274" t="s">
        <v>211</v>
      </c>
      <c r="L274" t="str">
        <f t="shared" si="8"/>
        <v>GREGORY TEIPEL</v>
      </c>
      <c r="M274" t="s">
        <v>1133</v>
      </c>
      <c r="N274" t="s">
        <v>57</v>
      </c>
      <c r="O274" s="1">
        <v>45015</v>
      </c>
      <c r="P274" s="1">
        <v>46233</v>
      </c>
      <c r="Q274" s="2">
        <v>206.88</v>
      </c>
      <c r="R274" t="s">
        <v>58</v>
      </c>
      <c r="S274" s="3">
        <v>0.1</v>
      </c>
      <c r="T274">
        <v>0</v>
      </c>
      <c r="U274" t="s">
        <v>247</v>
      </c>
      <c r="V274" t="s">
        <v>248</v>
      </c>
      <c r="W274">
        <v>0</v>
      </c>
      <c r="X274" s="2">
        <v>0</v>
      </c>
      <c r="Y274" s="2">
        <v>20.69</v>
      </c>
      <c r="Z274" s="2">
        <v>20.69</v>
      </c>
      <c r="AA274" s="2">
        <v>20.69</v>
      </c>
      <c r="AB274" s="2">
        <v>0</v>
      </c>
    </row>
    <row r="275" spans="1:28" x14ac:dyDescent="0.25">
      <c r="A275">
        <v>2023647898</v>
      </c>
      <c r="B275" t="s">
        <v>340</v>
      </c>
      <c r="C275" t="s">
        <v>341</v>
      </c>
      <c r="D275" t="str">
        <f t="shared" si="9"/>
        <v>ZEEL ZAVERI</v>
      </c>
      <c r="E275" t="s">
        <v>167</v>
      </c>
      <c r="F275" t="s">
        <v>69</v>
      </c>
      <c r="G275" t="s">
        <v>338</v>
      </c>
      <c r="H275" t="s">
        <v>1079</v>
      </c>
      <c r="I275" s="8">
        <v>8307933</v>
      </c>
      <c r="J275" t="s">
        <v>210</v>
      </c>
      <c r="K275" t="s">
        <v>211</v>
      </c>
      <c r="L275" t="str">
        <f t="shared" si="8"/>
        <v>GREGORY TEIPEL</v>
      </c>
      <c r="M275" t="s">
        <v>1133</v>
      </c>
      <c r="N275" t="s">
        <v>57</v>
      </c>
      <c r="O275" s="1">
        <v>45474</v>
      </c>
      <c r="P275" s="1">
        <v>46235</v>
      </c>
      <c r="Q275" s="2">
        <v>28.75</v>
      </c>
      <c r="R275" t="s">
        <v>58</v>
      </c>
      <c r="S275" s="3">
        <v>0.1</v>
      </c>
      <c r="T275">
        <v>0</v>
      </c>
      <c r="U275" t="s">
        <v>247</v>
      </c>
      <c r="V275" t="s">
        <v>248</v>
      </c>
      <c r="W275">
        <v>0</v>
      </c>
      <c r="X275" s="2">
        <v>0</v>
      </c>
      <c r="Y275" s="2">
        <v>2.88</v>
      </c>
      <c r="Z275" s="2">
        <v>2.88</v>
      </c>
      <c r="AA275" s="2">
        <v>2.88</v>
      </c>
      <c r="AB275" s="2">
        <v>0</v>
      </c>
    </row>
    <row r="276" spans="1:28" x14ac:dyDescent="0.25">
      <c r="A276">
        <v>2032220270</v>
      </c>
      <c r="B276" t="s">
        <v>391</v>
      </c>
      <c r="C276" t="s">
        <v>392</v>
      </c>
      <c r="D276" t="str">
        <f t="shared" si="9"/>
        <v>ALICIA MEYER</v>
      </c>
      <c r="E276" t="s">
        <v>100</v>
      </c>
      <c r="F276" t="s">
        <v>69</v>
      </c>
      <c r="G276" t="s">
        <v>70</v>
      </c>
      <c r="H276" t="s">
        <v>1079</v>
      </c>
      <c r="I276" s="8">
        <v>8307933</v>
      </c>
      <c r="J276" t="s">
        <v>210</v>
      </c>
      <c r="K276" t="s">
        <v>211</v>
      </c>
      <c r="L276" t="str">
        <f t="shared" si="8"/>
        <v>GREGORY TEIPEL</v>
      </c>
      <c r="M276" t="s">
        <v>1133</v>
      </c>
      <c r="N276" t="s">
        <v>57</v>
      </c>
      <c r="O276" s="1">
        <v>45992</v>
      </c>
      <c r="P276" s="1">
        <v>46235</v>
      </c>
      <c r="Q276" s="2">
        <v>49.27</v>
      </c>
      <c r="R276" t="s">
        <v>58</v>
      </c>
      <c r="S276" s="3">
        <v>0.75</v>
      </c>
      <c r="T276">
        <v>0</v>
      </c>
      <c r="U276" t="s">
        <v>60</v>
      </c>
      <c r="V276" t="s">
        <v>248</v>
      </c>
      <c r="W276">
        <v>0</v>
      </c>
      <c r="X276" s="2">
        <v>0</v>
      </c>
      <c r="Y276" s="2">
        <v>36.950000000000003</v>
      </c>
      <c r="Z276" s="2">
        <v>36.950000000000003</v>
      </c>
      <c r="AA276" s="2">
        <v>36.950000000000003</v>
      </c>
      <c r="AB276" s="2">
        <v>0</v>
      </c>
    </row>
    <row r="277" spans="1:28" x14ac:dyDescent="0.25">
      <c r="A277">
        <v>2033179605</v>
      </c>
      <c r="B277" t="s">
        <v>494</v>
      </c>
      <c r="C277" t="s">
        <v>495</v>
      </c>
      <c r="D277" t="str">
        <f t="shared" si="9"/>
        <v>BUFFY BEAVER</v>
      </c>
      <c r="E277" t="s">
        <v>496</v>
      </c>
      <c r="F277" t="s">
        <v>69</v>
      </c>
      <c r="G277" t="s">
        <v>338</v>
      </c>
      <c r="H277" t="s">
        <v>1079</v>
      </c>
      <c r="I277" s="8">
        <v>8307933</v>
      </c>
      <c r="J277" t="s">
        <v>210</v>
      </c>
      <c r="K277" t="s">
        <v>211</v>
      </c>
      <c r="L277" t="str">
        <f t="shared" si="8"/>
        <v>GREGORY TEIPEL</v>
      </c>
      <c r="M277" t="s">
        <v>1133</v>
      </c>
      <c r="N277" t="s">
        <v>57</v>
      </c>
      <c r="O277" s="1">
        <v>46054</v>
      </c>
      <c r="P277" s="1">
        <v>46235</v>
      </c>
      <c r="Q277" s="2">
        <v>93.15</v>
      </c>
      <c r="R277" t="s">
        <v>58</v>
      </c>
      <c r="S277" s="3">
        <v>0.75</v>
      </c>
      <c r="T277">
        <v>0</v>
      </c>
      <c r="U277" t="s">
        <v>60</v>
      </c>
      <c r="V277" t="s">
        <v>248</v>
      </c>
      <c r="W277">
        <v>0</v>
      </c>
      <c r="X277" s="2">
        <v>0</v>
      </c>
      <c r="Y277" s="2">
        <v>69.86</v>
      </c>
      <c r="Z277" s="2">
        <v>0</v>
      </c>
      <c r="AA277" s="2">
        <v>0</v>
      </c>
      <c r="AB277" s="2">
        <v>0</v>
      </c>
    </row>
    <row r="278" spans="1:28" x14ac:dyDescent="0.25">
      <c r="A278">
        <v>2032220272</v>
      </c>
      <c r="B278" t="s">
        <v>391</v>
      </c>
      <c r="C278" t="s">
        <v>392</v>
      </c>
      <c r="D278" t="str">
        <f t="shared" si="9"/>
        <v>ALICIA MEYER</v>
      </c>
      <c r="E278" t="s">
        <v>100</v>
      </c>
      <c r="F278" t="s">
        <v>149</v>
      </c>
      <c r="G278" t="s">
        <v>584</v>
      </c>
      <c r="H278" t="s">
        <v>1082</v>
      </c>
      <c r="I278" s="8">
        <v>8307933</v>
      </c>
      <c r="J278" t="s">
        <v>210</v>
      </c>
      <c r="K278" t="s">
        <v>211</v>
      </c>
      <c r="L278" t="str">
        <f t="shared" si="8"/>
        <v>GREGORY TEIPEL</v>
      </c>
      <c r="M278" t="s">
        <v>1133</v>
      </c>
      <c r="N278" t="s">
        <v>57</v>
      </c>
      <c r="O278" s="1">
        <v>45992</v>
      </c>
      <c r="P278" s="1">
        <v>46235</v>
      </c>
      <c r="Q278" s="2">
        <v>15</v>
      </c>
      <c r="R278" t="s">
        <v>58</v>
      </c>
      <c r="S278" s="3">
        <v>0.28999999999999998</v>
      </c>
      <c r="T278">
        <v>0</v>
      </c>
      <c r="U278" t="s">
        <v>60</v>
      </c>
      <c r="V278" t="s">
        <v>248</v>
      </c>
      <c r="W278">
        <v>0</v>
      </c>
      <c r="X278" s="2">
        <v>0</v>
      </c>
      <c r="Y278" s="2">
        <v>4.3499999999999996</v>
      </c>
      <c r="Z278" s="2">
        <v>4.3499999999999996</v>
      </c>
      <c r="AA278" s="2">
        <v>4.3499999999999996</v>
      </c>
      <c r="AB278" s="2">
        <v>0</v>
      </c>
    </row>
    <row r="279" spans="1:28" x14ac:dyDescent="0.25">
      <c r="A279">
        <v>2032220271</v>
      </c>
      <c r="B279" t="s">
        <v>391</v>
      </c>
      <c r="C279" t="s">
        <v>392</v>
      </c>
      <c r="D279" t="str">
        <f t="shared" si="9"/>
        <v>ALICIA MEYER</v>
      </c>
      <c r="E279" t="s">
        <v>100</v>
      </c>
      <c r="F279" t="s">
        <v>237</v>
      </c>
      <c r="G279" t="s">
        <v>852</v>
      </c>
      <c r="H279" t="s">
        <v>853</v>
      </c>
      <c r="I279" s="8">
        <v>8307933</v>
      </c>
      <c r="J279" t="s">
        <v>210</v>
      </c>
      <c r="K279" t="s">
        <v>211</v>
      </c>
      <c r="L279" t="str">
        <f t="shared" si="8"/>
        <v>GREGORY TEIPEL</v>
      </c>
      <c r="M279" t="s">
        <v>1133</v>
      </c>
      <c r="N279" t="s">
        <v>57</v>
      </c>
      <c r="O279" s="1">
        <v>45992</v>
      </c>
      <c r="P279" s="1">
        <v>46235</v>
      </c>
      <c r="Q279" s="2">
        <v>1550.54</v>
      </c>
      <c r="R279" t="s">
        <v>58</v>
      </c>
      <c r="S279" s="3">
        <v>0.28999999999999998</v>
      </c>
      <c r="T279">
        <v>0</v>
      </c>
      <c r="U279" t="s">
        <v>60</v>
      </c>
      <c r="V279" t="s">
        <v>248</v>
      </c>
      <c r="W279">
        <v>0</v>
      </c>
      <c r="X279" s="2">
        <v>0</v>
      </c>
      <c r="Y279" s="2">
        <v>449.66</v>
      </c>
      <c r="Z279" s="2">
        <v>449.66</v>
      </c>
      <c r="AA279" s="2">
        <v>449.66</v>
      </c>
      <c r="AB279" s="2">
        <v>0</v>
      </c>
    </row>
    <row r="280" spans="1:28" x14ac:dyDescent="0.25">
      <c r="A280">
        <v>2032220269</v>
      </c>
      <c r="B280" t="s">
        <v>391</v>
      </c>
      <c r="C280" t="s">
        <v>392</v>
      </c>
      <c r="D280" t="str">
        <f t="shared" si="9"/>
        <v>ALICIA MEYER</v>
      </c>
      <c r="E280" t="s">
        <v>100</v>
      </c>
      <c r="F280" t="s">
        <v>194</v>
      </c>
      <c r="G280" t="s">
        <v>195</v>
      </c>
      <c r="H280" t="s">
        <v>195</v>
      </c>
      <c r="I280" s="8">
        <v>8307933</v>
      </c>
      <c r="J280" t="s">
        <v>210</v>
      </c>
      <c r="K280" t="s">
        <v>211</v>
      </c>
      <c r="L280" t="str">
        <f t="shared" si="8"/>
        <v>GREGORY TEIPEL</v>
      </c>
      <c r="M280" t="s">
        <v>1133</v>
      </c>
      <c r="N280" t="s">
        <v>57</v>
      </c>
      <c r="O280" s="1">
        <v>45992</v>
      </c>
      <c r="P280" s="1">
        <v>46235</v>
      </c>
      <c r="Q280" s="2">
        <v>41.66</v>
      </c>
      <c r="R280" t="s">
        <v>58</v>
      </c>
      <c r="S280" s="3">
        <v>0.7</v>
      </c>
      <c r="T280">
        <v>0</v>
      </c>
      <c r="U280" t="s">
        <v>60</v>
      </c>
      <c r="V280" t="s">
        <v>248</v>
      </c>
      <c r="W280">
        <v>0</v>
      </c>
      <c r="X280" s="2">
        <v>0</v>
      </c>
      <c r="Y280" s="2">
        <v>29.16</v>
      </c>
      <c r="Z280" s="2">
        <v>29.16</v>
      </c>
      <c r="AA280" s="2">
        <v>29.16</v>
      </c>
      <c r="AB280" s="2">
        <v>0</v>
      </c>
    </row>
    <row r="281" spans="1:28" x14ac:dyDescent="0.25">
      <c r="A281">
        <v>2033179603</v>
      </c>
      <c r="B281" t="s">
        <v>494</v>
      </c>
      <c r="C281" t="s">
        <v>495</v>
      </c>
      <c r="D281" t="str">
        <f t="shared" si="9"/>
        <v>BUFFY BEAVER</v>
      </c>
      <c r="E281" t="s">
        <v>496</v>
      </c>
      <c r="F281" t="s">
        <v>194</v>
      </c>
      <c r="G281" t="s">
        <v>195</v>
      </c>
      <c r="H281" t="s">
        <v>195</v>
      </c>
      <c r="I281" s="8">
        <v>8307933</v>
      </c>
      <c r="J281" t="s">
        <v>210</v>
      </c>
      <c r="K281" t="s">
        <v>211</v>
      </c>
      <c r="L281" t="str">
        <f t="shared" si="8"/>
        <v>GREGORY TEIPEL</v>
      </c>
      <c r="M281" t="s">
        <v>1133</v>
      </c>
      <c r="N281" t="s">
        <v>57</v>
      </c>
      <c r="O281" s="1">
        <v>46054</v>
      </c>
      <c r="P281" s="1">
        <v>46235</v>
      </c>
      <c r="Q281" s="2">
        <v>94.38</v>
      </c>
      <c r="R281" t="s">
        <v>58</v>
      </c>
      <c r="S281" s="3">
        <v>0.7</v>
      </c>
      <c r="T281">
        <v>0</v>
      </c>
      <c r="U281" t="s">
        <v>60</v>
      </c>
      <c r="V281" t="s">
        <v>248</v>
      </c>
      <c r="W281">
        <v>0</v>
      </c>
      <c r="X281" s="2">
        <v>0</v>
      </c>
      <c r="Y281" s="2">
        <v>66.069999999999993</v>
      </c>
      <c r="Z281" s="2">
        <v>0</v>
      </c>
      <c r="AA281" s="2">
        <v>0</v>
      </c>
      <c r="AB281" s="2">
        <v>0</v>
      </c>
    </row>
    <row r="282" spans="1:28" x14ac:dyDescent="0.25">
      <c r="A282">
        <v>2017377178</v>
      </c>
      <c r="B282" t="s">
        <v>446</v>
      </c>
      <c r="C282" t="s">
        <v>657</v>
      </c>
      <c r="D282" t="str">
        <f t="shared" si="9"/>
        <v>HOLLY MILLER</v>
      </c>
      <c r="E282" t="s">
        <v>89</v>
      </c>
      <c r="F282" t="s">
        <v>133</v>
      </c>
      <c r="G282" t="s">
        <v>134</v>
      </c>
      <c r="H282" t="s">
        <v>134</v>
      </c>
      <c r="I282" s="8">
        <v>8307933</v>
      </c>
      <c r="J282" t="s">
        <v>210</v>
      </c>
      <c r="K282" t="s">
        <v>211</v>
      </c>
      <c r="L282" t="str">
        <f t="shared" si="8"/>
        <v>GREGORY TEIPEL</v>
      </c>
      <c r="M282" t="s">
        <v>1133</v>
      </c>
      <c r="N282" t="s">
        <v>57</v>
      </c>
      <c r="O282" s="1">
        <v>44958</v>
      </c>
      <c r="P282" s="1">
        <v>46235</v>
      </c>
      <c r="Q282" s="2">
        <v>45.2</v>
      </c>
      <c r="R282" t="s">
        <v>58</v>
      </c>
      <c r="S282" s="3">
        <v>0.06</v>
      </c>
      <c r="T282">
        <v>0</v>
      </c>
      <c r="U282" t="s">
        <v>247</v>
      </c>
      <c r="V282" t="s">
        <v>248</v>
      </c>
      <c r="W282">
        <v>0</v>
      </c>
      <c r="X282" s="2">
        <v>0</v>
      </c>
      <c r="Y282" s="2">
        <v>2.71</v>
      </c>
      <c r="Z282" s="2">
        <v>2.71</v>
      </c>
      <c r="AA282" s="2">
        <v>2.71</v>
      </c>
      <c r="AB282" s="2">
        <v>0</v>
      </c>
    </row>
    <row r="283" spans="1:28" x14ac:dyDescent="0.25">
      <c r="A283">
        <v>2023647897</v>
      </c>
      <c r="B283" t="s">
        <v>340</v>
      </c>
      <c r="C283" t="s">
        <v>341</v>
      </c>
      <c r="D283" t="str">
        <f t="shared" si="9"/>
        <v>ZEEL ZAVERI</v>
      </c>
      <c r="E283" t="s">
        <v>167</v>
      </c>
      <c r="F283" t="s">
        <v>133</v>
      </c>
      <c r="G283" t="s">
        <v>134</v>
      </c>
      <c r="H283" t="s">
        <v>134</v>
      </c>
      <c r="I283" s="8">
        <v>8307933</v>
      </c>
      <c r="J283" t="s">
        <v>210</v>
      </c>
      <c r="K283" t="s">
        <v>211</v>
      </c>
      <c r="L283" t="str">
        <f t="shared" si="8"/>
        <v>GREGORY TEIPEL</v>
      </c>
      <c r="M283" t="s">
        <v>1133</v>
      </c>
      <c r="N283" t="s">
        <v>57</v>
      </c>
      <c r="O283" s="1">
        <v>45474</v>
      </c>
      <c r="P283" s="1">
        <v>46235</v>
      </c>
      <c r="Q283" s="2">
        <v>50.03</v>
      </c>
      <c r="R283" t="s">
        <v>58</v>
      </c>
      <c r="S283" s="3">
        <v>0.06</v>
      </c>
      <c r="T283">
        <v>0</v>
      </c>
      <c r="U283" t="s">
        <v>247</v>
      </c>
      <c r="V283" t="s">
        <v>248</v>
      </c>
      <c r="W283">
        <v>0</v>
      </c>
      <c r="X283" s="2">
        <v>0</v>
      </c>
      <c r="Y283" s="2">
        <v>3</v>
      </c>
      <c r="Z283" s="2">
        <v>3</v>
      </c>
      <c r="AA283" s="2">
        <v>3</v>
      </c>
      <c r="AB283" s="2">
        <v>0</v>
      </c>
    </row>
    <row r="284" spans="1:28" x14ac:dyDescent="0.25">
      <c r="A284">
        <v>2033179604</v>
      </c>
      <c r="B284" t="s">
        <v>494</v>
      </c>
      <c r="C284" t="s">
        <v>495</v>
      </c>
      <c r="D284" t="str">
        <f t="shared" si="9"/>
        <v>BUFFY BEAVER</v>
      </c>
      <c r="E284" t="s">
        <v>496</v>
      </c>
      <c r="F284" t="s">
        <v>133</v>
      </c>
      <c r="G284" t="s">
        <v>134</v>
      </c>
      <c r="H284" t="s">
        <v>134</v>
      </c>
      <c r="I284" s="8">
        <v>8307933</v>
      </c>
      <c r="J284" t="s">
        <v>210</v>
      </c>
      <c r="K284" t="s">
        <v>211</v>
      </c>
      <c r="L284" t="str">
        <f t="shared" si="8"/>
        <v>GREGORY TEIPEL</v>
      </c>
      <c r="M284" t="s">
        <v>1133</v>
      </c>
      <c r="N284" t="s">
        <v>57</v>
      </c>
      <c r="O284" s="1">
        <v>46054</v>
      </c>
      <c r="P284" s="1">
        <v>46235</v>
      </c>
      <c r="Q284" s="2">
        <v>84.72</v>
      </c>
      <c r="R284" t="s">
        <v>58</v>
      </c>
      <c r="S284" s="4">
        <v>0.375</v>
      </c>
      <c r="T284">
        <v>0</v>
      </c>
      <c r="U284" t="s">
        <v>60</v>
      </c>
      <c r="V284" t="s">
        <v>248</v>
      </c>
      <c r="W284">
        <v>0</v>
      </c>
      <c r="X284" s="2">
        <v>0</v>
      </c>
      <c r="Y284" s="2">
        <v>31.77</v>
      </c>
      <c r="Z284" s="2">
        <v>0</v>
      </c>
      <c r="AA284" s="2">
        <v>0</v>
      </c>
      <c r="AB284" s="2">
        <v>0</v>
      </c>
    </row>
    <row r="285" spans="1:28" x14ac:dyDescent="0.25">
      <c r="A285">
        <v>2017383051</v>
      </c>
      <c r="B285" t="s">
        <v>1001</v>
      </c>
      <c r="C285" t="s">
        <v>1002</v>
      </c>
      <c r="D285" t="str">
        <f t="shared" si="9"/>
        <v>ROGER PHELPS</v>
      </c>
      <c r="E285" t="s">
        <v>167</v>
      </c>
      <c r="F285" t="s">
        <v>194</v>
      </c>
      <c r="G285" t="s">
        <v>217</v>
      </c>
      <c r="H285" t="s">
        <v>217</v>
      </c>
      <c r="I285" s="8">
        <v>8307933</v>
      </c>
      <c r="J285" t="s">
        <v>210</v>
      </c>
      <c r="K285" t="s">
        <v>211</v>
      </c>
      <c r="L285" t="str">
        <f t="shared" si="8"/>
        <v>GREGORY TEIPEL</v>
      </c>
      <c r="M285" t="s">
        <v>1133</v>
      </c>
      <c r="N285" t="s">
        <v>57</v>
      </c>
      <c r="O285" s="1">
        <v>44959</v>
      </c>
      <c r="P285" s="1">
        <v>46236</v>
      </c>
      <c r="Q285" s="2">
        <v>211.08</v>
      </c>
      <c r="R285" t="s">
        <v>58</v>
      </c>
      <c r="S285" s="3">
        <v>0.1</v>
      </c>
      <c r="T285">
        <v>0</v>
      </c>
      <c r="U285" t="s">
        <v>247</v>
      </c>
      <c r="V285" t="s">
        <v>248</v>
      </c>
      <c r="W285">
        <v>0</v>
      </c>
      <c r="X285" s="2">
        <v>0</v>
      </c>
      <c r="Y285" s="2">
        <v>21.11</v>
      </c>
      <c r="Z285" s="2">
        <v>21.11</v>
      </c>
      <c r="AA285" s="2">
        <v>21.11</v>
      </c>
      <c r="AB285" s="2">
        <v>0</v>
      </c>
    </row>
    <row r="286" spans="1:28" x14ac:dyDescent="0.25">
      <c r="A286">
        <v>2018192803</v>
      </c>
      <c r="B286" t="s">
        <v>336</v>
      </c>
      <c r="C286" t="s">
        <v>337</v>
      </c>
      <c r="D286" t="str">
        <f t="shared" si="9"/>
        <v>MELISSA MERCER</v>
      </c>
      <c r="E286" t="s">
        <v>124</v>
      </c>
      <c r="F286" t="s">
        <v>194</v>
      </c>
      <c r="G286" t="s">
        <v>217</v>
      </c>
      <c r="H286" t="s">
        <v>217</v>
      </c>
      <c r="I286" s="8">
        <v>8307933</v>
      </c>
      <c r="J286" t="s">
        <v>210</v>
      </c>
      <c r="K286" t="s">
        <v>211</v>
      </c>
      <c r="L286" t="str">
        <f t="shared" si="8"/>
        <v>GREGORY TEIPEL</v>
      </c>
      <c r="M286" t="s">
        <v>1133</v>
      </c>
      <c r="N286" t="s">
        <v>57</v>
      </c>
      <c r="O286" s="1">
        <v>45015</v>
      </c>
      <c r="P286" s="1">
        <v>46233</v>
      </c>
      <c r="Q286" s="2">
        <v>75.44</v>
      </c>
      <c r="R286" t="s">
        <v>58</v>
      </c>
      <c r="S286" s="3">
        <v>0.1</v>
      </c>
      <c r="T286">
        <v>0</v>
      </c>
      <c r="U286" t="s">
        <v>247</v>
      </c>
      <c r="V286" t="s">
        <v>248</v>
      </c>
      <c r="W286">
        <v>0</v>
      </c>
      <c r="X286" s="2">
        <v>0</v>
      </c>
      <c r="Y286" s="2">
        <v>7.54</v>
      </c>
      <c r="Z286" s="2">
        <v>7.54</v>
      </c>
      <c r="AA286" s="2">
        <v>7.54</v>
      </c>
      <c r="AB286" s="2">
        <v>0</v>
      </c>
    </row>
    <row r="287" spans="1:28" x14ac:dyDescent="0.25">
      <c r="A287">
        <v>2035675440</v>
      </c>
      <c r="B287" t="s">
        <v>845</v>
      </c>
      <c r="C287" t="s">
        <v>846</v>
      </c>
      <c r="D287" t="str">
        <f t="shared" si="9"/>
        <v>DASCEL HERROLD</v>
      </c>
      <c r="E287" t="s">
        <v>397</v>
      </c>
      <c r="F287" t="s">
        <v>194</v>
      </c>
      <c r="G287" t="s">
        <v>217</v>
      </c>
      <c r="H287" t="s">
        <v>217</v>
      </c>
      <c r="I287" s="8">
        <v>14903711</v>
      </c>
      <c r="J287" t="s">
        <v>210</v>
      </c>
      <c r="K287" t="s">
        <v>211</v>
      </c>
      <c r="L287" t="str">
        <f t="shared" si="8"/>
        <v>GREGORY TEIPEL</v>
      </c>
      <c r="M287" t="s">
        <v>1133</v>
      </c>
      <c r="N287" t="s">
        <v>57</v>
      </c>
      <c r="O287" s="1">
        <v>46169</v>
      </c>
      <c r="P287" s="1">
        <v>46230</v>
      </c>
      <c r="Q287" s="2">
        <v>80.38</v>
      </c>
      <c r="R287" t="s">
        <v>58</v>
      </c>
      <c r="S287" s="3">
        <v>0.9</v>
      </c>
      <c r="T287">
        <v>0</v>
      </c>
      <c r="U287" t="s">
        <v>60</v>
      </c>
      <c r="V287" t="s">
        <v>248</v>
      </c>
      <c r="W287">
        <v>0</v>
      </c>
      <c r="X287" s="2">
        <v>0</v>
      </c>
      <c r="Y287" s="2">
        <v>72.34</v>
      </c>
      <c r="Z287" s="2">
        <v>0</v>
      </c>
      <c r="AA287" s="2">
        <v>0</v>
      </c>
      <c r="AB287" s="2">
        <v>0</v>
      </c>
    </row>
    <row r="288" spans="1:28" x14ac:dyDescent="0.25">
      <c r="A288">
        <v>2033068351</v>
      </c>
      <c r="B288" t="s">
        <v>448</v>
      </c>
      <c r="C288" t="s">
        <v>449</v>
      </c>
      <c r="D288" t="str">
        <f t="shared" si="9"/>
        <v>EMILY WHITAKER</v>
      </c>
      <c r="E288" t="s">
        <v>94</v>
      </c>
      <c r="F288" t="s">
        <v>69</v>
      </c>
      <c r="G288" t="s">
        <v>70</v>
      </c>
      <c r="H288" t="s">
        <v>1079</v>
      </c>
      <c r="I288" s="8" t="s">
        <v>1093</v>
      </c>
      <c r="J288" t="s">
        <v>80</v>
      </c>
      <c r="K288" t="s">
        <v>81</v>
      </c>
      <c r="L288" t="str">
        <f t="shared" si="8"/>
        <v>Heather Geske</v>
      </c>
      <c r="M288" t="s">
        <v>1134</v>
      </c>
      <c r="N288" t="s">
        <v>57</v>
      </c>
      <c r="O288" s="1">
        <v>46054</v>
      </c>
      <c r="P288" s="1">
        <v>46235</v>
      </c>
      <c r="Q288" s="2">
        <v>10.210000000000001</v>
      </c>
      <c r="R288" t="s">
        <v>58</v>
      </c>
      <c r="S288" s="3">
        <v>0.75</v>
      </c>
      <c r="T288">
        <v>0</v>
      </c>
      <c r="U288" t="s">
        <v>60</v>
      </c>
      <c r="V288" t="s">
        <v>248</v>
      </c>
      <c r="W288">
        <v>0</v>
      </c>
      <c r="X288" s="2">
        <v>0</v>
      </c>
      <c r="Y288" s="2">
        <v>7.66</v>
      </c>
      <c r="Z288" s="2">
        <v>0</v>
      </c>
      <c r="AA288" s="2">
        <v>0</v>
      </c>
      <c r="AB288" s="2">
        <v>0</v>
      </c>
    </row>
    <row r="289" spans="1:28" x14ac:dyDescent="0.25">
      <c r="A289">
        <v>2033109904</v>
      </c>
      <c r="B289" t="s">
        <v>391</v>
      </c>
      <c r="C289" t="s">
        <v>455</v>
      </c>
      <c r="D289" t="str">
        <f t="shared" si="9"/>
        <v>GRACE MEYER</v>
      </c>
      <c r="E289" t="s">
        <v>94</v>
      </c>
      <c r="F289" t="s">
        <v>69</v>
      </c>
      <c r="G289" t="s">
        <v>70</v>
      </c>
      <c r="H289" t="s">
        <v>1079</v>
      </c>
      <c r="I289" s="8" t="s">
        <v>1093</v>
      </c>
      <c r="J289" t="s">
        <v>80</v>
      </c>
      <c r="K289" t="s">
        <v>81</v>
      </c>
      <c r="L289" t="str">
        <f t="shared" si="8"/>
        <v>Heather Geske</v>
      </c>
      <c r="M289" t="s">
        <v>1134</v>
      </c>
      <c r="N289" t="s">
        <v>57</v>
      </c>
      <c r="O289" s="1">
        <v>46054</v>
      </c>
      <c r="P289" s="1">
        <v>46235</v>
      </c>
      <c r="Q289" s="2">
        <v>10.84</v>
      </c>
      <c r="R289" t="s">
        <v>58</v>
      </c>
      <c r="S289" s="3">
        <v>0.75</v>
      </c>
      <c r="T289">
        <v>0</v>
      </c>
      <c r="U289" t="s">
        <v>60</v>
      </c>
      <c r="V289" t="s">
        <v>248</v>
      </c>
      <c r="W289">
        <v>0</v>
      </c>
      <c r="X289" s="2">
        <v>0</v>
      </c>
      <c r="Y289" s="2">
        <v>8.1300000000000008</v>
      </c>
      <c r="Z289" s="2">
        <v>0</v>
      </c>
      <c r="AA289" s="2">
        <v>0</v>
      </c>
      <c r="AB289" s="2">
        <v>0</v>
      </c>
    </row>
    <row r="290" spans="1:28" x14ac:dyDescent="0.25">
      <c r="A290">
        <v>2026605720</v>
      </c>
      <c r="B290" t="s">
        <v>350</v>
      </c>
      <c r="C290" t="s">
        <v>351</v>
      </c>
      <c r="D290" t="str">
        <f t="shared" si="9"/>
        <v>ETHAN FARNSWORTH</v>
      </c>
      <c r="E290" t="s">
        <v>94</v>
      </c>
      <c r="F290" t="s">
        <v>69</v>
      </c>
      <c r="G290" t="s">
        <v>101</v>
      </c>
      <c r="H290" t="s">
        <v>1081</v>
      </c>
      <c r="I290" s="8">
        <v>16865615</v>
      </c>
      <c r="J290" t="s">
        <v>80</v>
      </c>
      <c r="K290" t="s">
        <v>81</v>
      </c>
      <c r="L290" t="str">
        <f t="shared" si="8"/>
        <v>Heather Geske</v>
      </c>
      <c r="M290" t="s">
        <v>1133</v>
      </c>
      <c r="N290" t="s">
        <v>57</v>
      </c>
      <c r="O290" s="1">
        <v>45689</v>
      </c>
      <c r="P290" s="1">
        <v>46235</v>
      </c>
      <c r="Q290" s="2">
        <v>11.98</v>
      </c>
      <c r="R290" t="s">
        <v>58</v>
      </c>
      <c r="S290" s="3">
        <v>0.1</v>
      </c>
      <c r="T290">
        <v>0</v>
      </c>
      <c r="U290" t="s">
        <v>247</v>
      </c>
      <c r="V290" t="s">
        <v>248</v>
      </c>
      <c r="W290">
        <v>0</v>
      </c>
      <c r="X290" s="2">
        <v>0</v>
      </c>
      <c r="Y290" s="2">
        <v>1.2</v>
      </c>
      <c r="Z290" s="2">
        <v>1.2</v>
      </c>
      <c r="AA290" s="2">
        <v>1.2</v>
      </c>
      <c r="AB290" s="2">
        <v>0</v>
      </c>
    </row>
    <row r="291" spans="1:28" x14ac:dyDescent="0.25">
      <c r="A291">
        <v>2026615271</v>
      </c>
      <c r="B291" t="s">
        <v>352</v>
      </c>
      <c r="C291" t="s">
        <v>353</v>
      </c>
      <c r="D291" t="str">
        <f t="shared" si="9"/>
        <v>PIERRE BOUCHARD</v>
      </c>
      <c r="E291" t="s">
        <v>94</v>
      </c>
      <c r="F291" t="s">
        <v>69</v>
      </c>
      <c r="G291" t="s">
        <v>101</v>
      </c>
      <c r="H291" t="s">
        <v>1081</v>
      </c>
      <c r="I291" s="8">
        <v>16865615</v>
      </c>
      <c r="J291" t="s">
        <v>80</v>
      </c>
      <c r="K291" t="s">
        <v>81</v>
      </c>
      <c r="L291" t="str">
        <f t="shared" si="8"/>
        <v>Heather Geske</v>
      </c>
      <c r="M291" t="s">
        <v>1133</v>
      </c>
      <c r="N291" t="s">
        <v>57</v>
      </c>
      <c r="O291" s="1">
        <v>45689</v>
      </c>
      <c r="P291" s="1">
        <v>46235</v>
      </c>
      <c r="Q291" s="2">
        <v>31.48</v>
      </c>
      <c r="R291" t="s">
        <v>58</v>
      </c>
      <c r="S291" s="3">
        <v>0.1</v>
      </c>
      <c r="T291">
        <v>0</v>
      </c>
      <c r="U291" t="s">
        <v>247</v>
      </c>
      <c r="V291" t="s">
        <v>248</v>
      </c>
      <c r="W291">
        <v>0</v>
      </c>
      <c r="X291" s="2">
        <v>0</v>
      </c>
      <c r="Y291" s="2">
        <v>3.15</v>
      </c>
      <c r="Z291" s="2">
        <v>3.15</v>
      </c>
      <c r="AA291" s="2">
        <v>3.15</v>
      </c>
      <c r="AB291" s="2">
        <v>0</v>
      </c>
    </row>
    <row r="292" spans="1:28" x14ac:dyDescent="0.25">
      <c r="A292">
        <v>2026735219</v>
      </c>
      <c r="B292" t="s">
        <v>370</v>
      </c>
      <c r="C292" t="s">
        <v>371</v>
      </c>
      <c r="D292" t="str">
        <f t="shared" si="9"/>
        <v>BOBBI CHAMBERS</v>
      </c>
      <c r="E292" t="s">
        <v>94</v>
      </c>
      <c r="F292" t="s">
        <v>69</v>
      </c>
      <c r="G292" t="s">
        <v>101</v>
      </c>
      <c r="H292" t="s">
        <v>1081</v>
      </c>
      <c r="I292" s="8">
        <v>16865615</v>
      </c>
      <c r="J292" t="s">
        <v>80</v>
      </c>
      <c r="K292" t="s">
        <v>81</v>
      </c>
      <c r="L292" t="str">
        <f t="shared" si="8"/>
        <v>Heather Geske</v>
      </c>
      <c r="M292" t="s">
        <v>1133</v>
      </c>
      <c r="N292" t="s">
        <v>57</v>
      </c>
      <c r="O292" s="1">
        <v>45689</v>
      </c>
      <c r="P292" s="1">
        <v>46235</v>
      </c>
      <c r="Q292" s="2">
        <v>46.03</v>
      </c>
      <c r="R292" t="s">
        <v>58</v>
      </c>
      <c r="S292" s="3">
        <v>0.1</v>
      </c>
      <c r="T292">
        <v>0</v>
      </c>
      <c r="U292" t="s">
        <v>247</v>
      </c>
      <c r="V292" t="s">
        <v>248</v>
      </c>
      <c r="W292">
        <v>0</v>
      </c>
      <c r="X292" s="2">
        <v>0</v>
      </c>
      <c r="Y292" s="2">
        <v>4.5999999999999996</v>
      </c>
      <c r="Z292" s="2">
        <v>4.5999999999999996</v>
      </c>
      <c r="AA292" s="2">
        <v>4.5999999999999996</v>
      </c>
      <c r="AB292" s="2">
        <v>0</v>
      </c>
    </row>
    <row r="293" spans="1:28" x14ac:dyDescent="0.25">
      <c r="A293">
        <v>2026811339</v>
      </c>
      <c r="B293" t="s">
        <v>372</v>
      </c>
      <c r="C293" t="s">
        <v>284</v>
      </c>
      <c r="D293" t="str">
        <f t="shared" si="9"/>
        <v>KEITH HAAS</v>
      </c>
      <c r="E293" t="s">
        <v>94</v>
      </c>
      <c r="F293" t="s">
        <v>69</v>
      </c>
      <c r="G293" t="s">
        <v>101</v>
      </c>
      <c r="H293" t="s">
        <v>1081</v>
      </c>
      <c r="I293" s="8">
        <v>16865615</v>
      </c>
      <c r="J293" t="s">
        <v>80</v>
      </c>
      <c r="K293" t="s">
        <v>81</v>
      </c>
      <c r="L293" t="str">
        <f t="shared" si="8"/>
        <v>Heather Geske</v>
      </c>
      <c r="M293" t="s">
        <v>1133</v>
      </c>
      <c r="N293" t="s">
        <v>57</v>
      </c>
      <c r="O293" s="1">
        <v>45690</v>
      </c>
      <c r="P293" s="1">
        <v>46236</v>
      </c>
      <c r="Q293" s="2">
        <v>49.81</v>
      </c>
      <c r="R293" t="s">
        <v>58</v>
      </c>
      <c r="S293" s="3">
        <v>0.1</v>
      </c>
      <c r="T293">
        <v>0</v>
      </c>
      <c r="U293" t="s">
        <v>247</v>
      </c>
      <c r="V293" t="s">
        <v>248</v>
      </c>
      <c r="W293">
        <v>0</v>
      </c>
      <c r="X293" s="2">
        <v>0</v>
      </c>
      <c r="Y293" s="2">
        <v>4.9800000000000004</v>
      </c>
      <c r="Z293" s="2">
        <v>4.9800000000000004</v>
      </c>
      <c r="AA293" s="2">
        <v>4.9800000000000004</v>
      </c>
      <c r="AB293" s="2">
        <v>0</v>
      </c>
    </row>
    <row r="294" spans="1:28" x14ac:dyDescent="0.25">
      <c r="A294">
        <v>2026812433</v>
      </c>
      <c r="B294" t="s">
        <v>373</v>
      </c>
      <c r="C294" t="s">
        <v>374</v>
      </c>
      <c r="D294" t="str">
        <f t="shared" si="9"/>
        <v>FIDEL JIMENEZ</v>
      </c>
      <c r="E294" t="s">
        <v>94</v>
      </c>
      <c r="F294" t="s">
        <v>69</v>
      </c>
      <c r="G294" t="s">
        <v>101</v>
      </c>
      <c r="H294" t="s">
        <v>1081</v>
      </c>
      <c r="I294" s="8">
        <v>16865615</v>
      </c>
      <c r="J294" t="s">
        <v>80</v>
      </c>
      <c r="K294" t="s">
        <v>81</v>
      </c>
      <c r="L294" t="str">
        <f t="shared" si="8"/>
        <v>Heather Geske</v>
      </c>
      <c r="M294" t="s">
        <v>1133</v>
      </c>
      <c r="N294" t="s">
        <v>57</v>
      </c>
      <c r="O294" s="1">
        <v>45690</v>
      </c>
      <c r="P294" s="1">
        <v>46236</v>
      </c>
      <c r="Q294" s="2">
        <v>91.88</v>
      </c>
      <c r="R294" t="s">
        <v>58</v>
      </c>
      <c r="S294" s="3">
        <v>0.1</v>
      </c>
      <c r="T294">
        <v>0</v>
      </c>
      <c r="U294" t="s">
        <v>247</v>
      </c>
      <c r="V294" t="s">
        <v>248</v>
      </c>
      <c r="W294">
        <v>0</v>
      </c>
      <c r="X294" s="2">
        <v>0</v>
      </c>
      <c r="Y294" s="2">
        <v>9.19</v>
      </c>
      <c r="Z294" s="2">
        <v>9.19</v>
      </c>
      <c r="AA294" s="2">
        <v>9.19</v>
      </c>
      <c r="AB294" s="2">
        <v>0</v>
      </c>
    </row>
    <row r="295" spans="1:28" x14ac:dyDescent="0.25">
      <c r="A295">
        <v>2027920264</v>
      </c>
      <c r="B295" t="s">
        <v>377</v>
      </c>
      <c r="C295" t="s">
        <v>378</v>
      </c>
      <c r="D295" t="str">
        <f t="shared" si="9"/>
        <v>NANCY LUTES</v>
      </c>
      <c r="E295" t="s">
        <v>94</v>
      </c>
      <c r="F295" t="s">
        <v>69</v>
      </c>
      <c r="G295" t="s">
        <v>101</v>
      </c>
      <c r="H295" t="s">
        <v>1081</v>
      </c>
      <c r="I295" s="8">
        <v>16865615</v>
      </c>
      <c r="J295" t="s">
        <v>80</v>
      </c>
      <c r="K295" t="s">
        <v>81</v>
      </c>
      <c r="L295" t="str">
        <f t="shared" si="8"/>
        <v>Heather Geske</v>
      </c>
      <c r="M295" t="s">
        <v>1133</v>
      </c>
      <c r="N295" t="s">
        <v>57</v>
      </c>
      <c r="O295" s="1">
        <v>45744</v>
      </c>
      <c r="P295" s="1">
        <v>46231</v>
      </c>
      <c r="Q295" s="2">
        <v>65.28</v>
      </c>
      <c r="R295" t="s">
        <v>58</v>
      </c>
      <c r="S295" s="3">
        <v>0.1</v>
      </c>
      <c r="T295">
        <v>0</v>
      </c>
      <c r="U295" t="s">
        <v>247</v>
      </c>
      <c r="V295" t="s">
        <v>248</v>
      </c>
      <c r="W295">
        <v>0</v>
      </c>
      <c r="X295" s="2">
        <v>0</v>
      </c>
      <c r="Y295" s="2">
        <v>6.53</v>
      </c>
      <c r="Z295" s="2">
        <v>6.53</v>
      </c>
      <c r="AA295" s="2">
        <v>6.53</v>
      </c>
      <c r="AB295" s="2">
        <v>0</v>
      </c>
    </row>
    <row r="296" spans="1:28" x14ac:dyDescent="0.25">
      <c r="A296">
        <v>2033416943</v>
      </c>
      <c r="B296" t="s">
        <v>553</v>
      </c>
      <c r="C296" t="s">
        <v>554</v>
      </c>
      <c r="D296" t="str">
        <f t="shared" si="9"/>
        <v>FREDDIE BONILLA-LAMBOY</v>
      </c>
      <c r="E296" t="s">
        <v>94</v>
      </c>
      <c r="F296" t="s">
        <v>69</v>
      </c>
      <c r="G296" t="s">
        <v>101</v>
      </c>
      <c r="H296" t="s">
        <v>1081</v>
      </c>
      <c r="I296" s="8" t="s">
        <v>1093</v>
      </c>
      <c r="J296" t="s">
        <v>80</v>
      </c>
      <c r="K296" t="s">
        <v>81</v>
      </c>
      <c r="L296" t="str">
        <f t="shared" si="8"/>
        <v>Heather Geske</v>
      </c>
      <c r="M296" t="s">
        <v>1134</v>
      </c>
      <c r="N296" t="s">
        <v>57</v>
      </c>
      <c r="O296" s="1">
        <v>46053</v>
      </c>
      <c r="P296" s="1">
        <v>46233</v>
      </c>
      <c r="Q296" s="2">
        <v>10.43</v>
      </c>
      <c r="R296" t="s">
        <v>58</v>
      </c>
      <c r="S296" s="3">
        <v>0.65</v>
      </c>
      <c r="T296">
        <v>0</v>
      </c>
      <c r="U296" t="s">
        <v>60</v>
      </c>
      <c r="V296" t="s">
        <v>248</v>
      </c>
      <c r="W296">
        <v>0</v>
      </c>
      <c r="X296" s="2">
        <v>0</v>
      </c>
      <c r="Y296" s="2">
        <v>6.78</v>
      </c>
      <c r="Z296" s="2">
        <v>0</v>
      </c>
      <c r="AA296" s="2">
        <v>0</v>
      </c>
      <c r="AB296" s="2">
        <v>0</v>
      </c>
    </row>
    <row r="297" spans="1:28" x14ac:dyDescent="0.25">
      <c r="A297">
        <v>2026615270</v>
      </c>
      <c r="B297" t="s">
        <v>352</v>
      </c>
      <c r="C297" t="s">
        <v>353</v>
      </c>
      <c r="D297" t="str">
        <f t="shared" si="9"/>
        <v>PIERRE BOUCHARD</v>
      </c>
      <c r="E297" t="s">
        <v>94</v>
      </c>
      <c r="F297" t="s">
        <v>188</v>
      </c>
      <c r="G297" t="s">
        <v>189</v>
      </c>
      <c r="H297" t="s">
        <v>189</v>
      </c>
      <c r="I297" s="8">
        <v>16865615</v>
      </c>
      <c r="J297" t="s">
        <v>80</v>
      </c>
      <c r="K297" t="s">
        <v>81</v>
      </c>
      <c r="L297" t="str">
        <f t="shared" si="8"/>
        <v>Heather Geske</v>
      </c>
      <c r="M297" t="s">
        <v>1133</v>
      </c>
      <c r="N297" t="s">
        <v>57</v>
      </c>
      <c r="O297" s="1">
        <v>45689</v>
      </c>
      <c r="P297" s="1">
        <v>46235</v>
      </c>
      <c r="Q297" s="2">
        <v>29.31</v>
      </c>
      <c r="R297" t="s">
        <v>58</v>
      </c>
      <c r="S297" s="3">
        <v>0.1</v>
      </c>
      <c r="T297">
        <v>0</v>
      </c>
      <c r="U297" t="s">
        <v>247</v>
      </c>
      <c r="V297" t="s">
        <v>248</v>
      </c>
      <c r="W297">
        <v>0</v>
      </c>
      <c r="X297" s="2">
        <v>0</v>
      </c>
      <c r="Y297" s="2">
        <v>2.93</v>
      </c>
      <c r="Z297" s="2">
        <v>2.93</v>
      </c>
      <c r="AA297" s="2">
        <v>2.93</v>
      </c>
      <c r="AB297" s="2">
        <v>0</v>
      </c>
    </row>
    <row r="298" spans="1:28" x14ac:dyDescent="0.25">
      <c r="A298">
        <v>2026812434</v>
      </c>
      <c r="B298" t="s">
        <v>373</v>
      </c>
      <c r="C298" t="s">
        <v>374</v>
      </c>
      <c r="D298" t="str">
        <f t="shared" si="9"/>
        <v>FIDEL JIMENEZ</v>
      </c>
      <c r="E298" t="s">
        <v>94</v>
      </c>
      <c r="F298" t="s">
        <v>188</v>
      </c>
      <c r="G298" t="s">
        <v>189</v>
      </c>
      <c r="H298" t="s">
        <v>189</v>
      </c>
      <c r="I298" s="8">
        <v>16865615</v>
      </c>
      <c r="J298" t="s">
        <v>80</v>
      </c>
      <c r="K298" t="s">
        <v>81</v>
      </c>
      <c r="L298" t="str">
        <f t="shared" si="8"/>
        <v>Heather Geske</v>
      </c>
      <c r="M298" t="s">
        <v>1133</v>
      </c>
      <c r="N298" t="s">
        <v>57</v>
      </c>
      <c r="O298" s="1">
        <v>45690</v>
      </c>
      <c r="P298" s="1">
        <v>46236</v>
      </c>
      <c r="Q298" s="2">
        <v>50.18</v>
      </c>
      <c r="R298" t="s">
        <v>58</v>
      </c>
      <c r="S298" s="3">
        <v>0.1</v>
      </c>
      <c r="T298">
        <v>0</v>
      </c>
      <c r="U298" t="s">
        <v>247</v>
      </c>
      <c r="V298" t="s">
        <v>248</v>
      </c>
      <c r="W298">
        <v>0</v>
      </c>
      <c r="X298" s="2">
        <v>0</v>
      </c>
      <c r="Y298" s="2">
        <v>5.0199999999999996</v>
      </c>
      <c r="Z298" s="2">
        <v>5.0199999999999996</v>
      </c>
      <c r="AA298" s="2">
        <v>5.0199999999999996</v>
      </c>
      <c r="AB298" s="2">
        <v>0</v>
      </c>
    </row>
    <row r="299" spans="1:28" x14ac:dyDescent="0.25">
      <c r="A299">
        <v>2033416940</v>
      </c>
      <c r="B299" t="s">
        <v>553</v>
      </c>
      <c r="C299" t="s">
        <v>554</v>
      </c>
      <c r="D299" t="str">
        <f t="shared" si="9"/>
        <v>FREDDIE BONILLA-LAMBOY</v>
      </c>
      <c r="E299" t="s">
        <v>94</v>
      </c>
      <c r="F299" t="s">
        <v>188</v>
      </c>
      <c r="G299" t="s">
        <v>189</v>
      </c>
      <c r="H299" t="s">
        <v>189</v>
      </c>
      <c r="I299" s="8" t="s">
        <v>1093</v>
      </c>
      <c r="J299" t="s">
        <v>80</v>
      </c>
      <c r="K299" t="s">
        <v>81</v>
      </c>
      <c r="L299" t="str">
        <f t="shared" si="8"/>
        <v>Heather Geske</v>
      </c>
      <c r="M299" t="s">
        <v>1134</v>
      </c>
      <c r="N299" t="s">
        <v>57</v>
      </c>
      <c r="O299" s="1">
        <v>46053</v>
      </c>
      <c r="P299" s="1">
        <v>46233</v>
      </c>
      <c r="Q299" s="2">
        <v>13.63</v>
      </c>
      <c r="R299" t="s">
        <v>58</v>
      </c>
      <c r="S299" s="3">
        <v>0.38</v>
      </c>
      <c r="T299">
        <v>0</v>
      </c>
      <c r="U299" t="s">
        <v>60</v>
      </c>
      <c r="V299" t="s">
        <v>248</v>
      </c>
      <c r="W299">
        <v>0</v>
      </c>
      <c r="X299" s="2">
        <v>0</v>
      </c>
      <c r="Y299" s="2">
        <v>5.18</v>
      </c>
      <c r="Z299" s="2">
        <v>0</v>
      </c>
      <c r="AA299" s="2">
        <v>0</v>
      </c>
      <c r="AB299" s="2">
        <v>0</v>
      </c>
    </row>
    <row r="300" spans="1:28" x14ac:dyDescent="0.25">
      <c r="A300">
        <v>2026605719</v>
      </c>
      <c r="B300" t="s">
        <v>350</v>
      </c>
      <c r="C300" t="s">
        <v>351</v>
      </c>
      <c r="D300" t="str">
        <f t="shared" si="9"/>
        <v>ETHAN FARNSWORTH</v>
      </c>
      <c r="E300" t="s">
        <v>94</v>
      </c>
      <c r="F300" t="s">
        <v>194</v>
      </c>
      <c r="G300" t="s">
        <v>195</v>
      </c>
      <c r="H300" t="s">
        <v>195</v>
      </c>
      <c r="I300" s="8">
        <v>16865615</v>
      </c>
      <c r="J300" t="s">
        <v>80</v>
      </c>
      <c r="K300" t="s">
        <v>81</v>
      </c>
      <c r="L300" t="str">
        <f t="shared" si="8"/>
        <v>Heather Geske</v>
      </c>
      <c r="M300" t="s">
        <v>1133</v>
      </c>
      <c r="N300" t="s">
        <v>57</v>
      </c>
      <c r="O300" s="1">
        <v>45689</v>
      </c>
      <c r="P300" s="1">
        <v>46235</v>
      </c>
      <c r="Q300" s="2">
        <v>9.1</v>
      </c>
      <c r="R300" t="s">
        <v>58</v>
      </c>
      <c r="S300" s="3">
        <v>0.15</v>
      </c>
      <c r="T300">
        <v>0</v>
      </c>
      <c r="U300" t="s">
        <v>247</v>
      </c>
      <c r="V300" t="s">
        <v>248</v>
      </c>
      <c r="W300">
        <v>0</v>
      </c>
      <c r="X300" s="2">
        <v>0</v>
      </c>
      <c r="Y300" s="2">
        <v>1.36</v>
      </c>
      <c r="Z300" s="2">
        <v>1.36</v>
      </c>
      <c r="AA300" s="2">
        <v>1.36</v>
      </c>
      <c r="AB300" s="2">
        <v>0</v>
      </c>
    </row>
    <row r="301" spans="1:28" x14ac:dyDescent="0.25">
      <c r="A301">
        <v>2026608092</v>
      </c>
      <c r="B301" t="s">
        <v>905</v>
      </c>
      <c r="C301" t="s">
        <v>533</v>
      </c>
      <c r="D301" t="str">
        <f t="shared" si="9"/>
        <v>JULIE RIO-COOPER</v>
      </c>
      <c r="E301" t="s">
        <v>94</v>
      </c>
      <c r="F301" t="s">
        <v>194</v>
      </c>
      <c r="G301" t="s">
        <v>195</v>
      </c>
      <c r="H301" t="s">
        <v>195</v>
      </c>
      <c r="I301" s="8">
        <v>16865615</v>
      </c>
      <c r="J301" t="s">
        <v>80</v>
      </c>
      <c r="K301" t="s">
        <v>81</v>
      </c>
      <c r="L301" t="str">
        <f t="shared" si="8"/>
        <v>Heather Geske</v>
      </c>
      <c r="M301" t="s">
        <v>1133</v>
      </c>
      <c r="N301" t="s">
        <v>57</v>
      </c>
      <c r="O301" s="1">
        <v>45689</v>
      </c>
      <c r="P301" s="1">
        <v>46235</v>
      </c>
      <c r="Q301" s="2">
        <v>9.1</v>
      </c>
      <c r="R301" t="s">
        <v>58</v>
      </c>
      <c r="S301" s="3">
        <v>0.15</v>
      </c>
      <c r="T301">
        <v>0</v>
      </c>
      <c r="U301" t="s">
        <v>247</v>
      </c>
      <c r="V301" t="s">
        <v>248</v>
      </c>
      <c r="W301">
        <v>0</v>
      </c>
      <c r="X301" s="2">
        <v>0</v>
      </c>
      <c r="Y301" s="2">
        <v>1.36</v>
      </c>
      <c r="Z301" s="2">
        <v>1.36</v>
      </c>
      <c r="AA301" s="2">
        <v>1.36</v>
      </c>
      <c r="AB301" s="2">
        <v>0</v>
      </c>
    </row>
    <row r="302" spans="1:28" x14ac:dyDescent="0.25">
      <c r="A302">
        <v>2026615269</v>
      </c>
      <c r="B302" t="s">
        <v>352</v>
      </c>
      <c r="C302" t="s">
        <v>353</v>
      </c>
      <c r="D302" t="str">
        <f t="shared" si="9"/>
        <v>PIERRE BOUCHARD</v>
      </c>
      <c r="E302" t="s">
        <v>94</v>
      </c>
      <c r="F302" t="s">
        <v>194</v>
      </c>
      <c r="G302" t="s">
        <v>195</v>
      </c>
      <c r="H302" t="s">
        <v>195</v>
      </c>
      <c r="I302" s="8">
        <v>16865615</v>
      </c>
      <c r="J302" t="s">
        <v>80</v>
      </c>
      <c r="K302" t="s">
        <v>81</v>
      </c>
      <c r="L302" t="str">
        <f t="shared" si="8"/>
        <v>Heather Geske</v>
      </c>
      <c r="M302" t="s">
        <v>1133</v>
      </c>
      <c r="N302" t="s">
        <v>57</v>
      </c>
      <c r="O302" s="1">
        <v>45689</v>
      </c>
      <c r="P302" s="1">
        <v>46235</v>
      </c>
      <c r="Q302" s="2">
        <v>9.1</v>
      </c>
      <c r="R302" t="s">
        <v>58</v>
      </c>
      <c r="S302" s="3">
        <v>0.15</v>
      </c>
      <c r="T302">
        <v>0</v>
      </c>
      <c r="U302" t="s">
        <v>247</v>
      </c>
      <c r="V302" t="s">
        <v>248</v>
      </c>
      <c r="W302">
        <v>0</v>
      </c>
      <c r="X302" s="2">
        <v>0</v>
      </c>
      <c r="Y302" s="2">
        <v>1.36</v>
      </c>
      <c r="Z302" s="2">
        <v>1.36</v>
      </c>
      <c r="AA302" s="2">
        <v>1.36</v>
      </c>
      <c r="AB302" s="2">
        <v>0</v>
      </c>
    </row>
    <row r="303" spans="1:28" x14ac:dyDescent="0.25">
      <c r="A303">
        <v>2026735220</v>
      </c>
      <c r="B303" t="s">
        <v>370</v>
      </c>
      <c r="C303" t="s">
        <v>371</v>
      </c>
      <c r="D303" t="str">
        <f t="shared" si="9"/>
        <v>BOBBI CHAMBERS</v>
      </c>
      <c r="E303" t="s">
        <v>94</v>
      </c>
      <c r="F303" t="s">
        <v>194</v>
      </c>
      <c r="G303" t="s">
        <v>195</v>
      </c>
      <c r="H303" t="s">
        <v>195</v>
      </c>
      <c r="I303" s="8">
        <v>16865615</v>
      </c>
      <c r="J303" t="s">
        <v>80</v>
      </c>
      <c r="K303" t="s">
        <v>81</v>
      </c>
      <c r="L303" t="str">
        <f t="shared" si="8"/>
        <v>Heather Geske</v>
      </c>
      <c r="M303" t="s">
        <v>1133</v>
      </c>
      <c r="N303" t="s">
        <v>57</v>
      </c>
      <c r="O303" s="1">
        <v>45689</v>
      </c>
      <c r="P303" s="1">
        <v>46235</v>
      </c>
      <c r="Q303" s="2">
        <v>9.1</v>
      </c>
      <c r="R303" t="s">
        <v>58</v>
      </c>
      <c r="S303" s="3">
        <v>0.15</v>
      </c>
      <c r="T303">
        <v>0</v>
      </c>
      <c r="U303" t="s">
        <v>247</v>
      </c>
      <c r="V303" t="s">
        <v>248</v>
      </c>
      <c r="W303">
        <v>0</v>
      </c>
      <c r="X303" s="2">
        <v>0</v>
      </c>
      <c r="Y303" s="2">
        <v>1.36</v>
      </c>
      <c r="Z303" s="2">
        <v>1.36</v>
      </c>
      <c r="AA303" s="2">
        <v>1.36</v>
      </c>
      <c r="AB303" s="2">
        <v>0</v>
      </c>
    </row>
    <row r="304" spans="1:28" x14ac:dyDescent="0.25">
      <c r="A304">
        <v>2026811338</v>
      </c>
      <c r="B304" t="s">
        <v>372</v>
      </c>
      <c r="C304" t="s">
        <v>284</v>
      </c>
      <c r="D304" t="str">
        <f t="shared" si="9"/>
        <v>KEITH HAAS</v>
      </c>
      <c r="E304" t="s">
        <v>94</v>
      </c>
      <c r="F304" t="s">
        <v>194</v>
      </c>
      <c r="G304" t="s">
        <v>195</v>
      </c>
      <c r="H304" t="s">
        <v>195</v>
      </c>
      <c r="I304" s="8">
        <v>16865615</v>
      </c>
      <c r="J304" t="s">
        <v>80</v>
      </c>
      <c r="K304" t="s">
        <v>81</v>
      </c>
      <c r="L304" t="str">
        <f t="shared" si="8"/>
        <v>Heather Geske</v>
      </c>
      <c r="M304" t="s">
        <v>1133</v>
      </c>
      <c r="N304" t="s">
        <v>57</v>
      </c>
      <c r="O304" s="1">
        <v>45690</v>
      </c>
      <c r="P304" s="1">
        <v>46236</v>
      </c>
      <c r="Q304" s="2">
        <v>9.6999999999999993</v>
      </c>
      <c r="R304" t="s">
        <v>58</v>
      </c>
      <c r="S304" s="3">
        <v>0.15</v>
      </c>
      <c r="T304">
        <v>0</v>
      </c>
      <c r="U304" t="s">
        <v>247</v>
      </c>
      <c r="V304" t="s">
        <v>248</v>
      </c>
      <c r="W304">
        <v>0</v>
      </c>
      <c r="X304" s="2">
        <v>0</v>
      </c>
      <c r="Y304" s="2">
        <v>1.46</v>
      </c>
      <c r="Z304" s="2">
        <v>1.46</v>
      </c>
      <c r="AA304" s="2">
        <v>1.46</v>
      </c>
      <c r="AB304" s="2">
        <v>0</v>
      </c>
    </row>
    <row r="305" spans="1:28" x14ac:dyDescent="0.25">
      <c r="A305">
        <v>2026812432</v>
      </c>
      <c r="B305" t="s">
        <v>373</v>
      </c>
      <c r="C305" t="s">
        <v>374</v>
      </c>
      <c r="D305" t="str">
        <f t="shared" si="9"/>
        <v>FIDEL JIMENEZ</v>
      </c>
      <c r="E305" t="s">
        <v>94</v>
      </c>
      <c r="F305" t="s">
        <v>194</v>
      </c>
      <c r="G305" t="s">
        <v>195</v>
      </c>
      <c r="H305" t="s">
        <v>195</v>
      </c>
      <c r="I305" s="8">
        <v>16865615</v>
      </c>
      <c r="J305" t="s">
        <v>80</v>
      </c>
      <c r="K305" t="s">
        <v>81</v>
      </c>
      <c r="L305" t="str">
        <f t="shared" si="8"/>
        <v>Heather Geske</v>
      </c>
      <c r="M305" t="s">
        <v>1133</v>
      </c>
      <c r="N305" t="s">
        <v>57</v>
      </c>
      <c r="O305" s="1">
        <v>45690</v>
      </c>
      <c r="P305" s="1">
        <v>46236</v>
      </c>
      <c r="Q305" s="2">
        <v>29.2</v>
      </c>
      <c r="R305" t="s">
        <v>58</v>
      </c>
      <c r="S305" s="3">
        <v>0.15</v>
      </c>
      <c r="T305">
        <v>0</v>
      </c>
      <c r="U305" t="s">
        <v>247</v>
      </c>
      <c r="V305" t="s">
        <v>248</v>
      </c>
      <c r="W305">
        <v>0</v>
      </c>
      <c r="X305" s="2">
        <v>0</v>
      </c>
      <c r="Y305" s="2">
        <v>4.38</v>
      </c>
      <c r="Z305" s="2">
        <v>4.38</v>
      </c>
      <c r="AA305" s="2">
        <v>4.38</v>
      </c>
      <c r="AB305" s="2">
        <v>0</v>
      </c>
    </row>
    <row r="306" spans="1:28" x14ac:dyDescent="0.25">
      <c r="A306">
        <v>2026836407</v>
      </c>
      <c r="B306" t="s">
        <v>1022</v>
      </c>
      <c r="C306" t="s">
        <v>1023</v>
      </c>
      <c r="D306" t="str">
        <f t="shared" si="9"/>
        <v>ROWAN MCDANIEL</v>
      </c>
      <c r="E306" t="s">
        <v>162</v>
      </c>
      <c r="F306" t="s">
        <v>194</v>
      </c>
      <c r="G306" t="s">
        <v>195</v>
      </c>
      <c r="H306" t="s">
        <v>195</v>
      </c>
      <c r="I306" s="8">
        <v>16865615</v>
      </c>
      <c r="J306" t="s">
        <v>80</v>
      </c>
      <c r="K306" t="s">
        <v>81</v>
      </c>
      <c r="L306" t="str">
        <f t="shared" si="8"/>
        <v>Heather Geske</v>
      </c>
      <c r="M306" t="s">
        <v>1133</v>
      </c>
      <c r="N306" t="s">
        <v>57</v>
      </c>
      <c r="O306" s="1">
        <v>45691</v>
      </c>
      <c r="P306" s="1">
        <v>46237</v>
      </c>
      <c r="Q306" s="2">
        <v>15.29</v>
      </c>
      <c r="R306" t="s">
        <v>58</v>
      </c>
      <c r="S306" s="3">
        <v>0.15</v>
      </c>
      <c r="T306">
        <v>0</v>
      </c>
      <c r="U306" t="s">
        <v>247</v>
      </c>
      <c r="V306" t="s">
        <v>248</v>
      </c>
      <c r="W306">
        <v>0</v>
      </c>
      <c r="X306" s="2">
        <v>0</v>
      </c>
      <c r="Y306" s="2">
        <v>2.29</v>
      </c>
      <c r="Z306" s="2">
        <v>2.29</v>
      </c>
      <c r="AA306" s="2">
        <v>2.29</v>
      </c>
      <c r="AB306" s="2">
        <v>0</v>
      </c>
    </row>
    <row r="307" spans="1:28" x14ac:dyDescent="0.25">
      <c r="A307">
        <v>2027920263</v>
      </c>
      <c r="B307" t="s">
        <v>377</v>
      </c>
      <c r="C307" t="s">
        <v>378</v>
      </c>
      <c r="D307" t="str">
        <f t="shared" si="9"/>
        <v>NANCY LUTES</v>
      </c>
      <c r="E307" t="s">
        <v>94</v>
      </c>
      <c r="F307" t="s">
        <v>194</v>
      </c>
      <c r="G307" t="s">
        <v>195</v>
      </c>
      <c r="H307" t="s">
        <v>195</v>
      </c>
      <c r="I307" s="8">
        <v>16865615</v>
      </c>
      <c r="J307" t="s">
        <v>80</v>
      </c>
      <c r="K307" t="s">
        <v>81</v>
      </c>
      <c r="L307" t="str">
        <f t="shared" si="8"/>
        <v>Heather Geske</v>
      </c>
      <c r="M307" t="s">
        <v>1133</v>
      </c>
      <c r="N307" t="s">
        <v>57</v>
      </c>
      <c r="O307" s="1">
        <v>45744</v>
      </c>
      <c r="P307" s="1">
        <v>46231</v>
      </c>
      <c r="Q307" s="2">
        <v>9.1</v>
      </c>
      <c r="R307" t="s">
        <v>58</v>
      </c>
      <c r="S307" s="3">
        <v>0.15</v>
      </c>
      <c r="T307">
        <v>0</v>
      </c>
      <c r="U307" t="s">
        <v>247</v>
      </c>
      <c r="V307" t="s">
        <v>248</v>
      </c>
      <c r="W307">
        <v>0</v>
      </c>
      <c r="X307" s="2">
        <v>0</v>
      </c>
      <c r="Y307" s="2">
        <v>1.36</v>
      </c>
      <c r="Z307" s="2">
        <v>1.36</v>
      </c>
      <c r="AA307" s="2">
        <v>1.36</v>
      </c>
      <c r="AB307" s="2">
        <v>0</v>
      </c>
    </row>
    <row r="308" spans="1:28" x14ac:dyDescent="0.25">
      <c r="A308">
        <v>2033068350</v>
      </c>
      <c r="B308" t="s">
        <v>448</v>
      </c>
      <c r="C308" t="s">
        <v>449</v>
      </c>
      <c r="D308" t="str">
        <f t="shared" si="9"/>
        <v>EMILY WHITAKER</v>
      </c>
      <c r="E308" t="s">
        <v>94</v>
      </c>
      <c r="F308" t="s">
        <v>194</v>
      </c>
      <c r="G308" t="s">
        <v>195</v>
      </c>
      <c r="H308" t="s">
        <v>195</v>
      </c>
      <c r="I308" s="8" t="s">
        <v>1093</v>
      </c>
      <c r="J308" t="s">
        <v>80</v>
      </c>
      <c r="K308" t="s">
        <v>81</v>
      </c>
      <c r="L308" t="str">
        <f t="shared" si="8"/>
        <v>Heather Geske</v>
      </c>
      <c r="M308" t="s">
        <v>1134</v>
      </c>
      <c r="N308" t="s">
        <v>57</v>
      </c>
      <c r="O308" s="1">
        <v>46054</v>
      </c>
      <c r="P308" s="1">
        <v>46235</v>
      </c>
      <c r="Q308" s="2">
        <v>9.1</v>
      </c>
      <c r="R308" t="s">
        <v>58</v>
      </c>
      <c r="S308" s="3">
        <v>0.7</v>
      </c>
      <c r="T308">
        <v>0</v>
      </c>
      <c r="U308" t="s">
        <v>60</v>
      </c>
      <c r="V308" t="s">
        <v>248</v>
      </c>
      <c r="W308">
        <v>0</v>
      </c>
      <c r="X308" s="2">
        <v>0</v>
      </c>
      <c r="Y308" s="2">
        <v>6.37</v>
      </c>
      <c r="Z308" s="2">
        <v>0</v>
      </c>
      <c r="AA308" s="2">
        <v>0</v>
      </c>
      <c r="AB308" s="2">
        <v>0</v>
      </c>
    </row>
    <row r="309" spans="1:28" x14ac:dyDescent="0.25">
      <c r="A309">
        <v>2033416941</v>
      </c>
      <c r="B309" t="s">
        <v>553</v>
      </c>
      <c r="C309" t="s">
        <v>554</v>
      </c>
      <c r="D309" t="str">
        <f t="shared" si="9"/>
        <v>FREDDIE BONILLA-LAMBOY</v>
      </c>
      <c r="E309" t="s">
        <v>94</v>
      </c>
      <c r="F309" t="s">
        <v>194</v>
      </c>
      <c r="G309" t="s">
        <v>195</v>
      </c>
      <c r="H309" t="s">
        <v>195</v>
      </c>
      <c r="I309" s="8" t="s">
        <v>1093</v>
      </c>
      <c r="J309" t="s">
        <v>80</v>
      </c>
      <c r="K309" t="s">
        <v>81</v>
      </c>
      <c r="L309" t="str">
        <f t="shared" si="8"/>
        <v>Heather Geske</v>
      </c>
      <c r="M309" t="s">
        <v>1134</v>
      </c>
      <c r="N309" t="s">
        <v>57</v>
      </c>
      <c r="O309" s="1">
        <v>46053</v>
      </c>
      <c r="P309" s="1">
        <v>46233</v>
      </c>
      <c r="Q309" s="2">
        <v>9.1</v>
      </c>
      <c r="R309" t="s">
        <v>58</v>
      </c>
      <c r="S309" s="3">
        <v>0.7</v>
      </c>
      <c r="T309">
        <v>0</v>
      </c>
      <c r="U309" t="s">
        <v>60</v>
      </c>
      <c r="V309" t="s">
        <v>248</v>
      </c>
      <c r="W309">
        <v>0</v>
      </c>
      <c r="X309" s="2">
        <v>0</v>
      </c>
      <c r="Y309" s="2">
        <v>6.37</v>
      </c>
      <c r="Z309" s="2">
        <v>0</v>
      </c>
      <c r="AA309" s="2">
        <v>0</v>
      </c>
      <c r="AB309" s="2">
        <v>0</v>
      </c>
    </row>
    <row r="310" spans="1:28" x14ac:dyDescent="0.25">
      <c r="A310">
        <v>2026605718</v>
      </c>
      <c r="B310" t="s">
        <v>350</v>
      </c>
      <c r="C310" t="s">
        <v>351</v>
      </c>
      <c r="D310" t="str">
        <f t="shared" si="9"/>
        <v>ETHAN FARNSWORTH</v>
      </c>
      <c r="E310" t="s">
        <v>94</v>
      </c>
      <c r="F310" t="s">
        <v>133</v>
      </c>
      <c r="G310" t="s">
        <v>134</v>
      </c>
      <c r="H310" t="s">
        <v>134</v>
      </c>
      <c r="I310" s="8">
        <v>16865615</v>
      </c>
      <c r="J310" t="s">
        <v>80</v>
      </c>
      <c r="K310" t="s">
        <v>81</v>
      </c>
      <c r="L310" t="str">
        <f t="shared" si="8"/>
        <v>Heather Geske</v>
      </c>
      <c r="M310" t="s">
        <v>1133</v>
      </c>
      <c r="N310" t="s">
        <v>57</v>
      </c>
      <c r="O310" s="1">
        <v>45689</v>
      </c>
      <c r="P310" s="1">
        <v>46235</v>
      </c>
      <c r="Q310" s="2">
        <v>29.18</v>
      </c>
      <c r="R310" t="s">
        <v>58</v>
      </c>
      <c r="S310" s="3">
        <v>0.06</v>
      </c>
      <c r="T310">
        <v>0</v>
      </c>
      <c r="U310" t="s">
        <v>247</v>
      </c>
      <c r="V310" t="s">
        <v>248</v>
      </c>
      <c r="W310">
        <v>0</v>
      </c>
      <c r="X310" s="2">
        <v>0</v>
      </c>
      <c r="Y310" s="2">
        <v>1.75</v>
      </c>
      <c r="Z310" s="2">
        <v>1.75</v>
      </c>
      <c r="AA310" s="2">
        <v>1.75</v>
      </c>
      <c r="AB310" s="2">
        <v>0</v>
      </c>
    </row>
    <row r="311" spans="1:28" x14ac:dyDescent="0.25">
      <c r="A311">
        <v>2026608091</v>
      </c>
      <c r="B311" t="s">
        <v>905</v>
      </c>
      <c r="C311" t="s">
        <v>533</v>
      </c>
      <c r="D311" t="str">
        <f t="shared" si="9"/>
        <v>JULIE RIO-COOPER</v>
      </c>
      <c r="E311" t="s">
        <v>94</v>
      </c>
      <c r="F311" t="s">
        <v>133</v>
      </c>
      <c r="G311" t="s">
        <v>134</v>
      </c>
      <c r="H311" t="s">
        <v>134</v>
      </c>
      <c r="I311" s="8">
        <v>16865615</v>
      </c>
      <c r="J311" t="s">
        <v>80</v>
      </c>
      <c r="K311" t="s">
        <v>81</v>
      </c>
      <c r="L311" t="str">
        <f t="shared" si="8"/>
        <v>Heather Geske</v>
      </c>
      <c r="M311" t="s">
        <v>1133</v>
      </c>
      <c r="N311" t="s">
        <v>57</v>
      </c>
      <c r="O311" s="1">
        <v>45689</v>
      </c>
      <c r="P311" s="1">
        <v>46235</v>
      </c>
      <c r="Q311" s="2">
        <v>38.74</v>
      </c>
      <c r="R311" t="s">
        <v>58</v>
      </c>
      <c r="S311" s="3">
        <v>0.06</v>
      </c>
      <c r="T311">
        <v>0</v>
      </c>
      <c r="U311" t="s">
        <v>247</v>
      </c>
      <c r="V311" t="s">
        <v>248</v>
      </c>
      <c r="W311">
        <v>0</v>
      </c>
      <c r="X311" s="2">
        <v>0</v>
      </c>
      <c r="Y311" s="2">
        <v>2.3199999999999998</v>
      </c>
      <c r="Z311" s="2">
        <v>2.3199999999999998</v>
      </c>
      <c r="AA311" s="2">
        <v>2.3199999999999998</v>
      </c>
      <c r="AB311" s="2">
        <v>0</v>
      </c>
    </row>
    <row r="312" spans="1:28" x14ac:dyDescent="0.25">
      <c r="A312">
        <v>2026812431</v>
      </c>
      <c r="B312" t="s">
        <v>373</v>
      </c>
      <c r="C312" t="s">
        <v>374</v>
      </c>
      <c r="D312" t="str">
        <f t="shared" si="9"/>
        <v>FIDEL JIMENEZ</v>
      </c>
      <c r="E312" t="s">
        <v>94</v>
      </c>
      <c r="F312" t="s">
        <v>133</v>
      </c>
      <c r="G312" t="s">
        <v>134</v>
      </c>
      <c r="H312" t="s">
        <v>134</v>
      </c>
      <c r="I312" s="8">
        <v>16865615</v>
      </c>
      <c r="J312" t="s">
        <v>80</v>
      </c>
      <c r="K312" t="s">
        <v>81</v>
      </c>
      <c r="L312" t="str">
        <f t="shared" si="8"/>
        <v>Heather Geske</v>
      </c>
      <c r="M312" t="s">
        <v>1133</v>
      </c>
      <c r="N312" t="s">
        <v>57</v>
      </c>
      <c r="O312" s="1">
        <v>45690</v>
      </c>
      <c r="P312" s="1">
        <v>46236</v>
      </c>
      <c r="Q312" s="2">
        <v>158.06</v>
      </c>
      <c r="R312" t="s">
        <v>58</v>
      </c>
      <c r="S312" s="3">
        <v>0.06</v>
      </c>
      <c r="T312">
        <v>0</v>
      </c>
      <c r="U312" t="s">
        <v>247</v>
      </c>
      <c r="V312" t="s">
        <v>248</v>
      </c>
      <c r="W312">
        <v>0</v>
      </c>
      <c r="X312" s="2">
        <v>0</v>
      </c>
      <c r="Y312" s="2">
        <v>9.48</v>
      </c>
      <c r="Z312" s="2">
        <v>9.48</v>
      </c>
      <c r="AA312" s="2">
        <v>9.48</v>
      </c>
      <c r="AB312" s="2">
        <v>0</v>
      </c>
    </row>
    <row r="313" spans="1:28" x14ac:dyDescent="0.25">
      <c r="A313">
        <v>2027920262</v>
      </c>
      <c r="B313" t="s">
        <v>377</v>
      </c>
      <c r="C313" t="s">
        <v>378</v>
      </c>
      <c r="D313" t="str">
        <f t="shared" si="9"/>
        <v>NANCY LUTES</v>
      </c>
      <c r="E313" t="s">
        <v>94</v>
      </c>
      <c r="F313" t="s">
        <v>133</v>
      </c>
      <c r="G313" t="s">
        <v>134</v>
      </c>
      <c r="H313" t="s">
        <v>134</v>
      </c>
      <c r="I313" s="8">
        <v>16865615</v>
      </c>
      <c r="J313" t="s">
        <v>80</v>
      </c>
      <c r="K313" t="s">
        <v>81</v>
      </c>
      <c r="L313" t="str">
        <f t="shared" si="8"/>
        <v>Heather Geske</v>
      </c>
      <c r="M313" t="s">
        <v>1133</v>
      </c>
      <c r="N313" t="s">
        <v>57</v>
      </c>
      <c r="O313" s="1">
        <v>45744</v>
      </c>
      <c r="P313" s="1">
        <v>46231</v>
      </c>
      <c r="Q313" s="2">
        <v>53.08</v>
      </c>
      <c r="R313" t="s">
        <v>58</v>
      </c>
      <c r="S313" s="3">
        <v>0.06</v>
      </c>
      <c r="T313">
        <v>0</v>
      </c>
      <c r="U313" t="s">
        <v>247</v>
      </c>
      <c r="V313" t="s">
        <v>248</v>
      </c>
      <c r="W313">
        <v>0</v>
      </c>
      <c r="X313" s="2">
        <v>0</v>
      </c>
      <c r="Y313" s="2">
        <v>3.18</v>
      </c>
      <c r="Z313" s="2">
        <v>3.18</v>
      </c>
      <c r="AA313" s="2">
        <v>3.18</v>
      </c>
      <c r="AB313" s="2">
        <v>0</v>
      </c>
    </row>
    <row r="314" spans="1:28" x14ac:dyDescent="0.25">
      <c r="A314">
        <v>2033109902</v>
      </c>
      <c r="B314" t="s">
        <v>391</v>
      </c>
      <c r="C314" t="s">
        <v>455</v>
      </c>
      <c r="D314" t="str">
        <f t="shared" si="9"/>
        <v>GRACE MEYER</v>
      </c>
      <c r="E314" t="s">
        <v>94</v>
      </c>
      <c r="F314" t="s">
        <v>133</v>
      </c>
      <c r="G314" t="s">
        <v>134</v>
      </c>
      <c r="H314" t="s">
        <v>134</v>
      </c>
      <c r="I314" s="8" t="s">
        <v>1093</v>
      </c>
      <c r="J314" t="s">
        <v>80</v>
      </c>
      <c r="K314" t="s">
        <v>81</v>
      </c>
      <c r="L314" t="str">
        <f t="shared" si="8"/>
        <v>Heather Geske</v>
      </c>
      <c r="M314" t="s">
        <v>1134</v>
      </c>
      <c r="N314" t="s">
        <v>57</v>
      </c>
      <c r="O314" s="1">
        <v>46054</v>
      </c>
      <c r="P314" s="1">
        <v>46235</v>
      </c>
      <c r="Q314" s="2">
        <v>38.18</v>
      </c>
      <c r="R314" t="s">
        <v>58</v>
      </c>
      <c r="S314" s="4">
        <v>0.375</v>
      </c>
      <c r="T314">
        <v>0</v>
      </c>
      <c r="U314" t="s">
        <v>60</v>
      </c>
      <c r="V314" t="s">
        <v>248</v>
      </c>
      <c r="W314">
        <v>0</v>
      </c>
      <c r="X314" s="2">
        <v>0</v>
      </c>
      <c r="Y314" s="2">
        <v>14.32</v>
      </c>
      <c r="Z314" s="2">
        <v>0</v>
      </c>
      <c r="AA314" s="2">
        <v>0</v>
      </c>
      <c r="AB314" s="2">
        <v>0</v>
      </c>
    </row>
    <row r="315" spans="1:28" x14ac:dyDescent="0.25">
      <c r="A315">
        <v>2033416942</v>
      </c>
      <c r="B315" t="s">
        <v>553</v>
      </c>
      <c r="C315" t="s">
        <v>554</v>
      </c>
      <c r="D315" t="str">
        <f t="shared" si="9"/>
        <v>FREDDIE BONILLA-LAMBOY</v>
      </c>
      <c r="E315" t="s">
        <v>94</v>
      </c>
      <c r="F315" t="s">
        <v>133</v>
      </c>
      <c r="G315" t="s">
        <v>134</v>
      </c>
      <c r="H315" t="s">
        <v>134</v>
      </c>
      <c r="I315" s="8" t="s">
        <v>1093</v>
      </c>
      <c r="J315" t="s">
        <v>80</v>
      </c>
      <c r="K315" t="s">
        <v>81</v>
      </c>
      <c r="L315" t="str">
        <f t="shared" si="8"/>
        <v>Heather Geske</v>
      </c>
      <c r="M315" t="s">
        <v>1134</v>
      </c>
      <c r="N315" t="s">
        <v>57</v>
      </c>
      <c r="O315" s="1">
        <v>46053</v>
      </c>
      <c r="P315" s="1">
        <v>46233</v>
      </c>
      <c r="Q315" s="2">
        <v>64.84</v>
      </c>
      <c r="R315" t="s">
        <v>58</v>
      </c>
      <c r="S315" s="4">
        <v>0.375</v>
      </c>
      <c r="T315">
        <v>0</v>
      </c>
      <c r="U315" t="s">
        <v>60</v>
      </c>
      <c r="V315" t="s">
        <v>248</v>
      </c>
      <c r="W315">
        <v>0</v>
      </c>
      <c r="X315" s="2">
        <v>0</v>
      </c>
      <c r="Y315" s="2">
        <v>24.32</v>
      </c>
      <c r="Z315" s="2">
        <v>0</v>
      </c>
      <c r="AA315" s="2">
        <v>0</v>
      </c>
      <c r="AB315" s="2">
        <v>0</v>
      </c>
    </row>
    <row r="316" spans="1:28" x14ac:dyDescent="0.25">
      <c r="A316">
        <v>2035204836</v>
      </c>
      <c r="B316" t="s">
        <v>860</v>
      </c>
      <c r="C316" t="s">
        <v>319</v>
      </c>
      <c r="D316" t="str">
        <f t="shared" si="9"/>
        <v>PAMELA PARKER</v>
      </c>
      <c r="E316" t="s">
        <v>479</v>
      </c>
      <c r="F316" t="s">
        <v>237</v>
      </c>
      <c r="G316" t="s">
        <v>862</v>
      </c>
      <c r="H316" t="s">
        <v>1084</v>
      </c>
      <c r="I316" s="8">
        <v>19617796</v>
      </c>
      <c r="J316" t="s">
        <v>177</v>
      </c>
      <c r="K316" t="s">
        <v>861</v>
      </c>
      <c r="L316" t="str">
        <f t="shared" si="8"/>
        <v>Heidi Berthelsen</v>
      </c>
      <c r="M316" t="s">
        <v>1133</v>
      </c>
      <c r="N316" t="s">
        <v>57</v>
      </c>
      <c r="O316" s="1">
        <v>46142</v>
      </c>
      <c r="P316" s="1">
        <v>46233</v>
      </c>
      <c r="Q316" s="2">
        <v>9.9499999999999993</v>
      </c>
      <c r="R316" t="s">
        <v>58</v>
      </c>
      <c r="S316" s="3">
        <v>0.27</v>
      </c>
      <c r="T316">
        <v>0</v>
      </c>
      <c r="U316" t="s">
        <v>60</v>
      </c>
      <c r="V316" t="s">
        <v>248</v>
      </c>
      <c r="W316">
        <v>0</v>
      </c>
      <c r="X316" s="2">
        <v>0</v>
      </c>
      <c r="Y316" s="2">
        <v>2.69</v>
      </c>
      <c r="Z316" s="2">
        <v>0</v>
      </c>
      <c r="AA316" s="2">
        <v>0</v>
      </c>
      <c r="AB316" s="2">
        <v>0</v>
      </c>
    </row>
    <row r="317" spans="1:28" x14ac:dyDescent="0.25">
      <c r="A317">
        <v>2035204835</v>
      </c>
      <c r="B317" t="s">
        <v>860</v>
      </c>
      <c r="C317" t="s">
        <v>319</v>
      </c>
      <c r="D317" t="str">
        <f t="shared" si="9"/>
        <v>PAMELA PARKER</v>
      </c>
      <c r="E317" t="s">
        <v>479</v>
      </c>
      <c r="F317" t="s">
        <v>237</v>
      </c>
      <c r="G317" t="s">
        <v>857</v>
      </c>
      <c r="H317" t="s">
        <v>1084</v>
      </c>
      <c r="I317" s="8">
        <v>19617796</v>
      </c>
      <c r="J317" t="s">
        <v>177</v>
      </c>
      <c r="K317" t="s">
        <v>861</v>
      </c>
      <c r="L317" t="str">
        <f t="shared" si="8"/>
        <v>Heidi Berthelsen</v>
      </c>
      <c r="M317" t="s">
        <v>1133</v>
      </c>
      <c r="N317" t="s">
        <v>57</v>
      </c>
      <c r="O317" s="1">
        <v>46142</v>
      </c>
      <c r="P317" s="1">
        <v>46233</v>
      </c>
      <c r="Q317" s="2">
        <v>540.08000000000004</v>
      </c>
      <c r="R317" t="s">
        <v>58</v>
      </c>
      <c r="S317" s="3">
        <v>0.27</v>
      </c>
      <c r="T317">
        <v>0</v>
      </c>
      <c r="U317" t="s">
        <v>60</v>
      </c>
      <c r="V317" t="s">
        <v>248</v>
      </c>
      <c r="W317">
        <v>0</v>
      </c>
      <c r="X317" s="2">
        <v>0</v>
      </c>
      <c r="Y317" s="2">
        <v>145.82</v>
      </c>
      <c r="Z317" s="2">
        <v>0</v>
      </c>
      <c r="AA317" s="2">
        <v>0</v>
      </c>
      <c r="AB317" s="2">
        <v>0</v>
      </c>
    </row>
    <row r="318" spans="1:28" x14ac:dyDescent="0.25">
      <c r="A318">
        <v>2035178355</v>
      </c>
      <c r="B318" t="s">
        <v>573</v>
      </c>
      <c r="C318" t="s">
        <v>209</v>
      </c>
      <c r="D318" t="str">
        <f t="shared" si="9"/>
        <v>JOHN PETERSON</v>
      </c>
      <c r="E318" t="s">
        <v>100</v>
      </c>
      <c r="F318" t="s">
        <v>69</v>
      </c>
      <c r="G318" t="s">
        <v>70</v>
      </c>
      <c r="H318" t="s">
        <v>1079</v>
      </c>
      <c r="I318" s="8" t="s">
        <v>1103</v>
      </c>
      <c r="J318" t="s">
        <v>220</v>
      </c>
      <c r="K318" t="s">
        <v>221</v>
      </c>
      <c r="L318" t="str">
        <f t="shared" si="8"/>
        <v>Ines Berg</v>
      </c>
      <c r="M318" t="s">
        <v>1134</v>
      </c>
      <c r="N318" t="s">
        <v>57</v>
      </c>
      <c r="O318" s="1">
        <v>46141</v>
      </c>
      <c r="P318" s="1">
        <v>46232</v>
      </c>
      <c r="Q318" s="2">
        <v>43.91</v>
      </c>
      <c r="R318" t="s">
        <v>58</v>
      </c>
      <c r="S318" s="3">
        <v>0.75</v>
      </c>
      <c r="T318">
        <v>0</v>
      </c>
      <c r="U318" t="s">
        <v>60</v>
      </c>
      <c r="V318" t="s">
        <v>248</v>
      </c>
      <c r="W318">
        <v>0</v>
      </c>
      <c r="X318" s="2">
        <v>0</v>
      </c>
      <c r="Y318" s="2">
        <v>32.93</v>
      </c>
      <c r="Z318" s="2">
        <v>0</v>
      </c>
      <c r="AA318" s="2">
        <v>0</v>
      </c>
      <c r="AB318" s="2">
        <v>0</v>
      </c>
    </row>
    <row r="319" spans="1:28" x14ac:dyDescent="0.25">
      <c r="A319">
        <v>2035178353</v>
      </c>
      <c r="B319" t="s">
        <v>573</v>
      </c>
      <c r="C319" t="s">
        <v>209</v>
      </c>
      <c r="D319" t="str">
        <f t="shared" si="9"/>
        <v>JOHN PETERSON</v>
      </c>
      <c r="E319" t="s">
        <v>100</v>
      </c>
      <c r="F319" t="s">
        <v>194</v>
      </c>
      <c r="G319" t="s">
        <v>195</v>
      </c>
      <c r="H319" t="s">
        <v>195</v>
      </c>
      <c r="I319" s="8" t="s">
        <v>1103</v>
      </c>
      <c r="J319" t="s">
        <v>220</v>
      </c>
      <c r="K319" t="s">
        <v>221</v>
      </c>
      <c r="L319" t="str">
        <f t="shared" si="8"/>
        <v>Ines Berg</v>
      </c>
      <c r="M319" t="s">
        <v>1134</v>
      </c>
      <c r="N319" t="s">
        <v>57</v>
      </c>
      <c r="O319" s="1">
        <v>46141</v>
      </c>
      <c r="P319" s="1">
        <v>46232</v>
      </c>
      <c r="Q319" s="2">
        <v>42.36</v>
      </c>
      <c r="R319" t="s">
        <v>58</v>
      </c>
      <c r="S319" s="3">
        <v>0.7</v>
      </c>
      <c r="T319">
        <v>0</v>
      </c>
      <c r="U319" t="s">
        <v>60</v>
      </c>
      <c r="V319" t="s">
        <v>248</v>
      </c>
      <c r="W319">
        <v>0</v>
      </c>
      <c r="X319" s="2">
        <v>0</v>
      </c>
      <c r="Y319" s="2">
        <v>29.65</v>
      </c>
      <c r="Z319" s="2">
        <v>0</v>
      </c>
      <c r="AA319" s="2">
        <v>0</v>
      </c>
      <c r="AB319" s="2">
        <v>0</v>
      </c>
    </row>
    <row r="320" spans="1:28" x14ac:dyDescent="0.25">
      <c r="A320">
        <v>2033236072</v>
      </c>
      <c r="B320" t="s">
        <v>763</v>
      </c>
      <c r="C320" t="s">
        <v>764</v>
      </c>
      <c r="D320" t="str">
        <f t="shared" si="9"/>
        <v>STELLA SPILOTRO</v>
      </c>
      <c r="E320" t="s">
        <v>100</v>
      </c>
      <c r="F320" t="s">
        <v>194</v>
      </c>
      <c r="G320" t="s">
        <v>195</v>
      </c>
      <c r="H320" t="s">
        <v>195</v>
      </c>
      <c r="I320" s="8" t="s">
        <v>1103</v>
      </c>
      <c r="J320" t="s">
        <v>220</v>
      </c>
      <c r="K320" t="s">
        <v>221</v>
      </c>
      <c r="L320" t="str">
        <f t="shared" si="8"/>
        <v>Ines Berg</v>
      </c>
      <c r="M320" t="s">
        <v>1134</v>
      </c>
      <c r="N320" t="s">
        <v>57</v>
      </c>
      <c r="O320" s="1">
        <v>46054</v>
      </c>
      <c r="P320" s="1">
        <v>46235</v>
      </c>
      <c r="Q320" s="2">
        <v>78.44</v>
      </c>
      <c r="R320" t="s">
        <v>58</v>
      </c>
      <c r="S320" s="3">
        <v>0.7</v>
      </c>
      <c r="T320">
        <v>0</v>
      </c>
      <c r="U320" t="s">
        <v>60</v>
      </c>
      <c r="V320" t="s">
        <v>248</v>
      </c>
      <c r="W320">
        <v>0</v>
      </c>
      <c r="X320" s="2">
        <v>0</v>
      </c>
      <c r="Y320" s="2">
        <v>54.91</v>
      </c>
      <c r="Z320" s="2">
        <v>0</v>
      </c>
      <c r="AA320" s="2">
        <v>0</v>
      </c>
      <c r="AB320" s="2">
        <v>0</v>
      </c>
    </row>
    <row r="321" spans="1:28" x14ac:dyDescent="0.25">
      <c r="A321">
        <v>2035178354</v>
      </c>
      <c r="B321" t="s">
        <v>573</v>
      </c>
      <c r="C321" t="s">
        <v>209</v>
      </c>
      <c r="D321" t="str">
        <f t="shared" si="9"/>
        <v>JOHN PETERSON</v>
      </c>
      <c r="E321" t="s">
        <v>100</v>
      </c>
      <c r="F321" t="s">
        <v>194</v>
      </c>
      <c r="G321" t="s">
        <v>217</v>
      </c>
      <c r="H321" t="s">
        <v>217</v>
      </c>
      <c r="I321" s="8" t="s">
        <v>1103</v>
      </c>
      <c r="J321" t="s">
        <v>220</v>
      </c>
      <c r="K321" t="s">
        <v>221</v>
      </c>
      <c r="L321" t="str">
        <f t="shared" si="8"/>
        <v>Ines Berg</v>
      </c>
      <c r="M321" t="s">
        <v>1134</v>
      </c>
      <c r="N321" t="s">
        <v>57</v>
      </c>
      <c r="O321" s="1">
        <v>46141</v>
      </c>
      <c r="P321" s="1">
        <v>46232</v>
      </c>
      <c r="Q321" s="2">
        <v>23.95</v>
      </c>
      <c r="R321" t="s">
        <v>58</v>
      </c>
      <c r="S321" s="3">
        <v>0.9</v>
      </c>
      <c r="T321">
        <v>0</v>
      </c>
      <c r="U321" t="s">
        <v>60</v>
      </c>
      <c r="V321" t="s">
        <v>248</v>
      </c>
      <c r="W321">
        <v>0</v>
      </c>
      <c r="X321" s="2">
        <v>0</v>
      </c>
      <c r="Y321" s="2">
        <v>21.56</v>
      </c>
      <c r="Z321" s="2">
        <v>0</v>
      </c>
      <c r="AA321" s="2">
        <v>0</v>
      </c>
      <c r="AB321" s="2">
        <v>0</v>
      </c>
    </row>
    <row r="322" spans="1:28" x14ac:dyDescent="0.25">
      <c r="A322">
        <v>2033124170</v>
      </c>
      <c r="B322" t="s">
        <v>460</v>
      </c>
      <c r="C322" t="s">
        <v>250</v>
      </c>
      <c r="D322" t="str">
        <f t="shared" si="9"/>
        <v>BENJAMIN ROTHENBERG</v>
      </c>
      <c r="E322" t="s">
        <v>89</v>
      </c>
      <c r="F322" t="s">
        <v>69</v>
      </c>
      <c r="G322" t="s">
        <v>338</v>
      </c>
      <c r="H322" t="s">
        <v>1079</v>
      </c>
      <c r="I322" s="8">
        <v>18754354</v>
      </c>
      <c r="J322" t="s">
        <v>181</v>
      </c>
      <c r="K322" t="s">
        <v>182</v>
      </c>
      <c r="L322" t="str">
        <f t="shared" ref="L322:L385" si="10">CONCATENATE(K322," ",J322)</f>
        <v>JACOB YALE</v>
      </c>
      <c r="M322" t="s">
        <v>1133</v>
      </c>
      <c r="N322" t="s">
        <v>57</v>
      </c>
      <c r="O322" s="1">
        <v>46054</v>
      </c>
      <c r="P322" s="1">
        <v>46235</v>
      </c>
      <c r="Q322" s="2">
        <v>36.4</v>
      </c>
      <c r="R322" t="s">
        <v>58</v>
      </c>
      <c r="S322" s="3">
        <v>0.75</v>
      </c>
      <c r="T322">
        <v>0</v>
      </c>
      <c r="U322" t="s">
        <v>60</v>
      </c>
      <c r="V322" t="s">
        <v>248</v>
      </c>
      <c r="W322">
        <v>0</v>
      </c>
      <c r="X322" s="2">
        <v>0</v>
      </c>
      <c r="Y322" s="2">
        <v>27.3</v>
      </c>
      <c r="Z322" s="2">
        <v>0</v>
      </c>
      <c r="AA322" s="2">
        <v>0</v>
      </c>
      <c r="AB322" s="2">
        <v>0</v>
      </c>
    </row>
    <row r="323" spans="1:28" x14ac:dyDescent="0.25">
      <c r="A323">
        <v>2033338101</v>
      </c>
      <c r="B323" t="s">
        <v>523</v>
      </c>
      <c r="C323" t="s">
        <v>524</v>
      </c>
      <c r="D323" t="str">
        <f t="shared" ref="D323:D386" si="11">CONCATENATE(C323," ",B323)</f>
        <v>LUIS MEDINA</v>
      </c>
      <c r="E323" t="s">
        <v>75</v>
      </c>
      <c r="F323" t="s">
        <v>69</v>
      </c>
      <c r="G323" t="s">
        <v>70</v>
      </c>
      <c r="H323" t="s">
        <v>1079</v>
      </c>
      <c r="I323" s="8">
        <v>18754354</v>
      </c>
      <c r="J323" t="s">
        <v>181</v>
      </c>
      <c r="K323" t="s">
        <v>182</v>
      </c>
      <c r="L323" t="str">
        <f t="shared" si="10"/>
        <v>JACOB YALE</v>
      </c>
      <c r="M323" t="s">
        <v>1133</v>
      </c>
      <c r="N323" t="s">
        <v>57</v>
      </c>
      <c r="O323" s="1">
        <v>46054</v>
      </c>
      <c r="P323" s="1">
        <v>46235</v>
      </c>
      <c r="Q323" s="2">
        <v>56.23</v>
      </c>
      <c r="R323" t="s">
        <v>58</v>
      </c>
      <c r="S323" s="3">
        <v>0.75</v>
      </c>
      <c r="T323">
        <v>0</v>
      </c>
      <c r="U323" t="s">
        <v>60</v>
      </c>
      <c r="V323" t="s">
        <v>248</v>
      </c>
      <c r="W323">
        <v>0</v>
      </c>
      <c r="X323" s="2">
        <v>0</v>
      </c>
      <c r="Y323" s="2">
        <v>42.17</v>
      </c>
      <c r="Z323" s="2">
        <v>0</v>
      </c>
      <c r="AA323" s="2">
        <v>0</v>
      </c>
      <c r="AB323" s="2">
        <v>0</v>
      </c>
    </row>
    <row r="324" spans="1:28" x14ac:dyDescent="0.25">
      <c r="A324">
        <v>2033150236</v>
      </c>
      <c r="B324" t="s">
        <v>474</v>
      </c>
      <c r="C324" t="s">
        <v>199</v>
      </c>
      <c r="D324" t="str">
        <f t="shared" si="11"/>
        <v>MARY LILLIE</v>
      </c>
      <c r="E324" t="s">
        <v>89</v>
      </c>
      <c r="F324" t="s">
        <v>69</v>
      </c>
      <c r="G324" t="s">
        <v>70</v>
      </c>
      <c r="H324" t="s">
        <v>1079</v>
      </c>
      <c r="I324" s="8">
        <v>18754354</v>
      </c>
      <c r="J324" t="s">
        <v>181</v>
      </c>
      <c r="K324" t="s">
        <v>182</v>
      </c>
      <c r="L324" t="str">
        <f t="shared" si="10"/>
        <v>JACOB YALE</v>
      </c>
      <c r="M324" t="s">
        <v>1133</v>
      </c>
      <c r="N324" t="s">
        <v>57</v>
      </c>
      <c r="O324" s="1">
        <v>46054</v>
      </c>
      <c r="P324" s="1">
        <v>46235</v>
      </c>
      <c r="Q324" s="2">
        <v>59.85</v>
      </c>
      <c r="R324" t="s">
        <v>58</v>
      </c>
      <c r="S324" s="3">
        <v>0.75</v>
      </c>
      <c r="T324">
        <v>0</v>
      </c>
      <c r="U324" t="s">
        <v>60</v>
      </c>
      <c r="V324" t="s">
        <v>248</v>
      </c>
      <c r="W324">
        <v>0</v>
      </c>
      <c r="X324" s="2">
        <v>0</v>
      </c>
      <c r="Y324" s="2">
        <v>44.89</v>
      </c>
      <c r="Z324" s="2">
        <v>0</v>
      </c>
      <c r="AA324" s="2">
        <v>0</v>
      </c>
      <c r="AB324" s="2">
        <v>0</v>
      </c>
    </row>
    <row r="325" spans="1:28" x14ac:dyDescent="0.25">
      <c r="A325">
        <v>2033177080</v>
      </c>
      <c r="B325" t="s">
        <v>748</v>
      </c>
      <c r="C325" t="s">
        <v>749</v>
      </c>
      <c r="D325" t="str">
        <f t="shared" si="11"/>
        <v>LILLY BUSSEY</v>
      </c>
      <c r="E325" t="s">
        <v>97</v>
      </c>
      <c r="F325" t="s">
        <v>194</v>
      </c>
      <c r="G325" t="s">
        <v>195</v>
      </c>
      <c r="H325" t="s">
        <v>195</v>
      </c>
      <c r="I325" s="8">
        <v>18754354</v>
      </c>
      <c r="J325" t="s">
        <v>181</v>
      </c>
      <c r="K325" t="s">
        <v>182</v>
      </c>
      <c r="L325" t="str">
        <f t="shared" si="10"/>
        <v>JACOB YALE</v>
      </c>
      <c r="M325" t="s">
        <v>1133</v>
      </c>
      <c r="N325" t="s">
        <v>57</v>
      </c>
      <c r="O325" s="1">
        <v>46054</v>
      </c>
      <c r="P325" s="1">
        <v>46235</v>
      </c>
      <c r="Q325" s="2">
        <v>52.37</v>
      </c>
      <c r="R325" t="s">
        <v>58</v>
      </c>
      <c r="S325" s="3">
        <v>0.7</v>
      </c>
      <c r="T325">
        <v>0</v>
      </c>
      <c r="U325" t="s">
        <v>60</v>
      </c>
      <c r="V325" t="s">
        <v>248</v>
      </c>
      <c r="W325">
        <v>0</v>
      </c>
      <c r="X325" s="2">
        <v>0</v>
      </c>
      <c r="Y325" s="2">
        <v>36.659999999999997</v>
      </c>
      <c r="Z325" s="2">
        <v>36.659999999999997</v>
      </c>
      <c r="AA325" s="2">
        <v>36.659999999999997</v>
      </c>
      <c r="AB325" s="2">
        <v>0</v>
      </c>
    </row>
    <row r="326" spans="1:28" x14ac:dyDescent="0.25">
      <c r="A326">
        <v>2026548461</v>
      </c>
      <c r="B326" t="s">
        <v>1014</v>
      </c>
      <c r="C326" t="s">
        <v>888</v>
      </c>
      <c r="D326" t="str">
        <f t="shared" si="11"/>
        <v>ROBYN STOETZEL</v>
      </c>
      <c r="E326" t="s">
        <v>89</v>
      </c>
      <c r="F326" t="s">
        <v>194</v>
      </c>
      <c r="G326" t="s">
        <v>195</v>
      </c>
      <c r="H326" t="s">
        <v>195</v>
      </c>
      <c r="I326" s="8">
        <v>18754354</v>
      </c>
      <c r="J326" t="s">
        <v>181</v>
      </c>
      <c r="K326" t="s">
        <v>182</v>
      </c>
      <c r="L326" t="str">
        <f t="shared" si="10"/>
        <v>JACOB YALE</v>
      </c>
      <c r="M326" t="s">
        <v>1133</v>
      </c>
      <c r="N326" t="s">
        <v>57</v>
      </c>
      <c r="O326" s="1">
        <v>45689</v>
      </c>
      <c r="P326" s="1">
        <v>46235</v>
      </c>
      <c r="Q326" s="2">
        <v>198.36</v>
      </c>
      <c r="R326" t="s">
        <v>58</v>
      </c>
      <c r="S326" s="3">
        <v>0.15</v>
      </c>
      <c r="T326">
        <v>0</v>
      </c>
      <c r="U326" t="s">
        <v>247</v>
      </c>
      <c r="V326" t="s">
        <v>248</v>
      </c>
      <c r="W326">
        <v>0</v>
      </c>
      <c r="X326" s="2">
        <v>0</v>
      </c>
      <c r="Y326" s="2">
        <v>29.75</v>
      </c>
      <c r="Z326" s="2">
        <v>29.75</v>
      </c>
      <c r="AA326" s="2">
        <v>29.75</v>
      </c>
      <c r="AB326" s="2">
        <v>0</v>
      </c>
    </row>
    <row r="327" spans="1:28" x14ac:dyDescent="0.25">
      <c r="A327">
        <v>2026549078</v>
      </c>
      <c r="B327" t="s">
        <v>1014</v>
      </c>
      <c r="C327" t="s">
        <v>1015</v>
      </c>
      <c r="D327" t="str">
        <f t="shared" si="11"/>
        <v>TYLLER STOETZEL</v>
      </c>
      <c r="E327" t="s">
        <v>89</v>
      </c>
      <c r="F327" t="s">
        <v>194</v>
      </c>
      <c r="G327" t="s">
        <v>195</v>
      </c>
      <c r="H327" t="s">
        <v>195</v>
      </c>
      <c r="I327" s="8">
        <v>18754354</v>
      </c>
      <c r="J327" t="s">
        <v>181</v>
      </c>
      <c r="K327" t="s">
        <v>182</v>
      </c>
      <c r="L327" t="str">
        <f t="shared" si="10"/>
        <v>JACOB YALE</v>
      </c>
      <c r="M327" t="s">
        <v>1133</v>
      </c>
      <c r="N327" t="s">
        <v>57</v>
      </c>
      <c r="O327" s="1">
        <v>45689</v>
      </c>
      <c r="P327" s="1">
        <v>46235</v>
      </c>
      <c r="Q327" s="2">
        <v>28.9</v>
      </c>
      <c r="R327" t="s">
        <v>58</v>
      </c>
      <c r="S327" s="3">
        <v>0.15</v>
      </c>
      <c r="T327">
        <v>0</v>
      </c>
      <c r="U327" t="s">
        <v>247</v>
      </c>
      <c r="V327" t="s">
        <v>248</v>
      </c>
      <c r="W327">
        <v>0</v>
      </c>
      <c r="X327" s="2">
        <v>0</v>
      </c>
      <c r="Y327" s="2">
        <v>4.34</v>
      </c>
      <c r="Z327" s="2">
        <v>4.34</v>
      </c>
      <c r="AA327" s="2">
        <v>4.34</v>
      </c>
      <c r="AB327" s="2">
        <v>0</v>
      </c>
    </row>
    <row r="328" spans="1:28" x14ac:dyDescent="0.25">
      <c r="A328">
        <v>2026637549</v>
      </c>
      <c r="B328" t="s">
        <v>906</v>
      </c>
      <c r="C328" t="s">
        <v>907</v>
      </c>
      <c r="D328" t="str">
        <f t="shared" si="11"/>
        <v>ANITA WENGERSKI</v>
      </c>
      <c r="E328" t="s">
        <v>89</v>
      </c>
      <c r="F328" t="s">
        <v>194</v>
      </c>
      <c r="G328" t="s">
        <v>195</v>
      </c>
      <c r="H328" t="s">
        <v>195</v>
      </c>
      <c r="I328" s="8">
        <v>18754354</v>
      </c>
      <c r="J328" t="s">
        <v>181</v>
      </c>
      <c r="K328" t="s">
        <v>182</v>
      </c>
      <c r="L328" t="str">
        <f t="shared" si="10"/>
        <v>JACOB YALE</v>
      </c>
      <c r="M328" t="s">
        <v>1133</v>
      </c>
      <c r="N328" t="s">
        <v>57</v>
      </c>
      <c r="O328" s="1">
        <v>45689</v>
      </c>
      <c r="P328" s="1">
        <v>46235</v>
      </c>
      <c r="Q328" s="2">
        <v>11.5</v>
      </c>
      <c r="R328" t="s">
        <v>58</v>
      </c>
      <c r="S328" s="3">
        <v>0.15</v>
      </c>
      <c r="T328">
        <v>0</v>
      </c>
      <c r="U328" t="s">
        <v>247</v>
      </c>
      <c r="V328" t="s">
        <v>248</v>
      </c>
      <c r="W328">
        <v>0</v>
      </c>
      <c r="X328" s="2">
        <v>0</v>
      </c>
      <c r="Y328" s="2">
        <v>1.72</v>
      </c>
      <c r="Z328" s="2">
        <v>1.72</v>
      </c>
      <c r="AA328" s="2">
        <v>1.72</v>
      </c>
      <c r="AB328" s="2">
        <v>0</v>
      </c>
    </row>
    <row r="329" spans="1:28" x14ac:dyDescent="0.25">
      <c r="A329">
        <v>2033338100</v>
      </c>
      <c r="B329" t="s">
        <v>523</v>
      </c>
      <c r="C329" t="s">
        <v>524</v>
      </c>
      <c r="D329" t="str">
        <f t="shared" si="11"/>
        <v>LUIS MEDINA</v>
      </c>
      <c r="E329" t="s">
        <v>75</v>
      </c>
      <c r="F329" t="s">
        <v>194</v>
      </c>
      <c r="G329" t="s">
        <v>195</v>
      </c>
      <c r="H329" t="s">
        <v>195</v>
      </c>
      <c r="I329" s="8">
        <v>18754354</v>
      </c>
      <c r="J329" t="s">
        <v>181</v>
      </c>
      <c r="K329" t="s">
        <v>182</v>
      </c>
      <c r="L329" t="str">
        <f t="shared" si="10"/>
        <v>JACOB YALE</v>
      </c>
      <c r="M329" t="s">
        <v>1133</v>
      </c>
      <c r="N329" t="s">
        <v>57</v>
      </c>
      <c r="O329" s="1">
        <v>46054</v>
      </c>
      <c r="P329" s="1">
        <v>46235</v>
      </c>
      <c r="Q329" s="2">
        <v>47.14</v>
      </c>
      <c r="R329" t="s">
        <v>58</v>
      </c>
      <c r="S329" s="3">
        <v>0.7</v>
      </c>
      <c r="T329">
        <v>0</v>
      </c>
      <c r="U329" t="s">
        <v>60</v>
      </c>
      <c r="V329" t="s">
        <v>248</v>
      </c>
      <c r="W329">
        <v>0</v>
      </c>
      <c r="X329" s="2">
        <v>0</v>
      </c>
      <c r="Y329" s="2">
        <v>33</v>
      </c>
      <c r="Z329" s="2">
        <v>0</v>
      </c>
      <c r="AA329" s="2">
        <v>0</v>
      </c>
      <c r="AB329" s="2">
        <v>0</v>
      </c>
    </row>
    <row r="330" spans="1:28" x14ac:dyDescent="0.25">
      <c r="A330">
        <v>2033124169</v>
      </c>
      <c r="B330" t="s">
        <v>460</v>
      </c>
      <c r="C330" t="s">
        <v>250</v>
      </c>
      <c r="D330" t="str">
        <f t="shared" si="11"/>
        <v>BENJAMIN ROTHENBERG</v>
      </c>
      <c r="E330" t="s">
        <v>89</v>
      </c>
      <c r="F330" t="s">
        <v>194</v>
      </c>
      <c r="G330" t="s">
        <v>195</v>
      </c>
      <c r="H330" t="s">
        <v>195</v>
      </c>
      <c r="I330" s="8">
        <v>18754354</v>
      </c>
      <c r="J330" t="s">
        <v>181</v>
      </c>
      <c r="K330" t="s">
        <v>182</v>
      </c>
      <c r="L330" t="str">
        <f t="shared" si="10"/>
        <v>JACOB YALE</v>
      </c>
      <c r="M330" t="s">
        <v>1133</v>
      </c>
      <c r="N330" t="s">
        <v>57</v>
      </c>
      <c r="O330" s="1">
        <v>46054</v>
      </c>
      <c r="P330" s="1">
        <v>46235</v>
      </c>
      <c r="Q330" s="2">
        <v>54.22</v>
      </c>
      <c r="R330" t="s">
        <v>58</v>
      </c>
      <c r="S330" s="3">
        <v>0.7</v>
      </c>
      <c r="T330">
        <v>0</v>
      </c>
      <c r="U330" t="s">
        <v>60</v>
      </c>
      <c r="V330" t="s">
        <v>248</v>
      </c>
      <c r="W330">
        <v>0</v>
      </c>
      <c r="X330" s="2">
        <v>0</v>
      </c>
      <c r="Y330" s="2">
        <v>37.950000000000003</v>
      </c>
      <c r="Z330" s="2">
        <v>0</v>
      </c>
      <c r="AA330" s="2">
        <v>0</v>
      </c>
      <c r="AB330" s="2">
        <v>0</v>
      </c>
    </row>
    <row r="331" spans="1:28" x14ac:dyDescent="0.25">
      <c r="A331">
        <v>2033150237</v>
      </c>
      <c r="B331" t="s">
        <v>474</v>
      </c>
      <c r="C331" t="s">
        <v>199</v>
      </c>
      <c r="D331" t="str">
        <f t="shared" si="11"/>
        <v>MARY LILLIE</v>
      </c>
      <c r="E331" t="s">
        <v>89</v>
      </c>
      <c r="F331" t="s">
        <v>194</v>
      </c>
      <c r="G331" t="s">
        <v>195</v>
      </c>
      <c r="H331" t="s">
        <v>195</v>
      </c>
      <c r="I331" s="8">
        <v>18754354</v>
      </c>
      <c r="J331" t="s">
        <v>181</v>
      </c>
      <c r="K331" t="s">
        <v>182</v>
      </c>
      <c r="L331" t="str">
        <f t="shared" si="10"/>
        <v>JACOB YALE</v>
      </c>
      <c r="M331" t="s">
        <v>1133</v>
      </c>
      <c r="N331" t="s">
        <v>57</v>
      </c>
      <c r="O331" s="1">
        <v>46054</v>
      </c>
      <c r="P331" s="1">
        <v>46235</v>
      </c>
      <c r="Q331" s="2">
        <v>60.8</v>
      </c>
      <c r="R331" t="s">
        <v>58</v>
      </c>
      <c r="S331" s="3">
        <v>0.7</v>
      </c>
      <c r="T331">
        <v>0</v>
      </c>
      <c r="U331" t="s">
        <v>60</v>
      </c>
      <c r="V331" t="s">
        <v>248</v>
      </c>
      <c r="W331">
        <v>0</v>
      </c>
      <c r="X331" s="2">
        <v>0</v>
      </c>
      <c r="Y331" s="2">
        <v>42.56</v>
      </c>
      <c r="Z331" s="2">
        <v>0</v>
      </c>
      <c r="AA331" s="2">
        <v>0</v>
      </c>
      <c r="AB331" s="2">
        <v>0</v>
      </c>
    </row>
    <row r="332" spans="1:28" x14ac:dyDescent="0.25">
      <c r="A332">
        <v>2033048239</v>
      </c>
      <c r="B332" t="s">
        <v>1070</v>
      </c>
      <c r="C332" t="s">
        <v>889</v>
      </c>
      <c r="D332" t="str">
        <f t="shared" si="11"/>
        <v>STEPHANIE MORIETTA</v>
      </c>
      <c r="E332" t="s">
        <v>89</v>
      </c>
      <c r="F332" t="s">
        <v>194</v>
      </c>
      <c r="G332" t="s">
        <v>195</v>
      </c>
      <c r="H332" t="s">
        <v>195</v>
      </c>
      <c r="I332" s="8">
        <v>18754354</v>
      </c>
      <c r="J332" t="s">
        <v>181</v>
      </c>
      <c r="K332" t="s">
        <v>182</v>
      </c>
      <c r="L332" t="str">
        <f t="shared" si="10"/>
        <v>JACOB YALE</v>
      </c>
      <c r="M332" t="s">
        <v>1133</v>
      </c>
      <c r="N332" t="s">
        <v>57</v>
      </c>
      <c r="O332" s="1">
        <v>46054</v>
      </c>
      <c r="P332" s="1">
        <v>46235</v>
      </c>
      <c r="Q332" s="2">
        <v>111.07</v>
      </c>
      <c r="R332" t="s">
        <v>58</v>
      </c>
      <c r="S332" s="3">
        <v>0.7</v>
      </c>
      <c r="T332">
        <v>0</v>
      </c>
      <c r="U332" t="s">
        <v>60</v>
      </c>
      <c r="V332" t="s">
        <v>248</v>
      </c>
      <c r="W332">
        <v>0</v>
      </c>
      <c r="X332" s="2">
        <v>0</v>
      </c>
      <c r="Y332" s="2">
        <v>77.75</v>
      </c>
      <c r="Z332" s="2">
        <v>0</v>
      </c>
      <c r="AA332" s="2">
        <v>0</v>
      </c>
      <c r="AB332" s="2">
        <v>0</v>
      </c>
    </row>
    <row r="333" spans="1:28" x14ac:dyDescent="0.25">
      <c r="A333">
        <v>2033346779</v>
      </c>
      <c r="B333" t="s">
        <v>793</v>
      </c>
      <c r="C333" t="s">
        <v>478</v>
      </c>
      <c r="D333" t="str">
        <f t="shared" si="11"/>
        <v>MICHAEL WOJCIECHOWSKI</v>
      </c>
      <c r="E333" t="s">
        <v>89</v>
      </c>
      <c r="F333" t="s">
        <v>194</v>
      </c>
      <c r="G333" t="s">
        <v>195</v>
      </c>
      <c r="H333" t="s">
        <v>195</v>
      </c>
      <c r="I333" s="8">
        <v>18754354</v>
      </c>
      <c r="J333" t="s">
        <v>181</v>
      </c>
      <c r="K333" t="s">
        <v>182</v>
      </c>
      <c r="L333" t="str">
        <f t="shared" si="10"/>
        <v>JACOB YALE</v>
      </c>
      <c r="M333" t="s">
        <v>1133</v>
      </c>
      <c r="N333" t="s">
        <v>57</v>
      </c>
      <c r="O333" s="1">
        <v>46054</v>
      </c>
      <c r="P333" s="1">
        <v>46235</v>
      </c>
      <c r="Q333" s="2">
        <v>124.72</v>
      </c>
      <c r="R333" t="s">
        <v>58</v>
      </c>
      <c r="S333" s="3">
        <v>0.7</v>
      </c>
      <c r="T333">
        <v>0</v>
      </c>
      <c r="U333" t="s">
        <v>60</v>
      </c>
      <c r="V333" t="s">
        <v>248</v>
      </c>
      <c r="W333">
        <v>0</v>
      </c>
      <c r="X333" s="2">
        <v>0</v>
      </c>
      <c r="Y333" s="2">
        <v>87.3</v>
      </c>
      <c r="Z333" s="2">
        <v>0</v>
      </c>
      <c r="AA333" s="2">
        <v>0</v>
      </c>
      <c r="AB333" s="2">
        <v>0</v>
      </c>
    </row>
    <row r="334" spans="1:28" x14ac:dyDescent="0.25">
      <c r="A334">
        <v>2026637550</v>
      </c>
      <c r="B334" t="s">
        <v>906</v>
      </c>
      <c r="C334" t="s">
        <v>907</v>
      </c>
      <c r="D334" t="str">
        <f t="shared" si="11"/>
        <v>ANITA WENGERSKI</v>
      </c>
      <c r="E334" t="s">
        <v>89</v>
      </c>
      <c r="F334" t="s">
        <v>133</v>
      </c>
      <c r="G334" t="s">
        <v>134</v>
      </c>
      <c r="H334" t="s">
        <v>134</v>
      </c>
      <c r="I334" s="8">
        <v>18754354</v>
      </c>
      <c r="J334" t="s">
        <v>181</v>
      </c>
      <c r="K334" t="s">
        <v>182</v>
      </c>
      <c r="L334" t="str">
        <f t="shared" si="10"/>
        <v>JACOB YALE</v>
      </c>
      <c r="M334" t="s">
        <v>1133</v>
      </c>
      <c r="N334" t="s">
        <v>57</v>
      </c>
      <c r="O334" s="1">
        <v>45689</v>
      </c>
      <c r="P334" s="1">
        <v>46235</v>
      </c>
      <c r="Q334" s="2">
        <v>48.61</v>
      </c>
      <c r="R334" t="s">
        <v>58</v>
      </c>
      <c r="S334" s="3">
        <v>0.06</v>
      </c>
      <c r="T334">
        <v>0</v>
      </c>
      <c r="U334" t="s">
        <v>247</v>
      </c>
      <c r="V334" t="s">
        <v>248</v>
      </c>
      <c r="W334">
        <v>0</v>
      </c>
      <c r="X334" s="2">
        <v>0</v>
      </c>
      <c r="Y334" s="2">
        <v>2.92</v>
      </c>
      <c r="Z334" s="2">
        <v>2.92</v>
      </c>
      <c r="AA334" s="2">
        <v>2.92</v>
      </c>
      <c r="AB334" s="2">
        <v>0</v>
      </c>
    </row>
    <row r="335" spans="1:28" x14ac:dyDescent="0.25">
      <c r="A335">
        <v>2026699527</v>
      </c>
      <c r="B335" t="s">
        <v>908</v>
      </c>
      <c r="C335" t="s">
        <v>909</v>
      </c>
      <c r="D335" t="str">
        <f t="shared" si="11"/>
        <v>ELISE ORZECHOWSKI</v>
      </c>
      <c r="E335" t="s">
        <v>89</v>
      </c>
      <c r="F335" t="s">
        <v>133</v>
      </c>
      <c r="G335" t="s">
        <v>134</v>
      </c>
      <c r="H335" t="s">
        <v>134</v>
      </c>
      <c r="I335" s="8">
        <v>18754354</v>
      </c>
      <c r="J335" t="s">
        <v>181</v>
      </c>
      <c r="K335" t="s">
        <v>182</v>
      </c>
      <c r="L335" t="str">
        <f t="shared" si="10"/>
        <v>JACOB YALE</v>
      </c>
      <c r="M335" t="s">
        <v>1133</v>
      </c>
      <c r="N335" t="s">
        <v>57</v>
      </c>
      <c r="O335" s="1">
        <v>45689</v>
      </c>
      <c r="P335" s="1">
        <v>46235</v>
      </c>
      <c r="Q335" s="2">
        <v>124.13</v>
      </c>
      <c r="R335" t="s">
        <v>58</v>
      </c>
      <c r="S335" s="3">
        <v>0.06</v>
      </c>
      <c r="T335">
        <v>0</v>
      </c>
      <c r="U335" t="s">
        <v>247</v>
      </c>
      <c r="V335" t="s">
        <v>248</v>
      </c>
      <c r="W335">
        <v>0</v>
      </c>
      <c r="X335" s="2">
        <v>0</v>
      </c>
      <c r="Y335" s="2">
        <v>7.45</v>
      </c>
      <c r="Z335" s="2">
        <v>7.45</v>
      </c>
      <c r="AA335" s="2">
        <v>7.45</v>
      </c>
      <c r="AB335" s="2">
        <v>0</v>
      </c>
    </row>
    <row r="336" spans="1:28" x14ac:dyDescent="0.25">
      <c r="A336">
        <v>2026781461</v>
      </c>
      <c r="B336" t="s">
        <v>919</v>
      </c>
      <c r="C336" t="s">
        <v>679</v>
      </c>
      <c r="D336" t="str">
        <f t="shared" si="11"/>
        <v>KYLE RABIN</v>
      </c>
      <c r="E336" t="s">
        <v>89</v>
      </c>
      <c r="F336" t="s">
        <v>133</v>
      </c>
      <c r="G336" t="s">
        <v>134</v>
      </c>
      <c r="H336" t="s">
        <v>134</v>
      </c>
      <c r="I336" s="8">
        <v>18754354</v>
      </c>
      <c r="J336" t="s">
        <v>181</v>
      </c>
      <c r="K336" t="s">
        <v>182</v>
      </c>
      <c r="L336" t="str">
        <f t="shared" si="10"/>
        <v>JACOB YALE</v>
      </c>
      <c r="M336" t="s">
        <v>1133</v>
      </c>
      <c r="N336" t="s">
        <v>57</v>
      </c>
      <c r="O336" s="1">
        <v>45689</v>
      </c>
      <c r="P336" s="1">
        <v>46235</v>
      </c>
      <c r="Q336" s="2">
        <v>51.01</v>
      </c>
      <c r="R336" t="s">
        <v>58</v>
      </c>
      <c r="S336" s="3">
        <v>0.06</v>
      </c>
      <c r="T336">
        <v>0</v>
      </c>
      <c r="U336" t="s">
        <v>247</v>
      </c>
      <c r="V336" t="s">
        <v>248</v>
      </c>
      <c r="W336">
        <v>0</v>
      </c>
      <c r="X336" s="2">
        <v>0</v>
      </c>
      <c r="Y336" s="2">
        <v>3.06</v>
      </c>
      <c r="Z336" s="2">
        <v>3.06</v>
      </c>
      <c r="AA336" s="2">
        <v>3.06</v>
      </c>
      <c r="AB336" s="2">
        <v>0</v>
      </c>
    </row>
    <row r="337" spans="1:28" x14ac:dyDescent="0.25">
      <c r="A337">
        <v>2028087322</v>
      </c>
      <c r="B337" t="s">
        <v>927</v>
      </c>
      <c r="C337" t="s">
        <v>928</v>
      </c>
      <c r="D337" t="str">
        <f t="shared" si="11"/>
        <v>BROOKE SHIPBAUGH</v>
      </c>
      <c r="E337" t="s">
        <v>89</v>
      </c>
      <c r="F337" t="s">
        <v>133</v>
      </c>
      <c r="G337" t="s">
        <v>134</v>
      </c>
      <c r="H337" t="s">
        <v>134</v>
      </c>
      <c r="I337" s="8">
        <v>18754354</v>
      </c>
      <c r="J337" t="s">
        <v>181</v>
      </c>
      <c r="K337" t="s">
        <v>182</v>
      </c>
      <c r="L337" t="str">
        <f t="shared" si="10"/>
        <v>JACOB YALE</v>
      </c>
      <c r="M337" t="s">
        <v>1133</v>
      </c>
      <c r="N337" t="s">
        <v>57</v>
      </c>
      <c r="O337" s="1">
        <v>45745</v>
      </c>
      <c r="P337" s="1">
        <v>46232</v>
      </c>
      <c r="Q337" s="2">
        <v>22.52</v>
      </c>
      <c r="R337" t="s">
        <v>58</v>
      </c>
      <c r="S337" s="3">
        <v>0.06</v>
      </c>
      <c r="T337">
        <v>0</v>
      </c>
      <c r="U337" t="s">
        <v>247</v>
      </c>
      <c r="V337" t="s">
        <v>248</v>
      </c>
      <c r="W337">
        <v>0</v>
      </c>
      <c r="X337" s="2">
        <v>0</v>
      </c>
      <c r="Y337" s="2">
        <v>1.35</v>
      </c>
      <c r="Z337" s="2">
        <v>1.35</v>
      </c>
      <c r="AA337" s="2">
        <v>1.35</v>
      </c>
      <c r="AB337" s="2">
        <v>0</v>
      </c>
    </row>
    <row r="338" spans="1:28" x14ac:dyDescent="0.25">
      <c r="A338">
        <v>2033177081</v>
      </c>
      <c r="B338" t="s">
        <v>748</v>
      </c>
      <c r="C338" t="s">
        <v>749</v>
      </c>
      <c r="D338" t="str">
        <f t="shared" si="11"/>
        <v>LILLY BUSSEY</v>
      </c>
      <c r="E338" t="s">
        <v>97</v>
      </c>
      <c r="F338" t="s">
        <v>133</v>
      </c>
      <c r="G338" t="s">
        <v>134</v>
      </c>
      <c r="H338" t="s">
        <v>134</v>
      </c>
      <c r="I338" s="8">
        <v>18754354</v>
      </c>
      <c r="J338" t="s">
        <v>181</v>
      </c>
      <c r="K338" t="s">
        <v>182</v>
      </c>
      <c r="L338" t="str">
        <f t="shared" si="10"/>
        <v>JACOB YALE</v>
      </c>
      <c r="M338" t="s">
        <v>1133</v>
      </c>
      <c r="N338" t="s">
        <v>57</v>
      </c>
      <c r="O338" s="1">
        <v>46054</v>
      </c>
      <c r="P338" s="1">
        <v>46235</v>
      </c>
      <c r="Q338" s="2">
        <v>100.9</v>
      </c>
      <c r="R338" t="s">
        <v>58</v>
      </c>
      <c r="S338" s="4">
        <v>0.375</v>
      </c>
      <c r="T338">
        <v>0</v>
      </c>
      <c r="U338" t="s">
        <v>60</v>
      </c>
      <c r="V338" t="s">
        <v>248</v>
      </c>
      <c r="W338">
        <v>0</v>
      </c>
      <c r="X338" s="2">
        <v>0</v>
      </c>
      <c r="Y338" s="2">
        <v>37.840000000000003</v>
      </c>
      <c r="Z338" s="2">
        <v>37.840000000000003</v>
      </c>
      <c r="AA338" s="2">
        <v>37.840000000000003</v>
      </c>
      <c r="AB338" s="2">
        <v>0</v>
      </c>
    </row>
    <row r="339" spans="1:28" x14ac:dyDescent="0.25">
      <c r="A339">
        <v>2033346778</v>
      </c>
      <c r="B339" t="s">
        <v>793</v>
      </c>
      <c r="C339" t="s">
        <v>478</v>
      </c>
      <c r="D339" t="str">
        <f t="shared" si="11"/>
        <v>MICHAEL WOJCIECHOWSKI</v>
      </c>
      <c r="E339" t="s">
        <v>89</v>
      </c>
      <c r="F339" t="s">
        <v>133</v>
      </c>
      <c r="G339" t="s">
        <v>134</v>
      </c>
      <c r="H339" t="s">
        <v>134</v>
      </c>
      <c r="I339" s="8">
        <v>18754354</v>
      </c>
      <c r="J339" t="s">
        <v>181</v>
      </c>
      <c r="K339" t="s">
        <v>182</v>
      </c>
      <c r="L339" t="str">
        <f t="shared" si="10"/>
        <v>JACOB YALE</v>
      </c>
      <c r="M339" t="s">
        <v>1133</v>
      </c>
      <c r="N339" t="s">
        <v>57</v>
      </c>
      <c r="O339" s="1">
        <v>46054</v>
      </c>
      <c r="P339" s="1">
        <v>46235</v>
      </c>
      <c r="Q339" s="2">
        <v>54.7</v>
      </c>
      <c r="R339" t="s">
        <v>58</v>
      </c>
      <c r="S339" s="4">
        <v>0.375</v>
      </c>
      <c r="T339">
        <v>0</v>
      </c>
      <c r="U339" t="s">
        <v>60</v>
      </c>
      <c r="V339" t="s">
        <v>248</v>
      </c>
      <c r="W339">
        <v>0</v>
      </c>
      <c r="X339" s="2">
        <v>0</v>
      </c>
      <c r="Y339" s="2">
        <v>20.51</v>
      </c>
      <c r="Z339" s="2">
        <v>0</v>
      </c>
      <c r="AA339" s="2">
        <v>0</v>
      </c>
      <c r="AB339" s="2">
        <v>0</v>
      </c>
    </row>
    <row r="340" spans="1:28" x14ac:dyDescent="0.25">
      <c r="A340">
        <v>2033265544</v>
      </c>
      <c r="B340" t="s">
        <v>515</v>
      </c>
      <c r="C340" t="s">
        <v>516</v>
      </c>
      <c r="D340" t="str">
        <f t="shared" si="11"/>
        <v>SEAN CASEY</v>
      </c>
      <c r="E340" t="s">
        <v>100</v>
      </c>
      <c r="F340" t="s">
        <v>69</v>
      </c>
      <c r="G340" t="s">
        <v>70</v>
      </c>
      <c r="H340" t="s">
        <v>1079</v>
      </c>
      <c r="I340" s="8" t="s">
        <v>1094</v>
      </c>
      <c r="J340" t="s">
        <v>85</v>
      </c>
      <c r="K340" t="s">
        <v>86</v>
      </c>
      <c r="L340" t="str">
        <f t="shared" si="10"/>
        <v>Jake Shulman</v>
      </c>
      <c r="M340" t="s">
        <v>1133</v>
      </c>
      <c r="N340" t="s">
        <v>57</v>
      </c>
      <c r="O340" s="1">
        <v>46054</v>
      </c>
      <c r="P340" s="1">
        <v>46235</v>
      </c>
      <c r="Q340" s="2">
        <v>14.92</v>
      </c>
      <c r="R340" t="s">
        <v>58</v>
      </c>
      <c r="S340" s="3">
        <v>0.75</v>
      </c>
      <c r="T340">
        <v>0</v>
      </c>
      <c r="U340" t="s">
        <v>60</v>
      </c>
      <c r="V340" t="s">
        <v>248</v>
      </c>
      <c r="W340">
        <v>0</v>
      </c>
      <c r="X340" s="2">
        <v>0</v>
      </c>
      <c r="Y340" s="2">
        <v>11.19</v>
      </c>
      <c r="Z340" s="2">
        <v>0</v>
      </c>
      <c r="AA340" s="2">
        <v>0</v>
      </c>
      <c r="AB340" s="2">
        <v>0</v>
      </c>
    </row>
    <row r="341" spans="1:28" x14ac:dyDescent="0.25">
      <c r="A341">
        <v>2033397571</v>
      </c>
      <c r="B341" t="s">
        <v>545</v>
      </c>
      <c r="C341" t="s">
        <v>546</v>
      </c>
      <c r="D341" t="str">
        <f t="shared" si="11"/>
        <v>NICKOLE WALLACE</v>
      </c>
      <c r="E341" t="s">
        <v>84</v>
      </c>
      <c r="F341" t="s">
        <v>69</v>
      </c>
      <c r="G341" t="s">
        <v>70</v>
      </c>
      <c r="H341" t="s">
        <v>1079</v>
      </c>
      <c r="I341" s="8" t="s">
        <v>1094</v>
      </c>
      <c r="J341" t="s">
        <v>85</v>
      </c>
      <c r="K341" t="s">
        <v>86</v>
      </c>
      <c r="L341" t="str">
        <f t="shared" si="10"/>
        <v>Jake Shulman</v>
      </c>
      <c r="M341" t="s">
        <v>1133</v>
      </c>
      <c r="N341" t="s">
        <v>57</v>
      </c>
      <c r="O341" s="1">
        <v>46054</v>
      </c>
      <c r="P341" s="1">
        <v>46235</v>
      </c>
      <c r="Q341" s="2">
        <v>15.58</v>
      </c>
      <c r="R341" t="s">
        <v>58</v>
      </c>
      <c r="S341" s="3">
        <v>0.75</v>
      </c>
      <c r="T341">
        <v>0</v>
      </c>
      <c r="U341" t="s">
        <v>60</v>
      </c>
      <c r="V341" t="s">
        <v>248</v>
      </c>
      <c r="W341">
        <v>0</v>
      </c>
      <c r="X341" s="2">
        <v>0</v>
      </c>
      <c r="Y341" s="2">
        <v>11.68</v>
      </c>
      <c r="Z341" s="2">
        <v>0</v>
      </c>
      <c r="AA341" s="2">
        <v>0</v>
      </c>
      <c r="AB341" s="2">
        <v>0</v>
      </c>
    </row>
    <row r="342" spans="1:28" x14ac:dyDescent="0.25">
      <c r="A342">
        <v>2033165802</v>
      </c>
      <c r="B342" t="s">
        <v>435</v>
      </c>
      <c r="C342" t="s">
        <v>480</v>
      </c>
      <c r="D342" t="str">
        <f t="shared" si="11"/>
        <v>BRENT DAVIS</v>
      </c>
      <c r="E342" t="s">
        <v>84</v>
      </c>
      <c r="F342" t="s">
        <v>69</v>
      </c>
      <c r="G342" t="s">
        <v>70</v>
      </c>
      <c r="H342" t="s">
        <v>1079</v>
      </c>
      <c r="I342" s="8" t="s">
        <v>1094</v>
      </c>
      <c r="J342" t="s">
        <v>85</v>
      </c>
      <c r="K342" t="s">
        <v>86</v>
      </c>
      <c r="L342" t="str">
        <f t="shared" si="10"/>
        <v>Jake Shulman</v>
      </c>
      <c r="M342" t="s">
        <v>1133</v>
      </c>
      <c r="N342" t="s">
        <v>57</v>
      </c>
      <c r="O342" s="1">
        <v>46054</v>
      </c>
      <c r="P342" s="1">
        <v>46235</v>
      </c>
      <c r="Q342" s="2">
        <v>20.32</v>
      </c>
      <c r="R342" t="s">
        <v>58</v>
      </c>
      <c r="S342" s="3">
        <v>0.75</v>
      </c>
      <c r="T342">
        <v>0</v>
      </c>
      <c r="U342" t="s">
        <v>60</v>
      </c>
      <c r="V342" t="s">
        <v>248</v>
      </c>
      <c r="W342">
        <v>0</v>
      </c>
      <c r="X342" s="2">
        <v>0</v>
      </c>
      <c r="Y342" s="2">
        <v>15.24</v>
      </c>
      <c r="Z342" s="2">
        <v>0</v>
      </c>
      <c r="AA342" s="2">
        <v>0</v>
      </c>
      <c r="AB342" s="2">
        <v>0</v>
      </c>
    </row>
    <row r="343" spans="1:28" x14ac:dyDescent="0.25">
      <c r="A343">
        <v>2033177150</v>
      </c>
      <c r="B343" t="s">
        <v>483</v>
      </c>
      <c r="C343" t="s">
        <v>484</v>
      </c>
      <c r="D343" t="str">
        <f t="shared" si="11"/>
        <v>JEFFERY KINNEY</v>
      </c>
      <c r="E343" t="s">
        <v>425</v>
      </c>
      <c r="F343" t="s">
        <v>69</v>
      </c>
      <c r="G343" t="s">
        <v>70</v>
      </c>
      <c r="H343" t="s">
        <v>1079</v>
      </c>
      <c r="I343" s="8" t="s">
        <v>1094</v>
      </c>
      <c r="J343" t="s">
        <v>85</v>
      </c>
      <c r="K343" t="s">
        <v>86</v>
      </c>
      <c r="L343" t="str">
        <f t="shared" si="10"/>
        <v>Jake Shulman</v>
      </c>
      <c r="M343" t="s">
        <v>1133</v>
      </c>
      <c r="N343" t="s">
        <v>57</v>
      </c>
      <c r="O343" s="1">
        <v>46054</v>
      </c>
      <c r="P343" s="1">
        <v>46235</v>
      </c>
      <c r="Q343" s="2">
        <v>45.28</v>
      </c>
      <c r="R343" t="s">
        <v>58</v>
      </c>
      <c r="S343" s="3">
        <v>0.75</v>
      </c>
      <c r="T343">
        <v>0</v>
      </c>
      <c r="U343" t="s">
        <v>60</v>
      </c>
      <c r="V343" t="s">
        <v>248</v>
      </c>
      <c r="W343">
        <v>0</v>
      </c>
      <c r="X343" s="2">
        <v>0</v>
      </c>
      <c r="Y343" s="2">
        <v>33.96</v>
      </c>
      <c r="Z343" s="2">
        <v>0</v>
      </c>
      <c r="AA343" s="2">
        <v>0</v>
      </c>
      <c r="AB343" s="2">
        <v>0</v>
      </c>
    </row>
    <row r="344" spans="1:28" x14ac:dyDescent="0.25">
      <c r="A344">
        <v>2033179428</v>
      </c>
      <c r="B344" t="s">
        <v>492</v>
      </c>
      <c r="C344" t="s">
        <v>493</v>
      </c>
      <c r="D344" t="str">
        <f t="shared" si="11"/>
        <v>AIMAN DAVISON</v>
      </c>
      <c r="E344" t="s">
        <v>78</v>
      </c>
      <c r="F344" t="s">
        <v>69</v>
      </c>
      <c r="G344" t="s">
        <v>70</v>
      </c>
      <c r="H344" t="s">
        <v>1079</v>
      </c>
      <c r="I344" s="8" t="s">
        <v>1094</v>
      </c>
      <c r="J344" t="s">
        <v>85</v>
      </c>
      <c r="K344" t="s">
        <v>86</v>
      </c>
      <c r="L344" t="str">
        <f t="shared" si="10"/>
        <v>Jake Shulman</v>
      </c>
      <c r="M344" t="s">
        <v>1133</v>
      </c>
      <c r="N344" t="s">
        <v>57</v>
      </c>
      <c r="O344" s="1">
        <v>46054</v>
      </c>
      <c r="P344" s="1">
        <v>46235</v>
      </c>
      <c r="Q344" s="2">
        <v>55.08</v>
      </c>
      <c r="R344" t="s">
        <v>58</v>
      </c>
      <c r="S344" s="3">
        <v>0.75</v>
      </c>
      <c r="T344">
        <v>0</v>
      </c>
      <c r="U344" t="s">
        <v>60</v>
      </c>
      <c r="V344" t="s">
        <v>248</v>
      </c>
      <c r="W344">
        <v>0</v>
      </c>
      <c r="X344" s="2">
        <v>0</v>
      </c>
      <c r="Y344" s="2">
        <v>41.31</v>
      </c>
      <c r="Z344" s="2">
        <v>0</v>
      </c>
      <c r="AA344" s="2">
        <v>0</v>
      </c>
      <c r="AB344" s="2">
        <v>0</v>
      </c>
    </row>
    <row r="345" spans="1:28" x14ac:dyDescent="0.25">
      <c r="A345">
        <v>2033397900</v>
      </c>
      <c r="B345" t="s">
        <v>547</v>
      </c>
      <c r="C345" t="s">
        <v>548</v>
      </c>
      <c r="D345" t="str">
        <f t="shared" si="11"/>
        <v>JEANNIE SOMSEN</v>
      </c>
      <c r="E345" t="s">
        <v>84</v>
      </c>
      <c r="F345" t="s">
        <v>69</v>
      </c>
      <c r="G345" t="s">
        <v>70</v>
      </c>
      <c r="H345" t="s">
        <v>1079</v>
      </c>
      <c r="I345" s="8" t="s">
        <v>1094</v>
      </c>
      <c r="J345" t="s">
        <v>85</v>
      </c>
      <c r="K345" t="s">
        <v>86</v>
      </c>
      <c r="L345" t="str">
        <f t="shared" si="10"/>
        <v>Jake Shulman</v>
      </c>
      <c r="M345" t="s">
        <v>1133</v>
      </c>
      <c r="N345" t="s">
        <v>57</v>
      </c>
      <c r="O345" s="1">
        <v>46054</v>
      </c>
      <c r="P345" s="1">
        <v>46235</v>
      </c>
      <c r="Q345" s="2">
        <v>74.2</v>
      </c>
      <c r="R345" t="s">
        <v>58</v>
      </c>
      <c r="S345" s="3">
        <v>0.75</v>
      </c>
      <c r="T345">
        <v>0</v>
      </c>
      <c r="U345" t="s">
        <v>60</v>
      </c>
      <c r="V345" t="s">
        <v>248</v>
      </c>
      <c r="W345">
        <v>0</v>
      </c>
      <c r="X345" s="2">
        <v>0</v>
      </c>
      <c r="Y345" s="2">
        <v>55.65</v>
      </c>
      <c r="Z345" s="2">
        <v>0</v>
      </c>
      <c r="AA345" s="2">
        <v>0</v>
      </c>
      <c r="AB345" s="2">
        <v>0</v>
      </c>
    </row>
    <row r="346" spans="1:28" x14ac:dyDescent="0.25">
      <c r="A346">
        <v>2033255616</v>
      </c>
      <c r="B346" t="s">
        <v>511</v>
      </c>
      <c r="C346" t="s">
        <v>512</v>
      </c>
      <c r="D346" t="str">
        <f t="shared" si="11"/>
        <v>KIMBER PAUL</v>
      </c>
      <c r="E346" t="s">
        <v>84</v>
      </c>
      <c r="F346" t="s">
        <v>69</v>
      </c>
      <c r="G346" t="s">
        <v>70</v>
      </c>
      <c r="H346" t="s">
        <v>1079</v>
      </c>
      <c r="I346" s="8" t="s">
        <v>1094</v>
      </c>
      <c r="J346" t="s">
        <v>85</v>
      </c>
      <c r="K346" t="s">
        <v>86</v>
      </c>
      <c r="L346" t="str">
        <f t="shared" si="10"/>
        <v>Jake Shulman</v>
      </c>
      <c r="M346" t="s">
        <v>1133</v>
      </c>
      <c r="N346" t="s">
        <v>57</v>
      </c>
      <c r="O346" s="1">
        <v>46054</v>
      </c>
      <c r="P346" s="1">
        <v>46235</v>
      </c>
      <c r="Q346" s="2">
        <v>94.06</v>
      </c>
      <c r="R346" t="s">
        <v>58</v>
      </c>
      <c r="S346" s="3">
        <v>0.75</v>
      </c>
      <c r="T346">
        <v>0</v>
      </c>
      <c r="U346" t="s">
        <v>60</v>
      </c>
      <c r="V346" t="s">
        <v>248</v>
      </c>
      <c r="W346">
        <v>0</v>
      </c>
      <c r="X346" s="2">
        <v>0</v>
      </c>
      <c r="Y346" s="2">
        <v>70.540000000000006</v>
      </c>
      <c r="Z346" s="2">
        <v>0</v>
      </c>
      <c r="AA346" s="2">
        <v>0</v>
      </c>
      <c r="AB346" s="2">
        <v>0</v>
      </c>
    </row>
    <row r="347" spans="1:28" x14ac:dyDescent="0.25">
      <c r="A347">
        <v>2033116315</v>
      </c>
      <c r="B347" t="s">
        <v>456</v>
      </c>
      <c r="C347" t="s">
        <v>457</v>
      </c>
      <c r="D347" t="str">
        <f t="shared" si="11"/>
        <v>CHRISTOPHER YOUNG</v>
      </c>
      <c r="E347" t="s">
        <v>84</v>
      </c>
      <c r="F347" t="s">
        <v>69</v>
      </c>
      <c r="G347" t="s">
        <v>338</v>
      </c>
      <c r="H347" t="s">
        <v>1079</v>
      </c>
      <c r="I347" s="8" t="s">
        <v>1094</v>
      </c>
      <c r="J347" t="s">
        <v>85</v>
      </c>
      <c r="K347" t="s">
        <v>86</v>
      </c>
      <c r="L347" t="str">
        <f t="shared" si="10"/>
        <v>Jake Shulman</v>
      </c>
      <c r="M347" t="s">
        <v>1133</v>
      </c>
      <c r="N347" t="s">
        <v>57</v>
      </c>
      <c r="O347" s="1">
        <v>46054</v>
      </c>
      <c r="P347" s="1">
        <v>46235</v>
      </c>
      <c r="Q347" s="2">
        <v>136.80000000000001</v>
      </c>
      <c r="R347" t="s">
        <v>58</v>
      </c>
      <c r="S347" s="3">
        <v>0.75</v>
      </c>
      <c r="T347">
        <v>0</v>
      </c>
      <c r="U347" t="s">
        <v>60</v>
      </c>
      <c r="V347" t="s">
        <v>248</v>
      </c>
      <c r="W347">
        <v>0</v>
      </c>
      <c r="X347" s="2">
        <v>0</v>
      </c>
      <c r="Y347" s="2">
        <v>102.6</v>
      </c>
      <c r="Z347" s="2">
        <v>0</v>
      </c>
      <c r="AA347" s="2">
        <v>0</v>
      </c>
      <c r="AB347" s="2">
        <v>0</v>
      </c>
    </row>
    <row r="348" spans="1:28" x14ac:dyDescent="0.25">
      <c r="A348">
        <v>2031799852</v>
      </c>
      <c r="B348" t="s">
        <v>1049</v>
      </c>
      <c r="C348" t="s">
        <v>207</v>
      </c>
      <c r="D348" t="str">
        <f t="shared" si="11"/>
        <v>BRIAN SANDBERG</v>
      </c>
      <c r="E348" t="s">
        <v>100</v>
      </c>
      <c r="F348" t="s">
        <v>194</v>
      </c>
      <c r="G348" t="s">
        <v>195</v>
      </c>
      <c r="H348" t="s">
        <v>195</v>
      </c>
      <c r="I348" s="8" t="s">
        <v>1132</v>
      </c>
      <c r="J348" t="s">
        <v>85</v>
      </c>
      <c r="K348" t="s">
        <v>86</v>
      </c>
      <c r="L348" t="str">
        <f t="shared" si="10"/>
        <v>Jake Shulman</v>
      </c>
      <c r="M348" t="s">
        <v>1133</v>
      </c>
      <c r="N348" t="s">
        <v>57</v>
      </c>
      <c r="O348" s="1">
        <v>45957</v>
      </c>
      <c r="P348" s="1">
        <v>46230</v>
      </c>
      <c r="Q348" s="2">
        <v>50.9</v>
      </c>
      <c r="R348" t="s">
        <v>58</v>
      </c>
      <c r="S348" s="3">
        <v>0.7</v>
      </c>
      <c r="T348">
        <v>0</v>
      </c>
      <c r="U348" t="s">
        <v>60</v>
      </c>
      <c r="V348" t="s">
        <v>248</v>
      </c>
      <c r="W348">
        <v>0</v>
      </c>
      <c r="X348" s="2">
        <v>0</v>
      </c>
      <c r="Y348" s="2">
        <v>35.630000000000003</v>
      </c>
      <c r="Z348" s="2">
        <v>35.630000000000003</v>
      </c>
      <c r="AA348" s="2">
        <v>35.630000000000003</v>
      </c>
      <c r="AB348" s="2">
        <v>0</v>
      </c>
    </row>
    <row r="349" spans="1:28" x14ac:dyDescent="0.25">
      <c r="A349">
        <v>2033174859</v>
      </c>
      <c r="B349" t="s">
        <v>746</v>
      </c>
      <c r="C349" t="s">
        <v>747</v>
      </c>
      <c r="D349" t="str">
        <f t="shared" si="11"/>
        <v>AGIN KAZBAI</v>
      </c>
      <c r="E349" t="s">
        <v>94</v>
      </c>
      <c r="F349" t="s">
        <v>194</v>
      </c>
      <c r="G349" t="s">
        <v>195</v>
      </c>
      <c r="H349" t="s">
        <v>195</v>
      </c>
      <c r="I349" s="8" t="s">
        <v>1094</v>
      </c>
      <c r="J349" t="s">
        <v>85</v>
      </c>
      <c r="K349" t="s">
        <v>86</v>
      </c>
      <c r="L349" t="str">
        <f t="shared" si="10"/>
        <v>Jake Shulman</v>
      </c>
      <c r="M349" t="s">
        <v>1133</v>
      </c>
      <c r="N349" t="s">
        <v>57</v>
      </c>
      <c r="O349" s="1">
        <v>46054</v>
      </c>
      <c r="P349" s="1">
        <v>46235</v>
      </c>
      <c r="Q349" s="2">
        <v>9.6999999999999993</v>
      </c>
      <c r="R349" t="s">
        <v>58</v>
      </c>
      <c r="S349" s="3">
        <v>0.7</v>
      </c>
      <c r="T349">
        <v>0</v>
      </c>
      <c r="U349" t="s">
        <v>60</v>
      </c>
      <c r="V349" t="s">
        <v>248</v>
      </c>
      <c r="W349">
        <v>0</v>
      </c>
      <c r="X349" s="2">
        <v>0</v>
      </c>
      <c r="Y349" s="2">
        <v>6.79</v>
      </c>
      <c r="Z349" s="2">
        <v>0</v>
      </c>
      <c r="AA349" s="2">
        <v>0</v>
      </c>
      <c r="AB349" s="2">
        <v>0</v>
      </c>
    </row>
    <row r="350" spans="1:28" x14ac:dyDescent="0.25">
      <c r="A350">
        <v>2032876820</v>
      </c>
      <c r="B350" t="s">
        <v>1061</v>
      </c>
      <c r="C350" t="s">
        <v>1062</v>
      </c>
      <c r="D350" t="str">
        <f t="shared" si="11"/>
        <v>KATELYN RIECHERS</v>
      </c>
      <c r="E350" t="s">
        <v>100</v>
      </c>
      <c r="F350" t="s">
        <v>194</v>
      </c>
      <c r="G350" t="s">
        <v>195</v>
      </c>
      <c r="H350" t="s">
        <v>195</v>
      </c>
      <c r="I350" s="8" t="s">
        <v>1094</v>
      </c>
      <c r="J350" t="s">
        <v>85</v>
      </c>
      <c r="K350" t="s">
        <v>86</v>
      </c>
      <c r="L350" t="str">
        <f t="shared" si="10"/>
        <v>Jake Shulman</v>
      </c>
      <c r="M350" t="s">
        <v>1133</v>
      </c>
      <c r="N350" t="s">
        <v>57</v>
      </c>
      <c r="O350" s="1">
        <v>46054</v>
      </c>
      <c r="P350" s="1">
        <v>46235</v>
      </c>
      <c r="Q350" s="2">
        <v>11.66</v>
      </c>
      <c r="R350" t="s">
        <v>58</v>
      </c>
      <c r="S350" s="3">
        <v>0.7</v>
      </c>
      <c r="T350">
        <v>0</v>
      </c>
      <c r="U350" t="s">
        <v>60</v>
      </c>
      <c r="V350" t="s">
        <v>248</v>
      </c>
      <c r="W350">
        <v>0</v>
      </c>
      <c r="X350" s="2">
        <v>0</v>
      </c>
      <c r="Y350" s="2">
        <v>8.16</v>
      </c>
      <c r="Z350" s="2">
        <v>0</v>
      </c>
      <c r="AA350" s="2">
        <v>0</v>
      </c>
      <c r="AB350" s="2">
        <v>0</v>
      </c>
    </row>
    <row r="351" spans="1:28" x14ac:dyDescent="0.25">
      <c r="A351">
        <v>2033265543</v>
      </c>
      <c r="B351" t="s">
        <v>515</v>
      </c>
      <c r="C351" t="s">
        <v>516</v>
      </c>
      <c r="D351" t="str">
        <f t="shared" si="11"/>
        <v>SEAN CASEY</v>
      </c>
      <c r="E351" t="s">
        <v>100</v>
      </c>
      <c r="F351" t="s">
        <v>194</v>
      </c>
      <c r="G351" t="s">
        <v>195</v>
      </c>
      <c r="H351" t="s">
        <v>195</v>
      </c>
      <c r="I351" s="8" t="s">
        <v>1094</v>
      </c>
      <c r="J351" t="s">
        <v>85</v>
      </c>
      <c r="K351" t="s">
        <v>86</v>
      </c>
      <c r="L351" t="str">
        <f t="shared" si="10"/>
        <v>Jake Shulman</v>
      </c>
      <c r="M351" t="s">
        <v>1133</v>
      </c>
      <c r="N351" t="s">
        <v>57</v>
      </c>
      <c r="O351" s="1">
        <v>46054</v>
      </c>
      <c r="P351" s="1">
        <v>46235</v>
      </c>
      <c r="Q351" s="2">
        <v>14.92</v>
      </c>
      <c r="R351" t="s">
        <v>58</v>
      </c>
      <c r="S351" s="3">
        <v>0.7</v>
      </c>
      <c r="T351">
        <v>0</v>
      </c>
      <c r="U351" t="s">
        <v>60</v>
      </c>
      <c r="V351" t="s">
        <v>248</v>
      </c>
      <c r="W351">
        <v>0</v>
      </c>
      <c r="X351" s="2">
        <v>0</v>
      </c>
      <c r="Y351" s="2">
        <v>10.44</v>
      </c>
      <c r="Z351" s="2">
        <v>0</v>
      </c>
      <c r="AA351" s="2">
        <v>0</v>
      </c>
      <c r="AB351" s="2">
        <v>0</v>
      </c>
    </row>
    <row r="352" spans="1:28" x14ac:dyDescent="0.25">
      <c r="A352">
        <v>2033177151</v>
      </c>
      <c r="B352" t="s">
        <v>483</v>
      </c>
      <c r="C352" t="s">
        <v>484</v>
      </c>
      <c r="D352" t="str">
        <f t="shared" si="11"/>
        <v>JEFFERY KINNEY</v>
      </c>
      <c r="E352" t="s">
        <v>425</v>
      </c>
      <c r="F352" t="s">
        <v>194</v>
      </c>
      <c r="G352" t="s">
        <v>195</v>
      </c>
      <c r="H352" t="s">
        <v>195</v>
      </c>
      <c r="I352" s="8" t="s">
        <v>1094</v>
      </c>
      <c r="J352" t="s">
        <v>85</v>
      </c>
      <c r="K352" t="s">
        <v>86</v>
      </c>
      <c r="L352" t="str">
        <f t="shared" si="10"/>
        <v>Jake Shulman</v>
      </c>
      <c r="M352" t="s">
        <v>1133</v>
      </c>
      <c r="N352" t="s">
        <v>57</v>
      </c>
      <c r="O352" s="1">
        <v>46054</v>
      </c>
      <c r="P352" s="1">
        <v>46235</v>
      </c>
      <c r="Q352" s="2">
        <v>66.86</v>
      </c>
      <c r="R352" t="s">
        <v>58</v>
      </c>
      <c r="S352" s="3">
        <v>0.7</v>
      </c>
      <c r="T352">
        <v>0</v>
      </c>
      <c r="U352" t="s">
        <v>60</v>
      </c>
      <c r="V352" t="s">
        <v>248</v>
      </c>
      <c r="W352">
        <v>0</v>
      </c>
      <c r="X352" s="2">
        <v>0</v>
      </c>
      <c r="Y352" s="2">
        <v>46.8</v>
      </c>
      <c r="Z352" s="2">
        <v>0</v>
      </c>
      <c r="AA352" s="2">
        <v>0</v>
      </c>
      <c r="AB352" s="2">
        <v>0</v>
      </c>
    </row>
    <row r="353" spans="1:28" x14ac:dyDescent="0.25">
      <c r="A353">
        <v>2033179905</v>
      </c>
      <c r="B353" t="s">
        <v>756</v>
      </c>
      <c r="C353" t="s">
        <v>757</v>
      </c>
      <c r="D353" t="str">
        <f t="shared" si="11"/>
        <v>JOANN HOLDEN</v>
      </c>
      <c r="E353" t="s">
        <v>425</v>
      </c>
      <c r="F353" t="s">
        <v>194</v>
      </c>
      <c r="G353" t="s">
        <v>195</v>
      </c>
      <c r="H353" t="s">
        <v>195</v>
      </c>
      <c r="I353" s="8" t="s">
        <v>1094</v>
      </c>
      <c r="J353" t="s">
        <v>85</v>
      </c>
      <c r="K353" t="s">
        <v>86</v>
      </c>
      <c r="L353" t="str">
        <f t="shared" si="10"/>
        <v>Jake Shulman</v>
      </c>
      <c r="M353" t="s">
        <v>1133</v>
      </c>
      <c r="N353" t="s">
        <v>57</v>
      </c>
      <c r="O353" s="1">
        <v>46054</v>
      </c>
      <c r="P353" s="1">
        <v>46235</v>
      </c>
      <c r="Q353" s="2">
        <v>116.29</v>
      </c>
      <c r="R353" t="s">
        <v>58</v>
      </c>
      <c r="S353" s="3">
        <v>0.7</v>
      </c>
      <c r="T353">
        <v>0</v>
      </c>
      <c r="U353" t="s">
        <v>60</v>
      </c>
      <c r="V353" t="s">
        <v>248</v>
      </c>
      <c r="W353">
        <v>0</v>
      </c>
      <c r="X353" s="2">
        <v>0</v>
      </c>
      <c r="Y353" s="2">
        <v>81.400000000000006</v>
      </c>
      <c r="Z353" s="2">
        <v>0</v>
      </c>
      <c r="AA353" s="2">
        <v>0</v>
      </c>
      <c r="AB353" s="2">
        <v>0</v>
      </c>
    </row>
    <row r="354" spans="1:28" x14ac:dyDescent="0.25">
      <c r="A354">
        <v>2033174860</v>
      </c>
      <c r="B354" t="s">
        <v>746</v>
      </c>
      <c r="C354" t="s">
        <v>747</v>
      </c>
      <c r="D354" t="str">
        <f t="shared" si="11"/>
        <v>AGIN KAZBAI</v>
      </c>
      <c r="E354" t="s">
        <v>94</v>
      </c>
      <c r="F354" t="s">
        <v>133</v>
      </c>
      <c r="G354" t="s">
        <v>134</v>
      </c>
      <c r="H354" t="s">
        <v>134</v>
      </c>
      <c r="I354" s="8" t="s">
        <v>1094</v>
      </c>
      <c r="J354" t="s">
        <v>85</v>
      </c>
      <c r="K354" t="s">
        <v>86</v>
      </c>
      <c r="L354" t="str">
        <f t="shared" si="10"/>
        <v>Jake Shulman</v>
      </c>
      <c r="M354" t="s">
        <v>1133</v>
      </c>
      <c r="N354" t="s">
        <v>57</v>
      </c>
      <c r="O354" s="1">
        <v>46054</v>
      </c>
      <c r="P354" s="1">
        <v>46235</v>
      </c>
      <c r="Q354" s="2">
        <v>25.55</v>
      </c>
      <c r="R354" t="s">
        <v>58</v>
      </c>
      <c r="S354" s="4">
        <v>0.375</v>
      </c>
      <c r="T354">
        <v>0</v>
      </c>
      <c r="U354" t="s">
        <v>60</v>
      </c>
      <c r="V354" t="s">
        <v>248</v>
      </c>
      <c r="W354">
        <v>0</v>
      </c>
      <c r="X354" s="2">
        <v>0</v>
      </c>
      <c r="Y354" s="2">
        <v>9.58</v>
      </c>
      <c r="Z354" s="2">
        <v>0</v>
      </c>
      <c r="AA354" s="2">
        <v>0</v>
      </c>
      <c r="AB354" s="2">
        <v>0</v>
      </c>
    </row>
    <row r="355" spans="1:28" x14ac:dyDescent="0.25">
      <c r="A355">
        <v>2033134541</v>
      </c>
      <c r="B355" t="s">
        <v>733</v>
      </c>
      <c r="C355" t="s">
        <v>660</v>
      </c>
      <c r="D355" t="str">
        <f t="shared" si="11"/>
        <v>SUSAN ANDREWS</v>
      </c>
      <c r="E355" t="s">
        <v>89</v>
      </c>
      <c r="F355" t="s">
        <v>194</v>
      </c>
      <c r="G355" t="s">
        <v>195</v>
      </c>
      <c r="H355" t="s">
        <v>195</v>
      </c>
      <c r="I355" s="8" t="s">
        <v>1113</v>
      </c>
      <c r="J355" t="s">
        <v>213</v>
      </c>
      <c r="K355" t="s">
        <v>214</v>
      </c>
      <c r="L355" t="str">
        <f t="shared" si="10"/>
        <v>James Allen</v>
      </c>
      <c r="M355" t="s">
        <v>1134</v>
      </c>
      <c r="N355" t="s">
        <v>57</v>
      </c>
      <c r="O355" s="1">
        <v>46054</v>
      </c>
      <c r="P355" s="1">
        <v>46235</v>
      </c>
      <c r="Q355" s="2">
        <v>19</v>
      </c>
      <c r="R355" t="s">
        <v>58</v>
      </c>
      <c r="S355" s="3">
        <v>0.7</v>
      </c>
      <c r="T355">
        <v>0</v>
      </c>
      <c r="U355" t="s">
        <v>60</v>
      </c>
      <c r="V355" t="s">
        <v>248</v>
      </c>
      <c r="W355">
        <v>0</v>
      </c>
      <c r="X355" s="2">
        <v>0</v>
      </c>
      <c r="Y355" s="2">
        <v>13.3</v>
      </c>
      <c r="Z355" s="2">
        <v>0</v>
      </c>
      <c r="AA355" s="2">
        <v>0</v>
      </c>
      <c r="AB355" s="2">
        <v>0</v>
      </c>
    </row>
    <row r="356" spans="1:28" x14ac:dyDescent="0.25">
      <c r="A356">
        <v>2033121789</v>
      </c>
      <c r="B356" t="s">
        <v>732</v>
      </c>
      <c r="C356" t="s">
        <v>491</v>
      </c>
      <c r="D356" t="str">
        <f t="shared" si="11"/>
        <v>FRANK GIANNELLI</v>
      </c>
      <c r="E356" t="s">
        <v>89</v>
      </c>
      <c r="F356" t="s">
        <v>194</v>
      </c>
      <c r="G356" t="s">
        <v>195</v>
      </c>
      <c r="H356" t="s">
        <v>195</v>
      </c>
      <c r="I356" s="8" t="s">
        <v>1113</v>
      </c>
      <c r="J356" t="s">
        <v>213</v>
      </c>
      <c r="K356" t="s">
        <v>214</v>
      </c>
      <c r="L356" t="str">
        <f t="shared" si="10"/>
        <v>James Allen</v>
      </c>
      <c r="M356" t="s">
        <v>1134</v>
      </c>
      <c r="N356" t="s">
        <v>57</v>
      </c>
      <c r="O356" s="1">
        <v>46054</v>
      </c>
      <c r="P356" s="1">
        <v>46235</v>
      </c>
      <c r="Q356" s="2">
        <v>101.38</v>
      </c>
      <c r="R356" t="s">
        <v>58</v>
      </c>
      <c r="S356" s="3">
        <v>0.7</v>
      </c>
      <c r="T356">
        <v>0</v>
      </c>
      <c r="U356" t="s">
        <v>60</v>
      </c>
      <c r="V356" t="s">
        <v>248</v>
      </c>
      <c r="W356">
        <v>0</v>
      </c>
      <c r="X356" s="2">
        <v>0</v>
      </c>
      <c r="Y356" s="2">
        <v>70.97</v>
      </c>
      <c r="Z356" s="2">
        <v>0</v>
      </c>
      <c r="AA356" s="2">
        <v>0</v>
      </c>
      <c r="AB356" s="2">
        <v>0</v>
      </c>
    </row>
    <row r="357" spans="1:28" x14ac:dyDescent="0.25">
      <c r="A357">
        <v>2033134540</v>
      </c>
      <c r="B357" t="s">
        <v>733</v>
      </c>
      <c r="C357" t="s">
        <v>660</v>
      </c>
      <c r="D357" t="str">
        <f t="shared" si="11"/>
        <v>SUSAN ANDREWS</v>
      </c>
      <c r="E357" t="s">
        <v>89</v>
      </c>
      <c r="F357" t="s">
        <v>133</v>
      </c>
      <c r="G357" t="s">
        <v>134</v>
      </c>
      <c r="H357" t="s">
        <v>134</v>
      </c>
      <c r="I357" s="8" t="s">
        <v>1113</v>
      </c>
      <c r="J357" t="s">
        <v>213</v>
      </c>
      <c r="K357" t="s">
        <v>214</v>
      </c>
      <c r="L357" t="str">
        <f t="shared" si="10"/>
        <v>James Allen</v>
      </c>
      <c r="M357" t="s">
        <v>1134</v>
      </c>
      <c r="N357" t="s">
        <v>57</v>
      </c>
      <c r="O357" s="1">
        <v>46054</v>
      </c>
      <c r="P357" s="1">
        <v>46235</v>
      </c>
      <c r="Q357" s="2">
        <v>78.760000000000005</v>
      </c>
      <c r="R357" t="s">
        <v>58</v>
      </c>
      <c r="S357" s="4">
        <v>0.375</v>
      </c>
      <c r="T357">
        <v>0</v>
      </c>
      <c r="U357" t="s">
        <v>60</v>
      </c>
      <c r="V357" t="s">
        <v>248</v>
      </c>
      <c r="W357">
        <v>0</v>
      </c>
      <c r="X357" s="2">
        <v>0</v>
      </c>
      <c r="Y357" s="2">
        <v>29.54</v>
      </c>
      <c r="Z357" s="2">
        <v>0</v>
      </c>
      <c r="AA357" s="2">
        <v>0</v>
      </c>
      <c r="AB357" s="2">
        <v>0</v>
      </c>
    </row>
    <row r="358" spans="1:28" x14ac:dyDescent="0.25">
      <c r="A358">
        <v>2030199536</v>
      </c>
      <c r="B358" t="s">
        <v>381</v>
      </c>
      <c r="C358" t="s">
        <v>382</v>
      </c>
      <c r="D358" t="str">
        <f t="shared" si="11"/>
        <v>HILFIKER DAVID</v>
      </c>
      <c r="E358" t="s">
        <v>84</v>
      </c>
      <c r="F358" t="s">
        <v>69</v>
      </c>
      <c r="G358" t="s">
        <v>70</v>
      </c>
      <c r="H358" t="s">
        <v>1079</v>
      </c>
      <c r="I358" s="8" t="s">
        <v>1089</v>
      </c>
      <c r="J358" t="s">
        <v>383</v>
      </c>
      <c r="K358" t="s">
        <v>384</v>
      </c>
      <c r="L358" t="str">
        <f t="shared" si="10"/>
        <v>JARED KINYUA</v>
      </c>
      <c r="M358" t="s">
        <v>1133</v>
      </c>
      <c r="N358" t="s">
        <v>57</v>
      </c>
      <c r="O358" s="1">
        <v>45868</v>
      </c>
      <c r="P358" s="1">
        <v>46233</v>
      </c>
      <c r="Q358" s="2">
        <v>152.33000000000001</v>
      </c>
      <c r="R358" t="s">
        <v>58</v>
      </c>
      <c r="S358" s="3">
        <v>0.75</v>
      </c>
      <c r="T358">
        <v>0</v>
      </c>
      <c r="U358" t="s">
        <v>60</v>
      </c>
      <c r="V358" t="s">
        <v>248</v>
      </c>
      <c r="W358">
        <v>0</v>
      </c>
      <c r="X358" s="2">
        <v>0</v>
      </c>
      <c r="Y358" s="2">
        <v>114.25</v>
      </c>
      <c r="Z358" s="2">
        <v>114.25</v>
      </c>
      <c r="AA358" s="2">
        <v>114.25</v>
      </c>
      <c r="AB358" s="2">
        <v>0</v>
      </c>
    </row>
    <row r="359" spans="1:28" x14ac:dyDescent="0.25">
      <c r="A359">
        <v>2030199535</v>
      </c>
      <c r="B359" t="s">
        <v>381</v>
      </c>
      <c r="C359" t="s">
        <v>382</v>
      </c>
      <c r="D359" t="str">
        <f t="shared" si="11"/>
        <v>HILFIKER DAVID</v>
      </c>
      <c r="E359" t="s">
        <v>84</v>
      </c>
      <c r="F359" t="s">
        <v>194</v>
      </c>
      <c r="G359" t="s">
        <v>228</v>
      </c>
      <c r="H359" t="s">
        <v>228</v>
      </c>
      <c r="I359" s="8" t="s">
        <v>1089</v>
      </c>
      <c r="J359" t="s">
        <v>383</v>
      </c>
      <c r="K359" t="s">
        <v>384</v>
      </c>
      <c r="L359" t="str">
        <f t="shared" si="10"/>
        <v>JARED KINYUA</v>
      </c>
      <c r="M359" t="s">
        <v>1133</v>
      </c>
      <c r="N359" t="s">
        <v>57</v>
      </c>
      <c r="O359" s="1">
        <v>45868</v>
      </c>
      <c r="P359" s="1">
        <v>46233</v>
      </c>
      <c r="Q359" s="2">
        <v>22.02</v>
      </c>
      <c r="R359" t="s">
        <v>58</v>
      </c>
      <c r="S359" s="3">
        <v>0.42</v>
      </c>
      <c r="T359">
        <v>0</v>
      </c>
      <c r="U359" t="s">
        <v>60</v>
      </c>
      <c r="V359" t="s">
        <v>248</v>
      </c>
      <c r="W359">
        <v>0</v>
      </c>
      <c r="X359" s="2">
        <v>0</v>
      </c>
      <c r="Y359" s="2">
        <v>9.25</v>
      </c>
      <c r="Z359" s="2">
        <v>9.25</v>
      </c>
      <c r="AA359" s="2">
        <v>9.25</v>
      </c>
      <c r="AB359" s="2">
        <v>0</v>
      </c>
    </row>
    <row r="360" spans="1:28" x14ac:dyDescent="0.25">
      <c r="A360">
        <v>2025967189</v>
      </c>
      <c r="B360" t="s">
        <v>481</v>
      </c>
      <c r="C360" t="s">
        <v>603</v>
      </c>
      <c r="D360" t="str">
        <f t="shared" si="11"/>
        <v>JUWAN BROOKS</v>
      </c>
      <c r="E360" t="s">
        <v>311</v>
      </c>
      <c r="F360" t="s">
        <v>149</v>
      </c>
      <c r="G360" t="s">
        <v>602</v>
      </c>
      <c r="H360" t="s">
        <v>602</v>
      </c>
      <c r="I360" s="8" t="s">
        <v>1089</v>
      </c>
      <c r="J360" t="s">
        <v>383</v>
      </c>
      <c r="K360" t="s">
        <v>384</v>
      </c>
      <c r="L360" t="str">
        <f t="shared" si="10"/>
        <v>JARED KINYUA</v>
      </c>
      <c r="M360" t="s">
        <v>1133</v>
      </c>
      <c r="N360" t="s">
        <v>57</v>
      </c>
      <c r="O360" s="1">
        <v>45626</v>
      </c>
      <c r="P360" s="1">
        <v>46233</v>
      </c>
      <c r="Q360" s="2">
        <v>15</v>
      </c>
      <c r="R360" t="s">
        <v>58</v>
      </c>
      <c r="S360" s="3">
        <v>0.1</v>
      </c>
      <c r="T360">
        <v>0</v>
      </c>
      <c r="U360" t="s">
        <v>247</v>
      </c>
      <c r="V360" t="s">
        <v>248</v>
      </c>
      <c r="W360">
        <v>0</v>
      </c>
      <c r="X360" s="2">
        <v>0</v>
      </c>
      <c r="Y360" s="2">
        <v>1.5</v>
      </c>
      <c r="Z360" s="2">
        <v>1.5</v>
      </c>
      <c r="AA360" s="2">
        <v>1.5</v>
      </c>
      <c r="AB360" s="2">
        <v>0</v>
      </c>
    </row>
    <row r="361" spans="1:28" x14ac:dyDescent="0.25">
      <c r="A361">
        <v>2026588335</v>
      </c>
      <c r="B361" t="s">
        <v>604</v>
      </c>
      <c r="C361" t="s">
        <v>605</v>
      </c>
      <c r="D361" t="str">
        <f t="shared" si="11"/>
        <v>KIMBERLY WILLIAMS</v>
      </c>
      <c r="E361" t="s">
        <v>97</v>
      </c>
      <c r="F361" t="s">
        <v>149</v>
      </c>
      <c r="G361" t="s">
        <v>602</v>
      </c>
      <c r="H361" t="s">
        <v>602</v>
      </c>
      <c r="I361" s="8" t="s">
        <v>1089</v>
      </c>
      <c r="J361" t="s">
        <v>383</v>
      </c>
      <c r="K361" t="s">
        <v>384</v>
      </c>
      <c r="L361" t="str">
        <f t="shared" si="10"/>
        <v>JARED KINYUA</v>
      </c>
      <c r="M361" t="s">
        <v>1133</v>
      </c>
      <c r="N361" t="s">
        <v>57</v>
      </c>
      <c r="O361" s="1">
        <v>45689</v>
      </c>
      <c r="P361" s="1">
        <v>46235</v>
      </c>
      <c r="Q361" s="2">
        <v>15</v>
      </c>
      <c r="R361" t="s">
        <v>58</v>
      </c>
      <c r="S361" s="3">
        <v>0.1</v>
      </c>
      <c r="T361">
        <v>0</v>
      </c>
      <c r="U361" t="s">
        <v>247</v>
      </c>
      <c r="V361" t="s">
        <v>248</v>
      </c>
      <c r="W361">
        <v>0</v>
      </c>
      <c r="X361" s="2">
        <v>0</v>
      </c>
      <c r="Y361" s="2">
        <v>1.5</v>
      </c>
      <c r="Z361" s="2">
        <v>1.5</v>
      </c>
      <c r="AA361" s="2">
        <v>1.5</v>
      </c>
      <c r="AB361" s="2">
        <v>0</v>
      </c>
    </row>
    <row r="362" spans="1:28" x14ac:dyDescent="0.25">
      <c r="A362">
        <v>2025967188</v>
      </c>
      <c r="B362" t="s">
        <v>481</v>
      </c>
      <c r="C362" t="s">
        <v>603</v>
      </c>
      <c r="D362" t="str">
        <f t="shared" si="11"/>
        <v>JUWAN BROOKS</v>
      </c>
      <c r="E362" t="s">
        <v>311</v>
      </c>
      <c r="F362" t="s">
        <v>188</v>
      </c>
      <c r="G362" t="s">
        <v>189</v>
      </c>
      <c r="H362" t="s">
        <v>189</v>
      </c>
      <c r="I362" s="8" t="s">
        <v>1089</v>
      </c>
      <c r="J362" t="s">
        <v>383</v>
      </c>
      <c r="K362" t="s">
        <v>384</v>
      </c>
      <c r="L362" t="str">
        <f t="shared" si="10"/>
        <v>JARED KINYUA</v>
      </c>
      <c r="M362" t="s">
        <v>1133</v>
      </c>
      <c r="N362" t="s">
        <v>57</v>
      </c>
      <c r="O362" s="1">
        <v>45626</v>
      </c>
      <c r="P362" s="1">
        <v>46233</v>
      </c>
      <c r="Q362" s="2">
        <v>20.97</v>
      </c>
      <c r="R362" t="s">
        <v>58</v>
      </c>
      <c r="S362" s="3">
        <v>0.1</v>
      </c>
      <c r="T362">
        <v>0</v>
      </c>
      <c r="U362" t="s">
        <v>247</v>
      </c>
      <c r="V362" t="s">
        <v>248</v>
      </c>
      <c r="W362">
        <v>0</v>
      </c>
      <c r="X362" s="2">
        <v>0</v>
      </c>
      <c r="Y362" s="2">
        <v>2.1</v>
      </c>
      <c r="Z362" s="2">
        <v>2.1</v>
      </c>
      <c r="AA362" s="2">
        <v>2.1</v>
      </c>
      <c r="AB362" s="2">
        <v>0</v>
      </c>
    </row>
    <row r="363" spans="1:28" x14ac:dyDescent="0.25">
      <c r="A363">
        <v>2026588334</v>
      </c>
      <c r="B363" t="s">
        <v>604</v>
      </c>
      <c r="C363" t="s">
        <v>605</v>
      </c>
      <c r="D363" t="str">
        <f t="shared" si="11"/>
        <v>KIMBERLY WILLIAMS</v>
      </c>
      <c r="E363" t="s">
        <v>97</v>
      </c>
      <c r="F363" t="s">
        <v>188</v>
      </c>
      <c r="G363" t="s">
        <v>189</v>
      </c>
      <c r="H363" t="s">
        <v>189</v>
      </c>
      <c r="I363" s="8" t="s">
        <v>1089</v>
      </c>
      <c r="J363" t="s">
        <v>383</v>
      </c>
      <c r="K363" t="s">
        <v>384</v>
      </c>
      <c r="L363" t="str">
        <f t="shared" si="10"/>
        <v>JARED KINYUA</v>
      </c>
      <c r="M363" t="s">
        <v>1133</v>
      </c>
      <c r="N363" t="s">
        <v>57</v>
      </c>
      <c r="O363" s="1">
        <v>45689</v>
      </c>
      <c r="P363" s="1">
        <v>46235</v>
      </c>
      <c r="Q363" s="2">
        <v>32.4</v>
      </c>
      <c r="R363" t="s">
        <v>58</v>
      </c>
      <c r="S363" s="3">
        <v>0.1</v>
      </c>
      <c r="T363">
        <v>0</v>
      </c>
      <c r="U363" t="s">
        <v>247</v>
      </c>
      <c r="V363" t="s">
        <v>248</v>
      </c>
      <c r="W363">
        <v>0</v>
      </c>
      <c r="X363" s="2">
        <v>0</v>
      </c>
      <c r="Y363" s="2">
        <v>3.24</v>
      </c>
      <c r="Z363" s="2">
        <v>3.24</v>
      </c>
      <c r="AA363" s="2">
        <v>3.24</v>
      </c>
      <c r="AB363" s="2">
        <v>0</v>
      </c>
    </row>
    <row r="364" spans="1:28" x14ac:dyDescent="0.25">
      <c r="A364">
        <v>2025082288</v>
      </c>
      <c r="B364" t="s">
        <v>744</v>
      </c>
      <c r="C364" t="s">
        <v>381</v>
      </c>
      <c r="D364" t="str">
        <f t="shared" si="11"/>
        <v>DAVID BROWN</v>
      </c>
      <c r="E364" t="s">
        <v>100</v>
      </c>
      <c r="F364" t="s">
        <v>194</v>
      </c>
      <c r="G364" t="s">
        <v>195</v>
      </c>
      <c r="H364" t="s">
        <v>195</v>
      </c>
      <c r="I364" s="8" t="s">
        <v>1089</v>
      </c>
      <c r="J364" t="s">
        <v>383</v>
      </c>
      <c r="K364" t="s">
        <v>384</v>
      </c>
      <c r="L364" t="str">
        <f t="shared" si="10"/>
        <v>JARED KINYUA</v>
      </c>
      <c r="M364" t="s">
        <v>1133</v>
      </c>
      <c r="N364" t="s">
        <v>57</v>
      </c>
      <c r="O364" s="1">
        <v>45564</v>
      </c>
      <c r="P364" s="1">
        <v>46232</v>
      </c>
      <c r="Q364" s="2">
        <v>40.98</v>
      </c>
      <c r="R364" t="s">
        <v>58</v>
      </c>
      <c r="S364" s="3">
        <v>0.15</v>
      </c>
      <c r="T364">
        <v>0</v>
      </c>
      <c r="U364" t="s">
        <v>247</v>
      </c>
      <c r="V364" t="s">
        <v>248</v>
      </c>
      <c r="W364">
        <v>0</v>
      </c>
      <c r="X364" s="2">
        <v>0</v>
      </c>
      <c r="Y364" s="2">
        <v>6.15</v>
      </c>
      <c r="Z364" s="2">
        <v>6.15</v>
      </c>
      <c r="AA364" s="2">
        <v>6.15</v>
      </c>
      <c r="AB364" s="2">
        <v>0</v>
      </c>
    </row>
    <row r="365" spans="1:28" x14ac:dyDescent="0.25">
      <c r="A365">
        <v>2025535693</v>
      </c>
      <c r="B365" t="s">
        <v>707</v>
      </c>
      <c r="C365" t="s">
        <v>708</v>
      </c>
      <c r="D365" t="str">
        <f t="shared" si="11"/>
        <v>TINYA JACKSON-EILAND</v>
      </c>
      <c r="E365" t="s">
        <v>100</v>
      </c>
      <c r="F365" t="s">
        <v>194</v>
      </c>
      <c r="G365" t="s">
        <v>195</v>
      </c>
      <c r="H365" t="s">
        <v>195</v>
      </c>
      <c r="I365" s="8" t="s">
        <v>1089</v>
      </c>
      <c r="J365" t="s">
        <v>383</v>
      </c>
      <c r="K365" t="s">
        <v>384</v>
      </c>
      <c r="L365" t="str">
        <f t="shared" si="10"/>
        <v>JARED KINYUA</v>
      </c>
      <c r="M365" t="s">
        <v>1133</v>
      </c>
      <c r="N365" t="s">
        <v>57</v>
      </c>
      <c r="O365" s="1">
        <v>45595</v>
      </c>
      <c r="P365" s="1">
        <v>46233</v>
      </c>
      <c r="Q365" s="2">
        <v>37.299999999999997</v>
      </c>
      <c r="R365" t="s">
        <v>58</v>
      </c>
      <c r="S365" s="3">
        <v>0.15</v>
      </c>
      <c r="T365">
        <v>0</v>
      </c>
      <c r="U365" t="s">
        <v>247</v>
      </c>
      <c r="V365" t="s">
        <v>248</v>
      </c>
      <c r="W365">
        <v>0</v>
      </c>
      <c r="X365" s="2">
        <v>0</v>
      </c>
      <c r="Y365" s="2">
        <v>5.6</v>
      </c>
      <c r="Z365" s="2">
        <v>5.6</v>
      </c>
      <c r="AA365" s="2">
        <v>5.6</v>
      </c>
      <c r="AB365" s="2">
        <v>0</v>
      </c>
    </row>
    <row r="366" spans="1:28" x14ac:dyDescent="0.25">
      <c r="A366">
        <v>2026588333</v>
      </c>
      <c r="B366" t="s">
        <v>604</v>
      </c>
      <c r="C366" t="s">
        <v>605</v>
      </c>
      <c r="D366" t="str">
        <f t="shared" si="11"/>
        <v>KIMBERLY WILLIAMS</v>
      </c>
      <c r="E366" t="s">
        <v>97</v>
      </c>
      <c r="F366" t="s">
        <v>194</v>
      </c>
      <c r="G366" t="s">
        <v>195</v>
      </c>
      <c r="H366" t="s">
        <v>195</v>
      </c>
      <c r="I366" s="8" t="s">
        <v>1089</v>
      </c>
      <c r="J366" t="s">
        <v>383</v>
      </c>
      <c r="K366" t="s">
        <v>384</v>
      </c>
      <c r="L366" t="str">
        <f t="shared" si="10"/>
        <v>JARED KINYUA</v>
      </c>
      <c r="M366" t="s">
        <v>1133</v>
      </c>
      <c r="N366" t="s">
        <v>57</v>
      </c>
      <c r="O366" s="1">
        <v>45689</v>
      </c>
      <c r="P366" s="1">
        <v>46235</v>
      </c>
      <c r="Q366" s="2">
        <v>89.8</v>
      </c>
      <c r="R366" t="s">
        <v>58</v>
      </c>
      <c r="S366" s="3">
        <v>0.15</v>
      </c>
      <c r="T366">
        <v>0</v>
      </c>
      <c r="U366" t="s">
        <v>247</v>
      </c>
      <c r="V366" t="s">
        <v>248</v>
      </c>
      <c r="W366">
        <v>0</v>
      </c>
      <c r="X366" s="2">
        <v>0</v>
      </c>
      <c r="Y366" s="2">
        <v>13.47</v>
      </c>
      <c r="Z366" s="2">
        <v>13.47</v>
      </c>
      <c r="AA366" s="2">
        <v>13.47</v>
      </c>
      <c r="AB366" s="2">
        <v>0</v>
      </c>
    </row>
    <row r="367" spans="1:28" x14ac:dyDescent="0.25">
      <c r="A367">
        <v>2032418219</v>
      </c>
      <c r="B367" t="s">
        <v>951</v>
      </c>
      <c r="C367" t="s">
        <v>952</v>
      </c>
      <c r="D367" t="str">
        <f t="shared" si="11"/>
        <v>STEVE KRAMER</v>
      </c>
      <c r="E367" t="s">
        <v>397</v>
      </c>
      <c r="F367" t="s">
        <v>194</v>
      </c>
      <c r="G367" t="s">
        <v>195</v>
      </c>
      <c r="H367" t="s">
        <v>195</v>
      </c>
      <c r="I367" s="8" t="s">
        <v>1115</v>
      </c>
      <c r="J367" t="s">
        <v>383</v>
      </c>
      <c r="K367" t="s">
        <v>384</v>
      </c>
      <c r="L367" t="str">
        <f t="shared" si="10"/>
        <v>JARED KINYUA</v>
      </c>
      <c r="M367" t="s">
        <v>1135</v>
      </c>
      <c r="N367" t="s">
        <v>57</v>
      </c>
      <c r="O367" s="1">
        <v>45991</v>
      </c>
      <c r="P367" s="1">
        <v>46233</v>
      </c>
      <c r="Q367" s="2">
        <v>28</v>
      </c>
      <c r="R367" t="s">
        <v>58</v>
      </c>
      <c r="S367" s="3">
        <v>0.7</v>
      </c>
      <c r="T367">
        <v>0</v>
      </c>
      <c r="U367" t="s">
        <v>60</v>
      </c>
      <c r="V367" t="s">
        <v>248</v>
      </c>
      <c r="W367">
        <v>0</v>
      </c>
      <c r="X367" s="2">
        <v>0</v>
      </c>
      <c r="Y367" s="2">
        <v>19.600000000000001</v>
      </c>
      <c r="Z367" s="2">
        <v>19.600000000000001</v>
      </c>
      <c r="AA367" s="2">
        <v>19.600000000000001</v>
      </c>
      <c r="AB367" s="2">
        <v>0</v>
      </c>
    </row>
    <row r="368" spans="1:28" x14ac:dyDescent="0.25">
      <c r="A368">
        <v>2033152455</v>
      </c>
      <c r="B368" t="s">
        <v>231</v>
      </c>
      <c r="C368" t="s">
        <v>743</v>
      </c>
      <c r="D368" t="str">
        <f t="shared" si="11"/>
        <v>RENITA JOHNSON</v>
      </c>
      <c r="E368" t="s">
        <v>302</v>
      </c>
      <c r="F368" t="s">
        <v>194</v>
      </c>
      <c r="G368" t="s">
        <v>195</v>
      </c>
      <c r="H368" t="s">
        <v>195</v>
      </c>
      <c r="I368" s="8" t="s">
        <v>1115</v>
      </c>
      <c r="J368" t="s">
        <v>383</v>
      </c>
      <c r="K368" t="s">
        <v>384</v>
      </c>
      <c r="L368" t="str">
        <f t="shared" si="10"/>
        <v>JARED KINYUA</v>
      </c>
      <c r="M368" t="s">
        <v>1134</v>
      </c>
      <c r="N368" t="s">
        <v>57</v>
      </c>
      <c r="O368" s="1">
        <v>46054</v>
      </c>
      <c r="P368" s="1">
        <v>46235</v>
      </c>
      <c r="Q368" s="2">
        <v>26.32</v>
      </c>
      <c r="R368" t="s">
        <v>58</v>
      </c>
      <c r="S368" s="3">
        <v>0.7</v>
      </c>
      <c r="T368">
        <v>0</v>
      </c>
      <c r="U368" t="s">
        <v>60</v>
      </c>
      <c r="V368" t="s">
        <v>248</v>
      </c>
      <c r="W368">
        <v>0</v>
      </c>
      <c r="X368" s="2">
        <v>0</v>
      </c>
      <c r="Y368" s="2">
        <v>18.420000000000002</v>
      </c>
      <c r="Z368" s="2">
        <v>0</v>
      </c>
      <c r="AA368" s="2">
        <v>0</v>
      </c>
      <c r="AB368" s="2">
        <v>0</v>
      </c>
    </row>
    <row r="369" spans="1:28" x14ac:dyDescent="0.25">
      <c r="A369">
        <v>2025535694</v>
      </c>
      <c r="B369" t="s">
        <v>707</v>
      </c>
      <c r="C369" t="s">
        <v>708</v>
      </c>
      <c r="D369" t="str">
        <f t="shared" si="11"/>
        <v>TINYA JACKSON-EILAND</v>
      </c>
      <c r="E369" t="s">
        <v>100</v>
      </c>
      <c r="F369" t="s">
        <v>133</v>
      </c>
      <c r="G369" t="s">
        <v>134</v>
      </c>
      <c r="H369" t="s">
        <v>134</v>
      </c>
      <c r="I369" s="8" t="s">
        <v>1089</v>
      </c>
      <c r="J369" t="s">
        <v>383</v>
      </c>
      <c r="K369" t="s">
        <v>384</v>
      </c>
      <c r="L369" t="str">
        <f t="shared" si="10"/>
        <v>JARED KINYUA</v>
      </c>
      <c r="M369" t="s">
        <v>1133</v>
      </c>
      <c r="N369" t="s">
        <v>57</v>
      </c>
      <c r="O369" s="1">
        <v>45595</v>
      </c>
      <c r="P369" s="1">
        <v>46233</v>
      </c>
      <c r="Q369" s="2">
        <v>52.6</v>
      </c>
      <c r="R369" t="s">
        <v>58</v>
      </c>
      <c r="S369" s="3">
        <v>0.06</v>
      </c>
      <c r="T369">
        <v>0</v>
      </c>
      <c r="U369" t="s">
        <v>247</v>
      </c>
      <c r="V369" t="s">
        <v>248</v>
      </c>
      <c r="W369">
        <v>0</v>
      </c>
      <c r="X369" s="2">
        <v>0</v>
      </c>
      <c r="Y369" s="2">
        <v>3.16</v>
      </c>
      <c r="Z369" s="2">
        <v>3.16</v>
      </c>
      <c r="AA369" s="2">
        <v>3.16</v>
      </c>
      <c r="AB369" s="2">
        <v>0</v>
      </c>
    </row>
    <row r="370" spans="1:28" x14ac:dyDescent="0.25">
      <c r="A370">
        <v>2025967187</v>
      </c>
      <c r="B370" t="s">
        <v>481</v>
      </c>
      <c r="C370" t="s">
        <v>603</v>
      </c>
      <c r="D370" t="str">
        <f t="shared" si="11"/>
        <v>JUWAN BROOKS</v>
      </c>
      <c r="E370" t="s">
        <v>311</v>
      </c>
      <c r="F370" t="s">
        <v>133</v>
      </c>
      <c r="G370" t="s">
        <v>134</v>
      </c>
      <c r="H370" t="s">
        <v>134</v>
      </c>
      <c r="I370" s="8" t="s">
        <v>1089</v>
      </c>
      <c r="J370" t="s">
        <v>383</v>
      </c>
      <c r="K370" t="s">
        <v>384</v>
      </c>
      <c r="L370" t="str">
        <f t="shared" si="10"/>
        <v>JARED KINYUA</v>
      </c>
      <c r="M370" t="s">
        <v>1133</v>
      </c>
      <c r="N370" t="s">
        <v>57</v>
      </c>
      <c r="O370" s="1">
        <v>45626</v>
      </c>
      <c r="P370" s="1">
        <v>46233</v>
      </c>
      <c r="Q370" s="2">
        <v>30.46</v>
      </c>
      <c r="R370" t="s">
        <v>58</v>
      </c>
      <c r="S370" s="3">
        <v>0.06</v>
      </c>
      <c r="T370">
        <v>0</v>
      </c>
      <c r="U370" t="s">
        <v>247</v>
      </c>
      <c r="V370" t="s">
        <v>248</v>
      </c>
      <c r="W370">
        <v>0</v>
      </c>
      <c r="X370" s="2">
        <v>0</v>
      </c>
      <c r="Y370" s="2">
        <v>1.83</v>
      </c>
      <c r="Z370" s="2">
        <v>1.83</v>
      </c>
      <c r="AA370" s="2">
        <v>1.83</v>
      </c>
      <c r="AB370" s="2">
        <v>0</v>
      </c>
    </row>
    <row r="371" spans="1:28" x14ac:dyDescent="0.25">
      <c r="A371">
        <v>2026588332</v>
      </c>
      <c r="B371" t="s">
        <v>604</v>
      </c>
      <c r="C371" t="s">
        <v>605</v>
      </c>
      <c r="D371" t="str">
        <f t="shared" si="11"/>
        <v>KIMBERLY WILLIAMS</v>
      </c>
      <c r="E371" t="s">
        <v>97</v>
      </c>
      <c r="F371" t="s">
        <v>133</v>
      </c>
      <c r="G371" t="s">
        <v>134</v>
      </c>
      <c r="H371" t="s">
        <v>134</v>
      </c>
      <c r="I371" s="8" t="s">
        <v>1089</v>
      </c>
      <c r="J371" t="s">
        <v>383</v>
      </c>
      <c r="K371" t="s">
        <v>384</v>
      </c>
      <c r="L371" t="str">
        <f t="shared" si="10"/>
        <v>JARED KINYUA</v>
      </c>
      <c r="M371" t="s">
        <v>1133</v>
      </c>
      <c r="N371" t="s">
        <v>57</v>
      </c>
      <c r="O371" s="1">
        <v>45689</v>
      </c>
      <c r="P371" s="1">
        <v>46235</v>
      </c>
      <c r="Q371" s="2">
        <v>30.99</v>
      </c>
      <c r="R371" t="s">
        <v>58</v>
      </c>
      <c r="S371" s="3">
        <v>0.06</v>
      </c>
      <c r="T371">
        <v>0</v>
      </c>
      <c r="U371" t="s">
        <v>247</v>
      </c>
      <c r="V371" t="s">
        <v>248</v>
      </c>
      <c r="W371">
        <v>0</v>
      </c>
      <c r="X371" s="2">
        <v>0</v>
      </c>
      <c r="Y371" s="2">
        <v>1.86</v>
      </c>
      <c r="Z371" s="2">
        <v>1.86</v>
      </c>
      <c r="AA371" s="2">
        <v>1.86</v>
      </c>
      <c r="AB371" s="2">
        <v>0</v>
      </c>
    </row>
    <row r="372" spans="1:28" x14ac:dyDescent="0.25">
      <c r="A372">
        <v>2032418218</v>
      </c>
      <c r="B372" t="s">
        <v>951</v>
      </c>
      <c r="C372" t="s">
        <v>952</v>
      </c>
      <c r="D372" t="str">
        <f t="shared" si="11"/>
        <v>STEVE KRAMER</v>
      </c>
      <c r="E372" t="s">
        <v>397</v>
      </c>
      <c r="F372" t="s">
        <v>133</v>
      </c>
      <c r="G372" t="s">
        <v>134</v>
      </c>
      <c r="H372" t="s">
        <v>134</v>
      </c>
      <c r="I372" s="8" t="s">
        <v>1115</v>
      </c>
      <c r="J372" t="s">
        <v>383</v>
      </c>
      <c r="K372" t="s">
        <v>384</v>
      </c>
      <c r="L372" t="str">
        <f t="shared" si="10"/>
        <v>JARED KINYUA</v>
      </c>
      <c r="M372" t="s">
        <v>1135</v>
      </c>
      <c r="N372" t="s">
        <v>57</v>
      </c>
      <c r="O372" s="1">
        <v>45991</v>
      </c>
      <c r="P372" s="1">
        <v>46233</v>
      </c>
      <c r="Q372" s="2">
        <v>60.78</v>
      </c>
      <c r="R372" t="s">
        <v>58</v>
      </c>
      <c r="S372" s="4">
        <v>0.375</v>
      </c>
      <c r="T372">
        <v>0</v>
      </c>
      <c r="U372" t="s">
        <v>60</v>
      </c>
      <c r="V372" t="s">
        <v>248</v>
      </c>
      <c r="W372">
        <v>0</v>
      </c>
      <c r="X372" s="2">
        <v>0</v>
      </c>
      <c r="Y372" s="2">
        <v>22.79</v>
      </c>
      <c r="Z372" s="2">
        <v>22.79</v>
      </c>
      <c r="AA372" s="2">
        <v>22.79</v>
      </c>
      <c r="AB372" s="2">
        <v>0</v>
      </c>
    </row>
    <row r="373" spans="1:28" x14ac:dyDescent="0.25">
      <c r="A373">
        <v>2032849421</v>
      </c>
      <c r="B373" t="s">
        <v>956</v>
      </c>
      <c r="C373" t="s">
        <v>957</v>
      </c>
      <c r="D373" t="str">
        <f t="shared" si="11"/>
        <v>AHSAKI JONES</v>
      </c>
      <c r="E373" t="s">
        <v>311</v>
      </c>
      <c r="F373" t="s">
        <v>133</v>
      </c>
      <c r="G373" t="s">
        <v>134</v>
      </c>
      <c r="H373" t="s">
        <v>134</v>
      </c>
      <c r="I373" s="8" t="s">
        <v>1115</v>
      </c>
      <c r="J373" t="s">
        <v>383</v>
      </c>
      <c r="K373" t="s">
        <v>384</v>
      </c>
      <c r="L373" t="str">
        <f t="shared" si="10"/>
        <v>JARED KINYUA</v>
      </c>
      <c r="M373" t="s">
        <v>1135</v>
      </c>
      <c r="N373" t="s">
        <v>57</v>
      </c>
      <c r="O373" s="1">
        <v>46018</v>
      </c>
      <c r="P373" s="1">
        <v>46230</v>
      </c>
      <c r="Q373" s="2">
        <v>104.89</v>
      </c>
      <c r="R373" t="s">
        <v>58</v>
      </c>
      <c r="S373" s="4">
        <v>0.375</v>
      </c>
      <c r="T373">
        <v>0</v>
      </c>
      <c r="U373" t="s">
        <v>60</v>
      </c>
      <c r="V373" t="s">
        <v>248</v>
      </c>
      <c r="W373">
        <v>0</v>
      </c>
      <c r="X373" s="2">
        <v>0</v>
      </c>
      <c r="Y373" s="2">
        <v>39.33</v>
      </c>
      <c r="Z373" s="2">
        <v>39.33</v>
      </c>
      <c r="AA373" s="2">
        <v>39.33</v>
      </c>
      <c r="AB373" s="2">
        <v>0</v>
      </c>
    </row>
    <row r="374" spans="1:28" x14ac:dyDescent="0.25">
      <c r="A374">
        <v>2033152454</v>
      </c>
      <c r="B374" t="s">
        <v>231</v>
      </c>
      <c r="C374" t="s">
        <v>743</v>
      </c>
      <c r="D374" t="str">
        <f t="shared" si="11"/>
        <v>RENITA JOHNSON</v>
      </c>
      <c r="E374" t="s">
        <v>302</v>
      </c>
      <c r="F374" t="s">
        <v>133</v>
      </c>
      <c r="G374" t="s">
        <v>134</v>
      </c>
      <c r="H374" t="s">
        <v>134</v>
      </c>
      <c r="I374" s="8" t="s">
        <v>1115</v>
      </c>
      <c r="J374" t="s">
        <v>383</v>
      </c>
      <c r="K374" t="s">
        <v>384</v>
      </c>
      <c r="L374" t="str">
        <f t="shared" si="10"/>
        <v>JARED KINYUA</v>
      </c>
      <c r="M374" t="s">
        <v>1134</v>
      </c>
      <c r="N374" t="s">
        <v>57</v>
      </c>
      <c r="O374" s="1">
        <v>46054</v>
      </c>
      <c r="P374" s="1">
        <v>46235</v>
      </c>
      <c r="Q374" s="2">
        <v>45.06</v>
      </c>
      <c r="R374" t="s">
        <v>58</v>
      </c>
      <c r="S374" s="4">
        <v>0.375</v>
      </c>
      <c r="T374">
        <v>0</v>
      </c>
      <c r="U374" t="s">
        <v>60</v>
      </c>
      <c r="V374" t="s">
        <v>248</v>
      </c>
      <c r="W374">
        <v>0</v>
      </c>
      <c r="X374" s="2">
        <v>0</v>
      </c>
      <c r="Y374" s="2">
        <v>16.899999999999999</v>
      </c>
      <c r="Z374" s="2">
        <v>0</v>
      </c>
      <c r="AA374" s="2">
        <v>0</v>
      </c>
      <c r="AB374" s="2">
        <v>0</v>
      </c>
    </row>
    <row r="375" spans="1:28" x14ac:dyDescent="0.25">
      <c r="A375">
        <v>2032418220</v>
      </c>
      <c r="B375" t="s">
        <v>951</v>
      </c>
      <c r="C375" t="s">
        <v>952</v>
      </c>
      <c r="D375" t="str">
        <f t="shared" si="11"/>
        <v>STEVE KRAMER</v>
      </c>
      <c r="E375" t="s">
        <v>397</v>
      </c>
      <c r="F375" t="s">
        <v>194</v>
      </c>
      <c r="G375" t="s">
        <v>217</v>
      </c>
      <c r="H375" t="s">
        <v>217</v>
      </c>
      <c r="I375" s="8" t="s">
        <v>1115</v>
      </c>
      <c r="J375" t="s">
        <v>383</v>
      </c>
      <c r="K375" t="s">
        <v>384</v>
      </c>
      <c r="L375" t="str">
        <f t="shared" si="10"/>
        <v>JARED KINYUA</v>
      </c>
      <c r="M375" t="s">
        <v>1135</v>
      </c>
      <c r="N375" t="s">
        <v>57</v>
      </c>
      <c r="O375" s="1">
        <v>45991</v>
      </c>
      <c r="P375" s="1">
        <v>46233</v>
      </c>
      <c r="Q375" s="2">
        <v>43.81</v>
      </c>
      <c r="R375" t="s">
        <v>58</v>
      </c>
      <c r="S375" s="3">
        <v>0.9</v>
      </c>
      <c r="T375">
        <v>0</v>
      </c>
      <c r="U375" t="s">
        <v>60</v>
      </c>
      <c r="V375" t="s">
        <v>248</v>
      </c>
      <c r="W375">
        <v>0</v>
      </c>
      <c r="X375" s="2">
        <v>0</v>
      </c>
      <c r="Y375" s="2">
        <v>39.43</v>
      </c>
      <c r="Z375" s="2">
        <v>39.43</v>
      </c>
      <c r="AA375" s="2">
        <v>39.43</v>
      </c>
      <c r="AB375" s="2">
        <v>0</v>
      </c>
    </row>
    <row r="376" spans="1:28" x14ac:dyDescent="0.25">
      <c r="A376">
        <v>2021137941</v>
      </c>
      <c r="B376" t="s">
        <v>1007</v>
      </c>
      <c r="C376" t="s">
        <v>511</v>
      </c>
      <c r="D376" t="str">
        <f t="shared" si="11"/>
        <v>PAUL STEAD</v>
      </c>
      <c r="E376" t="s">
        <v>52</v>
      </c>
      <c r="F376" t="s">
        <v>194</v>
      </c>
      <c r="G376" t="s">
        <v>881</v>
      </c>
      <c r="H376" t="s">
        <v>881</v>
      </c>
      <c r="I376" s="8">
        <v>15278437</v>
      </c>
      <c r="J376" t="s">
        <v>244</v>
      </c>
      <c r="K376" t="s">
        <v>245</v>
      </c>
      <c r="L376" t="str">
        <f t="shared" si="10"/>
        <v>JASON HOFFMANN</v>
      </c>
      <c r="M376" t="s">
        <v>1133</v>
      </c>
      <c r="N376" t="s">
        <v>57</v>
      </c>
      <c r="O376" s="1">
        <v>45323</v>
      </c>
      <c r="P376" s="1">
        <v>46235</v>
      </c>
      <c r="Q376" s="2">
        <v>25.73</v>
      </c>
      <c r="R376" t="s">
        <v>58</v>
      </c>
      <c r="S376" s="3">
        <v>0.15</v>
      </c>
      <c r="T376">
        <v>0</v>
      </c>
      <c r="U376" t="s">
        <v>247</v>
      </c>
      <c r="V376" t="s">
        <v>248</v>
      </c>
      <c r="W376">
        <v>0</v>
      </c>
      <c r="X376" s="2">
        <v>0</v>
      </c>
      <c r="Y376" s="2">
        <v>3.86</v>
      </c>
      <c r="Z376" s="2">
        <v>3.86</v>
      </c>
      <c r="AA376" s="2">
        <v>3.86</v>
      </c>
      <c r="AB376" s="2">
        <v>0</v>
      </c>
    </row>
    <row r="377" spans="1:28" x14ac:dyDescent="0.25">
      <c r="A377">
        <v>2025845088</v>
      </c>
      <c r="B377" t="s">
        <v>283</v>
      </c>
      <c r="C377" t="s">
        <v>284</v>
      </c>
      <c r="D377" t="str">
        <f t="shared" si="11"/>
        <v>KEITH OLSSON</v>
      </c>
      <c r="E377" t="s">
        <v>52</v>
      </c>
      <c r="F377" t="s">
        <v>194</v>
      </c>
      <c r="G377" t="s">
        <v>881</v>
      </c>
      <c r="H377" t="s">
        <v>881</v>
      </c>
      <c r="I377" s="8">
        <v>15278437</v>
      </c>
      <c r="J377" t="s">
        <v>244</v>
      </c>
      <c r="K377" t="s">
        <v>245</v>
      </c>
      <c r="L377" t="str">
        <f t="shared" si="10"/>
        <v>JASON HOFFMANN</v>
      </c>
      <c r="M377" t="s">
        <v>1133</v>
      </c>
      <c r="N377" t="s">
        <v>57</v>
      </c>
      <c r="O377" s="1">
        <v>45658</v>
      </c>
      <c r="P377" s="1">
        <v>46235</v>
      </c>
      <c r="Q377" s="2">
        <v>51.46</v>
      </c>
      <c r="R377" t="s">
        <v>58</v>
      </c>
      <c r="S377" s="3">
        <v>0.15</v>
      </c>
      <c r="T377">
        <v>0</v>
      </c>
      <c r="U377" t="s">
        <v>247</v>
      </c>
      <c r="V377" t="s">
        <v>248</v>
      </c>
      <c r="W377">
        <v>0</v>
      </c>
      <c r="X377" s="2">
        <v>0</v>
      </c>
      <c r="Y377" s="2">
        <v>7.72</v>
      </c>
      <c r="Z377" s="2">
        <v>7.72</v>
      </c>
      <c r="AA377" s="2">
        <v>7.72</v>
      </c>
      <c r="AB377" s="2">
        <v>0</v>
      </c>
    </row>
    <row r="378" spans="1:28" x14ac:dyDescent="0.25">
      <c r="A378">
        <v>2017355242</v>
      </c>
      <c r="B378" t="s">
        <v>1000</v>
      </c>
      <c r="C378" t="s">
        <v>605</v>
      </c>
      <c r="D378" t="str">
        <f t="shared" si="11"/>
        <v>KIMBERLY JUSTICE-BOWERS</v>
      </c>
      <c r="E378" t="s">
        <v>626</v>
      </c>
      <c r="F378" t="s">
        <v>194</v>
      </c>
      <c r="G378" t="s">
        <v>195</v>
      </c>
      <c r="H378" t="s">
        <v>195</v>
      </c>
      <c r="I378" s="8">
        <v>15278437</v>
      </c>
      <c r="J378" t="s">
        <v>244</v>
      </c>
      <c r="K378" t="s">
        <v>245</v>
      </c>
      <c r="L378" t="str">
        <f t="shared" si="10"/>
        <v>JASON HOFFMANN</v>
      </c>
      <c r="M378" t="s">
        <v>1133</v>
      </c>
      <c r="N378" t="s">
        <v>57</v>
      </c>
      <c r="O378" s="1">
        <v>44958</v>
      </c>
      <c r="P378" s="1">
        <v>46235</v>
      </c>
      <c r="Q378" s="2">
        <v>166.17</v>
      </c>
      <c r="R378" t="s">
        <v>58</v>
      </c>
      <c r="S378" s="3">
        <v>0.15</v>
      </c>
      <c r="T378">
        <v>0</v>
      </c>
      <c r="U378" t="s">
        <v>247</v>
      </c>
      <c r="V378" t="s">
        <v>248</v>
      </c>
      <c r="W378">
        <v>0</v>
      </c>
      <c r="X378" s="2">
        <v>0</v>
      </c>
      <c r="Y378" s="2">
        <v>24.93</v>
      </c>
      <c r="Z378" s="2">
        <v>24.93</v>
      </c>
      <c r="AA378" s="2">
        <v>24.93</v>
      </c>
      <c r="AB378" s="2">
        <v>0</v>
      </c>
    </row>
    <row r="379" spans="1:28" x14ac:dyDescent="0.25">
      <c r="A379">
        <v>2022463458</v>
      </c>
      <c r="B379" t="s">
        <v>1009</v>
      </c>
      <c r="C379" t="s">
        <v>1010</v>
      </c>
      <c r="D379" t="str">
        <f t="shared" si="11"/>
        <v>JONI WESTAWSKI</v>
      </c>
      <c r="E379" t="s">
        <v>100</v>
      </c>
      <c r="F379" t="s">
        <v>194</v>
      </c>
      <c r="G379" t="s">
        <v>195</v>
      </c>
      <c r="H379" t="s">
        <v>195</v>
      </c>
      <c r="I379" s="8">
        <v>15278437</v>
      </c>
      <c r="J379" t="s">
        <v>244</v>
      </c>
      <c r="K379" t="s">
        <v>245</v>
      </c>
      <c r="L379" t="str">
        <f t="shared" si="10"/>
        <v>JASON HOFFMANN</v>
      </c>
      <c r="M379" t="s">
        <v>1133</v>
      </c>
      <c r="N379" t="s">
        <v>57</v>
      </c>
      <c r="O379" s="1">
        <v>45383</v>
      </c>
      <c r="P379" s="1">
        <v>46235</v>
      </c>
      <c r="Q379" s="2">
        <v>79.819999999999993</v>
      </c>
      <c r="R379" t="s">
        <v>58</v>
      </c>
      <c r="S379" s="3">
        <v>0.15</v>
      </c>
      <c r="T379">
        <v>0</v>
      </c>
      <c r="U379" t="s">
        <v>247</v>
      </c>
      <c r="V379" t="s">
        <v>248</v>
      </c>
      <c r="W379">
        <v>0</v>
      </c>
      <c r="X379" s="2">
        <v>0</v>
      </c>
      <c r="Y379" s="2">
        <v>11.97</v>
      </c>
      <c r="Z379" s="2">
        <v>11.97</v>
      </c>
      <c r="AA379" s="2">
        <v>11.97</v>
      </c>
      <c r="AB379" s="2">
        <v>0</v>
      </c>
    </row>
    <row r="380" spans="1:28" x14ac:dyDescent="0.25">
      <c r="A380">
        <v>2018749140</v>
      </c>
      <c r="B380" t="s">
        <v>666</v>
      </c>
      <c r="C380" t="s">
        <v>667</v>
      </c>
      <c r="D380" t="str">
        <f t="shared" si="11"/>
        <v>LANCELOT SPIKER</v>
      </c>
      <c r="E380" t="s">
        <v>52</v>
      </c>
      <c r="F380" t="s">
        <v>133</v>
      </c>
      <c r="G380" t="s">
        <v>134</v>
      </c>
      <c r="H380" t="s">
        <v>134</v>
      </c>
      <c r="I380" s="8">
        <v>15278437</v>
      </c>
      <c r="J380" t="s">
        <v>244</v>
      </c>
      <c r="K380" t="s">
        <v>245</v>
      </c>
      <c r="L380" t="str">
        <f t="shared" si="10"/>
        <v>JASON HOFFMANN</v>
      </c>
      <c r="M380" t="s">
        <v>1133</v>
      </c>
      <c r="N380" t="s">
        <v>57</v>
      </c>
      <c r="O380" s="1">
        <v>45078</v>
      </c>
      <c r="P380" s="1">
        <v>46235</v>
      </c>
      <c r="Q380" s="2">
        <v>35.979999999999997</v>
      </c>
      <c r="R380" t="s">
        <v>58</v>
      </c>
      <c r="S380" s="3">
        <v>0.06</v>
      </c>
      <c r="T380">
        <v>0</v>
      </c>
      <c r="U380" t="s">
        <v>247</v>
      </c>
      <c r="V380" t="s">
        <v>248</v>
      </c>
      <c r="W380">
        <v>0</v>
      </c>
      <c r="X380" s="2">
        <v>0</v>
      </c>
      <c r="Y380" s="2">
        <v>2.16</v>
      </c>
      <c r="Z380" s="2">
        <v>2.16</v>
      </c>
      <c r="AA380" s="2">
        <v>2.16</v>
      </c>
      <c r="AB380" s="2">
        <v>0</v>
      </c>
    </row>
    <row r="381" spans="1:28" x14ac:dyDescent="0.25">
      <c r="A381">
        <v>2017126555</v>
      </c>
      <c r="B381" t="s">
        <v>242</v>
      </c>
      <c r="C381" t="s">
        <v>243</v>
      </c>
      <c r="D381" t="str">
        <f t="shared" si="11"/>
        <v>KAREN LUCEY</v>
      </c>
      <c r="E381" t="s">
        <v>52</v>
      </c>
      <c r="F381" t="s">
        <v>53</v>
      </c>
      <c r="G381" t="s">
        <v>54</v>
      </c>
      <c r="H381" t="s">
        <v>54</v>
      </c>
      <c r="I381" s="8">
        <v>15278437</v>
      </c>
      <c r="J381" t="s">
        <v>244</v>
      </c>
      <c r="K381" t="s">
        <v>245</v>
      </c>
      <c r="L381" t="str">
        <f t="shared" si="10"/>
        <v>JASON HOFFMANN</v>
      </c>
      <c r="M381" t="s">
        <v>1133</v>
      </c>
      <c r="N381" t="s">
        <v>57</v>
      </c>
      <c r="O381" s="1">
        <v>44958</v>
      </c>
      <c r="P381" s="1">
        <v>46235</v>
      </c>
      <c r="Q381" s="2">
        <v>92.55</v>
      </c>
      <c r="R381" t="s">
        <v>58</v>
      </c>
      <c r="S381" s="4">
        <v>6.5000000000000002E-2</v>
      </c>
      <c r="T381">
        <v>0</v>
      </c>
      <c r="U381" t="s">
        <v>247</v>
      </c>
      <c r="V381" t="s">
        <v>248</v>
      </c>
      <c r="W381">
        <v>0</v>
      </c>
      <c r="X381" s="2">
        <v>0</v>
      </c>
      <c r="Y381" s="2">
        <v>6.02</v>
      </c>
      <c r="Z381" s="2">
        <v>6.02</v>
      </c>
      <c r="AA381" s="2">
        <v>6.02</v>
      </c>
      <c r="AB381" s="2">
        <v>0</v>
      </c>
    </row>
    <row r="382" spans="1:28" x14ac:dyDescent="0.25">
      <c r="A382">
        <v>2019754489</v>
      </c>
      <c r="B382" t="s">
        <v>258</v>
      </c>
      <c r="C382" t="s">
        <v>259</v>
      </c>
      <c r="D382" t="str">
        <f t="shared" si="11"/>
        <v>DOUGLAS WOLFF</v>
      </c>
      <c r="E382" t="s">
        <v>52</v>
      </c>
      <c r="F382" t="s">
        <v>53</v>
      </c>
      <c r="G382" t="s">
        <v>54</v>
      </c>
      <c r="H382" t="s">
        <v>54</v>
      </c>
      <c r="I382" s="8">
        <v>15278437</v>
      </c>
      <c r="J382" t="s">
        <v>244</v>
      </c>
      <c r="K382" t="s">
        <v>245</v>
      </c>
      <c r="L382" t="str">
        <f t="shared" si="10"/>
        <v>JASON HOFFMANN</v>
      </c>
      <c r="M382" t="s">
        <v>1133</v>
      </c>
      <c r="N382" t="s">
        <v>57</v>
      </c>
      <c r="O382" s="1">
        <v>45170</v>
      </c>
      <c r="P382" s="1">
        <v>46235</v>
      </c>
      <c r="Q382" s="2">
        <v>52.69</v>
      </c>
      <c r="R382" t="s">
        <v>58</v>
      </c>
      <c r="S382" s="4">
        <v>6.5000000000000002E-2</v>
      </c>
      <c r="T382">
        <v>0</v>
      </c>
      <c r="U382" t="s">
        <v>247</v>
      </c>
      <c r="V382" t="s">
        <v>248</v>
      </c>
      <c r="W382">
        <v>0</v>
      </c>
      <c r="X382" s="2">
        <v>0</v>
      </c>
      <c r="Y382" s="2">
        <v>3.42</v>
      </c>
      <c r="Z382" s="2">
        <v>3.42</v>
      </c>
      <c r="AA382" s="2">
        <v>3.42</v>
      </c>
      <c r="AB382" s="2">
        <v>0</v>
      </c>
    </row>
    <row r="383" spans="1:28" x14ac:dyDescent="0.25">
      <c r="A383">
        <v>2022933292</v>
      </c>
      <c r="B383" t="s">
        <v>262</v>
      </c>
      <c r="C383" t="s">
        <v>263</v>
      </c>
      <c r="D383" t="str">
        <f t="shared" si="11"/>
        <v>SOFIA GRUSKIN</v>
      </c>
      <c r="E383" t="s">
        <v>52</v>
      </c>
      <c r="F383" t="s">
        <v>53</v>
      </c>
      <c r="G383" t="s">
        <v>54</v>
      </c>
      <c r="H383" t="s">
        <v>54</v>
      </c>
      <c r="I383" s="8">
        <v>15278437</v>
      </c>
      <c r="J383" t="s">
        <v>244</v>
      </c>
      <c r="K383" t="s">
        <v>245</v>
      </c>
      <c r="L383" t="str">
        <f t="shared" si="10"/>
        <v>JASON HOFFMANN</v>
      </c>
      <c r="M383" t="s">
        <v>1133</v>
      </c>
      <c r="N383" t="s">
        <v>57</v>
      </c>
      <c r="O383" s="1">
        <v>45444</v>
      </c>
      <c r="P383" s="1">
        <v>46235</v>
      </c>
      <c r="Q383" s="2">
        <v>75.75</v>
      </c>
      <c r="R383" t="s">
        <v>58</v>
      </c>
      <c r="S383" s="4">
        <v>6.5000000000000002E-2</v>
      </c>
      <c r="T383">
        <v>0</v>
      </c>
      <c r="U383" t="s">
        <v>247</v>
      </c>
      <c r="V383" t="s">
        <v>248</v>
      </c>
      <c r="W383">
        <v>0</v>
      </c>
      <c r="X383" s="2">
        <v>0</v>
      </c>
      <c r="Y383" s="2">
        <v>4.92</v>
      </c>
      <c r="Z383" s="2">
        <v>4.92</v>
      </c>
      <c r="AA383" s="2">
        <v>4.92</v>
      </c>
      <c r="AB383" s="2">
        <v>0</v>
      </c>
    </row>
    <row r="384" spans="1:28" x14ac:dyDescent="0.25">
      <c r="A384">
        <v>2025786350</v>
      </c>
      <c r="B384" t="s">
        <v>281</v>
      </c>
      <c r="C384" t="s">
        <v>282</v>
      </c>
      <c r="D384" t="str">
        <f t="shared" si="11"/>
        <v>RUSSELL GRAY</v>
      </c>
      <c r="E384" t="s">
        <v>52</v>
      </c>
      <c r="F384" t="s">
        <v>53</v>
      </c>
      <c r="G384" t="s">
        <v>54</v>
      </c>
      <c r="H384" t="s">
        <v>54</v>
      </c>
      <c r="I384" s="8">
        <v>15278437</v>
      </c>
      <c r="J384" t="s">
        <v>244</v>
      </c>
      <c r="K384" t="s">
        <v>245</v>
      </c>
      <c r="L384" t="str">
        <f t="shared" si="10"/>
        <v>JASON HOFFMANN</v>
      </c>
      <c r="M384" t="s">
        <v>1133</v>
      </c>
      <c r="N384" t="s">
        <v>57</v>
      </c>
      <c r="O384" s="1">
        <v>45627</v>
      </c>
      <c r="P384" s="1">
        <v>46235</v>
      </c>
      <c r="Q384" s="2">
        <v>52.69</v>
      </c>
      <c r="R384" t="s">
        <v>58</v>
      </c>
      <c r="S384" s="4">
        <v>6.5000000000000002E-2</v>
      </c>
      <c r="T384">
        <v>0</v>
      </c>
      <c r="U384" t="s">
        <v>247</v>
      </c>
      <c r="V384" t="s">
        <v>248</v>
      </c>
      <c r="W384">
        <v>0</v>
      </c>
      <c r="X384" s="2">
        <v>0</v>
      </c>
      <c r="Y384" s="2">
        <v>3.42</v>
      </c>
      <c r="Z384" s="2">
        <v>3.42</v>
      </c>
      <c r="AA384" s="2">
        <v>3.42</v>
      </c>
      <c r="AB384" s="2">
        <v>0</v>
      </c>
    </row>
    <row r="385" spans="1:28" x14ac:dyDescent="0.25">
      <c r="A385">
        <v>2025845087</v>
      </c>
      <c r="B385" t="s">
        <v>283</v>
      </c>
      <c r="C385" t="s">
        <v>284</v>
      </c>
      <c r="D385" t="str">
        <f t="shared" si="11"/>
        <v>KEITH OLSSON</v>
      </c>
      <c r="E385" t="s">
        <v>52</v>
      </c>
      <c r="F385" t="s">
        <v>53</v>
      </c>
      <c r="G385" t="s">
        <v>54</v>
      </c>
      <c r="H385" t="s">
        <v>54</v>
      </c>
      <c r="I385" s="8">
        <v>15278437</v>
      </c>
      <c r="J385" t="s">
        <v>244</v>
      </c>
      <c r="K385" t="s">
        <v>245</v>
      </c>
      <c r="L385" t="str">
        <f t="shared" si="10"/>
        <v>JASON HOFFMANN</v>
      </c>
      <c r="M385" t="s">
        <v>1133</v>
      </c>
      <c r="N385" t="s">
        <v>57</v>
      </c>
      <c r="O385" s="1">
        <v>45658</v>
      </c>
      <c r="P385" s="1">
        <v>46235</v>
      </c>
      <c r="Q385" s="2">
        <v>75.75</v>
      </c>
      <c r="R385" t="s">
        <v>58</v>
      </c>
      <c r="S385" s="4">
        <v>6.5000000000000002E-2</v>
      </c>
      <c r="T385">
        <v>0</v>
      </c>
      <c r="U385" t="s">
        <v>247</v>
      </c>
      <c r="V385" t="s">
        <v>248</v>
      </c>
      <c r="W385">
        <v>0</v>
      </c>
      <c r="X385" s="2">
        <v>0</v>
      </c>
      <c r="Y385" s="2">
        <v>4.92</v>
      </c>
      <c r="Z385" s="2">
        <v>4.92</v>
      </c>
      <c r="AA385" s="2">
        <v>4.92</v>
      </c>
      <c r="AB385" s="2">
        <v>0</v>
      </c>
    </row>
    <row r="386" spans="1:28" x14ac:dyDescent="0.25">
      <c r="A386">
        <v>2033268476</v>
      </c>
      <c r="B386" t="s">
        <v>769</v>
      </c>
      <c r="C386" t="s">
        <v>457</v>
      </c>
      <c r="D386" t="str">
        <f t="shared" si="11"/>
        <v>CHRISTOPHER WOLZEN</v>
      </c>
      <c r="E386" t="s">
        <v>89</v>
      </c>
      <c r="F386" t="s">
        <v>194</v>
      </c>
      <c r="G386" t="s">
        <v>195</v>
      </c>
      <c r="H386" t="s">
        <v>195</v>
      </c>
      <c r="I386" s="8">
        <v>16228684</v>
      </c>
      <c r="J386" t="s">
        <v>770</v>
      </c>
      <c r="K386" t="s">
        <v>771</v>
      </c>
      <c r="L386" t="str">
        <f t="shared" ref="L386:L449" si="12">CONCATENATE(K386," ",J386)</f>
        <v>Jason Roller</v>
      </c>
      <c r="M386" t="s">
        <v>1133</v>
      </c>
      <c r="N386" t="s">
        <v>57</v>
      </c>
      <c r="O386" s="1">
        <v>46054</v>
      </c>
      <c r="P386" s="1">
        <v>46235</v>
      </c>
      <c r="Q386" s="2">
        <v>34</v>
      </c>
      <c r="R386" t="s">
        <v>58</v>
      </c>
      <c r="S386" s="3">
        <v>0.7</v>
      </c>
      <c r="T386">
        <v>0</v>
      </c>
      <c r="U386" t="s">
        <v>60</v>
      </c>
      <c r="V386" t="s">
        <v>248</v>
      </c>
      <c r="W386">
        <v>0</v>
      </c>
      <c r="X386" s="2">
        <v>0</v>
      </c>
      <c r="Y386" s="2">
        <v>23.8</v>
      </c>
      <c r="Z386" s="2">
        <v>0</v>
      </c>
      <c r="AA386" s="2">
        <v>0</v>
      </c>
      <c r="AB386" s="2">
        <v>0</v>
      </c>
    </row>
    <row r="387" spans="1:28" x14ac:dyDescent="0.25">
      <c r="A387">
        <v>2033268475</v>
      </c>
      <c r="B387" t="s">
        <v>769</v>
      </c>
      <c r="C387" t="s">
        <v>457</v>
      </c>
      <c r="D387" t="str">
        <f t="shared" ref="D387:D450" si="13">CONCATENATE(C387," ",B387)</f>
        <v>CHRISTOPHER WOLZEN</v>
      </c>
      <c r="E387" t="s">
        <v>89</v>
      </c>
      <c r="F387" t="s">
        <v>133</v>
      </c>
      <c r="G387" t="s">
        <v>134</v>
      </c>
      <c r="H387" t="s">
        <v>134</v>
      </c>
      <c r="I387" s="8">
        <v>16228684</v>
      </c>
      <c r="J387" t="s">
        <v>770</v>
      </c>
      <c r="K387" t="s">
        <v>771</v>
      </c>
      <c r="L387" t="str">
        <f t="shared" si="12"/>
        <v>Jason Roller</v>
      </c>
      <c r="M387" t="s">
        <v>1133</v>
      </c>
      <c r="N387" t="s">
        <v>57</v>
      </c>
      <c r="O387" s="1">
        <v>46054</v>
      </c>
      <c r="P387" s="1">
        <v>46235</v>
      </c>
      <c r="Q387" s="2">
        <v>78.760000000000005</v>
      </c>
      <c r="R387" t="s">
        <v>58</v>
      </c>
      <c r="S387" s="4">
        <v>0.375</v>
      </c>
      <c r="T387">
        <v>0</v>
      </c>
      <c r="U387" t="s">
        <v>60</v>
      </c>
      <c r="V387" t="s">
        <v>248</v>
      </c>
      <c r="W387">
        <v>0</v>
      </c>
      <c r="X387" s="2">
        <v>0</v>
      </c>
      <c r="Y387" s="2">
        <v>29.54</v>
      </c>
      <c r="Z387" s="2">
        <v>0</v>
      </c>
      <c r="AA387" s="2">
        <v>0</v>
      </c>
      <c r="AB387" s="2">
        <v>0</v>
      </c>
    </row>
    <row r="388" spans="1:28" x14ac:dyDescent="0.25">
      <c r="A388">
        <v>2033142163</v>
      </c>
      <c r="B388" t="s">
        <v>734</v>
      </c>
      <c r="C388" t="s">
        <v>209</v>
      </c>
      <c r="D388" t="str">
        <f t="shared" si="13"/>
        <v>JOHN ALESI</v>
      </c>
      <c r="E388" t="s">
        <v>89</v>
      </c>
      <c r="F388" t="s">
        <v>194</v>
      </c>
      <c r="G388" t="s">
        <v>195</v>
      </c>
      <c r="H388" t="s">
        <v>195</v>
      </c>
      <c r="I388" s="8" t="s">
        <v>1114</v>
      </c>
      <c r="J388" t="s">
        <v>735</v>
      </c>
      <c r="K388" t="s">
        <v>736</v>
      </c>
      <c r="L388" t="str">
        <f t="shared" si="12"/>
        <v>Jeffrey Horn</v>
      </c>
      <c r="M388" t="s">
        <v>1134</v>
      </c>
      <c r="N388" t="s">
        <v>57</v>
      </c>
      <c r="O388" s="1">
        <v>46054</v>
      </c>
      <c r="P388" s="1">
        <v>46235</v>
      </c>
      <c r="Q388" s="2">
        <v>210.38</v>
      </c>
      <c r="R388" t="s">
        <v>58</v>
      </c>
      <c r="S388" s="3">
        <v>0.7</v>
      </c>
      <c r="T388">
        <v>0</v>
      </c>
      <c r="U388" t="s">
        <v>60</v>
      </c>
      <c r="V388" t="s">
        <v>248</v>
      </c>
      <c r="W388">
        <v>0</v>
      </c>
      <c r="X388" s="2">
        <v>0</v>
      </c>
      <c r="Y388" s="2">
        <v>147.27000000000001</v>
      </c>
      <c r="Z388" s="2">
        <v>0</v>
      </c>
      <c r="AA388" s="2">
        <v>0</v>
      </c>
      <c r="AB388" s="2">
        <v>0</v>
      </c>
    </row>
    <row r="389" spans="1:28" x14ac:dyDescent="0.25">
      <c r="A389">
        <v>2033142162</v>
      </c>
      <c r="B389" t="s">
        <v>734</v>
      </c>
      <c r="C389" t="s">
        <v>209</v>
      </c>
      <c r="D389" t="str">
        <f t="shared" si="13"/>
        <v>JOHN ALESI</v>
      </c>
      <c r="E389" t="s">
        <v>89</v>
      </c>
      <c r="F389" t="s">
        <v>133</v>
      </c>
      <c r="G389" t="s">
        <v>134</v>
      </c>
      <c r="H389" t="s">
        <v>134</v>
      </c>
      <c r="I389" s="8" t="s">
        <v>1114</v>
      </c>
      <c r="J389" t="s">
        <v>735</v>
      </c>
      <c r="K389" t="s">
        <v>736</v>
      </c>
      <c r="L389" t="str">
        <f t="shared" si="12"/>
        <v>Jeffrey Horn</v>
      </c>
      <c r="M389" t="s">
        <v>1134</v>
      </c>
      <c r="N389" t="s">
        <v>57</v>
      </c>
      <c r="O389" s="1">
        <v>46054</v>
      </c>
      <c r="P389" s="1">
        <v>46235</v>
      </c>
      <c r="Q389" s="2">
        <v>110.98</v>
      </c>
      <c r="R389" t="s">
        <v>58</v>
      </c>
      <c r="S389" s="4">
        <v>0.375</v>
      </c>
      <c r="T389">
        <v>0</v>
      </c>
      <c r="U389" t="s">
        <v>60</v>
      </c>
      <c r="V389" t="s">
        <v>248</v>
      </c>
      <c r="W389">
        <v>0</v>
      </c>
      <c r="X389" s="2">
        <v>0</v>
      </c>
      <c r="Y389" s="2">
        <v>41.62</v>
      </c>
      <c r="Z389" s="2">
        <v>0</v>
      </c>
      <c r="AA389" s="2">
        <v>0</v>
      </c>
      <c r="AB389" s="2">
        <v>0</v>
      </c>
    </row>
    <row r="390" spans="1:28" x14ac:dyDescent="0.25">
      <c r="A390">
        <v>2033148159</v>
      </c>
      <c r="B390" t="s">
        <v>472</v>
      </c>
      <c r="C390" t="s">
        <v>473</v>
      </c>
      <c r="D390" t="str">
        <f t="shared" si="13"/>
        <v>MOLLY MORRIS</v>
      </c>
      <c r="E390" t="s">
        <v>68</v>
      </c>
      <c r="F390" t="s">
        <v>69</v>
      </c>
      <c r="G390" t="s">
        <v>70</v>
      </c>
      <c r="H390" t="s">
        <v>1079</v>
      </c>
      <c r="I390" s="8">
        <v>21564088</v>
      </c>
      <c r="J390" t="s">
        <v>468</v>
      </c>
      <c r="K390" t="s">
        <v>469</v>
      </c>
      <c r="L390" t="str">
        <f t="shared" si="12"/>
        <v>Jennifer Halsaver</v>
      </c>
      <c r="M390" t="s">
        <v>1133</v>
      </c>
      <c r="N390" t="s">
        <v>57</v>
      </c>
      <c r="O390" s="1">
        <v>46054</v>
      </c>
      <c r="P390" s="1">
        <v>46235</v>
      </c>
      <c r="Q390" s="2">
        <v>19.45</v>
      </c>
      <c r="R390" t="s">
        <v>58</v>
      </c>
      <c r="S390" s="3">
        <v>0.75</v>
      </c>
      <c r="T390">
        <v>0</v>
      </c>
      <c r="U390" t="s">
        <v>60</v>
      </c>
      <c r="V390" t="s">
        <v>248</v>
      </c>
      <c r="W390">
        <v>0</v>
      </c>
      <c r="X390" s="2">
        <v>0</v>
      </c>
      <c r="Y390" s="2">
        <v>14.59</v>
      </c>
      <c r="Z390" s="2">
        <v>0</v>
      </c>
      <c r="AA390" s="2">
        <v>0</v>
      </c>
      <c r="AB390" s="2">
        <v>0</v>
      </c>
    </row>
    <row r="391" spans="1:28" x14ac:dyDescent="0.25">
      <c r="A391">
        <v>2033137933</v>
      </c>
      <c r="B391" t="s">
        <v>467</v>
      </c>
      <c r="C391" t="s">
        <v>171</v>
      </c>
      <c r="D391" t="str">
        <f t="shared" si="13"/>
        <v>WILLIAM FANKHAUSER</v>
      </c>
      <c r="E391" t="s">
        <v>68</v>
      </c>
      <c r="F391" t="s">
        <v>69</v>
      </c>
      <c r="G391" t="s">
        <v>70</v>
      </c>
      <c r="H391" t="s">
        <v>1079</v>
      </c>
      <c r="I391" s="8">
        <v>21564088</v>
      </c>
      <c r="J391" t="s">
        <v>468</v>
      </c>
      <c r="K391" t="s">
        <v>469</v>
      </c>
      <c r="L391" t="str">
        <f t="shared" si="12"/>
        <v>Jennifer Halsaver</v>
      </c>
      <c r="M391" t="s">
        <v>1133</v>
      </c>
      <c r="N391" t="s">
        <v>57</v>
      </c>
      <c r="O391" s="1">
        <v>46055</v>
      </c>
      <c r="P391" s="1">
        <v>46236</v>
      </c>
      <c r="Q391" s="2">
        <v>21.91</v>
      </c>
      <c r="R391" t="s">
        <v>58</v>
      </c>
      <c r="S391" s="3">
        <v>0.75</v>
      </c>
      <c r="T391">
        <v>0</v>
      </c>
      <c r="U391" t="s">
        <v>60</v>
      </c>
      <c r="V391" t="s">
        <v>248</v>
      </c>
      <c r="W391">
        <v>0</v>
      </c>
      <c r="X391" s="2">
        <v>0</v>
      </c>
      <c r="Y391" s="2">
        <v>16.43</v>
      </c>
      <c r="Z391" s="2">
        <v>0</v>
      </c>
      <c r="AA391" s="2">
        <v>0</v>
      </c>
      <c r="AB391" s="2">
        <v>0</v>
      </c>
    </row>
    <row r="392" spans="1:28" x14ac:dyDescent="0.25">
      <c r="A392">
        <v>2033137935</v>
      </c>
      <c r="B392" t="s">
        <v>467</v>
      </c>
      <c r="C392" t="s">
        <v>171</v>
      </c>
      <c r="D392" t="str">
        <f t="shared" si="13"/>
        <v>WILLIAM FANKHAUSER</v>
      </c>
      <c r="E392" t="s">
        <v>68</v>
      </c>
      <c r="F392" t="s">
        <v>149</v>
      </c>
      <c r="G392" t="s">
        <v>627</v>
      </c>
      <c r="H392" t="s">
        <v>627</v>
      </c>
      <c r="I392" s="8">
        <v>21564088</v>
      </c>
      <c r="J392" t="s">
        <v>468</v>
      </c>
      <c r="K392" t="s">
        <v>469</v>
      </c>
      <c r="L392" t="str">
        <f t="shared" si="12"/>
        <v>Jennifer Halsaver</v>
      </c>
      <c r="M392" t="s">
        <v>1133</v>
      </c>
      <c r="N392" t="s">
        <v>57</v>
      </c>
      <c r="O392" s="1">
        <v>46055</v>
      </c>
      <c r="P392" s="1">
        <v>46236</v>
      </c>
      <c r="Q392" s="2">
        <v>15</v>
      </c>
      <c r="R392" t="s">
        <v>58</v>
      </c>
      <c r="S392" s="3">
        <v>0.19</v>
      </c>
      <c r="T392">
        <v>0</v>
      </c>
      <c r="U392" t="s">
        <v>60</v>
      </c>
      <c r="V392" t="s">
        <v>248</v>
      </c>
      <c r="W392">
        <v>0</v>
      </c>
      <c r="X392" s="2">
        <v>0</v>
      </c>
      <c r="Y392" s="2">
        <v>2.85</v>
      </c>
      <c r="Z392" s="2">
        <v>0</v>
      </c>
      <c r="AA392" s="2">
        <v>0</v>
      </c>
      <c r="AB392" s="2">
        <v>0</v>
      </c>
    </row>
    <row r="393" spans="1:28" x14ac:dyDescent="0.25">
      <c r="A393">
        <v>2033137931</v>
      </c>
      <c r="B393" t="s">
        <v>467</v>
      </c>
      <c r="C393" t="s">
        <v>171</v>
      </c>
      <c r="D393" t="str">
        <f t="shared" si="13"/>
        <v>WILLIAM FANKHAUSER</v>
      </c>
      <c r="E393" t="s">
        <v>68</v>
      </c>
      <c r="F393" t="s">
        <v>237</v>
      </c>
      <c r="G393" t="s">
        <v>856</v>
      </c>
      <c r="H393" t="s">
        <v>856</v>
      </c>
      <c r="I393" s="8">
        <v>21564088</v>
      </c>
      <c r="J393" t="s">
        <v>468</v>
      </c>
      <c r="K393" t="s">
        <v>469</v>
      </c>
      <c r="L393" t="str">
        <f t="shared" si="12"/>
        <v>Jennifer Halsaver</v>
      </c>
      <c r="M393" t="s">
        <v>1133</v>
      </c>
      <c r="N393" t="s">
        <v>57</v>
      </c>
      <c r="O393" s="1">
        <v>46055</v>
      </c>
      <c r="P393" s="1">
        <v>46236</v>
      </c>
      <c r="Q393" s="2">
        <v>217.89</v>
      </c>
      <c r="R393" t="s">
        <v>58</v>
      </c>
      <c r="S393" s="3">
        <v>0.19</v>
      </c>
      <c r="T393">
        <v>0</v>
      </c>
      <c r="U393" t="s">
        <v>60</v>
      </c>
      <c r="V393" t="s">
        <v>248</v>
      </c>
      <c r="W393">
        <v>0</v>
      </c>
      <c r="X393" s="2">
        <v>0</v>
      </c>
      <c r="Y393" s="2">
        <v>41.4</v>
      </c>
      <c r="Z393" s="2">
        <v>0</v>
      </c>
      <c r="AA393" s="2">
        <v>0</v>
      </c>
      <c r="AB393" s="2">
        <v>0</v>
      </c>
    </row>
    <row r="394" spans="1:28" x14ac:dyDescent="0.25">
      <c r="A394">
        <v>2033137932</v>
      </c>
      <c r="B394" t="s">
        <v>467</v>
      </c>
      <c r="C394" t="s">
        <v>171</v>
      </c>
      <c r="D394" t="str">
        <f t="shared" si="13"/>
        <v>WILLIAM FANKHAUSER</v>
      </c>
      <c r="E394" t="s">
        <v>68</v>
      </c>
      <c r="F394" t="s">
        <v>194</v>
      </c>
      <c r="G394" t="s">
        <v>195</v>
      </c>
      <c r="H394" t="s">
        <v>195</v>
      </c>
      <c r="I394" s="8">
        <v>21564088</v>
      </c>
      <c r="J394" t="s">
        <v>468</v>
      </c>
      <c r="K394" t="s">
        <v>469</v>
      </c>
      <c r="L394" t="str">
        <f t="shared" si="12"/>
        <v>Jennifer Halsaver</v>
      </c>
      <c r="M394" t="s">
        <v>1133</v>
      </c>
      <c r="N394" t="s">
        <v>57</v>
      </c>
      <c r="O394" s="1">
        <v>46055</v>
      </c>
      <c r="P394" s="1">
        <v>46236</v>
      </c>
      <c r="Q394" s="2">
        <v>65.48</v>
      </c>
      <c r="R394" t="s">
        <v>58</v>
      </c>
      <c r="S394" s="3">
        <v>0.7</v>
      </c>
      <c r="T394">
        <v>0</v>
      </c>
      <c r="U394" t="s">
        <v>60</v>
      </c>
      <c r="V394" t="s">
        <v>248</v>
      </c>
      <c r="W394">
        <v>0</v>
      </c>
      <c r="X394" s="2">
        <v>0</v>
      </c>
      <c r="Y394" s="2">
        <v>45.84</v>
      </c>
      <c r="Z394" s="2">
        <v>0</v>
      </c>
      <c r="AA394" s="2">
        <v>0</v>
      </c>
      <c r="AB394" s="2">
        <v>0</v>
      </c>
    </row>
    <row r="395" spans="1:28" x14ac:dyDescent="0.25">
      <c r="A395">
        <v>2033148158</v>
      </c>
      <c r="B395" t="s">
        <v>472</v>
      </c>
      <c r="C395" t="s">
        <v>473</v>
      </c>
      <c r="D395" t="str">
        <f t="shared" si="13"/>
        <v>MOLLY MORRIS</v>
      </c>
      <c r="E395" t="s">
        <v>68</v>
      </c>
      <c r="F395" t="s">
        <v>194</v>
      </c>
      <c r="G395" t="s">
        <v>195</v>
      </c>
      <c r="H395" t="s">
        <v>195</v>
      </c>
      <c r="I395" s="8">
        <v>21564088</v>
      </c>
      <c r="J395" t="s">
        <v>468</v>
      </c>
      <c r="K395" t="s">
        <v>469</v>
      </c>
      <c r="L395" t="str">
        <f t="shared" si="12"/>
        <v>Jennifer Halsaver</v>
      </c>
      <c r="M395" t="s">
        <v>1133</v>
      </c>
      <c r="N395" t="s">
        <v>57</v>
      </c>
      <c r="O395" s="1">
        <v>46054</v>
      </c>
      <c r="P395" s="1">
        <v>46235</v>
      </c>
      <c r="Q395" s="2">
        <v>65.48</v>
      </c>
      <c r="R395" t="s">
        <v>58</v>
      </c>
      <c r="S395" s="3">
        <v>0.7</v>
      </c>
      <c r="T395">
        <v>0</v>
      </c>
      <c r="U395" t="s">
        <v>60</v>
      </c>
      <c r="V395" t="s">
        <v>248</v>
      </c>
      <c r="W395">
        <v>0</v>
      </c>
      <c r="X395" s="2">
        <v>0</v>
      </c>
      <c r="Y395" s="2">
        <v>45.84</v>
      </c>
      <c r="Z395" s="2">
        <v>0</v>
      </c>
      <c r="AA395" s="2">
        <v>0</v>
      </c>
      <c r="AB395" s="2">
        <v>0</v>
      </c>
    </row>
    <row r="396" spans="1:28" x14ac:dyDescent="0.25">
      <c r="A396">
        <v>2033220370</v>
      </c>
      <c r="B396" t="s">
        <v>498</v>
      </c>
      <c r="C396" t="s">
        <v>216</v>
      </c>
      <c r="D396" t="str">
        <f t="shared" si="13"/>
        <v>JENNIFER HESS</v>
      </c>
      <c r="E396" t="s">
        <v>100</v>
      </c>
      <c r="F396" t="s">
        <v>69</v>
      </c>
      <c r="G396" t="s">
        <v>70</v>
      </c>
      <c r="H396" t="s">
        <v>1079</v>
      </c>
      <c r="I396" s="8" t="s">
        <v>1097</v>
      </c>
      <c r="J396" t="s">
        <v>499</v>
      </c>
      <c r="K396" t="s">
        <v>469</v>
      </c>
      <c r="L396" t="str">
        <f t="shared" si="12"/>
        <v>Jennifer Hess</v>
      </c>
      <c r="M396" t="s">
        <v>1133</v>
      </c>
      <c r="N396" t="s">
        <v>57</v>
      </c>
      <c r="O396" s="1">
        <v>46054</v>
      </c>
      <c r="P396" s="1">
        <v>46235</v>
      </c>
      <c r="Q396" s="2">
        <v>59.86</v>
      </c>
      <c r="R396" t="s">
        <v>58</v>
      </c>
      <c r="S396" s="3">
        <v>0.75</v>
      </c>
      <c r="T396">
        <v>0</v>
      </c>
      <c r="U396" t="s">
        <v>60</v>
      </c>
      <c r="V396" t="s">
        <v>248</v>
      </c>
      <c r="W396">
        <v>0</v>
      </c>
      <c r="X396" s="2">
        <v>0</v>
      </c>
      <c r="Y396" s="2">
        <v>44.9</v>
      </c>
      <c r="Z396" s="2">
        <v>0</v>
      </c>
      <c r="AA396" s="2">
        <v>0</v>
      </c>
      <c r="AB396" s="2">
        <v>0</v>
      </c>
    </row>
    <row r="397" spans="1:28" x14ac:dyDescent="0.25">
      <c r="A397">
        <v>2035758344</v>
      </c>
      <c r="B397" t="s">
        <v>850</v>
      </c>
      <c r="C397" t="s">
        <v>851</v>
      </c>
      <c r="D397" t="str">
        <f t="shared" si="13"/>
        <v>BRUCE CUE</v>
      </c>
      <c r="E397" t="s">
        <v>100</v>
      </c>
      <c r="F397" t="s">
        <v>194</v>
      </c>
      <c r="G397" t="s">
        <v>195</v>
      </c>
      <c r="H397" t="s">
        <v>195</v>
      </c>
      <c r="I397" s="8" t="s">
        <v>1097</v>
      </c>
      <c r="J397" t="s">
        <v>499</v>
      </c>
      <c r="K397" t="s">
        <v>469</v>
      </c>
      <c r="L397" t="str">
        <f t="shared" si="12"/>
        <v>Jennifer Hess</v>
      </c>
      <c r="M397" t="s">
        <v>1134</v>
      </c>
      <c r="N397" t="s">
        <v>57</v>
      </c>
      <c r="O397" s="1">
        <v>46173</v>
      </c>
      <c r="P397" s="1">
        <v>46233</v>
      </c>
      <c r="Q397" s="2">
        <v>42.99</v>
      </c>
      <c r="R397" t="s">
        <v>58</v>
      </c>
      <c r="S397" s="3">
        <v>0.7</v>
      </c>
      <c r="T397">
        <v>0</v>
      </c>
      <c r="U397" t="s">
        <v>60</v>
      </c>
      <c r="V397" t="s">
        <v>248</v>
      </c>
      <c r="W397">
        <v>0</v>
      </c>
      <c r="X397" s="2">
        <v>0</v>
      </c>
      <c r="Y397" s="2">
        <v>30.09</v>
      </c>
      <c r="Z397" s="2">
        <v>0</v>
      </c>
      <c r="AA397" s="2">
        <v>0</v>
      </c>
      <c r="AB397" s="2">
        <v>0</v>
      </c>
    </row>
    <row r="398" spans="1:28" x14ac:dyDescent="0.25">
      <c r="A398">
        <v>2033220369</v>
      </c>
      <c r="B398" t="s">
        <v>498</v>
      </c>
      <c r="C398" t="s">
        <v>216</v>
      </c>
      <c r="D398" t="str">
        <f t="shared" si="13"/>
        <v>JENNIFER HESS</v>
      </c>
      <c r="E398" t="s">
        <v>100</v>
      </c>
      <c r="F398" t="s">
        <v>194</v>
      </c>
      <c r="G398" t="s">
        <v>195</v>
      </c>
      <c r="H398" t="s">
        <v>195</v>
      </c>
      <c r="I398" s="8" t="s">
        <v>1097</v>
      </c>
      <c r="J398" t="s">
        <v>499</v>
      </c>
      <c r="K398" t="s">
        <v>469</v>
      </c>
      <c r="L398" t="str">
        <f t="shared" si="12"/>
        <v>Jennifer Hess</v>
      </c>
      <c r="M398" t="s">
        <v>1133</v>
      </c>
      <c r="N398" t="s">
        <v>57</v>
      </c>
      <c r="O398" s="1">
        <v>46054</v>
      </c>
      <c r="P398" s="1">
        <v>46235</v>
      </c>
      <c r="Q398" s="2">
        <v>43.98</v>
      </c>
      <c r="R398" t="s">
        <v>58</v>
      </c>
      <c r="S398" s="3">
        <v>0.7</v>
      </c>
      <c r="T398">
        <v>0</v>
      </c>
      <c r="U398" t="s">
        <v>60</v>
      </c>
      <c r="V398" t="s">
        <v>248</v>
      </c>
      <c r="W398">
        <v>0</v>
      </c>
      <c r="X398" s="2">
        <v>0</v>
      </c>
      <c r="Y398" s="2">
        <v>30.79</v>
      </c>
      <c r="Z398" s="2">
        <v>0</v>
      </c>
      <c r="AA398" s="2">
        <v>0</v>
      </c>
      <c r="AB398" s="2">
        <v>0</v>
      </c>
    </row>
    <row r="399" spans="1:28" x14ac:dyDescent="0.25">
      <c r="A399">
        <v>2033151372</v>
      </c>
      <c r="B399" t="s">
        <v>740</v>
      </c>
      <c r="C399" t="s">
        <v>529</v>
      </c>
      <c r="D399" t="str">
        <f t="shared" si="13"/>
        <v>NICOLE ZISKA</v>
      </c>
      <c r="E399" t="s">
        <v>68</v>
      </c>
      <c r="F399" t="s">
        <v>194</v>
      </c>
      <c r="G399" t="s">
        <v>195</v>
      </c>
      <c r="H399" t="s">
        <v>195</v>
      </c>
      <c r="I399" s="8">
        <v>18142208</v>
      </c>
      <c r="J399" t="s">
        <v>741</v>
      </c>
      <c r="K399" t="s">
        <v>742</v>
      </c>
      <c r="L399" t="str">
        <f t="shared" si="12"/>
        <v>Jill Shepard</v>
      </c>
      <c r="M399" t="s">
        <v>1133</v>
      </c>
      <c r="N399" t="s">
        <v>57</v>
      </c>
      <c r="O399" s="1">
        <v>46054</v>
      </c>
      <c r="P399" s="1">
        <v>46235</v>
      </c>
      <c r="Q399" s="2">
        <v>62.13</v>
      </c>
      <c r="R399" t="s">
        <v>58</v>
      </c>
      <c r="S399" s="3">
        <v>0.7</v>
      </c>
      <c r="T399">
        <v>0</v>
      </c>
      <c r="U399" t="s">
        <v>60</v>
      </c>
      <c r="V399" t="s">
        <v>248</v>
      </c>
      <c r="W399">
        <v>0</v>
      </c>
      <c r="X399" s="2">
        <v>0</v>
      </c>
      <c r="Y399" s="2">
        <v>43.49</v>
      </c>
      <c r="Z399" s="2">
        <v>0</v>
      </c>
      <c r="AA399" s="2">
        <v>0</v>
      </c>
      <c r="AB399" s="2">
        <v>0</v>
      </c>
    </row>
    <row r="400" spans="1:28" x14ac:dyDescent="0.25">
      <c r="A400">
        <v>2033151371</v>
      </c>
      <c r="B400" t="s">
        <v>740</v>
      </c>
      <c r="C400" t="s">
        <v>529</v>
      </c>
      <c r="D400" t="str">
        <f t="shared" si="13"/>
        <v>NICOLE ZISKA</v>
      </c>
      <c r="E400" t="s">
        <v>68</v>
      </c>
      <c r="F400" t="s">
        <v>133</v>
      </c>
      <c r="G400" t="s">
        <v>134</v>
      </c>
      <c r="H400" t="s">
        <v>134</v>
      </c>
      <c r="I400" s="8">
        <v>18142208</v>
      </c>
      <c r="J400" t="s">
        <v>741</v>
      </c>
      <c r="K400" t="s">
        <v>742</v>
      </c>
      <c r="L400" t="str">
        <f t="shared" si="12"/>
        <v>Jill Shepard</v>
      </c>
      <c r="M400" t="s">
        <v>1133</v>
      </c>
      <c r="N400" t="s">
        <v>57</v>
      </c>
      <c r="O400" s="1">
        <v>46054</v>
      </c>
      <c r="P400" s="1">
        <v>46235</v>
      </c>
      <c r="Q400" s="2">
        <v>15.16</v>
      </c>
      <c r="R400" t="s">
        <v>58</v>
      </c>
      <c r="S400" s="4">
        <v>0.375</v>
      </c>
      <c r="T400">
        <v>0</v>
      </c>
      <c r="U400" t="s">
        <v>60</v>
      </c>
      <c r="V400" t="s">
        <v>248</v>
      </c>
      <c r="W400">
        <v>0</v>
      </c>
      <c r="X400" s="2">
        <v>0</v>
      </c>
      <c r="Y400" s="2">
        <v>5.68</v>
      </c>
      <c r="Z400" s="2">
        <v>0</v>
      </c>
      <c r="AA400" s="2">
        <v>0</v>
      </c>
      <c r="AB400" s="2">
        <v>0</v>
      </c>
    </row>
    <row r="401" spans="1:28" x14ac:dyDescent="0.25">
      <c r="A401">
        <v>2033437427</v>
      </c>
      <c r="B401" t="s">
        <v>825</v>
      </c>
      <c r="C401" t="s">
        <v>826</v>
      </c>
      <c r="D401" t="str">
        <f t="shared" si="13"/>
        <v>TZU WU</v>
      </c>
      <c r="E401" t="s">
        <v>94</v>
      </c>
      <c r="F401" t="s">
        <v>194</v>
      </c>
      <c r="G401" t="s">
        <v>195</v>
      </c>
      <c r="H401" t="s">
        <v>195</v>
      </c>
      <c r="I401" s="8" t="s">
        <v>1075</v>
      </c>
      <c r="J401" t="s">
        <v>129</v>
      </c>
      <c r="K401" t="s">
        <v>130</v>
      </c>
      <c r="L401" t="str">
        <f t="shared" si="12"/>
        <v>Joel Lee</v>
      </c>
      <c r="M401" t="s">
        <v>1134</v>
      </c>
      <c r="N401" t="s">
        <v>57</v>
      </c>
      <c r="O401" s="1">
        <v>46055</v>
      </c>
      <c r="P401" s="1">
        <v>46236</v>
      </c>
      <c r="Q401" s="2">
        <v>9.6999999999999993</v>
      </c>
      <c r="R401" t="s">
        <v>58</v>
      </c>
      <c r="S401" s="3">
        <v>0.7</v>
      </c>
      <c r="T401">
        <v>0</v>
      </c>
      <c r="U401" t="s">
        <v>60</v>
      </c>
      <c r="V401" t="s">
        <v>248</v>
      </c>
      <c r="W401">
        <v>0</v>
      </c>
      <c r="X401" s="2">
        <v>0</v>
      </c>
      <c r="Y401" s="2">
        <v>6.79</v>
      </c>
      <c r="Z401" s="2">
        <v>0</v>
      </c>
      <c r="AA401" s="2">
        <v>0</v>
      </c>
      <c r="AB401" s="2">
        <v>0</v>
      </c>
    </row>
    <row r="402" spans="1:28" x14ac:dyDescent="0.25">
      <c r="A402">
        <v>2033437426</v>
      </c>
      <c r="B402" t="s">
        <v>825</v>
      </c>
      <c r="C402" t="s">
        <v>826</v>
      </c>
      <c r="D402" t="str">
        <f t="shared" si="13"/>
        <v>TZU WU</v>
      </c>
      <c r="E402" t="s">
        <v>94</v>
      </c>
      <c r="F402" t="s">
        <v>133</v>
      </c>
      <c r="G402" t="s">
        <v>134</v>
      </c>
      <c r="H402" t="s">
        <v>134</v>
      </c>
      <c r="I402" s="8" t="s">
        <v>1075</v>
      </c>
      <c r="J402" t="s">
        <v>129</v>
      </c>
      <c r="K402" t="s">
        <v>130</v>
      </c>
      <c r="L402" t="str">
        <f t="shared" si="12"/>
        <v>Joel Lee</v>
      </c>
      <c r="M402" t="s">
        <v>1134</v>
      </c>
      <c r="N402" t="s">
        <v>57</v>
      </c>
      <c r="O402" s="1">
        <v>46055</v>
      </c>
      <c r="P402" s="1">
        <v>46236</v>
      </c>
      <c r="Q402" s="2">
        <v>55.79</v>
      </c>
      <c r="R402" t="s">
        <v>58</v>
      </c>
      <c r="S402" s="4">
        <v>0.375</v>
      </c>
      <c r="T402">
        <v>0</v>
      </c>
      <c r="U402" t="s">
        <v>60</v>
      </c>
      <c r="V402" t="s">
        <v>248</v>
      </c>
      <c r="W402">
        <v>0</v>
      </c>
      <c r="X402" s="2">
        <v>0</v>
      </c>
      <c r="Y402" s="2">
        <v>20.92</v>
      </c>
      <c r="Z402" s="2">
        <v>0</v>
      </c>
      <c r="AA402" s="2">
        <v>0</v>
      </c>
      <c r="AB402" s="2">
        <v>0</v>
      </c>
    </row>
    <row r="403" spans="1:28" x14ac:dyDescent="0.25">
      <c r="A403">
        <v>2035186773</v>
      </c>
      <c r="B403" t="s">
        <v>842</v>
      </c>
      <c r="C403" t="s">
        <v>291</v>
      </c>
      <c r="D403" t="str">
        <f t="shared" si="13"/>
        <v>AMANDA BOSLEY</v>
      </c>
      <c r="E403" t="s">
        <v>146</v>
      </c>
      <c r="F403" t="s">
        <v>194</v>
      </c>
      <c r="G403" t="s">
        <v>203</v>
      </c>
      <c r="H403" t="s">
        <v>881</v>
      </c>
      <c r="I403" s="8">
        <v>21128342</v>
      </c>
      <c r="J403" t="s">
        <v>843</v>
      </c>
      <c r="K403" t="s">
        <v>305</v>
      </c>
      <c r="L403" t="str">
        <f t="shared" si="12"/>
        <v>John Karns</v>
      </c>
      <c r="M403" t="s">
        <v>1133</v>
      </c>
      <c r="N403" t="s">
        <v>57</v>
      </c>
      <c r="O403" s="1">
        <v>46142</v>
      </c>
      <c r="P403" s="1">
        <v>46233</v>
      </c>
      <c r="Q403" s="2">
        <v>24.61</v>
      </c>
      <c r="R403" t="s">
        <v>58</v>
      </c>
      <c r="S403" s="3">
        <v>0.7</v>
      </c>
      <c r="T403">
        <v>0</v>
      </c>
      <c r="U403" t="s">
        <v>60</v>
      </c>
      <c r="V403" t="s">
        <v>248</v>
      </c>
      <c r="W403">
        <v>0</v>
      </c>
      <c r="X403" s="2">
        <v>0</v>
      </c>
      <c r="Y403" s="2">
        <v>17.23</v>
      </c>
      <c r="Z403" s="2">
        <v>0</v>
      </c>
      <c r="AA403" s="2">
        <v>0</v>
      </c>
      <c r="AB403" s="2">
        <v>0</v>
      </c>
    </row>
    <row r="404" spans="1:28" x14ac:dyDescent="0.25">
      <c r="A404">
        <v>2035194149</v>
      </c>
      <c r="B404" t="s">
        <v>671</v>
      </c>
      <c r="C404" t="s">
        <v>844</v>
      </c>
      <c r="D404" t="str">
        <f t="shared" si="13"/>
        <v>DAWN MORGAN</v>
      </c>
      <c r="E404" t="s">
        <v>146</v>
      </c>
      <c r="F404" t="s">
        <v>194</v>
      </c>
      <c r="G404" t="s">
        <v>203</v>
      </c>
      <c r="H404" t="s">
        <v>881</v>
      </c>
      <c r="I404" s="8">
        <v>21128342</v>
      </c>
      <c r="J404" t="s">
        <v>843</v>
      </c>
      <c r="K404" t="s">
        <v>305</v>
      </c>
      <c r="L404" t="str">
        <f t="shared" si="12"/>
        <v>John Karns</v>
      </c>
      <c r="M404" t="s">
        <v>1133</v>
      </c>
      <c r="N404" t="s">
        <v>57</v>
      </c>
      <c r="O404" s="1">
        <v>46142</v>
      </c>
      <c r="P404" s="1">
        <v>46233</v>
      </c>
      <c r="Q404" s="2">
        <v>24.61</v>
      </c>
      <c r="R404" t="s">
        <v>58</v>
      </c>
      <c r="S404" s="3">
        <v>0.7</v>
      </c>
      <c r="T404">
        <v>0</v>
      </c>
      <c r="U404" t="s">
        <v>60</v>
      </c>
      <c r="V404" t="s">
        <v>248</v>
      </c>
      <c r="W404">
        <v>0</v>
      </c>
      <c r="X404" s="2">
        <v>0</v>
      </c>
      <c r="Y404" s="2">
        <v>17.23</v>
      </c>
      <c r="Z404" s="2">
        <v>0</v>
      </c>
      <c r="AA404" s="2">
        <v>0</v>
      </c>
      <c r="AB404" s="2">
        <v>0</v>
      </c>
    </row>
    <row r="405" spans="1:28" x14ac:dyDescent="0.25">
      <c r="A405">
        <v>2033073933</v>
      </c>
      <c r="B405" t="s">
        <v>328</v>
      </c>
      <c r="C405" t="s">
        <v>625</v>
      </c>
      <c r="D405" t="str">
        <f t="shared" si="13"/>
        <v>STACEY SMITH</v>
      </c>
      <c r="E405" t="s">
        <v>626</v>
      </c>
      <c r="F405" t="s">
        <v>149</v>
      </c>
      <c r="G405" t="s">
        <v>602</v>
      </c>
      <c r="H405" t="s">
        <v>602</v>
      </c>
      <c r="I405" s="8">
        <v>21758900</v>
      </c>
      <c r="J405" t="s">
        <v>304</v>
      </c>
      <c r="K405" t="s">
        <v>305</v>
      </c>
      <c r="L405" t="str">
        <f t="shared" si="12"/>
        <v>John Rader</v>
      </c>
      <c r="M405" t="s">
        <v>1133</v>
      </c>
      <c r="N405" t="s">
        <v>57</v>
      </c>
      <c r="O405" s="1">
        <v>46054</v>
      </c>
      <c r="P405" s="1">
        <v>46235</v>
      </c>
      <c r="Q405" s="2">
        <v>15</v>
      </c>
      <c r="R405" t="s">
        <v>58</v>
      </c>
      <c r="S405" s="3">
        <v>0.38</v>
      </c>
      <c r="T405">
        <v>0</v>
      </c>
      <c r="U405" t="s">
        <v>60</v>
      </c>
      <c r="V405" t="s">
        <v>248</v>
      </c>
      <c r="W405">
        <v>0</v>
      </c>
      <c r="X405" s="2">
        <v>0</v>
      </c>
      <c r="Y405" s="2">
        <v>5.7</v>
      </c>
      <c r="Z405" s="2">
        <v>0</v>
      </c>
      <c r="AA405" s="2">
        <v>0</v>
      </c>
      <c r="AB405" s="2">
        <v>0</v>
      </c>
    </row>
    <row r="406" spans="1:28" x14ac:dyDescent="0.25">
      <c r="A406">
        <v>2032259481</v>
      </c>
      <c r="B406" t="s">
        <v>446</v>
      </c>
      <c r="C406" t="s">
        <v>984</v>
      </c>
      <c r="D406" t="str">
        <f t="shared" si="13"/>
        <v>GREGG MILLER</v>
      </c>
      <c r="E406" t="s">
        <v>52</v>
      </c>
      <c r="F406" t="s">
        <v>188</v>
      </c>
      <c r="G406" t="s">
        <v>189</v>
      </c>
      <c r="H406" t="s">
        <v>189</v>
      </c>
      <c r="I406" s="8">
        <v>21758900</v>
      </c>
      <c r="J406" t="s">
        <v>304</v>
      </c>
      <c r="K406" t="s">
        <v>305</v>
      </c>
      <c r="L406" t="str">
        <f t="shared" si="12"/>
        <v>John Rader</v>
      </c>
      <c r="M406" t="s">
        <v>1133</v>
      </c>
      <c r="N406" t="s">
        <v>57</v>
      </c>
      <c r="O406" s="1">
        <v>46023</v>
      </c>
      <c r="P406" s="1">
        <v>46235</v>
      </c>
      <c r="Q406" s="2">
        <v>116.64</v>
      </c>
      <c r="R406" t="s">
        <v>58</v>
      </c>
      <c r="S406" s="3">
        <v>0.38</v>
      </c>
      <c r="T406">
        <v>0</v>
      </c>
      <c r="U406" t="s">
        <v>60</v>
      </c>
      <c r="V406" t="s">
        <v>248</v>
      </c>
      <c r="W406">
        <v>0</v>
      </c>
      <c r="X406" s="2">
        <v>0</v>
      </c>
      <c r="Y406" s="2">
        <v>44.32</v>
      </c>
      <c r="Z406" s="2">
        <v>44.32</v>
      </c>
      <c r="AA406" s="2">
        <v>44.32</v>
      </c>
      <c r="AB406" s="2">
        <v>0</v>
      </c>
    </row>
    <row r="407" spans="1:28" x14ac:dyDescent="0.25">
      <c r="A407">
        <v>2033053092</v>
      </c>
      <c r="B407" t="s">
        <v>307</v>
      </c>
      <c r="C407" t="s">
        <v>308</v>
      </c>
      <c r="D407" t="str">
        <f t="shared" si="13"/>
        <v>TARA OWENS</v>
      </c>
      <c r="E407" t="s">
        <v>52</v>
      </c>
      <c r="F407" t="s">
        <v>188</v>
      </c>
      <c r="G407" t="s">
        <v>189</v>
      </c>
      <c r="H407" t="s">
        <v>189</v>
      </c>
      <c r="I407" s="8">
        <v>21758900</v>
      </c>
      <c r="J407" t="s">
        <v>304</v>
      </c>
      <c r="K407" t="s">
        <v>305</v>
      </c>
      <c r="L407" t="str">
        <f t="shared" si="12"/>
        <v>John Rader</v>
      </c>
      <c r="M407" t="s">
        <v>1133</v>
      </c>
      <c r="N407" t="s">
        <v>57</v>
      </c>
      <c r="O407" s="1">
        <v>46054</v>
      </c>
      <c r="P407" s="1">
        <v>46235</v>
      </c>
      <c r="Q407" s="2">
        <v>21.97</v>
      </c>
      <c r="R407" t="s">
        <v>58</v>
      </c>
      <c r="S407" s="3">
        <v>0.38</v>
      </c>
      <c r="T407">
        <v>0</v>
      </c>
      <c r="U407" t="s">
        <v>60</v>
      </c>
      <c r="V407" t="s">
        <v>248</v>
      </c>
      <c r="W407">
        <v>0</v>
      </c>
      <c r="X407" s="2">
        <v>0</v>
      </c>
      <c r="Y407" s="2">
        <v>8.35</v>
      </c>
      <c r="Z407" s="2">
        <v>0</v>
      </c>
      <c r="AA407" s="2">
        <v>0</v>
      </c>
      <c r="AB407" s="2">
        <v>0</v>
      </c>
    </row>
    <row r="408" spans="1:28" x14ac:dyDescent="0.25">
      <c r="A408">
        <v>2033372022</v>
      </c>
      <c r="B408" t="s">
        <v>992</v>
      </c>
      <c r="C408" t="s">
        <v>529</v>
      </c>
      <c r="D408" t="str">
        <f t="shared" si="13"/>
        <v>NICOLE NACE</v>
      </c>
      <c r="E408" t="s">
        <v>52</v>
      </c>
      <c r="F408" t="s">
        <v>188</v>
      </c>
      <c r="G408" t="s">
        <v>189</v>
      </c>
      <c r="H408" t="s">
        <v>189</v>
      </c>
      <c r="I408" s="8">
        <v>21758900</v>
      </c>
      <c r="J408" t="s">
        <v>304</v>
      </c>
      <c r="K408" t="s">
        <v>305</v>
      </c>
      <c r="L408" t="str">
        <f t="shared" si="12"/>
        <v>John Rader</v>
      </c>
      <c r="M408" t="s">
        <v>1133</v>
      </c>
      <c r="N408" t="s">
        <v>57</v>
      </c>
      <c r="O408" s="1">
        <v>46054</v>
      </c>
      <c r="P408" s="1">
        <v>46235</v>
      </c>
      <c r="Q408" s="2">
        <v>25.65</v>
      </c>
      <c r="R408" t="s">
        <v>58</v>
      </c>
      <c r="S408" s="3">
        <v>0.38</v>
      </c>
      <c r="T408">
        <v>0</v>
      </c>
      <c r="U408" t="s">
        <v>60</v>
      </c>
      <c r="V408" t="s">
        <v>248</v>
      </c>
      <c r="W408">
        <v>0</v>
      </c>
      <c r="X408" s="2">
        <v>0</v>
      </c>
      <c r="Y408" s="2">
        <v>9.75</v>
      </c>
      <c r="Z408" s="2">
        <v>0</v>
      </c>
      <c r="AA408" s="2">
        <v>0</v>
      </c>
      <c r="AB408" s="2">
        <v>0</v>
      </c>
    </row>
    <row r="409" spans="1:28" x14ac:dyDescent="0.25">
      <c r="A409">
        <v>2033073932</v>
      </c>
      <c r="B409" t="s">
        <v>328</v>
      </c>
      <c r="C409" t="s">
        <v>625</v>
      </c>
      <c r="D409" t="str">
        <f t="shared" si="13"/>
        <v>STACEY SMITH</v>
      </c>
      <c r="E409" t="s">
        <v>626</v>
      </c>
      <c r="F409" t="s">
        <v>188</v>
      </c>
      <c r="G409" t="s">
        <v>189</v>
      </c>
      <c r="H409" t="s">
        <v>189</v>
      </c>
      <c r="I409" s="8">
        <v>21758900</v>
      </c>
      <c r="J409" t="s">
        <v>304</v>
      </c>
      <c r="K409" t="s">
        <v>305</v>
      </c>
      <c r="L409" t="str">
        <f t="shared" si="12"/>
        <v>John Rader</v>
      </c>
      <c r="M409" t="s">
        <v>1133</v>
      </c>
      <c r="N409" t="s">
        <v>57</v>
      </c>
      <c r="O409" s="1">
        <v>46054</v>
      </c>
      <c r="P409" s="1">
        <v>46235</v>
      </c>
      <c r="Q409" s="2">
        <v>26.12</v>
      </c>
      <c r="R409" t="s">
        <v>58</v>
      </c>
      <c r="S409" s="3">
        <v>0.38</v>
      </c>
      <c r="T409">
        <v>0</v>
      </c>
      <c r="U409" t="s">
        <v>60</v>
      </c>
      <c r="V409" t="s">
        <v>248</v>
      </c>
      <c r="W409">
        <v>0</v>
      </c>
      <c r="X409" s="2">
        <v>0</v>
      </c>
      <c r="Y409" s="2">
        <v>9.93</v>
      </c>
      <c r="Z409" s="2">
        <v>0</v>
      </c>
      <c r="AA409" s="2">
        <v>0</v>
      </c>
      <c r="AB409" s="2">
        <v>0</v>
      </c>
    </row>
    <row r="410" spans="1:28" x14ac:dyDescent="0.25">
      <c r="A410">
        <v>2033229537</v>
      </c>
      <c r="B410" t="s">
        <v>320</v>
      </c>
      <c r="C410" t="s">
        <v>321</v>
      </c>
      <c r="D410" t="str">
        <f t="shared" si="13"/>
        <v>JUAN CRUZ</v>
      </c>
      <c r="E410" t="s">
        <v>52</v>
      </c>
      <c r="F410" t="s">
        <v>188</v>
      </c>
      <c r="G410" t="s">
        <v>189</v>
      </c>
      <c r="H410" t="s">
        <v>189</v>
      </c>
      <c r="I410" s="8">
        <v>21758900</v>
      </c>
      <c r="J410" t="s">
        <v>304</v>
      </c>
      <c r="K410" t="s">
        <v>305</v>
      </c>
      <c r="L410" t="str">
        <f t="shared" si="12"/>
        <v>John Rader</v>
      </c>
      <c r="M410" t="s">
        <v>1133</v>
      </c>
      <c r="N410" t="s">
        <v>57</v>
      </c>
      <c r="O410" s="1">
        <v>46054</v>
      </c>
      <c r="P410" s="1">
        <v>46235</v>
      </c>
      <c r="Q410" s="2">
        <v>47.17</v>
      </c>
      <c r="R410" t="s">
        <v>58</v>
      </c>
      <c r="S410" s="3">
        <v>0.38</v>
      </c>
      <c r="T410">
        <v>0</v>
      </c>
      <c r="U410" t="s">
        <v>60</v>
      </c>
      <c r="V410" t="s">
        <v>248</v>
      </c>
      <c r="W410">
        <v>0</v>
      </c>
      <c r="X410" s="2">
        <v>0</v>
      </c>
      <c r="Y410" s="2">
        <v>17.920000000000002</v>
      </c>
      <c r="Z410" s="2">
        <v>0</v>
      </c>
      <c r="AA410" s="2">
        <v>0</v>
      </c>
      <c r="AB410" s="2">
        <v>0</v>
      </c>
    </row>
    <row r="411" spans="1:28" x14ac:dyDescent="0.25">
      <c r="A411">
        <v>2032987489</v>
      </c>
      <c r="B411" t="s">
        <v>303</v>
      </c>
      <c r="C411" t="s">
        <v>202</v>
      </c>
      <c r="D411" t="str">
        <f t="shared" si="13"/>
        <v>LEWIS BENN</v>
      </c>
      <c r="E411" t="s">
        <v>52</v>
      </c>
      <c r="F411" t="s">
        <v>188</v>
      </c>
      <c r="G411" t="s">
        <v>189</v>
      </c>
      <c r="H411" t="s">
        <v>189</v>
      </c>
      <c r="I411" s="8">
        <v>21758900</v>
      </c>
      <c r="J411" t="s">
        <v>304</v>
      </c>
      <c r="K411" t="s">
        <v>305</v>
      </c>
      <c r="L411" t="str">
        <f t="shared" si="12"/>
        <v>John Rader</v>
      </c>
      <c r="M411" t="s">
        <v>1133</v>
      </c>
      <c r="N411" t="s">
        <v>57</v>
      </c>
      <c r="O411" s="1">
        <v>46054</v>
      </c>
      <c r="P411" s="1">
        <v>46235</v>
      </c>
      <c r="Q411" s="2">
        <v>61.39</v>
      </c>
      <c r="R411" t="s">
        <v>58</v>
      </c>
      <c r="S411" s="3">
        <v>0.38</v>
      </c>
      <c r="T411">
        <v>0</v>
      </c>
      <c r="U411" t="s">
        <v>60</v>
      </c>
      <c r="V411" t="s">
        <v>248</v>
      </c>
      <c r="W411">
        <v>0</v>
      </c>
      <c r="X411" s="2">
        <v>0</v>
      </c>
      <c r="Y411" s="2">
        <v>23.33</v>
      </c>
      <c r="Z411" s="2">
        <v>0</v>
      </c>
      <c r="AA411" s="2">
        <v>0</v>
      </c>
      <c r="AB411" s="2">
        <v>0</v>
      </c>
    </row>
    <row r="412" spans="1:28" x14ac:dyDescent="0.25">
      <c r="A412">
        <v>2033073931</v>
      </c>
      <c r="B412" t="s">
        <v>328</v>
      </c>
      <c r="C412" t="s">
        <v>625</v>
      </c>
      <c r="D412" t="str">
        <f t="shared" si="13"/>
        <v>STACEY SMITH</v>
      </c>
      <c r="E412" t="s">
        <v>626</v>
      </c>
      <c r="F412" t="s">
        <v>194</v>
      </c>
      <c r="G412" t="s">
        <v>195</v>
      </c>
      <c r="H412" t="s">
        <v>195</v>
      </c>
      <c r="I412" s="8">
        <v>21758900</v>
      </c>
      <c r="J412" t="s">
        <v>304</v>
      </c>
      <c r="K412" t="s">
        <v>305</v>
      </c>
      <c r="L412" t="str">
        <f t="shared" si="12"/>
        <v>John Rader</v>
      </c>
      <c r="M412" t="s">
        <v>1133</v>
      </c>
      <c r="N412" t="s">
        <v>57</v>
      </c>
      <c r="O412" s="1">
        <v>46054</v>
      </c>
      <c r="P412" s="1">
        <v>46235</v>
      </c>
      <c r="Q412" s="2">
        <v>56.56</v>
      </c>
      <c r="R412" t="s">
        <v>58</v>
      </c>
      <c r="S412" s="3">
        <v>0.7</v>
      </c>
      <c r="T412">
        <v>0</v>
      </c>
      <c r="U412" t="s">
        <v>60</v>
      </c>
      <c r="V412" t="s">
        <v>248</v>
      </c>
      <c r="W412">
        <v>0</v>
      </c>
      <c r="X412" s="2">
        <v>0</v>
      </c>
      <c r="Y412" s="2">
        <v>39.590000000000003</v>
      </c>
      <c r="Z412" s="2">
        <v>0</v>
      </c>
      <c r="AA412" s="2">
        <v>0</v>
      </c>
      <c r="AB412" s="2">
        <v>0</v>
      </c>
    </row>
    <row r="413" spans="1:28" x14ac:dyDescent="0.25">
      <c r="A413">
        <v>2032987490</v>
      </c>
      <c r="B413" t="s">
        <v>303</v>
      </c>
      <c r="C413" t="s">
        <v>202</v>
      </c>
      <c r="D413" t="str">
        <f t="shared" si="13"/>
        <v>LEWIS BENN</v>
      </c>
      <c r="E413" t="s">
        <v>52</v>
      </c>
      <c r="F413" t="s">
        <v>53</v>
      </c>
      <c r="G413" t="s">
        <v>54</v>
      </c>
      <c r="H413" t="s">
        <v>54</v>
      </c>
      <c r="I413" s="8">
        <v>21758900</v>
      </c>
      <c r="J413" t="s">
        <v>304</v>
      </c>
      <c r="K413" t="s">
        <v>305</v>
      </c>
      <c r="L413" t="str">
        <f t="shared" si="12"/>
        <v>John Rader</v>
      </c>
      <c r="M413" t="s">
        <v>1133</v>
      </c>
      <c r="N413" t="s">
        <v>57</v>
      </c>
      <c r="O413" s="1">
        <v>46054</v>
      </c>
      <c r="P413" s="1">
        <v>46235</v>
      </c>
      <c r="Q413" s="2">
        <v>56.69</v>
      </c>
      <c r="R413" t="s">
        <v>58</v>
      </c>
      <c r="S413" s="3">
        <v>0.6</v>
      </c>
      <c r="T413">
        <v>0</v>
      </c>
      <c r="U413" t="s">
        <v>60</v>
      </c>
      <c r="V413" t="s">
        <v>248</v>
      </c>
      <c r="W413">
        <v>0</v>
      </c>
      <c r="X413" s="2">
        <v>0</v>
      </c>
      <c r="Y413" s="2">
        <v>34.01</v>
      </c>
      <c r="Z413" s="2">
        <v>0</v>
      </c>
      <c r="AA413" s="2">
        <v>0</v>
      </c>
      <c r="AB413" s="2">
        <v>0</v>
      </c>
    </row>
    <row r="414" spans="1:28" x14ac:dyDescent="0.25">
      <c r="A414">
        <v>2033053091</v>
      </c>
      <c r="B414" t="s">
        <v>307</v>
      </c>
      <c r="C414" t="s">
        <v>308</v>
      </c>
      <c r="D414" t="str">
        <f t="shared" si="13"/>
        <v>TARA OWENS</v>
      </c>
      <c r="E414" t="s">
        <v>52</v>
      </c>
      <c r="F414" t="s">
        <v>53</v>
      </c>
      <c r="G414" t="s">
        <v>54</v>
      </c>
      <c r="H414" t="s">
        <v>54</v>
      </c>
      <c r="I414" s="8">
        <v>21758900</v>
      </c>
      <c r="J414" t="s">
        <v>304</v>
      </c>
      <c r="K414" t="s">
        <v>305</v>
      </c>
      <c r="L414" t="str">
        <f t="shared" si="12"/>
        <v>John Rader</v>
      </c>
      <c r="M414" t="s">
        <v>1133</v>
      </c>
      <c r="N414" t="s">
        <v>57</v>
      </c>
      <c r="O414" s="1">
        <v>46054</v>
      </c>
      <c r="P414" s="1">
        <v>46235</v>
      </c>
      <c r="Q414" s="2">
        <v>56.69</v>
      </c>
      <c r="R414" t="s">
        <v>58</v>
      </c>
      <c r="S414" s="3">
        <v>0.6</v>
      </c>
      <c r="T414">
        <v>0</v>
      </c>
      <c r="U414" t="s">
        <v>60</v>
      </c>
      <c r="V414" t="s">
        <v>248</v>
      </c>
      <c r="W414">
        <v>0</v>
      </c>
      <c r="X414" s="2">
        <v>0</v>
      </c>
      <c r="Y414" s="2">
        <v>34.01</v>
      </c>
      <c r="Z414" s="2">
        <v>0</v>
      </c>
      <c r="AA414" s="2">
        <v>0</v>
      </c>
      <c r="AB414" s="2">
        <v>0</v>
      </c>
    </row>
    <row r="415" spans="1:28" x14ac:dyDescent="0.25">
      <c r="A415">
        <v>2033229538</v>
      </c>
      <c r="B415" t="s">
        <v>320</v>
      </c>
      <c r="C415" t="s">
        <v>321</v>
      </c>
      <c r="D415" t="str">
        <f t="shared" si="13"/>
        <v>JUAN CRUZ</v>
      </c>
      <c r="E415" t="s">
        <v>52</v>
      </c>
      <c r="F415" t="s">
        <v>53</v>
      </c>
      <c r="G415" t="s">
        <v>54</v>
      </c>
      <c r="H415" t="s">
        <v>54</v>
      </c>
      <c r="I415" s="8">
        <v>21758900</v>
      </c>
      <c r="J415" t="s">
        <v>304</v>
      </c>
      <c r="K415" t="s">
        <v>305</v>
      </c>
      <c r="L415" t="str">
        <f t="shared" si="12"/>
        <v>John Rader</v>
      </c>
      <c r="M415" t="s">
        <v>1133</v>
      </c>
      <c r="N415" t="s">
        <v>57</v>
      </c>
      <c r="O415" s="1">
        <v>46054</v>
      </c>
      <c r="P415" s="1">
        <v>46235</v>
      </c>
      <c r="Q415" s="2">
        <v>56.69</v>
      </c>
      <c r="R415" t="s">
        <v>58</v>
      </c>
      <c r="S415" s="3">
        <v>0.6</v>
      </c>
      <c r="T415">
        <v>0</v>
      </c>
      <c r="U415" t="s">
        <v>60</v>
      </c>
      <c r="V415" t="s">
        <v>248</v>
      </c>
      <c r="W415">
        <v>0</v>
      </c>
      <c r="X415" s="2">
        <v>0</v>
      </c>
      <c r="Y415" s="2">
        <v>34.01</v>
      </c>
      <c r="Z415" s="2">
        <v>0</v>
      </c>
      <c r="AA415" s="2">
        <v>0</v>
      </c>
      <c r="AB415" s="2">
        <v>0</v>
      </c>
    </row>
    <row r="416" spans="1:28" x14ac:dyDescent="0.25">
      <c r="A416">
        <v>2032990889</v>
      </c>
      <c r="B416" t="s">
        <v>306</v>
      </c>
      <c r="C416" t="s">
        <v>103</v>
      </c>
      <c r="D416" t="str">
        <f t="shared" si="13"/>
        <v>RYAN TESTERMAN</v>
      </c>
      <c r="E416" t="s">
        <v>52</v>
      </c>
      <c r="F416" t="s">
        <v>53</v>
      </c>
      <c r="G416" t="s">
        <v>54</v>
      </c>
      <c r="H416" t="s">
        <v>54</v>
      </c>
      <c r="I416" s="8">
        <v>21758900</v>
      </c>
      <c r="J416" t="s">
        <v>304</v>
      </c>
      <c r="K416" t="s">
        <v>305</v>
      </c>
      <c r="L416" t="str">
        <f t="shared" si="12"/>
        <v>John Rader</v>
      </c>
      <c r="M416" t="s">
        <v>1133</v>
      </c>
      <c r="N416" t="s">
        <v>57</v>
      </c>
      <c r="O416" s="1">
        <v>46054</v>
      </c>
      <c r="P416" s="1">
        <v>46235</v>
      </c>
      <c r="Q416" s="2">
        <v>108.52</v>
      </c>
      <c r="R416" t="s">
        <v>58</v>
      </c>
      <c r="S416" s="3">
        <v>0.6</v>
      </c>
      <c r="T416">
        <v>0</v>
      </c>
      <c r="U416" t="s">
        <v>60</v>
      </c>
      <c r="V416" t="s">
        <v>248</v>
      </c>
      <c r="W416">
        <v>0</v>
      </c>
      <c r="X416" s="2">
        <v>0</v>
      </c>
      <c r="Y416" s="2">
        <v>65.11</v>
      </c>
      <c r="Z416" s="2">
        <v>0</v>
      </c>
      <c r="AA416" s="2">
        <v>0</v>
      </c>
      <c r="AB416" s="2">
        <v>0</v>
      </c>
    </row>
    <row r="417" spans="1:28" x14ac:dyDescent="0.25">
      <c r="A417">
        <v>2027765153</v>
      </c>
      <c r="B417" t="s">
        <v>982</v>
      </c>
      <c r="C417" t="s">
        <v>983</v>
      </c>
      <c r="D417" t="str">
        <f t="shared" si="13"/>
        <v>FELICHA WAKELEY</v>
      </c>
      <c r="E417" t="s">
        <v>52</v>
      </c>
      <c r="F417" t="s">
        <v>194</v>
      </c>
      <c r="G417" t="s">
        <v>881</v>
      </c>
      <c r="H417" t="s">
        <v>881</v>
      </c>
      <c r="I417" s="8" t="s">
        <v>1087</v>
      </c>
      <c r="J417" t="s">
        <v>272</v>
      </c>
      <c r="K417" t="s">
        <v>209</v>
      </c>
      <c r="L417" t="str">
        <f t="shared" si="12"/>
        <v>JOHN ROKEN</v>
      </c>
      <c r="M417" t="s">
        <v>1133</v>
      </c>
      <c r="N417" t="s">
        <v>57</v>
      </c>
      <c r="O417" s="1">
        <v>45748</v>
      </c>
      <c r="P417" s="1">
        <v>46235</v>
      </c>
      <c r="Q417" s="2">
        <v>25.73</v>
      </c>
      <c r="R417" t="s">
        <v>58</v>
      </c>
      <c r="S417" s="3">
        <v>0.15</v>
      </c>
      <c r="T417">
        <v>0</v>
      </c>
      <c r="U417" t="s">
        <v>247</v>
      </c>
      <c r="V417" t="s">
        <v>248</v>
      </c>
      <c r="W417">
        <v>0</v>
      </c>
      <c r="X417" s="2">
        <v>0</v>
      </c>
      <c r="Y417" s="2">
        <v>3.86</v>
      </c>
      <c r="Z417" s="2">
        <v>3.86</v>
      </c>
      <c r="AA417" s="2">
        <v>3.86</v>
      </c>
      <c r="AB417" s="2">
        <v>0</v>
      </c>
    </row>
    <row r="418" spans="1:28" x14ac:dyDescent="0.25">
      <c r="A418">
        <v>2033410888</v>
      </c>
      <c r="B418" t="s">
        <v>820</v>
      </c>
      <c r="C418" t="s">
        <v>821</v>
      </c>
      <c r="D418" t="str">
        <f t="shared" si="13"/>
        <v>ARIANNA BARTOLACCI</v>
      </c>
      <c r="E418" t="s">
        <v>52</v>
      </c>
      <c r="F418" t="s">
        <v>194</v>
      </c>
      <c r="G418" t="s">
        <v>203</v>
      </c>
      <c r="H418" t="s">
        <v>881</v>
      </c>
      <c r="I418" s="8" t="s">
        <v>1087</v>
      </c>
      <c r="J418" t="s">
        <v>272</v>
      </c>
      <c r="K418" t="s">
        <v>209</v>
      </c>
      <c r="L418" t="str">
        <f t="shared" si="12"/>
        <v>JOHN ROKEN</v>
      </c>
      <c r="M418" t="s">
        <v>1133</v>
      </c>
      <c r="N418" t="s">
        <v>57</v>
      </c>
      <c r="O418" s="1">
        <v>46054</v>
      </c>
      <c r="P418" s="1">
        <v>46235</v>
      </c>
      <c r="Q418" s="2">
        <v>25.73</v>
      </c>
      <c r="R418" t="s">
        <v>58</v>
      </c>
      <c r="S418" s="3">
        <v>0.7</v>
      </c>
      <c r="T418">
        <v>0</v>
      </c>
      <c r="U418" t="s">
        <v>60</v>
      </c>
      <c r="V418" t="s">
        <v>248</v>
      </c>
      <c r="W418">
        <v>0</v>
      </c>
      <c r="X418" s="2">
        <v>0</v>
      </c>
      <c r="Y418" s="2">
        <v>18.010000000000002</v>
      </c>
      <c r="Z418" s="2">
        <v>0</v>
      </c>
      <c r="AA418" s="2">
        <v>0</v>
      </c>
      <c r="AB418" s="2">
        <v>0</v>
      </c>
    </row>
    <row r="419" spans="1:28" x14ac:dyDescent="0.25">
      <c r="A419">
        <v>2023668687</v>
      </c>
      <c r="B419" t="s">
        <v>270</v>
      </c>
      <c r="C419" t="s">
        <v>271</v>
      </c>
      <c r="D419" t="str">
        <f t="shared" si="13"/>
        <v>PENNY MURPHREE</v>
      </c>
      <c r="E419" t="s">
        <v>167</v>
      </c>
      <c r="F419" t="s">
        <v>188</v>
      </c>
      <c r="G419" t="s">
        <v>189</v>
      </c>
      <c r="H419" t="s">
        <v>189</v>
      </c>
      <c r="I419" s="8" t="s">
        <v>1087</v>
      </c>
      <c r="J419" t="s">
        <v>272</v>
      </c>
      <c r="K419" t="s">
        <v>209</v>
      </c>
      <c r="L419" t="str">
        <f t="shared" si="12"/>
        <v>JOHN ROKEN</v>
      </c>
      <c r="M419" t="s">
        <v>1133</v>
      </c>
      <c r="N419" t="s">
        <v>57</v>
      </c>
      <c r="O419" s="1">
        <v>45474</v>
      </c>
      <c r="P419" s="1">
        <v>46235</v>
      </c>
      <c r="Q419" s="2">
        <v>22.98</v>
      </c>
      <c r="R419" t="s">
        <v>58</v>
      </c>
      <c r="S419" s="3">
        <v>0.1</v>
      </c>
      <c r="T419">
        <v>0</v>
      </c>
      <c r="U419" t="s">
        <v>247</v>
      </c>
      <c r="V419" t="s">
        <v>248</v>
      </c>
      <c r="W419">
        <v>0</v>
      </c>
      <c r="X419" s="2">
        <v>0</v>
      </c>
      <c r="Y419" s="2">
        <v>2.2999999999999998</v>
      </c>
      <c r="Z419" s="2">
        <v>2.2999999999999998</v>
      </c>
      <c r="AA419" s="2">
        <v>2.2999999999999998</v>
      </c>
      <c r="AB419" s="2">
        <v>0</v>
      </c>
    </row>
    <row r="420" spans="1:28" x14ac:dyDescent="0.25">
      <c r="A420">
        <v>2023719130</v>
      </c>
      <c r="B420" t="s">
        <v>231</v>
      </c>
      <c r="C420" t="s">
        <v>273</v>
      </c>
      <c r="D420" t="str">
        <f t="shared" si="13"/>
        <v>BENNY JOHNSON</v>
      </c>
      <c r="E420" t="s">
        <v>124</v>
      </c>
      <c r="F420" t="s">
        <v>188</v>
      </c>
      <c r="G420" t="s">
        <v>189</v>
      </c>
      <c r="H420" t="s">
        <v>189</v>
      </c>
      <c r="I420" s="8" t="s">
        <v>1087</v>
      </c>
      <c r="J420" t="s">
        <v>272</v>
      </c>
      <c r="K420" t="s">
        <v>209</v>
      </c>
      <c r="L420" t="str">
        <f t="shared" si="12"/>
        <v>JOHN ROKEN</v>
      </c>
      <c r="M420" t="s">
        <v>1133</v>
      </c>
      <c r="N420" t="s">
        <v>57</v>
      </c>
      <c r="O420" s="1">
        <v>45474</v>
      </c>
      <c r="P420" s="1">
        <v>46235</v>
      </c>
      <c r="Q420" s="2">
        <v>47.51</v>
      </c>
      <c r="R420" t="s">
        <v>58</v>
      </c>
      <c r="S420" s="3">
        <v>0.1</v>
      </c>
      <c r="T420">
        <v>0</v>
      </c>
      <c r="U420" t="s">
        <v>247</v>
      </c>
      <c r="V420" t="s">
        <v>248</v>
      </c>
      <c r="W420">
        <v>0</v>
      </c>
      <c r="X420" s="2">
        <v>0</v>
      </c>
      <c r="Y420" s="2">
        <v>4.75</v>
      </c>
      <c r="Z420" s="2">
        <v>4.75</v>
      </c>
      <c r="AA420" s="2">
        <v>4.75</v>
      </c>
      <c r="AB420" s="2">
        <v>0</v>
      </c>
    </row>
    <row r="421" spans="1:28" x14ac:dyDescent="0.25">
      <c r="A421">
        <v>2026610947</v>
      </c>
      <c r="B421" t="s">
        <v>288</v>
      </c>
      <c r="C421" t="s">
        <v>289</v>
      </c>
      <c r="D421" t="str">
        <f t="shared" si="13"/>
        <v>ALBERT WOODS</v>
      </c>
      <c r="E421" t="s">
        <v>52</v>
      </c>
      <c r="F421" t="s">
        <v>188</v>
      </c>
      <c r="G421" t="s">
        <v>189</v>
      </c>
      <c r="H421" t="s">
        <v>189</v>
      </c>
      <c r="I421" s="8" t="s">
        <v>1087</v>
      </c>
      <c r="J421" t="s">
        <v>272</v>
      </c>
      <c r="K421" t="s">
        <v>209</v>
      </c>
      <c r="L421" t="str">
        <f t="shared" si="12"/>
        <v>JOHN ROKEN</v>
      </c>
      <c r="M421" t="s">
        <v>1133</v>
      </c>
      <c r="N421" t="s">
        <v>57</v>
      </c>
      <c r="O421" s="1">
        <v>45689</v>
      </c>
      <c r="P421" s="1">
        <v>46235</v>
      </c>
      <c r="Q421" s="2">
        <v>46.13</v>
      </c>
      <c r="R421" t="s">
        <v>58</v>
      </c>
      <c r="S421" s="3">
        <v>0.1</v>
      </c>
      <c r="T421">
        <v>0</v>
      </c>
      <c r="U421" t="s">
        <v>247</v>
      </c>
      <c r="V421" t="s">
        <v>248</v>
      </c>
      <c r="W421">
        <v>0</v>
      </c>
      <c r="X421" s="2">
        <v>0</v>
      </c>
      <c r="Y421" s="2">
        <v>4.6100000000000003</v>
      </c>
      <c r="Z421" s="2">
        <v>4.6100000000000003</v>
      </c>
      <c r="AA421" s="2">
        <v>4.6100000000000003</v>
      </c>
      <c r="AB421" s="2">
        <v>0</v>
      </c>
    </row>
    <row r="422" spans="1:28" x14ac:dyDescent="0.25">
      <c r="A422">
        <v>2027665173</v>
      </c>
      <c r="B422" t="s">
        <v>297</v>
      </c>
      <c r="C422" t="s">
        <v>298</v>
      </c>
      <c r="D422" t="str">
        <f t="shared" si="13"/>
        <v>SHAWN WILSON</v>
      </c>
      <c r="E422" t="s">
        <v>100</v>
      </c>
      <c r="F422" t="s">
        <v>188</v>
      </c>
      <c r="G422" t="s">
        <v>189</v>
      </c>
      <c r="H422" t="s">
        <v>189</v>
      </c>
      <c r="I422" s="8" t="s">
        <v>1087</v>
      </c>
      <c r="J422" t="s">
        <v>272</v>
      </c>
      <c r="K422" t="s">
        <v>209</v>
      </c>
      <c r="L422" t="str">
        <f t="shared" si="12"/>
        <v>JOHN ROKEN</v>
      </c>
      <c r="M422" t="s">
        <v>1133</v>
      </c>
      <c r="N422" t="s">
        <v>57</v>
      </c>
      <c r="O422" s="1">
        <v>45748</v>
      </c>
      <c r="P422" s="1">
        <v>46235</v>
      </c>
      <c r="Q422" s="2">
        <v>13.24</v>
      </c>
      <c r="R422" t="s">
        <v>58</v>
      </c>
      <c r="S422" s="3">
        <v>0.1</v>
      </c>
      <c r="T422">
        <v>0</v>
      </c>
      <c r="U422" t="s">
        <v>247</v>
      </c>
      <c r="V422" t="s">
        <v>248</v>
      </c>
      <c r="W422">
        <v>0</v>
      </c>
      <c r="X422" s="2">
        <v>0</v>
      </c>
      <c r="Y422" s="2">
        <v>1.32</v>
      </c>
      <c r="Z422" s="2">
        <v>1.32</v>
      </c>
      <c r="AA422" s="2">
        <v>1.32</v>
      </c>
      <c r="AB422" s="2">
        <v>0</v>
      </c>
    </row>
    <row r="423" spans="1:28" x14ac:dyDescent="0.25">
      <c r="A423">
        <v>2027762074</v>
      </c>
      <c r="B423" t="s">
        <v>299</v>
      </c>
      <c r="C423" t="s">
        <v>300</v>
      </c>
      <c r="D423" t="str">
        <f t="shared" si="13"/>
        <v>DEANNE HERMAN</v>
      </c>
      <c r="E423" t="s">
        <v>52</v>
      </c>
      <c r="F423" t="s">
        <v>188</v>
      </c>
      <c r="G423" t="s">
        <v>189</v>
      </c>
      <c r="H423" t="s">
        <v>189</v>
      </c>
      <c r="I423" s="8" t="s">
        <v>1087</v>
      </c>
      <c r="J423" t="s">
        <v>272</v>
      </c>
      <c r="K423" t="s">
        <v>209</v>
      </c>
      <c r="L423" t="str">
        <f t="shared" si="12"/>
        <v>JOHN ROKEN</v>
      </c>
      <c r="M423" t="s">
        <v>1133</v>
      </c>
      <c r="N423" t="s">
        <v>57</v>
      </c>
      <c r="O423" s="1">
        <v>45748</v>
      </c>
      <c r="P423" s="1">
        <v>46235</v>
      </c>
      <c r="Q423" s="2">
        <v>63.67</v>
      </c>
      <c r="R423" t="s">
        <v>58</v>
      </c>
      <c r="S423" s="3">
        <v>0.1</v>
      </c>
      <c r="T423">
        <v>0</v>
      </c>
      <c r="U423" t="s">
        <v>247</v>
      </c>
      <c r="V423" t="s">
        <v>248</v>
      </c>
      <c r="W423">
        <v>0</v>
      </c>
      <c r="X423" s="2">
        <v>0</v>
      </c>
      <c r="Y423" s="2">
        <v>6.37</v>
      </c>
      <c r="Z423" s="2">
        <v>6.37</v>
      </c>
      <c r="AA423" s="2">
        <v>6.37</v>
      </c>
      <c r="AB423" s="2">
        <v>0</v>
      </c>
    </row>
    <row r="424" spans="1:28" x14ac:dyDescent="0.25">
      <c r="A424">
        <v>2027765154</v>
      </c>
      <c r="B424" t="s">
        <v>982</v>
      </c>
      <c r="C424" t="s">
        <v>983</v>
      </c>
      <c r="D424" t="str">
        <f t="shared" si="13"/>
        <v>FELICHA WAKELEY</v>
      </c>
      <c r="E424" t="s">
        <v>52</v>
      </c>
      <c r="F424" t="s">
        <v>188</v>
      </c>
      <c r="G424" t="s">
        <v>189</v>
      </c>
      <c r="H424" t="s">
        <v>189</v>
      </c>
      <c r="I424" s="8" t="s">
        <v>1087</v>
      </c>
      <c r="J424" t="s">
        <v>272</v>
      </c>
      <c r="K424" t="s">
        <v>209</v>
      </c>
      <c r="L424" t="str">
        <f t="shared" si="12"/>
        <v>JOHN ROKEN</v>
      </c>
      <c r="M424" t="s">
        <v>1133</v>
      </c>
      <c r="N424" t="s">
        <v>57</v>
      </c>
      <c r="O424" s="1">
        <v>45748</v>
      </c>
      <c r="P424" s="1">
        <v>46235</v>
      </c>
      <c r="Q424" s="2">
        <v>30.27</v>
      </c>
      <c r="R424" t="s">
        <v>58</v>
      </c>
      <c r="S424" s="3">
        <v>0.1</v>
      </c>
      <c r="T424">
        <v>0</v>
      </c>
      <c r="U424" t="s">
        <v>247</v>
      </c>
      <c r="V424" t="s">
        <v>248</v>
      </c>
      <c r="W424">
        <v>0</v>
      </c>
      <c r="X424" s="2">
        <v>0</v>
      </c>
      <c r="Y424" s="2">
        <v>3.03</v>
      </c>
      <c r="Z424" s="2">
        <v>3.03</v>
      </c>
      <c r="AA424" s="2">
        <v>3.03</v>
      </c>
      <c r="AB424" s="2">
        <v>0</v>
      </c>
    </row>
    <row r="425" spans="1:28" x14ac:dyDescent="0.25">
      <c r="A425">
        <v>2033410887</v>
      </c>
      <c r="B425" t="s">
        <v>820</v>
      </c>
      <c r="C425" t="s">
        <v>821</v>
      </c>
      <c r="D425" t="str">
        <f t="shared" si="13"/>
        <v>ARIANNA BARTOLACCI</v>
      </c>
      <c r="E425" t="s">
        <v>52</v>
      </c>
      <c r="F425" t="s">
        <v>188</v>
      </c>
      <c r="G425" t="s">
        <v>189</v>
      </c>
      <c r="H425" t="s">
        <v>189</v>
      </c>
      <c r="I425" s="8" t="s">
        <v>1087</v>
      </c>
      <c r="J425" t="s">
        <v>272</v>
      </c>
      <c r="K425" t="s">
        <v>209</v>
      </c>
      <c r="L425" t="str">
        <f t="shared" si="12"/>
        <v>JOHN ROKEN</v>
      </c>
      <c r="M425" t="s">
        <v>1133</v>
      </c>
      <c r="N425" t="s">
        <v>57</v>
      </c>
      <c r="O425" s="1">
        <v>46054</v>
      </c>
      <c r="P425" s="1">
        <v>46235</v>
      </c>
      <c r="Q425" s="2">
        <v>19.309999999999999</v>
      </c>
      <c r="R425" t="s">
        <v>58</v>
      </c>
      <c r="S425" s="3">
        <v>0.38</v>
      </c>
      <c r="T425">
        <v>0</v>
      </c>
      <c r="U425" t="s">
        <v>60</v>
      </c>
      <c r="V425" t="s">
        <v>248</v>
      </c>
      <c r="W425">
        <v>0</v>
      </c>
      <c r="X425" s="2">
        <v>0</v>
      </c>
      <c r="Y425" s="2">
        <v>7.34</v>
      </c>
      <c r="Z425" s="2">
        <v>0</v>
      </c>
      <c r="AA425" s="2">
        <v>0</v>
      </c>
      <c r="AB425" s="2">
        <v>0</v>
      </c>
    </row>
    <row r="426" spans="1:28" x14ac:dyDescent="0.25">
      <c r="A426">
        <v>2031209004</v>
      </c>
      <c r="B426" t="s">
        <v>878</v>
      </c>
      <c r="C426" t="s">
        <v>879</v>
      </c>
      <c r="D426" t="str">
        <f t="shared" si="13"/>
        <v>DARRELL GUNTER</v>
      </c>
      <c r="E426" t="s">
        <v>52</v>
      </c>
      <c r="F426" t="s">
        <v>240</v>
      </c>
      <c r="G426" t="s">
        <v>877</v>
      </c>
      <c r="H426" t="s">
        <v>877</v>
      </c>
      <c r="I426" s="8" t="s">
        <v>1087</v>
      </c>
      <c r="J426" t="s">
        <v>272</v>
      </c>
      <c r="K426" t="s">
        <v>209</v>
      </c>
      <c r="L426" t="str">
        <f t="shared" si="12"/>
        <v>JOHN ROKEN</v>
      </c>
      <c r="M426" t="s">
        <v>1133</v>
      </c>
      <c r="N426" t="s">
        <v>57</v>
      </c>
      <c r="O426" s="1">
        <v>45923</v>
      </c>
      <c r="P426" s="1">
        <v>46226</v>
      </c>
      <c r="Q426" s="2">
        <v>55.2</v>
      </c>
      <c r="R426" t="s">
        <v>58</v>
      </c>
      <c r="S426" s="3">
        <v>0.51</v>
      </c>
      <c r="T426">
        <v>0</v>
      </c>
      <c r="U426" t="s">
        <v>60</v>
      </c>
      <c r="V426" t="s">
        <v>248</v>
      </c>
      <c r="W426">
        <v>0</v>
      </c>
      <c r="X426" s="2">
        <v>0</v>
      </c>
      <c r="Y426" s="2">
        <v>28.15</v>
      </c>
      <c r="Z426" s="2">
        <v>28.15</v>
      </c>
      <c r="AA426" s="2">
        <v>28.15</v>
      </c>
      <c r="AB426" s="2">
        <v>0</v>
      </c>
    </row>
    <row r="427" spans="1:28" x14ac:dyDescent="0.25">
      <c r="A427">
        <v>2033049391</v>
      </c>
      <c r="B427" t="s">
        <v>961</v>
      </c>
      <c r="C427" t="s">
        <v>962</v>
      </c>
      <c r="D427" t="str">
        <f t="shared" si="13"/>
        <v>SAMANTHA SHERWOOD</v>
      </c>
      <c r="E427" t="s">
        <v>97</v>
      </c>
      <c r="F427" t="s">
        <v>194</v>
      </c>
      <c r="G427" t="s">
        <v>195</v>
      </c>
      <c r="H427" t="s">
        <v>195</v>
      </c>
      <c r="I427" s="8" t="s">
        <v>1087</v>
      </c>
      <c r="J427" t="s">
        <v>272</v>
      </c>
      <c r="K427" t="s">
        <v>209</v>
      </c>
      <c r="L427" t="str">
        <f t="shared" si="12"/>
        <v>JOHN ROKEN</v>
      </c>
      <c r="M427" t="s">
        <v>1133</v>
      </c>
      <c r="N427" t="s">
        <v>57</v>
      </c>
      <c r="O427" s="1">
        <v>46054</v>
      </c>
      <c r="P427" s="1">
        <v>46235</v>
      </c>
      <c r="Q427" s="2">
        <v>68.62</v>
      </c>
      <c r="R427" t="s">
        <v>58</v>
      </c>
      <c r="S427" s="3">
        <v>0.7</v>
      </c>
      <c r="T427">
        <v>0</v>
      </c>
      <c r="U427" t="s">
        <v>60</v>
      </c>
      <c r="V427" t="s">
        <v>248</v>
      </c>
      <c r="W427">
        <v>0</v>
      </c>
      <c r="X427" s="2">
        <v>0</v>
      </c>
      <c r="Y427" s="2">
        <v>48.03</v>
      </c>
      <c r="Z427" s="2">
        <v>0</v>
      </c>
      <c r="AA427" s="2">
        <v>0</v>
      </c>
      <c r="AB427" s="2">
        <v>0</v>
      </c>
    </row>
    <row r="428" spans="1:28" x14ac:dyDescent="0.25">
      <c r="A428">
        <v>2033627527</v>
      </c>
      <c r="B428" t="s">
        <v>829</v>
      </c>
      <c r="C428" t="s">
        <v>355</v>
      </c>
      <c r="D428" t="str">
        <f t="shared" si="13"/>
        <v>JAMES DORMAN</v>
      </c>
      <c r="E428" t="s">
        <v>185</v>
      </c>
      <c r="F428" t="s">
        <v>194</v>
      </c>
      <c r="G428" t="s">
        <v>195</v>
      </c>
      <c r="H428" t="s">
        <v>195</v>
      </c>
      <c r="I428" s="8" t="s">
        <v>1087</v>
      </c>
      <c r="J428" t="s">
        <v>272</v>
      </c>
      <c r="K428" t="s">
        <v>209</v>
      </c>
      <c r="L428" t="str">
        <f t="shared" si="12"/>
        <v>JOHN ROKEN</v>
      </c>
      <c r="M428" t="s">
        <v>1133</v>
      </c>
      <c r="N428" t="s">
        <v>57</v>
      </c>
      <c r="O428" s="1">
        <v>46082</v>
      </c>
      <c r="P428" s="1">
        <v>46235</v>
      </c>
      <c r="Q428" s="2">
        <v>92.08</v>
      </c>
      <c r="R428" t="s">
        <v>58</v>
      </c>
      <c r="S428" s="3">
        <v>0.7</v>
      </c>
      <c r="T428">
        <v>0</v>
      </c>
      <c r="U428" t="s">
        <v>60</v>
      </c>
      <c r="V428" t="s">
        <v>248</v>
      </c>
      <c r="W428">
        <v>0</v>
      </c>
      <c r="X428" s="2">
        <v>0</v>
      </c>
      <c r="Y428" s="2">
        <v>64.459999999999994</v>
      </c>
      <c r="Z428" s="2">
        <v>0</v>
      </c>
      <c r="AA428" s="2">
        <v>0</v>
      </c>
      <c r="AB428" s="2">
        <v>0</v>
      </c>
    </row>
    <row r="429" spans="1:28" x14ac:dyDescent="0.25">
      <c r="A429">
        <v>2026610949</v>
      </c>
      <c r="B429" t="s">
        <v>288</v>
      </c>
      <c r="C429" t="s">
        <v>289</v>
      </c>
      <c r="D429" t="str">
        <f t="shared" si="13"/>
        <v>ALBERT WOODS</v>
      </c>
      <c r="E429" t="s">
        <v>52</v>
      </c>
      <c r="F429" t="s">
        <v>133</v>
      </c>
      <c r="G429" t="s">
        <v>134</v>
      </c>
      <c r="H429" t="s">
        <v>134</v>
      </c>
      <c r="I429" s="8" t="s">
        <v>1087</v>
      </c>
      <c r="J429" t="s">
        <v>272</v>
      </c>
      <c r="K429" t="s">
        <v>209</v>
      </c>
      <c r="L429" t="str">
        <f t="shared" si="12"/>
        <v>JOHN ROKEN</v>
      </c>
      <c r="M429" t="s">
        <v>1133</v>
      </c>
      <c r="N429" t="s">
        <v>57</v>
      </c>
      <c r="O429" s="1">
        <v>45689</v>
      </c>
      <c r="P429" s="1">
        <v>46235</v>
      </c>
      <c r="Q429" s="2">
        <v>44.98</v>
      </c>
      <c r="R429" t="s">
        <v>58</v>
      </c>
      <c r="S429" s="3">
        <v>0.06</v>
      </c>
      <c r="T429">
        <v>0</v>
      </c>
      <c r="U429" t="s">
        <v>247</v>
      </c>
      <c r="V429" t="s">
        <v>248</v>
      </c>
      <c r="W429">
        <v>0</v>
      </c>
      <c r="X429" s="2">
        <v>0</v>
      </c>
      <c r="Y429" s="2">
        <v>2.7</v>
      </c>
      <c r="Z429" s="2">
        <v>2.7</v>
      </c>
      <c r="AA429" s="2">
        <v>2.7</v>
      </c>
      <c r="AB429" s="2">
        <v>0</v>
      </c>
    </row>
    <row r="430" spans="1:28" x14ac:dyDescent="0.25">
      <c r="A430">
        <v>2033049390</v>
      </c>
      <c r="B430" t="s">
        <v>961</v>
      </c>
      <c r="C430" t="s">
        <v>962</v>
      </c>
      <c r="D430" t="str">
        <f t="shared" si="13"/>
        <v>SAMANTHA SHERWOOD</v>
      </c>
      <c r="E430" t="s">
        <v>97</v>
      </c>
      <c r="F430" t="s">
        <v>133</v>
      </c>
      <c r="G430" t="s">
        <v>134</v>
      </c>
      <c r="H430" t="s">
        <v>134</v>
      </c>
      <c r="I430" s="8" t="s">
        <v>1087</v>
      </c>
      <c r="J430" t="s">
        <v>272</v>
      </c>
      <c r="K430" t="s">
        <v>209</v>
      </c>
      <c r="L430" t="str">
        <f t="shared" si="12"/>
        <v>JOHN ROKEN</v>
      </c>
      <c r="M430" t="s">
        <v>1133</v>
      </c>
      <c r="N430" t="s">
        <v>57</v>
      </c>
      <c r="O430" s="1">
        <v>46054</v>
      </c>
      <c r="P430" s="1">
        <v>46235</v>
      </c>
      <c r="Q430" s="2">
        <v>14.84</v>
      </c>
      <c r="R430" t="s">
        <v>58</v>
      </c>
      <c r="S430" s="4">
        <v>0.375</v>
      </c>
      <c r="T430">
        <v>0</v>
      </c>
      <c r="U430" t="s">
        <v>60</v>
      </c>
      <c r="V430" t="s">
        <v>248</v>
      </c>
      <c r="W430">
        <v>0</v>
      </c>
      <c r="X430" s="2">
        <v>0</v>
      </c>
      <c r="Y430" s="2">
        <v>5.56</v>
      </c>
      <c r="Z430" s="2">
        <v>0</v>
      </c>
      <c r="AA430" s="2">
        <v>0</v>
      </c>
      <c r="AB430" s="2">
        <v>0</v>
      </c>
    </row>
    <row r="431" spans="1:28" x14ac:dyDescent="0.25">
      <c r="A431">
        <v>2033410886</v>
      </c>
      <c r="B431" t="s">
        <v>820</v>
      </c>
      <c r="C431" t="s">
        <v>821</v>
      </c>
      <c r="D431" t="str">
        <f t="shared" si="13"/>
        <v>ARIANNA BARTOLACCI</v>
      </c>
      <c r="E431" t="s">
        <v>52</v>
      </c>
      <c r="F431" t="s">
        <v>133</v>
      </c>
      <c r="G431" t="s">
        <v>134</v>
      </c>
      <c r="H431" t="s">
        <v>134</v>
      </c>
      <c r="I431" s="8" t="s">
        <v>1087</v>
      </c>
      <c r="J431" t="s">
        <v>272</v>
      </c>
      <c r="K431" t="s">
        <v>209</v>
      </c>
      <c r="L431" t="str">
        <f t="shared" si="12"/>
        <v>JOHN ROKEN</v>
      </c>
      <c r="M431" t="s">
        <v>1133</v>
      </c>
      <c r="N431" t="s">
        <v>57</v>
      </c>
      <c r="O431" s="1">
        <v>46054</v>
      </c>
      <c r="P431" s="1">
        <v>46235</v>
      </c>
      <c r="Q431" s="2">
        <v>16.59</v>
      </c>
      <c r="R431" t="s">
        <v>58</v>
      </c>
      <c r="S431" s="4">
        <v>0.375</v>
      </c>
      <c r="T431">
        <v>0</v>
      </c>
      <c r="U431" t="s">
        <v>60</v>
      </c>
      <c r="V431" t="s">
        <v>248</v>
      </c>
      <c r="W431">
        <v>0</v>
      </c>
      <c r="X431" s="2">
        <v>0</v>
      </c>
      <c r="Y431" s="2">
        <v>6.22</v>
      </c>
      <c r="Z431" s="2">
        <v>0</v>
      </c>
      <c r="AA431" s="2">
        <v>0</v>
      </c>
      <c r="AB431" s="2">
        <v>0</v>
      </c>
    </row>
    <row r="432" spans="1:28" x14ac:dyDescent="0.25">
      <c r="A432">
        <v>2023668688</v>
      </c>
      <c r="B432" t="s">
        <v>270</v>
      </c>
      <c r="C432" t="s">
        <v>271</v>
      </c>
      <c r="D432" t="str">
        <f t="shared" si="13"/>
        <v>PENNY MURPHREE</v>
      </c>
      <c r="E432" t="s">
        <v>167</v>
      </c>
      <c r="F432" t="s">
        <v>53</v>
      </c>
      <c r="G432" t="s">
        <v>54</v>
      </c>
      <c r="H432" t="s">
        <v>54</v>
      </c>
      <c r="I432" s="8" t="s">
        <v>1087</v>
      </c>
      <c r="J432" t="s">
        <v>272</v>
      </c>
      <c r="K432" t="s">
        <v>209</v>
      </c>
      <c r="L432" t="str">
        <f t="shared" si="12"/>
        <v>JOHN ROKEN</v>
      </c>
      <c r="M432" t="s">
        <v>1133</v>
      </c>
      <c r="N432" t="s">
        <v>57</v>
      </c>
      <c r="O432" s="1">
        <v>45474</v>
      </c>
      <c r="P432" s="1">
        <v>46235</v>
      </c>
      <c r="Q432" s="2">
        <v>40.159999999999997</v>
      </c>
      <c r="R432" t="s">
        <v>58</v>
      </c>
      <c r="S432" s="4">
        <v>6.5000000000000002E-2</v>
      </c>
      <c r="T432">
        <v>0</v>
      </c>
      <c r="U432" t="s">
        <v>247</v>
      </c>
      <c r="V432" t="s">
        <v>248</v>
      </c>
      <c r="W432">
        <v>0</v>
      </c>
      <c r="X432" s="2">
        <v>0</v>
      </c>
      <c r="Y432" s="2">
        <v>2.61</v>
      </c>
      <c r="Z432" s="2">
        <v>2.61</v>
      </c>
      <c r="AA432" s="2">
        <v>2.61</v>
      </c>
      <c r="AB432" s="2">
        <v>0</v>
      </c>
    </row>
    <row r="433" spans="1:28" x14ac:dyDescent="0.25">
      <c r="A433">
        <v>2023719131</v>
      </c>
      <c r="B433" t="s">
        <v>231</v>
      </c>
      <c r="C433" t="s">
        <v>273</v>
      </c>
      <c r="D433" t="str">
        <f t="shared" si="13"/>
        <v>BENNY JOHNSON</v>
      </c>
      <c r="E433" t="s">
        <v>124</v>
      </c>
      <c r="F433" t="s">
        <v>53</v>
      </c>
      <c r="G433" t="s">
        <v>54</v>
      </c>
      <c r="H433" t="s">
        <v>54</v>
      </c>
      <c r="I433" s="8" t="s">
        <v>1087</v>
      </c>
      <c r="J433" t="s">
        <v>272</v>
      </c>
      <c r="K433" t="s">
        <v>209</v>
      </c>
      <c r="L433" t="str">
        <f t="shared" si="12"/>
        <v>JOHN ROKEN</v>
      </c>
      <c r="M433" t="s">
        <v>1133</v>
      </c>
      <c r="N433" t="s">
        <v>57</v>
      </c>
      <c r="O433" s="1">
        <v>45474</v>
      </c>
      <c r="P433" s="1">
        <v>46235</v>
      </c>
      <c r="Q433" s="2">
        <v>96.55</v>
      </c>
      <c r="R433" t="s">
        <v>58</v>
      </c>
      <c r="S433" s="4">
        <v>6.5000000000000002E-2</v>
      </c>
      <c r="T433">
        <v>0</v>
      </c>
      <c r="U433" t="s">
        <v>247</v>
      </c>
      <c r="V433" t="s">
        <v>248</v>
      </c>
      <c r="W433">
        <v>0</v>
      </c>
      <c r="X433" s="2">
        <v>0</v>
      </c>
      <c r="Y433" s="2">
        <v>6.28</v>
      </c>
      <c r="Z433" s="2">
        <v>6.28</v>
      </c>
      <c r="AA433" s="2">
        <v>6.28</v>
      </c>
      <c r="AB433" s="2">
        <v>0</v>
      </c>
    </row>
    <row r="434" spans="1:28" x14ac:dyDescent="0.25">
      <c r="A434">
        <v>2026610948</v>
      </c>
      <c r="B434" t="s">
        <v>288</v>
      </c>
      <c r="C434" t="s">
        <v>289</v>
      </c>
      <c r="D434" t="str">
        <f t="shared" si="13"/>
        <v>ALBERT WOODS</v>
      </c>
      <c r="E434" t="s">
        <v>52</v>
      </c>
      <c r="F434" t="s">
        <v>53</v>
      </c>
      <c r="G434" t="s">
        <v>54</v>
      </c>
      <c r="H434" t="s">
        <v>54</v>
      </c>
      <c r="I434" s="8" t="s">
        <v>1087</v>
      </c>
      <c r="J434" t="s">
        <v>272</v>
      </c>
      <c r="K434" t="s">
        <v>209</v>
      </c>
      <c r="L434" t="str">
        <f t="shared" si="12"/>
        <v>JOHN ROKEN</v>
      </c>
      <c r="M434" t="s">
        <v>1133</v>
      </c>
      <c r="N434" t="s">
        <v>57</v>
      </c>
      <c r="O434" s="1">
        <v>45689</v>
      </c>
      <c r="P434" s="1">
        <v>46235</v>
      </c>
      <c r="Q434" s="2">
        <v>46.45</v>
      </c>
      <c r="R434" t="s">
        <v>58</v>
      </c>
      <c r="S434" s="4">
        <v>6.5000000000000002E-2</v>
      </c>
      <c r="T434">
        <v>0</v>
      </c>
      <c r="U434" t="s">
        <v>247</v>
      </c>
      <c r="V434" t="s">
        <v>248</v>
      </c>
      <c r="W434">
        <v>0</v>
      </c>
      <c r="X434" s="2">
        <v>0</v>
      </c>
      <c r="Y434" s="2">
        <v>3.02</v>
      </c>
      <c r="Z434" s="2">
        <v>3.02</v>
      </c>
      <c r="AA434" s="2">
        <v>3.02</v>
      </c>
      <c r="AB434" s="2">
        <v>0</v>
      </c>
    </row>
    <row r="435" spans="1:28" x14ac:dyDescent="0.25">
      <c r="A435">
        <v>2027665174</v>
      </c>
      <c r="B435" t="s">
        <v>297</v>
      </c>
      <c r="C435" t="s">
        <v>298</v>
      </c>
      <c r="D435" t="str">
        <f t="shared" si="13"/>
        <v>SHAWN WILSON</v>
      </c>
      <c r="E435" t="s">
        <v>100</v>
      </c>
      <c r="F435" t="s">
        <v>53</v>
      </c>
      <c r="G435" t="s">
        <v>54</v>
      </c>
      <c r="H435" t="s">
        <v>54</v>
      </c>
      <c r="I435" s="8" t="s">
        <v>1087</v>
      </c>
      <c r="J435" t="s">
        <v>272</v>
      </c>
      <c r="K435" t="s">
        <v>209</v>
      </c>
      <c r="L435" t="str">
        <f t="shared" si="12"/>
        <v>JOHN ROKEN</v>
      </c>
      <c r="M435" t="s">
        <v>1133</v>
      </c>
      <c r="N435" t="s">
        <v>57</v>
      </c>
      <c r="O435" s="1">
        <v>45748</v>
      </c>
      <c r="P435" s="1">
        <v>46235</v>
      </c>
      <c r="Q435" s="2">
        <v>46.45</v>
      </c>
      <c r="R435" t="s">
        <v>58</v>
      </c>
      <c r="S435" s="4">
        <v>6.5000000000000002E-2</v>
      </c>
      <c r="T435">
        <v>0</v>
      </c>
      <c r="U435" t="s">
        <v>247</v>
      </c>
      <c r="V435" t="s">
        <v>248</v>
      </c>
      <c r="W435">
        <v>0</v>
      </c>
      <c r="X435" s="2">
        <v>0</v>
      </c>
      <c r="Y435" s="2">
        <v>3.02</v>
      </c>
      <c r="Z435" s="2">
        <v>3.02</v>
      </c>
      <c r="AA435" s="2">
        <v>3.02</v>
      </c>
      <c r="AB435" s="2">
        <v>0</v>
      </c>
    </row>
    <row r="436" spans="1:28" x14ac:dyDescent="0.25">
      <c r="A436">
        <v>2027762075</v>
      </c>
      <c r="B436" t="s">
        <v>299</v>
      </c>
      <c r="C436" t="s">
        <v>300</v>
      </c>
      <c r="D436" t="str">
        <f t="shared" si="13"/>
        <v>DEANNE HERMAN</v>
      </c>
      <c r="E436" t="s">
        <v>52</v>
      </c>
      <c r="F436" t="s">
        <v>53</v>
      </c>
      <c r="G436" t="s">
        <v>54</v>
      </c>
      <c r="H436" t="s">
        <v>54</v>
      </c>
      <c r="I436" s="8" t="s">
        <v>1087</v>
      </c>
      <c r="J436" t="s">
        <v>272</v>
      </c>
      <c r="K436" t="s">
        <v>209</v>
      </c>
      <c r="L436" t="str">
        <f t="shared" si="12"/>
        <v>JOHN ROKEN</v>
      </c>
      <c r="M436" t="s">
        <v>1133</v>
      </c>
      <c r="N436" t="s">
        <v>57</v>
      </c>
      <c r="O436" s="1">
        <v>45748</v>
      </c>
      <c r="P436" s="1">
        <v>46235</v>
      </c>
      <c r="Q436" s="2">
        <v>62.54</v>
      </c>
      <c r="R436" t="s">
        <v>58</v>
      </c>
      <c r="S436" s="4">
        <v>6.5000000000000002E-2</v>
      </c>
      <c r="T436">
        <v>0</v>
      </c>
      <c r="U436" t="s">
        <v>247</v>
      </c>
      <c r="V436" t="s">
        <v>248</v>
      </c>
      <c r="W436">
        <v>0</v>
      </c>
      <c r="X436" s="2">
        <v>0</v>
      </c>
      <c r="Y436" s="2">
        <v>4.07</v>
      </c>
      <c r="Z436" s="2">
        <v>4.07</v>
      </c>
      <c r="AA436" s="2">
        <v>4.07</v>
      </c>
      <c r="AB436" s="2">
        <v>0</v>
      </c>
    </row>
    <row r="437" spans="1:28" x14ac:dyDescent="0.25">
      <c r="A437">
        <v>2035682333</v>
      </c>
      <c r="B437" t="s">
        <v>847</v>
      </c>
      <c r="C437" t="s">
        <v>848</v>
      </c>
      <c r="D437" t="str">
        <f t="shared" si="13"/>
        <v>ROBERTO MAZARIEGOS</v>
      </c>
      <c r="E437" t="s">
        <v>89</v>
      </c>
      <c r="F437" t="s">
        <v>194</v>
      </c>
      <c r="G437" t="s">
        <v>195</v>
      </c>
      <c r="H437" t="s">
        <v>195</v>
      </c>
      <c r="I437" s="8">
        <v>20212926</v>
      </c>
      <c r="J437" t="s">
        <v>849</v>
      </c>
      <c r="K437" t="s">
        <v>784</v>
      </c>
      <c r="L437" t="str">
        <f t="shared" si="12"/>
        <v>JOSE TORRES</v>
      </c>
      <c r="M437" t="s">
        <v>1133</v>
      </c>
      <c r="N437" t="s">
        <v>57</v>
      </c>
      <c r="O437" s="1">
        <v>46170</v>
      </c>
      <c r="P437" s="1">
        <v>46231</v>
      </c>
      <c r="Q437" s="2">
        <v>34</v>
      </c>
      <c r="R437" t="s">
        <v>58</v>
      </c>
      <c r="S437" s="3">
        <v>0.7</v>
      </c>
      <c r="T437">
        <v>0</v>
      </c>
      <c r="U437" t="s">
        <v>60</v>
      </c>
      <c r="V437" t="s">
        <v>248</v>
      </c>
      <c r="W437">
        <v>0</v>
      </c>
      <c r="X437" s="2">
        <v>0</v>
      </c>
      <c r="Y437" s="2">
        <v>23.8</v>
      </c>
      <c r="Z437" s="2">
        <v>0</v>
      </c>
      <c r="AA437" s="2">
        <v>0</v>
      </c>
      <c r="AB437" s="2">
        <v>0</v>
      </c>
    </row>
    <row r="438" spans="1:28" x14ac:dyDescent="0.25">
      <c r="A438">
        <v>2017327782</v>
      </c>
      <c r="B438" t="s">
        <v>999</v>
      </c>
      <c r="C438" t="s">
        <v>691</v>
      </c>
      <c r="D438" t="str">
        <f t="shared" si="13"/>
        <v>ROBERT OFZKY</v>
      </c>
      <c r="E438" t="s">
        <v>68</v>
      </c>
      <c r="F438" t="s">
        <v>194</v>
      </c>
      <c r="G438" t="s">
        <v>881</v>
      </c>
      <c r="H438" t="s">
        <v>881</v>
      </c>
      <c r="I438" s="8">
        <v>20436896</v>
      </c>
      <c r="J438" t="s">
        <v>102</v>
      </c>
      <c r="K438" t="s">
        <v>333</v>
      </c>
      <c r="L438" t="str">
        <f t="shared" si="12"/>
        <v>KATELENN CALTAGIRONE</v>
      </c>
      <c r="M438" t="s">
        <v>1133</v>
      </c>
      <c r="N438" t="s">
        <v>57</v>
      </c>
      <c r="O438" s="1">
        <v>44958</v>
      </c>
      <c r="P438" s="1">
        <v>46235</v>
      </c>
      <c r="Q438" s="2">
        <v>42.88</v>
      </c>
      <c r="R438" t="s">
        <v>58</v>
      </c>
      <c r="S438" s="3">
        <v>0.15</v>
      </c>
      <c r="T438">
        <v>0</v>
      </c>
      <c r="U438" t="s">
        <v>247</v>
      </c>
      <c r="V438" t="s">
        <v>248</v>
      </c>
      <c r="W438">
        <v>0</v>
      </c>
      <c r="X438" s="2">
        <v>0</v>
      </c>
      <c r="Y438" s="2">
        <v>6.43</v>
      </c>
      <c r="Z438" s="2">
        <v>6.43</v>
      </c>
      <c r="AA438" s="2">
        <v>6.43</v>
      </c>
      <c r="AB438" s="2">
        <v>0</v>
      </c>
    </row>
    <row r="439" spans="1:28" x14ac:dyDescent="0.25">
      <c r="A439">
        <v>2017416712</v>
      </c>
      <c r="B439" t="s">
        <v>658</v>
      </c>
      <c r="C439" t="s">
        <v>507</v>
      </c>
      <c r="D439" t="str">
        <f t="shared" si="13"/>
        <v>CHESTER BISCHOFFER</v>
      </c>
      <c r="E439" t="s">
        <v>332</v>
      </c>
      <c r="F439" t="s">
        <v>194</v>
      </c>
      <c r="G439" t="s">
        <v>881</v>
      </c>
      <c r="H439" t="s">
        <v>881</v>
      </c>
      <c r="I439" s="8">
        <v>20436896</v>
      </c>
      <c r="J439" t="s">
        <v>102</v>
      </c>
      <c r="K439" t="s">
        <v>333</v>
      </c>
      <c r="L439" t="str">
        <f t="shared" si="12"/>
        <v>KATELENN CALTAGIRONE</v>
      </c>
      <c r="M439" t="s">
        <v>1133</v>
      </c>
      <c r="N439" t="s">
        <v>57</v>
      </c>
      <c r="O439" s="1">
        <v>44958</v>
      </c>
      <c r="P439" s="1">
        <v>46235</v>
      </c>
      <c r="Q439" s="2">
        <v>25.73</v>
      </c>
      <c r="R439" t="s">
        <v>58</v>
      </c>
      <c r="S439" s="3">
        <v>0.15</v>
      </c>
      <c r="T439">
        <v>0</v>
      </c>
      <c r="U439" t="s">
        <v>247</v>
      </c>
      <c r="V439" t="s">
        <v>248</v>
      </c>
      <c r="W439">
        <v>0</v>
      </c>
      <c r="X439" s="2">
        <v>0</v>
      </c>
      <c r="Y439" s="2">
        <v>3.86</v>
      </c>
      <c r="Z439" s="2">
        <v>3.86</v>
      </c>
      <c r="AA439" s="2">
        <v>3.86</v>
      </c>
      <c r="AB439" s="2">
        <v>0</v>
      </c>
    </row>
    <row r="440" spans="1:28" x14ac:dyDescent="0.25">
      <c r="A440">
        <v>2017333575</v>
      </c>
      <c r="B440" t="s">
        <v>330</v>
      </c>
      <c r="C440" t="s">
        <v>331</v>
      </c>
      <c r="D440" t="str">
        <f t="shared" si="13"/>
        <v>BRIDGETT GAINES</v>
      </c>
      <c r="E440" t="s">
        <v>332</v>
      </c>
      <c r="F440" t="s">
        <v>69</v>
      </c>
      <c r="G440" t="s">
        <v>79</v>
      </c>
      <c r="H440" t="s">
        <v>1080</v>
      </c>
      <c r="I440" s="8">
        <v>20436896</v>
      </c>
      <c r="J440" t="s">
        <v>102</v>
      </c>
      <c r="K440" t="s">
        <v>333</v>
      </c>
      <c r="L440" t="str">
        <f t="shared" si="12"/>
        <v>KATELENN CALTAGIRONE</v>
      </c>
      <c r="M440" t="s">
        <v>1133</v>
      </c>
      <c r="N440" t="s">
        <v>57</v>
      </c>
      <c r="O440" s="1">
        <v>44958</v>
      </c>
      <c r="P440" s="1">
        <v>46235</v>
      </c>
      <c r="Q440" s="2">
        <v>152.54</v>
      </c>
      <c r="R440" t="s">
        <v>58</v>
      </c>
      <c r="S440" s="3">
        <v>0.1</v>
      </c>
      <c r="T440">
        <v>0</v>
      </c>
      <c r="U440" t="s">
        <v>247</v>
      </c>
      <c r="V440" t="s">
        <v>248</v>
      </c>
      <c r="W440">
        <v>0</v>
      </c>
      <c r="X440" s="2">
        <v>0</v>
      </c>
      <c r="Y440" s="2">
        <v>15.25</v>
      </c>
      <c r="Z440" s="2">
        <v>15.25</v>
      </c>
      <c r="AA440" s="2">
        <v>15.25</v>
      </c>
      <c r="AB440" s="2">
        <v>0</v>
      </c>
    </row>
    <row r="441" spans="1:28" x14ac:dyDescent="0.25">
      <c r="A441">
        <v>2017472584</v>
      </c>
      <c r="B441" t="s">
        <v>580</v>
      </c>
      <c r="C441" t="s">
        <v>552</v>
      </c>
      <c r="D441" t="str">
        <f t="shared" si="13"/>
        <v>MARK WILLER</v>
      </c>
      <c r="E441" t="s">
        <v>89</v>
      </c>
      <c r="F441" t="s">
        <v>149</v>
      </c>
      <c r="G441" t="s">
        <v>581</v>
      </c>
      <c r="H441" t="s">
        <v>1082</v>
      </c>
      <c r="I441" s="8">
        <v>20436896</v>
      </c>
      <c r="J441" t="s">
        <v>102</v>
      </c>
      <c r="K441" t="s">
        <v>333</v>
      </c>
      <c r="L441" t="str">
        <f t="shared" si="12"/>
        <v>KATELENN CALTAGIRONE</v>
      </c>
      <c r="M441" t="s">
        <v>1133</v>
      </c>
      <c r="N441" t="s">
        <v>57</v>
      </c>
      <c r="O441" s="1">
        <v>44954</v>
      </c>
      <c r="P441" s="1">
        <v>46231</v>
      </c>
      <c r="Q441" s="2">
        <v>15</v>
      </c>
      <c r="R441" t="s">
        <v>58</v>
      </c>
      <c r="S441" s="3">
        <v>0.28999999999999998</v>
      </c>
      <c r="T441">
        <v>0</v>
      </c>
      <c r="U441" t="s">
        <v>247</v>
      </c>
      <c r="V441" t="s">
        <v>248</v>
      </c>
      <c r="W441">
        <v>0</v>
      </c>
      <c r="X441" s="2">
        <v>0</v>
      </c>
      <c r="Y441" s="2">
        <v>4.3499999999999996</v>
      </c>
      <c r="Z441" s="2">
        <v>4.3499999999999996</v>
      </c>
      <c r="AA441" s="2">
        <v>4.3499999999999996</v>
      </c>
      <c r="AB441" s="2">
        <v>0</v>
      </c>
    </row>
    <row r="442" spans="1:28" x14ac:dyDescent="0.25">
      <c r="A442">
        <v>2016956443</v>
      </c>
      <c r="B442" t="s">
        <v>656</v>
      </c>
      <c r="C442" t="s">
        <v>478</v>
      </c>
      <c r="D442" t="str">
        <f t="shared" si="13"/>
        <v>MICHAEL SONG</v>
      </c>
      <c r="E442" t="s">
        <v>100</v>
      </c>
      <c r="F442" t="s">
        <v>194</v>
      </c>
      <c r="G442" t="s">
        <v>195</v>
      </c>
      <c r="H442" t="s">
        <v>195</v>
      </c>
      <c r="I442" s="8">
        <v>20436896</v>
      </c>
      <c r="J442" t="s">
        <v>102</v>
      </c>
      <c r="K442" t="s">
        <v>333</v>
      </c>
      <c r="L442" t="str">
        <f t="shared" si="12"/>
        <v>KATELENN CALTAGIRONE</v>
      </c>
      <c r="M442" t="s">
        <v>1133</v>
      </c>
      <c r="N442" t="s">
        <v>57</v>
      </c>
      <c r="O442" s="1">
        <v>44958</v>
      </c>
      <c r="P442" s="1">
        <v>46235</v>
      </c>
      <c r="Q442" s="2">
        <v>80.73</v>
      </c>
      <c r="R442" t="s">
        <v>58</v>
      </c>
      <c r="S442" s="3">
        <v>0.15</v>
      </c>
      <c r="T442">
        <v>0</v>
      </c>
      <c r="U442" t="s">
        <v>247</v>
      </c>
      <c r="V442" t="s">
        <v>248</v>
      </c>
      <c r="W442">
        <v>0</v>
      </c>
      <c r="X442" s="2">
        <v>0</v>
      </c>
      <c r="Y442" s="2">
        <v>12.11</v>
      </c>
      <c r="Z442" s="2">
        <v>12.11</v>
      </c>
      <c r="AA442" s="2">
        <v>12.11</v>
      </c>
      <c r="AB442" s="2">
        <v>0</v>
      </c>
    </row>
    <row r="443" spans="1:28" x14ac:dyDescent="0.25">
      <c r="A443">
        <v>2017333574</v>
      </c>
      <c r="B443" t="s">
        <v>330</v>
      </c>
      <c r="C443" t="s">
        <v>331</v>
      </c>
      <c r="D443" t="str">
        <f t="shared" si="13"/>
        <v>BRIDGETT GAINES</v>
      </c>
      <c r="E443" t="s">
        <v>332</v>
      </c>
      <c r="F443" t="s">
        <v>194</v>
      </c>
      <c r="G443" t="s">
        <v>195</v>
      </c>
      <c r="H443" t="s">
        <v>195</v>
      </c>
      <c r="I443" s="8">
        <v>20436896</v>
      </c>
      <c r="J443" t="s">
        <v>102</v>
      </c>
      <c r="K443" t="s">
        <v>333</v>
      </c>
      <c r="L443" t="str">
        <f t="shared" si="12"/>
        <v>KATELENN CALTAGIRONE</v>
      </c>
      <c r="M443" t="s">
        <v>1133</v>
      </c>
      <c r="N443" t="s">
        <v>57</v>
      </c>
      <c r="O443" s="1">
        <v>44958</v>
      </c>
      <c r="P443" s="1">
        <v>46235</v>
      </c>
      <c r="Q443" s="2">
        <v>96.96</v>
      </c>
      <c r="R443" t="s">
        <v>58</v>
      </c>
      <c r="S443" s="3">
        <v>0.15</v>
      </c>
      <c r="T443">
        <v>0</v>
      </c>
      <c r="U443" t="s">
        <v>247</v>
      </c>
      <c r="V443" t="s">
        <v>248</v>
      </c>
      <c r="W443">
        <v>0</v>
      </c>
      <c r="X443" s="2">
        <v>0</v>
      </c>
      <c r="Y443" s="2">
        <v>14.54</v>
      </c>
      <c r="Z443" s="2">
        <v>14.54</v>
      </c>
      <c r="AA443" s="2">
        <v>14.54</v>
      </c>
      <c r="AB443" s="2">
        <v>0</v>
      </c>
    </row>
    <row r="444" spans="1:28" x14ac:dyDescent="0.25">
      <c r="A444">
        <v>2017416710</v>
      </c>
      <c r="B444" t="s">
        <v>658</v>
      </c>
      <c r="C444" t="s">
        <v>507</v>
      </c>
      <c r="D444" t="str">
        <f t="shared" si="13"/>
        <v>CHESTER BISCHOFFER</v>
      </c>
      <c r="E444" t="s">
        <v>332</v>
      </c>
      <c r="F444" t="s">
        <v>194</v>
      </c>
      <c r="G444" t="s">
        <v>195</v>
      </c>
      <c r="H444" t="s">
        <v>195</v>
      </c>
      <c r="I444" s="8">
        <v>20436896</v>
      </c>
      <c r="J444" t="s">
        <v>102</v>
      </c>
      <c r="K444" t="s">
        <v>333</v>
      </c>
      <c r="L444" t="str">
        <f t="shared" si="12"/>
        <v>KATELENN CALTAGIRONE</v>
      </c>
      <c r="M444" t="s">
        <v>1133</v>
      </c>
      <c r="N444" t="s">
        <v>57</v>
      </c>
      <c r="O444" s="1">
        <v>44958</v>
      </c>
      <c r="P444" s="1">
        <v>46235</v>
      </c>
      <c r="Q444" s="2">
        <v>86.35</v>
      </c>
      <c r="R444" t="s">
        <v>58</v>
      </c>
      <c r="S444" s="3">
        <v>0.15</v>
      </c>
      <c r="T444">
        <v>0</v>
      </c>
      <c r="U444" t="s">
        <v>247</v>
      </c>
      <c r="V444" t="s">
        <v>248</v>
      </c>
      <c r="W444">
        <v>0</v>
      </c>
      <c r="X444" s="2">
        <v>0</v>
      </c>
      <c r="Y444" s="2">
        <v>12.95</v>
      </c>
      <c r="Z444" s="2">
        <v>12.95</v>
      </c>
      <c r="AA444" s="2">
        <v>12.95</v>
      </c>
      <c r="AB444" s="2">
        <v>0</v>
      </c>
    </row>
    <row r="445" spans="1:28" x14ac:dyDescent="0.25">
      <c r="A445">
        <v>2017521114</v>
      </c>
      <c r="B445" t="s">
        <v>661</v>
      </c>
      <c r="C445" t="s">
        <v>662</v>
      </c>
      <c r="D445" t="str">
        <f t="shared" si="13"/>
        <v>CHERYL BLADES</v>
      </c>
      <c r="E445" t="s">
        <v>117</v>
      </c>
      <c r="F445" t="s">
        <v>194</v>
      </c>
      <c r="G445" t="s">
        <v>195</v>
      </c>
      <c r="H445" t="s">
        <v>195</v>
      </c>
      <c r="I445" s="8">
        <v>20436896</v>
      </c>
      <c r="J445" t="s">
        <v>102</v>
      </c>
      <c r="K445" t="s">
        <v>333</v>
      </c>
      <c r="L445" t="str">
        <f t="shared" si="12"/>
        <v>KATELENN CALTAGIRONE</v>
      </c>
      <c r="M445" t="s">
        <v>1133</v>
      </c>
      <c r="N445" t="s">
        <v>57</v>
      </c>
      <c r="O445" s="1">
        <v>44958</v>
      </c>
      <c r="P445" s="1">
        <v>46235</v>
      </c>
      <c r="Q445" s="2">
        <v>35.04</v>
      </c>
      <c r="R445" t="s">
        <v>58</v>
      </c>
      <c r="S445" s="3">
        <v>0.15</v>
      </c>
      <c r="T445">
        <v>0</v>
      </c>
      <c r="U445" t="s">
        <v>247</v>
      </c>
      <c r="V445" t="s">
        <v>248</v>
      </c>
      <c r="W445">
        <v>0</v>
      </c>
      <c r="X445" s="2">
        <v>0</v>
      </c>
      <c r="Y445" s="2">
        <v>5.26</v>
      </c>
      <c r="Z445" s="2">
        <v>5.26</v>
      </c>
      <c r="AA445" s="2">
        <v>5.26</v>
      </c>
      <c r="AB445" s="2">
        <v>0</v>
      </c>
    </row>
    <row r="446" spans="1:28" x14ac:dyDescent="0.25">
      <c r="A446">
        <v>2016956446</v>
      </c>
      <c r="B446" t="s">
        <v>656</v>
      </c>
      <c r="C446" t="s">
        <v>478</v>
      </c>
      <c r="D446" t="str">
        <f t="shared" si="13"/>
        <v>MICHAEL SONG</v>
      </c>
      <c r="E446" t="s">
        <v>100</v>
      </c>
      <c r="F446" t="s">
        <v>133</v>
      </c>
      <c r="G446" t="s">
        <v>134</v>
      </c>
      <c r="H446" t="s">
        <v>134</v>
      </c>
      <c r="I446" s="8">
        <v>20436896</v>
      </c>
      <c r="J446" t="s">
        <v>102</v>
      </c>
      <c r="K446" t="s">
        <v>333</v>
      </c>
      <c r="L446" t="str">
        <f t="shared" si="12"/>
        <v>KATELENN CALTAGIRONE</v>
      </c>
      <c r="M446" t="s">
        <v>1133</v>
      </c>
      <c r="N446" t="s">
        <v>57</v>
      </c>
      <c r="O446" s="1">
        <v>44958</v>
      </c>
      <c r="P446" s="1">
        <v>46235</v>
      </c>
      <c r="Q446" s="2">
        <v>136.49</v>
      </c>
      <c r="R446" t="s">
        <v>58</v>
      </c>
      <c r="S446" s="3">
        <v>0.06</v>
      </c>
      <c r="T446">
        <v>0</v>
      </c>
      <c r="U446" t="s">
        <v>247</v>
      </c>
      <c r="V446" t="s">
        <v>248</v>
      </c>
      <c r="W446">
        <v>0</v>
      </c>
      <c r="X446" s="2">
        <v>0</v>
      </c>
      <c r="Y446" s="2">
        <v>8.19</v>
      </c>
      <c r="Z446" s="2">
        <v>8.19</v>
      </c>
      <c r="AA446" s="2">
        <v>8.19</v>
      </c>
      <c r="AB446" s="2">
        <v>0</v>
      </c>
    </row>
    <row r="447" spans="1:28" x14ac:dyDescent="0.25">
      <c r="A447">
        <v>2017416713</v>
      </c>
      <c r="B447" t="s">
        <v>658</v>
      </c>
      <c r="C447" t="s">
        <v>507</v>
      </c>
      <c r="D447" t="str">
        <f t="shared" si="13"/>
        <v>CHESTER BISCHOFFER</v>
      </c>
      <c r="E447" t="s">
        <v>332</v>
      </c>
      <c r="F447" t="s">
        <v>133</v>
      </c>
      <c r="G447" t="s">
        <v>134</v>
      </c>
      <c r="H447" t="s">
        <v>134</v>
      </c>
      <c r="I447" s="8">
        <v>20436896</v>
      </c>
      <c r="J447" t="s">
        <v>102</v>
      </c>
      <c r="K447" t="s">
        <v>333</v>
      </c>
      <c r="L447" t="str">
        <f t="shared" si="12"/>
        <v>KATELENN CALTAGIRONE</v>
      </c>
      <c r="M447" t="s">
        <v>1133</v>
      </c>
      <c r="N447" t="s">
        <v>57</v>
      </c>
      <c r="O447" s="1">
        <v>44958</v>
      </c>
      <c r="P447" s="1">
        <v>46235</v>
      </c>
      <c r="Q447" s="2">
        <v>17.21</v>
      </c>
      <c r="R447" t="s">
        <v>58</v>
      </c>
      <c r="S447" s="3">
        <v>0.06</v>
      </c>
      <c r="T447">
        <v>0</v>
      </c>
      <c r="U447" t="s">
        <v>247</v>
      </c>
      <c r="V447" t="s">
        <v>248</v>
      </c>
      <c r="W447">
        <v>0</v>
      </c>
      <c r="X447" s="2">
        <v>0</v>
      </c>
      <c r="Y447" s="2">
        <v>1.03</v>
      </c>
      <c r="Z447" s="2">
        <v>1.03</v>
      </c>
      <c r="AA447" s="2">
        <v>1.03</v>
      </c>
      <c r="AB447" s="2">
        <v>0</v>
      </c>
    </row>
    <row r="448" spans="1:28" x14ac:dyDescent="0.25">
      <c r="A448">
        <v>2017420306</v>
      </c>
      <c r="B448" t="s">
        <v>659</v>
      </c>
      <c r="C448" t="s">
        <v>660</v>
      </c>
      <c r="D448" t="str">
        <f t="shared" si="13"/>
        <v>SUSAN FULLER</v>
      </c>
      <c r="E448" t="s">
        <v>100</v>
      </c>
      <c r="F448" t="s">
        <v>133</v>
      </c>
      <c r="G448" t="s">
        <v>134</v>
      </c>
      <c r="H448" t="s">
        <v>134</v>
      </c>
      <c r="I448" s="8">
        <v>20436896</v>
      </c>
      <c r="J448" t="s">
        <v>102</v>
      </c>
      <c r="K448" t="s">
        <v>333</v>
      </c>
      <c r="L448" t="str">
        <f t="shared" si="12"/>
        <v>KATELENN CALTAGIRONE</v>
      </c>
      <c r="M448" t="s">
        <v>1133</v>
      </c>
      <c r="N448" t="s">
        <v>57</v>
      </c>
      <c r="O448" s="1">
        <v>44958</v>
      </c>
      <c r="P448" s="1">
        <v>46235</v>
      </c>
      <c r="Q448" s="2">
        <v>52.62</v>
      </c>
      <c r="R448" t="s">
        <v>58</v>
      </c>
      <c r="S448" s="3">
        <v>0.06</v>
      </c>
      <c r="T448">
        <v>0</v>
      </c>
      <c r="U448" t="s">
        <v>247</v>
      </c>
      <c r="V448" t="s">
        <v>248</v>
      </c>
      <c r="W448">
        <v>0</v>
      </c>
      <c r="X448" s="2">
        <v>0</v>
      </c>
      <c r="Y448" s="2">
        <v>3.16</v>
      </c>
      <c r="Z448" s="2">
        <v>3.16</v>
      </c>
      <c r="AA448" s="2">
        <v>3.16</v>
      </c>
      <c r="AB448" s="2">
        <v>0</v>
      </c>
    </row>
    <row r="449" spans="1:28" x14ac:dyDescent="0.25">
      <c r="A449">
        <v>2017521116</v>
      </c>
      <c r="B449" t="s">
        <v>661</v>
      </c>
      <c r="C449" t="s">
        <v>662</v>
      </c>
      <c r="D449" t="str">
        <f t="shared" si="13"/>
        <v>CHERYL BLADES</v>
      </c>
      <c r="E449" t="s">
        <v>117</v>
      </c>
      <c r="F449" t="s">
        <v>133</v>
      </c>
      <c r="G449" t="s">
        <v>134</v>
      </c>
      <c r="H449" t="s">
        <v>134</v>
      </c>
      <c r="I449" s="8">
        <v>20436896</v>
      </c>
      <c r="J449" t="s">
        <v>102</v>
      </c>
      <c r="K449" t="s">
        <v>333</v>
      </c>
      <c r="L449" t="str">
        <f t="shared" si="12"/>
        <v>KATELENN CALTAGIRONE</v>
      </c>
      <c r="M449" t="s">
        <v>1133</v>
      </c>
      <c r="N449" t="s">
        <v>57</v>
      </c>
      <c r="O449" s="1">
        <v>44958</v>
      </c>
      <c r="P449" s="1">
        <v>46235</v>
      </c>
      <c r="Q449" s="2">
        <v>40.65</v>
      </c>
      <c r="R449" t="s">
        <v>58</v>
      </c>
      <c r="S449" s="3">
        <v>0.06</v>
      </c>
      <c r="T449">
        <v>0</v>
      </c>
      <c r="U449" t="s">
        <v>247</v>
      </c>
      <c r="V449" t="s">
        <v>248</v>
      </c>
      <c r="W449">
        <v>0</v>
      </c>
      <c r="X449" s="2">
        <v>0</v>
      </c>
      <c r="Y449" s="2">
        <v>2.44</v>
      </c>
      <c r="Z449" s="2">
        <v>2.44</v>
      </c>
      <c r="AA449" s="2">
        <v>2.44</v>
      </c>
      <c r="AB449" s="2">
        <v>0</v>
      </c>
    </row>
    <row r="450" spans="1:28" x14ac:dyDescent="0.25">
      <c r="A450">
        <v>2018491279</v>
      </c>
      <c r="B450" t="s">
        <v>663</v>
      </c>
      <c r="C450" t="s">
        <v>296</v>
      </c>
      <c r="D450" t="str">
        <f t="shared" si="13"/>
        <v>TIMOTHY SAGI</v>
      </c>
      <c r="E450" t="s">
        <v>52</v>
      </c>
      <c r="F450" t="s">
        <v>133</v>
      </c>
      <c r="G450" t="s">
        <v>134</v>
      </c>
      <c r="H450" t="s">
        <v>134</v>
      </c>
      <c r="I450" s="8">
        <v>19562245</v>
      </c>
      <c r="J450" t="s">
        <v>664</v>
      </c>
      <c r="K450" t="s">
        <v>471</v>
      </c>
      <c r="L450" t="str">
        <f t="shared" ref="L450:L513" si="14">CONCATENATE(K450," ",J450)</f>
        <v>KELLY CARRYER</v>
      </c>
      <c r="M450" t="s">
        <v>1133</v>
      </c>
      <c r="N450" t="s">
        <v>57</v>
      </c>
      <c r="O450" s="1">
        <v>45046</v>
      </c>
      <c r="P450" s="1">
        <v>46233</v>
      </c>
      <c r="Q450" s="2">
        <v>101.58</v>
      </c>
      <c r="R450" t="s">
        <v>58</v>
      </c>
      <c r="S450" s="3">
        <v>0.06</v>
      </c>
      <c r="T450">
        <v>0</v>
      </c>
      <c r="U450" t="s">
        <v>247</v>
      </c>
      <c r="V450" t="s">
        <v>248</v>
      </c>
      <c r="W450">
        <v>0</v>
      </c>
      <c r="X450" s="2">
        <v>0</v>
      </c>
      <c r="Y450" s="2">
        <v>6.09</v>
      </c>
      <c r="Z450" s="2">
        <v>6.09</v>
      </c>
      <c r="AA450" s="2">
        <v>6.09</v>
      </c>
      <c r="AB450" s="2">
        <v>0</v>
      </c>
    </row>
    <row r="451" spans="1:28" x14ac:dyDescent="0.25">
      <c r="A451">
        <v>2019882011</v>
      </c>
      <c r="B451" t="s">
        <v>668</v>
      </c>
      <c r="C451" t="s">
        <v>529</v>
      </c>
      <c r="D451" t="str">
        <f t="shared" ref="D451:D514" si="15">CONCATENATE(C451," ",B451)</f>
        <v>NICOLE LOPEZ</v>
      </c>
      <c r="E451" t="s">
        <v>52</v>
      </c>
      <c r="F451" t="s">
        <v>133</v>
      </c>
      <c r="G451" t="s">
        <v>134</v>
      </c>
      <c r="H451" t="s">
        <v>134</v>
      </c>
      <c r="I451" s="8">
        <v>19562245</v>
      </c>
      <c r="J451" t="s">
        <v>664</v>
      </c>
      <c r="K451" t="s">
        <v>471</v>
      </c>
      <c r="L451" t="str">
        <f t="shared" si="14"/>
        <v>KELLY CARRYER</v>
      </c>
      <c r="M451" t="s">
        <v>1133</v>
      </c>
      <c r="N451" t="s">
        <v>57</v>
      </c>
      <c r="O451" s="1">
        <v>45170</v>
      </c>
      <c r="P451" s="1">
        <v>46235</v>
      </c>
      <c r="Q451" s="2">
        <v>30.12</v>
      </c>
      <c r="R451" t="s">
        <v>58</v>
      </c>
      <c r="S451" s="3">
        <v>0.06</v>
      </c>
      <c r="T451">
        <v>0</v>
      </c>
      <c r="U451" t="s">
        <v>247</v>
      </c>
      <c r="V451" t="s">
        <v>248</v>
      </c>
      <c r="W451">
        <v>0</v>
      </c>
      <c r="X451" s="2">
        <v>0</v>
      </c>
      <c r="Y451" s="2">
        <v>1.81</v>
      </c>
      <c r="Z451" s="2">
        <v>1.81</v>
      </c>
      <c r="AA451" s="2">
        <v>1.81</v>
      </c>
      <c r="AB451" s="2">
        <v>0</v>
      </c>
    </row>
    <row r="452" spans="1:28" x14ac:dyDescent="0.25">
      <c r="A452">
        <v>2029624410</v>
      </c>
      <c r="B452" t="s">
        <v>938</v>
      </c>
      <c r="C452" t="s">
        <v>259</v>
      </c>
      <c r="D452" t="str">
        <f t="shared" si="15"/>
        <v>DOUGLAS ASHLEY</v>
      </c>
      <c r="E452" t="s">
        <v>332</v>
      </c>
      <c r="F452" t="s">
        <v>194</v>
      </c>
      <c r="G452" t="s">
        <v>195</v>
      </c>
      <c r="H452" t="s">
        <v>195</v>
      </c>
      <c r="I452" s="8">
        <v>21421111</v>
      </c>
      <c r="J452" t="s">
        <v>935</v>
      </c>
      <c r="K452" t="s">
        <v>936</v>
      </c>
      <c r="L452" t="str">
        <f t="shared" si="14"/>
        <v>Kirk Tigue</v>
      </c>
      <c r="M452" t="s">
        <v>1133</v>
      </c>
      <c r="N452" t="s">
        <v>57</v>
      </c>
      <c r="O452" s="1">
        <v>45838</v>
      </c>
      <c r="P452" s="1">
        <v>46233</v>
      </c>
      <c r="Q452" s="2">
        <v>49.18</v>
      </c>
      <c r="R452" t="s">
        <v>58</v>
      </c>
      <c r="S452" s="3">
        <v>0.15</v>
      </c>
      <c r="T452">
        <v>0</v>
      </c>
      <c r="U452" t="s">
        <v>247</v>
      </c>
      <c r="V452" t="s">
        <v>248</v>
      </c>
      <c r="W452">
        <v>0</v>
      </c>
      <c r="X452" s="2">
        <v>0</v>
      </c>
      <c r="Y452" s="2">
        <v>7.38</v>
      </c>
      <c r="Z452" s="2">
        <v>7.38</v>
      </c>
      <c r="AA452" s="2">
        <v>7.38</v>
      </c>
      <c r="AB452" s="2">
        <v>0</v>
      </c>
    </row>
    <row r="453" spans="1:28" x14ac:dyDescent="0.25">
      <c r="A453">
        <v>2030178517</v>
      </c>
      <c r="B453" t="s">
        <v>941</v>
      </c>
      <c r="C453" t="s">
        <v>942</v>
      </c>
      <c r="D453" t="str">
        <f t="shared" si="15"/>
        <v>RIVERA SARA</v>
      </c>
      <c r="E453" t="s">
        <v>97</v>
      </c>
      <c r="F453" t="s">
        <v>194</v>
      </c>
      <c r="G453" t="s">
        <v>195</v>
      </c>
      <c r="H453" t="s">
        <v>195</v>
      </c>
      <c r="I453" s="8">
        <v>21421111</v>
      </c>
      <c r="J453" t="s">
        <v>935</v>
      </c>
      <c r="K453" t="s">
        <v>936</v>
      </c>
      <c r="L453" t="str">
        <f t="shared" si="14"/>
        <v>Kirk Tigue</v>
      </c>
      <c r="M453" t="s">
        <v>1133</v>
      </c>
      <c r="N453" t="s">
        <v>57</v>
      </c>
      <c r="O453" s="1">
        <v>45867</v>
      </c>
      <c r="P453" s="1">
        <v>46232</v>
      </c>
      <c r="Q453" s="2">
        <v>31.15</v>
      </c>
      <c r="R453" t="s">
        <v>58</v>
      </c>
      <c r="S453" s="3">
        <v>0.7</v>
      </c>
      <c r="T453">
        <v>0</v>
      </c>
      <c r="U453" t="s">
        <v>60</v>
      </c>
      <c r="V453" t="s">
        <v>248</v>
      </c>
      <c r="W453">
        <v>0</v>
      </c>
      <c r="X453" s="2">
        <v>0</v>
      </c>
      <c r="Y453" s="2">
        <v>21.8</v>
      </c>
      <c r="Z453" s="2">
        <v>21.8</v>
      </c>
      <c r="AA453" s="2">
        <v>21.8</v>
      </c>
      <c r="AB453" s="2">
        <v>0</v>
      </c>
    </row>
    <row r="454" spans="1:28" x14ac:dyDescent="0.25">
      <c r="A454">
        <v>2032681527</v>
      </c>
      <c r="B454" t="s">
        <v>953</v>
      </c>
      <c r="C454" t="s">
        <v>954</v>
      </c>
      <c r="D454" t="str">
        <f t="shared" si="15"/>
        <v>CHRIS SKOPIS</v>
      </c>
      <c r="E454" t="s">
        <v>100</v>
      </c>
      <c r="F454" t="s">
        <v>194</v>
      </c>
      <c r="G454" t="s">
        <v>195</v>
      </c>
      <c r="H454" t="s">
        <v>195</v>
      </c>
      <c r="I454" s="8" t="s">
        <v>1126</v>
      </c>
      <c r="J454" t="s">
        <v>935</v>
      </c>
      <c r="K454" t="s">
        <v>936</v>
      </c>
      <c r="L454" t="str">
        <f t="shared" si="14"/>
        <v>Kirk Tigue</v>
      </c>
      <c r="M454" t="s">
        <v>1134</v>
      </c>
      <c r="N454" t="s">
        <v>57</v>
      </c>
      <c r="O454" s="1">
        <v>46054</v>
      </c>
      <c r="P454" s="1">
        <v>46235</v>
      </c>
      <c r="Q454" s="2">
        <v>78.44</v>
      </c>
      <c r="R454" t="s">
        <v>58</v>
      </c>
      <c r="S454" s="3">
        <v>0.7</v>
      </c>
      <c r="T454">
        <v>0</v>
      </c>
      <c r="U454" t="s">
        <v>60</v>
      </c>
      <c r="V454" t="s">
        <v>248</v>
      </c>
      <c r="W454">
        <v>0</v>
      </c>
      <c r="X454" s="2">
        <v>0</v>
      </c>
      <c r="Y454" s="2">
        <v>54.91</v>
      </c>
      <c r="Z454" s="2">
        <v>0</v>
      </c>
      <c r="AA454" s="2">
        <v>0</v>
      </c>
      <c r="AB454" s="2">
        <v>0</v>
      </c>
    </row>
    <row r="455" spans="1:28" x14ac:dyDescent="0.25">
      <c r="A455">
        <v>2029159005</v>
      </c>
      <c r="B455" t="s">
        <v>933</v>
      </c>
      <c r="C455" t="s">
        <v>934</v>
      </c>
      <c r="D455" t="str">
        <f t="shared" si="15"/>
        <v>GABRIEL RICORDER</v>
      </c>
      <c r="E455" t="s">
        <v>124</v>
      </c>
      <c r="F455" t="s">
        <v>133</v>
      </c>
      <c r="G455" t="s">
        <v>134</v>
      </c>
      <c r="H455" t="s">
        <v>134</v>
      </c>
      <c r="I455" s="8">
        <v>21421111</v>
      </c>
      <c r="J455" t="s">
        <v>935</v>
      </c>
      <c r="K455" t="s">
        <v>936</v>
      </c>
      <c r="L455" t="str">
        <f t="shared" si="14"/>
        <v>Kirk Tigue</v>
      </c>
      <c r="M455" t="s">
        <v>1133</v>
      </c>
      <c r="N455" t="s">
        <v>57</v>
      </c>
      <c r="O455" s="1">
        <v>45806</v>
      </c>
      <c r="P455" s="1">
        <v>46232</v>
      </c>
      <c r="Q455" s="2">
        <v>22.88</v>
      </c>
      <c r="R455" t="s">
        <v>58</v>
      </c>
      <c r="S455" s="3">
        <v>0.06</v>
      </c>
      <c r="T455">
        <v>0</v>
      </c>
      <c r="U455" t="s">
        <v>247</v>
      </c>
      <c r="V455" t="s">
        <v>248</v>
      </c>
      <c r="W455">
        <v>0</v>
      </c>
      <c r="X455" s="2">
        <v>0</v>
      </c>
      <c r="Y455" s="2">
        <v>1.37</v>
      </c>
      <c r="Z455" s="2">
        <v>1.37</v>
      </c>
      <c r="AA455" s="2">
        <v>1.37</v>
      </c>
      <c r="AB455" s="2">
        <v>0</v>
      </c>
    </row>
    <row r="456" spans="1:28" x14ac:dyDescent="0.25">
      <c r="A456">
        <v>2029624409</v>
      </c>
      <c r="B456" t="s">
        <v>938</v>
      </c>
      <c r="C456" t="s">
        <v>259</v>
      </c>
      <c r="D456" t="str">
        <f t="shared" si="15"/>
        <v>DOUGLAS ASHLEY</v>
      </c>
      <c r="E456" t="s">
        <v>332</v>
      </c>
      <c r="F456" t="s">
        <v>133</v>
      </c>
      <c r="G456" t="s">
        <v>134</v>
      </c>
      <c r="H456" t="s">
        <v>134</v>
      </c>
      <c r="I456" s="8">
        <v>21421111</v>
      </c>
      <c r="J456" t="s">
        <v>935</v>
      </c>
      <c r="K456" t="s">
        <v>936</v>
      </c>
      <c r="L456" t="str">
        <f t="shared" si="14"/>
        <v>Kirk Tigue</v>
      </c>
      <c r="M456" t="s">
        <v>1133</v>
      </c>
      <c r="N456" t="s">
        <v>57</v>
      </c>
      <c r="O456" s="1">
        <v>45838</v>
      </c>
      <c r="P456" s="1">
        <v>46233</v>
      </c>
      <c r="Q456" s="2">
        <v>18.62</v>
      </c>
      <c r="R456" t="s">
        <v>58</v>
      </c>
      <c r="S456" s="3">
        <v>0.06</v>
      </c>
      <c r="T456">
        <v>0</v>
      </c>
      <c r="U456" t="s">
        <v>247</v>
      </c>
      <c r="V456" t="s">
        <v>248</v>
      </c>
      <c r="W456">
        <v>0</v>
      </c>
      <c r="X456" s="2">
        <v>0</v>
      </c>
      <c r="Y456" s="2">
        <v>1.1200000000000001</v>
      </c>
      <c r="Z456" s="2">
        <v>1.1200000000000001</v>
      </c>
      <c r="AA456" s="2">
        <v>1.1200000000000001</v>
      </c>
      <c r="AB456" s="2">
        <v>0</v>
      </c>
    </row>
    <row r="457" spans="1:28" x14ac:dyDescent="0.25">
      <c r="A457">
        <v>2030178516</v>
      </c>
      <c r="B457" t="s">
        <v>941</v>
      </c>
      <c r="C457" t="s">
        <v>942</v>
      </c>
      <c r="D457" t="str">
        <f t="shared" si="15"/>
        <v>RIVERA SARA</v>
      </c>
      <c r="E457" t="s">
        <v>97</v>
      </c>
      <c r="F457" t="s">
        <v>133</v>
      </c>
      <c r="G457" t="s">
        <v>134</v>
      </c>
      <c r="H457" t="s">
        <v>134</v>
      </c>
      <c r="I457" s="8">
        <v>21421111</v>
      </c>
      <c r="J457" t="s">
        <v>935</v>
      </c>
      <c r="K457" t="s">
        <v>936</v>
      </c>
      <c r="L457" t="str">
        <f t="shared" si="14"/>
        <v>Kirk Tigue</v>
      </c>
      <c r="M457" t="s">
        <v>1133</v>
      </c>
      <c r="N457" t="s">
        <v>57</v>
      </c>
      <c r="O457" s="1">
        <v>45867</v>
      </c>
      <c r="P457" s="1">
        <v>46232</v>
      </c>
      <c r="Q457" s="2">
        <v>23.34</v>
      </c>
      <c r="R457" t="s">
        <v>58</v>
      </c>
      <c r="S457" s="4">
        <v>0.375</v>
      </c>
      <c r="T457">
        <v>0</v>
      </c>
      <c r="U457" t="s">
        <v>60</v>
      </c>
      <c r="V457" t="s">
        <v>248</v>
      </c>
      <c r="W457">
        <v>0</v>
      </c>
      <c r="X457" s="2">
        <v>0</v>
      </c>
      <c r="Y457" s="2">
        <v>8.75</v>
      </c>
      <c r="Z457" s="2">
        <v>8.75</v>
      </c>
      <c r="AA457" s="2">
        <v>8.75</v>
      </c>
      <c r="AB457" s="2">
        <v>0</v>
      </c>
    </row>
    <row r="458" spans="1:28" x14ac:dyDescent="0.25">
      <c r="A458">
        <v>2032681526</v>
      </c>
      <c r="B458" t="s">
        <v>953</v>
      </c>
      <c r="C458" t="s">
        <v>954</v>
      </c>
      <c r="D458" t="str">
        <f t="shared" si="15"/>
        <v>CHRIS SKOPIS</v>
      </c>
      <c r="E458" t="s">
        <v>100</v>
      </c>
      <c r="F458" t="s">
        <v>133</v>
      </c>
      <c r="G458" t="s">
        <v>134</v>
      </c>
      <c r="H458" t="s">
        <v>134</v>
      </c>
      <c r="I458" s="8" t="s">
        <v>1126</v>
      </c>
      <c r="J458" t="s">
        <v>935</v>
      </c>
      <c r="K458" t="s">
        <v>936</v>
      </c>
      <c r="L458" t="str">
        <f t="shared" si="14"/>
        <v>Kirk Tigue</v>
      </c>
      <c r="M458" t="s">
        <v>1134</v>
      </c>
      <c r="N458" t="s">
        <v>57</v>
      </c>
      <c r="O458" s="1">
        <v>46054</v>
      </c>
      <c r="P458" s="1">
        <v>46235</v>
      </c>
      <c r="Q458" s="2">
        <v>51.19</v>
      </c>
      <c r="R458" t="s">
        <v>58</v>
      </c>
      <c r="S458" s="4">
        <v>0.375</v>
      </c>
      <c r="T458">
        <v>0</v>
      </c>
      <c r="U458" t="s">
        <v>60</v>
      </c>
      <c r="V458" t="s">
        <v>248</v>
      </c>
      <c r="W458">
        <v>0</v>
      </c>
      <c r="X458" s="2">
        <v>0</v>
      </c>
      <c r="Y458" s="2">
        <v>19.2</v>
      </c>
      <c r="Z458" s="2">
        <v>0</v>
      </c>
      <c r="AA458" s="2">
        <v>0</v>
      </c>
      <c r="AB458" s="2">
        <v>0</v>
      </c>
    </row>
    <row r="459" spans="1:28" x14ac:dyDescent="0.25">
      <c r="A459">
        <v>2033178445</v>
      </c>
      <c r="B459" t="s">
        <v>744</v>
      </c>
      <c r="C459" t="s">
        <v>750</v>
      </c>
      <c r="D459" t="str">
        <f t="shared" si="15"/>
        <v>RENAE BROWN</v>
      </c>
      <c r="E459" t="s">
        <v>89</v>
      </c>
      <c r="F459" t="s">
        <v>194</v>
      </c>
      <c r="G459" t="s">
        <v>195</v>
      </c>
      <c r="H459" t="s">
        <v>195</v>
      </c>
      <c r="I459" s="8" t="s">
        <v>1117</v>
      </c>
      <c r="J459" t="s">
        <v>751</v>
      </c>
      <c r="K459" t="s">
        <v>752</v>
      </c>
      <c r="L459" t="str">
        <f t="shared" si="14"/>
        <v>Kristen Facchini</v>
      </c>
      <c r="M459" t="s">
        <v>1134</v>
      </c>
      <c r="N459" t="s">
        <v>57</v>
      </c>
      <c r="O459" s="1">
        <v>46054</v>
      </c>
      <c r="P459" s="1">
        <v>46235</v>
      </c>
      <c r="Q459" s="2">
        <v>101.28</v>
      </c>
      <c r="R459" t="s">
        <v>58</v>
      </c>
      <c r="S459" s="3">
        <v>0.7</v>
      </c>
      <c r="T459">
        <v>0</v>
      </c>
      <c r="U459" t="s">
        <v>60</v>
      </c>
      <c r="V459" t="s">
        <v>248</v>
      </c>
      <c r="W459">
        <v>0</v>
      </c>
      <c r="X459" s="2">
        <v>0</v>
      </c>
      <c r="Y459" s="2">
        <v>70.900000000000006</v>
      </c>
      <c r="Z459" s="2">
        <v>0</v>
      </c>
      <c r="AA459" s="2">
        <v>0</v>
      </c>
      <c r="AB459" s="2">
        <v>0</v>
      </c>
    </row>
    <row r="460" spans="1:28" x14ac:dyDescent="0.25">
      <c r="A460">
        <v>2032821935</v>
      </c>
      <c r="B460" t="s">
        <v>875</v>
      </c>
      <c r="C460" t="s">
        <v>955</v>
      </c>
      <c r="D460" t="str">
        <f t="shared" si="15"/>
        <v>MERCEDES ANDERSON</v>
      </c>
      <c r="E460" t="s">
        <v>332</v>
      </c>
      <c r="F460" t="s">
        <v>194</v>
      </c>
      <c r="G460" t="s">
        <v>195</v>
      </c>
      <c r="H460" t="s">
        <v>195</v>
      </c>
      <c r="I460" s="8" t="s">
        <v>1127</v>
      </c>
      <c r="J460" t="s">
        <v>163</v>
      </c>
      <c r="K460" t="s">
        <v>164</v>
      </c>
      <c r="L460" t="str">
        <f t="shared" si="14"/>
        <v>Makena Booker</v>
      </c>
      <c r="M460" t="s">
        <v>1134</v>
      </c>
      <c r="N460" t="s">
        <v>57</v>
      </c>
      <c r="O460" s="1">
        <v>46054</v>
      </c>
      <c r="P460" s="1">
        <v>46235</v>
      </c>
      <c r="Q460" s="2">
        <v>54.48</v>
      </c>
      <c r="R460" t="s">
        <v>58</v>
      </c>
      <c r="S460" s="3">
        <v>0.7</v>
      </c>
      <c r="T460">
        <v>0</v>
      </c>
      <c r="U460" t="s">
        <v>60</v>
      </c>
      <c r="V460" t="s">
        <v>248</v>
      </c>
      <c r="W460">
        <v>0</v>
      </c>
      <c r="X460" s="2">
        <v>0</v>
      </c>
      <c r="Y460" s="2">
        <v>38.14</v>
      </c>
      <c r="Z460" s="2">
        <v>0</v>
      </c>
      <c r="AA460" s="2">
        <v>0</v>
      </c>
      <c r="AB460" s="2">
        <v>0</v>
      </c>
    </row>
    <row r="461" spans="1:28" x14ac:dyDescent="0.25">
      <c r="A461">
        <v>2032821936</v>
      </c>
      <c r="B461" t="s">
        <v>875</v>
      </c>
      <c r="C461" t="s">
        <v>955</v>
      </c>
      <c r="D461" t="str">
        <f t="shared" si="15"/>
        <v>MERCEDES ANDERSON</v>
      </c>
      <c r="E461" t="s">
        <v>332</v>
      </c>
      <c r="F461" t="s">
        <v>133</v>
      </c>
      <c r="G461" t="s">
        <v>134</v>
      </c>
      <c r="H461" t="s">
        <v>134</v>
      </c>
      <c r="I461" s="8" t="s">
        <v>1127</v>
      </c>
      <c r="J461" t="s">
        <v>163</v>
      </c>
      <c r="K461" t="s">
        <v>164</v>
      </c>
      <c r="L461" t="str">
        <f t="shared" si="14"/>
        <v>Makena Booker</v>
      </c>
      <c r="M461" t="s">
        <v>1134</v>
      </c>
      <c r="N461" t="s">
        <v>57</v>
      </c>
      <c r="O461" s="1">
        <v>46054</v>
      </c>
      <c r="P461" s="1">
        <v>46235</v>
      </c>
      <c r="Q461" s="2">
        <v>35.5</v>
      </c>
      <c r="R461" t="s">
        <v>58</v>
      </c>
      <c r="S461" s="4">
        <v>0.375</v>
      </c>
      <c r="T461">
        <v>0</v>
      </c>
      <c r="U461" t="s">
        <v>60</v>
      </c>
      <c r="V461" t="s">
        <v>248</v>
      </c>
      <c r="W461">
        <v>0</v>
      </c>
      <c r="X461" s="2">
        <v>0</v>
      </c>
      <c r="Y461" s="2">
        <v>13.31</v>
      </c>
      <c r="Z461" s="2">
        <v>0</v>
      </c>
      <c r="AA461" s="2">
        <v>0</v>
      </c>
      <c r="AB461" s="2">
        <v>0</v>
      </c>
    </row>
    <row r="462" spans="1:28" x14ac:dyDescent="0.25">
      <c r="A462">
        <v>2035738337</v>
      </c>
      <c r="B462" t="s">
        <v>974</v>
      </c>
      <c r="C462" t="s">
        <v>975</v>
      </c>
      <c r="D462" t="str">
        <f t="shared" si="15"/>
        <v>BOBBY CANADY</v>
      </c>
      <c r="E462" t="s">
        <v>124</v>
      </c>
      <c r="F462" t="s">
        <v>133</v>
      </c>
      <c r="G462" t="s">
        <v>134</v>
      </c>
      <c r="H462" t="s">
        <v>134</v>
      </c>
      <c r="I462" s="8" t="s">
        <v>1127</v>
      </c>
      <c r="J462" t="s">
        <v>163</v>
      </c>
      <c r="K462" t="s">
        <v>164</v>
      </c>
      <c r="L462" t="str">
        <f t="shared" si="14"/>
        <v>Makena Booker</v>
      </c>
      <c r="M462" t="s">
        <v>1134</v>
      </c>
      <c r="N462" t="s">
        <v>57</v>
      </c>
      <c r="O462" s="1">
        <v>46172</v>
      </c>
      <c r="P462" s="1">
        <v>46233</v>
      </c>
      <c r="Q462" s="2">
        <v>65.56</v>
      </c>
      <c r="R462" t="s">
        <v>58</v>
      </c>
      <c r="S462" s="4">
        <v>0.375</v>
      </c>
      <c r="T462">
        <v>0</v>
      </c>
      <c r="U462" t="s">
        <v>60</v>
      </c>
      <c r="V462" t="s">
        <v>248</v>
      </c>
      <c r="W462">
        <v>0</v>
      </c>
      <c r="X462" s="2">
        <v>0</v>
      </c>
      <c r="Y462" s="2">
        <v>24.58</v>
      </c>
      <c r="Z462" s="2">
        <v>0</v>
      </c>
      <c r="AA462" s="2">
        <v>0</v>
      </c>
      <c r="AB462" s="2">
        <v>0</v>
      </c>
    </row>
    <row r="463" spans="1:28" x14ac:dyDescent="0.25">
      <c r="A463">
        <v>2035554500</v>
      </c>
      <c r="B463" t="s">
        <v>993</v>
      </c>
      <c r="C463" t="s">
        <v>994</v>
      </c>
      <c r="D463" t="str">
        <f t="shared" si="15"/>
        <v>MADILYN CAHILL</v>
      </c>
      <c r="E463" t="s">
        <v>52</v>
      </c>
      <c r="F463" t="s">
        <v>188</v>
      </c>
      <c r="G463" t="s">
        <v>189</v>
      </c>
      <c r="H463" t="s">
        <v>189</v>
      </c>
      <c r="I463" s="8">
        <v>21618313</v>
      </c>
      <c r="J463" t="s">
        <v>995</v>
      </c>
      <c r="K463" t="s">
        <v>996</v>
      </c>
      <c r="L463" t="str">
        <f t="shared" si="14"/>
        <v>Mark Roccia</v>
      </c>
      <c r="M463" t="s">
        <v>1133</v>
      </c>
      <c r="N463" t="s">
        <v>57</v>
      </c>
      <c r="O463" s="1">
        <v>46173</v>
      </c>
      <c r="P463" s="1">
        <v>46233</v>
      </c>
      <c r="Q463" s="2">
        <v>21.97</v>
      </c>
      <c r="R463" t="s">
        <v>58</v>
      </c>
      <c r="S463" s="3">
        <v>0.38</v>
      </c>
      <c r="T463">
        <v>0</v>
      </c>
      <c r="U463" t="s">
        <v>60</v>
      </c>
      <c r="V463" t="s">
        <v>248</v>
      </c>
      <c r="W463">
        <v>0</v>
      </c>
      <c r="X463" s="2">
        <v>0</v>
      </c>
      <c r="Y463" s="2">
        <v>8.35</v>
      </c>
      <c r="Z463" s="2">
        <v>0</v>
      </c>
      <c r="AA463" s="2">
        <v>0</v>
      </c>
      <c r="AB463" s="2">
        <v>0</v>
      </c>
    </row>
    <row r="464" spans="1:28" x14ac:dyDescent="0.25">
      <c r="A464">
        <v>2033991828</v>
      </c>
      <c r="B464" t="s">
        <v>562</v>
      </c>
      <c r="C464" t="s">
        <v>478</v>
      </c>
      <c r="D464" t="str">
        <f t="shared" si="15"/>
        <v>MICHAEL VILLANO</v>
      </c>
      <c r="E464" t="s">
        <v>200</v>
      </c>
      <c r="F464" t="s">
        <v>69</v>
      </c>
      <c r="G464" t="s">
        <v>79</v>
      </c>
      <c r="H464" t="s">
        <v>1080</v>
      </c>
      <c r="I464" s="8" t="s">
        <v>1102</v>
      </c>
      <c r="J464" t="s">
        <v>563</v>
      </c>
      <c r="K464" t="s">
        <v>564</v>
      </c>
      <c r="L464" t="str">
        <f t="shared" si="14"/>
        <v>Marsha Sanderock</v>
      </c>
      <c r="M464" t="s">
        <v>1134</v>
      </c>
      <c r="N464" t="s">
        <v>57</v>
      </c>
      <c r="O464" s="1">
        <v>46081</v>
      </c>
      <c r="P464" s="1">
        <v>46231</v>
      </c>
      <c r="Q464" s="2">
        <v>71.5</v>
      </c>
      <c r="R464" t="s">
        <v>58</v>
      </c>
      <c r="S464" s="3">
        <v>0.9</v>
      </c>
      <c r="T464">
        <v>0</v>
      </c>
      <c r="U464" t="s">
        <v>60</v>
      </c>
      <c r="V464" t="s">
        <v>248</v>
      </c>
      <c r="W464">
        <v>0</v>
      </c>
      <c r="X464" s="2">
        <v>0</v>
      </c>
      <c r="Y464" s="2">
        <v>64.349999999999994</v>
      </c>
      <c r="Z464" s="2">
        <v>0</v>
      </c>
      <c r="AA464" s="2">
        <v>0</v>
      </c>
      <c r="AB464" s="2">
        <v>0</v>
      </c>
    </row>
    <row r="465" spans="1:28" x14ac:dyDescent="0.25">
      <c r="A465">
        <v>2032246903</v>
      </c>
      <c r="B465" t="s">
        <v>622</v>
      </c>
      <c r="C465" t="s">
        <v>623</v>
      </c>
      <c r="D465" t="str">
        <f t="shared" si="15"/>
        <v>LEIGH HOPKINS</v>
      </c>
      <c r="E465" t="s">
        <v>200</v>
      </c>
      <c r="F465" t="s">
        <v>149</v>
      </c>
      <c r="G465" t="s">
        <v>624</v>
      </c>
      <c r="H465" t="s">
        <v>624</v>
      </c>
      <c r="I465" s="8" t="s">
        <v>1102</v>
      </c>
      <c r="J465" t="s">
        <v>563</v>
      </c>
      <c r="K465" t="s">
        <v>564</v>
      </c>
      <c r="L465" t="str">
        <f t="shared" si="14"/>
        <v>Marsha Sanderock</v>
      </c>
      <c r="M465" t="s">
        <v>1134</v>
      </c>
      <c r="N465" t="s">
        <v>57</v>
      </c>
      <c r="O465" s="1">
        <v>46054</v>
      </c>
      <c r="P465" s="1">
        <v>46235</v>
      </c>
      <c r="Q465" s="2">
        <v>15</v>
      </c>
      <c r="R465" t="s">
        <v>58</v>
      </c>
      <c r="S465" s="3">
        <v>0.19</v>
      </c>
      <c r="T465">
        <v>0</v>
      </c>
      <c r="U465" t="s">
        <v>60</v>
      </c>
      <c r="V465" t="s">
        <v>248</v>
      </c>
      <c r="W465">
        <v>0</v>
      </c>
      <c r="X465" s="2">
        <v>0</v>
      </c>
      <c r="Y465" s="2">
        <v>2.85</v>
      </c>
      <c r="Z465" s="2">
        <v>0</v>
      </c>
      <c r="AA465" s="2">
        <v>0</v>
      </c>
      <c r="AB465" s="2">
        <v>0</v>
      </c>
    </row>
    <row r="466" spans="1:28" x14ac:dyDescent="0.25">
      <c r="A466">
        <v>2033991829</v>
      </c>
      <c r="B466" t="s">
        <v>562</v>
      </c>
      <c r="C466" t="s">
        <v>478</v>
      </c>
      <c r="D466" t="str">
        <f t="shared" si="15"/>
        <v>MICHAEL VILLANO</v>
      </c>
      <c r="E466" t="s">
        <v>200</v>
      </c>
      <c r="F466" t="s">
        <v>149</v>
      </c>
      <c r="G466" t="s">
        <v>624</v>
      </c>
      <c r="H466" t="s">
        <v>624</v>
      </c>
      <c r="I466" s="8" t="s">
        <v>1102</v>
      </c>
      <c r="J466" t="s">
        <v>563</v>
      </c>
      <c r="K466" t="s">
        <v>564</v>
      </c>
      <c r="L466" t="str">
        <f t="shared" si="14"/>
        <v>Marsha Sanderock</v>
      </c>
      <c r="M466" t="s">
        <v>1134</v>
      </c>
      <c r="N466" t="s">
        <v>57</v>
      </c>
      <c r="O466" s="1">
        <v>46081</v>
      </c>
      <c r="P466" s="1">
        <v>46231</v>
      </c>
      <c r="Q466" s="2">
        <v>15</v>
      </c>
      <c r="R466" t="s">
        <v>58</v>
      </c>
      <c r="S466" s="3">
        <v>0.19</v>
      </c>
      <c r="T466">
        <v>0</v>
      </c>
      <c r="U466" t="s">
        <v>60</v>
      </c>
      <c r="V466" t="s">
        <v>248</v>
      </c>
      <c r="W466">
        <v>0</v>
      </c>
      <c r="X466" s="2">
        <v>0</v>
      </c>
      <c r="Y466" s="2">
        <v>2.85</v>
      </c>
      <c r="Z466" s="2">
        <v>0</v>
      </c>
      <c r="AA466" s="2">
        <v>0</v>
      </c>
      <c r="AB466" s="2">
        <v>0</v>
      </c>
    </row>
    <row r="467" spans="1:28" x14ac:dyDescent="0.25">
      <c r="A467">
        <v>2033991826</v>
      </c>
      <c r="B467" t="s">
        <v>562</v>
      </c>
      <c r="C467" t="s">
        <v>478</v>
      </c>
      <c r="D467" t="str">
        <f t="shared" si="15"/>
        <v>MICHAEL VILLANO</v>
      </c>
      <c r="E467" t="s">
        <v>200</v>
      </c>
      <c r="F467" t="s">
        <v>237</v>
      </c>
      <c r="G467" t="s">
        <v>854</v>
      </c>
      <c r="H467" t="s">
        <v>1083</v>
      </c>
      <c r="I467" s="8">
        <v>20724564</v>
      </c>
      <c r="J467" t="s">
        <v>563</v>
      </c>
      <c r="K467" t="s">
        <v>564</v>
      </c>
      <c r="L467" t="str">
        <f t="shared" si="14"/>
        <v>Marsha Sanderock</v>
      </c>
      <c r="M467" t="s">
        <v>1133</v>
      </c>
      <c r="N467" t="s">
        <v>57</v>
      </c>
      <c r="O467" s="1">
        <v>46081</v>
      </c>
      <c r="P467" s="1">
        <v>46231</v>
      </c>
      <c r="Q467" s="2">
        <v>197.36</v>
      </c>
      <c r="R467" t="s">
        <v>58</v>
      </c>
      <c r="S467" s="3">
        <v>0.19</v>
      </c>
      <c r="T467">
        <v>0</v>
      </c>
      <c r="U467" t="s">
        <v>60</v>
      </c>
      <c r="V467" t="s">
        <v>248</v>
      </c>
      <c r="W467">
        <v>0</v>
      </c>
      <c r="X467" s="2">
        <v>0</v>
      </c>
      <c r="Y467" s="2">
        <v>37.5</v>
      </c>
      <c r="Z467" s="2">
        <v>0</v>
      </c>
      <c r="AA467" s="2">
        <v>0</v>
      </c>
      <c r="AB467" s="2">
        <v>0</v>
      </c>
    </row>
    <row r="468" spans="1:28" x14ac:dyDescent="0.25">
      <c r="A468">
        <v>2032246902</v>
      </c>
      <c r="B468" t="s">
        <v>622</v>
      </c>
      <c r="C468" t="s">
        <v>623</v>
      </c>
      <c r="D468" t="str">
        <f t="shared" si="15"/>
        <v>LEIGH HOPKINS</v>
      </c>
      <c r="E468" t="s">
        <v>200</v>
      </c>
      <c r="F468" t="s">
        <v>237</v>
      </c>
      <c r="G468" t="s">
        <v>854</v>
      </c>
      <c r="H468" t="s">
        <v>1083</v>
      </c>
      <c r="I468" s="8">
        <v>20724564</v>
      </c>
      <c r="J468" t="s">
        <v>563</v>
      </c>
      <c r="K468" t="s">
        <v>564</v>
      </c>
      <c r="L468" t="str">
        <f t="shared" si="14"/>
        <v>Marsha Sanderock</v>
      </c>
      <c r="M468" t="s">
        <v>1133</v>
      </c>
      <c r="N468" t="s">
        <v>57</v>
      </c>
      <c r="O468" s="1">
        <v>46054</v>
      </c>
      <c r="P468" s="1">
        <v>46235</v>
      </c>
      <c r="Q468" s="2">
        <v>758.9</v>
      </c>
      <c r="R468" t="s">
        <v>58</v>
      </c>
      <c r="S468" s="3">
        <v>0.19</v>
      </c>
      <c r="T468">
        <v>0</v>
      </c>
      <c r="U468" t="s">
        <v>60</v>
      </c>
      <c r="V468" t="s">
        <v>248</v>
      </c>
      <c r="W468">
        <v>0</v>
      </c>
      <c r="X468" s="2">
        <v>0</v>
      </c>
      <c r="Y468" s="2">
        <v>144.19</v>
      </c>
      <c r="Z468" s="2">
        <v>0</v>
      </c>
      <c r="AA468" s="2">
        <v>0</v>
      </c>
      <c r="AB468" s="2">
        <v>0</v>
      </c>
    </row>
    <row r="469" spans="1:28" x14ac:dyDescent="0.25">
      <c r="A469">
        <v>2033991827</v>
      </c>
      <c r="B469" t="s">
        <v>562</v>
      </c>
      <c r="C469" t="s">
        <v>478</v>
      </c>
      <c r="D469" t="str">
        <f t="shared" si="15"/>
        <v>MICHAEL VILLANO</v>
      </c>
      <c r="E469" t="s">
        <v>200</v>
      </c>
      <c r="F469" t="s">
        <v>194</v>
      </c>
      <c r="G469" t="s">
        <v>195</v>
      </c>
      <c r="H469" t="s">
        <v>195</v>
      </c>
      <c r="I469" s="8" t="s">
        <v>1102</v>
      </c>
      <c r="J469" t="s">
        <v>563</v>
      </c>
      <c r="K469" t="s">
        <v>564</v>
      </c>
      <c r="L469" t="str">
        <f t="shared" si="14"/>
        <v>Marsha Sanderock</v>
      </c>
      <c r="M469" t="s">
        <v>1134</v>
      </c>
      <c r="N469" t="s">
        <v>57</v>
      </c>
      <c r="O469" s="1">
        <v>46081</v>
      </c>
      <c r="P469" s="1">
        <v>46231</v>
      </c>
      <c r="Q469" s="2">
        <v>10.18</v>
      </c>
      <c r="R469" t="s">
        <v>58</v>
      </c>
      <c r="S469" s="3">
        <v>0.7</v>
      </c>
      <c r="T469">
        <v>0</v>
      </c>
      <c r="U469" t="s">
        <v>60</v>
      </c>
      <c r="V469" t="s">
        <v>248</v>
      </c>
      <c r="W469">
        <v>0</v>
      </c>
      <c r="X469" s="2">
        <v>0</v>
      </c>
      <c r="Y469" s="2">
        <v>7.13</v>
      </c>
      <c r="Z469" s="2">
        <v>0</v>
      </c>
      <c r="AA469" s="2">
        <v>0</v>
      </c>
      <c r="AB469" s="2">
        <v>0</v>
      </c>
    </row>
    <row r="470" spans="1:28" x14ac:dyDescent="0.25">
      <c r="A470">
        <v>2033991825</v>
      </c>
      <c r="B470" t="s">
        <v>562</v>
      </c>
      <c r="C470" t="s">
        <v>478</v>
      </c>
      <c r="D470" t="str">
        <f t="shared" si="15"/>
        <v>MICHAEL VILLANO</v>
      </c>
      <c r="E470" t="s">
        <v>200</v>
      </c>
      <c r="F470" t="s">
        <v>133</v>
      </c>
      <c r="G470" t="s">
        <v>134</v>
      </c>
      <c r="H470" t="s">
        <v>134</v>
      </c>
      <c r="I470" s="8" t="s">
        <v>1102</v>
      </c>
      <c r="J470" t="s">
        <v>563</v>
      </c>
      <c r="K470" t="s">
        <v>564</v>
      </c>
      <c r="L470" t="str">
        <f t="shared" si="14"/>
        <v>Marsha Sanderock</v>
      </c>
      <c r="M470" t="s">
        <v>1134</v>
      </c>
      <c r="N470" t="s">
        <v>57</v>
      </c>
      <c r="O470" s="1">
        <v>46081</v>
      </c>
      <c r="P470" s="1">
        <v>46231</v>
      </c>
      <c r="Q470" s="2">
        <v>67.150000000000006</v>
      </c>
      <c r="R470" t="s">
        <v>58</v>
      </c>
      <c r="S470" s="4">
        <v>0.375</v>
      </c>
      <c r="T470">
        <v>0</v>
      </c>
      <c r="U470" t="s">
        <v>60</v>
      </c>
      <c r="V470" t="s">
        <v>248</v>
      </c>
      <c r="W470">
        <v>0</v>
      </c>
      <c r="X470" s="2">
        <v>0</v>
      </c>
      <c r="Y470" s="2">
        <v>25.18</v>
      </c>
      <c r="Z470" s="2">
        <v>0</v>
      </c>
      <c r="AA470" s="2">
        <v>0</v>
      </c>
      <c r="AB470" s="2">
        <v>0</v>
      </c>
    </row>
    <row r="471" spans="1:28" x14ac:dyDescent="0.25">
      <c r="A471">
        <v>2026617313</v>
      </c>
      <c r="B471" t="s">
        <v>356</v>
      </c>
      <c r="C471" t="s">
        <v>357</v>
      </c>
      <c r="D471" t="str">
        <f t="shared" si="15"/>
        <v>RONNIE BORDEAUX</v>
      </c>
      <c r="E471" t="s">
        <v>75</v>
      </c>
      <c r="F471" t="s">
        <v>69</v>
      </c>
      <c r="G471" t="s">
        <v>338</v>
      </c>
      <c r="H471" t="s">
        <v>1079</v>
      </c>
      <c r="I471" s="8">
        <v>1706194</v>
      </c>
      <c r="J471" t="s">
        <v>358</v>
      </c>
      <c r="K471" t="s">
        <v>359</v>
      </c>
      <c r="L471" t="str">
        <f t="shared" si="14"/>
        <v>MATTHEW DAUGHERTY</v>
      </c>
      <c r="M471" t="s">
        <v>1133</v>
      </c>
      <c r="N471" t="s">
        <v>57</v>
      </c>
      <c r="O471" s="1">
        <v>45689</v>
      </c>
      <c r="P471" s="1">
        <v>46235</v>
      </c>
      <c r="Q471" s="2">
        <v>78.28</v>
      </c>
      <c r="R471" t="s">
        <v>58</v>
      </c>
      <c r="S471" s="3">
        <v>0.1</v>
      </c>
      <c r="T471">
        <v>0</v>
      </c>
      <c r="U471" t="s">
        <v>247</v>
      </c>
      <c r="V471" t="s">
        <v>248</v>
      </c>
      <c r="W471">
        <v>0</v>
      </c>
      <c r="X471" s="2">
        <v>0</v>
      </c>
      <c r="Y471" s="2">
        <v>7.83</v>
      </c>
      <c r="Z471" s="2">
        <v>7.83</v>
      </c>
      <c r="AA471" s="2">
        <v>7.83</v>
      </c>
      <c r="AB471" s="2">
        <v>0</v>
      </c>
    </row>
    <row r="472" spans="1:28" x14ac:dyDescent="0.25">
      <c r="A472">
        <v>2026701619</v>
      </c>
      <c r="B472" t="s">
        <v>364</v>
      </c>
      <c r="C472" t="s">
        <v>365</v>
      </c>
      <c r="D472" t="str">
        <f t="shared" si="15"/>
        <v>DEANNA CROSSETT</v>
      </c>
      <c r="E472" t="s">
        <v>89</v>
      </c>
      <c r="F472" t="s">
        <v>69</v>
      </c>
      <c r="G472" t="s">
        <v>338</v>
      </c>
      <c r="H472" t="s">
        <v>1079</v>
      </c>
      <c r="I472" s="8">
        <v>1706194</v>
      </c>
      <c r="J472" t="s">
        <v>358</v>
      </c>
      <c r="K472" t="s">
        <v>359</v>
      </c>
      <c r="L472" t="str">
        <f t="shared" si="14"/>
        <v>MATTHEW DAUGHERTY</v>
      </c>
      <c r="M472" t="s">
        <v>1133</v>
      </c>
      <c r="N472" t="s">
        <v>57</v>
      </c>
      <c r="O472" s="1">
        <v>45689</v>
      </c>
      <c r="P472" s="1">
        <v>46235</v>
      </c>
      <c r="Q472" s="2">
        <v>141.44999999999999</v>
      </c>
      <c r="R472" t="s">
        <v>58</v>
      </c>
      <c r="S472" s="3">
        <v>0.1</v>
      </c>
      <c r="T472">
        <v>0</v>
      </c>
      <c r="U472" t="s">
        <v>247</v>
      </c>
      <c r="V472" t="s">
        <v>248</v>
      </c>
      <c r="W472">
        <v>0</v>
      </c>
      <c r="X472" s="2">
        <v>0</v>
      </c>
      <c r="Y472" s="2">
        <v>14.14</v>
      </c>
      <c r="Z472" s="2">
        <v>14.14</v>
      </c>
      <c r="AA472" s="2">
        <v>14.14</v>
      </c>
      <c r="AB472" s="2">
        <v>0</v>
      </c>
    </row>
    <row r="473" spans="1:28" x14ac:dyDescent="0.25">
      <c r="A473">
        <v>2033310561</v>
      </c>
      <c r="B473" t="s">
        <v>519</v>
      </c>
      <c r="C473" t="s">
        <v>520</v>
      </c>
      <c r="D473" t="str">
        <f t="shared" si="15"/>
        <v>JONATHAN RAINS</v>
      </c>
      <c r="E473" t="s">
        <v>521</v>
      </c>
      <c r="F473" t="s">
        <v>69</v>
      </c>
      <c r="G473" t="s">
        <v>70</v>
      </c>
      <c r="H473" t="s">
        <v>1079</v>
      </c>
      <c r="I473" s="8">
        <v>1706194</v>
      </c>
      <c r="J473" t="s">
        <v>358</v>
      </c>
      <c r="K473" t="s">
        <v>359</v>
      </c>
      <c r="L473" t="str">
        <f t="shared" si="14"/>
        <v>MATTHEW DAUGHERTY</v>
      </c>
      <c r="M473" t="s">
        <v>1133</v>
      </c>
      <c r="N473" t="s">
        <v>57</v>
      </c>
      <c r="O473" s="1">
        <v>46054</v>
      </c>
      <c r="P473" s="1">
        <v>46235</v>
      </c>
      <c r="Q473" s="2">
        <v>32.56</v>
      </c>
      <c r="R473" t="s">
        <v>58</v>
      </c>
      <c r="S473" s="3">
        <v>0.75</v>
      </c>
      <c r="T473">
        <v>0</v>
      </c>
      <c r="U473" t="s">
        <v>60</v>
      </c>
      <c r="V473" t="s">
        <v>248</v>
      </c>
      <c r="W473">
        <v>0</v>
      </c>
      <c r="X473" s="2">
        <v>0</v>
      </c>
      <c r="Y473" s="2">
        <v>24.42</v>
      </c>
      <c r="Z473" s="2">
        <v>0</v>
      </c>
      <c r="AA473" s="2">
        <v>0</v>
      </c>
      <c r="AB473" s="2">
        <v>0</v>
      </c>
    </row>
    <row r="474" spans="1:28" x14ac:dyDescent="0.25">
      <c r="A474">
        <v>2032959578</v>
      </c>
      <c r="B474" t="s">
        <v>421</v>
      </c>
      <c r="C474" t="s">
        <v>422</v>
      </c>
      <c r="D474" t="str">
        <f t="shared" si="15"/>
        <v>MONETTE BALDWIN</v>
      </c>
      <c r="E474" t="s">
        <v>94</v>
      </c>
      <c r="F474" t="s">
        <v>69</v>
      </c>
      <c r="G474" t="s">
        <v>70</v>
      </c>
      <c r="H474" t="s">
        <v>1079</v>
      </c>
      <c r="I474" s="8">
        <v>1706194</v>
      </c>
      <c r="J474" t="s">
        <v>358</v>
      </c>
      <c r="K474" t="s">
        <v>359</v>
      </c>
      <c r="L474" t="str">
        <f t="shared" si="14"/>
        <v>MATTHEW DAUGHERTY</v>
      </c>
      <c r="M474" t="s">
        <v>1133</v>
      </c>
      <c r="N474" t="s">
        <v>57</v>
      </c>
      <c r="O474" s="1">
        <v>46054</v>
      </c>
      <c r="P474" s="1">
        <v>46235</v>
      </c>
      <c r="Q474" s="2">
        <v>34.659999999999997</v>
      </c>
      <c r="R474" t="s">
        <v>58</v>
      </c>
      <c r="S474" s="3">
        <v>0.75</v>
      </c>
      <c r="T474">
        <v>0</v>
      </c>
      <c r="U474" t="s">
        <v>60</v>
      </c>
      <c r="V474" t="s">
        <v>248</v>
      </c>
      <c r="W474">
        <v>0</v>
      </c>
      <c r="X474" s="2">
        <v>0</v>
      </c>
      <c r="Y474" s="2">
        <v>26</v>
      </c>
      <c r="Z474" s="2">
        <v>0</v>
      </c>
      <c r="AA474" s="2">
        <v>0</v>
      </c>
      <c r="AB474" s="2">
        <v>0</v>
      </c>
    </row>
    <row r="475" spans="1:28" x14ac:dyDescent="0.25">
      <c r="A475">
        <v>2033118501</v>
      </c>
      <c r="B475" t="s">
        <v>458</v>
      </c>
      <c r="C475" t="s">
        <v>459</v>
      </c>
      <c r="D475" t="str">
        <f t="shared" si="15"/>
        <v>JOHNNIE FAIR</v>
      </c>
      <c r="E475" t="s">
        <v>94</v>
      </c>
      <c r="F475" t="s">
        <v>69</v>
      </c>
      <c r="G475" t="s">
        <v>70</v>
      </c>
      <c r="H475" t="s">
        <v>1079</v>
      </c>
      <c r="I475" s="8">
        <v>1706194</v>
      </c>
      <c r="J475" t="s">
        <v>358</v>
      </c>
      <c r="K475" t="s">
        <v>359</v>
      </c>
      <c r="L475" t="str">
        <f t="shared" si="14"/>
        <v>MATTHEW DAUGHERTY</v>
      </c>
      <c r="M475" t="s">
        <v>1133</v>
      </c>
      <c r="N475" t="s">
        <v>57</v>
      </c>
      <c r="O475" s="1">
        <v>46054</v>
      </c>
      <c r="P475" s="1">
        <v>46235</v>
      </c>
      <c r="Q475" s="2">
        <v>49.81</v>
      </c>
      <c r="R475" t="s">
        <v>58</v>
      </c>
      <c r="S475" s="3">
        <v>0.75</v>
      </c>
      <c r="T475">
        <v>0</v>
      </c>
      <c r="U475" t="s">
        <v>60</v>
      </c>
      <c r="V475" t="s">
        <v>248</v>
      </c>
      <c r="W475">
        <v>0</v>
      </c>
      <c r="X475" s="2">
        <v>0</v>
      </c>
      <c r="Y475" s="2">
        <v>37.36</v>
      </c>
      <c r="Z475" s="2">
        <v>0</v>
      </c>
      <c r="AA475" s="2">
        <v>0</v>
      </c>
      <c r="AB475" s="2">
        <v>0</v>
      </c>
    </row>
    <row r="476" spans="1:28" x14ac:dyDescent="0.25">
      <c r="A476">
        <v>2033371199</v>
      </c>
      <c r="B476" t="s">
        <v>534</v>
      </c>
      <c r="C476" t="s">
        <v>50</v>
      </c>
      <c r="D476" t="str">
        <f t="shared" si="15"/>
        <v>MARGARET CADENA</v>
      </c>
      <c r="E476" t="s">
        <v>124</v>
      </c>
      <c r="F476" t="s">
        <v>69</v>
      </c>
      <c r="G476" t="s">
        <v>70</v>
      </c>
      <c r="H476" t="s">
        <v>1079</v>
      </c>
      <c r="I476" s="8">
        <v>1706194</v>
      </c>
      <c r="J476" t="s">
        <v>358</v>
      </c>
      <c r="K476" t="s">
        <v>359</v>
      </c>
      <c r="L476" t="str">
        <f t="shared" si="14"/>
        <v>MATTHEW DAUGHERTY</v>
      </c>
      <c r="M476" t="s">
        <v>1133</v>
      </c>
      <c r="N476" t="s">
        <v>57</v>
      </c>
      <c r="O476" s="1">
        <v>46054</v>
      </c>
      <c r="P476" s="1">
        <v>46235</v>
      </c>
      <c r="Q476" s="2">
        <v>52.33</v>
      </c>
      <c r="R476" t="s">
        <v>58</v>
      </c>
      <c r="S476" s="3">
        <v>0.75</v>
      </c>
      <c r="T476">
        <v>0</v>
      </c>
      <c r="U476" t="s">
        <v>60</v>
      </c>
      <c r="V476" t="s">
        <v>248</v>
      </c>
      <c r="W476">
        <v>0</v>
      </c>
      <c r="X476" s="2">
        <v>0</v>
      </c>
      <c r="Y476" s="2">
        <v>39.25</v>
      </c>
      <c r="Z476" s="2">
        <v>0</v>
      </c>
      <c r="AA476" s="2">
        <v>0</v>
      </c>
      <c r="AB476" s="2">
        <v>0</v>
      </c>
    </row>
    <row r="477" spans="1:28" x14ac:dyDescent="0.25">
      <c r="A477">
        <v>2032954748</v>
      </c>
      <c r="B477" t="s">
        <v>417</v>
      </c>
      <c r="C477" t="s">
        <v>418</v>
      </c>
      <c r="D477" t="str">
        <f t="shared" si="15"/>
        <v>MOHAMMAD MATEEN</v>
      </c>
      <c r="E477" t="s">
        <v>68</v>
      </c>
      <c r="F477" t="s">
        <v>69</v>
      </c>
      <c r="G477" t="s">
        <v>338</v>
      </c>
      <c r="H477" t="s">
        <v>1079</v>
      </c>
      <c r="I477" s="8">
        <v>1706194</v>
      </c>
      <c r="J477" t="s">
        <v>358</v>
      </c>
      <c r="K477" t="s">
        <v>359</v>
      </c>
      <c r="L477" t="str">
        <f t="shared" si="14"/>
        <v>MATTHEW DAUGHERTY</v>
      </c>
      <c r="M477" t="s">
        <v>1133</v>
      </c>
      <c r="N477" t="s">
        <v>57</v>
      </c>
      <c r="O477" s="1">
        <v>46054</v>
      </c>
      <c r="P477" s="1">
        <v>46235</v>
      </c>
      <c r="Q477" s="2">
        <v>52.98</v>
      </c>
      <c r="R477" t="s">
        <v>58</v>
      </c>
      <c r="S477" s="3">
        <v>0.75</v>
      </c>
      <c r="T477">
        <v>0</v>
      </c>
      <c r="U477" t="s">
        <v>60</v>
      </c>
      <c r="V477" t="s">
        <v>248</v>
      </c>
      <c r="W477">
        <v>0</v>
      </c>
      <c r="X477" s="2">
        <v>0</v>
      </c>
      <c r="Y477" s="2">
        <v>39.74</v>
      </c>
      <c r="Z477" s="2">
        <v>0</v>
      </c>
      <c r="AA477" s="2">
        <v>0</v>
      </c>
      <c r="AB477" s="2">
        <v>0</v>
      </c>
    </row>
    <row r="478" spans="1:28" x14ac:dyDescent="0.25">
      <c r="A478">
        <v>2033127195</v>
      </c>
      <c r="B478" t="s">
        <v>461</v>
      </c>
      <c r="C478" t="s">
        <v>462</v>
      </c>
      <c r="D478" t="str">
        <f t="shared" si="15"/>
        <v>VERONICA MIRAMONTES</v>
      </c>
      <c r="E478" t="s">
        <v>332</v>
      </c>
      <c r="F478" t="s">
        <v>69</v>
      </c>
      <c r="G478" t="s">
        <v>70</v>
      </c>
      <c r="H478" t="s">
        <v>1079</v>
      </c>
      <c r="I478" s="8">
        <v>1706194</v>
      </c>
      <c r="J478" t="s">
        <v>358</v>
      </c>
      <c r="K478" t="s">
        <v>359</v>
      </c>
      <c r="L478" t="str">
        <f t="shared" si="14"/>
        <v>MATTHEW DAUGHERTY</v>
      </c>
      <c r="M478" t="s">
        <v>1133</v>
      </c>
      <c r="N478" t="s">
        <v>57</v>
      </c>
      <c r="O478" s="1">
        <v>46054</v>
      </c>
      <c r="P478" s="1">
        <v>46235</v>
      </c>
      <c r="Q478" s="2">
        <v>54.85</v>
      </c>
      <c r="R478" t="s">
        <v>58</v>
      </c>
      <c r="S478" s="3">
        <v>0.75</v>
      </c>
      <c r="T478">
        <v>0</v>
      </c>
      <c r="U478" t="s">
        <v>60</v>
      </c>
      <c r="V478" t="s">
        <v>248</v>
      </c>
      <c r="W478">
        <v>0</v>
      </c>
      <c r="X478" s="2">
        <v>0</v>
      </c>
      <c r="Y478" s="2">
        <v>41.14</v>
      </c>
      <c r="Z478" s="2">
        <v>0</v>
      </c>
      <c r="AA478" s="2">
        <v>0</v>
      </c>
      <c r="AB478" s="2">
        <v>0</v>
      </c>
    </row>
    <row r="479" spans="1:28" x14ac:dyDescent="0.25">
      <c r="A479">
        <v>2033013432</v>
      </c>
      <c r="B479" t="s">
        <v>432</v>
      </c>
      <c r="C479" t="s">
        <v>433</v>
      </c>
      <c r="D479" t="str">
        <f t="shared" si="15"/>
        <v>TERESA DOMMERT</v>
      </c>
      <c r="E479" t="s">
        <v>434</v>
      </c>
      <c r="F479" t="s">
        <v>69</v>
      </c>
      <c r="G479" t="s">
        <v>70</v>
      </c>
      <c r="H479" t="s">
        <v>1079</v>
      </c>
      <c r="I479" s="8">
        <v>1706194</v>
      </c>
      <c r="J479" t="s">
        <v>358</v>
      </c>
      <c r="K479" t="s">
        <v>359</v>
      </c>
      <c r="L479" t="str">
        <f t="shared" si="14"/>
        <v>MATTHEW DAUGHERTY</v>
      </c>
      <c r="M479" t="s">
        <v>1133</v>
      </c>
      <c r="N479" t="s">
        <v>57</v>
      </c>
      <c r="O479" s="1">
        <v>46054</v>
      </c>
      <c r="P479" s="1">
        <v>46235</v>
      </c>
      <c r="Q479" s="2">
        <v>76.3</v>
      </c>
      <c r="R479" t="s">
        <v>58</v>
      </c>
      <c r="S479" s="3">
        <v>0.75</v>
      </c>
      <c r="T479">
        <v>0</v>
      </c>
      <c r="U479" t="s">
        <v>60</v>
      </c>
      <c r="V479" t="s">
        <v>248</v>
      </c>
      <c r="W479">
        <v>0</v>
      </c>
      <c r="X479" s="2">
        <v>0</v>
      </c>
      <c r="Y479" s="2">
        <v>57.22</v>
      </c>
      <c r="Z479" s="2">
        <v>0</v>
      </c>
      <c r="AA479" s="2">
        <v>0</v>
      </c>
      <c r="AB479" s="2">
        <v>0</v>
      </c>
    </row>
    <row r="480" spans="1:28" x14ac:dyDescent="0.25">
      <c r="A480">
        <v>2033133905</v>
      </c>
      <c r="B480" t="s">
        <v>465</v>
      </c>
      <c r="C480" t="s">
        <v>466</v>
      </c>
      <c r="D480" t="str">
        <f t="shared" si="15"/>
        <v>TODD TEMPLETON</v>
      </c>
      <c r="E480" t="s">
        <v>434</v>
      </c>
      <c r="F480" t="s">
        <v>69</v>
      </c>
      <c r="G480" t="s">
        <v>70</v>
      </c>
      <c r="H480" t="s">
        <v>1079</v>
      </c>
      <c r="I480" s="8">
        <v>1706194</v>
      </c>
      <c r="J480" t="s">
        <v>358</v>
      </c>
      <c r="K480" t="s">
        <v>359</v>
      </c>
      <c r="L480" t="str">
        <f t="shared" si="14"/>
        <v>MATTHEW DAUGHERTY</v>
      </c>
      <c r="M480" t="s">
        <v>1133</v>
      </c>
      <c r="N480" t="s">
        <v>57</v>
      </c>
      <c r="O480" s="1">
        <v>46054</v>
      </c>
      <c r="P480" s="1">
        <v>46235</v>
      </c>
      <c r="Q480" s="2">
        <v>129.33000000000001</v>
      </c>
      <c r="R480" t="s">
        <v>58</v>
      </c>
      <c r="S480" s="3">
        <v>0.75</v>
      </c>
      <c r="T480">
        <v>0</v>
      </c>
      <c r="U480" t="s">
        <v>60</v>
      </c>
      <c r="V480" t="s">
        <v>248</v>
      </c>
      <c r="W480">
        <v>0</v>
      </c>
      <c r="X480" s="2">
        <v>0</v>
      </c>
      <c r="Y480" s="2">
        <v>97</v>
      </c>
      <c r="Z480" s="2">
        <v>0</v>
      </c>
      <c r="AA480" s="2">
        <v>0</v>
      </c>
      <c r="AB480" s="2">
        <v>0</v>
      </c>
    </row>
    <row r="481" spans="1:28" x14ac:dyDescent="0.25">
      <c r="A481">
        <v>2026618580</v>
      </c>
      <c r="B481" t="s">
        <v>360</v>
      </c>
      <c r="C481" t="s">
        <v>361</v>
      </c>
      <c r="D481" t="str">
        <f t="shared" si="15"/>
        <v>LYNSEY WADDLE</v>
      </c>
      <c r="E481" t="s">
        <v>75</v>
      </c>
      <c r="F481" t="s">
        <v>69</v>
      </c>
      <c r="G481" t="s">
        <v>79</v>
      </c>
      <c r="H481" t="s">
        <v>1080</v>
      </c>
      <c r="I481" s="8">
        <v>1706194</v>
      </c>
      <c r="J481" t="s">
        <v>358</v>
      </c>
      <c r="K481" t="s">
        <v>359</v>
      </c>
      <c r="L481" t="str">
        <f t="shared" si="14"/>
        <v>MATTHEW DAUGHERTY</v>
      </c>
      <c r="M481" t="s">
        <v>1133</v>
      </c>
      <c r="N481" t="s">
        <v>57</v>
      </c>
      <c r="O481" s="1">
        <v>45689</v>
      </c>
      <c r="P481" s="1">
        <v>46235</v>
      </c>
      <c r="Q481" s="2">
        <v>81.5</v>
      </c>
      <c r="R481" t="s">
        <v>58</v>
      </c>
      <c r="S481" s="3">
        <v>0.1</v>
      </c>
      <c r="T481">
        <v>0</v>
      </c>
      <c r="U481" t="s">
        <v>247</v>
      </c>
      <c r="V481" t="s">
        <v>248</v>
      </c>
      <c r="W481">
        <v>0</v>
      </c>
      <c r="X481" s="2">
        <v>0</v>
      </c>
      <c r="Y481" s="2">
        <v>8.15</v>
      </c>
      <c r="Z481" s="2">
        <v>8.15</v>
      </c>
      <c r="AA481" s="2">
        <v>8.15</v>
      </c>
      <c r="AB481" s="2">
        <v>0</v>
      </c>
    </row>
    <row r="482" spans="1:28" x14ac:dyDescent="0.25">
      <c r="A482">
        <v>2032554422</v>
      </c>
      <c r="B482" t="s">
        <v>402</v>
      </c>
      <c r="C482" t="s">
        <v>403</v>
      </c>
      <c r="D482" t="str">
        <f t="shared" si="15"/>
        <v>SANDRA REGNELL</v>
      </c>
      <c r="E482" t="s">
        <v>404</v>
      </c>
      <c r="F482" t="s">
        <v>69</v>
      </c>
      <c r="G482" t="s">
        <v>79</v>
      </c>
      <c r="H482" t="s">
        <v>1080</v>
      </c>
      <c r="I482" s="8">
        <v>1706194</v>
      </c>
      <c r="J482" t="s">
        <v>358</v>
      </c>
      <c r="K482" t="s">
        <v>359</v>
      </c>
      <c r="L482" t="str">
        <f t="shared" si="14"/>
        <v>MATTHEW DAUGHERTY</v>
      </c>
      <c r="M482" t="s">
        <v>1133</v>
      </c>
      <c r="N482" t="s">
        <v>57</v>
      </c>
      <c r="O482" s="1">
        <v>46023</v>
      </c>
      <c r="P482" s="1">
        <v>46235</v>
      </c>
      <c r="Q482" s="2">
        <v>206.87</v>
      </c>
      <c r="R482" t="s">
        <v>58</v>
      </c>
      <c r="S482" s="3">
        <v>0.9</v>
      </c>
      <c r="T482">
        <v>0</v>
      </c>
      <c r="U482" t="s">
        <v>60</v>
      </c>
      <c r="V482" t="s">
        <v>248</v>
      </c>
      <c r="W482">
        <v>0</v>
      </c>
      <c r="X482" s="2">
        <v>0</v>
      </c>
      <c r="Y482" s="2">
        <v>186.18</v>
      </c>
      <c r="Z482" s="2">
        <v>186.18</v>
      </c>
      <c r="AA482" s="2">
        <v>186.18</v>
      </c>
      <c r="AB482" s="2">
        <v>0</v>
      </c>
    </row>
    <row r="483" spans="1:28" x14ac:dyDescent="0.25">
      <c r="A483">
        <v>2033246168</v>
      </c>
      <c r="B483" t="s">
        <v>509</v>
      </c>
      <c r="C483" t="s">
        <v>510</v>
      </c>
      <c r="D483" t="str">
        <f t="shared" si="15"/>
        <v>MEGAN RODDAM</v>
      </c>
      <c r="E483" t="s">
        <v>143</v>
      </c>
      <c r="F483" t="s">
        <v>69</v>
      </c>
      <c r="G483" t="s">
        <v>79</v>
      </c>
      <c r="H483" t="s">
        <v>1080</v>
      </c>
      <c r="I483" s="8">
        <v>1706194</v>
      </c>
      <c r="J483" t="s">
        <v>358</v>
      </c>
      <c r="K483" t="s">
        <v>359</v>
      </c>
      <c r="L483" t="str">
        <f t="shared" si="14"/>
        <v>MATTHEW DAUGHERTY</v>
      </c>
      <c r="M483" t="s">
        <v>1133</v>
      </c>
      <c r="N483" t="s">
        <v>57</v>
      </c>
      <c r="O483" s="1">
        <v>46054</v>
      </c>
      <c r="P483" s="1">
        <v>46235</v>
      </c>
      <c r="Q483" s="2">
        <v>94.63</v>
      </c>
      <c r="R483" t="s">
        <v>58</v>
      </c>
      <c r="S483" s="3">
        <v>0.9</v>
      </c>
      <c r="T483">
        <v>0</v>
      </c>
      <c r="U483" t="s">
        <v>60</v>
      </c>
      <c r="V483" t="s">
        <v>248</v>
      </c>
      <c r="W483">
        <v>0</v>
      </c>
      <c r="X483" s="2">
        <v>0</v>
      </c>
      <c r="Y483" s="2">
        <v>85.17</v>
      </c>
      <c r="Z483" s="2">
        <v>85.17</v>
      </c>
      <c r="AA483" s="2">
        <v>85.17</v>
      </c>
      <c r="AB483" s="2">
        <v>0</v>
      </c>
    </row>
    <row r="484" spans="1:28" x14ac:dyDescent="0.25">
      <c r="A484">
        <v>2033017016</v>
      </c>
      <c r="B484" t="s">
        <v>435</v>
      </c>
      <c r="C484" t="s">
        <v>205</v>
      </c>
      <c r="D484" t="str">
        <f t="shared" si="15"/>
        <v>MARC DAVIS</v>
      </c>
      <c r="E484" t="s">
        <v>425</v>
      </c>
      <c r="F484" t="s">
        <v>69</v>
      </c>
      <c r="G484" t="s">
        <v>79</v>
      </c>
      <c r="H484" t="s">
        <v>1080</v>
      </c>
      <c r="I484" s="8">
        <v>1706194</v>
      </c>
      <c r="J484" t="s">
        <v>358</v>
      </c>
      <c r="K484" t="s">
        <v>359</v>
      </c>
      <c r="L484" t="str">
        <f t="shared" si="14"/>
        <v>MATTHEW DAUGHERTY</v>
      </c>
      <c r="M484" t="s">
        <v>1133</v>
      </c>
      <c r="N484" t="s">
        <v>57</v>
      </c>
      <c r="O484" s="1">
        <v>46054</v>
      </c>
      <c r="P484" s="1">
        <v>46235</v>
      </c>
      <c r="Q484" s="2">
        <v>64.42</v>
      </c>
      <c r="R484" t="s">
        <v>58</v>
      </c>
      <c r="S484" s="3">
        <v>0.9</v>
      </c>
      <c r="T484">
        <v>0</v>
      </c>
      <c r="U484" t="s">
        <v>60</v>
      </c>
      <c r="V484" t="s">
        <v>248</v>
      </c>
      <c r="W484">
        <v>0</v>
      </c>
      <c r="X484" s="2">
        <v>0</v>
      </c>
      <c r="Y484" s="2">
        <v>57.98</v>
      </c>
      <c r="Z484" s="2">
        <v>0</v>
      </c>
      <c r="AA484" s="2">
        <v>0</v>
      </c>
      <c r="AB484" s="2">
        <v>0</v>
      </c>
    </row>
    <row r="485" spans="1:28" x14ac:dyDescent="0.25">
      <c r="A485">
        <v>2033055077</v>
      </c>
      <c r="B485" t="s">
        <v>444</v>
      </c>
      <c r="C485" t="s">
        <v>445</v>
      </c>
      <c r="D485" t="str">
        <f t="shared" si="15"/>
        <v>ANDREW KERSEY</v>
      </c>
      <c r="E485" t="s">
        <v>425</v>
      </c>
      <c r="F485" t="s">
        <v>69</v>
      </c>
      <c r="G485" t="s">
        <v>79</v>
      </c>
      <c r="H485" t="s">
        <v>1080</v>
      </c>
      <c r="I485" s="8">
        <v>1706194</v>
      </c>
      <c r="J485" t="s">
        <v>358</v>
      </c>
      <c r="K485" t="s">
        <v>359</v>
      </c>
      <c r="L485" t="str">
        <f t="shared" si="14"/>
        <v>MATTHEW DAUGHERTY</v>
      </c>
      <c r="M485" t="s">
        <v>1133</v>
      </c>
      <c r="N485" t="s">
        <v>57</v>
      </c>
      <c r="O485" s="1">
        <v>46054</v>
      </c>
      <c r="P485" s="1">
        <v>46235</v>
      </c>
      <c r="Q485" s="2">
        <v>74.91</v>
      </c>
      <c r="R485" t="s">
        <v>58</v>
      </c>
      <c r="S485" s="3">
        <v>0.9</v>
      </c>
      <c r="T485">
        <v>0</v>
      </c>
      <c r="U485" t="s">
        <v>60</v>
      </c>
      <c r="V485" t="s">
        <v>248</v>
      </c>
      <c r="W485">
        <v>0</v>
      </c>
      <c r="X485" s="2">
        <v>0</v>
      </c>
      <c r="Y485" s="2">
        <v>67.42</v>
      </c>
      <c r="Z485" s="2">
        <v>0</v>
      </c>
      <c r="AA485" s="2">
        <v>0</v>
      </c>
      <c r="AB485" s="2">
        <v>0</v>
      </c>
    </row>
    <row r="486" spans="1:28" x14ac:dyDescent="0.25">
      <c r="A486">
        <v>2033129808</v>
      </c>
      <c r="B486" t="s">
        <v>463</v>
      </c>
      <c r="C486" t="s">
        <v>464</v>
      </c>
      <c r="D486" t="str">
        <f t="shared" si="15"/>
        <v>CURTIS SEKULICH</v>
      </c>
      <c r="E486" t="s">
        <v>425</v>
      </c>
      <c r="F486" t="s">
        <v>69</v>
      </c>
      <c r="G486" t="s">
        <v>79</v>
      </c>
      <c r="H486" t="s">
        <v>1080</v>
      </c>
      <c r="I486" s="8">
        <v>1706194</v>
      </c>
      <c r="J486" t="s">
        <v>358</v>
      </c>
      <c r="K486" t="s">
        <v>359</v>
      </c>
      <c r="L486" t="str">
        <f t="shared" si="14"/>
        <v>MATTHEW DAUGHERTY</v>
      </c>
      <c r="M486" t="s">
        <v>1133</v>
      </c>
      <c r="N486" t="s">
        <v>57</v>
      </c>
      <c r="O486" s="1">
        <v>46054</v>
      </c>
      <c r="P486" s="1">
        <v>46235</v>
      </c>
      <c r="Q486" s="2">
        <v>76.88</v>
      </c>
      <c r="R486" t="s">
        <v>58</v>
      </c>
      <c r="S486" s="3">
        <v>0.9</v>
      </c>
      <c r="T486">
        <v>0</v>
      </c>
      <c r="U486" t="s">
        <v>60</v>
      </c>
      <c r="V486" t="s">
        <v>248</v>
      </c>
      <c r="W486">
        <v>0</v>
      </c>
      <c r="X486" s="2">
        <v>0</v>
      </c>
      <c r="Y486" s="2">
        <v>69.19</v>
      </c>
      <c r="Z486" s="2">
        <v>0</v>
      </c>
      <c r="AA486" s="2">
        <v>0</v>
      </c>
      <c r="AB486" s="2">
        <v>0</v>
      </c>
    </row>
    <row r="487" spans="1:28" x14ac:dyDescent="0.25">
      <c r="A487">
        <v>2033349829</v>
      </c>
      <c r="B487" t="s">
        <v>526</v>
      </c>
      <c r="C487" t="s">
        <v>527</v>
      </c>
      <c r="D487" t="str">
        <f t="shared" si="15"/>
        <v>BARRETT HOPSON</v>
      </c>
      <c r="E487" t="s">
        <v>124</v>
      </c>
      <c r="F487" t="s">
        <v>69</v>
      </c>
      <c r="G487" t="s">
        <v>79</v>
      </c>
      <c r="H487" t="s">
        <v>1080</v>
      </c>
      <c r="I487" s="8">
        <v>1706194</v>
      </c>
      <c r="J487" t="s">
        <v>358</v>
      </c>
      <c r="K487" t="s">
        <v>359</v>
      </c>
      <c r="L487" t="str">
        <f t="shared" si="14"/>
        <v>MATTHEW DAUGHERTY</v>
      </c>
      <c r="M487" t="s">
        <v>1133</v>
      </c>
      <c r="N487" t="s">
        <v>57</v>
      </c>
      <c r="O487" s="1">
        <v>46054</v>
      </c>
      <c r="P487" s="1">
        <v>46235</v>
      </c>
      <c r="Q487" s="2">
        <v>79.510000000000005</v>
      </c>
      <c r="R487" t="s">
        <v>58</v>
      </c>
      <c r="S487" s="3">
        <v>0.9</v>
      </c>
      <c r="T487">
        <v>0</v>
      </c>
      <c r="U487" t="s">
        <v>60</v>
      </c>
      <c r="V487" t="s">
        <v>248</v>
      </c>
      <c r="W487">
        <v>0</v>
      </c>
      <c r="X487" s="2">
        <v>0</v>
      </c>
      <c r="Y487" s="2">
        <v>71.56</v>
      </c>
      <c r="Z487" s="2">
        <v>0</v>
      </c>
      <c r="AA487" s="2">
        <v>0</v>
      </c>
      <c r="AB487" s="2">
        <v>0</v>
      </c>
    </row>
    <row r="488" spans="1:28" x14ac:dyDescent="0.25">
      <c r="A488">
        <v>2033165019</v>
      </c>
      <c r="B488" t="s">
        <v>231</v>
      </c>
      <c r="C488" t="s">
        <v>171</v>
      </c>
      <c r="D488" t="str">
        <f t="shared" si="15"/>
        <v>WILLIAM JOHNSON</v>
      </c>
      <c r="E488" t="s">
        <v>479</v>
      </c>
      <c r="F488" t="s">
        <v>69</v>
      </c>
      <c r="G488" t="s">
        <v>79</v>
      </c>
      <c r="H488" t="s">
        <v>1080</v>
      </c>
      <c r="I488" s="8">
        <v>1706194</v>
      </c>
      <c r="J488" t="s">
        <v>358</v>
      </c>
      <c r="K488" t="s">
        <v>359</v>
      </c>
      <c r="L488" t="str">
        <f t="shared" si="14"/>
        <v>MATTHEW DAUGHERTY</v>
      </c>
      <c r="M488" t="s">
        <v>1133</v>
      </c>
      <c r="N488" t="s">
        <v>57</v>
      </c>
      <c r="O488" s="1">
        <v>46054</v>
      </c>
      <c r="P488" s="1">
        <v>46235</v>
      </c>
      <c r="Q488" s="2">
        <v>105.08</v>
      </c>
      <c r="R488" t="s">
        <v>58</v>
      </c>
      <c r="S488" s="3">
        <v>0.9</v>
      </c>
      <c r="T488">
        <v>0</v>
      </c>
      <c r="U488" t="s">
        <v>60</v>
      </c>
      <c r="V488" t="s">
        <v>248</v>
      </c>
      <c r="W488">
        <v>0</v>
      </c>
      <c r="X488" s="2">
        <v>0</v>
      </c>
      <c r="Y488" s="2">
        <v>94.57</v>
      </c>
      <c r="Z488" s="2">
        <v>0</v>
      </c>
      <c r="AA488" s="2">
        <v>0</v>
      </c>
      <c r="AB488" s="2">
        <v>0</v>
      </c>
    </row>
    <row r="489" spans="1:28" x14ac:dyDescent="0.25">
      <c r="A489">
        <v>2032984364</v>
      </c>
      <c r="B489" t="s">
        <v>423</v>
      </c>
      <c r="C489" t="s">
        <v>424</v>
      </c>
      <c r="D489" t="str">
        <f t="shared" si="15"/>
        <v>SHAKILA MEHRI</v>
      </c>
      <c r="E489" t="s">
        <v>425</v>
      </c>
      <c r="F489" t="s">
        <v>69</v>
      </c>
      <c r="G489" t="s">
        <v>79</v>
      </c>
      <c r="H489" t="s">
        <v>1080</v>
      </c>
      <c r="I489" s="8">
        <v>1706194</v>
      </c>
      <c r="J489" t="s">
        <v>358</v>
      </c>
      <c r="K489" t="s">
        <v>359</v>
      </c>
      <c r="L489" t="str">
        <f t="shared" si="14"/>
        <v>MATTHEW DAUGHERTY</v>
      </c>
      <c r="M489" t="s">
        <v>1133</v>
      </c>
      <c r="N489" t="s">
        <v>57</v>
      </c>
      <c r="O489" s="1">
        <v>46054</v>
      </c>
      <c r="P489" s="1">
        <v>46235</v>
      </c>
      <c r="Q489" s="2">
        <v>110.12</v>
      </c>
      <c r="R489" t="s">
        <v>58</v>
      </c>
      <c r="S489" s="3">
        <v>0.9</v>
      </c>
      <c r="T489">
        <v>0</v>
      </c>
      <c r="U489" t="s">
        <v>60</v>
      </c>
      <c r="V489" t="s">
        <v>248</v>
      </c>
      <c r="W489">
        <v>0</v>
      </c>
      <c r="X489" s="2">
        <v>0</v>
      </c>
      <c r="Y489" s="2">
        <v>99.11</v>
      </c>
      <c r="Z489" s="2">
        <v>0</v>
      </c>
      <c r="AA489" s="2">
        <v>0</v>
      </c>
      <c r="AB489" s="2">
        <v>0</v>
      </c>
    </row>
    <row r="490" spans="1:28" x14ac:dyDescent="0.25">
      <c r="A490">
        <v>2032948957</v>
      </c>
      <c r="B490" t="s">
        <v>416</v>
      </c>
      <c r="C490" t="s">
        <v>187</v>
      </c>
      <c r="D490" t="str">
        <f t="shared" si="15"/>
        <v>GARY BEARD</v>
      </c>
      <c r="E490" t="s">
        <v>167</v>
      </c>
      <c r="F490" t="s">
        <v>69</v>
      </c>
      <c r="G490" t="s">
        <v>79</v>
      </c>
      <c r="H490" t="s">
        <v>1080</v>
      </c>
      <c r="I490" s="8">
        <v>1706194</v>
      </c>
      <c r="J490" t="s">
        <v>358</v>
      </c>
      <c r="K490" t="s">
        <v>359</v>
      </c>
      <c r="L490" t="str">
        <f t="shared" si="14"/>
        <v>MATTHEW DAUGHERTY</v>
      </c>
      <c r="M490" t="s">
        <v>1133</v>
      </c>
      <c r="N490" t="s">
        <v>57</v>
      </c>
      <c r="O490" s="1">
        <v>46054</v>
      </c>
      <c r="P490" s="1">
        <v>46235</v>
      </c>
      <c r="Q490" s="2">
        <v>129.5</v>
      </c>
      <c r="R490" t="s">
        <v>58</v>
      </c>
      <c r="S490" s="3">
        <v>0.9</v>
      </c>
      <c r="T490">
        <v>0</v>
      </c>
      <c r="U490" t="s">
        <v>60</v>
      </c>
      <c r="V490" t="s">
        <v>248</v>
      </c>
      <c r="W490">
        <v>0</v>
      </c>
      <c r="X490" s="2">
        <v>0</v>
      </c>
      <c r="Y490" s="2">
        <v>116.55</v>
      </c>
      <c r="Z490" s="2">
        <v>0</v>
      </c>
      <c r="AA490" s="2">
        <v>0</v>
      </c>
      <c r="AB490" s="2">
        <v>0</v>
      </c>
    </row>
    <row r="491" spans="1:28" x14ac:dyDescent="0.25">
      <c r="A491">
        <v>2033035526</v>
      </c>
      <c r="B491" t="s">
        <v>439</v>
      </c>
      <c r="C491" t="s">
        <v>440</v>
      </c>
      <c r="D491" t="str">
        <f t="shared" si="15"/>
        <v>MARSHALL ALLEN</v>
      </c>
      <c r="E491" t="s">
        <v>143</v>
      </c>
      <c r="F491" t="s">
        <v>69</v>
      </c>
      <c r="G491" t="s">
        <v>79</v>
      </c>
      <c r="H491" t="s">
        <v>1080</v>
      </c>
      <c r="I491" s="8">
        <v>1706194</v>
      </c>
      <c r="J491" t="s">
        <v>358</v>
      </c>
      <c r="K491" t="s">
        <v>359</v>
      </c>
      <c r="L491" t="str">
        <f t="shared" si="14"/>
        <v>MATTHEW DAUGHERTY</v>
      </c>
      <c r="M491" t="s">
        <v>1133</v>
      </c>
      <c r="N491" t="s">
        <v>57</v>
      </c>
      <c r="O491" s="1">
        <v>46054</v>
      </c>
      <c r="P491" s="1">
        <v>46235</v>
      </c>
      <c r="Q491" s="2">
        <v>143.16</v>
      </c>
      <c r="R491" t="s">
        <v>58</v>
      </c>
      <c r="S491" s="3">
        <v>0.9</v>
      </c>
      <c r="T491">
        <v>0</v>
      </c>
      <c r="U491" t="s">
        <v>60</v>
      </c>
      <c r="V491" t="s">
        <v>248</v>
      </c>
      <c r="W491">
        <v>0</v>
      </c>
      <c r="X491" s="2">
        <v>0</v>
      </c>
      <c r="Y491" s="2">
        <v>128.84</v>
      </c>
      <c r="Z491" s="2">
        <v>0</v>
      </c>
      <c r="AA491" s="2">
        <v>0</v>
      </c>
      <c r="AB491" s="2">
        <v>0</v>
      </c>
    </row>
    <row r="492" spans="1:28" x14ac:dyDescent="0.25">
      <c r="A492">
        <v>2032542234</v>
      </c>
      <c r="B492" t="s">
        <v>400</v>
      </c>
      <c r="C492" t="s">
        <v>401</v>
      </c>
      <c r="D492" t="str">
        <f t="shared" si="15"/>
        <v>LISA CLINE</v>
      </c>
      <c r="E492" t="s">
        <v>124</v>
      </c>
      <c r="F492" t="s">
        <v>69</v>
      </c>
      <c r="G492" t="s">
        <v>79</v>
      </c>
      <c r="H492" t="s">
        <v>1080</v>
      </c>
      <c r="I492" s="8">
        <v>1706194</v>
      </c>
      <c r="J492" t="s">
        <v>358</v>
      </c>
      <c r="K492" t="s">
        <v>359</v>
      </c>
      <c r="L492" t="str">
        <f t="shared" si="14"/>
        <v>MATTHEW DAUGHERTY</v>
      </c>
      <c r="M492" t="s">
        <v>1133</v>
      </c>
      <c r="N492" t="s">
        <v>57</v>
      </c>
      <c r="O492" s="1">
        <v>46054</v>
      </c>
      <c r="P492" s="1">
        <v>46235</v>
      </c>
      <c r="Q492" s="2">
        <v>165.31</v>
      </c>
      <c r="R492" t="s">
        <v>58</v>
      </c>
      <c r="S492" s="3">
        <v>0.9</v>
      </c>
      <c r="T492">
        <v>0</v>
      </c>
      <c r="U492" t="s">
        <v>60</v>
      </c>
      <c r="V492" t="s">
        <v>248</v>
      </c>
      <c r="W492">
        <v>0</v>
      </c>
      <c r="X492" s="2">
        <v>0</v>
      </c>
      <c r="Y492" s="2">
        <v>148.78</v>
      </c>
      <c r="Z492" s="2">
        <v>0</v>
      </c>
      <c r="AA492" s="2">
        <v>0</v>
      </c>
      <c r="AB492" s="2">
        <v>0</v>
      </c>
    </row>
    <row r="493" spans="1:28" x14ac:dyDescent="0.25">
      <c r="A493">
        <v>2033151609</v>
      </c>
      <c r="B493" t="s">
        <v>477</v>
      </c>
      <c r="C493" t="s">
        <v>478</v>
      </c>
      <c r="D493" t="str">
        <f t="shared" si="15"/>
        <v>MICHAEL HIBBITTS</v>
      </c>
      <c r="E493" t="s">
        <v>479</v>
      </c>
      <c r="F493" t="s">
        <v>69</v>
      </c>
      <c r="G493" t="s">
        <v>79</v>
      </c>
      <c r="H493" t="s">
        <v>1080</v>
      </c>
      <c r="I493" s="8">
        <v>1706194</v>
      </c>
      <c r="J493" t="s">
        <v>358</v>
      </c>
      <c r="K493" t="s">
        <v>359</v>
      </c>
      <c r="L493" t="str">
        <f t="shared" si="14"/>
        <v>MATTHEW DAUGHERTY</v>
      </c>
      <c r="M493" t="s">
        <v>1133</v>
      </c>
      <c r="N493" t="s">
        <v>57</v>
      </c>
      <c r="O493" s="1">
        <v>46054</v>
      </c>
      <c r="P493" s="1">
        <v>46235</v>
      </c>
      <c r="Q493" s="2">
        <v>169.38</v>
      </c>
      <c r="R493" t="s">
        <v>58</v>
      </c>
      <c r="S493" s="3">
        <v>0.9</v>
      </c>
      <c r="T493">
        <v>0</v>
      </c>
      <c r="U493" t="s">
        <v>60</v>
      </c>
      <c r="V493" t="s">
        <v>248</v>
      </c>
      <c r="W493">
        <v>0</v>
      </c>
      <c r="X493" s="2">
        <v>0</v>
      </c>
      <c r="Y493" s="2">
        <v>152.44</v>
      </c>
      <c r="Z493" s="2">
        <v>0</v>
      </c>
      <c r="AA493" s="2">
        <v>0</v>
      </c>
      <c r="AB493" s="2">
        <v>0</v>
      </c>
    </row>
    <row r="494" spans="1:28" x14ac:dyDescent="0.25">
      <c r="A494">
        <v>2032992400</v>
      </c>
      <c r="B494" t="s">
        <v>428</v>
      </c>
      <c r="C494" t="s">
        <v>429</v>
      </c>
      <c r="D494" t="str">
        <f t="shared" si="15"/>
        <v>HERNAN GONZALEZ</v>
      </c>
      <c r="E494" t="s">
        <v>167</v>
      </c>
      <c r="F494" t="s">
        <v>69</v>
      </c>
      <c r="G494" t="s">
        <v>79</v>
      </c>
      <c r="H494" t="s">
        <v>1080</v>
      </c>
      <c r="I494" s="8">
        <v>1706194</v>
      </c>
      <c r="J494" t="s">
        <v>358</v>
      </c>
      <c r="K494" t="s">
        <v>359</v>
      </c>
      <c r="L494" t="str">
        <f t="shared" si="14"/>
        <v>MATTHEW DAUGHERTY</v>
      </c>
      <c r="M494" t="s">
        <v>1133</v>
      </c>
      <c r="N494" t="s">
        <v>57</v>
      </c>
      <c r="O494" s="1">
        <v>46054</v>
      </c>
      <c r="P494" s="1">
        <v>46235</v>
      </c>
      <c r="Q494" s="2">
        <v>175</v>
      </c>
      <c r="R494" t="s">
        <v>58</v>
      </c>
      <c r="S494" s="3">
        <v>0.9</v>
      </c>
      <c r="T494">
        <v>0</v>
      </c>
      <c r="U494" t="s">
        <v>60</v>
      </c>
      <c r="V494" t="s">
        <v>248</v>
      </c>
      <c r="W494">
        <v>0</v>
      </c>
      <c r="X494" s="2">
        <v>0</v>
      </c>
      <c r="Y494" s="2">
        <v>157.5</v>
      </c>
      <c r="Z494" s="2">
        <v>0</v>
      </c>
      <c r="AA494" s="2">
        <v>0</v>
      </c>
      <c r="AB494" s="2">
        <v>0</v>
      </c>
    </row>
    <row r="495" spans="1:28" x14ac:dyDescent="0.25">
      <c r="A495">
        <v>2033051157</v>
      </c>
      <c r="B495" t="s">
        <v>179</v>
      </c>
      <c r="C495" t="s">
        <v>441</v>
      </c>
      <c r="D495" t="str">
        <f t="shared" si="15"/>
        <v>RUBEN SANCHEZ</v>
      </c>
      <c r="E495" t="s">
        <v>425</v>
      </c>
      <c r="F495" t="s">
        <v>69</v>
      </c>
      <c r="G495" t="s">
        <v>79</v>
      </c>
      <c r="H495" t="s">
        <v>1080</v>
      </c>
      <c r="I495" s="8">
        <v>1706194</v>
      </c>
      <c r="J495" t="s">
        <v>358</v>
      </c>
      <c r="K495" t="s">
        <v>359</v>
      </c>
      <c r="L495" t="str">
        <f t="shared" si="14"/>
        <v>MATTHEW DAUGHERTY</v>
      </c>
      <c r="M495" t="s">
        <v>1133</v>
      </c>
      <c r="N495" t="s">
        <v>57</v>
      </c>
      <c r="O495" s="1">
        <v>46054</v>
      </c>
      <c r="P495" s="1">
        <v>46235</v>
      </c>
      <c r="Q495" s="2">
        <v>257.75</v>
      </c>
      <c r="R495" t="s">
        <v>58</v>
      </c>
      <c r="S495" s="3">
        <v>0.9</v>
      </c>
      <c r="T495">
        <v>0</v>
      </c>
      <c r="U495" t="s">
        <v>60</v>
      </c>
      <c r="V495" t="s">
        <v>248</v>
      </c>
      <c r="W495">
        <v>0</v>
      </c>
      <c r="X495" s="2">
        <v>0</v>
      </c>
      <c r="Y495" s="2">
        <v>231.98</v>
      </c>
      <c r="Z495" s="2">
        <v>0</v>
      </c>
      <c r="AA495" s="2">
        <v>0</v>
      </c>
      <c r="AB495" s="2">
        <v>0</v>
      </c>
    </row>
    <row r="496" spans="1:28" x14ac:dyDescent="0.25">
      <c r="A496">
        <v>2033180214</v>
      </c>
      <c r="B496" t="s">
        <v>497</v>
      </c>
      <c r="C496" t="s">
        <v>471</v>
      </c>
      <c r="D496" t="str">
        <f t="shared" si="15"/>
        <v>KELLY KLINGELE</v>
      </c>
      <c r="E496" t="s">
        <v>425</v>
      </c>
      <c r="F496" t="s">
        <v>69</v>
      </c>
      <c r="G496" t="s">
        <v>79</v>
      </c>
      <c r="H496" t="s">
        <v>1080</v>
      </c>
      <c r="I496" s="8">
        <v>1706194</v>
      </c>
      <c r="J496" t="s">
        <v>358</v>
      </c>
      <c r="K496" t="s">
        <v>359</v>
      </c>
      <c r="L496" t="str">
        <f t="shared" si="14"/>
        <v>MATTHEW DAUGHERTY</v>
      </c>
      <c r="M496" t="s">
        <v>1133</v>
      </c>
      <c r="N496" t="s">
        <v>57</v>
      </c>
      <c r="O496" s="1">
        <v>46054</v>
      </c>
      <c r="P496" s="1">
        <v>46235</v>
      </c>
      <c r="Q496" s="2">
        <v>306.13</v>
      </c>
      <c r="R496" t="s">
        <v>58</v>
      </c>
      <c r="S496" s="3">
        <v>0.9</v>
      </c>
      <c r="T496">
        <v>0</v>
      </c>
      <c r="U496" t="s">
        <v>60</v>
      </c>
      <c r="V496" t="s">
        <v>248</v>
      </c>
      <c r="W496">
        <v>0</v>
      </c>
      <c r="X496" s="2">
        <v>0</v>
      </c>
      <c r="Y496" s="2">
        <v>275.52</v>
      </c>
      <c r="Z496" s="2">
        <v>0</v>
      </c>
      <c r="AA496" s="2">
        <v>0</v>
      </c>
      <c r="AB496" s="2">
        <v>0</v>
      </c>
    </row>
    <row r="497" spans="1:28" x14ac:dyDescent="0.25">
      <c r="A497">
        <v>2032554423</v>
      </c>
      <c r="B497" t="s">
        <v>402</v>
      </c>
      <c r="C497" t="s">
        <v>403</v>
      </c>
      <c r="D497" t="str">
        <f t="shared" si="15"/>
        <v>SANDRA REGNELL</v>
      </c>
      <c r="E497" t="s">
        <v>404</v>
      </c>
      <c r="F497" t="s">
        <v>149</v>
      </c>
      <c r="G497" t="s">
        <v>584</v>
      </c>
      <c r="H497" t="s">
        <v>1082</v>
      </c>
      <c r="I497" s="8">
        <v>1706194</v>
      </c>
      <c r="J497" t="s">
        <v>358</v>
      </c>
      <c r="K497" t="s">
        <v>359</v>
      </c>
      <c r="L497" t="str">
        <f t="shared" si="14"/>
        <v>MATTHEW DAUGHERTY</v>
      </c>
      <c r="M497" t="s">
        <v>1133</v>
      </c>
      <c r="N497" t="s">
        <v>57</v>
      </c>
      <c r="O497" s="1">
        <v>46023</v>
      </c>
      <c r="P497" s="1">
        <v>46235</v>
      </c>
      <c r="Q497" s="2">
        <v>15</v>
      </c>
      <c r="R497" t="s">
        <v>58</v>
      </c>
      <c r="S497" s="3">
        <v>0.28999999999999998</v>
      </c>
      <c r="T497">
        <v>0</v>
      </c>
      <c r="U497" t="s">
        <v>60</v>
      </c>
      <c r="V497" t="s">
        <v>248</v>
      </c>
      <c r="W497">
        <v>0</v>
      </c>
      <c r="X497" s="2">
        <v>0</v>
      </c>
      <c r="Y497" s="2">
        <v>4.3499999999999996</v>
      </c>
      <c r="Z497" s="2">
        <v>4.3499999999999996</v>
      </c>
      <c r="AA497" s="2">
        <v>4.3499999999999996</v>
      </c>
      <c r="AB497" s="2">
        <v>0</v>
      </c>
    </row>
    <row r="498" spans="1:28" x14ac:dyDescent="0.25">
      <c r="A498">
        <v>2033035525</v>
      </c>
      <c r="B498" t="s">
        <v>439</v>
      </c>
      <c r="C498" t="s">
        <v>440</v>
      </c>
      <c r="D498" t="str">
        <f t="shared" si="15"/>
        <v>MARSHALL ALLEN</v>
      </c>
      <c r="E498" t="s">
        <v>143</v>
      </c>
      <c r="F498" t="s">
        <v>237</v>
      </c>
      <c r="G498" t="s">
        <v>855</v>
      </c>
      <c r="H498" t="s">
        <v>1083</v>
      </c>
      <c r="I498" s="8">
        <v>1706194</v>
      </c>
      <c r="J498" t="s">
        <v>358</v>
      </c>
      <c r="K498" t="s">
        <v>359</v>
      </c>
      <c r="L498" t="str">
        <f t="shared" si="14"/>
        <v>MATTHEW DAUGHERTY</v>
      </c>
      <c r="M498" t="s">
        <v>1133</v>
      </c>
      <c r="N498" t="s">
        <v>57</v>
      </c>
      <c r="O498" s="1">
        <v>46054</v>
      </c>
      <c r="P498" s="1">
        <v>46235</v>
      </c>
      <c r="Q498" s="2">
        <v>185.95</v>
      </c>
      <c r="R498" t="s">
        <v>58</v>
      </c>
      <c r="S498" s="3">
        <v>0.19</v>
      </c>
      <c r="T498">
        <v>0</v>
      </c>
      <c r="U498" t="s">
        <v>60</v>
      </c>
      <c r="V498" t="s">
        <v>248</v>
      </c>
      <c r="W498">
        <v>0</v>
      </c>
      <c r="X498" s="2">
        <v>0</v>
      </c>
      <c r="Y498" s="2">
        <v>35.33</v>
      </c>
      <c r="Z498" s="2">
        <v>0</v>
      </c>
      <c r="AA498" s="2">
        <v>0</v>
      </c>
      <c r="AB498" s="2">
        <v>0</v>
      </c>
    </row>
    <row r="499" spans="1:28" x14ac:dyDescent="0.25">
      <c r="A499">
        <v>2032554420</v>
      </c>
      <c r="B499" t="s">
        <v>402</v>
      </c>
      <c r="C499" t="s">
        <v>403</v>
      </c>
      <c r="D499" t="str">
        <f t="shared" si="15"/>
        <v>SANDRA REGNELL</v>
      </c>
      <c r="E499" t="s">
        <v>404</v>
      </c>
      <c r="F499" t="s">
        <v>237</v>
      </c>
      <c r="G499" t="s">
        <v>853</v>
      </c>
      <c r="H499" t="s">
        <v>853</v>
      </c>
      <c r="I499" s="8">
        <v>1706194</v>
      </c>
      <c r="J499" t="s">
        <v>358</v>
      </c>
      <c r="K499" t="s">
        <v>359</v>
      </c>
      <c r="L499" t="str">
        <f t="shared" si="14"/>
        <v>MATTHEW DAUGHERTY</v>
      </c>
      <c r="M499" t="s">
        <v>1133</v>
      </c>
      <c r="N499" t="s">
        <v>57</v>
      </c>
      <c r="O499" s="1">
        <v>46023</v>
      </c>
      <c r="P499" s="1">
        <v>46235</v>
      </c>
      <c r="Q499" s="2">
        <v>300.33999999999997</v>
      </c>
      <c r="R499" t="s">
        <v>58</v>
      </c>
      <c r="S499" s="3">
        <v>0.28999999999999998</v>
      </c>
      <c r="T499">
        <v>0</v>
      </c>
      <c r="U499" t="s">
        <v>60</v>
      </c>
      <c r="V499" t="s">
        <v>248</v>
      </c>
      <c r="W499">
        <v>0</v>
      </c>
      <c r="X499" s="2">
        <v>0</v>
      </c>
      <c r="Y499" s="2">
        <v>87.1</v>
      </c>
      <c r="Z499" s="2">
        <v>87.1</v>
      </c>
      <c r="AA499" s="2">
        <v>87.1</v>
      </c>
      <c r="AB499" s="2">
        <v>0</v>
      </c>
    </row>
    <row r="500" spans="1:28" x14ac:dyDescent="0.25">
      <c r="A500">
        <v>2033151607</v>
      </c>
      <c r="B500" t="s">
        <v>477</v>
      </c>
      <c r="C500" t="s">
        <v>478</v>
      </c>
      <c r="D500" t="str">
        <f t="shared" si="15"/>
        <v>MICHAEL HIBBITTS</v>
      </c>
      <c r="E500" t="s">
        <v>479</v>
      </c>
      <c r="F500" t="s">
        <v>237</v>
      </c>
      <c r="G500" t="s">
        <v>857</v>
      </c>
      <c r="H500" t="s">
        <v>1084</v>
      </c>
      <c r="I500" s="8">
        <v>1706194</v>
      </c>
      <c r="J500" t="s">
        <v>358</v>
      </c>
      <c r="K500" t="s">
        <v>359</v>
      </c>
      <c r="L500" t="str">
        <f t="shared" si="14"/>
        <v>MATTHEW DAUGHERTY</v>
      </c>
      <c r="M500" t="s">
        <v>1133</v>
      </c>
      <c r="N500" t="s">
        <v>57</v>
      </c>
      <c r="O500" s="1">
        <v>46054</v>
      </c>
      <c r="P500" s="1">
        <v>46235</v>
      </c>
      <c r="Q500" s="2">
        <v>537.54</v>
      </c>
      <c r="R500" t="s">
        <v>58</v>
      </c>
      <c r="S500" s="3">
        <v>0.27</v>
      </c>
      <c r="T500">
        <v>0</v>
      </c>
      <c r="U500" t="s">
        <v>60</v>
      </c>
      <c r="V500" t="s">
        <v>248</v>
      </c>
      <c r="W500">
        <v>0</v>
      </c>
      <c r="X500" s="2">
        <v>0</v>
      </c>
      <c r="Y500" s="2">
        <v>145.13999999999999</v>
      </c>
      <c r="Z500" s="2">
        <v>0</v>
      </c>
      <c r="AA500" s="2">
        <v>0</v>
      </c>
      <c r="AB500" s="2">
        <v>0</v>
      </c>
    </row>
    <row r="501" spans="1:28" x14ac:dyDescent="0.25">
      <c r="A501">
        <v>2033246167</v>
      </c>
      <c r="B501" t="s">
        <v>509</v>
      </c>
      <c r="C501" t="s">
        <v>510</v>
      </c>
      <c r="D501" t="str">
        <f t="shared" si="15"/>
        <v>MEGAN RODDAM</v>
      </c>
      <c r="E501" t="s">
        <v>143</v>
      </c>
      <c r="F501" t="s">
        <v>194</v>
      </c>
      <c r="G501" t="s">
        <v>195</v>
      </c>
      <c r="H501" t="s">
        <v>195</v>
      </c>
      <c r="I501" s="8">
        <v>1706194</v>
      </c>
      <c r="J501" t="s">
        <v>358</v>
      </c>
      <c r="K501" t="s">
        <v>359</v>
      </c>
      <c r="L501" t="str">
        <f t="shared" si="14"/>
        <v>MATTHEW DAUGHERTY</v>
      </c>
      <c r="M501" t="s">
        <v>1133</v>
      </c>
      <c r="N501" t="s">
        <v>57</v>
      </c>
      <c r="O501" s="1">
        <v>46054</v>
      </c>
      <c r="P501" s="1">
        <v>46235</v>
      </c>
      <c r="Q501" s="2">
        <v>93.92</v>
      </c>
      <c r="R501" t="s">
        <v>58</v>
      </c>
      <c r="S501" s="3">
        <v>0.7</v>
      </c>
      <c r="T501">
        <v>0</v>
      </c>
      <c r="U501" t="s">
        <v>60</v>
      </c>
      <c r="V501" t="s">
        <v>248</v>
      </c>
      <c r="W501">
        <v>0</v>
      </c>
      <c r="X501" s="2">
        <v>0</v>
      </c>
      <c r="Y501" s="2">
        <v>65.739999999999995</v>
      </c>
      <c r="Z501" s="2">
        <v>65.739999999999995</v>
      </c>
      <c r="AA501" s="2">
        <v>65.739999999999995</v>
      </c>
      <c r="AB501" s="2">
        <v>0</v>
      </c>
    </row>
    <row r="502" spans="1:28" x14ac:dyDescent="0.25">
      <c r="A502">
        <v>2026606538</v>
      </c>
      <c r="B502" t="s">
        <v>1018</v>
      </c>
      <c r="C502" t="s">
        <v>1019</v>
      </c>
      <c r="D502" t="str">
        <f t="shared" si="15"/>
        <v>DEBRA COLLINS</v>
      </c>
      <c r="E502" t="s">
        <v>124</v>
      </c>
      <c r="F502" t="s">
        <v>194</v>
      </c>
      <c r="G502" t="s">
        <v>195</v>
      </c>
      <c r="H502" t="s">
        <v>195</v>
      </c>
      <c r="I502" s="8">
        <v>1706194</v>
      </c>
      <c r="J502" t="s">
        <v>358</v>
      </c>
      <c r="K502" t="s">
        <v>359</v>
      </c>
      <c r="L502" t="str">
        <f t="shared" si="14"/>
        <v>MATTHEW DAUGHERTY</v>
      </c>
      <c r="M502" t="s">
        <v>1133</v>
      </c>
      <c r="N502" t="s">
        <v>57</v>
      </c>
      <c r="O502" s="1">
        <v>45689</v>
      </c>
      <c r="P502" s="1">
        <v>46235</v>
      </c>
      <c r="Q502" s="2">
        <v>237.05</v>
      </c>
      <c r="R502" t="s">
        <v>58</v>
      </c>
      <c r="S502" s="3">
        <v>0.15</v>
      </c>
      <c r="T502">
        <v>0</v>
      </c>
      <c r="U502" t="s">
        <v>247</v>
      </c>
      <c r="V502" t="s">
        <v>248</v>
      </c>
      <c r="W502">
        <v>0</v>
      </c>
      <c r="X502" s="2">
        <v>0</v>
      </c>
      <c r="Y502" s="2">
        <v>35.56</v>
      </c>
      <c r="Z502" s="2">
        <v>35.56</v>
      </c>
      <c r="AA502" s="2">
        <v>35.56</v>
      </c>
      <c r="AB502" s="2">
        <v>0</v>
      </c>
    </row>
    <row r="503" spans="1:28" x14ac:dyDescent="0.25">
      <c r="A503">
        <v>2026618581</v>
      </c>
      <c r="B503" t="s">
        <v>360</v>
      </c>
      <c r="C503" t="s">
        <v>361</v>
      </c>
      <c r="D503" t="str">
        <f t="shared" si="15"/>
        <v>LYNSEY WADDLE</v>
      </c>
      <c r="E503" t="s">
        <v>75</v>
      </c>
      <c r="F503" t="s">
        <v>194</v>
      </c>
      <c r="G503" t="s">
        <v>195</v>
      </c>
      <c r="H503" t="s">
        <v>195</v>
      </c>
      <c r="I503" s="8">
        <v>1706194</v>
      </c>
      <c r="J503" t="s">
        <v>358</v>
      </c>
      <c r="K503" t="s">
        <v>359</v>
      </c>
      <c r="L503" t="str">
        <f t="shared" si="14"/>
        <v>MATTHEW DAUGHERTY</v>
      </c>
      <c r="M503" t="s">
        <v>1133</v>
      </c>
      <c r="N503" t="s">
        <v>57</v>
      </c>
      <c r="O503" s="1">
        <v>45689</v>
      </c>
      <c r="P503" s="1">
        <v>46235</v>
      </c>
      <c r="Q503" s="2">
        <v>59.89</v>
      </c>
      <c r="R503" t="s">
        <v>58</v>
      </c>
      <c r="S503" s="3">
        <v>0.15</v>
      </c>
      <c r="T503">
        <v>0</v>
      </c>
      <c r="U503" t="s">
        <v>247</v>
      </c>
      <c r="V503" t="s">
        <v>248</v>
      </c>
      <c r="W503">
        <v>0</v>
      </c>
      <c r="X503" s="2">
        <v>0</v>
      </c>
      <c r="Y503" s="2">
        <v>8.98</v>
      </c>
      <c r="Z503" s="2">
        <v>8.98</v>
      </c>
      <c r="AA503" s="2">
        <v>8.98</v>
      </c>
      <c r="AB503" s="2">
        <v>0</v>
      </c>
    </row>
    <row r="504" spans="1:28" x14ac:dyDescent="0.25">
      <c r="A504">
        <v>2026701618</v>
      </c>
      <c r="B504" t="s">
        <v>364</v>
      </c>
      <c r="C504" t="s">
        <v>365</v>
      </c>
      <c r="D504" t="str">
        <f t="shared" si="15"/>
        <v>DEANNA CROSSETT</v>
      </c>
      <c r="E504" t="s">
        <v>89</v>
      </c>
      <c r="F504" t="s">
        <v>194</v>
      </c>
      <c r="G504" t="s">
        <v>195</v>
      </c>
      <c r="H504" t="s">
        <v>195</v>
      </c>
      <c r="I504" s="8">
        <v>1706194</v>
      </c>
      <c r="J504" t="s">
        <v>358</v>
      </c>
      <c r="K504" t="s">
        <v>359</v>
      </c>
      <c r="L504" t="str">
        <f t="shared" si="14"/>
        <v>MATTHEW DAUGHERTY</v>
      </c>
      <c r="M504" t="s">
        <v>1133</v>
      </c>
      <c r="N504" t="s">
        <v>57</v>
      </c>
      <c r="O504" s="1">
        <v>45689</v>
      </c>
      <c r="P504" s="1">
        <v>46235</v>
      </c>
      <c r="Q504" s="2">
        <v>212.26</v>
      </c>
      <c r="R504" t="s">
        <v>58</v>
      </c>
      <c r="S504" s="3">
        <v>0.15</v>
      </c>
      <c r="T504">
        <v>0</v>
      </c>
      <c r="U504" t="s">
        <v>247</v>
      </c>
      <c r="V504" t="s">
        <v>248</v>
      </c>
      <c r="W504">
        <v>0</v>
      </c>
      <c r="X504" s="2">
        <v>0</v>
      </c>
      <c r="Y504" s="2">
        <v>31.84</v>
      </c>
      <c r="Z504" s="2">
        <v>31.84</v>
      </c>
      <c r="AA504" s="2">
        <v>31.84</v>
      </c>
      <c r="AB504" s="2">
        <v>0</v>
      </c>
    </row>
    <row r="505" spans="1:28" x14ac:dyDescent="0.25">
      <c r="A505">
        <v>2032554421</v>
      </c>
      <c r="B505" t="s">
        <v>402</v>
      </c>
      <c r="C505" t="s">
        <v>403</v>
      </c>
      <c r="D505" t="str">
        <f t="shared" si="15"/>
        <v>SANDRA REGNELL</v>
      </c>
      <c r="E505" t="s">
        <v>404</v>
      </c>
      <c r="F505" t="s">
        <v>194</v>
      </c>
      <c r="G505" t="s">
        <v>195</v>
      </c>
      <c r="H505" t="s">
        <v>195</v>
      </c>
      <c r="I505" s="8">
        <v>1706194</v>
      </c>
      <c r="J505" t="s">
        <v>358</v>
      </c>
      <c r="K505" t="s">
        <v>359</v>
      </c>
      <c r="L505" t="str">
        <f t="shared" si="14"/>
        <v>MATTHEW DAUGHERTY</v>
      </c>
      <c r="M505" t="s">
        <v>1133</v>
      </c>
      <c r="N505" t="s">
        <v>57</v>
      </c>
      <c r="O505" s="1">
        <v>46023</v>
      </c>
      <c r="P505" s="1">
        <v>46235</v>
      </c>
      <c r="Q505" s="2">
        <v>23.09</v>
      </c>
      <c r="R505" t="s">
        <v>58</v>
      </c>
      <c r="S505" s="3">
        <v>0.7</v>
      </c>
      <c r="T505">
        <v>0</v>
      </c>
      <c r="U505" t="s">
        <v>60</v>
      </c>
      <c r="V505" t="s">
        <v>248</v>
      </c>
      <c r="W505">
        <v>0</v>
      </c>
      <c r="X505" s="2">
        <v>0</v>
      </c>
      <c r="Y505" s="2">
        <v>16.16</v>
      </c>
      <c r="Z505" s="2">
        <v>16.16</v>
      </c>
      <c r="AA505" s="2">
        <v>16.16</v>
      </c>
      <c r="AB505" s="2">
        <v>0</v>
      </c>
    </row>
    <row r="506" spans="1:28" x14ac:dyDescent="0.25">
      <c r="A506">
        <v>2033118500</v>
      </c>
      <c r="B506" t="s">
        <v>458</v>
      </c>
      <c r="C506" t="s">
        <v>459</v>
      </c>
      <c r="D506" t="str">
        <f t="shared" si="15"/>
        <v>JOHNNIE FAIR</v>
      </c>
      <c r="E506" t="s">
        <v>94</v>
      </c>
      <c r="F506" t="s">
        <v>194</v>
      </c>
      <c r="G506" t="s">
        <v>195</v>
      </c>
      <c r="H506" t="s">
        <v>195</v>
      </c>
      <c r="I506" s="8">
        <v>1706194</v>
      </c>
      <c r="J506" t="s">
        <v>358</v>
      </c>
      <c r="K506" t="s">
        <v>359</v>
      </c>
      <c r="L506" t="str">
        <f t="shared" si="14"/>
        <v>MATTHEW DAUGHERTY</v>
      </c>
      <c r="M506" t="s">
        <v>1133</v>
      </c>
      <c r="N506" t="s">
        <v>57</v>
      </c>
      <c r="O506" s="1">
        <v>46054</v>
      </c>
      <c r="P506" s="1">
        <v>46235</v>
      </c>
      <c r="Q506" s="2">
        <v>8.49</v>
      </c>
      <c r="R506" t="s">
        <v>58</v>
      </c>
      <c r="S506" s="3">
        <v>0.7</v>
      </c>
      <c r="T506">
        <v>0</v>
      </c>
      <c r="U506" t="s">
        <v>60</v>
      </c>
      <c r="V506" t="s">
        <v>248</v>
      </c>
      <c r="W506">
        <v>0</v>
      </c>
      <c r="X506" s="2">
        <v>0</v>
      </c>
      <c r="Y506" s="2">
        <v>5.94</v>
      </c>
      <c r="Z506" s="2">
        <v>0</v>
      </c>
      <c r="AA506" s="2">
        <v>0</v>
      </c>
      <c r="AB506" s="2">
        <v>0</v>
      </c>
    </row>
    <row r="507" spans="1:28" x14ac:dyDescent="0.25">
      <c r="A507">
        <v>2032959579</v>
      </c>
      <c r="B507" t="s">
        <v>421</v>
      </c>
      <c r="C507" t="s">
        <v>422</v>
      </c>
      <c r="D507" t="str">
        <f t="shared" si="15"/>
        <v>MONETTE BALDWIN</v>
      </c>
      <c r="E507" t="s">
        <v>94</v>
      </c>
      <c r="F507" t="s">
        <v>194</v>
      </c>
      <c r="G507" t="s">
        <v>195</v>
      </c>
      <c r="H507" t="s">
        <v>195</v>
      </c>
      <c r="I507" s="8">
        <v>1706194</v>
      </c>
      <c r="J507" t="s">
        <v>358</v>
      </c>
      <c r="K507" t="s">
        <v>359</v>
      </c>
      <c r="L507" t="str">
        <f t="shared" si="14"/>
        <v>MATTHEW DAUGHERTY</v>
      </c>
      <c r="M507" t="s">
        <v>1133</v>
      </c>
      <c r="N507" t="s">
        <v>57</v>
      </c>
      <c r="O507" s="1">
        <v>46054</v>
      </c>
      <c r="P507" s="1">
        <v>46235</v>
      </c>
      <c r="Q507" s="2">
        <v>8.49</v>
      </c>
      <c r="R507" t="s">
        <v>58</v>
      </c>
      <c r="S507" s="3">
        <v>0.7</v>
      </c>
      <c r="T507">
        <v>0</v>
      </c>
      <c r="U507" t="s">
        <v>60</v>
      </c>
      <c r="V507" t="s">
        <v>248</v>
      </c>
      <c r="W507">
        <v>0</v>
      </c>
      <c r="X507" s="2">
        <v>0</v>
      </c>
      <c r="Y507" s="2">
        <v>5.94</v>
      </c>
      <c r="Z507" s="2">
        <v>0</v>
      </c>
      <c r="AA507" s="2">
        <v>0</v>
      </c>
      <c r="AB507" s="2">
        <v>0</v>
      </c>
    </row>
    <row r="508" spans="1:28" x14ac:dyDescent="0.25">
      <c r="A508">
        <v>2032984365</v>
      </c>
      <c r="B508" t="s">
        <v>423</v>
      </c>
      <c r="C508" t="s">
        <v>424</v>
      </c>
      <c r="D508" t="str">
        <f t="shared" si="15"/>
        <v>SHAKILA MEHRI</v>
      </c>
      <c r="E508" t="s">
        <v>425</v>
      </c>
      <c r="F508" t="s">
        <v>194</v>
      </c>
      <c r="G508" t="s">
        <v>195</v>
      </c>
      <c r="H508" t="s">
        <v>195</v>
      </c>
      <c r="I508" s="8">
        <v>1706194</v>
      </c>
      <c r="J508" t="s">
        <v>358</v>
      </c>
      <c r="K508" t="s">
        <v>359</v>
      </c>
      <c r="L508" t="str">
        <f t="shared" si="14"/>
        <v>MATTHEW DAUGHERTY</v>
      </c>
      <c r="M508" t="s">
        <v>1133</v>
      </c>
      <c r="N508" t="s">
        <v>57</v>
      </c>
      <c r="O508" s="1">
        <v>46054</v>
      </c>
      <c r="P508" s="1">
        <v>46235</v>
      </c>
      <c r="Q508" s="2">
        <v>10.82</v>
      </c>
      <c r="R508" t="s">
        <v>58</v>
      </c>
      <c r="S508" s="3">
        <v>0.7</v>
      </c>
      <c r="T508">
        <v>0</v>
      </c>
      <c r="U508" t="s">
        <v>60</v>
      </c>
      <c r="V508" t="s">
        <v>248</v>
      </c>
      <c r="W508">
        <v>0</v>
      </c>
      <c r="X508" s="2">
        <v>0</v>
      </c>
      <c r="Y508" s="2">
        <v>7.57</v>
      </c>
      <c r="Z508" s="2">
        <v>0</v>
      </c>
      <c r="AA508" s="2">
        <v>0</v>
      </c>
      <c r="AB508" s="2">
        <v>0</v>
      </c>
    </row>
    <row r="509" spans="1:28" x14ac:dyDescent="0.25">
      <c r="A509">
        <v>2032948956</v>
      </c>
      <c r="B509" t="s">
        <v>416</v>
      </c>
      <c r="C509" t="s">
        <v>187</v>
      </c>
      <c r="D509" t="str">
        <f t="shared" si="15"/>
        <v>GARY BEARD</v>
      </c>
      <c r="E509" t="s">
        <v>167</v>
      </c>
      <c r="F509" t="s">
        <v>194</v>
      </c>
      <c r="G509" t="s">
        <v>195</v>
      </c>
      <c r="H509" t="s">
        <v>195</v>
      </c>
      <c r="I509" s="8">
        <v>1706194</v>
      </c>
      <c r="J509" t="s">
        <v>358</v>
      </c>
      <c r="K509" t="s">
        <v>359</v>
      </c>
      <c r="L509" t="str">
        <f t="shared" si="14"/>
        <v>MATTHEW DAUGHERTY</v>
      </c>
      <c r="M509" t="s">
        <v>1133</v>
      </c>
      <c r="N509" t="s">
        <v>57</v>
      </c>
      <c r="O509" s="1">
        <v>46054</v>
      </c>
      <c r="P509" s="1">
        <v>46235</v>
      </c>
      <c r="Q509" s="2">
        <v>24.39</v>
      </c>
      <c r="R509" t="s">
        <v>58</v>
      </c>
      <c r="S509" s="3">
        <v>0.7</v>
      </c>
      <c r="T509">
        <v>0</v>
      </c>
      <c r="U509" t="s">
        <v>60</v>
      </c>
      <c r="V509" t="s">
        <v>248</v>
      </c>
      <c r="W509">
        <v>0</v>
      </c>
      <c r="X509" s="2">
        <v>0</v>
      </c>
      <c r="Y509" s="2">
        <v>17.07</v>
      </c>
      <c r="Z509" s="2">
        <v>0</v>
      </c>
      <c r="AA509" s="2">
        <v>0</v>
      </c>
      <c r="AB509" s="2">
        <v>0</v>
      </c>
    </row>
    <row r="510" spans="1:28" x14ac:dyDescent="0.25">
      <c r="A510">
        <v>2033127196</v>
      </c>
      <c r="B510" t="s">
        <v>461</v>
      </c>
      <c r="C510" t="s">
        <v>462</v>
      </c>
      <c r="D510" t="str">
        <f t="shared" si="15"/>
        <v>VERONICA MIRAMONTES</v>
      </c>
      <c r="E510" t="s">
        <v>332</v>
      </c>
      <c r="F510" t="s">
        <v>194</v>
      </c>
      <c r="G510" t="s">
        <v>195</v>
      </c>
      <c r="H510" t="s">
        <v>195</v>
      </c>
      <c r="I510" s="8">
        <v>1706194</v>
      </c>
      <c r="J510" t="s">
        <v>358</v>
      </c>
      <c r="K510" t="s">
        <v>359</v>
      </c>
      <c r="L510" t="str">
        <f t="shared" si="14"/>
        <v>MATTHEW DAUGHERTY</v>
      </c>
      <c r="M510" t="s">
        <v>1133</v>
      </c>
      <c r="N510" t="s">
        <v>57</v>
      </c>
      <c r="O510" s="1">
        <v>46054</v>
      </c>
      <c r="P510" s="1">
        <v>46235</v>
      </c>
      <c r="Q510" s="2">
        <v>27.34</v>
      </c>
      <c r="R510" t="s">
        <v>58</v>
      </c>
      <c r="S510" s="3">
        <v>0.7</v>
      </c>
      <c r="T510">
        <v>0</v>
      </c>
      <c r="U510" t="s">
        <v>60</v>
      </c>
      <c r="V510" t="s">
        <v>248</v>
      </c>
      <c r="W510">
        <v>0</v>
      </c>
      <c r="X510" s="2">
        <v>0</v>
      </c>
      <c r="Y510" s="2">
        <v>19.14</v>
      </c>
      <c r="Z510" s="2">
        <v>0</v>
      </c>
      <c r="AA510" s="2">
        <v>0</v>
      </c>
      <c r="AB510" s="2">
        <v>0</v>
      </c>
    </row>
    <row r="511" spans="1:28" x14ac:dyDescent="0.25">
      <c r="A511">
        <v>2032542235</v>
      </c>
      <c r="B511" t="s">
        <v>400</v>
      </c>
      <c r="C511" t="s">
        <v>401</v>
      </c>
      <c r="D511" t="str">
        <f t="shared" si="15"/>
        <v>LISA CLINE</v>
      </c>
      <c r="E511" t="s">
        <v>124</v>
      </c>
      <c r="F511" t="s">
        <v>194</v>
      </c>
      <c r="G511" t="s">
        <v>195</v>
      </c>
      <c r="H511" t="s">
        <v>195</v>
      </c>
      <c r="I511" s="8">
        <v>1706194</v>
      </c>
      <c r="J511" t="s">
        <v>358</v>
      </c>
      <c r="K511" t="s">
        <v>359</v>
      </c>
      <c r="L511" t="str">
        <f t="shared" si="14"/>
        <v>MATTHEW DAUGHERTY</v>
      </c>
      <c r="M511" t="s">
        <v>1133</v>
      </c>
      <c r="N511" t="s">
        <v>57</v>
      </c>
      <c r="O511" s="1">
        <v>46054</v>
      </c>
      <c r="P511" s="1">
        <v>46235</v>
      </c>
      <c r="Q511" s="2">
        <v>28.38</v>
      </c>
      <c r="R511" t="s">
        <v>58</v>
      </c>
      <c r="S511" s="3">
        <v>0.7</v>
      </c>
      <c r="T511">
        <v>0</v>
      </c>
      <c r="U511" t="s">
        <v>60</v>
      </c>
      <c r="V511" t="s">
        <v>248</v>
      </c>
      <c r="W511">
        <v>0</v>
      </c>
      <c r="X511" s="2">
        <v>0</v>
      </c>
      <c r="Y511" s="2">
        <v>19.87</v>
      </c>
      <c r="Z511" s="2">
        <v>0</v>
      </c>
      <c r="AA511" s="2">
        <v>0</v>
      </c>
      <c r="AB511" s="2">
        <v>0</v>
      </c>
    </row>
    <row r="512" spans="1:28" x14ac:dyDescent="0.25">
      <c r="A512">
        <v>2033013433</v>
      </c>
      <c r="B512" t="s">
        <v>432</v>
      </c>
      <c r="C512" t="s">
        <v>433</v>
      </c>
      <c r="D512" t="str">
        <f t="shared" si="15"/>
        <v>TERESA DOMMERT</v>
      </c>
      <c r="E512" t="s">
        <v>434</v>
      </c>
      <c r="F512" t="s">
        <v>194</v>
      </c>
      <c r="G512" t="s">
        <v>195</v>
      </c>
      <c r="H512" t="s">
        <v>195</v>
      </c>
      <c r="I512" s="8">
        <v>1706194</v>
      </c>
      <c r="J512" t="s">
        <v>358</v>
      </c>
      <c r="K512" t="s">
        <v>359</v>
      </c>
      <c r="L512" t="str">
        <f t="shared" si="14"/>
        <v>MATTHEW DAUGHERTY</v>
      </c>
      <c r="M512" t="s">
        <v>1133</v>
      </c>
      <c r="N512" t="s">
        <v>57</v>
      </c>
      <c r="O512" s="1">
        <v>46054</v>
      </c>
      <c r="P512" s="1">
        <v>46235</v>
      </c>
      <c r="Q512" s="2">
        <v>36.81</v>
      </c>
      <c r="R512" t="s">
        <v>58</v>
      </c>
      <c r="S512" s="3">
        <v>0.7</v>
      </c>
      <c r="T512">
        <v>0</v>
      </c>
      <c r="U512" t="s">
        <v>60</v>
      </c>
      <c r="V512" t="s">
        <v>248</v>
      </c>
      <c r="W512">
        <v>0</v>
      </c>
      <c r="X512" s="2">
        <v>0</v>
      </c>
      <c r="Y512" s="2">
        <v>25.77</v>
      </c>
      <c r="Z512" s="2">
        <v>0</v>
      </c>
      <c r="AA512" s="2">
        <v>0</v>
      </c>
      <c r="AB512" s="2">
        <v>0</v>
      </c>
    </row>
    <row r="513" spans="1:28" x14ac:dyDescent="0.25">
      <c r="A513">
        <v>2033133906</v>
      </c>
      <c r="B513" t="s">
        <v>465</v>
      </c>
      <c r="C513" t="s">
        <v>466</v>
      </c>
      <c r="D513" t="str">
        <f t="shared" si="15"/>
        <v>TODD TEMPLETON</v>
      </c>
      <c r="E513" t="s">
        <v>434</v>
      </c>
      <c r="F513" t="s">
        <v>194</v>
      </c>
      <c r="G513" t="s">
        <v>195</v>
      </c>
      <c r="H513" t="s">
        <v>195</v>
      </c>
      <c r="I513" s="8">
        <v>1706194</v>
      </c>
      <c r="J513" t="s">
        <v>358</v>
      </c>
      <c r="K513" t="s">
        <v>359</v>
      </c>
      <c r="L513" t="str">
        <f t="shared" si="14"/>
        <v>MATTHEW DAUGHERTY</v>
      </c>
      <c r="M513" t="s">
        <v>1133</v>
      </c>
      <c r="N513" t="s">
        <v>57</v>
      </c>
      <c r="O513" s="1">
        <v>46054</v>
      </c>
      <c r="P513" s="1">
        <v>46235</v>
      </c>
      <c r="Q513" s="2">
        <v>39.25</v>
      </c>
      <c r="R513" t="s">
        <v>58</v>
      </c>
      <c r="S513" s="3">
        <v>0.7</v>
      </c>
      <c r="T513">
        <v>0</v>
      </c>
      <c r="U513" t="s">
        <v>60</v>
      </c>
      <c r="V513" t="s">
        <v>248</v>
      </c>
      <c r="W513">
        <v>0</v>
      </c>
      <c r="X513" s="2">
        <v>0</v>
      </c>
      <c r="Y513" s="2">
        <v>27.48</v>
      </c>
      <c r="Z513" s="2">
        <v>0</v>
      </c>
      <c r="AA513" s="2">
        <v>0</v>
      </c>
      <c r="AB513" s="2">
        <v>0</v>
      </c>
    </row>
    <row r="514" spans="1:28" x14ac:dyDescent="0.25">
      <c r="A514">
        <v>2033055076</v>
      </c>
      <c r="B514" t="s">
        <v>444</v>
      </c>
      <c r="C514" t="s">
        <v>445</v>
      </c>
      <c r="D514" t="str">
        <f t="shared" si="15"/>
        <v>ANDREW KERSEY</v>
      </c>
      <c r="E514" t="s">
        <v>425</v>
      </c>
      <c r="F514" t="s">
        <v>194</v>
      </c>
      <c r="G514" t="s">
        <v>195</v>
      </c>
      <c r="H514" t="s">
        <v>195</v>
      </c>
      <c r="I514" s="8">
        <v>1706194</v>
      </c>
      <c r="J514" t="s">
        <v>358</v>
      </c>
      <c r="K514" t="s">
        <v>359</v>
      </c>
      <c r="L514" t="str">
        <f t="shared" ref="L514:L577" si="16">CONCATENATE(K514," ",J514)</f>
        <v>MATTHEW DAUGHERTY</v>
      </c>
      <c r="M514" t="s">
        <v>1133</v>
      </c>
      <c r="N514" t="s">
        <v>57</v>
      </c>
      <c r="O514" s="1">
        <v>46054</v>
      </c>
      <c r="P514" s="1">
        <v>46235</v>
      </c>
      <c r="Q514" s="2">
        <v>41.57</v>
      </c>
      <c r="R514" t="s">
        <v>58</v>
      </c>
      <c r="S514" s="3">
        <v>0.7</v>
      </c>
      <c r="T514">
        <v>0</v>
      </c>
      <c r="U514" t="s">
        <v>60</v>
      </c>
      <c r="V514" t="s">
        <v>248</v>
      </c>
      <c r="W514">
        <v>0</v>
      </c>
      <c r="X514" s="2">
        <v>0</v>
      </c>
      <c r="Y514" s="2">
        <v>29.1</v>
      </c>
      <c r="Z514" s="2">
        <v>0</v>
      </c>
      <c r="AA514" s="2">
        <v>0</v>
      </c>
      <c r="AB514" s="2">
        <v>0</v>
      </c>
    </row>
    <row r="515" spans="1:28" x14ac:dyDescent="0.25">
      <c r="A515">
        <v>2033129807</v>
      </c>
      <c r="B515" t="s">
        <v>463</v>
      </c>
      <c r="C515" t="s">
        <v>464</v>
      </c>
      <c r="D515" t="str">
        <f t="shared" ref="D515:D578" si="17">CONCATENATE(C515," ",B515)</f>
        <v>CURTIS SEKULICH</v>
      </c>
      <c r="E515" t="s">
        <v>425</v>
      </c>
      <c r="F515" t="s">
        <v>194</v>
      </c>
      <c r="G515" t="s">
        <v>195</v>
      </c>
      <c r="H515" t="s">
        <v>195</v>
      </c>
      <c r="I515" s="8">
        <v>1706194</v>
      </c>
      <c r="J515" t="s">
        <v>358</v>
      </c>
      <c r="K515" t="s">
        <v>359</v>
      </c>
      <c r="L515" t="str">
        <f t="shared" si="16"/>
        <v>MATTHEW DAUGHERTY</v>
      </c>
      <c r="M515" t="s">
        <v>1133</v>
      </c>
      <c r="N515" t="s">
        <v>57</v>
      </c>
      <c r="O515" s="1">
        <v>46054</v>
      </c>
      <c r="P515" s="1">
        <v>46235</v>
      </c>
      <c r="Q515" s="2">
        <v>44.2</v>
      </c>
      <c r="R515" t="s">
        <v>58</v>
      </c>
      <c r="S515" s="3">
        <v>0.7</v>
      </c>
      <c r="T515">
        <v>0</v>
      </c>
      <c r="U515" t="s">
        <v>60</v>
      </c>
      <c r="V515" t="s">
        <v>248</v>
      </c>
      <c r="W515">
        <v>0</v>
      </c>
      <c r="X515" s="2">
        <v>0</v>
      </c>
      <c r="Y515" s="2">
        <v>30.94</v>
      </c>
      <c r="Z515" s="2">
        <v>0</v>
      </c>
      <c r="AA515" s="2">
        <v>0</v>
      </c>
      <c r="AB515" s="2">
        <v>0</v>
      </c>
    </row>
    <row r="516" spans="1:28" x14ac:dyDescent="0.25">
      <c r="A516">
        <v>2033017017</v>
      </c>
      <c r="B516" t="s">
        <v>435</v>
      </c>
      <c r="C516" t="s">
        <v>205</v>
      </c>
      <c r="D516" t="str">
        <f t="shared" si="17"/>
        <v>MARC DAVIS</v>
      </c>
      <c r="E516" t="s">
        <v>425</v>
      </c>
      <c r="F516" t="s">
        <v>194</v>
      </c>
      <c r="G516" t="s">
        <v>195</v>
      </c>
      <c r="H516" t="s">
        <v>195</v>
      </c>
      <c r="I516" s="8">
        <v>1706194</v>
      </c>
      <c r="J516" t="s">
        <v>358</v>
      </c>
      <c r="K516" t="s">
        <v>359</v>
      </c>
      <c r="L516" t="str">
        <f t="shared" si="16"/>
        <v>MATTHEW DAUGHERTY</v>
      </c>
      <c r="M516" t="s">
        <v>1133</v>
      </c>
      <c r="N516" t="s">
        <v>57</v>
      </c>
      <c r="O516" s="1">
        <v>46054</v>
      </c>
      <c r="P516" s="1">
        <v>46235</v>
      </c>
      <c r="Q516" s="2">
        <v>46.27</v>
      </c>
      <c r="R516" t="s">
        <v>58</v>
      </c>
      <c r="S516" s="3">
        <v>0.7</v>
      </c>
      <c r="T516">
        <v>0</v>
      </c>
      <c r="U516" t="s">
        <v>60</v>
      </c>
      <c r="V516" t="s">
        <v>248</v>
      </c>
      <c r="W516">
        <v>0</v>
      </c>
      <c r="X516" s="2">
        <v>0</v>
      </c>
      <c r="Y516" s="2">
        <v>32.39</v>
      </c>
      <c r="Z516" s="2">
        <v>0</v>
      </c>
      <c r="AA516" s="2">
        <v>0</v>
      </c>
      <c r="AB516" s="2">
        <v>0</v>
      </c>
    </row>
    <row r="517" spans="1:28" x14ac:dyDescent="0.25">
      <c r="A517">
        <v>2033151608</v>
      </c>
      <c r="B517" t="s">
        <v>477</v>
      </c>
      <c r="C517" t="s">
        <v>478</v>
      </c>
      <c r="D517" t="str">
        <f t="shared" si="17"/>
        <v>MICHAEL HIBBITTS</v>
      </c>
      <c r="E517" t="s">
        <v>479</v>
      </c>
      <c r="F517" t="s">
        <v>194</v>
      </c>
      <c r="G517" t="s">
        <v>195</v>
      </c>
      <c r="H517" t="s">
        <v>195</v>
      </c>
      <c r="I517" s="8">
        <v>1706194</v>
      </c>
      <c r="J517" t="s">
        <v>358</v>
      </c>
      <c r="K517" t="s">
        <v>359</v>
      </c>
      <c r="L517" t="str">
        <f t="shared" si="16"/>
        <v>MATTHEW DAUGHERTY</v>
      </c>
      <c r="M517" t="s">
        <v>1133</v>
      </c>
      <c r="N517" t="s">
        <v>57</v>
      </c>
      <c r="O517" s="1">
        <v>46054</v>
      </c>
      <c r="P517" s="1">
        <v>46235</v>
      </c>
      <c r="Q517" s="2">
        <v>46.72</v>
      </c>
      <c r="R517" t="s">
        <v>58</v>
      </c>
      <c r="S517" s="3">
        <v>0.7</v>
      </c>
      <c r="T517">
        <v>0</v>
      </c>
      <c r="U517" t="s">
        <v>60</v>
      </c>
      <c r="V517" t="s">
        <v>248</v>
      </c>
      <c r="W517">
        <v>0</v>
      </c>
      <c r="X517" s="2">
        <v>0</v>
      </c>
      <c r="Y517" s="2">
        <v>32.700000000000003</v>
      </c>
      <c r="Z517" s="2">
        <v>0</v>
      </c>
      <c r="AA517" s="2">
        <v>0</v>
      </c>
      <c r="AB517" s="2">
        <v>0</v>
      </c>
    </row>
    <row r="518" spans="1:28" x14ac:dyDescent="0.25">
      <c r="A518">
        <v>2033035527</v>
      </c>
      <c r="B518" t="s">
        <v>439</v>
      </c>
      <c r="C518" t="s">
        <v>440</v>
      </c>
      <c r="D518" t="str">
        <f t="shared" si="17"/>
        <v>MARSHALL ALLEN</v>
      </c>
      <c r="E518" t="s">
        <v>143</v>
      </c>
      <c r="F518" t="s">
        <v>194</v>
      </c>
      <c r="G518" t="s">
        <v>195</v>
      </c>
      <c r="H518" t="s">
        <v>195</v>
      </c>
      <c r="I518" s="8">
        <v>1706194</v>
      </c>
      <c r="J518" t="s">
        <v>358</v>
      </c>
      <c r="K518" t="s">
        <v>359</v>
      </c>
      <c r="L518" t="str">
        <f t="shared" si="16"/>
        <v>MATTHEW DAUGHERTY</v>
      </c>
      <c r="M518" t="s">
        <v>1133</v>
      </c>
      <c r="N518" t="s">
        <v>57</v>
      </c>
      <c r="O518" s="1">
        <v>46054</v>
      </c>
      <c r="P518" s="1">
        <v>46235</v>
      </c>
      <c r="Q518" s="2">
        <v>46.72</v>
      </c>
      <c r="R518" t="s">
        <v>58</v>
      </c>
      <c r="S518" s="3">
        <v>0.7</v>
      </c>
      <c r="T518">
        <v>0</v>
      </c>
      <c r="U518" t="s">
        <v>60</v>
      </c>
      <c r="V518" t="s">
        <v>248</v>
      </c>
      <c r="W518">
        <v>0</v>
      </c>
      <c r="X518" s="2">
        <v>0</v>
      </c>
      <c r="Y518" s="2">
        <v>32.700000000000003</v>
      </c>
      <c r="Z518" s="2">
        <v>0</v>
      </c>
      <c r="AA518" s="2">
        <v>0</v>
      </c>
      <c r="AB518" s="2">
        <v>0</v>
      </c>
    </row>
    <row r="519" spans="1:28" x14ac:dyDescent="0.25">
      <c r="A519">
        <v>2033165018</v>
      </c>
      <c r="B519" t="s">
        <v>231</v>
      </c>
      <c r="C519" t="s">
        <v>171</v>
      </c>
      <c r="D519" t="str">
        <f t="shared" si="17"/>
        <v>WILLIAM JOHNSON</v>
      </c>
      <c r="E519" t="s">
        <v>479</v>
      </c>
      <c r="F519" t="s">
        <v>194</v>
      </c>
      <c r="G519" t="s">
        <v>195</v>
      </c>
      <c r="H519" t="s">
        <v>195</v>
      </c>
      <c r="I519" s="8">
        <v>1706194</v>
      </c>
      <c r="J519" t="s">
        <v>358</v>
      </c>
      <c r="K519" t="s">
        <v>359</v>
      </c>
      <c r="L519" t="str">
        <f t="shared" si="16"/>
        <v>MATTHEW DAUGHERTY</v>
      </c>
      <c r="M519" t="s">
        <v>1133</v>
      </c>
      <c r="N519" t="s">
        <v>57</v>
      </c>
      <c r="O519" s="1">
        <v>46054</v>
      </c>
      <c r="P519" s="1">
        <v>46235</v>
      </c>
      <c r="Q519" s="2">
        <v>49.28</v>
      </c>
      <c r="R519" t="s">
        <v>58</v>
      </c>
      <c r="S519" s="3">
        <v>0.7</v>
      </c>
      <c r="T519">
        <v>0</v>
      </c>
      <c r="U519" t="s">
        <v>60</v>
      </c>
      <c r="V519" t="s">
        <v>248</v>
      </c>
      <c r="W519">
        <v>0</v>
      </c>
      <c r="X519" s="2">
        <v>0</v>
      </c>
      <c r="Y519" s="2">
        <v>34.5</v>
      </c>
      <c r="Z519" s="2">
        <v>0</v>
      </c>
      <c r="AA519" s="2">
        <v>0</v>
      </c>
      <c r="AB519" s="2">
        <v>0</v>
      </c>
    </row>
    <row r="520" spans="1:28" x14ac:dyDescent="0.25">
      <c r="A520">
        <v>2033180215</v>
      </c>
      <c r="B520" t="s">
        <v>497</v>
      </c>
      <c r="C520" t="s">
        <v>471</v>
      </c>
      <c r="D520" t="str">
        <f t="shared" si="17"/>
        <v>KELLY KLINGELE</v>
      </c>
      <c r="E520" t="s">
        <v>425</v>
      </c>
      <c r="F520" t="s">
        <v>194</v>
      </c>
      <c r="G520" t="s">
        <v>195</v>
      </c>
      <c r="H520" t="s">
        <v>195</v>
      </c>
      <c r="I520" s="8">
        <v>1706194</v>
      </c>
      <c r="J520" t="s">
        <v>358</v>
      </c>
      <c r="K520" t="s">
        <v>359</v>
      </c>
      <c r="L520" t="str">
        <f t="shared" si="16"/>
        <v>MATTHEW DAUGHERTY</v>
      </c>
      <c r="M520" t="s">
        <v>1133</v>
      </c>
      <c r="N520" t="s">
        <v>57</v>
      </c>
      <c r="O520" s="1">
        <v>46054</v>
      </c>
      <c r="P520" s="1">
        <v>46235</v>
      </c>
      <c r="Q520" s="2">
        <v>85.36</v>
      </c>
      <c r="R520" t="s">
        <v>58</v>
      </c>
      <c r="S520" s="3">
        <v>0.7</v>
      </c>
      <c r="T520">
        <v>0</v>
      </c>
      <c r="U520" t="s">
        <v>60</v>
      </c>
      <c r="V520" t="s">
        <v>248</v>
      </c>
      <c r="W520">
        <v>0</v>
      </c>
      <c r="X520" s="2">
        <v>0</v>
      </c>
      <c r="Y520" s="2">
        <v>59.75</v>
      </c>
      <c r="Z520" s="2">
        <v>0</v>
      </c>
      <c r="AA520" s="2">
        <v>0</v>
      </c>
      <c r="AB520" s="2">
        <v>0</v>
      </c>
    </row>
    <row r="521" spans="1:28" x14ac:dyDescent="0.25">
      <c r="A521">
        <v>2033278775</v>
      </c>
      <c r="B521" t="s">
        <v>775</v>
      </c>
      <c r="C521" t="s">
        <v>776</v>
      </c>
      <c r="D521" t="str">
        <f t="shared" si="17"/>
        <v>AIDEN LONG</v>
      </c>
      <c r="E521" t="s">
        <v>434</v>
      </c>
      <c r="F521" t="s">
        <v>194</v>
      </c>
      <c r="G521" t="s">
        <v>195</v>
      </c>
      <c r="H521" t="s">
        <v>195</v>
      </c>
      <c r="I521" s="8">
        <v>1706194</v>
      </c>
      <c r="J521" t="s">
        <v>358</v>
      </c>
      <c r="K521" t="s">
        <v>359</v>
      </c>
      <c r="L521" t="str">
        <f t="shared" si="16"/>
        <v>MATTHEW DAUGHERTY</v>
      </c>
      <c r="M521" t="s">
        <v>1133</v>
      </c>
      <c r="N521" t="s">
        <v>57</v>
      </c>
      <c r="O521" s="1">
        <v>46054</v>
      </c>
      <c r="P521" s="1">
        <v>46235</v>
      </c>
      <c r="Q521" s="2">
        <v>88.05</v>
      </c>
      <c r="R521" t="s">
        <v>58</v>
      </c>
      <c r="S521" s="3">
        <v>0.7</v>
      </c>
      <c r="T521">
        <v>0</v>
      </c>
      <c r="U521" t="s">
        <v>60</v>
      </c>
      <c r="V521" t="s">
        <v>248</v>
      </c>
      <c r="W521">
        <v>0</v>
      </c>
      <c r="X521" s="2">
        <v>0</v>
      </c>
      <c r="Y521" s="2">
        <v>61.64</v>
      </c>
      <c r="Z521" s="2">
        <v>0</v>
      </c>
      <c r="AA521" s="2">
        <v>0</v>
      </c>
      <c r="AB521" s="2">
        <v>0</v>
      </c>
    </row>
    <row r="522" spans="1:28" x14ac:dyDescent="0.25">
      <c r="A522">
        <v>2033371198</v>
      </c>
      <c r="B522" t="s">
        <v>534</v>
      </c>
      <c r="C522" t="s">
        <v>50</v>
      </c>
      <c r="D522" t="str">
        <f t="shared" si="17"/>
        <v>MARGARET CADENA</v>
      </c>
      <c r="E522" t="s">
        <v>124</v>
      </c>
      <c r="F522" t="s">
        <v>194</v>
      </c>
      <c r="G522" t="s">
        <v>195</v>
      </c>
      <c r="H522" t="s">
        <v>195</v>
      </c>
      <c r="I522" s="8">
        <v>1706194</v>
      </c>
      <c r="J522" t="s">
        <v>358</v>
      </c>
      <c r="K522" t="s">
        <v>359</v>
      </c>
      <c r="L522" t="str">
        <f t="shared" si="16"/>
        <v>MATTHEW DAUGHERTY</v>
      </c>
      <c r="M522" t="s">
        <v>1133</v>
      </c>
      <c r="N522" t="s">
        <v>57</v>
      </c>
      <c r="O522" s="1">
        <v>46054</v>
      </c>
      <c r="P522" s="1">
        <v>46235</v>
      </c>
      <c r="Q522" s="2">
        <v>89.16</v>
      </c>
      <c r="R522" t="s">
        <v>58</v>
      </c>
      <c r="S522" s="3">
        <v>0.7</v>
      </c>
      <c r="T522">
        <v>0</v>
      </c>
      <c r="U522" t="s">
        <v>60</v>
      </c>
      <c r="V522" t="s">
        <v>248</v>
      </c>
      <c r="W522">
        <v>0</v>
      </c>
      <c r="X522" s="2">
        <v>0</v>
      </c>
      <c r="Y522" s="2">
        <v>62.41</v>
      </c>
      <c r="Z522" s="2">
        <v>0</v>
      </c>
      <c r="AA522" s="2">
        <v>0</v>
      </c>
      <c r="AB522" s="2">
        <v>0</v>
      </c>
    </row>
    <row r="523" spans="1:28" x14ac:dyDescent="0.25">
      <c r="A523">
        <v>2033154898</v>
      </c>
      <c r="B523" t="s">
        <v>356</v>
      </c>
      <c r="C523" t="s">
        <v>433</v>
      </c>
      <c r="D523" t="str">
        <f t="shared" si="17"/>
        <v>TERESA BORDEAUX</v>
      </c>
      <c r="E523" t="s">
        <v>75</v>
      </c>
      <c r="F523" t="s">
        <v>194</v>
      </c>
      <c r="G523" t="s">
        <v>195</v>
      </c>
      <c r="H523" t="s">
        <v>195</v>
      </c>
      <c r="I523" s="8">
        <v>1706194</v>
      </c>
      <c r="J523" t="s">
        <v>358</v>
      </c>
      <c r="K523" t="s">
        <v>359</v>
      </c>
      <c r="L523" t="str">
        <f t="shared" si="16"/>
        <v>MATTHEW DAUGHERTY</v>
      </c>
      <c r="M523" t="s">
        <v>1133</v>
      </c>
      <c r="N523" t="s">
        <v>57</v>
      </c>
      <c r="O523" s="1">
        <v>46054</v>
      </c>
      <c r="P523" s="1">
        <v>46235</v>
      </c>
      <c r="Q523" s="2">
        <v>105.88</v>
      </c>
      <c r="R523" t="s">
        <v>58</v>
      </c>
      <c r="S523" s="3">
        <v>0.7</v>
      </c>
      <c r="T523">
        <v>0</v>
      </c>
      <c r="U523" t="s">
        <v>60</v>
      </c>
      <c r="V523" t="s">
        <v>248</v>
      </c>
      <c r="W523">
        <v>0</v>
      </c>
      <c r="X523" s="2">
        <v>0</v>
      </c>
      <c r="Y523" s="2">
        <v>74.12</v>
      </c>
      <c r="Z523" s="2">
        <v>0</v>
      </c>
      <c r="AA523" s="2">
        <v>0</v>
      </c>
      <c r="AB523" s="2">
        <v>0</v>
      </c>
    </row>
    <row r="524" spans="1:28" x14ac:dyDescent="0.25">
      <c r="A524">
        <v>2033349830</v>
      </c>
      <c r="B524" t="s">
        <v>526</v>
      </c>
      <c r="C524" t="s">
        <v>527</v>
      </c>
      <c r="D524" t="str">
        <f t="shared" si="17"/>
        <v>BARRETT HOPSON</v>
      </c>
      <c r="E524" t="s">
        <v>124</v>
      </c>
      <c r="F524" t="s">
        <v>194</v>
      </c>
      <c r="G524" t="s">
        <v>195</v>
      </c>
      <c r="H524" t="s">
        <v>195</v>
      </c>
      <c r="I524" s="8">
        <v>1706194</v>
      </c>
      <c r="J524" t="s">
        <v>358</v>
      </c>
      <c r="K524" t="s">
        <v>359</v>
      </c>
      <c r="L524" t="str">
        <f t="shared" si="16"/>
        <v>MATTHEW DAUGHERTY</v>
      </c>
      <c r="M524" t="s">
        <v>1133</v>
      </c>
      <c r="N524" t="s">
        <v>57</v>
      </c>
      <c r="O524" s="1">
        <v>46054</v>
      </c>
      <c r="P524" s="1">
        <v>46235</v>
      </c>
      <c r="Q524" s="2">
        <v>109.9</v>
      </c>
      <c r="R524" t="s">
        <v>58</v>
      </c>
      <c r="S524" s="3">
        <v>0.7</v>
      </c>
      <c r="T524">
        <v>0</v>
      </c>
      <c r="U524" t="s">
        <v>60</v>
      </c>
      <c r="V524" t="s">
        <v>248</v>
      </c>
      <c r="W524">
        <v>0</v>
      </c>
      <c r="X524" s="2">
        <v>0</v>
      </c>
      <c r="Y524" s="2">
        <v>76.930000000000007</v>
      </c>
      <c r="Z524" s="2">
        <v>0</v>
      </c>
      <c r="AA524" s="2">
        <v>0</v>
      </c>
      <c r="AB524" s="2">
        <v>0</v>
      </c>
    </row>
    <row r="525" spans="1:28" x14ac:dyDescent="0.25">
      <c r="A525">
        <v>2033051158</v>
      </c>
      <c r="B525" t="s">
        <v>179</v>
      </c>
      <c r="C525" t="s">
        <v>441</v>
      </c>
      <c r="D525" t="str">
        <f t="shared" si="17"/>
        <v>RUBEN SANCHEZ</v>
      </c>
      <c r="E525" t="s">
        <v>425</v>
      </c>
      <c r="F525" t="s">
        <v>194</v>
      </c>
      <c r="G525" t="s">
        <v>195</v>
      </c>
      <c r="H525" t="s">
        <v>195</v>
      </c>
      <c r="I525" s="8">
        <v>1706194</v>
      </c>
      <c r="J525" t="s">
        <v>358</v>
      </c>
      <c r="K525" t="s">
        <v>359</v>
      </c>
      <c r="L525" t="str">
        <f t="shared" si="16"/>
        <v>MATTHEW DAUGHERTY</v>
      </c>
      <c r="M525" t="s">
        <v>1133</v>
      </c>
      <c r="N525" t="s">
        <v>57</v>
      </c>
      <c r="O525" s="1">
        <v>46054</v>
      </c>
      <c r="P525" s="1">
        <v>46235</v>
      </c>
      <c r="Q525" s="2">
        <v>111.29</v>
      </c>
      <c r="R525" t="s">
        <v>58</v>
      </c>
      <c r="S525" s="3">
        <v>0.7</v>
      </c>
      <c r="T525">
        <v>0</v>
      </c>
      <c r="U525" t="s">
        <v>60</v>
      </c>
      <c r="V525" t="s">
        <v>248</v>
      </c>
      <c r="W525">
        <v>0</v>
      </c>
      <c r="X525" s="2">
        <v>0</v>
      </c>
      <c r="Y525" s="2">
        <v>77.900000000000006</v>
      </c>
      <c r="Z525" s="2">
        <v>0</v>
      </c>
      <c r="AA525" s="2">
        <v>0</v>
      </c>
      <c r="AB525" s="2">
        <v>0</v>
      </c>
    </row>
    <row r="526" spans="1:28" x14ac:dyDescent="0.25">
      <c r="A526">
        <v>2033371200</v>
      </c>
      <c r="B526" t="s">
        <v>534</v>
      </c>
      <c r="C526" t="s">
        <v>50</v>
      </c>
      <c r="D526" t="str">
        <f t="shared" si="17"/>
        <v>MARGARET CADENA</v>
      </c>
      <c r="E526" t="s">
        <v>124</v>
      </c>
      <c r="F526" t="s">
        <v>133</v>
      </c>
      <c r="G526" t="s">
        <v>134</v>
      </c>
      <c r="H526" t="s">
        <v>134</v>
      </c>
      <c r="I526" s="8">
        <v>1706194</v>
      </c>
      <c r="J526" t="s">
        <v>358</v>
      </c>
      <c r="K526" t="s">
        <v>359</v>
      </c>
      <c r="L526" t="str">
        <f t="shared" si="16"/>
        <v>MATTHEW DAUGHERTY</v>
      </c>
      <c r="M526" t="s">
        <v>1133</v>
      </c>
      <c r="N526" t="s">
        <v>57</v>
      </c>
      <c r="O526" s="1">
        <v>46054</v>
      </c>
      <c r="P526" s="1">
        <v>46235</v>
      </c>
      <c r="Q526" s="2">
        <v>36.47</v>
      </c>
      <c r="R526" t="s">
        <v>58</v>
      </c>
      <c r="S526" s="4">
        <v>0.375</v>
      </c>
      <c r="T526">
        <v>0</v>
      </c>
      <c r="U526" t="s">
        <v>60</v>
      </c>
      <c r="V526" t="s">
        <v>248</v>
      </c>
      <c r="W526">
        <v>0</v>
      </c>
      <c r="X526" s="2">
        <v>0</v>
      </c>
      <c r="Y526" s="2">
        <v>13.68</v>
      </c>
      <c r="Z526" s="2">
        <v>0</v>
      </c>
      <c r="AA526" s="2">
        <v>0</v>
      </c>
      <c r="AB526" s="2">
        <v>0</v>
      </c>
    </row>
    <row r="527" spans="1:28" x14ac:dyDescent="0.25">
      <c r="A527">
        <v>2033310562</v>
      </c>
      <c r="B527" t="s">
        <v>519</v>
      </c>
      <c r="C527" t="s">
        <v>520</v>
      </c>
      <c r="D527" t="str">
        <f t="shared" si="17"/>
        <v>JONATHAN RAINS</v>
      </c>
      <c r="E527" t="s">
        <v>521</v>
      </c>
      <c r="F527" t="s">
        <v>194</v>
      </c>
      <c r="G527" t="s">
        <v>217</v>
      </c>
      <c r="H527" t="s">
        <v>217</v>
      </c>
      <c r="I527" s="8">
        <v>1706194</v>
      </c>
      <c r="J527" t="s">
        <v>358</v>
      </c>
      <c r="K527" t="s">
        <v>359</v>
      </c>
      <c r="L527" t="str">
        <f t="shared" si="16"/>
        <v>MATTHEW DAUGHERTY</v>
      </c>
      <c r="M527" t="s">
        <v>1133</v>
      </c>
      <c r="N527" t="s">
        <v>57</v>
      </c>
      <c r="O527" s="1">
        <v>46054</v>
      </c>
      <c r="P527" s="1">
        <v>46235</v>
      </c>
      <c r="Q527" s="2">
        <v>42</v>
      </c>
      <c r="R527" t="s">
        <v>58</v>
      </c>
      <c r="S527" s="3">
        <v>0.9</v>
      </c>
      <c r="T527">
        <v>0</v>
      </c>
      <c r="U527" t="s">
        <v>60</v>
      </c>
      <c r="V527" t="s">
        <v>248</v>
      </c>
      <c r="W527">
        <v>0</v>
      </c>
      <c r="X527" s="2">
        <v>0</v>
      </c>
      <c r="Y527" s="2">
        <v>37.799999999999997</v>
      </c>
      <c r="Z527" s="2">
        <v>0</v>
      </c>
      <c r="AA527" s="2">
        <v>0</v>
      </c>
      <c r="AB527" s="2">
        <v>0</v>
      </c>
    </row>
    <row r="528" spans="1:28" x14ac:dyDescent="0.25">
      <c r="A528">
        <v>2032954749</v>
      </c>
      <c r="B528" t="s">
        <v>417</v>
      </c>
      <c r="C528" t="s">
        <v>418</v>
      </c>
      <c r="D528" t="str">
        <f t="shared" si="17"/>
        <v>MOHAMMAD MATEEN</v>
      </c>
      <c r="E528" t="s">
        <v>68</v>
      </c>
      <c r="F528" t="s">
        <v>194</v>
      </c>
      <c r="G528" t="s">
        <v>217</v>
      </c>
      <c r="H528" t="s">
        <v>217</v>
      </c>
      <c r="I528" s="8">
        <v>1706194</v>
      </c>
      <c r="J528" t="s">
        <v>358</v>
      </c>
      <c r="K528" t="s">
        <v>359</v>
      </c>
      <c r="L528" t="str">
        <f t="shared" si="16"/>
        <v>MATTHEW DAUGHERTY</v>
      </c>
      <c r="M528" t="s">
        <v>1133</v>
      </c>
      <c r="N528" t="s">
        <v>57</v>
      </c>
      <c r="O528" s="1">
        <v>46054</v>
      </c>
      <c r="P528" s="1">
        <v>46235</v>
      </c>
      <c r="Q528" s="2">
        <v>51.25</v>
      </c>
      <c r="R528" t="s">
        <v>58</v>
      </c>
      <c r="S528" s="3">
        <v>0.9</v>
      </c>
      <c r="T528">
        <v>0</v>
      </c>
      <c r="U528" t="s">
        <v>60</v>
      </c>
      <c r="V528" t="s">
        <v>248</v>
      </c>
      <c r="W528">
        <v>0</v>
      </c>
      <c r="X528" s="2">
        <v>0</v>
      </c>
      <c r="Y528" s="2">
        <v>46.12</v>
      </c>
      <c r="Z528" s="2">
        <v>0</v>
      </c>
      <c r="AA528" s="2">
        <v>0</v>
      </c>
      <c r="AB528" s="2">
        <v>0</v>
      </c>
    </row>
    <row r="529" spans="1:53" x14ac:dyDescent="0.25">
      <c r="A529">
        <v>2033607472</v>
      </c>
      <c r="B529" t="s">
        <v>598</v>
      </c>
      <c r="C529" t="s">
        <v>529</v>
      </c>
      <c r="D529" t="str">
        <f t="shared" si="17"/>
        <v>NICOLE ANTHONY</v>
      </c>
      <c r="E529" t="s">
        <v>124</v>
      </c>
      <c r="F529" t="s">
        <v>194</v>
      </c>
      <c r="G529" t="s">
        <v>217</v>
      </c>
      <c r="H529" t="s">
        <v>217</v>
      </c>
      <c r="I529" s="8">
        <v>1706194</v>
      </c>
      <c r="J529" t="s">
        <v>358</v>
      </c>
      <c r="K529" t="s">
        <v>359</v>
      </c>
      <c r="L529" t="str">
        <f t="shared" si="16"/>
        <v>MATTHEW DAUGHERTY</v>
      </c>
      <c r="M529" t="s">
        <v>1133</v>
      </c>
      <c r="N529" t="s">
        <v>57</v>
      </c>
      <c r="O529" s="1">
        <v>46082</v>
      </c>
      <c r="P529" s="1">
        <v>46235</v>
      </c>
      <c r="Q529" s="2">
        <v>64</v>
      </c>
      <c r="R529" t="s">
        <v>58</v>
      </c>
      <c r="S529" s="3">
        <v>0.9</v>
      </c>
      <c r="T529">
        <v>0</v>
      </c>
      <c r="U529" t="s">
        <v>60</v>
      </c>
      <c r="V529" t="s">
        <v>248</v>
      </c>
      <c r="W529">
        <v>0</v>
      </c>
      <c r="X529" s="2">
        <v>0</v>
      </c>
      <c r="Y529" s="2">
        <v>57.6</v>
      </c>
      <c r="Z529" s="2">
        <v>0</v>
      </c>
      <c r="AA529" s="2">
        <v>0</v>
      </c>
      <c r="AB529" s="2">
        <v>0</v>
      </c>
    </row>
    <row r="530" spans="1:53" x14ac:dyDescent="0.25">
      <c r="A530">
        <v>2033607472</v>
      </c>
      <c r="B530" t="s">
        <v>598</v>
      </c>
      <c r="C530" t="s">
        <v>529</v>
      </c>
      <c r="D530" t="str">
        <f t="shared" si="17"/>
        <v>NICOLE ANTHONY</v>
      </c>
      <c r="E530" t="s">
        <v>124</v>
      </c>
      <c r="F530" t="s">
        <v>194</v>
      </c>
      <c r="G530" t="s">
        <v>217</v>
      </c>
      <c r="H530" t="s">
        <v>217</v>
      </c>
      <c r="I530" s="8">
        <v>1706194</v>
      </c>
      <c r="J530" t="s">
        <v>358</v>
      </c>
      <c r="K530" t="s">
        <v>359</v>
      </c>
      <c r="L530" t="str">
        <f t="shared" si="16"/>
        <v>MATTHEW DAUGHERTY</v>
      </c>
      <c r="M530" t="s">
        <v>1133</v>
      </c>
      <c r="N530" t="s">
        <v>57</v>
      </c>
      <c r="O530" s="1">
        <v>46082</v>
      </c>
      <c r="P530" s="1">
        <v>46235</v>
      </c>
      <c r="Q530" s="2">
        <v>64</v>
      </c>
      <c r="R530" t="s">
        <v>58</v>
      </c>
      <c r="S530" s="3">
        <v>0.9</v>
      </c>
      <c r="T530">
        <v>0</v>
      </c>
      <c r="U530" t="s">
        <v>60</v>
      </c>
      <c r="V530" t="s">
        <v>248</v>
      </c>
      <c r="W530">
        <v>0</v>
      </c>
      <c r="X530" s="2">
        <v>0</v>
      </c>
      <c r="Y530" s="2">
        <v>57.6</v>
      </c>
      <c r="Z530" s="2">
        <v>0</v>
      </c>
      <c r="AA530" s="2">
        <v>0</v>
      </c>
      <c r="AB530" s="2">
        <v>0</v>
      </c>
    </row>
    <row r="531" spans="1:53" x14ac:dyDescent="0.25">
      <c r="A531" s="9">
        <v>2031833748</v>
      </c>
      <c r="B531" s="9" t="s">
        <v>324</v>
      </c>
      <c r="C531" s="9" t="s">
        <v>945</v>
      </c>
      <c r="D531" t="str">
        <f t="shared" si="17"/>
        <v>TIMMY GRIFFIN</v>
      </c>
      <c r="E531" s="9" t="s">
        <v>434</v>
      </c>
      <c r="F531" s="9" t="s">
        <v>133</v>
      </c>
      <c r="G531" s="9" t="s">
        <v>134</v>
      </c>
      <c r="H531" s="9" t="s">
        <v>1078</v>
      </c>
      <c r="I531" s="10" t="s">
        <v>1125</v>
      </c>
      <c r="J531" s="9" t="s">
        <v>946</v>
      </c>
      <c r="K531" s="9" t="s">
        <v>317</v>
      </c>
      <c r="L531" t="str">
        <f t="shared" si="16"/>
        <v>Matthew Powers</v>
      </c>
      <c r="M531" s="9" t="s">
        <v>1133</v>
      </c>
      <c r="N531" s="9" t="s">
        <v>57</v>
      </c>
      <c r="O531" s="11">
        <v>45958</v>
      </c>
      <c r="P531" s="11">
        <v>46231</v>
      </c>
      <c r="Q531" s="12">
        <v>4.2300000000000004</v>
      </c>
      <c r="R531" s="9" t="s">
        <v>58</v>
      </c>
      <c r="S531" s="13">
        <v>9.5000000000000001E-2</v>
      </c>
      <c r="T531" s="9">
        <v>0</v>
      </c>
      <c r="U531" s="9" t="s">
        <v>60</v>
      </c>
      <c r="V531" s="9" t="s">
        <v>248</v>
      </c>
      <c r="W531" s="9">
        <v>0</v>
      </c>
      <c r="X531" s="12">
        <v>0</v>
      </c>
      <c r="Y531" s="12">
        <v>4.2300000000000004</v>
      </c>
      <c r="Z531" s="12">
        <v>4.2300000000000004</v>
      </c>
      <c r="AA531" s="12">
        <v>4.2300000000000004</v>
      </c>
      <c r="AB531" s="12">
        <v>0</v>
      </c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</row>
    <row r="532" spans="1:53" x14ac:dyDescent="0.25">
      <c r="A532" s="9">
        <v>2031833749</v>
      </c>
      <c r="B532" s="9" t="s">
        <v>324</v>
      </c>
      <c r="C532" s="9" t="s">
        <v>945</v>
      </c>
      <c r="D532" t="str">
        <f t="shared" si="17"/>
        <v>TIMMY GRIFFIN</v>
      </c>
      <c r="E532" s="9" t="s">
        <v>434</v>
      </c>
      <c r="F532" s="9" t="s">
        <v>194</v>
      </c>
      <c r="G532" s="9" t="s">
        <v>195</v>
      </c>
      <c r="H532" s="9" t="s">
        <v>1078</v>
      </c>
      <c r="I532" s="10" t="s">
        <v>1125</v>
      </c>
      <c r="J532" s="9" t="s">
        <v>946</v>
      </c>
      <c r="K532" s="9" t="s">
        <v>317</v>
      </c>
      <c r="L532" t="str">
        <f t="shared" si="16"/>
        <v>Matthew Powers</v>
      </c>
      <c r="M532" s="9" t="s">
        <v>1133</v>
      </c>
      <c r="N532" s="9" t="s">
        <v>57</v>
      </c>
      <c r="O532" s="11">
        <v>45958</v>
      </c>
      <c r="P532" s="11">
        <v>46231</v>
      </c>
      <c r="Q532" s="12">
        <v>3.45</v>
      </c>
      <c r="R532" s="9" t="s">
        <v>58</v>
      </c>
      <c r="S532" s="14">
        <v>0.3</v>
      </c>
      <c r="T532" s="9">
        <v>0</v>
      </c>
      <c r="U532" s="9" t="s">
        <v>60</v>
      </c>
      <c r="V532" s="9" t="s">
        <v>248</v>
      </c>
      <c r="W532" s="9">
        <v>0</v>
      </c>
      <c r="X532" s="12">
        <v>0</v>
      </c>
      <c r="Y532" s="12">
        <v>3.45</v>
      </c>
      <c r="Z532" s="12">
        <v>3.45</v>
      </c>
      <c r="AA532" s="12">
        <v>3.45</v>
      </c>
      <c r="AB532" s="12">
        <v>0</v>
      </c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</row>
    <row r="533" spans="1:53" x14ac:dyDescent="0.25">
      <c r="A533">
        <v>2033196069</v>
      </c>
      <c r="B533" t="s">
        <v>328</v>
      </c>
      <c r="C533" t="s">
        <v>471</v>
      </c>
      <c r="D533" t="str">
        <f t="shared" si="17"/>
        <v>KELLY SMITH</v>
      </c>
      <c r="E533" t="s">
        <v>89</v>
      </c>
      <c r="F533" t="s">
        <v>149</v>
      </c>
      <c r="G533" t="s">
        <v>602</v>
      </c>
      <c r="H533" t="s">
        <v>602</v>
      </c>
      <c r="I533" s="8" t="s">
        <v>1088</v>
      </c>
      <c r="J533" t="s">
        <v>316</v>
      </c>
      <c r="K533" t="s">
        <v>317</v>
      </c>
      <c r="L533" t="str">
        <f t="shared" si="16"/>
        <v>Matthew Sherman</v>
      </c>
      <c r="M533" t="s">
        <v>1134</v>
      </c>
      <c r="N533" t="s">
        <v>57</v>
      </c>
      <c r="O533" s="1">
        <v>46054</v>
      </c>
      <c r="P533" s="1">
        <v>46235</v>
      </c>
      <c r="Q533" s="2">
        <v>15</v>
      </c>
      <c r="R533" t="s">
        <v>58</v>
      </c>
      <c r="S533" s="3">
        <v>0.38</v>
      </c>
      <c r="T533">
        <v>0</v>
      </c>
      <c r="U533" t="s">
        <v>60</v>
      </c>
      <c r="V533" t="s">
        <v>248</v>
      </c>
      <c r="W533">
        <v>0</v>
      </c>
      <c r="X533" s="2">
        <v>0</v>
      </c>
      <c r="Y533" s="2">
        <v>5.7</v>
      </c>
      <c r="Z533" s="2">
        <v>0</v>
      </c>
      <c r="AA533" s="2">
        <v>0</v>
      </c>
      <c r="AB533" s="2">
        <v>0</v>
      </c>
    </row>
    <row r="534" spans="1:53" x14ac:dyDescent="0.25">
      <c r="A534">
        <v>2033196068</v>
      </c>
      <c r="B534" t="s">
        <v>328</v>
      </c>
      <c r="C534" t="s">
        <v>471</v>
      </c>
      <c r="D534" t="str">
        <f t="shared" si="17"/>
        <v>KELLY SMITH</v>
      </c>
      <c r="E534" t="s">
        <v>89</v>
      </c>
      <c r="F534" t="s">
        <v>188</v>
      </c>
      <c r="G534" t="s">
        <v>189</v>
      </c>
      <c r="H534" t="s">
        <v>189</v>
      </c>
      <c r="I534" s="8" t="s">
        <v>1088</v>
      </c>
      <c r="J534" t="s">
        <v>316</v>
      </c>
      <c r="K534" t="s">
        <v>317</v>
      </c>
      <c r="L534" t="str">
        <f t="shared" si="16"/>
        <v>Matthew Sherman</v>
      </c>
      <c r="M534" t="s">
        <v>1134</v>
      </c>
      <c r="N534" t="s">
        <v>57</v>
      </c>
      <c r="O534" s="1">
        <v>46054</v>
      </c>
      <c r="P534" s="1">
        <v>46235</v>
      </c>
      <c r="Q534" s="2">
        <v>40.5</v>
      </c>
      <c r="R534" t="s">
        <v>58</v>
      </c>
      <c r="S534" s="3">
        <v>0.38</v>
      </c>
      <c r="T534">
        <v>0</v>
      </c>
      <c r="U534" t="s">
        <v>60</v>
      </c>
      <c r="V534" t="s">
        <v>248</v>
      </c>
      <c r="W534">
        <v>0</v>
      </c>
      <c r="X534" s="2">
        <v>0</v>
      </c>
      <c r="Y534" s="2">
        <v>15.39</v>
      </c>
      <c r="Z534" s="2">
        <v>0</v>
      </c>
      <c r="AA534" s="2">
        <v>0</v>
      </c>
      <c r="AB534" s="2">
        <v>0</v>
      </c>
    </row>
    <row r="535" spans="1:53" x14ac:dyDescent="0.25">
      <c r="A535">
        <v>2033163404</v>
      </c>
      <c r="B535" t="s">
        <v>314</v>
      </c>
      <c r="C535" t="s">
        <v>315</v>
      </c>
      <c r="D535" t="str">
        <f t="shared" si="17"/>
        <v>JO TAPPENDORF</v>
      </c>
      <c r="E535" t="s">
        <v>89</v>
      </c>
      <c r="F535" t="s">
        <v>188</v>
      </c>
      <c r="G535" t="s">
        <v>189</v>
      </c>
      <c r="H535" t="s">
        <v>189</v>
      </c>
      <c r="I535" s="8" t="s">
        <v>1088</v>
      </c>
      <c r="J535" t="s">
        <v>316</v>
      </c>
      <c r="K535" t="s">
        <v>317</v>
      </c>
      <c r="L535" t="str">
        <f t="shared" si="16"/>
        <v>Matthew Sherman</v>
      </c>
      <c r="M535" t="s">
        <v>1134</v>
      </c>
      <c r="N535" t="s">
        <v>57</v>
      </c>
      <c r="O535" s="1">
        <v>46054</v>
      </c>
      <c r="P535" s="1">
        <v>46235</v>
      </c>
      <c r="Q535" s="2">
        <v>74.98</v>
      </c>
      <c r="R535" t="s">
        <v>58</v>
      </c>
      <c r="S535" s="3">
        <v>0.38</v>
      </c>
      <c r="T535">
        <v>0</v>
      </c>
      <c r="U535" t="s">
        <v>60</v>
      </c>
      <c r="V535" t="s">
        <v>248</v>
      </c>
      <c r="W535">
        <v>0</v>
      </c>
      <c r="X535" s="2">
        <v>0</v>
      </c>
      <c r="Y535" s="2">
        <v>28.49</v>
      </c>
      <c r="Z535" s="2">
        <v>0</v>
      </c>
      <c r="AA535" s="2">
        <v>0</v>
      </c>
      <c r="AB535" s="2">
        <v>0</v>
      </c>
    </row>
    <row r="536" spans="1:53" x14ac:dyDescent="0.25">
      <c r="A536">
        <v>2033357627</v>
      </c>
      <c r="B536" t="s">
        <v>326</v>
      </c>
      <c r="C536" t="s">
        <v>327</v>
      </c>
      <c r="D536" t="str">
        <f t="shared" si="17"/>
        <v>DELBERT WIMBERLY</v>
      </c>
      <c r="E536" t="s">
        <v>89</v>
      </c>
      <c r="F536" t="s">
        <v>194</v>
      </c>
      <c r="G536" t="s">
        <v>195</v>
      </c>
      <c r="H536" t="s">
        <v>195</v>
      </c>
      <c r="I536" s="8" t="s">
        <v>1088</v>
      </c>
      <c r="J536" t="s">
        <v>316</v>
      </c>
      <c r="K536" t="s">
        <v>317</v>
      </c>
      <c r="L536" t="str">
        <f t="shared" si="16"/>
        <v>Matthew Sherman</v>
      </c>
      <c r="M536" t="s">
        <v>1134</v>
      </c>
      <c r="N536" t="s">
        <v>57</v>
      </c>
      <c r="O536" s="1">
        <v>46054</v>
      </c>
      <c r="P536" s="1">
        <v>46235</v>
      </c>
      <c r="Q536" s="2">
        <v>27.5</v>
      </c>
      <c r="R536" t="s">
        <v>58</v>
      </c>
      <c r="S536" s="3">
        <v>0.7</v>
      </c>
      <c r="T536">
        <v>0</v>
      </c>
      <c r="U536" t="s">
        <v>60</v>
      </c>
      <c r="V536" t="s">
        <v>248</v>
      </c>
      <c r="W536">
        <v>0</v>
      </c>
      <c r="X536" s="2">
        <v>0</v>
      </c>
      <c r="Y536" s="2">
        <v>19.25</v>
      </c>
      <c r="Z536" s="2">
        <v>0</v>
      </c>
      <c r="AA536" s="2">
        <v>0</v>
      </c>
      <c r="AB536" s="2">
        <v>0</v>
      </c>
    </row>
    <row r="537" spans="1:53" x14ac:dyDescent="0.25">
      <c r="A537">
        <v>2033386365</v>
      </c>
      <c r="B537" t="s">
        <v>813</v>
      </c>
      <c r="C537" t="s">
        <v>359</v>
      </c>
      <c r="D537" t="str">
        <f t="shared" si="17"/>
        <v>MATTHEW SHERMAN</v>
      </c>
      <c r="E537" t="s">
        <v>89</v>
      </c>
      <c r="F537" t="s">
        <v>194</v>
      </c>
      <c r="G537" t="s">
        <v>217</v>
      </c>
      <c r="H537" t="s">
        <v>217</v>
      </c>
      <c r="I537" s="8" t="s">
        <v>1088</v>
      </c>
      <c r="J537" t="s">
        <v>316</v>
      </c>
      <c r="K537" t="s">
        <v>317</v>
      </c>
      <c r="L537" t="str">
        <f t="shared" si="16"/>
        <v>Matthew Sherman</v>
      </c>
      <c r="M537" t="s">
        <v>1134</v>
      </c>
      <c r="N537" t="s">
        <v>57</v>
      </c>
      <c r="O537" s="1">
        <v>46054</v>
      </c>
      <c r="P537" s="1">
        <v>46235</v>
      </c>
      <c r="Q537" s="2">
        <v>58.46</v>
      </c>
      <c r="R537" t="s">
        <v>58</v>
      </c>
      <c r="S537" s="3">
        <v>0.9</v>
      </c>
      <c r="T537">
        <v>0</v>
      </c>
      <c r="U537" t="s">
        <v>60</v>
      </c>
      <c r="V537" t="s">
        <v>248</v>
      </c>
      <c r="W537">
        <v>0</v>
      </c>
      <c r="X537" s="2">
        <v>0</v>
      </c>
      <c r="Y537" s="2">
        <v>52.61</v>
      </c>
      <c r="Z537" s="2">
        <v>0</v>
      </c>
      <c r="AA537" s="2">
        <v>0</v>
      </c>
      <c r="AB537" s="2">
        <v>0</v>
      </c>
    </row>
    <row r="538" spans="1:53" x14ac:dyDescent="0.25">
      <c r="A538">
        <v>2033336001</v>
      </c>
      <c r="B538" t="s">
        <v>472</v>
      </c>
      <c r="C538" t="s">
        <v>403</v>
      </c>
      <c r="D538" t="str">
        <f t="shared" si="17"/>
        <v>SANDRA MORRIS</v>
      </c>
      <c r="E538" t="s">
        <v>89</v>
      </c>
      <c r="F538" t="s">
        <v>194</v>
      </c>
      <c r="G538" t="s">
        <v>217</v>
      </c>
      <c r="H538" t="s">
        <v>217</v>
      </c>
      <c r="I538" s="8" t="s">
        <v>1088</v>
      </c>
      <c r="J538" t="s">
        <v>316</v>
      </c>
      <c r="K538" t="s">
        <v>317</v>
      </c>
      <c r="L538" t="str">
        <f t="shared" si="16"/>
        <v>Matthew Sherman</v>
      </c>
      <c r="M538" t="s">
        <v>1134</v>
      </c>
      <c r="N538" t="s">
        <v>57</v>
      </c>
      <c r="O538" s="1">
        <v>46054</v>
      </c>
      <c r="P538" s="1">
        <v>46235</v>
      </c>
      <c r="Q538" s="2">
        <v>85.42</v>
      </c>
      <c r="R538" t="s">
        <v>58</v>
      </c>
      <c r="S538" s="3">
        <v>0.9</v>
      </c>
      <c r="T538">
        <v>0</v>
      </c>
      <c r="U538" t="s">
        <v>60</v>
      </c>
      <c r="V538" t="s">
        <v>248</v>
      </c>
      <c r="W538">
        <v>0</v>
      </c>
      <c r="X538" s="2">
        <v>0</v>
      </c>
      <c r="Y538" s="2">
        <v>76.88</v>
      </c>
      <c r="Z538" s="2">
        <v>0</v>
      </c>
      <c r="AA538" s="2">
        <v>0</v>
      </c>
      <c r="AB538" s="2">
        <v>0</v>
      </c>
    </row>
    <row r="539" spans="1:53" x14ac:dyDescent="0.25">
      <c r="A539">
        <v>2033228645</v>
      </c>
      <c r="B539" t="s">
        <v>762</v>
      </c>
      <c r="C539" t="s">
        <v>298</v>
      </c>
      <c r="D539" t="str">
        <f t="shared" si="17"/>
        <v>SHAWN PATTON</v>
      </c>
      <c r="E539" t="s">
        <v>89</v>
      </c>
      <c r="F539" t="s">
        <v>194</v>
      </c>
      <c r="G539" t="s">
        <v>217</v>
      </c>
      <c r="H539" t="s">
        <v>217</v>
      </c>
      <c r="I539" s="8" t="s">
        <v>1088</v>
      </c>
      <c r="J539" t="s">
        <v>316</v>
      </c>
      <c r="K539" t="s">
        <v>317</v>
      </c>
      <c r="L539" t="str">
        <f t="shared" si="16"/>
        <v>Matthew Sherman</v>
      </c>
      <c r="M539" t="s">
        <v>1134</v>
      </c>
      <c r="N539" t="s">
        <v>57</v>
      </c>
      <c r="O539" s="1">
        <v>46054</v>
      </c>
      <c r="P539" s="1">
        <v>46235</v>
      </c>
      <c r="Q539" s="2">
        <v>87.5</v>
      </c>
      <c r="R539" t="s">
        <v>58</v>
      </c>
      <c r="S539" s="3">
        <v>0.9</v>
      </c>
      <c r="T539">
        <v>0</v>
      </c>
      <c r="U539" t="s">
        <v>60</v>
      </c>
      <c r="V539" t="s">
        <v>248</v>
      </c>
      <c r="W539">
        <v>0</v>
      </c>
      <c r="X539" s="2">
        <v>0</v>
      </c>
      <c r="Y539" s="2">
        <v>78.75</v>
      </c>
      <c r="Z539" s="2">
        <v>0</v>
      </c>
      <c r="AA539" s="2">
        <v>0</v>
      </c>
      <c r="AB539" s="2">
        <v>0</v>
      </c>
    </row>
    <row r="540" spans="1:53" x14ac:dyDescent="0.25">
      <c r="A540">
        <v>2033349301</v>
      </c>
      <c r="B540" t="s">
        <v>324</v>
      </c>
      <c r="C540" t="s">
        <v>325</v>
      </c>
      <c r="D540" t="str">
        <f t="shared" si="17"/>
        <v>TALON GRIFFIN</v>
      </c>
      <c r="E540" t="s">
        <v>89</v>
      </c>
      <c r="F540" t="s">
        <v>53</v>
      </c>
      <c r="G540" t="s">
        <v>54</v>
      </c>
      <c r="H540" t="s">
        <v>54</v>
      </c>
      <c r="I540" s="8" t="s">
        <v>1088</v>
      </c>
      <c r="J540" t="s">
        <v>316</v>
      </c>
      <c r="K540" t="s">
        <v>317</v>
      </c>
      <c r="L540" t="str">
        <f t="shared" si="16"/>
        <v>Matthew Sherman</v>
      </c>
      <c r="M540" t="s">
        <v>1134</v>
      </c>
      <c r="N540" t="s">
        <v>57</v>
      </c>
      <c r="O540" s="1">
        <v>46054</v>
      </c>
      <c r="P540" s="1">
        <v>46235</v>
      </c>
      <c r="Q540" s="2">
        <v>52.69</v>
      </c>
      <c r="R540" t="s">
        <v>58</v>
      </c>
      <c r="S540" s="3">
        <v>0.6</v>
      </c>
      <c r="T540">
        <v>0</v>
      </c>
      <c r="U540" t="s">
        <v>60</v>
      </c>
      <c r="V540" t="s">
        <v>248</v>
      </c>
      <c r="W540">
        <v>0</v>
      </c>
      <c r="X540" s="2">
        <v>0</v>
      </c>
      <c r="Y540" s="2">
        <v>31.61</v>
      </c>
      <c r="Z540" s="2">
        <v>0</v>
      </c>
      <c r="AA540" s="2">
        <v>0</v>
      </c>
      <c r="AB540" s="2">
        <v>0</v>
      </c>
    </row>
    <row r="541" spans="1:53" x14ac:dyDescent="0.25">
      <c r="A541">
        <v>2033357626</v>
      </c>
      <c r="B541" t="s">
        <v>326</v>
      </c>
      <c r="C541" t="s">
        <v>327</v>
      </c>
      <c r="D541" t="str">
        <f t="shared" si="17"/>
        <v>DELBERT WIMBERLY</v>
      </c>
      <c r="E541" t="s">
        <v>89</v>
      </c>
      <c r="F541" t="s">
        <v>53</v>
      </c>
      <c r="G541" t="s">
        <v>54</v>
      </c>
      <c r="H541" t="s">
        <v>54</v>
      </c>
      <c r="I541" s="8" t="s">
        <v>1088</v>
      </c>
      <c r="J541" t="s">
        <v>316</v>
      </c>
      <c r="K541" t="s">
        <v>317</v>
      </c>
      <c r="L541" t="str">
        <f t="shared" si="16"/>
        <v>Matthew Sherman</v>
      </c>
      <c r="M541" t="s">
        <v>1134</v>
      </c>
      <c r="N541" t="s">
        <v>57</v>
      </c>
      <c r="O541" s="1">
        <v>46054</v>
      </c>
      <c r="P541" s="1">
        <v>46235</v>
      </c>
      <c r="Q541" s="2">
        <v>108.52</v>
      </c>
      <c r="R541" t="s">
        <v>58</v>
      </c>
      <c r="S541" s="3">
        <v>0.6</v>
      </c>
      <c r="T541">
        <v>0</v>
      </c>
      <c r="U541" t="s">
        <v>60</v>
      </c>
      <c r="V541" t="s">
        <v>248</v>
      </c>
      <c r="W541">
        <v>0</v>
      </c>
      <c r="X541" s="2">
        <v>0</v>
      </c>
      <c r="Y541" s="2">
        <v>65.11</v>
      </c>
      <c r="Z541" s="2">
        <v>0</v>
      </c>
      <c r="AA541" s="2">
        <v>0</v>
      </c>
      <c r="AB541" s="2">
        <v>0</v>
      </c>
    </row>
    <row r="542" spans="1:53" x14ac:dyDescent="0.25">
      <c r="A542">
        <v>2033163405</v>
      </c>
      <c r="B542" t="s">
        <v>314</v>
      </c>
      <c r="C542" t="s">
        <v>315</v>
      </c>
      <c r="D542" t="str">
        <f t="shared" si="17"/>
        <v>JO TAPPENDORF</v>
      </c>
      <c r="E542" t="s">
        <v>89</v>
      </c>
      <c r="F542" t="s">
        <v>53</v>
      </c>
      <c r="G542" t="s">
        <v>54</v>
      </c>
      <c r="H542" t="s">
        <v>54</v>
      </c>
      <c r="I542" s="8" t="s">
        <v>1088</v>
      </c>
      <c r="J542" t="s">
        <v>316</v>
      </c>
      <c r="K542" t="s">
        <v>317</v>
      </c>
      <c r="L542" t="str">
        <f t="shared" si="16"/>
        <v>Matthew Sherman</v>
      </c>
      <c r="M542" t="s">
        <v>1134</v>
      </c>
      <c r="N542" t="s">
        <v>57</v>
      </c>
      <c r="O542" s="1">
        <v>46054</v>
      </c>
      <c r="P542" s="1">
        <v>46235</v>
      </c>
      <c r="Q542" s="2">
        <v>126.06</v>
      </c>
      <c r="R542" t="s">
        <v>58</v>
      </c>
      <c r="S542" s="3">
        <v>0.6</v>
      </c>
      <c r="T542">
        <v>0</v>
      </c>
      <c r="U542" t="s">
        <v>60</v>
      </c>
      <c r="V542" t="s">
        <v>248</v>
      </c>
      <c r="W542">
        <v>0</v>
      </c>
      <c r="X542" s="2">
        <v>0</v>
      </c>
      <c r="Y542" s="2">
        <v>75.64</v>
      </c>
      <c r="Z542" s="2">
        <v>0</v>
      </c>
      <c r="AA542" s="2">
        <v>0</v>
      </c>
      <c r="AB542" s="2">
        <v>0</v>
      </c>
    </row>
    <row r="543" spans="1:53" x14ac:dyDescent="0.25">
      <c r="A543">
        <v>2026421012</v>
      </c>
      <c r="B543" t="s">
        <v>717</v>
      </c>
      <c r="C543" t="s">
        <v>199</v>
      </c>
      <c r="D543" t="str">
        <f t="shared" si="17"/>
        <v>MARY PAINTER</v>
      </c>
      <c r="E543" t="s">
        <v>89</v>
      </c>
      <c r="F543" t="s">
        <v>194</v>
      </c>
      <c r="G543" t="s">
        <v>195</v>
      </c>
      <c r="H543" t="s">
        <v>195</v>
      </c>
      <c r="I543" s="8">
        <v>18828278</v>
      </c>
      <c r="J543" t="s">
        <v>718</v>
      </c>
      <c r="K543" t="s">
        <v>478</v>
      </c>
      <c r="L543" t="str">
        <f t="shared" si="16"/>
        <v>MICHAEL DUNAVANT</v>
      </c>
      <c r="M543" t="s">
        <v>1133</v>
      </c>
      <c r="N543" t="s">
        <v>57</v>
      </c>
      <c r="O543" s="1">
        <v>45689</v>
      </c>
      <c r="P543" s="1">
        <v>46235</v>
      </c>
      <c r="Q543" s="2">
        <v>11.5</v>
      </c>
      <c r="R543" t="s">
        <v>58</v>
      </c>
      <c r="S543" s="3">
        <v>0.15</v>
      </c>
      <c r="T543">
        <v>0</v>
      </c>
      <c r="U543" t="s">
        <v>247</v>
      </c>
      <c r="V543" t="s">
        <v>248</v>
      </c>
      <c r="W543">
        <v>0</v>
      </c>
      <c r="X543" s="2">
        <v>0</v>
      </c>
      <c r="Y543" s="2">
        <v>1.72</v>
      </c>
      <c r="Z543" s="2">
        <v>1.72</v>
      </c>
      <c r="AA543" s="2">
        <v>1.72</v>
      </c>
      <c r="AB543" s="2">
        <v>0</v>
      </c>
    </row>
    <row r="544" spans="1:53" x14ac:dyDescent="0.25">
      <c r="A544">
        <v>2026703544</v>
      </c>
      <c r="B544" t="s">
        <v>604</v>
      </c>
      <c r="C544" t="s">
        <v>259</v>
      </c>
      <c r="D544" t="str">
        <f t="shared" si="17"/>
        <v>DOUGLAS WILLIAMS</v>
      </c>
      <c r="E544" t="s">
        <v>89</v>
      </c>
      <c r="F544" t="s">
        <v>194</v>
      </c>
      <c r="G544" t="s">
        <v>195</v>
      </c>
      <c r="H544" t="s">
        <v>195</v>
      </c>
      <c r="I544" s="8">
        <v>18828278</v>
      </c>
      <c r="J544" t="s">
        <v>718</v>
      </c>
      <c r="K544" t="s">
        <v>478</v>
      </c>
      <c r="L544" t="str">
        <f t="shared" si="16"/>
        <v>MICHAEL DUNAVANT</v>
      </c>
      <c r="M544" t="s">
        <v>1133</v>
      </c>
      <c r="N544" t="s">
        <v>57</v>
      </c>
      <c r="O544" s="1">
        <v>45689</v>
      </c>
      <c r="P544" s="1">
        <v>46235</v>
      </c>
      <c r="Q544" s="2">
        <v>169.06</v>
      </c>
      <c r="R544" t="s">
        <v>58</v>
      </c>
      <c r="S544" s="3">
        <v>0.15</v>
      </c>
      <c r="T544">
        <v>0</v>
      </c>
      <c r="U544" t="s">
        <v>247</v>
      </c>
      <c r="V544" t="s">
        <v>248</v>
      </c>
      <c r="W544">
        <v>0</v>
      </c>
      <c r="X544" s="2">
        <v>0</v>
      </c>
      <c r="Y544" s="2">
        <v>25.36</v>
      </c>
      <c r="Z544" s="2">
        <v>25.36</v>
      </c>
      <c r="AA544" s="2">
        <v>25.36</v>
      </c>
      <c r="AB544" s="2">
        <v>0</v>
      </c>
    </row>
    <row r="545" spans="1:53" x14ac:dyDescent="0.25">
      <c r="A545">
        <v>2027891947</v>
      </c>
      <c r="B545" t="s">
        <v>1037</v>
      </c>
      <c r="C545" t="s">
        <v>1038</v>
      </c>
      <c r="D545" t="str">
        <f t="shared" si="17"/>
        <v>JILL ROSENAU</v>
      </c>
      <c r="E545" t="s">
        <v>89</v>
      </c>
      <c r="F545" t="s">
        <v>194</v>
      </c>
      <c r="G545" t="s">
        <v>195</v>
      </c>
      <c r="H545" t="s">
        <v>195</v>
      </c>
      <c r="I545" s="8">
        <v>18828278</v>
      </c>
      <c r="J545" t="s">
        <v>718</v>
      </c>
      <c r="K545" t="s">
        <v>478</v>
      </c>
      <c r="L545" t="str">
        <f t="shared" si="16"/>
        <v>MICHAEL DUNAVANT</v>
      </c>
      <c r="M545" t="s">
        <v>1133</v>
      </c>
      <c r="N545" t="s">
        <v>57</v>
      </c>
      <c r="O545" s="1">
        <v>45748</v>
      </c>
      <c r="P545" s="1">
        <v>46235</v>
      </c>
      <c r="Q545" s="2">
        <v>137.41</v>
      </c>
      <c r="R545" t="s">
        <v>58</v>
      </c>
      <c r="S545" s="3">
        <v>0.15</v>
      </c>
      <c r="T545">
        <v>0</v>
      </c>
      <c r="U545" t="s">
        <v>247</v>
      </c>
      <c r="V545" t="s">
        <v>248</v>
      </c>
      <c r="W545">
        <v>0</v>
      </c>
      <c r="X545" s="2">
        <v>0</v>
      </c>
      <c r="Y545" s="2">
        <v>20.61</v>
      </c>
      <c r="Z545" s="2">
        <v>20.61</v>
      </c>
      <c r="AA545" s="2">
        <v>20.61</v>
      </c>
      <c r="AB545" s="2">
        <v>0</v>
      </c>
    </row>
    <row r="546" spans="1:53" x14ac:dyDescent="0.25">
      <c r="A546">
        <v>2026421011</v>
      </c>
      <c r="B546" t="s">
        <v>717</v>
      </c>
      <c r="C546" t="s">
        <v>199</v>
      </c>
      <c r="D546" t="str">
        <f t="shared" si="17"/>
        <v>MARY PAINTER</v>
      </c>
      <c r="E546" t="s">
        <v>89</v>
      </c>
      <c r="F546" t="s">
        <v>133</v>
      </c>
      <c r="G546" t="s">
        <v>134</v>
      </c>
      <c r="H546" t="s">
        <v>134</v>
      </c>
      <c r="I546" s="8">
        <v>18828278</v>
      </c>
      <c r="J546" t="s">
        <v>718</v>
      </c>
      <c r="K546" t="s">
        <v>478</v>
      </c>
      <c r="L546" t="str">
        <f t="shared" si="16"/>
        <v>MICHAEL DUNAVANT</v>
      </c>
      <c r="M546" t="s">
        <v>1133</v>
      </c>
      <c r="N546" t="s">
        <v>57</v>
      </c>
      <c r="O546" s="1">
        <v>45689</v>
      </c>
      <c r="P546" s="1">
        <v>46235</v>
      </c>
      <c r="Q546" s="2">
        <v>48.61</v>
      </c>
      <c r="R546" t="s">
        <v>58</v>
      </c>
      <c r="S546" s="3">
        <v>0.06</v>
      </c>
      <c r="T546">
        <v>0</v>
      </c>
      <c r="U546" t="s">
        <v>247</v>
      </c>
      <c r="V546" t="s">
        <v>248</v>
      </c>
      <c r="W546">
        <v>0</v>
      </c>
      <c r="X546" s="2">
        <v>0</v>
      </c>
      <c r="Y546" s="2">
        <v>2.92</v>
      </c>
      <c r="Z546" s="2">
        <v>2.92</v>
      </c>
      <c r="AA546" s="2">
        <v>2.92</v>
      </c>
      <c r="AB546" s="2">
        <v>0</v>
      </c>
    </row>
    <row r="547" spans="1:53" x14ac:dyDescent="0.25">
      <c r="A547">
        <v>2026434386</v>
      </c>
      <c r="B547" t="s">
        <v>231</v>
      </c>
      <c r="C547" t="s">
        <v>719</v>
      </c>
      <c r="D547" t="str">
        <f t="shared" si="17"/>
        <v>KATRINA JOHNSON</v>
      </c>
      <c r="E547" t="s">
        <v>89</v>
      </c>
      <c r="F547" t="s">
        <v>133</v>
      </c>
      <c r="G547" t="s">
        <v>134</v>
      </c>
      <c r="H547" t="s">
        <v>134</v>
      </c>
      <c r="I547" s="8">
        <v>18828278</v>
      </c>
      <c r="J547" t="s">
        <v>718</v>
      </c>
      <c r="K547" t="s">
        <v>478</v>
      </c>
      <c r="L547" t="str">
        <f t="shared" si="16"/>
        <v>MICHAEL DUNAVANT</v>
      </c>
      <c r="M547" t="s">
        <v>1133</v>
      </c>
      <c r="N547" t="s">
        <v>57</v>
      </c>
      <c r="O547" s="1">
        <v>45689</v>
      </c>
      <c r="P547" s="1">
        <v>46235</v>
      </c>
      <c r="Q547" s="2">
        <v>22.52</v>
      </c>
      <c r="R547" t="s">
        <v>58</v>
      </c>
      <c r="S547" s="3">
        <v>0.06</v>
      </c>
      <c r="T547">
        <v>0</v>
      </c>
      <c r="U547" t="s">
        <v>247</v>
      </c>
      <c r="V547" t="s">
        <v>248</v>
      </c>
      <c r="W547">
        <v>0</v>
      </c>
      <c r="X547" s="2">
        <v>0</v>
      </c>
      <c r="Y547" s="2">
        <v>1.35</v>
      </c>
      <c r="Z547" s="2">
        <v>1.35</v>
      </c>
      <c r="AA547" s="2">
        <v>1.35</v>
      </c>
      <c r="AB547" s="2">
        <v>0</v>
      </c>
    </row>
    <row r="548" spans="1:53" x14ac:dyDescent="0.25">
      <c r="A548" s="9">
        <v>2033260676</v>
      </c>
      <c r="B548" s="9" t="s">
        <v>986</v>
      </c>
      <c r="C548" s="9" t="s">
        <v>987</v>
      </c>
      <c r="D548" t="str">
        <f t="shared" si="17"/>
        <v>TROY GUENOT</v>
      </c>
      <c r="E548" s="9" t="s">
        <v>52</v>
      </c>
      <c r="F548" s="9" t="s">
        <v>188</v>
      </c>
      <c r="G548" s="9" t="s">
        <v>191</v>
      </c>
      <c r="H548" s="9" t="s">
        <v>1078</v>
      </c>
      <c r="I548" s="10" t="s">
        <v>1131</v>
      </c>
      <c r="J548" s="9" t="s">
        <v>988</v>
      </c>
      <c r="K548" s="9" t="s">
        <v>989</v>
      </c>
      <c r="L548" t="str">
        <f t="shared" si="16"/>
        <v>Michael Henry</v>
      </c>
      <c r="M548" s="9" t="s">
        <v>1133</v>
      </c>
      <c r="N548" s="9" t="s">
        <v>57</v>
      </c>
      <c r="O548" s="11">
        <v>46054</v>
      </c>
      <c r="P548" s="11">
        <v>46235</v>
      </c>
      <c r="Q548" s="12">
        <v>0.56999999999999995</v>
      </c>
      <c r="R548" s="9" t="s">
        <v>58</v>
      </c>
      <c r="S548" s="14">
        <v>0.08</v>
      </c>
      <c r="T548" s="9">
        <v>0</v>
      </c>
      <c r="U548" s="9" t="s">
        <v>60</v>
      </c>
      <c r="V548" s="9" t="s">
        <v>248</v>
      </c>
      <c r="W548" s="9">
        <v>0</v>
      </c>
      <c r="X548" s="12">
        <v>0</v>
      </c>
      <c r="Y548" s="12">
        <v>0.56999999999999995</v>
      </c>
      <c r="Z548" s="12">
        <v>0</v>
      </c>
      <c r="AA548" s="12">
        <v>0</v>
      </c>
      <c r="AB548" s="12">
        <v>0</v>
      </c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</row>
    <row r="549" spans="1:53" x14ac:dyDescent="0.25">
      <c r="A549" s="9">
        <v>2033260675</v>
      </c>
      <c r="B549" s="9" t="s">
        <v>986</v>
      </c>
      <c r="C549" s="9" t="s">
        <v>987</v>
      </c>
      <c r="D549" t="str">
        <f t="shared" si="17"/>
        <v>TROY GUENOT</v>
      </c>
      <c r="E549" s="9" t="s">
        <v>52</v>
      </c>
      <c r="F549" s="9" t="s">
        <v>188</v>
      </c>
      <c r="G549" s="9" t="s">
        <v>190</v>
      </c>
      <c r="H549" s="9" t="s">
        <v>1078</v>
      </c>
      <c r="I549" s="10" t="s">
        <v>1131</v>
      </c>
      <c r="J549" s="9" t="s">
        <v>988</v>
      </c>
      <c r="K549" s="9" t="s">
        <v>989</v>
      </c>
      <c r="L549" t="str">
        <f t="shared" si="16"/>
        <v>Michael Henry</v>
      </c>
      <c r="M549" s="9" t="s">
        <v>1133</v>
      </c>
      <c r="N549" s="9" t="s">
        <v>57</v>
      </c>
      <c r="O549" s="11">
        <v>46054</v>
      </c>
      <c r="P549" s="11">
        <v>46235</v>
      </c>
      <c r="Q549" s="12">
        <v>104.77</v>
      </c>
      <c r="R549" s="9" t="s">
        <v>58</v>
      </c>
      <c r="S549" s="14">
        <v>0.08</v>
      </c>
      <c r="T549" s="9">
        <v>0</v>
      </c>
      <c r="U549" s="9" t="s">
        <v>60</v>
      </c>
      <c r="V549" s="9" t="s">
        <v>248</v>
      </c>
      <c r="W549" s="9">
        <v>0</v>
      </c>
      <c r="X549" s="12">
        <v>0</v>
      </c>
      <c r="Y549" s="12">
        <v>104.77</v>
      </c>
      <c r="Z549" s="12">
        <v>0</v>
      </c>
      <c r="AA549" s="12">
        <v>0</v>
      </c>
      <c r="AB549" s="12">
        <v>0</v>
      </c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</row>
    <row r="550" spans="1:53" x14ac:dyDescent="0.25">
      <c r="A550">
        <v>2026341991</v>
      </c>
      <c r="B550" t="s">
        <v>1012</v>
      </c>
      <c r="C550" t="s">
        <v>1013</v>
      </c>
      <c r="D550" t="str">
        <f t="shared" si="17"/>
        <v>BATBOLD BAYARSAIKHAN</v>
      </c>
      <c r="E550" t="s">
        <v>89</v>
      </c>
      <c r="F550" t="s">
        <v>194</v>
      </c>
      <c r="G550" t="s">
        <v>195</v>
      </c>
      <c r="H550" t="s">
        <v>195</v>
      </c>
      <c r="I550" s="8">
        <v>20220688</v>
      </c>
      <c r="J550" t="s">
        <v>811</v>
      </c>
      <c r="K550" t="s">
        <v>812</v>
      </c>
      <c r="L550" t="str">
        <f t="shared" si="16"/>
        <v>NASANDELGER ZANA</v>
      </c>
      <c r="M550" t="s">
        <v>1133</v>
      </c>
      <c r="N550" t="s">
        <v>57</v>
      </c>
      <c r="O550" s="1">
        <v>45654</v>
      </c>
      <c r="P550" s="1">
        <v>46231</v>
      </c>
      <c r="Q550" s="2">
        <v>58.24</v>
      </c>
      <c r="R550" t="s">
        <v>58</v>
      </c>
      <c r="S550" s="3">
        <v>0.15</v>
      </c>
      <c r="T550">
        <v>0</v>
      </c>
      <c r="U550" t="s">
        <v>247</v>
      </c>
      <c r="V550" t="s">
        <v>248</v>
      </c>
      <c r="W550">
        <v>0</v>
      </c>
      <c r="X550" s="2">
        <v>0</v>
      </c>
      <c r="Y550" s="2">
        <v>8.74</v>
      </c>
      <c r="Z550" s="2">
        <v>8.74</v>
      </c>
      <c r="AA550" s="2">
        <v>8.74</v>
      </c>
      <c r="AB550" s="2">
        <v>0</v>
      </c>
    </row>
    <row r="551" spans="1:53" x14ac:dyDescent="0.25">
      <c r="A551">
        <v>2026875934</v>
      </c>
      <c r="B551" t="s">
        <v>1025</v>
      </c>
      <c r="C551" t="s">
        <v>1026</v>
      </c>
      <c r="D551" t="str">
        <f t="shared" si="17"/>
        <v>YERUULT RINCHINDORJ</v>
      </c>
      <c r="E551" t="s">
        <v>89</v>
      </c>
      <c r="F551" t="s">
        <v>194</v>
      </c>
      <c r="G551" t="s">
        <v>195</v>
      </c>
      <c r="H551" t="s">
        <v>195</v>
      </c>
      <c r="I551" s="8">
        <v>20220688</v>
      </c>
      <c r="J551" t="s">
        <v>811</v>
      </c>
      <c r="K551" t="s">
        <v>812</v>
      </c>
      <c r="L551" t="str">
        <f t="shared" si="16"/>
        <v>NASANDELGER ZANA</v>
      </c>
      <c r="M551" t="s">
        <v>1133</v>
      </c>
      <c r="N551" t="s">
        <v>57</v>
      </c>
      <c r="O551" s="1">
        <v>45689</v>
      </c>
      <c r="P551" s="1">
        <v>46235</v>
      </c>
      <c r="Q551" s="2">
        <v>52</v>
      </c>
      <c r="R551" t="s">
        <v>58</v>
      </c>
      <c r="S551" s="3">
        <v>0.15</v>
      </c>
      <c r="T551">
        <v>0</v>
      </c>
      <c r="U551" t="s">
        <v>247</v>
      </c>
      <c r="V551" t="s">
        <v>248</v>
      </c>
      <c r="W551">
        <v>0</v>
      </c>
      <c r="X551" s="2">
        <v>0</v>
      </c>
      <c r="Y551" s="2">
        <v>7.8</v>
      </c>
      <c r="Z551" s="2">
        <v>7.8</v>
      </c>
      <c r="AA551" s="2">
        <v>7.8</v>
      </c>
      <c r="AB551" s="2">
        <v>0</v>
      </c>
    </row>
    <row r="552" spans="1:53" x14ac:dyDescent="0.25">
      <c r="A552">
        <v>2030184968</v>
      </c>
      <c r="B552" t="s">
        <v>1045</v>
      </c>
      <c r="C552" t="s">
        <v>1046</v>
      </c>
      <c r="D552" t="str">
        <f t="shared" si="17"/>
        <v>GANBOLD AMARBAYASGALAN</v>
      </c>
      <c r="E552" t="s">
        <v>89</v>
      </c>
      <c r="F552" t="s">
        <v>194</v>
      </c>
      <c r="G552" t="s">
        <v>195</v>
      </c>
      <c r="H552" t="s">
        <v>195</v>
      </c>
      <c r="I552" s="8">
        <v>20220688</v>
      </c>
      <c r="J552" t="s">
        <v>811</v>
      </c>
      <c r="K552" t="s">
        <v>812</v>
      </c>
      <c r="L552" t="str">
        <f t="shared" si="16"/>
        <v>NASANDELGER ZANA</v>
      </c>
      <c r="M552" t="s">
        <v>1133</v>
      </c>
      <c r="N552" t="s">
        <v>57</v>
      </c>
      <c r="O552" s="1">
        <v>45867</v>
      </c>
      <c r="P552" s="1">
        <v>46232</v>
      </c>
      <c r="Q552" s="2">
        <v>18.45</v>
      </c>
      <c r="R552" t="s">
        <v>58</v>
      </c>
      <c r="S552" s="3">
        <v>0.7</v>
      </c>
      <c r="T552">
        <v>0</v>
      </c>
      <c r="U552" t="s">
        <v>60</v>
      </c>
      <c r="V552" t="s">
        <v>248</v>
      </c>
      <c r="W552">
        <v>0</v>
      </c>
      <c r="X552" s="2">
        <v>0</v>
      </c>
      <c r="Y552" s="2">
        <v>12.92</v>
      </c>
      <c r="Z552" s="2">
        <v>12.92</v>
      </c>
      <c r="AA552" s="2">
        <v>12.92</v>
      </c>
      <c r="AB552" s="2">
        <v>0</v>
      </c>
    </row>
    <row r="553" spans="1:53" x14ac:dyDescent="0.25">
      <c r="A553">
        <v>2033384114</v>
      </c>
      <c r="B553" t="s">
        <v>809</v>
      </c>
      <c r="C553" t="s">
        <v>810</v>
      </c>
      <c r="D553" t="str">
        <f t="shared" si="17"/>
        <v>DASHGAADAN ALTANSELEM</v>
      </c>
      <c r="E553" t="s">
        <v>89</v>
      </c>
      <c r="F553" t="s">
        <v>194</v>
      </c>
      <c r="G553" t="s">
        <v>195</v>
      </c>
      <c r="H553" t="s">
        <v>195</v>
      </c>
      <c r="I553" s="8" t="s">
        <v>1121</v>
      </c>
      <c r="J553" t="s">
        <v>811</v>
      </c>
      <c r="K553" t="s">
        <v>812</v>
      </c>
      <c r="L553" t="str">
        <f t="shared" si="16"/>
        <v>NASANDELGER ZANA</v>
      </c>
      <c r="M553" t="s">
        <v>1134</v>
      </c>
      <c r="N553" t="s">
        <v>57</v>
      </c>
      <c r="O553" s="1">
        <v>46052</v>
      </c>
      <c r="P553" s="1">
        <v>46233</v>
      </c>
      <c r="Q553" s="2">
        <v>27.5</v>
      </c>
      <c r="R553" t="s">
        <v>58</v>
      </c>
      <c r="S553" s="3">
        <v>0.7</v>
      </c>
      <c r="T553">
        <v>0</v>
      </c>
      <c r="U553" t="s">
        <v>60</v>
      </c>
      <c r="V553" t="s">
        <v>248</v>
      </c>
      <c r="W553">
        <v>0</v>
      </c>
      <c r="X553" s="2">
        <v>0</v>
      </c>
      <c r="Y553" s="2">
        <v>19.25</v>
      </c>
      <c r="Z553" s="2">
        <v>0</v>
      </c>
      <c r="AA553" s="2">
        <v>0</v>
      </c>
      <c r="AB553" s="2">
        <v>0</v>
      </c>
    </row>
    <row r="554" spans="1:53" x14ac:dyDescent="0.25">
      <c r="A554">
        <v>2035157477</v>
      </c>
      <c r="B554" t="s">
        <v>840</v>
      </c>
      <c r="C554" t="s">
        <v>841</v>
      </c>
      <c r="D554" t="str">
        <f t="shared" si="17"/>
        <v>BATTULGA JURMED</v>
      </c>
      <c r="E554" t="s">
        <v>89</v>
      </c>
      <c r="F554" t="s">
        <v>194</v>
      </c>
      <c r="G554" t="s">
        <v>195</v>
      </c>
      <c r="H554" t="s">
        <v>195</v>
      </c>
      <c r="I554" s="8" t="s">
        <v>1121</v>
      </c>
      <c r="J554" t="s">
        <v>811</v>
      </c>
      <c r="K554" t="s">
        <v>812</v>
      </c>
      <c r="L554" t="str">
        <f t="shared" si="16"/>
        <v>NASANDELGER ZANA</v>
      </c>
      <c r="M554" t="s">
        <v>1134</v>
      </c>
      <c r="N554" t="s">
        <v>57</v>
      </c>
      <c r="O554" s="1">
        <v>46140</v>
      </c>
      <c r="P554" s="1">
        <v>46231</v>
      </c>
      <c r="Q554" s="2">
        <v>28</v>
      </c>
      <c r="R554" t="s">
        <v>58</v>
      </c>
      <c r="S554" s="3">
        <v>0.7</v>
      </c>
      <c r="T554">
        <v>0</v>
      </c>
      <c r="U554" t="s">
        <v>60</v>
      </c>
      <c r="V554" t="s">
        <v>248</v>
      </c>
      <c r="W554">
        <v>0</v>
      </c>
      <c r="X554" s="2">
        <v>0</v>
      </c>
      <c r="Y554" s="2">
        <v>19.600000000000001</v>
      </c>
      <c r="Z554" s="2">
        <v>0</v>
      </c>
      <c r="AA554" s="2">
        <v>0</v>
      </c>
      <c r="AB554" s="2">
        <v>0</v>
      </c>
    </row>
    <row r="555" spans="1:53" x14ac:dyDescent="0.25">
      <c r="A555">
        <v>2033944262</v>
      </c>
      <c r="B555" t="s">
        <v>831</v>
      </c>
      <c r="C555" t="s">
        <v>832</v>
      </c>
      <c r="D555" t="str">
        <f t="shared" si="17"/>
        <v>UNDRALTSETSEG CHULUUNBAT</v>
      </c>
      <c r="E555" t="s">
        <v>89</v>
      </c>
      <c r="F555" t="s">
        <v>194</v>
      </c>
      <c r="G555" t="s">
        <v>195</v>
      </c>
      <c r="H555" t="s">
        <v>195</v>
      </c>
      <c r="I555" s="8" t="s">
        <v>1121</v>
      </c>
      <c r="J555" t="s">
        <v>811</v>
      </c>
      <c r="K555" t="s">
        <v>812</v>
      </c>
      <c r="L555" t="str">
        <f t="shared" si="16"/>
        <v>NASANDELGER ZANA</v>
      </c>
      <c r="M555" t="s">
        <v>1134</v>
      </c>
      <c r="N555" t="s">
        <v>57</v>
      </c>
      <c r="O555" s="1">
        <v>46080</v>
      </c>
      <c r="P555" s="1">
        <v>46230</v>
      </c>
      <c r="Q555" s="2">
        <v>76.709999999999994</v>
      </c>
      <c r="R555" t="s">
        <v>58</v>
      </c>
      <c r="S555" s="3">
        <v>0.7</v>
      </c>
      <c r="T555">
        <v>0</v>
      </c>
      <c r="U555" t="s">
        <v>60</v>
      </c>
      <c r="V555" t="s">
        <v>248</v>
      </c>
      <c r="W555">
        <v>0</v>
      </c>
      <c r="X555" s="2">
        <v>0</v>
      </c>
      <c r="Y555" s="2">
        <v>53.7</v>
      </c>
      <c r="Z555" s="2">
        <v>0</v>
      </c>
      <c r="AA555" s="2">
        <v>0</v>
      </c>
      <c r="AB555" s="2">
        <v>0</v>
      </c>
    </row>
    <row r="556" spans="1:53" x14ac:dyDescent="0.25">
      <c r="A556">
        <v>2033944263</v>
      </c>
      <c r="B556" t="s">
        <v>831</v>
      </c>
      <c r="C556" t="s">
        <v>832</v>
      </c>
      <c r="D556" t="str">
        <f t="shared" si="17"/>
        <v>UNDRALTSETSEG CHULUUNBAT</v>
      </c>
      <c r="E556" t="s">
        <v>89</v>
      </c>
      <c r="F556" t="s">
        <v>194</v>
      </c>
      <c r="G556" t="s">
        <v>217</v>
      </c>
      <c r="H556" t="s">
        <v>217</v>
      </c>
      <c r="I556" s="8" t="s">
        <v>1121</v>
      </c>
      <c r="J556" t="s">
        <v>811</v>
      </c>
      <c r="K556" t="s">
        <v>812</v>
      </c>
      <c r="L556" t="str">
        <f t="shared" si="16"/>
        <v>NASANDELGER ZANA</v>
      </c>
      <c r="M556" t="s">
        <v>1134</v>
      </c>
      <c r="N556" t="s">
        <v>57</v>
      </c>
      <c r="O556" s="1">
        <v>46080</v>
      </c>
      <c r="P556" s="1">
        <v>46230</v>
      </c>
      <c r="Q556" s="2">
        <v>20.55</v>
      </c>
      <c r="R556" t="s">
        <v>58</v>
      </c>
      <c r="S556" s="3">
        <v>0.9</v>
      </c>
      <c r="T556">
        <v>0</v>
      </c>
      <c r="U556" t="s">
        <v>60</v>
      </c>
      <c r="V556" t="s">
        <v>248</v>
      </c>
      <c r="W556">
        <v>0</v>
      </c>
      <c r="X556" s="2">
        <v>0</v>
      </c>
      <c r="Y556" s="2">
        <v>18.5</v>
      </c>
      <c r="Z556" s="2">
        <v>0</v>
      </c>
      <c r="AA556" s="2">
        <v>0</v>
      </c>
      <c r="AB556" s="2">
        <v>0</v>
      </c>
    </row>
    <row r="557" spans="1:53" x14ac:dyDescent="0.25">
      <c r="A557">
        <v>2032984421</v>
      </c>
      <c r="B557" t="s">
        <v>573</v>
      </c>
      <c r="C557" t="s">
        <v>958</v>
      </c>
      <c r="D557" t="str">
        <f t="shared" si="17"/>
        <v>YVETTE PETERSON</v>
      </c>
      <c r="E557" t="s">
        <v>68</v>
      </c>
      <c r="F557" t="s">
        <v>194</v>
      </c>
      <c r="G557" t="s">
        <v>195</v>
      </c>
      <c r="H557" t="s">
        <v>195</v>
      </c>
      <c r="I557" s="8" t="s">
        <v>1128</v>
      </c>
      <c r="J557" t="s">
        <v>959</v>
      </c>
      <c r="K557" t="s">
        <v>960</v>
      </c>
      <c r="L557" t="str">
        <f t="shared" si="16"/>
        <v>Nathan Weller</v>
      </c>
      <c r="M557" t="s">
        <v>1134</v>
      </c>
      <c r="N557" t="s">
        <v>57</v>
      </c>
      <c r="O557" s="1">
        <v>46054</v>
      </c>
      <c r="P557" s="1">
        <v>46235</v>
      </c>
      <c r="Q557" s="2">
        <v>44</v>
      </c>
      <c r="R557" t="s">
        <v>58</v>
      </c>
      <c r="S557" s="3">
        <v>0.7</v>
      </c>
      <c r="T557">
        <v>0</v>
      </c>
      <c r="U557" t="s">
        <v>60</v>
      </c>
      <c r="V557" t="s">
        <v>248</v>
      </c>
      <c r="W557">
        <v>0</v>
      </c>
      <c r="X557" s="2">
        <v>0</v>
      </c>
      <c r="Y557" s="2">
        <v>30.8</v>
      </c>
      <c r="Z557" s="2">
        <v>0</v>
      </c>
      <c r="AA557" s="2">
        <v>0</v>
      </c>
      <c r="AB557" s="2">
        <v>0</v>
      </c>
    </row>
    <row r="558" spans="1:53" x14ac:dyDescent="0.25">
      <c r="A558">
        <v>2032984420</v>
      </c>
      <c r="B558" t="s">
        <v>573</v>
      </c>
      <c r="C558" t="s">
        <v>958</v>
      </c>
      <c r="D558" t="str">
        <f t="shared" si="17"/>
        <v>YVETTE PETERSON</v>
      </c>
      <c r="E558" t="s">
        <v>68</v>
      </c>
      <c r="F558" t="s">
        <v>133</v>
      </c>
      <c r="G558" t="s">
        <v>134</v>
      </c>
      <c r="H558" t="s">
        <v>134</v>
      </c>
      <c r="I558" s="8" t="s">
        <v>1128</v>
      </c>
      <c r="J558" t="s">
        <v>959</v>
      </c>
      <c r="K558" t="s">
        <v>960</v>
      </c>
      <c r="L558" t="str">
        <f t="shared" si="16"/>
        <v>Nathan Weller</v>
      </c>
      <c r="M558" t="s">
        <v>1134</v>
      </c>
      <c r="N558" t="s">
        <v>57</v>
      </c>
      <c r="O558" s="1">
        <v>46054</v>
      </c>
      <c r="P558" s="1">
        <v>46235</v>
      </c>
      <c r="Q558" s="2">
        <v>34.39</v>
      </c>
      <c r="R558" t="s">
        <v>58</v>
      </c>
      <c r="S558" s="4">
        <v>0.375</v>
      </c>
      <c r="T558">
        <v>0</v>
      </c>
      <c r="U558" t="s">
        <v>60</v>
      </c>
      <c r="V558" t="s">
        <v>248</v>
      </c>
      <c r="W558">
        <v>0</v>
      </c>
      <c r="X558" s="2">
        <v>0</v>
      </c>
      <c r="Y558" s="2">
        <v>12.9</v>
      </c>
      <c r="Z558" s="2">
        <v>0</v>
      </c>
      <c r="AA558" s="2">
        <v>0</v>
      </c>
      <c r="AB558" s="2">
        <v>0</v>
      </c>
    </row>
    <row r="559" spans="1:53" x14ac:dyDescent="0.25">
      <c r="A559">
        <v>2033274242</v>
      </c>
      <c r="B559" t="s">
        <v>772</v>
      </c>
      <c r="C559" t="s">
        <v>773</v>
      </c>
      <c r="D559" t="str">
        <f t="shared" si="17"/>
        <v>ROSS PERKINS</v>
      </c>
      <c r="E559" t="s">
        <v>89</v>
      </c>
      <c r="F559" t="s">
        <v>194</v>
      </c>
      <c r="G559" t="s">
        <v>195</v>
      </c>
      <c r="H559" t="s">
        <v>195</v>
      </c>
      <c r="I559" s="8" t="s">
        <v>1119</v>
      </c>
      <c r="J559" t="s">
        <v>774</v>
      </c>
      <c r="K559" t="s">
        <v>319</v>
      </c>
      <c r="L559" t="str">
        <f t="shared" si="16"/>
        <v>PAMELA DEATON</v>
      </c>
      <c r="M559" t="s">
        <v>1134</v>
      </c>
      <c r="N559" t="s">
        <v>57</v>
      </c>
      <c r="O559" s="1">
        <v>46054</v>
      </c>
      <c r="P559" s="1">
        <v>46235</v>
      </c>
      <c r="Q559" s="2">
        <v>126.92</v>
      </c>
      <c r="R559" t="s">
        <v>58</v>
      </c>
      <c r="S559" s="3">
        <v>0.7</v>
      </c>
      <c r="T559">
        <v>0</v>
      </c>
      <c r="U559" t="s">
        <v>60</v>
      </c>
      <c r="V559" t="s">
        <v>248</v>
      </c>
      <c r="W559">
        <v>0</v>
      </c>
      <c r="X559" s="2">
        <v>0</v>
      </c>
      <c r="Y559" s="2">
        <v>88.84</v>
      </c>
      <c r="Z559" s="2">
        <v>0</v>
      </c>
      <c r="AA559" s="2">
        <v>0</v>
      </c>
      <c r="AB559" s="2">
        <v>0</v>
      </c>
    </row>
    <row r="560" spans="1:53" x14ac:dyDescent="0.25">
      <c r="A560">
        <v>2031146811</v>
      </c>
      <c r="B560" t="s">
        <v>1047</v>
      </c>
      <c r="C560" t="s">
        <v>1048</v>
      </c>
      <c r="D560" t="str">
        <f t="shared" si="17"/>
        <v>LATSAMY BOUNSINH</v>
      </c>
      <c r="E560" t="s">
        <v>89</v>
      </c>
      <c r="F560" t="s">
        <v>194</v>
      </c>
      <c r="G560" t="s">
        <v>228</v>
      </c>
      <c r="H560" t="s">
        <v>228</v>
      </c>
      <c r="I560" s="8">
        <v>8405446</v>
      </c>
      <c r="J560" t="s">
        <v>711</v>
      </c>
      <c r="K560" t="s">
        <v>712</v>
      </c>
      <c r="L560" t="str">
        <f t="shared" si="16"/>
        <v>PATSAMON THANADABOUTH</v>
      </c>
      <c r="M560" t="s">
        <v>1133</v>
      </c>
      <c r="N560" t="s">
        <v>57</v>
      </c>
      <c r="O560" s="1">
        <v>45930</v>
      </c>
      <c r="P560" s="1">
        <v>46233</v>
      </c>
      <c r="Q560" s="2">
        <v>51</v>
      </c>
      <c r="R560" t="s">
        <v>58</v>
      </c>
      <c r="S560" s="3">
        <v>0.42</v>
      </c>
      <c r="T560">
        <v>0</v>
      </c>
      <c r="U560" t="s">
        <v>60</v>
      </c>
      <c r="V560" t="s">
        <v>248</v>
      </c>
      <c r="W560">
        <v>0</v>
      </c>
      <c r="X560" s="2">
        <v>0</v>
      </c>
      <c r="Y560" s="2">
        <v>21.42</v>
      </c>
      <c r="Z560" s="2">
        <v>21.42</v>
      </c>
      <c r="AA560" s="2">
        <v>21.42</v>
      </c>
      <c r="AB560" s="2">
        <v>0</v>
      </c>
    </row>
    <row r="561" spans="1:28" x14ac:dyDescent="0.25">
      <c r="A561">
        <v>2025639473</v>
      </c>
      <c r="B561" t="s">
        <v>709</v>
      </c>
      <c r="C561" t="s">
        <v>710</v>
      </c>
      <c r="D561" t="str">
        <f t="shared" si="17"/>
        <v>PRANY KEO</v>
      </c>
      <c r="E561" t="s">
        <v>89</v>
      </c>
      <c r="F561" t="s">
        <v>133</v>
      </c>
      <c r="G561" t="s">
        <v>134</v>
      </c>
      <c r="H561" t="s">
        <v>134</v>
      </c>
      <c r="I561" s="8">
        <v>8405446</v>
      </c>
      <c r="J561" t="s">
        <v>711</v>
      </c>
      <c r="K561" t="s">
        <v>712</v>
      </c>
      <c r="L561" t="str">
        <f t="shared" si="16"/>
        <v>PATSAMON THANADABOUTH</v>
      </c>
      <c r="M561" t="s">
        <v>1133</v>
      </c>
      <c r="N561" t="s">
        <v>57</v>
      </c>
      <c r="O561" s="1">
        <v>45689</v>
      </c>
      <c r="P561" s="1">
        <v>46235</v>
      </c>
      <c r="Q561" s="2">
        <v>60.94</v>
      </c>
      <c r="R561" t="s">
        <v>58</v>
      </c>
      <c r="S561" s="3">
        <v>0.06</v>
      </c>
      <c r="T561">
        <v>0</v>
      </c>
      <c r="U561" t="s">
        <v>247</v>
      </c>
      <c r="V561" t="s">
        <v>248</v>
      </c>
      <c r="W561">
        <v>0</v>
      </c>
      <c r="X561" s="2">
        <v>0</v>
      </c>
      <c r="Y561" s="2">
        <v>3.66</v>
      </c>
      <c r="Z561" s="2">
        <v>3.66</v>
      </c>
      <c r="AA561" s="2">
        <v>3.66</v>
      </c>
      <c r="AB561" s="2">
        <v>0</v>
      </c>
    </row>
    <row r="562" spans="1:28" x14ac:dyDescent="0.25">
      <c r="A562">
        <v>2033156836</v>
      </c>
      <c r="B562" t="s">
        <v>963</v>
      </c>
      <c r="C562" t="s">
        <v>964</v>
      </c>
      <c r="D562" t="str">
        <f t="shared" si="17"/>
        <v>PHONETHIP BRADFORD</v>
      </c>
      <c r="E562" t="s">
        <v>124</v>
      </c>
      <c r="F562" t="s">
        <v>133</v>
      </c>
      <c r="G562" t="s">
        <v>134</v>
      </c>
      <c r="H562" t="s">
        <v>134</v>
      </c>
      <c r="I562" s="8" t="s">
        <v>1129</v>
      </c>
      <c r="J562" t="s">
        <v>711</v>
      </c>
      <c r="K562" t="s">
        <v>712</v>
      </c>
      <c r="L562" t="str">
        <f t="shared" si="16"/>
        <v>PATSAMON THANADABOUTH</v>
      </c>
      <c r="M562" t="s">
        <v>1134</v>
      </c>
      <c r="N562" t="s">
        <v>57</v>
      </c>
      <c r="O562" s="1">
        <v>46054</v>
      </c>
      <c r="P562" s="1">
        <v>46235</v>
      </c>
      <c r="Q562" s="2">
        <v>99.1</v>
      </c>
      <c r="R562" t="s">
        <v>58</v>
      </c>
      <c r="S562" s="4">
        <v>0.375</v>
      </c>
      <c r="T562">
        <v>0</v>
      </c>
      <c r="U562" t="s">
        <v>60</v>
      </c>
      <c r="V562" t="s">
        <v>248</v>
      </c>
      <c r="W562">
        <v>0</v>
      </c>
      <c r="X562" s="2">
        <v>0</v>
      </c>
      <c r="Y562" s="2">
        <v>37.159999999999997</v>
      </c>
      <c r="Z562" s="2">
        <v>0</v>
      </c>
      <c r="AA562" s="2">
        <v>0</v>
      </c>
      <c r="AB562" s="2">
        <v>0</v>
      </c>
    </row>
    <row r="563" spans="1:28" x14ac:dyDescent="0.25">
      <c r="A563">
        <v>2032406021</v>
      </c>
      <c r="B563" t="s">
        <v>1055</v>
      </c>
      <c r="C563" t="s">
        <v>1056</v>
      </c>
      <c r="D563" t="str">
        <f t="shared" si="17"/>
        <v>KARISSA SCHAUDT</v>
      </c>
      <c r="E563" t="s">
        <v>89</v>
      </c>
      <c r="F563" t="s">
        <v>194</v>
      </c>
      <c r="G563" t="s">
        <v>195</v>
      </c>
      <c r="H563" t="s">
        <v>195</v>
      </c>
      <c r="I563" s="8" t="s">
        <v>1118</v>
      </c>
      <c r="J563" t="s">
        <v>120</v>
      </c>
      <c r="K563" t="s">
        <v>121</v>
      </c>
      <c r="L563" t="str">
        <f t="shared" si="16"/>
        <v>Raluca Cheregi</v>
      </c>
      <c r="M563" t="s">
        <v>1135</v>
      </c>
      <c r="N563" t="s">
        <v>57</v>
      </c>
      <c r="O563" s="1">
        <v>45990</v>
      </c>
      <c r="P563" s="1">
        <v>46232</v>
      </c>
      <c r="Q563" s="2">
        <v>58.24</v>
      </c>
      <c r="R563" t="s">
        <v>58</v>
      </c>
      <c r="S563" s="3">
        <v>0.7</v>
      </c>
      <c r="T563">
        <v>0</v>
      </c>
      <c r="U563" t="s">
        <v>60</v>
      </c>
      <c r="V563" t="s">
        <v>248</v>
      </c>
      <c r="W563">
        <v>0</v>
      </c>
      <c r="X563" s="2">
        <v>0</v>
      </c>
      <c r="Y563" s="2">
        <v>40.770000000000003</v>
      </c>
      <c r="Z563" s="2">
        <v>40.770000000000003</v>
      </c>
      <c r="AA563" s="2">
        <v>40.770000000000003</v>
      </c>
      <c r="AB563" s="2">
        <v>0</v>
      </c>
    </row>
    <row r="564" spans="1:28" x14ac:dyDescent="0.25">
      <c r="A564">
        <v>2032409394</v>
      </c>
      <c r="B564" t="s">
        <v>1057</v>
      </c>
      <c r="C564" t="s">
        <v>1040</v>
      </c>
      <c r="D564" t="str">
        <f t="shared" si="17"/>
        <v>TERRY DARINGER</v>
      </c>
      <c r="E564" t="s">
        <v>89</v>
      </c>
      <c r="F564" t="s">
        <v>194</v>
      </c>
      <c r="G564" t="s">
        <v>195</v>
      </c>
      <c r="H564" t="s">
        <v>195</v>
      </c>
      <c r="I564" s="8" t="s">
        <v>1118</v>
      </c>
      <c r="J564" t="s">
        <v>120</v>
      </c>
      <c r="K564" t="s">
        <v>121</v>
      </c>
      <c r="L564" t="str">
        <f t="shared" si="16"/>
        <v>Raluca Cheregi</v>
      </c>
      <c r="M564" t="s">
        <v>1135</v>
      </c>
      <c r="N564" t="s">
        <v>57</v>
      </c>
      <c r="O564" s="1">
        <v>45990</v>
      </c>
      <c r="P564" s="1">
        <v>46232</v>
      </c>
      <c r="Q564" s="2">
        <v>150.77000000000001</v>
      </c>
      <c r="R564" t="s">
        <v>58</v>
      </c>
      <c r="S564" s="3">
        <v>0.7</v>
      </c>
      <c r="T564">
        <v>0</v>
      </c>
      <c r="U564" t="s">
        <v>60</v>
      </c>
      <c r="V564" t="s">
        <v>248</v>
      </c>
      <c r="W564">
        <v>0</v>
      </c>
      <c r="X564" s="2">
        <v>0</v>
      </c>
      <c r="Y564" s="2">
        <v>105.54</v>
      </c>
      <c r="Z564" s="2">
        <v>105.54</v>
      </c>
      <c r="AA564" s="2">
        <v>105.54</v>
      </c>
      <c r="AB564" s="2">
        <v>0</v>
      </c>
    </row>
    <row r="565" spans="1:28" x14ac:dyDescent="0.25">
      <c r="A565">
        <v>2032881898</v>
      </c>
      <c r="B565" t="s">
        <v>1063</v>
      </c>
      <c r="C565" t="s">
        <v>1064</v>
      </c>
      <c r="D565" t="str">
        <f t="shared" si="17"/>
        <v>TONI SCHNEIDER</v>
      </c>
      <c r="E565" t="s">
        <v>89</v>
      </c>
      <c r="F565" t="s">
        <v>194</v>
      </c>
      <c r="G565" t="s">
        <v>195</v>
      </c>
      <c r="H565" t="s">
        <v>195</v>
      </c>
      <c r="I565" s="8" t="s">
        <v>1118</v>
      </c>
      <c r="J565" t="s">
        <v>120</v>
      </c>
      <c r="K565" t="s">
        <v>121</v>
      </c>
      <c r="L565" t="str">
        <f t="shared" si="16"/>
        <v>Raluca Cheregi</v>
      </c>
      <c r="M565" t="s">
        <v>1135</v>
      </c>
      <c r="N565" t="s">
        <v>57</v>
      </c>
      <c r="O565" s="1">
        <v>46021</v>
      </c>
      <c r="P565" s="1">
        <v>46233</v>
      </c>
      <c r="Q565" s="2">
        <v>128.55000000000001</v>
      </c>
      <c r="R565" t="s">
        <v>58</v>
      </c>
      <c r="S565" s="3">
        <v>0.7</v>
      </c>
      <c r="T565">
        <v>0</v>
      </c>
      <c r="U565" t="s">
        <v>60</v>
      </c>
      <c r="V565" t="s">
        <v>248</v>
      </c>
      <c r="W565">
        <v>0</v>
      </c>
      <c r="X565" s="2">
        <v>0</v>
      </c>
      <c r="Y565" s="2">
        <v>89.98</v>
      </c>
      <c r="Z565" s="2">
        <v>89.98</v>
      </c>
      <c r="AA565" s="2">
        <v>89.98</v>
      </c>
      <c r="AB565" s="2">
        <v>0</v>
      </c>
    </row>
    <row r="566" spans="1:28" x14ac:dyDescent="0.25">
      <c r="A566">
        <v>2033178678</v>
      </c>
      <c r="B566" t="s">
        <v>753</v>
      </c>
      <c r="C566" t="s">
        <v>754</v>
      </c>
      <c r="D566" t="str">
        <f t="shared" si="17"/>
        <v>WILLIE MCCLAIN</v>
      </c>
      <c r="E566" t="s">
        <v>117</v>
      </c>
      <c r="F566" t="s">
        <v>194</v>
      </c>
      <c r="G566" t="s">
        <v>195</v>
      </c>
      <c r="H566" t="s">
        <v>195</v>
      </c>
      <c r="I566" s="8" t="s">
        <v>1118</v>
      </c>
      <c r="J566" t="s">
        <v>120</v>
      </c>
      <c r="K566" t="s">
        <v>121</v>
      </c>
      <c r="L566" t="str">
        <f t="shared" si="16"/>
        <v>Raluca Cheregi</v>
      </c>
      <c r="M566" t="s">
        <v>1134</v>
      </c>
      <c r="N566" t="s">
        <v>57</v>
      </c>
      <c r="O566" s="1">
        <v>46053</v>
      </c>
      <c r="P566" s="1">
        <v>46233</v>
      </c>
      <c r="Q566" s="2">
        <v>53.63</v>
      </c>
      <c r="R566" t="s">
        <v>58</v>
      </c>
      <c r="S566" s="3">
        <v>0.7</v>
      </c>
      <c r="T566">
        <v>0</v>
      </c>
      <c r="U566" t="s">
        <v>60</v>
      </c>
      <c r="V566" t="s">
        <v>248</v>
      </c>
      <c r="W566">
        <v>0</v>
      </c>
      <c r="X566" s="2">
        <v>0</v>
      </c>
      <c r="Y566" s="2">
        <v>37.54</v>
      </c>
      <c r="Z566" s="2">
        <v>0</v>
      </c>
      <c r="AA566" s="2">
        <v>0</v>
      </c>
      <c r="AB566" s="2">
        <v>0</v>
      </c>
    </row>
    <row r="567" spans="1:28" x14ac:dyDescent="0.25">
      <c r="A567">
        <v>2033346498</v>
      </c>
      <c r="B567" t="s">
        <v>791</v>
      </c>
      <c r="C567" t="s">
        <v>792</v>
      </c>
      <c r="D567" t="str">
        <f t="shared" si="17"/>
        <v>SHERI WADE</v>
      </c>
      <c r="E567" t="s">
        <v>89</v>
      </c>
      <c r="F567" t="s">
        <v>194</v>
      </c>
      <c r="G567" t="s">
        <v>195</v>
      </c>
      <c r="H567" t="s">
        <v>195</v>
      </c>
      <c r="I567" s="8" t="s">
        <v>1118</v>
      </c>
      <c r="J567" t="s">
        <v>120</v>
      </c>
      <c r="K567" t="s">
        <v>121</v>
      </c>
      <c r="L567" t="str">
        <f t="shared" si="16"/>
        <v>Raluca Cheregi</v>
      </c>
      <c r="M567" t="s">
        <v>1134</v>
      </c>
      <c r="N567" t="s">
        <v>57</v>
      </c>
      <c r="O567" s="1">
        <v>46050</v>
      </c>
      <c r="P567" s="1">
        <v>46231</v>
      </c>
      <c r="Q567" s="2">
        <v>107.8</v>
      </c>
      <c r="R567" t="s">
        <v>58</v>
      </c>
      <c r="S567" s="3">
        <v>0.7</v>
      </c>
      <c r="T567">
        <v>0</v>
      </c>
      <c r="U567" t="s">
        <v>60</v>
      </c>
      <c r="V567" t="s">
        <v>248</v>
      </c>
      <c r="W567">
        <v>0</v>
      </c>
      <c r="X567" s="2">
        <v>0</v>
      </c>
      <c r="Y567" s="2">
        <v>75.459999999999994</v>
      </c>
      <c r="Z567" s="2">
        <v>0</v>
      </c>
      <c r="AA567" s="2">
        <v>0</v>
      </c>
      <c r="AB567" s="2">
        <v>0</v>
      </c>
    </row>
    <row r="568" spans="1:28" x14ac:dyDescent="0.25">
      <c r="A568">
        <v>2033421032</v>
      </c>
      <c r="B568" t="s">
        <v>822</v>
      </c>
      <c r="C568" t="s">
        <v>823</v>
      </c>
      <c r="D568" t="str">
        <f t="shared" si="17"/>
        <v>BOSE BELLO</v>
      </c>
      <c r="E568" t="s">
        <v>89</v>
      </c>
      <c r="F568" t="s">
        <v>194</v>
      </c>
      <c r="G568" t="s">
        <v>195</v>
      </c>
      <c r="H568" t="s">
        <v>195</v>
      </c>
      <c r="I568" s="8" t="s">
        <v>1118</v>
      </c>
      <c r="J568" t="s">
        <v>120</v>
      </c>
      <c r="K568" t="s">
        <v>121</v>
      </c>
      <c r="L568" t="str">
        <f t="shared" si="16"/>
        <v>Raluca Cheregi</v>
      </c>
      <c r="M568" t="s">
        <v>1134</v>
      </c>
      <c r="N568" t="s">
        <v>57</v>
      </c>
      <c r="O568" s="1">
        <v>46054</v>
      </c>
      <c r="P568" s="1">
        <v>46235</v>
      </c>
      <c r="Q568" s="2">
        <v>131.72</v>
      </c>
      <c r="R568" t="s">
        <v>58</v>
      </c>
      <c r="S568" s="3">
        <v>0.7</v>
      </c>
      <c r="T568">
        <v>0</v>
      </c>
      <c r="U568" t="s">
        <v>60</v>
      </c>
      <c r="V568" t="s">
        <v>248</v>
      </c>
      <c r="W568">
        <v>0</v>
      </c>
      <c r="X568" s="2">
        <v>0</v>
      </c>
      <c r="Y568" s="2">
        <v>92.2</v>
      </c>
      <c r="Z568" s="2">
        <v>0</v>
      </c>
      <c r="AA568" s="2">
        <v>0</v>
      </c>
      <c r="AB568" s="2">
        <v>0</v>
      </c>
    </row>
    <row r="569" spans="1:28" x14ac:dyDescent="0.25">
      <c r="A569">
        <v>2033346497</v>
      </c>
      <c r="B569" t="s">
        <v>791</v>
      </c>
      <c r="C569" t="s">
        <v>792</v>
      </c>
      <c r="D569" t="str">
        <f t="shared" si="17"/>
        <v>SHERI WADE</v>
      </c>
      <c r="E569" t="s">
        <v>89</v>
      </c>
      <c r="F569" t="s">
        <v>194</v>
      </c>
      <c r="G569" t="s">
        <v>217</v>
      </c>
      <c r="H569" t="s">
        <v>217</v>
      </c>
      <c r="I569" s="8" t="s">
        <v>1118</v>
      </c>
      <c r="J569" t="s">
        <v>120</v>
      </c>
      <c r="K569" t="s">
        <v>121</v>
      </c>
      <c r="L569" t="str">
        <f t="shared" si="16"/>
        <v>Raluca Cheregi</v>
      </c>
      <c r="M569" t="s">
        <v>1134</v>
      </c>
      <c r="N569" t="s">
        <v>57</v>
      </c>
      <c r="O569" s="1">
        <v>46050</v>
      </c>
      <c r="P569" s="1">
        <v>46231</v>
      </c>
      <c r="Q569" s="2">
        <v>51.63</v>
      </c>
      <c r="R569" t="s">
        <v>58</v>
      </c>
      <c r="S569" s="3">
        <v>0.9</v>
      </c>
      <c r="T569">
        <v>0</v>
      </c>
      <c r="U569" t="s">
        <v>60</v>
      </c>
      <c r="V569" t="s">
        <v>248</v>
      </c>
      <c r="W569">
        <v>0</v>
      </c>
      <c r="X569" s="2">
        <v>0</v>
      </c>
      <c r="Y569" s="2">
        <v>46.47</v>
      </c>
      <c r="Z569" s="2">
        <v>0</v>
      </c>
      <c r="AA569" s="2">
        <v>0</v>
      </c>
      <c r="AB569" s="2">
        <v>0</v>
      </c>
    </row>
    <row r="570" spans="1:28" x14ac:dyDescent="0.25">
      <c r="A570">
        <v>2033434211</v>
      </c>
      <c r="B570" t="s">
        <v>641</v>
      </c>
      <c r="C570" t="s">
        <v>642</v>
      </c>
      <c r="D570" t="str">
        <f t="shared" si="17"/>
        <v>FERNANDO FERNANDEZ</v>
      </c>
      <c r="E570" t="s">
        <v>89</v>
      </c>
      <c r="F570" t="s">
        <v>188</v>
      </c>
      <c r="G570" t="s">
        <v>190</v>
      </c>
      <c r="H570" t="s">
        <v>190</v>
      </c>
      <c r="I570" s="8" t="s">
        <v>1076</v>
      </c>
      <c r="J570" t="s">
        <v>615</v>
      </c>
      <c r="K570" t="s">
        <v>616</v>
      </c>
      <c r="L570" t="str">
        <f t="shared" si="16"/>
        <v>RICARDO SANTOS</v>
      </c>
      <c r="M570" t="s">
        <v>1134</v>
      </c>
      <c r="N570" t="s">
        <v>57</v>
      </c>
      <c r="O570" s="1">
        <v>46054</v>
      </c>
      <c r="P570" s="1">
        <v>46235</v>
      </c>
      <c r="Q570" s="2">
        <v>326.14</v>
      </c>
      <c r="R570" t="s">
        <v>58</v>
      </c>
      <c r="S570" s="3">
        <v>0.38</v>
      </c>
      <c r="T570">
        <v>0</v>
      </c>
      <c r="U570" t="s">
        <v>60</v>
      </c>
      <c r="V570" t="s">
        <v>248</v>
      </c>
      <c r="W570">
        <v>0</v>
      </c>
      <c r="X570" s="2">
        <v>0</v>
      </c>
      <c r="Y570" s="2">
        <v>123.93</v>
      </c>
      <c r="Z570" s="2">
        <v>0</v>
      </c>
      <c r="AA570" s="2">
        <v>0</v>
      </c>
      <c r="AB570" s="2">
        <v>0</v>
      </c>
    </row>
    <row r="571" spans="1:28" x14ac:dyDescent="0.25">
      <c r="A571">
        <v>2033434212</v>
      </c>
      <c r="B571" t="s">
        <v>641</v>
      </c>
      <c r="C571" t="s">
        <v>642</v>
      </c>
      <c r="D571" t="str">
        <f t="shared" si="17"/>
        <v>FERNANDO FERNANDEZ</v>
      </c>
      <c r="E571" t="s">
        <v>89</v>
      </c>
      <c r="F571" t="s">
        <v>149</v>
      </c>
      <c r="G571" t="s">
        <v>150</v>
      </c>
      <c r="H571" t="s">
        <v>150</v>
      </c>
      <c r="I571" s="8" t="s">
        <v>1076</v>
      </c>
      <c r="J571" t="s">
        <v>615</v>
      </c>
      <c r="K571" t="s">
        <v>616</v>
      </c>
      <c r="L571" t="str">
        <f t="shared" si="16"/>
        <v>RICARDO SANTOS</v>
      </c>
      <c r="M571" t="s">
        <v>1134</v>
      </c>
      <c r="N571" t="s">
        <v>57</v>
      </c>
      <c r="O571" s="1">
        <v>46054</v>
      </c>
      <c r="P571" s="1">
        <v>46235</v>
      </c>
      <c r="Q571" s="2">
        <v>15</v>
      </c>
      <c r="R571" t="s">
        <v>58</v>
      </c>
      <c r="S571" s="3">
        <v>0.38</v>
      </c>
      <c r="T571">
        <v>0</v>
      </c>
      <c r="U571" t="s">
        <v>60</v>
      </c>
      <c r="V571" t="s">
        <v>248</v>
      </c>
      <c r="W571">
        <v>0</v>
      </c>
      <c r="X571" s="2">
        <v>0</v>
      </c>
      <c r="Y571" s="2">
        <v>5.7</v>
      </c>
      <c r="Z571" s="2">
        <v>0</v>
      </c>
      <c r="AA571" s="2">
        <v>0</v>
      </c>
      <c r="AB571" s="2">
        <v>0</v>
      </c>
    </row>
    <row r="572" spans="1:28" x14ac:dyDescent="0.25">
      <c r="A572">
        <v>2030722442</v>
      </c>
      <c r="B572" t="s">
        <v>613</v>
      </c>
      <c r="C572" t="s">
        <v>614</v>
      </c>
      <c r="D572" t="str">
        <f t="shared" si="17"/>
        <v>LEVINSON JADE</v>
      </c>
      <c r="E572" t="s">
        <v>332</v>
      </c>
      <c r="F572" t="s">
        <v>149</v>
      </c>
      <c r="G572" t="s">
        <v>584</v>
      </c>
      <c r="H572" t="s">
        <v>1082</v>
      </c>
      <c r="I572" s="8">
        <v>19200754</v>
      </c>
      <c r="J572" t="s">
        <v>615</v>
      </c>
      <c r="K572" t="s">
        <v>616</v>
      </c>
      <c r="L572" t="str">
        <f t="shared" si="16"/>
        <v>RICARDO SANTOS</v>
      </c>
      <c r="M572" t="s">
        <v>1133</v>
      </c>
      <c r="N572" t="s">
        <v>57</v>
      </c>
      <c r="O572" s="1">
        <v>45897</v>
      </c>
      <c r="P572" s="1">
        <v>46231</v>
      </c>
      <c r="Q572" s="2">
        <v>15</v>
      </c>
      <c r="R572" t="s">
        <v>58</v>
      </c>
      <c r="S572" s="3">
        <v>0.28999999999999998</v>
      </c>
      <c r="T572">
        <v>0</v>
      </c>
      <c r="U572" t="s">
        <v>60</v>
      </c>
      <c r="V572" t="s">
        <v>248</v>
      </c>
      <c r="W572">
        <v>0</v>
      </c>
      <c r="X572" s="2">
        <v>0</v>
      </c>
      <c r="Y572" s="2">
        <v>4.3499999999999996</v>
      </c>
      <c r="Z572" s="2">
        <v>4.3499999999999996</v>
      </c>
      <c r="AA572" s="2">
        <v>4.3499999999999996</v>
      </c>
      <c r="AB572" s="2">
        <v>0</v>
      </c>
    </row>
    <row r="573" spans="1:28" x14ac:dyDescent="0.25">
      <c r="A573">
        <v>2026806627</v>
      </c>
      <c r="B573" t="s">
        <v>226</v>
      </c>
      <c r="C573" t="s">
        <v>681</v>
      </c>
      <c r="D573" t="str">
        <f t="shared" si="17"/>
        <v>EVAN FRIEDMAN</v>
      </c>
      <c r="E573" t="s">
        <v>302</v>
      </c>
      <c r="F573" t="s">
        <v>194</v>
      </c>
      <c r="G573" t="s">
        <v>195</v>
      </c>
      <c r="H573" t="s">
        <v>195</v>
      </c>
      <c r="I573" s="8">
        <v>19200754</v>
      </c>
      <c r="J573" t="s">
        <v>615</v>
      </c>
      <c r="K573" t="s">
        <v>616</v>
      </c>
      <c r="L573" t="str">
        <f t="shared" si="16"/>
        <v>RICARDO SANTOS</v>
      </c>
      <c r="M573" t="s">
        <v>1133</v>
      </c>
      <c r="N573" t="s">
        <v>57</v>
      </c>
      <c r="O573" s="1">
        <v>45689</v>
      </c>
      <c r="P573" s="1">
        <v>46235</v>
      </c>
      <c r="Q573" s="2">
        <v>26.32</v>
      </c>
      <c r="R573" t="s">
        <v>58</v>
      </c>
      <c r="S573" s="3">
        <v>0.15</v>
      </c>
      <c r="T573">
        <v>0</v>
      </c>
      <c r="U573" t="s">
        <v>247</v>
      </c>
      <c r="V573" t="s">
        <v>248</v>
      </c>
      <c r="W573">
        <v>0</v>
      </c>
      <c r="X573" s="2">
        <v>0</v>
      </c>
      <c r="Y573" s="2">
        <v>3.95</v>
      </c>
      <c r="Z573" s="2">
        <v>3.95</v>
      </c>
      <c r="AA573" s="2">
        <v>3.95</v>
      </c>
      <c r="AB573" s="2">
        <v>0</v>
      </c>
    </row>
    <row r="574" spans="1:28" x14ac:dyDescent="0.25">
      <c r="A574">
        <v>2029690468</v>
      </c>
      <c r="B574" t="s">
        <v>1043</v>
      </c>
      <c r="C574" t="s">
        <v>1044</v>
      </c>
      <c r="D574" t="str">
        <f t="shared" si="17"/>
        <v>SPENCER EDWARD</v>
      </c>
      <c r="E574" t="s">
        <v>124</v>
      </c>
      <c r="F574" t="s">
        <v>194</v>
      </c>
      <c r="G574" t="s">
        <v>195</v>
      </c>
      <c r="H574" t="s">
        <v>195</v>
      </c>
      <c r="I574" s="8">
        <v>19200754</v>
      </c>
      <c r="J574" t="s">
        <v>615</v>
      </c>
      <c r="K574" t="s">
        <v>616</v>
      </c>
      <c r="L574" t="str">
        <f t="shared" si="16"/>
        <v>RICARDO SANTOS</v>
      </c>
      <c r="M574" t="s">
        <v>1133</v>
      </c>
      <c r="N574" t="s">
        <v>57</v>
      </c>
      <c r="O574" s="1">
        <v>45836</v>
      </c>
      <c r="P574" s="1">
        <v>46231</v>
      </c>
      <c r="Q574" s="2">
        <v>164.81</v>
      </c>
      <c r="R574" t="s">
        <v>58</v>
      </c>
      <c r="S574" s="3">
        <v>0.15</v>
      </c>
      <c r="T574">
        <v>0</v>
      </c>
      <c r="U574" t="s">
        <v>247</v>
      </c>
      <c r="V574" t="s">
        <v>248</v>
      </c>
      <c r="W574">
        <v>0</v>
      </c>
      <c r="X574" s="2">
        <v>0</v>
      </c>
      <c r="Y574" s="2">
        <v>24.72</v>
      </c>
      <c r="Z574" s="2">
        <v>24.72</v>
      </c>
      <c r="AA574" s="2">
        <v>24.72</v>
      </c>
      <c r="AB574" s="2">
        <v>0</v>
      </c>
    </row>
    <row r="575" spans="1:28" x14ac:dyDescent="0.25">
      <c r="A575">
        <v>2033179423</v>
      </c>
      <c r="B575" t="s">
        <v>755</v>
      </c>
      <c r="C575" t="s">
        <v>478</v>
      </c>
      <c r="D575" t="str">
        <f t="shared" si="17"/>
        <v>MICHAEL RICHES</v>
      </c>
      <c r="E575" t="s">
        <v>425</v>
      </c>
      <c r="F575" t="s">
        <v>194</v>
      </c>
      <c r="G575" t="s">
        <v>195</v>
      </c>
      <c r="H575" t="s">
        <v>195</v>
      </c>
      <c r="I575" s="8" t="s">
        <v>1076</v>
      </c>
      <c r="J575" t="s">
        <v>615</v>
      </c>
      <c r="K575" t="s">
        <v>616</v>
      </c>
      <c r="L575" t="str">
        <f t="shared" si="16"/>
        <v>RICARDO SANTOS</v>
      </c>
      <c r="M575" t="s">
        <v>1134</v>
      </c>
      <c r="N575" t="s">
        <v>57</v>
      </c>
      <c r="O575" s="1">
        <v>46054</v>
      </c>
      <c r="P575" s="1">
        <v>46235</v>
      </c>
      <c r="Q575" s="2">
        <v>52.59</v>
      </c>
      <c r="R575" t="s">
        <v>58</v>
      </c>
      <c r="S575" s="3">
        <v>0.7</v>
      </c>
      <c r="T575">
        <v>0</v>
      </c>
      <c r="U575" t="s">
        <v>60</v>
      </c>
      <c r="V575" t="s">
        <v>248</v>
      </c>
      <c r="W575">
        <v>0</v>
      </c>
      <c r="X575" s="2">
        <v>0</v>
      </c>
      <c r="Y575" s="2">
        <v>36.81</v>
      </c>
      <c r="Z575" s="2">
        <v>0</v>
      </c>
      <c r="AA575" s="2">
        <v>0</v>
      </c>
      <c r="AB575" s="2">
        <v>0</v>
      </c>
    </row>
    <row r="576" spans="1:28" x14ac:dyDescent="0.25">
      <c r="A576">
        <v>2033144075</v>
      </c>
      <c r="B576" t="s">
        <v>385</v>
      </c>
      <c r="C576" t="s">
        <v>737</v>
      </c>
      <c r="D576" t="str">
        <f t="shared" si="17"/>
        <v>NADINE DIXON</v>
      </c>
      <c r="E576" t="s">
        <v>397</v>
      </c>
      <c r="F576" t="s">
        <v>194</v>
      </c>
      <c r="G576" t="s">
        <v>195</v>
      </c>
      <c r="H576" t="s">
        <v>195</v>
      </c>
      <c r="I576" s="8" t="s">
        <v>1076</v>
      </c>
      <c r="J576" t="s">
        <v>615</v>
      </c>
      <c r="K576" t="s">
        <v>616</v>
      </c>
      <c r="L576" t="str">
        <f t="shared" si="16"/>
        <v>RICARDO SANTOS</v>
      </c>
      <c r="M576" t="s">
        <v>1134</v>
      </c>
      <c r="N576" t="s">
        <v>57</v>
      </c>
      <c r="O576" s="1">
        <v>46054</v>
      </c>
      <c r="P576" s="1">
        <v>46235</v>
      </c>
      <c r="Q576" s="2">
        <v>99.52</v>
      </c>
      <c r="R576" t="s">
        <v>58</v>
      </c>
      <c r="S576" s="3">
        <v>0.7</v>
      </c>
      <c r="T576">
        <v>0</v>
      </c>
      <c r="U576" t="s">
        <v>60</v>
      </c>
      <c r="V576" t="s">
        <v>248</v>
      </c>
      <c r="W576">
        <v>0</v>
      </c>
      <c r="X576" s="2">
        <v>0</v>
      </c>
      <c r="Y576" s="2">
        <v>69.66</v>
      </c>
      <c r="Z576" s="2">
        <v>0</v>
      </c>
      <c r="AA576" s="2">
        <v>0</v>
      </c>
      <c r="AB576" s="2">
        <v>0</v>
      </c>
    </row>
    <row r="577" spans="1:28" x14ac:dyDescent="0.25">
      <c r="A577">
        <v>2026806628</v>
      </c>
      <c r="B577" t="s">
        <v>226</v>
      </c>
      <c r="C577" t="s">
        <v>681</v>
      </c>
      <c r="D577" t="str">
        <f t="shared" si="17"/>
        <v>EVAN FRIEDMAN</v>
      </c>
      <c r="E577" t="s">
        <v>302</v>
      </c>
      <c r="F577" t="s">
        <v>133</v>
      </c>
      <c r="G577" t="s">
        <v>134</v>
      </c>
      <c r="H577" t="s">
        <v>134</v>
      </c>
      <c r="I577" s="8">
        <v>19200754</v>
      </c>
      <c r="J577" t="s">
        <v>615</v>
      </c>
      <c r="K577" t="s">
        <v>616</v>
      </c>
      <c r="L577" t="str">
        <f t="shared" si="16"/>
        <v>RICARDO SANTOS</v>
      </c>
      <c r="M577" t="s">
        <v>1133</v>
      </c>
      <c r="N577" t="s">
        <v>57</v>
      </c>
      <c r="O577" s="1">
        <v>45689</v>
      </c>
      <c r="P577" s="1">
        <v>46235</v>
      </c>
      <c r="Q577" s="2">
        <v>56.52</v>
      </c>
      <c r="R577" t="s">
        <v>58</v>
      </c>
      <c r="S577" s="3">
        <v>0.06</v>
      </c>
      <c r="T577">
        <v>0</v>
      </c>
      <c r="U577" t="s">
        <v>247</v>
      </c>
      <c r="V577" t="s">
        <v>248</v>
      </c>
      <c r="W577">
        <v>0</v>
      </c>
      <c r="X577" s="2">
        <v>0</v>
      </c>
      <c r="Y577" s="2">
        <v>3.39</v>
      </c>
      <c r="Z577" s="2">
        <v>3.39</v>
      </c>
      <c r="AA577" s="2">
        <v>3.39</v>
      </c>
      <c r="AB577" s="2">
        <v>0</v>
      </c>
    </row>
    <row r="578" spans="1:28" x14ac:dyDescent="0.25">
      <c r="A578">
        <v>2033434026</v>
      </c>
      <c r="B578" t="s">
        <v>641</v>
      </c>
      <c r="C578" t="s">
        <v>642</v>
      </c>
      <c r="D578" t="str">
        <f t="shared" si="17"/>
        <v>FERNANDO FERNANDEZ</v>
      </c>
      <c r="E578" t="s">
        <v>89</v>
      </c>
      <c r="F578" t="s">
        <v>133</v>
      </c>
      <c r="G578" t="s">
        <v>134</v>
      </c>
      <c r="H578" t="s">
        <v>134</v>
      </c>
      <c r="I578" s="8" t="s">
        <v>1076</v>
      </c>
      <c r="J578" t="s">
        <v>615</v>
      </c>
      <c r="K578" t="s">
        <v>616</v>
      </c>
      <c r="L578" t="str">
        <f t="shared" ref="L578:L641" si="18">CONCATENATE(K578," ",J578)</f>
        <v>RICARDO SANTOS</v>
      </c>
      <c r="M578" t="s">
        <v>1134</v>
      </c>
      <c r="N578" t="s">
        <v>57</v>
      </c>
      <c r="O578" s="1">
        <v>46054</v>
      </c>
      <c r="P578" s="1">
        <v>46235</v>
      </c>
      <c r="Q578" s="2">
        <v>78.760000000000005</v>
      </c>
      <c r="R578" t="s">
        <v>58</v>
      </c>
      <c r="S578" s="4">
        <v>0.375</v>
      </c>
      <c r="T578">
        <v>0</v>
      </c>
      <c r="U578" t="s">
        <v>60</v>
      </c>
      <c r="V578" t="s">
        <v>248</v>
      </c>
      <c r="W578">
        <v>0</v>
      </c>
      <c r="X578" s="2">
        <v>0</v>
      </c>
      <c r="Y578" s="2">
        <v>29.54</v>
      </c>
      <c r="Z578" s="2">
        <v>0</v>
      </c>
      <c r="AA578" s="2">
        <v>0</v>
      </c>
      <c r="AB578" s="2">
        <v>0</v>
      </c>
    </row>
    <row r="579" spans="1:28" x14ac:dyDescent="0.25">
      <c r="A579">
        <v>2033179422</v>
      </c>
      <c r="B579" t="s">
        <v>755</v>
      </c>
      <c r="C579" t="s">
        <v>478</v>
      </c>
      <c r="D579" t="str">
        <f t="shared" ref="D579:D642" si="19">CONCATENATE(C579," ",B579)</f>
        <v>MICHAEL RICHES</v>
      </c>
      <c r="E579" t="s">
        <v>425</v>
      </c>
      <c r="F579" t="s">
        <v>133</v>
      </c>
      <c r="G579" t="s">
        <v>134</v>
      </c>
      <c r="H579" t="s">
        <v>134</v>
      </c>
      <c r="I579" s="8" t="s">
        <v>1076</v>
      </c>
      <c r="J579" t="s">
        <v>615</v>
      </c>
      <c r="K579" t="s">
        <v>616</v>
      </c>
      <c r="L579" t="str">
        <f t="shared" si="18"/>
        <v>RICARDO SANTOS</v>
      </c>
      <c r="M579" t="s">
        <v>1134</v>
      </c>
      <c r="N579" t="s">
        <v>57</v>
      </c>
      <c r="O579" s="1">
        <v>46054</v>
      </c>
      <c r="P579" s="1">
        <v>46235</v>
      </c>
      <c r="Q579" s="2">
        <v>90.22</v>
      </c>
      <c r="R579" t="s">
        <v>58</v>
      </c>
      <c r="S579" s="4">
        <v>0.375</v>
      </c>
      <c r="T579">
        <v>0</v>
      </c>
      <c r="U579" t="s">
        <v>60</v>
      </c>
      <c r="V579" t="s">
        <v>248</v>
      </c>
      <c r="W579">
        <v>0</v>
      </c>
      <c r="X579" s="2">
        <v>0</v>
      </c>
      <c r="Y579" s="2">
        <v>33.83</v>
      </c>
      <c r="Z579" s="2">
        <v>0</v>
      </c>
      <c r="AA579" s="2">
        <v>0</v>
      </c>
      <c r="AB579" s="2">
        <v>0</v>
      </c>
    </row>
    <row r="580" spans="1:28" x14ac:dyDescent="0.25">
      <c r="A580">
        <v>2033957887</v>
      </c>
      <c r="B580" t="s">
        <v>615</v>
      </c>
      <c r="C580" t="s">
        <v>616</v>
      </c>
      <c r="D580" t="str">
        <f t="shared" si="19"/>
        <v>RICARDO SANTOS</v>
      </c>
      <c r="E580" t="s">
        <v>89</v>
      </c>
      <c r="F580" t="s">
        <v>194</v>
      </c>
      <c r="G580" t="s">
        <v>217</v>
      </c>
      <c r="H580" t="s">
        <v>217</v>
      </c>
      <c r="I580" s="8" t="s">
        <v>1076</v>
      </c>
      <c r="J580" t="s">
        <v>615</v>
      </c>
      <c r="K580" t="s">
        <v>616</v>
      </c>
      <c r="L580" t="str">
        <f t="shared" si="18"/>
        <v>RICARDO SANTOS</v>
      </c>
      <c r="M580" t="s">
        <v>1134</v>
      </c>
      <c r="N580" t="s">
        <v>57</v>
      </c>
      <c r="O580" s="1">
        <v>46080</v>
      </c>
      <c r="P580" s="1">
        <v>46230</v>
      </c>
      <c r="Q580" s="2">
        <v>27.85</v>
      </c>
      <c r="R580" t="s">
        <v>58</v>
      </c>
      <c r="S580" s="3">
        <v>0.9</v>
      </c>
      <c r="T580">
        <v>0</v>
      </c>
      <c r="U580" t="s">
        <v>60</v>
      </c>
      <c r="V580" t="s">
        <v>248</v>
      </c>
      <c r="W580">
        <v>0</v>
      </c>
      <c r="X580" s="2">
        <v>0</v>
      </c>
      <c r="Y580" s="2">
        <v>25.06</v>
      </c>
      <c r="Z580" s="2">
        <v>0</v>
      </c>
      <c r="AA580" s="2">
        <v>0</v>
      </c>
      <c r="AB580" s="2">
        <v>0</v>
      </c>
    </row>
    <row r="581" spans="1:28" x14ac:dyDescent="0.25">
      <c r="A581">
        <v>2032622440</v>
      </c>
      <c r="B581" t="s">
        <v>405</v>
      </c>
      <c r="C581" t="s">
        <v>406</v>
      </c>
      <c r="D581" t="str">
        <f t="shared" si="19"/>
        <v>ZIVA SHABTAI</v>
      </c>
      <c r="E581" t="s">
        <v>89</v>
      </c>
      <c r="F581" t="s">
        <v>188</v>
      </c>
      <c r="G581" t="s">
        <v>190</v>
      </c>
      <c r="H581" t="s">
        <v>190</v>
      </c>
      <c r="I581" s="8" t="s">
        <v>1074</v>
      </c>
      <c r="J581" t="s">
        <v>113</v>
      </c>
      <c r="K581" t="s">
        <v>114</v>
      </c>
      <c r="L581" t="str">
        <f t="shared" si="18"/>
        <v>Richard Yale</v>
      </c>
      <c r="M581" t="s">
        <v>1135</v>
      </c>
      <c r="N581" t="s">
        <v>57</v>
      </c>
      <c r="O581" s="1">
        <v>46019</v>
      </c>
      <c r="P581" s="1">
        <v>46231</v>
      </c>
      <c r="Q581" s="2">
        <v>333.96</v>
      </c>
      <c r="R581" t="s">
        <v>58</v>
      </c>
      <c r="S581" s="3">
        <v>0.38</v>
      </c>
      <c r="T581">
        <v>0</v>
      </c>
      <c r="U581" t="s">
        <v>60</v>
      </c>
      <c r="V581" t="s">
        <v>248</v>
      </c>
      <c r="W581">
        <v>0</v>
      </c>
      <c r="X581" s="2">
        <v>0</v>
      </c>
      <c r="Y581" s="2">
        <v>126.9</v>
      </c>
      <c r="Z581" s="2">
        <v>126.9</v>
      </c>
      <c r="AA581" s="2">
        <v>126.9</v>
      </c>
      <c r="AB581" s="2">
        <v>0</v>
      </c>
    </row>
    <row r="582" spans="1:28" x14ac:dyDescent="0.25">
      <c r="A582">
        <v>2032622441</v>
      </c>
      <c r="B582" t="s">
        <v>405</v>
      </c>
      <c r="C582" t="s">
        <v>406</v>
      </c>
      <c r="D582" t="str">
        <f t="shared" si="19"/>
        <v>ZIVA SHABTAI</v>
      </c>
      <c r="E582" t="s">
        <v>89</v>
      </c>
      <c r="F582" t="s">
        <v>188</v>
      </c>
      <c r="G582" t="s">
        <v>191</v>
      </c>
      <c r="H582" t="s">
        <v>190</v>
      </c>
      <c r="I582" s="8" t="s">
        <v>1074</v>
      </c>
      <c r="J582" t="s">
        <v>113</v>
      </c>
      <c r="K582" t="s">
        <v>114</v>
      </c>
      <c r="L582" t="str">
        <f t="shared" si="18"/>
        <v>Richard Yale</v>
      </c>
      <c r="M582" t="s">
        <v>1135</v>
      </c>
      <c r="N582" t="s">
        <v>57</v>
      </c>
      <c r="O582" s="1">
        <v>46019</v>
      </c>
      <c r="P582" s="1">
        <v>46231</v>
      </c>
      <c r="Q582" s="2">
        <v>7.09</v>
      </c>
      <c r="R582" t="s">
        <v>58</v>
      </c>
      <c r="S582" s="3">
        <v>0.38</v>
      </c>
      <c r="T582">
        <v>0</v>
      </c>
      <c r="U582" t="s">
        <v>60</v>
      </c>
      <c r="V582" t="s">
        <v>248</v>
      </c>
      <c r="W582">
        <v>0</v>
      </c>
      <c r="X582" s="2">
        <v>0</v>
      </c>
      <c r="Y582" s="2">
        <v>2.69</v>
      </c>
      <c r="Z582" s="2">
        <v>2.69</v>
      </c>
      <c r="AA582" s="2">
        <v>2.69</v>
      </c>
      <c r="AB582" s="2">
        <v>0</v>
      </c>
    </row>
    <row r="583" spans="1:28" x14ac:dyDescent="0.25">
      <c r="A583">
        <v>2032622443</v>
      </c>
      <c r="B583" t="s">
        <v>405</v>
      </c>
      <c r="C583" t="s">
        <v>406</v>
      </c>
      <c r="D583" t="str">
        <f t="shared" si="19"/>
        <v>ZIVA SHABTAI</v>
      </c>
      <c r="E583" t="s">
        <v>89</v>
      </c>
      <c r="F583" t="s">
        <v>69</v>
      </c>
      <c r="G583" t="s">
        <v>70</v>
      </c>
      <c r="H583" t="s">
        <v>1079</v>
      </c>
      <c r="I583" s="8" t="s">
        <v>1074</v>
      </c>
      <c r="J583" t="s">
        <v>113</v>
      </c>
      <c r="K583" t="s">
        <v>114</v>
      </c>
      <c r="L583" t="str">
        <f t="shared" si="18"/>
        <v>Richard Yale</v>
      </c>
      <c r="M583" t="s">
        <v>1135</v>
      </c>
      <c r="N583" t="s">
        <v>57</v>
      </c>
      <c r="O583" s="1">
        <v>46019</v>
      </c>
      <c r="P583" s="1">
        <v>46231</v>
      </c>
      <c r="Q583" s="2">
        <v>78.430000000000007</v>
      </c>
      <c r="R583" t="s">
        <v>58</v>
      </c>
      <c r="S583" s="3">
        <v>0.75</v>
      </c>
      <c r="T583">
        <v>0</v>
      </c>
      <c r="U583" t="s">
        <v>60</v>
      </c>
      <c r="V583" t="s">
        <v>248</v>
      </c>
      <c r="W583">
        <v>0</v>
      </c>
      <c r="X583" s="2">
        <v>0</v>
      </c>
      <c r="Y583" s="2">
        <v>58.82</v>
      </c>
      <c r="Z583" s="2">
        <v>58.82</v>
      </c>
      <c r="AA583" s="2">
        <v>58.82</v>
      </c>
      <c r="AB583" s="2">
        <v>0</v>
      </c>
    </row>
    <row r="584" spans="1:28" x14ac:dyDescent="0.25">
      <c r="A584">
        <v>2033417870</v>
      </c>
      <c r="B584" t="s">
        <v>555</v>
      </c>
      <c r="C584" t="s">
        <v>491</v>
      </c>
      <c r="D584" t="str">
        <f t="shared" si="19"/>
        <v>FRANK DOHERTY</v>
      </c>
      <c r="E584" t="s">
        <v>89</v>
      </c>
      <c r="F584" t="s">
        <v>69</v>
      </c>
      <c r="G584" t="s">
        <v>70</v>
      </c>
      <c r="H584" t="s">
        <v>1079</v>
      </c>
      <c r="I584" s="8" t="s">
        <v>1074</v>
      </c>
      <c r="J584" t="s">
        <v>113</v>
      </c>
      <c r="K584" t="s">
        <v>114</v>
      </c>
      <c r="L584" t="str">
        <f t="shared" si="18"/>
        <v>Richard Yale</v>
      </c>
      <c r="M584" t="s">
        <v>1134</v>
      </c>
      <c r="N584" t="s">
        <v>57</v>
      </c>
      <c r="O584" s="1">
        <v>46055</v>
      </c>
      <c r="P584" s="1">
        <v>46236</v>
      </c>
      <c r="Q584" s="2">
        <v>13.69</v>
      </c>
      <c r="R584" t="s">
        <v>58</v>
      </c>
      <c r="S584" s="3">
        <v>0.75</v>
      </c>
      <c r="T584">
        <v>0</v>
      </c>
      <c r="U584" t="s">
        <v>60</v>
      </c>
      <c r="V584" t="s">
        <v>248</v>
      </c>
      <c r="W584">
        <v>0</v>
      </c>
      <c r="X584" s="2">
        <v>0</v>
      </c>
      <c r="Y584" s="2">
        <v>10.27</v>
      </c>
      <c r="Z584" s="2">
        <v>0</v>
      </c>
      <c r="AA584" s="2">
        <v>0</v>
      </c>
      <c r="AB584" s="2">
        <v>0</v>
      </c>
    </row>
    <row r="585" spans="1:28" x14ac:dyDescent="0.25">
      <c r="A585">
        <v>2033330926</v>
      </c>
      <c r="B585" t="s">
        <v>522</v>
      </c>
      <c r="C585" t="s">
        <v>138</v>
      </c>
      <c r="D585" t="str">
        <f t="shared" si="19"/>
        <v>ALEXIS WAUL</v>
      </c>
      <c r="E585" t="s">
        <v>89</v>
      </c>
      <c r="F585" t="s">
        <v>69</v>
      </c>
      <c r="G585" t="s">
        <v>70</v>
      </c>
      <c r="H585" t="s">
        <v>1079</v>
      </c>
      <c r="I585" s="8" t="s">
        <v>1074</v>
      </c>
      <c r="J585" t="s">
        <v>113</v>
      </c>
      <c r="K585" t="s">
        <v>114</v>
      </c>
      <c r="L585" t="str">
        <f t="shared" si="18"/>
        <v>Richard Yale</v>
      </c>
      <c r="M585" t="s">
        <v>1134</v>
      </c>
      <c r="N585" t="s">
        <v>57</v>
      </c>
      <c r="O585" s="1">
        <v>46054</v>
      </c>
      <c r="P585" s="1">
        <v>46235</v>
      </c>
      <c r="Q585" s="2">
        <v>14.41</v>
      </c>
      <c r="R585" t="s">
        <v>58</v>
      </c>
      <c r="S585" s="3">
        <v>0.75</v>
      </c>
      <c r="T585">
        <v>0</v>
      </c>
      <c r="U585" t="s">
        <v>60</v>
      </c>
      <c r="V585" t="s">
        <v>248</v>
      </c>
      <c r="W585">
        <v>0</v>
      </c>
      <c r="X585" s="2">
        <v>0</v>
      </c>
      <c r="Y585" s="2">
        <v>10.81</v>
      </c>
      <c r="Z585" s="2">
        <v>0</v>
      </c>
      <c r="AA585" s="2">
        <v>0</v>
      </c>
      <c r="AB585" s="2">
        <v>0</v>
      </c>
    </row>
    <row r="586" spans="1:28" x14ac:dyDescent="0.25">
      <c r="A586">
        <v>2033422851</v>
      </c>
      <c r="B586" t="s">
        <v>556</v>
      </c>
      <c r="C586" t="s">
        <v>557</v>
      </c>
      <c r="D586" t="str">
        <f t="shared" si="19"/>
        <v>DANIELA SELAGEA</v>
      </c>
      <c r="E586" t="s">
        <v>89</v>
      </c>
      <c r="F586" t="s">
        <v>69</v>
      </c>
      <c r="G586" t="s">
        <v>70</v>
      </c>
      <c r="H586" t="s">
        <v>1079</v>
      </c>
      <c r="I586" s="8" t="s">
        <v>1074</v>
      </c>
      <c r="J586" t="s">
        <v>113</v>
      </c>
      <c r="K586" t="s">
        <v>114</v>
      </c>
      <c r="L586" t="str">
        <f t="shared" si="18"/>
        <v>Richard Yale</v>
      </c>
      <c r="M586" t="s">
        <v>1134</v>
      </c>
      <c r="N586" t="s">
        <v>57</v>
      </c>
      <c r="O586" s="1">
        <v>46055</v>
      </c>
      <c r="P586" s="1">
        <v>46236</v>
      </c>
      <c r="Q586" s="2">
        <v>49.35</v>
      </c>
      <c r="R586" t="s">
        <v>58</v>
      </c>
      <c r="S586" s="3">
        <v>0.75</v>
      </c>
      <c r="T586">
        <v>0</v>
      </c>
      <c r="U586" t="s">
        <v>60</v>
      </c>
      <c r="V586" t="s">
        <v>248</v>
      </c>
      <c r="W586">
        <v>0</v>
      </c>
      <c r="X586" s="2">
        <v>0</v>
      </c>
      <c r="Y586" s="2">
        <v>37.01</v>
      </c>
      <c r="Z586" s="2">
        <v>0</v>
      </c>
      <c r="AA586" s="2">
        <v>0</v>
      </c>
      <c r="AB586" s="2">
        <v>0</v>
      </c>
    </row>
    <row r="587" spans="1:28" x14ac:dyDescent="0.25">
      <c r="A587">
        <v>2033351936</v>
      </c>
      <c r="B587" t="s">
        <v>528</v>
      </c>
      <c r="C587" t="s">
        <v>529</v>
      </c>
      <c r="D587" t="str">
        <f t="shared" si="19"/>
        <v>NICOLE MOURILLON</v>
      </c>
      <c r="E587" t="s">
        <v>89</v>
      </c>
      <c r="F587" t="s">
        <v>69</v>
      </c>
      <c r="G587" t="s">
        <v>70</v>
      </c>
      <c r="H587" t="s">
        <v>1079</v>
      </c>
      <c r="I587" s="8" t="s">
        <v>1074</v>
      </c>
      <c r="J587" t="s">
        <v>113</v>
      </c>
      <c r="K587" t="s">
        <v>114</v>
      </c>
      <c r="L587" t="str">
        <f t="shared" si="18"/>
        <v>Richard Yale</v>
      </c>
      <c r="M587" t="s">
        <v>1134</v>
      </c>
      <c r="N587" t="s">
        <v>57</v>
      </c>
      <c r="O587" s="1">
        <v>46054</v>
      </c>
      <c r="P587" s="1">
        <v>46235</v>
      </c>
      <c r="Q587" s="2">
        <v>50.77</v>
      </c>
      <c r="R587" t="s">
        <v>58</v>
      </c>
      <c r="S587" s="3">
        <v>0.75</v>
      </c>
      <c r="T587">
        <v>0</v>
      </c>
      <c r="U587" t="s">
        <v>60</v>
      </c>
      <c r="V587" t="s">
        <v>248</v>
      </c>
      <c r="W587">
        <v>0</v>
      </c>
      <c r="X587" s="2">
        <v>0</v>
      </c>
      <c r="Y587" s="2">
        <v>38.08</v>
      </c>
      <c r="Z587" s="2">
        <v>0</v>
      </c>
      <c r="AA587" s="2">
        <v>0</v>
      </c>
      <c r="AB587" s="2">
        <v>0</v>
      </c>
    </row>
    <row r="588" spans="1:28" x14ac:dyDescent="0.25">
      <c r="A588">
        <v>2035678387</v>
      </c>
      <c r="B588" t="s">
        <v>576</v>
      </c>
      <c r="C588" t="s">
        <v>577</v>
      </c>
      <c r="D588" t="str">
        <f t="shared" si="19"/>
        <v>MASON JUDSON</v>
      </c>
      <c r="E588" t="s">
        <v>425</v>
      </c>
      <c r="F588" t="s">
        <v>69</v>
      </c>
      <c r="G588" t="s">
        <v>79</v>
      </c>
      <c r="H588" t="s">
        <v>1080</v>
      </c>
      <c r="I588" s="8" t="s">
        <v>1074</v>
      </c>
      <c r="J588" t="s">
        <v>113</v>
      </c>
      <c r="K588" t="s">
        <v>114</v>
      </c>
      <c r="L588" t="str">
        <f t="shared" si="18"/>
        <v>Richard Yale</v>
      </c>
      <c r="M588" t="s">
        <v>1134</v>
      </c>
      <c r="N588" t="s">
        <v>57</v>
      </c>
      <c r="O588" s="1">
        <v>46171</v>
      </c>
      <c r="P588" s="1">
        <v>46232</v>
      </c>
      <c r="Q588" s="2">
        <v>30.05</v>
      </c>
      <c r="R588" t="s">
        <v>58</v>
      </c>
      <c r="S588" s="3">
        <v>0.9</v>
      </c>
      <c r="T588">
        <v>0</v>
      </c>
      <c r="U588" t="s">
        <v>60</v>
      </c>
      <c r="V588" t="s">
        <v>248</v>
      </c>
      <c r="W588">
        <v>0</v>
      </c>
      <c r="X588" s="2">
        <v>0</v>
      </c>
      <c r="Y588" s="2">
        <v>27.04</v>
      </c>
      <c r="Z588" s="2">
        <v>0</v>
      </c>
      <c r="AA588" s="2">
        <v>0</v>
      </c>
      <c r="AB588" s="2">
        <v>0</v>
      </c>
    </row>
    <row r="589" spans="1:28" x14ac:dyDescent="0.25">
      <c r="A589">
        <v>2032622444</v>
      </c>
      <c r="B589" t="s">
        <v>405</v>
      </c>
      <c r="C589" t="s">
        <v>406</v>
      </c>
      <c r="D589" t="str">
        <f t="shared" si="19"/>
        <v>ZIVA SHABTAI</v>
      </c>
      <c r="E589" t="s">
        <v>89</v>
      </c>
      <c r="F589" t="s">
        <v>149</v>
      </c>
      <c r="G589" t="s">
        <v>150</v>
      </c>
      <c r="H589" t="s">
        <v>150</v>
      </c>
      <c r="I589" s="8" t="s">
        <v>1074</v>
      </c>
      <c r="J589" t="s">
        <v>113</v>
      </c>
      <c r="K589" t="s">
        <v>114</v>
      </c>
      <c r="L589" t="str">
        <f t="shared" si="18"/>
        <v>Richard Yale</v>
      </c>
      <c r="M589" t="s">
        <v>1135</v>
      </c>
      <c r="N589" t="s">
        <v>57</v>
      </c>
      <c r="O589" s="1">
        <v>46019</v>
      </c>
      <c r="P589" s="1">
        <v>46231</v>
      </c>
      <c r="Q589" s="2">
        <v>15</v>
      </c>
      <c r="R589" t="s">
        <v>58</v>
      </c>
      <c r="S589" s="3">
        <v>0.38</v>
      </c>
      <c r="T589">
        <v>0</v>
      </c>
      <c r="U589" t="s">
        <v>60</v>
      </c>
      <c r="V589" t="s">
        <v>248</v>
      </c>
      <c r="W589">
        <v>0</v>
      </c>
      <c r="X589" s="2">
        <v>0</v>
      </c>
      <c r="Y589" s="2">
        <v>5.7</v>
      </c>
      <c r="Z589" s="2">
        <v>5.7</v>
      </c>
      <c r="AA589" s="2">
        <v>5.7</v>
      </c>
      <c r="AB589" s="2">
        <v>0</v>
      </c>
    </row>
    <row r="590" spans="1:28" x14ac:dyDescent="0.25">
      <c r="A590">
        <v>2026756190</v>
      </c>
      <c r="B590" t="s">
        <v>1021</v>
      </c>
      <c r="C590" t="s">
        <v>209</v>
      </c>
      <c r="D590" t="str">
        <f t="shared" si="19"/>
        <v>JOHN QIGLEY</v>
      </c>
      <c r="E590" t="s">
        <v>397</v>
      </c>
      <c r="F590" t="s">
        <v>194</v>
      </c>
      <c r="G590" t="s">
        <v>195</v>
      </c>
      <c r="H590" t="s">
        <v>195</v>
      </c>
      <c r="I590" s="8">
        <v>16633294</v>
      </c>
      <c r="J590" t="s">
        <v>113</v>
      </c>
      <c r="K590" t="s">
        <v>114</v>
      </c>
      <c r="L590" t="str">
        <f t="shared" si="18"/>
        <v>Richard Yale</v>
      </c>
      <c r="M590" t="s">
        <v>1133</v>
      </c>
      <c r="N590" t="s">
        <v>57</v>
      </c>
      <c r="O590" s="1">
        <v>45689</v>
      </c>
      <c r="P590" s="1">
        <v>46235</v>
      </c>
      <c r="Q590" s="2">
        <v>67.17</v>
      </c>
      <c r="R590" t="s">
        <v>58</v>
      </c>
      <c r="S590" s="3">
        <v>0.15</v>
      </c>
      <c r="T590">
        <v>0</v>
      </c>
      <c r="U590" t="s">
        <v>247</v>
      </c>
      <c r="V590" t="s">
        <v>248</v>
      </c>
      <c r="W590">
        <v>0</v>
      </c>
      <c r="X590" s="2">
        <v>0</v>
      </c>
      <c r="Y590" s="2">
        <v>10.08</v>
      </c>
      <c r="Z590" s="2">
        <v>10.08</v>
      </c>
      <c r="AA590" s="2">
        <v>10.08</v>
      </c>
      <c r="AB590" s="2">
        <v>0</v>
      </c>
    </row>
    <row r="591" spans="1:28" x14ac:dyDescent="0.25">
      <c r="A591">
        <v>2026857362</v>
      </c>
      <c r="B591" t="s">
        <v>1024</v>
      </c>
      <c r="C591" t="s">
        <v>451</v>
      </c>
      <c r="D591" t="str">
        <f t="shared" si="19"/>
        <v>TAMARA MORRELL</v>
      </c>
      <c r="E591" t="s">
        <v>89</v>
      </c>
      <c r="F591" t="s">
        <v>194</v>
      </c>
      <c r="G591" t="s">
        <v>195</v>
      </c>
      <c r="H591" t="s">
        <v>195</v>
      </c>
      <c r="I591" s="8">
        <v>16633294</v>
      </c>
      <c r="J591" t="s">
        <v>113</v>
      </c>
      <c r="K591" t="s">
        <v>114</v>
      </c>
      <c r="L591" t="str">
        <f t="shared" si="18"/>
        <v>Richard Yale</v>
      </c>
      <c r="M591" t="s">
        <v>1133</v>
      </c>
      <c r="N591" t="s">
        <v>57</v>
      </c>
      <c r="O591" s="1">
        <v>45689</v>
      </c>
      <c r="P591" s="1">
        <v>46235</v>
      </c>
      <c r="Q591" s="2">
        <v>148.32</v>
      </c>
      <c r="R591" t="s">
        <v>58</v>
      </c>
      <c r="S591" s="3">
        <v>0.15</v>
      </c>
      <c r="T591">
        <v>0</v>
      </c>
      <c r="U591" t="s">
        <v>247</v>
      </c>
      <c r="V591" t="s">
        <v>248</v>
      </c>
      <c r="W591">
        <v>0</v>
      </c>
      <c r="X591" s="2">
        <v>0</v>
      </c>
      <c r="Y591" s="2">
        <v>22.25</v>
      </c>
      <c r="Z591" s="2">
        <v>22.25</v>
      </c>
      <c r="AA591" s="2">
        <v>22.25</v>
      </c>
      <c r="AB591" s="2">
        <v>0</v>
      </c>
    </row>
    <row r="592" spans="1:28" x14ac:dyDescent="0.25">
      <c r="A592">
        <v>2028654838</v>
      </c>
      <c r="B592" t="s">
        <v>931</v>
      </c>
      <c r="C592" t="s">
        <v>932</v>
      </c>
      <c r="D592" t="str">
        <f t="shared" si="19"/>
        <v>SHAUN TARPLEY</v>
      </c>
      <c r="E592" t="s">
        <v>100</v>
      </c>
      <c r="F592" t="s">
        <v>194</v>
      </c>
      <c r="G592" t="s">
        <v>195</v>
      </c>
      <c r="H592" t="s">
        <v>195</v>
      </c>
      <c r="I592" s="8">
        <v>16633294</v>
      </c>
      <c r="J592" t="s">
        <v>113</v>
      </c>
      <c r="K592" t="s">
        <v>114</v>
      </c>
      <c r="L592" t="str">
        <f t="shared" si="18"/>
        <v>Richard Yale</v>
      </c>
      <c r="M592" t="s">
        <v>1133</v>
      </c>
      <c r="N592" t="s">
        <v>57</v>
      </c>
      <c r="O592" s="1">
        <v>45776</v>
      </c>
      <c r="P592" s="1">
        <v>46232</v>
      </c>
      <c r="Q592" s="2">
        <v>66.72</v>
      </c>
      <c r="R592" t="s">
        <v>58</v>
      </c>
      <c r="S592" s="3">
        <v>0.15</v>
      </c>
      <c r="T592">
        <v>0</v>
      </c>
      <c r="U592" t="s">
        <v>247</v>
      </c>
      <c r="V592" t="s">
        <v>248</v>
      </c>
      <c r="W592">
        <v>0</v>
      </c>
      <c r="X592" s="2">
        <v>0</v>
      </c>
      <c r="Y592" s="2">
        <v>10.01</v>
      </c>
      <c r="Z592" s="2">
        <v>10.01</v>
      </c>
      <c r="AA592" s="2">
        <v>10.01</v>
      </c>
      <c r="AB592" s="2">
        <v>0</v>
      </c>
    </row>
    <row r="593" spans="1:28" x14ac:dyDescent="0.25">
      <c r="A593">
        <v>2032622442</v>
      </c>
      <c r="B593" t="s">
        <v>405</v>
      </c>
      <c r="C593" t="s">
        <v>406</v>
      </c>
      <c r="D593" t="str">
        <f t="shared" si="19"/>
        <v>ZIVA SHABTAI</v>
      </c>
      <c r="E593" t="s">
        <v>89</v>
      </c>
      <c r="F593" t="s">
        <v>194</v>
      </c>
      <c r="G593" t="s">
        <v>195</v>
      </c>
      <c r="H593" t="s">
        <v>195</v>
      </c>
      <c r="I593" s="8" t="s">
        <v>1074</v>
      </c>
      <c r="J593" t="s">
        <v>113</v>
      </c>
      <c r="K593" t="s">
        <v>114</v>
      </c>
      <c r="L593" t="str">
        <f t="shared" si="18"/>
        <v>Richard Yale</v>
      </c>
      <c r="M593" t="s">
        <v>1135</v>
      </c>
      <c r="N593" t="s">
        <v>57</v>
      </c>
      <c r="O593" s="1">
        <v>46019</v>
      </c>
      <c r="P593" s="1">
        <v>46231</v>
      </c>
      <c r="Q593" s="2">
        <v>212.26</v>
      </c>
      <c r="R593" t="s">
        <v>58</v>
      </c>
      <c r="S593" s="3">
        <v>0.7</v>
      </c>
      <c r="T593">
        <v>0</v>
      </c>
      <c r="U593" t="s">
        <v>60</v>
      </c>
      <c r="V593" t="s">
        <v>248</v>
      </c>
      <c r="W593">
        <v>0</v>
      </c>
      <c r="X593" s="2">
        <v>0</v>
      </c>
      <c r="Y593" s="2">
        <v>148.58000000000001</v>
      </c>
      <c r="Z593" s="2">
        <v>148.58000000000001</v>
      </c>
      <c r="AA593" s="2">
        <v>148.58000000000001</v>
      </c>
      <c r="AB593" s="2">
        <v>0</v>
      </c>
    </row>
    <row r="594" spans="1:28" x14ac:dyDescent="0.25">
      <c r="A594">
        <v>2033330925</v>
      </c>
      <c r="B594" t="s">
        <v>522</v>
      </c>
      <c r="C594" t="s">
        <v>138</v>
      </c>
      <c r="D594" t="str">
        <f t="shared" si="19"/>
        <v>ALEXIS WAUL</v>
      </c>
      <c r="E594" t="s">
        <v>89</v>
      </c>
      <c r="F594" t="s">
        <v>194</v>
      </c>
      <c r="G594" t="s">
        <v>195</v>
      </c>
      <c r="H594" t="s">
        <v>195</v>
      </c>
      <c r="I594" s="8" t="s">
        <v>1074</v>
      </c>
      <c r="J594" t="s">
        <v>113</v>
      </c>
      <c r="K594" t="s">
        <v>114</v>
      </c>
      <c r="L594" t="str">
        <f t="shared" si="18"/>
        <v>Richard Yale</v>
      </c>
      <c r="M594" t="s">
        <v>1134</v>
      </c>
      <c r="N594" t="s">
        <v>57</v>
      </c>
      <c r="O594" s="1">
        <v>46054</v>
      </c>
      <c r="P594" s="1">
        <v>46235</v>
      </c>
      <c r="Q594" s="2">
        <v>49.8</v>
      </c>
      <c r="R594" t="s">
        <v>58</v>
      </c>
      <c r="S594" s="3">
        <v>0.7</v>
      </c>
      <c r="T594">
        <v>0</v>
      </c>
      <c r="U594" t="s">
        <v>60</v>
      </c>
      <c r="V594" t="s">
        <v>248</v>
      </c>
      <c r="W594">
        <v>0</v>
      </c>
      <c r="X594" s="2">
        <v>0</v>
      </c>
      <c r="Y594" s="2">
        <v>34.86</v>
      </c>
      <c r="Z594" s="2">
        <v>0</v>
      </c>
      <c r="AA594" s="2">
        <v>0</v>
      </c>
      <c r="AB594" s="2">
        <v>0</v>
      </c>
    </row>
    <row r="595" spans="1:28" x14ac:dyDescent="0.25">
      <c r="A595">
        <v>2033417869</v>
      </c>
      <c r="B595" t="s">
        <v>555</v>
      </c>
      <c r="C595" t="s">
        <v>491</v>
      </c>
      <c r="D595" t="str">
        <f t="shared" si="19"/>
        <v>FRANK DOHERTY</v>
      </c>
      <c r="E595" t="s">
        <v>89</v>
      </c>
      <c r="F595" t="s">
        <v>194</v>
      </c>
      <c r="G595" t="s">
        <v>195</v>
      </c>
      <c r="H595" t="s">
        <v>195</v>
      </c>
      <c r="I595" s="8" t="s">
        <v>1074</v>
      </c>
      <c r="J595" t="s">
        <v>113</v>
      </c>
      <c r="K595" t="s">
        <v>114</v>
      </c>
      <c r="L595" t="str">
        <f t="shared" si="18"/>
        <v>Richard Yale</v>
      </c>
      <c r="M595" t="s">
        <v>1134</v>
      </c>
      <c r="N595" t="s">
        <v>57</v>
      </c>
      <c r="O595" s="1">
        <v>46055</v>
      </c>
      <c r="P595" s="1">
        <v>46236</v>
      </c>
      <c r="Q595" s="2">
        <v>49.8</v>
      </c>
      <c r="R595" t="s">
        <v>58</v>
      </c>
      <c r="S595" s="3">
        <v>0.7</v>
      </c>
      <c r="T595">
        <v>0</v>
      </c>
      <c r="U595" t="s">
        <v>60</v>
      </c>
      <c r="V595" t="s">
        <v>248</v>
      </c>
      <c r="W595">
        <v>0</v>
      </c>
      <c r="X595" s="2">
        <v>0</v>
      </c>
      <c r="Y595" s="2">
        <v>34.86</v>
      </c>
      <c r="Z595" s="2">
        <v>0</v>
      </c>
      <c r="AA595" s="2">
        <v>0</v>
      </c>
      <c r="AB595" s="2">
        <v>0</v>
      </c>
    </row>
    <row r="596" spans="1:28" x14ac:dyDescent="0.25">
      <c r="A596">
        <v>2033047070</v>
      </c>
      <c r="B596" t="s">
        <v>1068</v>
      </c>
      <c r="C596" t="s">
        <v>1069</v>
      </c>
      <c r="D596" t="str">
        <f t="shared" si="19"/>
        <v>EMALEE CONRAD</v>
      </c>
      <c r="E596" t="s">
        <v>89</v>
      </c>
      <c r="F596" t="s">
        <v>194</v>
      </c>
      <c r="G596" t="s">
        <v>195</v>
      </c>
      <c r="H596" t="s">
        <v>195</v>
      </c>
      <c r="I596" s="8" t="s">
        <v>1074</v>
      </c>
      <c r="J596" t="s">
        <v>113</v>
      </c>
      <c r="K596" t="s">
        <v>114</v>
      </c>
      <c r="L596" t="str">
        <f t="shared" si="18"/>
        <v>Richard Yale</v>
      </c>
      <c r="M596" t="s">
        <v>1134</v>
      </c>
      <c r="N596" t="s">
        <v>57</v>
      </c>
      <c r="O596" s="1">
        <v>46054</v>
      </c>
      <c r="P596" s="1">
        <v>46235</v>
      </c>
      <c r="Q596" s="2">
        <v>49.8</v>
      </c>
      <c r="R596" t="s">
        <v>58</v>
      </c>
      <c r="S596" s="3">
        <v>0.7</v>
      </c>
      <c r="T596">
        <v>0</v>
      </c>
      <c r="U596" t="s">
        <v>60</v>
      </c>
      <c r="V596" t="s">
        <v>248</v>
      </c>
      <c r="W596">
        <v>0</v>
      </c>
      <c r="X596" s="2">
        <v>0</v>
      </c>
      <c r="Y596" s="2">
        <v>34.86</v>
      </c>
      <c r="Z596" s="2">
        <v>0</v>
      </c>
      <c r="AA596" s="2">
        <v>0</v>
      </c>
      <c r="AB596" s="2">
        <v>0</v>
      </c>
    </row>
    <row r="597" spans="1:28" x14ac:dyDescent="0.25">
      <c r="A597">
        <v>2035678386</v>
      </c>
      <c r="B597" t="s">
        <v>576</v>
      </c>
      <c r="C597" t="s">
        <v>577</v>
      </c>
      <c r="D597" t="str">
        <f t="shared" si="19"/>
        <v>MASON JUDSON</v>
      </c>
      <c r="E597" t="s">
        <v>425</v>
      </c>
      <c r="F597" t="s">
        <v>194</v>
      </c>
      <c r="G597" t="s">
        <v>195</v>
      </c>
      <c r="H597" t="s">
        <v>195</v>
      </c>
      <c r="I597" s="8" t="s">
        <v>1074</v>
      </c>
      <c r="J597" t="s">
        <v>113</v>
      </c>
      <c r="K597" t="s">
        <v>114</v>
      </c>
      <c r="L597" t="str">
        <f t="shared" si="18"/>
        <v>Richard Yale</v>
      </c>
      <c r="M597" t="s">
        <v>1134</v>
      </c>
      <c r="N597" t="s">
        <v>57</v>
      </c>
      <c r="O597" s="1">
        <v>46171</v>
      </c>
      <c r="P597" s="1">
        <v>46232</v>
      </c>
      <c r="Q597" s="2">
        <v>73.56</v>
      </c>
      <c r="R597" t="s">
        <v>58</v>
      </c>
      <c r="S597" s="3">
        <v>0.7</v>
      </c>
      <c r="T597">
        <v>0</v>
      </c>
      <c r="U597" t="s">
        <v>60</v>
      </c>
      <c r="V597" t="s">
        <v>248</v>
      </c>
      <c r="W597">
        <v>0</v>
      </c>
      <c r="X597" s="2">
        <v>0</v>
      </c>
      <c r="Y597" s="2">
        <v>51.49</v>
      </c>
      <c r="Z597" s="2">
        <v>0</v>
      </c>
      <c r="AA597" s="2">
        <v>0</v>
      </c>
      <c r="AB597" s="2">
        <v>0</v>
      </c>
    </row>
    <row r="598" spans="1:28" x14ac:dyDescent="0.25">
      <c r="A598">
        <v>2033351937</v>
      </c>
      <c r="B598" t="s">
        <v>528</v>
      </c>
      <c r="C598" t="s">
        <v>529</v>
      </c>
      <c r="D598" t="str">
        <f t="shared" si="19"/>
        <v>NICOLE MOURILLON</v>
      </c>
      <c r="E598" t="s">
        <v>89</v>
      </c>
      <c r="F598" t="s">
        <v>194</v>
      </c>
      <c r="G598" t="s">
        <v>195</v>
      </c>
      <c r="H598" t="s">
        <v>195</v>
      </c>
      <c r="I598" s="8" t="s">
        <v>1074</v>
      </c>
      <c r="J598" t="s">
        <v>113</v>
      </c>
      <c r="K598" t="s">
        <v>114</v>
      </c>
      <c r="L598" t="str">
        <f t="shared" si="18"/>
        <v>Richard Yale</v>
      </c>
      <c r="M598" t="s">
        <v>1134</v>
      </c>
      <c r="N598" t="s">
        <v>57</v>
      </c>
      <c r="O598" s="1">
        <v>46054</v>
      </c>
      <c r="P598" s="1">
        <v>46235</v>
      </c>
      <c r="Q598" s="2">
        <v>96</v>
      </c>
      <c r="R598" t="s">
        <v>58</v>
      </c>
      <c r="S598" s="3">
        <v>0.7</v>
      </c>
      <c r="T598">
        <v>0</v>
      </c>
      <c r="U598" t="s">
        <v>60</v>
      </c>
      <c r="V598" t="s">
        <v>248</v>
      </c>
      <c r="W598">
        <v>0</v>
      </c>
      <c r="X598" s="2">
        <v>0</v>
      </c>
      <c r="Y598" s="2">
        <v>67.2</v>
      </c>
      <c r="Z598" s="2">
        <v>0</v>
      </c>
      <c r="AA598" s="2">
        <v>0</v>
      </c>
      <c r="AB598" s="2">
        <v>0</v>
      </c>
    </row>
    <row r="599" spans="1:28" x14ac:dyDescent="0.25">
      <c r="A599">
        <v>2033422850</v>
      </c>
      <c r="B599" t="s">
        <v>556</v>
      </c>
      <c r="C599" t="s">
        <v>557</v>
      </c>
      <c r="D599" t="str">
        <f t="shared" si="19"/>
        <v>DANIELA SELAGEA</v>
      </c>
      <c r="E599" t="s">
        <v>89</v>
      </c>
      <c r="F599" t="s">
        <v>194</v>
      </c>
      <c r="G599" t="s">
        <v>195</v>
      </c>
      <c r="H599" t="s">
        <v>195</v>
      </c>
      <c r="I599" s="8" t="s">
        <v>1074</v>
      </c>
      <c r="J599" t="s">
        <v>113</v>
      </c>
      <c r="K599" t="s">
        <v>114</v>
      </c>
      <c r="L599" t="str">
        <f t="shared" si="18"/>
        <v>Richard Yale</v>
      </c>
      <c r="M599" t="s">
        <v>1134</v>
      </c>
      <c r="N599" t="s">
        <v>57</v>
      </c>
      <c r="O599" s="1">
        <v>46055</v>
      </c>
      <c r="P599" s="1">
        <v>46236</v>
      </c>
      <c r="Q599" s="2">
        <v>101.28</v>
      </c>
      <c r="R599" t="s">
        <v>58</v>
      </c>
      <c r="S599" s="3">
        <v>0.7</v>
      </c>
      <c r="T599">
        <v>0</v>
      </c>
      <c r="U599" t="s">
        <v>60</v>
      </c>
      <c r="V599" t="s">
        <v>248</v>
      </c>
      <c r="W599">
        <v>0</v>
      </c>
      <c r="X599" s="2">
        <v>0</v>
      </c>
      <c r="Y599" s="2">
        <v>70.900000000000006</v>
      </c>
      <c r="Z599" s="2">
        <v>0</v>
      </c>
      <c r="AA599" s="2">
        <v>0</v>
      </c>
      <c r="AB599" s="2">
        <v>0</v>
      </c>
    </row>
    <row r="600" spans="1:28" x14ac:dyDescent="0.25">
      <c r="A600">
        <v>2028654837</v>
      </c>
      <c r="B600" t="s">
        <v>931</v>
      </c>
      <c r="C600" t="s">
        <v>932</v>
      </c>
      <c r="D600" t="str">
        <f t="shared" si="19"/>
        <v>SHAUN TARPLEY</v>
      </c>
      <c r="E600" t="s">
        <v>100</v>
      </c>
      <c r="F600" t="s">
        <v>133</v>
      </c>
      <c r="G600" t="s">
        <v>134</v>
      </c>
      <c r="H600" t="s">
        <v>134</v>
      </c>
      <c r="I600" s="8">
        <v>16633294</v>
      </c>
      <c r="J600" t="s">
        <v>113</v>
      </c>
      <c r="K600" t="s">
        <v>114</v>
      </c>
      <c r="L600" t="str">
        <f t="shared" si="18"/>
        <v>Richard Yale</v>
      </c>
      <c r="M600" t="s">
        <v>1133</v>
      </c>
      <c r="N600" t="s">
        <v>57</v>
      </c>
      <c r="O600" s="1">
        <v>45776</v>
      </c>
      <c r="P600" s="1">
        <v>46232</v>
      </c>
      <c r="Q600" s="2">
        <v>102.62</v>
      </c>
      <c r="R600" t="s">
        <v>58</v>
      </c>
      <c r="S600" s="3">
        <v>0.06</v>
      </c>
      <c r="T600">
        <v>0</v>
      </c>
      <c r="U600" t="s">
        <v>247</v>
      </c>
      <c r="V600" t="s">
        <v>248</v>
      </c>
      <c r="W600">
        <v>0</v>
      </c>
      <c r="X600" s="2">
        <v>0</v>
      </c>
      <c r="Y600" s="2">
        <v>6.16</v>
      </c>
      <c r="Z600" s="2">
        <v>6.16</v>
      </c>
      <c r="AA600" s="2">
        <v>6.16</v>
      </c>
      <c r="AB600" s="2">
        <v>0</v>
      </c>
    </row>
    <row r="601" spans="1:28" x14ac:dyDescent="0.25">
      <c r="A601">
        <v>2033417871</v>
      </c>
      <c r="B601" t="s">
        <v>555</v>
      </c>
      <c r="C601" t="s">
        <v>491</v>
      </c>
      <c r="D601" t="str">
        <f t="shared" si="19"/>
        <v>FRANK DOHERTY</v>
      </c>
      <c r="E601" t="s">
        <v>89</v>
      </c>
      <c r="F601" t="s">
        <v>133</v>
      </c>
      <c r="G601" t="s">
        <v>134</v>
      </c>
      <c r="H601" t="s">
        <v>134</v>
      </c>
      <c r="I601" s="8" t="s">
        <v>1074</v>
      </c>
      <c r="J601" t="s">
        <v>113</v>
      </c>
      <c r="K601" t="s">
        <v>114</v>
      </c>
      <c r="L601" t="str">
        <f t="shared" si="18"/>
        <v>Richard Yale</v>
      </c>
      <c r="M601" t="s">
        <v>1134</v>
      </c>
      <c r="N601" t="s">
        <v>57</v>
      </c>
      <c r="O601" s="1">
        <v>46055</v>
      </c>
      <c r="P601" s="1">
        <v>46236</v>
      </c>
      <c r="Q601" s="2">
        <v>78.760000000000005</v>
      </c>
      <c r="R601" t="s">
        <v>58</v>
      </c>
      <c r="S601" s="4">
        <v>0.375</v>
      </c>
      <c r="T601">
        <v>0</v>
      </c>
      <c r="U601" t="s">
        <v>60</v>
      </c>
      <c r="V601" t="s">
        <v>248</v>
      </c>
      <c r="W601">
        <v>0</v>
      </c>
      <c r="X601" s="2">
        <v>0</v>
      </c>
      <c r="Y601" s="2">
        <v>29.54</v>
      </c>
      <c r="Z601" s="2">
        <v>0</v>
      </c>
      <c r="AA601" s="2">
        <v>0</v>
      </c>
      <c r="AB601" s="2">
        <v>0</v>
      </c>
    </row>
    <row r="602" spans="1:28" x14ac:dyDescent="0.25">
      <c r="A602">
        <v>2033422852</v>
      </c>
      <c r="B602" t="s">
        <v>556</v>
      </c>
      <c r="C602" t="s">
        <v>557</v>
      </c>
      <c r="D602" t="str">
        <f t="shared" si="19"/>
        <v>DANIELA SELAGEA</v>
      </c>
      <c r="E602" t="s">
        <v>89</v>
      </c>
      <c r="F602" t="s">
        <v>133</v>
      </c>
      <c r="G602" t="s">
        <v>134</v>
      </c>
      <c r="H602" t="s">
        <v>134</v>
      </c>
      <c r="I602" s="8" t="s">
        <v>1074</v>
      </c>
      <c r="J602" t="s">
        <v>113</v>
      </c>
      <c r="K602" t="s">
        <v>114</v>
      </c>
      <c r="L602" t="str">
        <f t="shared" si="18"/>
        <v>Richard Yale</v>
      </c>
      <c r="M602" t="s">
        <v>1134</v>
      </c>
      <c r="N602" t="s">
        <v>57</v>
      </c>
      <c r="O602" s="1">
        <v>46055</v>
      </c>
      <c r="P602" s="1">
        <v>46236</v>
      </c>
      <c r="Q602" s="2">
        <v>78.760000000000005</v>
      </c>
      <c r="R602" t="s">
        <v>58</v>
      </c>
      <c r="S602" s="4">
        <v>0.375</v>
      </c>
      <c r="T602">
        <v>0</v>
      </c>
      <c r="U602" t="s">
        <v>60</v>
      </c>
      <c r="V602" t="s">
        <v>248</v>
      </c>
      <c r="W602">
        <v>0</v>
      </c>
      <c r="X602" s="2">
        <v>0</v>
      </c>
      <c r="Y602" s="2">
        <v>29.54</v>
      </c>
      <c r="Z602" s="2">
        <v>0</v>
      </c>
      <c r="AA602" s="2">
        <v>0</v>
      </c>
      <c r="AB602" s="2">
        <v>0</v>
      </c>
    </row>
    <row r="603" spans="1:28" x14ac:dyDescent="0.25">
      <c r="A603">
        <v>2028654839</v>
      </c>
      <c r="B603" t="s">
        <v>931</v>
      </c>
      <c r="C603" t="s">
        <v>932</v>
      </c>
      <c r="D603" t="str">
        <f t="shared" si="19"/>
        <v>SHAUN TARPLEY</v>
      </c>
      <c r="E603" t="s">
        <v>100</v>
      </c>
      <c r="F603" t="s">
        <v>194</v>
      </c>
      <c r="G603" t="s">
        <v>217</v>
      </c>
      <c r="H603" t="s">
        <v>217</v>
      </c>
      <c r="I603" s="8">
        <v>16633294</v>
      </c>
      <c r="J603" t="s">
        <v>113</v>
      </c>
      <c r="K603" t="s">
        <v>114</v>
      </c>
      <c r="L603" t="str">
        <f t="shared" si="18"/>
        <v>Richard Yale</v>
      </c>
      <c r="M603" t="s">
        <v>1133</v>
      </c>
      <c r="N603" t="s">
        <v>57</v>
      </c>
      <c r="O603" s="1">
        <v>45776</v>
      </c>
      <c r="P603" s="1">
        <v>46232</v>
      </c>
      <c r="Q603" s="2">
        <v>43.67</v>
      </c>
      <c r="R603" t="s">
        <v>58</v>
      </c>
      <c r="S603" s="3">
        <v>0.1</v>
      </c>
      <c r="T603">
        <v>0</v>
      </c>
      <c r="U603" t="s">
        <v>247</v>
      </c>
      <c r="V603" t="s">
        <v>248</v>
      </c>
      <c r="W603">
        <v>0</v>
      </c>
      <c r="X603" s="2">
        <v>0</v>
      </c>
      <c r="Y603" s="2">
        <v>4.37</v>
      </c>
      <c r="Z603" s="2">
        <v>4.37</v>
      </c>
      <c r="AA603" s="2">
        <v>4.37</v>
      </c>
      <c r="AB603" s="2">
        <v>0</v>
      </c>
    </row>
    <row r="604" spans="1:28" x14ac:dyDescent="0.25">
      <c r="A604">
        <v>2032297146</v>
      </c>
      <c r="B604" t="s">
        <v>1050</v>
      </c>
      <c r="C604" t="s">
        <v>209</v>
      </c>
      <c r="D604" t="str">
        <f t="shared" si="19"/>
        <v>JOHN MULLHAUSEN</v>
      </c>
      <c r="E604" t="s">
        <v>146</v>
      </c>
      <c r="F604" t="s">
        <v>194</v>
      </c>
      <c r="G604" t="s">
        <v>203</v>
      </c>
      <c r="H604" t="s">
        <v>881</v>
      </c>
      <c r="I604" s="8" t="s">
        <v>1073</v>
      </c>
      <c r="J604" t="s">
        <v>389</v>
      </c>
      <c r="K604" t="s">
        <v>390</v>
      </c>
      <c r="L604" t="str">
        <f t="shared" si="18"/>
        <v>Ronald Max</v>
      </c>
      <c r="M604" t="s">
        <v>1133</v>
      </c>
      <c r="N604" t="s">
        <v>57</v>
      </c>
      <c r="O604" s="1">
        <v>45988</v>
      </c>
      <c r="P604" s="1">
        <v>46230</v>
      </c>
      <c r="Q604" s="2">
        <v>24.61</v>
      </c>
      <c r="R604" t="s">
        <v>58</v>
      </c>
      <c r="S604" s="3">
        <v>0.7</v>
      </c>
      <c r="T604">
        <v>0</v>
      </c>
      <c r="U604" t="s">
        <v>60</v>
      </c>
      <c r="V604" t="s">
        <v>248</v>
      </c>
      <c r="W604">
        <v>0</v>
      </c>
      <c r="X604" s="2">
        <v>0</v>
      </c>
      <c r="Y604" s="2">
        <v>17.23</v>
      </c>
      <c r="Z604" s="2">
        <v>17.23</v>
      </c>
      <c r="AA604" s="2">
        <v>17.23</v>
      </c>
      <c r="AB604" s="2">
        <v>0</v>
      </c>
    </row>
    <row r="605" spans="1:28" x14ac:dyDescent="0.25">
      <c r="A605">
        <v>2032688251</v>
      </c>
      <c r="B605" t="s">
        <v>1058</v>
      </c>
      <c r="C605" t="s">
        <v>1059</v>
      </c>
      <c r="D605" t="str">
        <f t="shared" si="19"/>
        <v>JASMINE BAYLOR</v>
      </c>
      <c r="E605" t="s">
        <v>146</v>
      </c>
      <c r="F605" t="s">
        <v>194</v>
      </c>
      <c r="G605" t="s">
        <v>203</v>
      </c>
      <c r="H605" t="s">
        <v>881</v>
      </c>
      <c r="I605" s="8" t="s">
        <v>1073</v>
      </c>
      <c r="J605" t="s">
        <v>389</v>
      </c>
      <c r="K605" t="s">
        <v>390</v>
      </c>
      <c r="L605" t="str">
        <f t="shared" si="18"/>
        <v>Ronald Max</v>
      </c>
      <c r="M605" t="s">
        <v>1133</v>
      </c>
      <c r="N605" t="s">
        <v>57</v>
      </c>
      <c r="O605" s="1">
        <v>46019</v>
      </c>
      <c r="P605" s="1">
        <v>46231</v>
      </c>
      <c r="Q605" s="2">
        <v>24.61</v>
      </c>
      <c r="R605" t="s">
        <v>58</v>
      </c>
      <c r="S605" s="3">
        <v>0.7</v>
      </c>
      <c r="T605">
        <v>0</v>
      </c>
      <c r="U605" t="s">
        <v>60</v>
      </c>
      <c r="V605" t="s">
        <v>248</v>
      </c>
      <c r="W605">
        <v>0</v>
      </c>
      <c r="X605" s="2">
        <v>0</v>
      </c>
      <c r="Y605" s="2">
        <v>17.23</v>
      </c>
      <c r="Z605" s="2">
        <v>17.23</v>
      </c>
      <c r="AA605" s="2">
        <v>17.23</v>
      </c>
      <c r="AB605" s="2">
        <v>0</v>
      </c>
    </row>
    <row r="606" spans="1:28" x14ac:dyDescent="0.25">
      <c r="A606">
        <v>2032725733</v>
      </c>
      <c r="B606" t="s">
        <v>409</v>
      </c>
      <c r="C606" t="s">
        <v>243</v>
      </c>
      <c r="D606" t="str">
        <f t="shared" si="19"/>
        <v>KAREN CONWAY</v>
      </c>
      <c r="E606" t="s">
        <v>146</v>
      </c>
      <c r="F606" t="s">
        <v>194</v>
      </c>
      <c r="G606" t="s">
        <v>203</v>
      </c>
      <c r="H606" t="s">
        <v>881</v>
      </c>
      <c r="I606" s="8" t="s">
        <v>1073</v>
      </c>
      <c r="J606" t="s">
        <v>389</v>
      </c>
      <c r="K606" t="s">
        <v>390</v>
      </c>
      <c r="L606" t="str">
        <f t="shared" si="18"/>
        <v>Ronald Max</v>
      </c>
      <c r="M606" t="s">
        <v>1133</v>
      </c>
      <c r="N606" t="s">
        <v>57</v>
      </c>
      <c r="O606" s="1">
        <v>46019</v>
      </c>
      <c r="P606" s="1">
        <v>46231</v>
      </c>
      <c r="Q606" s="2">
        <v>24.61</v>
      </c>
      <c r="R606" t="s">
        <v>58</v>
      </c>
      <c r="S606" s="3">
        <v>0.7</v>
      </c>
      <c r="T606">
        <v>0</v>
      </c>
      <c r="U606" t="s">
        <v>60</v>
      </c>
      <c r="V606" t="s">
        <v>248</v>
      </c>
      <c r="W606">
        <v>0</v>
      </c>
      <c r="X606" s="2">
        <v>0</v>
      </c>
      <c r="Y606" s="2">
        <v>17.23</v>
      </c>
      <c r="Z606" s="2">
        <v>17.23</v>
      </c>
      <c r="AA606" s="2">
        <v>17.23</v>
      </c>
      <c r="AB606" s="2">
        <v>0</v>
      </c>
    </row>
    <row r="607" spans="1:28" x14ac:dyDescent="0.25">
      <c r="A607">
        <v>2032875250</v>
      </c>
      <c r="B607" t="s">
        <v>413</v>
      </c>
      <c r="C607" t="s">
        <v>414</v>
      </c>
      <c r="D607" t="str">
        <f t="shared" si="19"/>
        <v>DANIEL HEDGES</v>
      </c>
      <c r="E607" t="s">
        <v>146</v>
      </c>
      <c r="F607" t="s">
        <v>194</v>
      </c>
      <c r="G607" t="s">
        <v>203</v>
      </c>
      <c r="H607" t="s">
        <v>881</v>
      </c>
      <c r="I607" s="8" t="s">
        <v>1073</v>
      </c>
      <c r="J607" t="s">
        <v>389</v>
      </c>
      <c r="K607" t="s">
        <v>390</v>
      </c>
      <c r="L607" t="str">
        <f t="shared" si="18"/>
        <v>Ronald Max</v>
      </c>
      <c r="M607" t="s">
        <v>1133</v>
      </c>
      <c r="N607" t="s">
        <v>57</v>
      </c>
      <c r="O607" s="1">
        <v>46021</v>
      </c>
      <c r="P607" s="1">
        <v>46233</v>
      </c>
      <c r="Q607" s="2">
        <v>48</v>
      </c>
      <c r="R607" t="s">
        <v>58</v>
      </c>
      <c r="S607" s="3">
        <v>0.7</v>
      </c>
      <c r="T607">
        <v>0</v>
      </c>
      <c r="U607" t="s">
        <v>60</v>
      </c>
      <c r="V607" t="s">
        <v>248</v>
      </c>
      <c r="W607">
        <v>0</v>
      </c>
      <c r="X607" s="2">
        <v>0</v>
      </c>
      <c r="Y607" s="2">
        <v>33.6</v>
      </c>
      <c r="Z607" s="2">
        <v>33.6</v>
      </c>
      <c r="AA607" s="2">
        <v>33.6</v>
      </c>
      <c r="AB607" s="2">
        <v>0</v>
      </c>
    </row>
    <row r="608" spans="1:28" x14ac:dyDescent="0.25">
      <c r="A608">
        <v>2032877022</v>
      </c>
      <c r="B608" t="s">
        <v>415</v>
      </c>
      <c r="C608" t="s">
        <v>175</v>
      </c>
      <c r="D608" t="str">
        <f t="shared" si="19"/>
        <v>STEPHEN PAPADOPOULOS-BRENNAN</v>
      </c>
      <c r="E608" t="s">
        <v>146</v>
      </c>
      <c r="F608" t="s">
        <v>194</v>
      </c>
      <c r="G608" t="s">
        <v>203</v>
      </c>
      <c r="H608" t="s">
        <v>881</v>
      </c>
      <c r="I608" s="8" t="s">
        <v>1073</v>
      </c>
      <c r="J608" t="s">
        <v>389</v>
      </c>
      <c r="K608" t="s">
        <v>390</v>
      </c>
      <c r="L608" t="str">
        <f t="shared" si="18"/>
        <v>Ronald Max</v>
      </c>
      <c r="M608" t="s">
        <v>1133</v>
      </c>
      <c r="N608" t="s">
        <v>57</v>
      </c>
      <c r="O608" s="1">
        <v>46021</v>
      </c>
      <c r="P608" s="1">
        <v>46233</v>
      </c>
      <c r="Q608" s="2">
        <v>24.61</v>
      </c>
      <c r="R608" t="s">
        <v>58</v>
      </c>
      <c r="S608" s="3">
        <v>0.7</v>
      </c>
      <c r="T608">
        <v>0</v>
      </c>
      <c r="U608" t="s">
        <v>60</v>
      </c>
      <c r="V608" t="s">
        <v>248</v>
      </c>
      <c r="W608">
        <v>0</v>
      </c>
      <c r="X608" s="2">
        <v>0</v>
      </c>
      <c r="Y608" s="2">
        <v>17.23</v>
      </c>
      <c r="Z608" s="2">
        <v>17.23</v>
      </c>
      <c r="AA608" s="2">
        <v>17.23</v>
      </c>
      <c r="AB608" s="2">
        <v>0</v>
      </c>
    </row>
    <row r="609" spans="1:28" x14ac:dyDescent="0.25">
      <c r="A609">
        <v>2033110532</v>
      </c>
      <c r="B609" t="s">
        <v>728</v>
      </c>
      <c r="C609" t="s">
        <v>355</v>
      </c>
      <c r="D609" t="str">
        <f t="shared" si="19"/>
        <v>JAMES SCHARF</v>
      </c>
      <c r="E609" t="s">
        <v>146</v>
      </c>
      <c r="F609" t="s">
        <v>194</v>
      </c>
      <c r="G609" t="s">
        <v>203</v>
      </c>
      <c r="H609" t="s">
        <v>881</v>
      </c>
      <c r="I609" s="8" t="s">
        <v>1073</v>
      </c>
      <c r="J609" t="s">
        <v>389</v>
      </c>
      <c r="K609" t="s">
        <v>390</v>
      </c>
      <c r="L609" t="str">
        <f t="shared" si="18"/>
        <v>Ronald Max</v>
      </c>
      <c r="M609" t="s">
        <v>1133</v>
      </c>
      <c r="N609" t="s">
        <v>57</v>
      </c>
      <c r="O609" s="1">
        <v>46054</v>
      </c>
      <c r="P609" s="1">
        <v>46235</v>
      </c>
      <c r="Q609" s="2">
        <v>24.61</v>
      </c>
      <c r="R609" t="s">
        <v>58</v>
      </c>
      <c r="S609" s="3">
        <v>0.7</v>
      </c>
      <c r="T609">
        <v>0</v>
      </c>
      <c r="U609" t="s">
        <v>60</v>
      </c>
      <c r="V609" t="s">
        <v>248</v>
      </c>
      <c r="W609">
        <v>0</v>
      </c>
      <c r="X609" s="2">
        <v>0</v>
      </c>
      <c r="Y609" s="2">
        <v>17.23</v>
      </c>
      <c r="Z609" s="2">
        <v>0</v>
      </c>
      <c r="AA609" s="2">
        <v>0</v>
      </c>
      <c r="AB609" s="2">
        <v>0</v>
      </c>
    </row>
    <row r="610" spans="1:28" x14ac:dyDescent="0.25">
      <c r="A610">
        <v>2033234586</v>
      </c>
      <c r="B610" t="s">
        <v>502</v>
      </c>
      <c r="C610" t="s">
        <v>250</v>
      </c>
      <c r="D610" t="str">
        <f t="shared" si="19"/>
        <v>BENJAMIN GASKILL</v>
      </c>
      <c r="E610" t="s">
        <v>146</v>
      </c>
      <c r="F610" t="s">
        <v>194</v>
      </c>
      <c r="G610" t="s">
        <v>203</v>
      </c>
      <c r="H610" t="s">
        <v>881</v>
      </c>
      <c r="I610" s="8" t="s">
        <v>1073</v>
      </c>
      <c r="J610" t="s">
        <v>389</v>
      </c>
      <c r="K610" t="s">
        <v>390</v>
      </c>
      <c r="L610" t="str">
        <f t="shared" si="18"/>
        <v>Ronald Max</v>
      </c>
      <c r="M610" t="s">
        <v>1133</v>
      </c>
      <c r="N610" t="s">
        <v>57</v>
      </c>
      <c r="O610" s="1">
        <v>46054</v>
      </c>
      <c r="P610" s="1">
        <v>46235</v>
      </c>
      <c r="Q610" s="2">
        <v>24.61</v>
      </c>
      <c r="R610" t="s">
        <v>58</v>
      </c>
      <c r="S610" s="3">
        <v>0.7</v>
      </c>
      <c r="T610">
        <v>0</v>
      </c>
      <c r="U610" t="s">
        <v>60</v>
      </c>
      <c r="V610" t="s">
        <v>248</v>
      </c>
      <c r="W610">
        <v>0</v>
      </c>
      <c r="X610" s="2">
        <v>0</v>
      </c>
      <c r="Y610" s="2">
        <v>17.23</v>
      </c>
      <c r="Z610" s="2">
        <v>0</v>
      </c>
      <c r="AA610" s="2">
        <v>0</v>
      </c>
      <c r="AB610" s="2">
        <v>0</v>
      </c>
    </row>
    <row r="611" spans="1:28" x14ac:dyDescent="0.25">
      <c r="A611">
        <v>2032725734</v>
      </c>
      <c r="B611" t="s">
        <v>409</v>
      </c>
      <c r="C611" t="s">
        <v>243</v>
      </c>
      <c r="D611" t="str">
        <f t="shared" si="19"/>
        <v>KAREN CONWAY</v>
      </c>
      <c r="E611" t="s">
        <v>146</v>
      </c>
      <c r="F611" t="s">
        <v>69</v>
      </c>
      <c r="G611" t="s">
        <v>79</v>
      </c>
      <c r="H611" t="s">
        <v>1080</v>
      </c>
      <c r="I611" s="8" t="s">
        <v>1073</v>
      </c>
      <c r="J611" t="s">
        <v>389</v>
      </c>
      <c r="K611" t="s">
        <v>390</v>
      </c>
      <c r="L611" t="str">
        <f t="shared" si="18"/>
        <v>Ronald Max</v>
      </c>
      <c r="M611" t="s">
        <v>1133</v>
      </c>
      <c r="N611" t="s">
        <v>57</v>
      </c>
      <c r="O611" s="1">
        <v>46019</v>
      </c>
      <c r="P611" s="1">
        <v>46231</v>
      </c>
      <c r="Q611" s="2">
        <v>71.010000000000005</v>
      </c>
      <c r="R611" t="s">
        <v>58</v>
      </c>
      <c r="S611" s="3">
        <v>0.9</v>
      </c>
      <c r="T611">
        <v>0</v>
      </c>
      <c r="U611" t="s">
        <v>60</v>
      </c>
      <c r="V611" t="s">
        <v>248</v>
      </c>
      <c r="W611">
        <v>0</v>
      </c>
      <c r="X611" s="2">
        <v>0</v>
      </c>
      <c r="Y611" s="2">
        <v>63.91</v>
      </c>
      <c r="Z611" s="2">
        <v>63.91</v>
      </c>
      <c r="AA611" s="2">
        <v>63.91</v>
      </c>
      <c r="AB611" s="2">
        <v>0</v>
      </c>
    </row>
    <row r="612" spans="1:28" x14ac:dyDescent="0.25">
      <c r="A612">
        <v>2032875251</v>
      </c>
      <c r="B612" t="s">
        <v>413</v>
      </c>
      <c r="C612" t="s">
        <v>414</v>
      </c>
      <c r="D612" t="str">
        <f t="shared" si="19"/>
        <v>DANIEL HEDGES</v>
      </c>
      <c r="E612" t="s">
        <v>146</v>
      </c>
      <c r="F612" t="s">
        <v>69</v>
      </c>
      <c r="G612" t="s">
        <v>79</v>
      </c>
      <c r="H612" t="s">
        <v>1080</v>
      </c>
      <c r="I612" s="8" t="s">
        <v>1073</v>
      </c>
      <c r="J612" t="s">
        <v>389</v>
      </c>
      <c r="K612" t="s">
        <v>390</v>
      </c>
      <c r="L612" t="str">
        <f t="shared" si="18"/>
        <v>Ronald Max</v>
      </c>
      <c r="M612" t="s">
        <v>1133</v>
      </c>
      <c r="N612" t="s">
        <v>57</v>
      </c>
      <c r="O612" s="1">
        <v>46021</v>
      </c>
      <c r="P612" s="1">
        <v>46233</v>
      </c>
      <c r="Q612" s="2">
        <v>209.96</v>
      </c>
      <c r="R612" t="s">
        <v>58</v>
      </c>
      <c r="S612" s="3">
        <v>0.9</v>
      </c>
      <c r="T612">
        <v>0</v>
      </c>
      <c r="U612" t="s">
        <v>60</v>
      </c>
      <c r="V612" t="s">
        <v>248</v>
      </c>
      <c r="W612">
        <v>0</v>
      </c>
      <c r="X612" s="2">
        <v>0</v>
      </c>
      <c r="Y612" s="2">
        <v>188.96</v>
      </c>
      <c r="Z612" s="2">
        <v>188.96</v>
      </c>
      <c r="AA612" s="2">
        <v>188.96</v>
      </c>
      <c r="AB612" s="2">
        <v>0</v>
      </c>
    </row>
    <row r="613" spans="1:28" x14ac:dyDescent="0.25">
      <c r="A613">
        <v>2032877023</v>
      </c>
      <c r="B613" t="s">
        <v>415</v>
      </c>
      <c r="C613" t="s">
        <v>175</v>
      </c>
      <c r="D613" t="str">
        <f t="shared" si="19"/>
        <v>STEPHEN PAPADOPOULOS-BRENNAN</v>
      </c>
      <c r="E613" t="s">
        <v>146</v>
      </c>
      <c r="F613" t="s">
        <v>69</v>
      </c>
      <c r="G613" t="s">
        <v>79</v>
      </c>
      <c r="H613" t="s">
        <v>1080</v>
      </c>
      <c r="I613" s="8" t="s">
        <v>1073</v>
      </c>
      <c r="J613" t="s">
        <v>389</v>
      </c>
      <c r="K613" t="s">
        <v>390</v>
      </c>
      <c r="L613" t="str">
        <f t="shared" si="18"/>
        <v>Ronald Max</v>
      </c>
      <c r="M613" t="s">
        <v>1133</v>
      </c>
      <c r="N613" t="s">
        <v>57</v>
      </c>
      <c r="O613" s="1">
        <v>46021</v>
      </c>
      <c r="P613" s="1">
        <v>46233</v>
      </c>
      <c r="Q613" s="2">
        <v>67.42</v>
      </c>
      <c r="R613" t="s">
        <v>58</v>
      </c>
      <c r="S613" s="3">
        <v>0.9</v>
      </c>
      <c r="T613">
        <v>0</v>
      </c>
      <c r="U613" t="s">
        <v>60</v>
      </c>
      <c r="V613" t="s">
        <v>248</v>
      </c>
      <c r="W613">
        <v>0</v>
      </c>
      <c r="X613" s="2">
        <v>0</v>
      </c>
      <c r="Y613" s="2">
        <v>60.68</v>
      </c>
      <c r="Z613" s="2">
        <v>60.68</v>
      </c>
      <c r="AA613" s="2">
        <v>60.68</v>
      </c>
      <c r="AB613" s="2">
        <v>0</v>
      </c>
    </row>
    <row r="614" spans="1:28" x14ac:dyDescent="0.25">
      <c r="A614">
        <v>2033234587</v>
      </c>
      <c r="B614" t="s">
        <v>502</v>
      </c>
      <c r="C614" t="s">
        <v>250</v>
      </c>
      <c r="D614" t="str">
        <f t="shared" si="19"/>
        <v>BENJAMIN GASKILL</v>
      </c>
      <c r="E614" t="s">
        <v>146</v>
      </c>
      <c r="F614" t="s">
        <v>69</v>
      </c>
      <c r="G614" t="s">
        <v>79</v>
      </c>
      <c r="H614" t="s">
        <v>1080</v>
      </c>
      <c r="I614" s="8" t="s">
        <v>1073</v>
      </c>
      <c r="J614" t="s">
        <v>389</v>
      </c>
      <c r="K614" t="s">
        <v>390</v>
      </c>
      <c r="L614" t="str">
        <f t="shared" si="18"/>
        <v>Ronald Max</v>
      </c>
      <c r="M614" t="s">
        <v>1133</v>
      </c>
      <c r="N614" t="s">
        <v>57</v>
      </c>
      <c r="O614" s="1">
        <v>46054</v>
      </c>
      <c r="P614" s="1">
        <v>46235</v>
      </c>
      <c r="Q614" s="2">
        <v>48.38</v>
      </c>
      <c r="R614" t="s">
        <v>58</v>
      </c>
      <c r="S614" s="3">
        <v>0.9</v>
      </c>
      <c r="T614">
        <v>0</v>
      </c>
      <c r="U614" t="s">
        <v>60</v>
      </c>
      <c r="V614" t="s">
        <v>248</v>
      </c>
      <c r="W614">
        <v>0</v>
      </c>
      <c r="X614" s="2">
        <v>0</v>
      </c>
      <c r="Y614" s="2">
        <v>43.54</v>
      </c>
      <c r="Z614" s="2">
        <v>0</v>
      </c>
      <c r="AA614" s="2">
        <v>0</v>
      </c>
      <c r="AB614" s="2">
        <v>0</v>
      </c>
    </row>
    <row r="615" spans="1:28" x14ac:dyDescent="0.25">
      <c r="A615">
        <v>2032688249</v>
      </c>
      <c r="B615" t="s">
        <v>1058</v>
      </c>
      <c r="C615" t="s">
        <v>1059</v>
      </c>
      <c r="D615" t="str">
        <f t="shared" si="19"/>
        <v>JASMINE BAYLOR</v>
      </c>
      <c r="E615" t="s">
        <v>146</v>
      </c>
      <c r="F615" t="s">
        <v>194</v>
      </c>
      <c r="G615" t="s">
        <v>228</v>
      </c>
      <c r="H615" t="s">
        <v>228</v>
      </c>
      <c r="I615" s="8" t="s">
        <v>1073</v>
      </c>
      <c r="J615" t="s">
        <v>389</v>
      </c>
      <c r="K615" t="s">
        <v>390</v>
      </c>
      <c r="L615" t="str">
        <f t="shared" si="18"/>
        <v>Ronald Max</v>
      </c>
      <c r="M615" t="s">
        <v>1133</v>
      </c>
      <c r="N615" t="s">
        <v>57</v>
      </c>
      <c r="O615" s="1">
        <v>46019</v>
      </c>
      <c r="P615" s="1">
        <v>46231</v>
      </c>
      <c r="Q615" s="2">
        <v>32.81</v>
      </c>
      <c r="R615" t="s">
        <v>58</v>
      </c>
      <c r="S615" s="3">
        <v>0.42</v>
      </c>
      <c r="T615">
        <v>0</v>
      </c>
      <c r="U615" t="s">
        <v>60</v>
      </c>
      <c r="V615" t="s">
        <v>248</v>
      </c>
      <c r="W615">
        <v>0</v>
      </c>
      <c r="X615" s="2">
        <v>0</v>
      </c>
      <c r="Y615" s="2">
        <v>13.78</v>
      </c>
      <c r="Z615" s="2">
        <v>13.78</v>
      </c>
      <c r="AA615" s="2">
        <v>13.78</v>
      </c>
      <c r="AB615" s="2">
        <v>0</v>
      </c>
    </row>
    <row r="616" spans="1:28" x14ac:dyDescent="0.25">
      <c r="A616">
        <v>2032877021</v>
      </c>
      <c r="B616" t="s">
        <v>415</v>
      </c>
      <c r="C616" t="s">
        <v>175</v>
      </c>
      <c r="D616" t="str">
        <f t="shared" si="19"/>
        <v>STEPHEN PAPADOPOULOS-BRENNAN</v>
      </c>
      <c r="E616" t="s">
        <v>146</v>
      </c>
      <c r="F616" t="s">
        <v>194</v>
      </c>
      <c r="G616" t="s">
        <v>228</v>
      </c>
      <c r="H616" t="s">
        <v>228</v>
      </c>
      <c r="I616" s="8" t="s">
        <v>1073</v>
      </c>
      <c r="J616" t="s">
        <v>389</v>
      </c>
      <c r="K616" t="s">
        <v>390</v>
      </c>
      <c r="L616" t="str">
        <f t="shared" si="18"/>
        <v>Ronald Max</v>
      </c>
      <c r="M616" t="s">
        <v>1133</v>
      </c>
      <c r="N616" t="s">
        <v>57</v>
      </c>
      <c r="O616" s="1">
        <v>46021</v>
      </c>
      <c r="P616" s="1">
        <v>46233</v>
      </c>
      <c r="Q616" s="2">
        <v>32.81</v>
      </c>
      <c r="R616" t="s">
        <v>58</v>
      </c>
      <c r="S616" s="3">
        <v>0.42</v>
      </c>
      <c r="T616">
        <v>0</v>
      </c>
      <c r="U616" t="s">
        <v>60</v>
      </c>
      <c r="V616" t="s">
        <v>248</v>
      </c>
      <c r="W616">
        <v>0</v>
      </c>
      <c r="X616" s="2">
        <v>0</v>
      </c>
      <c r="Y616" s="2">
        <v>13.78</v>
      </c>
      <c r="Z616" s="2">
        <v>13.78</v>
      </c>
      <c r="AA616" s="2">
        <v>13.78</v>
      </c>
      <c r="AB616" s="2">
        <v>0</v>
      </c>
    </row>
    <row r="617" spans="1:28" x14ac:dyDescent="0.25">
      <c r="A617">
        <v>2033234585</v>
      </c>
      <c r="B617" t="s">
        <v>502</v>
      </c>
      <c r="C617" t="s">
        <v>250</v>
      </c>
      <c r="D617" t="str">
        <f t="shared" si="19"/>
        <v>BENJAMIN GASKILL</v>
      </c>
      <c r="E617" t="s">
        <v>146</v>
      </c>
      <c r="F617" t="s">
        <v>194</v>
      </c>
      <c r="G617" t="s">
        <v>228</v>
      </c>
      <c r="H617" t="s">
        <v>228</v>
      </c>
      <c r="I617" s="8" t="s">
        <v>1073</v>
      </c>
      <c r="J617" t="s">
        <v>389</v>
      </c>
      <c r="K617" t="s">
        <v>390</v>
      </c>
      <c r="L617" t="str">
        <f t="shared" si="18"/>
        <v>Ronald Max</v>
      </c>
      <c r="M617" t="s">
        <v>1133</v>
      </c>
      <c r="N617" t="s">
        <v>57</v>
      </c>
      <c r="O617" s="1">
        <v>46054</v>
      </c>
      <c r="P617" s="1">
        <v>46235</v>
      </c>
      <c r="Q617" s="2">
        <v>27.8</v>
      </c>
      <c r="R617" t="s">
        <v>58</v>
      </c>
      <c r="S617" s="3">
        <v>0.42</v>
      </c>
      <c r="T617">
        <v>0</v>
      </c>
      <c r="U617" t="s">
        <v>60</v>
      </c>
      <c r="V617" t="s">
        <v>248</v>
      </c>
      <c r="W617">
        <v>0</v>
      </c>
      <c r="X617" s="2">
        <v>0</v>
      </c>
      <c r="Y617" s="2">
        <v>11.68</v>
      </c>
      <c r="Z617" s="2">
        <v>0</v>
      </c>
      <c r="AA617" s="2">
        <v>0</v>
      </c>
      <c r="AB617" s="2">
        <v>0</v>
      </c>
    </row>
    <row r="618" spans="1:28" x14ac:dyDescent="0.25">
      <c r="A618">
        <v>2032297145</v>
      </c>
      <c r="B618" t="s">
        <v>1050</v>
      </c>
      <c r="C618" t="s">
        <v>209</v>
      </c>
      <c r="D618" t="str">
        <f t="shared" si="19"/>
        <v>JOHN MULLHAUSEN</v>
      </c>
      <c r="E618" t="s">
        <v>146</v>
      </c>
      <c r="F618" t="s">
        <v>194</v>
      </c>
      <c r="G618" t="s">
        <v>217</v>
      </c>
      <c r="H618" t="s">
        <v>217</v>
      </c>
      <c r="I618" s="8" t="s">
        <v>1073</v>
      </c>
      <c r="J618" t="s">
        <v>389</v>
      </c>
      <c r="K618" t="s">
        <v>390</v>
      </c>
      <c r="L618" t="str">
        <f t="shared" si="18"/>
        <v>Ronald Max</v>
      </c>
      <c r="M618" t="s">
        <v>1133</v>
      </c>
      <c r="N618" t="s">
        <v>57</v>
      </c>
      <c r="O618" s="1">
        <v>45988</v>
      </c>
      <c r="P618" s="1">
        <v>46230</v>
      </c>
      <c r="Q618" s="2">
        <v>67.88</v>
      </c>
      <c r="R618" t="s">
        <v>58</v>
      </c>
      <c r="S618" s="3">
        <v>0.9</v>
      </c>
      <c r="T618">
        <v>0</v>
      </c>
      <c r="U618" t="s">
        <v>60</v>
      </c>
      <c r="V618" t="s">
        <v>248</v>
      </c>
      <c r="W618">
        <v>0</v>
      </c>
      <c r="X618" s="2">
        <v>0</v>
      </c>
      <c r="Y618" s="2">
        <v>61.09</v>
      </c>
      <c r="Z618" s="2">
        <v>61.09</v>
      </c>
      <c r="AA618" s="2">
        <v>61.09</v>
      </c>
      <c r="AB618" s="2">
        <v>0</v>
      </c>
    </row>
    <row r="619" spans="1:28" x14ac:dyDescent="0.25">
      <c r="A619">
        <v>2032688250</v>
      </c>
      <c r="B619" t="s">
        <v>1058</v>
      </c>
      <c r="C619" t="s">
        <v>1059</v>
      </c>
      <c r="D619" t="str">
        <f t="shared" si="19"/>
        <v>JASMINE BAYLOR</v>
      </c>
      <c r="E619" t="s">
        <v>146</v>
      </c>
      <c r="F619" t="s">
        <v>194</v>
      </c>
      <c r="G619" t="s">
        <v>217</v>
      </c>
      <c r="H619" t="s">
        <v>217</v>
      </c>
      <c r="I619" s="8" t="s">
        <v>1073</v>
      </c>
      <c r="J619" t="s">
        <v>389</v>
      </c>
      <c r="K619" t="s">
        <v>390</v>
      </c>
      <c r="L619" t="str">
        <f t="shared" si="18"/>
        <v>Ronald Max</v>
      </c>
      <c r="M619" t="s">
        <v>1133</v>
      </c>
      <c r="N619" t="s">
        <v>57</v>
      </c>
      <c r="O619" s="1">
        <v>46019</v>
      </c>
      <c r="P619" s="1">
        <v>46231</v>
      </c>
      <c r="Q619" s="2">
        <v>16.170000000000002</v>
      </c>
      <c r="R619" t="s">
        <v>58</v>
      </c>
      <c r="S619" s="3">
        <v>0.9</v>
      </c>
      <c r="T619">
        <v>0</v>
      </c>
      <c r="U619" t="s">
        <v>60</v>
      </c>
      <c r="V619" t="s">
        <v>248</v>
      </c>
      <c r="W619">
        <v>0</v>
      </c>
      <c r="X619" s="2">
        <v>0</v>
      </c>
      <c r="Y619" s="2">
        <v>14.55</v>
      </c>
      <c r="Z619" s="2">
        <v>14.55</v>
      </c>
      <c r="AA619" s="2">
        <v>14.55</v>
      </c>
      <c r="AB619" s="2">
        <v>0</v>
      </c>
    </row>
    <row r="620" spans="1:28" x14ac:dyDescent="0.25">
      <c r="A620">
        <v>2033110533</v>
      </c>
      <c r="B620" t="s">
        <v>728</v>
      </c>
      <c r="C620" t="s">
        <v>355</v>
      </c>
      <c r="D620" t="str">
        <f t="shared" si="19"/>
        <v>JAMES SCHARF</v>
      </c>
      <c r="E620" t="s">
        <v>146</v>
      </c>
      <c r="F620" t="s">
        <v>194</v>
      </c>
      <c r="G620" t="s">
        <v>217</v>
      </c>
      <c r="H620" t="s">
        <v>217</v>
      </c>
      <c r="I620" s="8" t="s">
        <v>1073</v>
      </c>
      <c r="J620" t="s">
        <v>389</v>
      </c>
      <c r="K620" t="s">
        <v>390</v>
      </c>
      <c r="L620" t="str">
        <f t="shared" si="18"/>
        <v>Ronald Max</v>
      </c>
      <c r="M620" t="s">
        <v>1133</v>
      </c>
      <c r="N620" t="s">
        <v>57</v>
      </c>
      <c r="O620" s="1">
        <v>46054</v>
      </c>
      <c r="P620" s="1">
        <v>46235</v>
      </c>
      <c r="Q620" s="2">
        <v>56.63</v>
      </c>
      <c r="R620" t="s">
        <v>58</v>
      </c>
      <c r="S620" s="3">
        <v>0.9</v>
      </c>
      <c r="T620">
        <v>0</v>
      </c>
      <c r="U620" t="s">
        <v>60</v>
      </c>
      <c r="V620" t="s">
        <v>248</v>
      </c>
      <c r="W620">
        <v>0</v>
      </c>
      <c r="X620" s="2">
        <v>0</v>
      </c>
      <c r="Y620" s="2">
        <v>50.97</v>
      </c>
      <c r="Z620" s="2">
        <v>0</v>
      </c>
      <c r="AA620" s="2">
        <v>0</v>
      </c>
      <c r="AB620" s="2">
        <v>0</v>
      </c>
    </row>
    <row r="621" spans="1:28" x14ac:dyDescent="0.25">
      <c r="A621">
        <v>2021537049</v>
      </c>
      <c r="B621" t="s">
        <v>1008</v>
      </c>
      <c r="C621" t="s">
        <v>250</v>
      </c>
      <c r="D621" t="str">
        <f t="shared" si="19"/>
        <v>BENJAMIN HUMPHRIES</v>
      </c>
      <c r="E621" t="s">
        <v>97</v>
      </c>
      <c r="F621" t="s">
        <v>194</v>
      </c>
      <c r="G621" t="s">
        <v>881</v>
      </c>
      <c r="H621" t="s">
        <v>881</v>
      </c>
      <c r="I621" s="8">
        <v>8977234</v>
      </c>
      <c r="J621" t="s">
        <v>102</v>
      </c>
      <c r="K621" t="s">
        <v>103</v>
      </c>
      <c r="L621" t="str">
        <f t="shared" si="18"/>
        <v>RYAN CALTAGIRONE</v>
      </c>
      <c r="M621" t="s">
        <v>1133</v>
      </c>
      <c r="N621" t="s">
        <v>57</v>
      </c>
      <c r="O621" s="1">
        <v>45323</v>
      </c>
      <c r="P621" s="1">
        <v>46235</v>
      </c>
      <c r="Q621" s="2">
        <v>46.78</v>
      </c>
      <c r="R621" t="s">
        <v>58</v>
      </c>
      <c r="S621" s="3">
        <v>0.15</v>
      </c>
      <c r="T621">
        <v>0</v>
      </c>
      <c r="U621" t="s">
        <v>247</v>
      </c>
      <c r="V621" t="s">
        <v>248</v>
      </c>
      <c r="W621">
        <v>0</v>
      </c>
      <c r="X621" s="2">
        <v>0</v>
      </c>
      <c r="Y621" s="2">
        <v>7.02</v>
      </c>
      <c r="Z621" s="2">
        <v>7.02</v>
      </c>
      <c r="AA621" s="2">
        <v>7.02</v>
      </c>
      <c r="AB621" s="2">
        <v>0</v>
      </c>
    </row>
    <row r="622" spans="1:28" x14ac:dyDescent="0.25">
      <c r="A622">
        <v>2021612241</v>
      </c>
      <c r="B622" t="s">
        <v>675</v>
      </c>
      <c r="C622" t="s">
        <v>676</v>
      </c>
      <c r="D622" t="str">
        <f t="shared" si="19"/>
        <v>TONYA SORTO</v>
      </c>
      <c r="E622" t="s">
        <v>100</v>
      </c>
      <c r="F622" t="s">
        <v>194</v>
      </c>
      <c r="G622" t="s">
        <v>881</v>
      </c>
      <c r="H622" t="s">
        <v>881</v>
      </c>
      <c r="I622" s="8">
        <v>8977234</v>
      </c>
      <c r="J622" t="s">
        <v>102</v>
      </c>
      <c r="K622" t="s">
        <v>103</v>
      </c>
      <c r="L622" t="str">
        <f t="shared" si="18"/>
        <v>RYAN CALTAGIRONE</v>
      </c>
      <c r="M622" t="s">
        <v>1133</v>
      </c>
      <c r="N622" t="s">
        <v>57</v>
      </c>
      <c r="O622" s="1">
        <v>45323</v>
      </c>
      <c r="P622" s="1">
        <v>46235</v>
      </c>
      <c r="Q622" s="2">
        <v>51.46</v>
      </c>
      <c r="R622" t="s">
        <v>58</v>
      </c>
      <c r="S622" s="3">
        <v>0.15</v>
      </c>
      <c r="T622">
        <v>0</v>
      </c>
      <c r="U622" t="s">
        <v>247</v>
      </c>
      <c r="V622" t="s">
        <v>248</v>
      </c>
      <c r="W622">
        <v>0</v>
      </c>
      <c r="X622" s="2">
        <v>0</v>
      </c>
      <c r="Y622" s="2">
        <v>7.72</v>
      </c>
      <c r="Z622" s="2">
        <v>7.72</v>
      </c>
      <c r="AA622" s="2">
        <v>7.72</v>
      </c>
      <c r="AB622" s="2">
        <v>0</v>
      </c>
    </row>
    <row r="623" spans="1:28" x14ac:dyDescent="0.25">
      <c r="A623">
        <v>2022351916</v>
      </c>
      <c r="B623" t="s">
        <v>677</v>
      </c>
      <c r="C623" t="s">
        <v>351</v>
      </c>
      <c r="D623" t="str">
        <f t="shared" si="19"/>
        <v>ETHAN FARNAM</v>
      </c>
      <c r="E623" t="s">
        <v>89</v>
      </c>
      <c r="F623" t="s">
        <v>194</v>
      </c>
      <c r="G623" t="s">
        <v>881</v>
      </c>
      <c r="H623" t="s">
        <v>881</v>
      </c>
      <c r="I623" s="8">
        <v>8977234</v>
      </c>
      <c r="J623" t="s">
        <v>102</v>
      </c>
      <c r="K623" t="s">
        <v>103</v>
      </c>
      <c r="L623" t="str">
        <f t="shared" si="18"/>
        <v>RYAN CALTAGIRONE</v>
      </c>
      <c r="M623" t="s">
        <v>1133</v>
      </c>
      <c r="N623" t="s">
        <v>57</v>
      </c>
      <c r="O623" s="1">
        <v>45383</v>
      </c>
      <c r="P623" s="1">
        <v>46235</v>
      </c>
      <c r="Q623" s="2">
        <v>25.73</v>
      </c>
      <c r="R623" t="s">
        <v>58</v>
      </c>
      <c r="S623" s="3">
        <v>0.15</v>
      </c>
      <c r="T623">
        <v>0</v>
      </c>
      <c r="U623" t="s">
        <v>247</v>
      </c>
      <c r="V623" t="s">
        <v>248</v>
      </c>
      <c r="W623">
        <v>0</v>
      </c>
      <c r="X623" s="2">
        <v>0</v>
      </c>
      <c r="Y623" s="2">
        <v>3.86</v>
      </c>
      <c r="Z623" s="2">
        <v>3.86</v>
      </c>
      <c r="AA623" s="2">
        <v>3.86</v>
      </c>
      <c r="AB623" s="2">
        <v>0</v>
      </c>
    </row>
    <row r="624" spans="1:28" x14ac:dyDescent="0.25">
      <c r="A624">
        <v>2026471871</v>
      </c>
      <c r="B624" t="s">
        <v>285</v>
      </c>
      <c r="C624" t="s">
        <v>286</v>
      </c>
      <c r="D624" t="str">
        <f t="shared" si="19"/>
        <v>NATHAN STEHLIK</v>
      </c>
      <c r="E624" t="s">
        <v>117</v>
      </c>
      <c r="F624" t="s">
        <v>194</v>
      </c>
      <c r="G624" t="s">
        <v>881</v>
      </c>
      <c r="H624" t="s">
        <v>881</v>
      </c>
      <c r="I624" s="8">
        <v>8977234</v>
      </c>
      <c r="J624" t="s">
        <v>102</v>
      </c>
      <c r="K624" t="s">
        <v>103</v>
      </c>
      <c r="L624" t="str">
        <f t="shared" si="18"/>
        <v>RYAN CALTAGIRONE</v>
      </c>
      <c r="M624" t="s">
        <v>1133</v>
      </c>
      <c r="N624" t="s">
        <v>57</v>
      </c>
      <c r="O624" s="1">
        <v>45689</v>
      </c>
      <c r="P624" s="1">
        <v>46235</v>
      </c>
      <c r="Q624" s="2">
        <v>25.73</v>
      </c>
      <c r="R624" t="s">
        <v>58</v>
      </c>
      <c r="S624" s="3">
        <v>0.15</v>
      </c>
      <c r="T624">
        <v>0</v>
      </c>
      <c r="U624" t="s">
        <v>247</v>
      </c>
      <c r="V624" t="s">
        <v>248</v>
      </c>
      <c r="W624">
        <v>0</v>
      </c>
      <c r="X624" s="2">
        <v>0</v>
      </c>
      <c r="Y624" s="2">
        <v>3.86</v>
      </c>
      <c r="Z624" s="2">
        <v>3.86</v>
      </c>
      <c r="AA624" s="2">
        <v>3.86</v>
      </c>
      <c r="AB624" s="2">
        <v>0</v>
      </c>
    </row>
    <row r="625" spans="1:28" x14ac:dyDescent="0.25">
      <c r="A625">
        <v>2026568843</v>
      </c>
      <c r="B625" t="s">
        <v>1016</v>
      </c>
      <c r="C625" t="s">
        <v>1017</v>
      </c>
      <c r="D625" t="str">
        <f t="shared" si="19"/>
        <v>MAGDALENA SERRANO</v>
      </c>
      <c r="E625" t="s">
        <v>68</v>
      </c>
      <c r="F625" t="s">
        <v>194</v>
      </c>
      <c r="G625" t="s">
        <v>881</v>
      </c>
      <c r="H625" t="s">
        <v>881</v>
      </c>
      <c r="I625" s="8">
        <v>8977234</v>
      </c>
      <c r="J625" t="s">
        <v>102</v>
      </c>
      <c r="K625" t="s">
        <v>103</v>
      </c>
      <c r="L625" t="str">
        <f t="shared" si="18"/>
        <v>RYAN CALTAGIRONE</v>
      </c>
      <c r="M625" t="s">
        <v>1133</v>
      </c>
      <c r="N625" t="s">
        <v>57</v>
      </c>
      <c r="O625" s="1">
        <v>45689</v>
      </c>
      <c r="P625" s="1">
        <v>46235</v>
      </c>
      <c r="Q625" s="2">
        <v>21.44</v>
      </c>
      <c r="R625" t="s">
        <v>58</v>
      </c>
      <c r="S625" s="3">
        <v>0.15</v>
      </c>
      <c r="T625">
        <v>0</v>
      </c>
      <c r="U625" t="s">
        <v>247</v>
      </c>
      <c r="V625" t="s">
        <v>248</v>
      </c>
      <c r="W625">
        <v>0</v>
      </c>
      <c r="X625" s="2">
        <v>0</v>
      </c>
      <c r="Y625" s="2">
        <v>3.22</v>
      </c>
      <c r="Z625" s="2">
        <v>3.22</v>
      </c>
      <c r="AA625" s="2">
        <v>3.22</v>
      </c>
      <c r="AB625" s="2">
        <v>0</v>
      </c>
    </row>
    <row r="626" spans="1:28" x14ac:dyDescent="0.25">
      <c r="A626">
        <v>2026616497</v>
      </c>
      <c r="B626" t="s">
        <v>354</v>
      </c>
      <c r="C626" t="s">
        <v>355</v>
      </c>
      <c r="D626" t="str">
        <f t="shared" si="19"/>
        <v>JAMES RAGGETT</v>
      </c>
      <c r="E626" t="s">
        <v>117</v>
      </c>
      <c r="F626" t="s">
        <v>194</v>
      </c>
      <c r="G626" t="s">
        <v>881</v>
      </c>
      <c r="H626" t="s">
        <v>881</v>
      </c>
      <c r="I626" s="8">
        <v>8977234</v>
      </c>
      <c r="J626" t="s">
        <v>102</v>
      </c>
      <c r="K626" t="s">
        <v>103</v>
      </c>
      <c r="L626" t="str">
        <f t="shared" si="18"/>
        <v>RYAN CALTAGIRONE</v>
      </c>
      <c r="M626" t="s">
        <v>1133</v>
      </c>
      <c r="N626" t="s">
        <v>57</v>
      </c>
      <c r="O626" s="1">
        <v>45689</v>
      </c>
      <c r="P626" s="1">
        <v>46235</v>
      </c>
      <c r="Q626" s="2">
        <v>25.73</v>
      </c>
      <c r="R626" t="s">
        <v>58</v>
      </c>
      <c r="S626" s="3">
        <v>0.15</v>
      </c>
      <c r="T626">
        <v>0</v>
      </c>
      <c r="U626" t="s">
        <v>247</v>
      </c>
      <c r="V626" t="s">
        <v>248</v>
      </c>
      <c r="W626">
        <v>0</v>
      </c>
      <c r="X626" s="2">
        <v>0</v>
      </c>
      <c r="Y626" s="2">
        <v>3.86</v>
      </c>
      <c r="Z626" s="2">
        <v>3.86</v>
      </c>
      <c r="AA626" s="2">
        <v>3.86</v>
      </c>
      <c r="AB626" s="2">
        <v>0</v>
      </c>
    </row>
    <row r="627" spans="1:28" x14ac:dyDescent="0.25">
      <c r="A627">
        <v>2026619109</v>
      </c>
      <c r="B627" t="s">
        <v>362</v>
      </c>
      <c r="C627" t="s">
        <v>363</v>
      </c>
      <c r="D627" t="str">
        <f t="shared" si="19"/>
        <v>MAX BRUCK</v>
      </c>
      <c r="E627" t="s">
        <v>124</v>
      </c>
      <c r="F627" t="s">
        <v>194</v>
      </c>
      <c r="G627" t="s">
        <v>881</v>
      </c>
      <c r="H627" t="s">
        <v>881</v>
      </c>
      <c r="I627" s="8">
        <v>8977234</v>
      </c>
      <c r="J627" t="s">
        <v>102</v>
      </c>
      <c r="K627" t="s">
        <v>103</v>
      </c>
      <c r="L627" t="str">
        <f t="shared" si="18"/>
        <v>RYAN CALTAGIRONE</v>
      </c>
      <c r="M627" t="s">
        <v>1133</v>
      </c>
      <c r="N627" t="s">
        <v>57</v>
      </c>
      <c r="O627" s="1">
        <v>45689</v>
      </c>
      <c r="P627" s="1">
        <v>46235</v>
      </c>
      <c r="Q627" s="2">
        <v>85.53</v>
      </c>
      <c r="R627" t="s">
        <v>58</v>
      </c>
      <c r="S627" s="3">
        <v>0.15</v>
      </c>
      <c r="T627">
        <v>0</v>
      </c>
      <c r="U627" t="s">
        <v>247</v>
      </c>
      <c r="V627" t="s">
        <v>248</v>
      </c>
      <c r="W627">
        <v>0</v>
      </c>
      <c r="X627" s="2">
        <v>0</v>
      </c>
      <c r="Y627" s="2">
        <v>12.83</v>
      </c>
      <c r="Z627" s="2">
        <v>12.83</v>
      </c>
      <c r="AA627" s="2">
        <v>12.83</v>
      </c>
      <c r="AB627" s="2">
        <v>0</v>
      </c>
    </row>
    <row r="628" spans="1:28" x14ac:dyDescent="0.25">
      <c r="A628">
        <v>2033025114</v>
      </c>
      <c r="B628" t="s">
        <v>438</v>
      </c>
      <c r="C628" t="s">
        <v>250</v>
      </c>
      <c r="D628" t="str">
        <f t="shared" si="19"/>
        <v>BENJAMIN ZACHER</v>
      </c>
      <c r="E628" t="s">
        <v>89</v>
      </c>
      <c r="F628" t="s">
        <v>194</v>
      </c>
      <c r="G628" t="s">
        <v>203</v>
      </c>
      <c r="H628" t="s">
        <v>881</v>
      </c>
      <c r="I628" s="8">
        <v>8977234</v>
      </c>
      <c r="J628" t="s">
        <v>102</v>
      </c>
      <c r="K628" t="s">
        <v>103</v>
      </c>
      <c r="L628" t="str">
        <f t="shared" si="18"/>
        <v>RYAN CALTAGIRONE</v>
      </c>
      <c r="M628" t="s">
        <v>1133</v>
      </c>
      <c r="N628" t="s">
        <v>57</v>
      </c>
      <c r="O628" s="1">
        <v>46054</v>
      </c>
      <c r="P628" s="1">
        <v>46235</v>
      </c>
      <c r="Q628" s="2">
        <v>25.73</v>
      </c>
      <c r="R628" t="s">
        <v>58</v>
      </c>
      <c r="S628" s="3">
        <v>0.7</v>
      </c>
      <c r="T628">
        <v>0</v>
      </c>
      <c r="U628" t="s">
        <v>60</v>
      </c>
      <c r="V628" t="s">
        <v>248</v>
      </c>
      <c r="W628">
        <v>0</v>
      </c>
      <c r="X628" s="2">
        <v>0</v>
      </c>
      <c r="Y628" s="2">
        <v>18.010000000000002</v>
      </c>
      <c r="Z628" s="2">
        <v>0</v>
      </c>
      <c r="AA628" s="2">
        <v>0</v>
      </c>
      <c r="AB628" s="2">
        <v>0</v>
      </c>
    </row>
    <row r="629" spans="1:28" x14ac:dyDescent="0.25">
      <c r="A629">
        <v>2025997429</v>
      </c>
      <c r="B629" t="s">
        <v>348</v>
      </c>
      <c r="C629" t="s">
        <v>335</v>
      </c>
      <c r="D629" t="str">
        <f t="shared" si="19"/>
        <v>SCOTT JEPPERSON</v>
      </c>
      <c r="E629" t="s">
        <v>349</v>
      </c>
      <c r="F629" t="s">
        <v>69</v>
      </c>
      <c r="G629" t="s">
        <v>338</v>
      </c>
      <c r="H629" t="s">
        <v>1079</v>
      </c>
      <c r="I629" s="8">
        <v>8977234</v>
      </c>
      <c r="J629" t="s">
        <v>102</v>
      </c>
      <c r="K629" t="s">
        <v>103</v>
      </c>
      <c r="L629" t="str">
        <f t="shared" si="18"/>
        <v>RYAN CALTAGIRONE</v>
      </c>
      <c r="M629" t="s">
        <v>1133</v>
      </c>
      <c r="N629" t="s">
        <v>57</v>
      </c>
      <c r="O629" s="1">
        <v>45689</v>
      </c>
      <c r="P629" s="1">
        <v>46235</v>
      </c>
      <c r="Q629" s="2">
        <v>224.85</v>
      </c>
      <c r="R629" t="s">
        <v>58</v>
      </c>
      <c r="S629" s="3">
        <v>0.1</v>
      </c>
      <c r="T629">
        <v>0</v>
      </c>
      <c r="U629" t="s">
        <v>247</v>
      </c>
      <c r="V629" t="s">
        <v>248</v>
      </c>
      <c r="W629">
        <v>0</v>
      </c>
      <c r="X629" s="2">
        <v>0</v>
      </c>
      <c r="Y629" s="2">
        <v>22.48</v>
      </c>
      <c r="Z629" s="2">
        <v>22.48</v>
      </c>
      <c r="AA629" s="2">
        <v>22.48</v>
      </c>
      <c r="AB629" s="2">
        <v>0</v>
      </c>
    </row>
    <row r="630" spans="1:28" x14ac:dyDescent="0.25">
      <c r="A630">
        <v>2026619110</v>
      </c>
      <c r="B630" t="s">
        <v>362</v>
      </c>
      <c r="C630" t="s">
        <v>363</v>
      </c>
      <c r="D630" t="str">
        <f t="shared" si="19"/>
        <v>MAX BRUCK</v>
      </c>
      <c r="E630" t="s">
        <v>124</v>
      </c>
      <c r="F630" t="s">
        <v>69</v>
      </c>
      <c r="G630" t="s">
        <v>338</v>
      </c>
      <c r="H630" t="s">
        <v>1079</v>
      </c>
      <c r="I630" s="8">
        <v>8977234</v>
      </c>
      <c r="J630" t="s">
        <v>102</v>
      </c>
      <c r="K630" t="s">
        <v>103</v>
      </c>
      <c r="L630" t="str">
        <f t="shared" si="18"/>
        <v>RYAN CALTAGIRONE</v>
      </c>
      <c r="M630" t="s">
        <v>1133</v>
      </c>
      <c r="N630" t="s">
        <v>57</v>
      </c>
      <c r="O630" s="1">
        <v>45689</v>
      </c>
      <c r="P630" s="1">
        <v>46235</v>
      </c>
      <c r="Q630" s="2">
        <v>168.15</v>
      </c>
      <c r="R630" t="s">
        <v>58</v>
      </c>
      <c r="S630" s="3">
        <v>0.1</v>
      </c>
      <c r="T630">
        <v>0</v>
      </c>
      <c r="U630" t="s">
        <v>247</v>
      </c>
      <c r="V630" t="s">
        <v>248</v>
      </c>
      <c r="W630">
        <v>0</v>
      </c>
      <c r="X630" s="2">
        <v>0</v>
      </c>
      <c r="Y630" s="2">
        <v>16.82</v>
      </c>
      <c r="Z630" s="2">
        <v>16.82</v>
      </c>
      <c r="AA630" s="2">
        <v>16.82</v>
      </c>
      <c r="AB630" s="2">
        <v>0</v>
      </c>
    </row>
    <row r="631" spans="1:28" x14ac:dyDescent="0.25">
      <c r="A631">
        <v>2032626950</v>
      </c>
      <c r="B631" t="s">
        <v>407</v>
      </c>
      <c r="C631" t="s">
        <v>408</v>
      </c>
      <c r="D631" t="str">
        <f t="shared" si="19"/>
        <v>JAMIE FILIPPO</v>
      </c>
      <c r="E631" t="s">
        <v>89</v>
      </c>
      <c r="F631" t="s">
        <v>69</v>
      </c>
      <c r="G631" t="s">
        <v>338</v>
      </c>
      <c r="H631" t="s">
        <v>1079</v>
      </c>
      <c r="I631" s="8">
        <v>8977234</v>
      </c>
      <c r="J631" t="s">
        <v>102</v>
      </c>
      <c r="K631" t="s">
        <v>103</v>
      </c>
      <c r="L631" t="str">
        <f t="shared" si="18"/>
        <v>RYAN CALTAGIRONE</v>
      </c>
      <c r="M631" t="s">
        <v>1133</v>
      </c>
      <c r="N631" t="s">
        <v>57</v>
      </c>
      <c r="O631" s="1">
        <v>46023</v>
      </c>
      <c r="P631" s="1">
        <v>46235</v>
      </c>
      <c r="Q631" s="2">
        <v>22.3</v>
      </c>
      <c r="R631" t="s">
        <v>58</v>
      </c>
      <c r="S631" s="3">
        <v>0.75</v>
      </c>
      <c r="T631">
        <v>0</v>
      </c>
      <c r="U631" t="s">
        <v>60</v>
      </c>
      <c r="V631" t="s">
        <v>248</v>
      </c>
      <c r="W631">
        <v>0</v>
      </c>
      <c r="X631" s="2">
        <v>0</v>
      </c>
      <c r="Y631" s="2">
        <v>16.72</v>
      </c>
      <c r="Z631" s="2">
        <v>16.72</v>
      </c>
      <c r="AA631" s="2">
        <v>16.72</v>
      </c>
      <c r="AB631" s="2">
        <v>0</v>
      </c>
    </row>
    <row r="632" spans="1:28" x14ac:dyDescent="0.25">
      <c r="A632">
        <v>2032827917</v>
      </c>
      <c r="B632" t="s">
        <v>410</v>
      </c>
      <c r="C632" t="s">
        <v>411</v>
      </c>
      <c r="D632" t="str">
        <f t="shared" si="19"/>
        <v>AMBER LEMIEUX</v>
      </c>
      <c r="E632" t="s">
        <v>332</v>
      </c>
      <c r="F632" t="s">
        <v>69</v>
      </c>
      <c r="G632" t="s">
        <v>412</v>
      </c>
      <c r="H632" t="s">
        <v>1079</v>
      </c>
      <c r="I632" s="8">
        <v>8977234</v>
      </c>
      <c r="J632" t="s">
        <v>102</v>
      </c>
      <c r="K632" t="s">
        <v>103</v>
      </c>
      <c r="L632" t="str">
        <f t="shared" si="18"/>
        <v>RYAN CALTAGIRONE</v>
      </c>
      <c r="M632" t="s">
        <v>1133</v>
      </c>
      <c r="N632" t="s">
        <v>57</v>
      </c>
      <c r="O632" s="1">
        <v>46054</v>
      </c>
      <c r="P632" s="1">
        <v>46235</v>
      </c>
      <c r="Q632" s="2">
        <v>6.39</v>
      </c>
      <c r="R632" t="s">
        <v>58</v>
      </c>
      <c r="S632" s="3">
        <v>0.75</v>
      </c>
      <c r="T632">
        <v>0</v>
      </c>
      <c r="U632" t="s">
        <v>60</v>
      </c>
      <c r="V632" t="s">
        <v>248</v>
      </c>
      <c r="W632">
        <v>0</v>
      </c>
      <c r="X632" s="2">
        <v>0</v>
      </c>
      <c r="Y632" s="2">
        <v>4.79</v>
      </c>
      <c r="Z632" s="2">
        <v>0</v>
      </c>
      <c r="AA632" s="2">
        <v>0</v>
      </c>
      <c r="AB632" s="2">
        <v>0</v>
      </c>
    </row>
    <row r="633" spans="1:28" x14ac:dyDescent="0.25">
      <c r="A633">
        <v>2033135807</v>
      </c>
      <c r="B633" t="s">
        <v>312</v>
      </c>
      <c r="C633" t="s">
        <v>313</v>
      </c>
      <c r="D633" t="str">
        <f t="shared" si="19"/>
        <v>JESUS CAMPUZANO</v>
      </c>
      <c r="E633" t="s">
        <v>100</v>
      </c>
      <c r="F633" t="s">
        <v>69</v>
      </c>
      <c r="G633" t="s">
        <v>70</v>
      </c>
      <c r="H633" t="s">
        <v>1079</v>
      </c>
      <c r="I633" s="8">
        <v>8977234</v>
      </c>
      <c r="J633" t="s">
        <v>102</v>
      </c>
      <c r="K633" t="s">
        <v>103</v>
      </c>
      <c r="L633" t="str">
        <f t="shared" si="18"/>
        <v>RYAN CALTAGIRONE</v>
      </c>
      <c r="M633" t="s">
        <v>1133</v>
      </c>
      <c r="N633" t="s">
        <v>57</v>
      </c>
      <c r="O633" s="1">
        <v>46054</v>
      </c>
      <c r="P633" s="1">
        <v>46235</v>
      </c>
      <c r="Q633" s="2">
        <v>13.93</v>
      </c>
      <c r="R633" t="s">
        <v>58</v>
      </c>
      <c r="S633" s="3">
        <v>0.75</v>
      </c>
      <c r="T633">
        <v>0</v>
      </c>
      <c r="U633" t="s">
        <v>60</v>
      </c>
      <c r="V633" t="s">
        <v>248</v>
      </c>
      <c r="W633">
        <v>0</v>
      </c>
      <c r="X633" s="2">
        <v>0</v>
      </c>
      <c r="Y633" s="2">
        <v>10.45</v>
      </c>
      <c r="Z633" s="2">
        <v>0</v>
      </c>
      <c r="AA633" s="2">
        <v>0</v>
      </c>
      <c r="AB633" s="2">
        <v>0</v>
      </c>
    </row>
    <row r="634" spans="1:28" x14ac:dyDescent="0.25">
      <c r="A634">
        <v>2033020520</v>
      </c>
      <c r="B634" t="s">
        <v>436</v>
      </c>
      <c r="C634" t="s">
        <v>437</v>
      </c>
      <c r="D634" t="str">
        <f t="shared" si="19"/>
        <v>MARIEL MORTON</v>
      </c>
      <c r="E634" t="s">
        <v>143</v>
      </c>
      <c r="F634" t="s">
        <v>69</v>
      </c>
      <c r="G634" t="s">
        <v>338</v>
      </c>
      <c r="H634" t="s">
        <v>1079</v>
      </c>
      <c r="I634" s="8">
        <v>8977234</v>
      </c>
      <c r="J634" t="s">
        <v>102</v>
      </c>
      <c r="K634" t="s">
        <v>103</v>
      </c>
      <c r="L634" t="str">
        <f t="shared" si="18"/>
        <v>RYAN CALTAGIRONE</v>
      </c>
      <c r="M634" t="s">
        <v>1133</v>
      </c>
      <c r="N634" t="s">
        <v>57</v>
      </c>
      <c r="O634" s="1">
        <v>46054</v>
      </c>
      <c r="P634" s="1">
        <v>46235</v>
      </c>
      <c r="Q634" s="2">
        <v>29.5</v>
      </c>
      <c r="R634" t="s">
        <v>58</v>
      </c>
      <c r="S634" s="3">
        <v>0.75</v>
      </c>
      <c r="T634">
        <v>0</v>
      </c>
      <c r="U634" t="s">
        <v>60</v>
      </c>
      <c r="V634" t="s">
        <v>248</v>
      </c>
      <c r="W634">
        <v>0</v>
      </c>
      <c r="X634" s="2">
        <v>0</v>
      </c>
      <c r="Y634" s="2">
        <v>22.12</v>
      </c>
      <c r="Z634" s="2">
        <v>0</v>
      </c>
      <c r="AA634" s="2">
        <v>0</v>
      </c>
      <c r="AB634" s="2">
        <v>0</v>
      </c>
    </row>
    <row r="635" spans="1:28" x14ac:dyDescent="0.25">
      <c r="A635">
        <v>2033072264</v>
      </c>
      <c r="B635" t="s">
        <v>453</v>
      </c>
      <c r="C635" t="s">
        <v>454</v>
      </c>
      <c r="D635" t="str">
        <f t="shared" si="19"/>
        <v>AMY DUARTE</v>
      </c>
      <c r="E635" t="s">
        <v>89</v>
      </c>
      <c r="F635" t="s">
        <v>69</v>
      </c>
      <c r="G635" t="s">
        <v>70</v>
      </c>
      <c r="H635" t="s">
        <v>1079</v>
      </c>
      <c r="I635" s="8">
        <v>8977234</v>
      </c>
      <c r="J635" t="s">
        <v>102</v>
      </c>
      <c r="K635" t="s">
        <v>103</v>
      </c>
      <c r="L635" t="str">
        <f t="shared" si="18"/>
        <v>RYAN CALTAGIRONE</v>
      </c>
      <c r="M635" t="s">
        <v>1133</v>
      </c>
      <c r="N635" t="s">
        <v>57</v>
      </c>
      <c r="O635" s="1">
        <v>46049</v>
      </c>
      <c r="P635" s="1">
        <v>46230</v>
      </c>
      <c r="Q635" s="2">
        <v>33.9</v>
      </c>
      <c r="R635" t="s">
        <v>58</v>
      </c>
      <c r="S635" s="3">
        <v>0.75</v>
      </c>
      <c r="T635">
        <v>0</v>
      </c>
      <c r="U635" t="s">
        <v>60</v>
      </c>
      <c r="V635" t="s">
        <v>248</v>
      </c>
      <c r="W635">
        <v>0</v>
      </c>
      <c r="X635" s="2">
        <v>0</v>
      </c>
      <c r="Y635" s="2">
        <v>25.42</v>
      </c>
      <c r="Z635" s="2">
        <v>0</v>
      </c>
      <c r="AA635" s="2">
        <v>0</v>
      </c>
      <c r="AB635" s="2">
        <v>0</v>
      </c>
    </row>
    <row r="636" spans="1:28" x14ac:dyDescent="0.25">
      <c r="A636">
        <v>2032959559</v>
      </c>
      <c r="B636" t="s">
        <v>419</v>
      </c>
      <c r="C636" t="s">
        <v>420</v>
      </c>
      <c r="D636" t="str">
        <f t="shared" si="19"/>
        <v>DIANA TOBIN</v>
      </c>
      <c r="E636" t="s">
        <v>200</v>
      </c>
      <c r="F636" t="s">
        <v>69</v>
      </c>
      <c r="G636" t="s">
        <v>70</v>
      </c>
      <c r="H636" t="s">
        <v>1079</v>
      </c>
      <c r="I636" s="8">
        <v>8977234</v>
      </c>
      <c r="J636" t="s">
        <v>102</v>
      </c>
      <c r="K636" t="s">
        <v>103</v>
      </c>
      <c r="L636" t="str">
        <f t="shared" si="18"/>
        <v>RYAN CALTAGIRONE</v>
      </c>
      <c r="M636" t="s">
        <v>1133</v>
      </c>
      <c r="N636" t="s">
        <v>57</v>
      </c>
      <c r="O636" s="1">
        <v>46054</v>
      </c>
      <c r="P636" s="1">
        <v>46235</v>
      </c>
      <c r="Q636" s="2">
        <v>34.46</v>
      </c>
      <c r="R636" t="s">
        <v>58</v>
      </c>
      <c r="S636" s="3">
        <v>0.75</v>
      </c>
      <c r="T636">
        <v>0</v>
      </c>
      <c r="U636" t="s">
        <v>60</v>
      </c>
      <c r="V636" t="s">
        <v>248</v>
      </c>
      <c r="W636">
        <v>0</v>
      </c>
      <c r="X636" s="2">
        <v>0</v>
      </c>
      <c r="Y636" s="2">
        <v>25.84</v>
      </c>
      <c r="Z636" s="2">
        <v>0</v>
      </c>
      <c r="AA636" s="2">
        <v>0</v>
      </c>
      <c r="AB636" s="2">
        <v>0</v>
      </c>
    </row>
    <row r="637" spans="1:28" x14ac:dyDescent="0.25">
      <c r="A637">
        <v>2033388995</v>
      </c>
      <c r="B637" t="s">
        <v>543</v>
      </c>
      <c r="C637" t="s">
        <v>103</v>
      </c>
      <c r="D637" t="str">
        <f t="shared" si="19"/>
        <v>RYAN LAZARUS</v>
      </c>
      <c r="E637" t="s">
        <v>89</v>
      </c>
      <c r="F637" t="s">
        <v>69</v>
      </c>
      <c r="G637" t="s">
        <v>338</v>
      </c>
      <c r="H637" t="s">
        <v>1079</v>
      </c>
      <c r="I637" s="8">
        <v>8977234</v>
      </c>
      <c r="J637" t="s">
        <v>102</v>
      </c>
      <c r="K637" t="s">
        <v>103</v>
      </c>
      <c r="L637" t="str">
        <f t="shared" si="18"/>
        <v>RYAN CALTAGIRONE</v>
      </c>
      <c r="M637" t="s">
        <v>1133</v>
      </c>
      <c r="N637" t="s">
        <v>57</v>
      </c>
      <c r="O637" s="1">
        <v>46054</v>
      </c>
      <c r="P637" s="1">
        <v>46235</v>
      </c>
      <c r="Q637" s="2">
        <v>44.05</v>
      </c>
      <c r="R637" t="s">
        <v>58</v>
      </c>
      <c r="S637" s="3">
        <v>0.75</v>
      </c>
      <c r="T637">
        <v>0</v>
      </c>
      <c r="U637" t="s">
        <v>60</v>
      </c>
      <c r="V637" t="s">
        <v>248</v>
      </c>
      <c r="W637">
        <v>0</v>
      </c>
      <c r="X637" s="2">
        <v>0</v>
      </c>
      <c r="Y637" s="2">
        <v>33.04</v>
      </c>
      <c r="Z637" s="2">
        <v>0</v>
      </c>
      <c r="AA637" s="2">
        <v>0</v>
      </c>
      <c r="AB637" s="2">
        <v>0</v>
      </c>
    </row>
    <row r="638" spans="1:28" x14ac:dyDescent="0.25">
      <c r="A638">
        <v>2033057791</v>
      </c>
      <c r="B638" t="s">
        <v>446</v>
      </c>
      <c r="C638" t="s">
        <v>433</v>
      </c>
      <c r="D638" t="str">
        <f t="shared" si="19"/>
        <v>TERESA MILLER</v>
      </c>
      <c r="E638" t="s">
        <v>89</v>
      </c>
      <c r="F638" t="s">
        <v>69</v>
      </c>
      <c r="G638" t="s">
        <v>70</v>
      </c>
      <c r="H638" t="s">
        <v>1079</v>
      </c>
      <c r="I638" s="8">
        <v>8977234</v>
      </c>
      <c r="J638" t="s">
        <v>102</v>
      </c>
      <c r="K638" t="s">
        <v>103</v>
      </c>
      <c r="L638" t="str">
        <f t="shared" si="18"/>
        <v>RYAN CALTAGIRONE</v>
      </c>
      <c r="M638" t="s">
        <v>1133</v>
      </c>
      <c r="N638" t="s">
        <v>57</v>
      </c>
      <c r="O638" s="1">
        <v>46054</v>
      </c>
      <c r="P638" s="1">
        <v>46235</v>
      </c>
      <c r="Q638" s="2">
        <v>72.73</v>
      </c>
      <c r="R638" t="s">
        <v>58</v>
      </c>
      <c r="S638" s="3">
        <v>0.75</v>
      </c>
      <c r="T638">
        <v>0</v>
      </c>
      <c r="U638" t="s">
        <v>60</v>
      </c>
      <c r="V638" t="s">
        <v>248</v>
      </c>
      <c r="W638">
        <v>0</v>
      </c>
      <c r="X638" s="2">
        <v>0</v>
      </c>
      <c r="Y638" s="2">
        <v>54.55</v>
      </c>
      <c r="Z638" s="2">
        <v>0</v>
      </c>
      <c r="AA638" s="2">
        <v>0</v>
      </c>
      <c r="AB638" s="2">
        <v>0</v>
      </c>
    </row>
    <row r="639" spans="1:28" x14ac:dyDescent="0.25">
      <c r="A639">
        <v>2026471869</v>
      </c>
      <c r="B639" t="s">
        <v>285</v>
      </c>
      <c r="C639" t="s">
        <v>286</v>
      </c>
      <c r="D639" t="str">
        <f t="shared" si="19"/>
        <v>NATHAN STEHLIK</v>
      </c>
      <c r="E639" t="s">
        <v>117</v>
      </c>
      <c r="F639" t="s">
        <v>69</v>
      </c>
      <c r="G639" t="s">
        <v>101</v>
      </c>
      <c r="H639" t="s">
        <v>1081</v>
      </c>
      <c r="I639" s="8">
        <v>8977234</v>
      </c>
      <c r="J639" t="s">
        <v>102</v>
      </c>
      <c r="K639" t="s">
        <v>103</v>
      </c>
      <c r="L639" t="str">
        <f t="shared" si="18"/>
        <v>RYAN CALTAGIRONE</v>
      </c>
      <c r="M639" t="s">
        <v>1133</v>
      </c>
      <c r="N639" t="s">
        <v>57</v>
      </c>
      <c r="O639" s="1">
        <v>45689</v>
      </c>
      <c r="P639" s="1">
        <v>46235</v>
      </c>
      <c r="Q639" s="2">
        <v>17.25</v>
      </c>
      <c r="R639" t="s">
        <v>58</v>
      </c>
      <c r="S639" s="3">
        <v>0.1</v>
      </c>
      <c r="T639">
        <v>0</v>
      </c>
      <c r="U639" t="s">
        <v>247</v>
      </c>
      <c r="V639" t="s">
        <v>248</v>
      </c>
      <c r="W639">
        <v>0</v>
      </c>
      <c r="X639" s="2">
        <v>0</v>
      </c>
      <c r="Y639" s="2">
        <v>1.72</v>
      </c>
      <c r="Z639" s="2">
        <v>1.72</v>
      </c>
      <c r="AA639" s="2">
        <v>1.72</v>
      </c>
      <c r="AB639" s="2">
        <v>0</v>
      </c>
    </row>
    <row r="640" spans="1:28" x14ac:dyDescent="0.25">
      <c r="A640">
        <v>2026616495</v>
      </c>
      <c r="B640" t="s">
        <v>354</v>
      </c>
      <c r="C640" t="s">
        <v>355</v>
      </c>
      <c r="D640" t="str">
        <f t="shared" si="19"/>
        <v>JAMES RAGGETT</v>
      </c>
      <c r="E640" t="s">
        <v>117</v>
      </c>
      <c r="F640" t="s">
        <v>69</v>
      </c>
      <c r="G640" t="s">
        <v>79</v>
      </c>
      <c r="H640" t="s">
        <v>1080</v>
      </c>
      <c r="I640" s="8">
        <v>8977234</v>
      </c>
      <c r="J640" t="s">
        <v>102</v>
      </c>
      <c r="K640" t="s">
        <v>103</v>
      </c>
      <c r="L640" t="str">
        <f t="shared" si="18"/>
        <v>RYAN CALTAGIRONE</v>
      </c>
      <c r="M640" t="s">
        <v>1133</v>
      </c>
      <c r="N640" t="s">
        <v>57</v>
      </c>
      <c r="O640" s="1">
        <v>45689</v>
      </c>
      <c r="P640" s="1">
        <v>46235</v>
      </c>
      <c r="Q640" s="2">
        <v>60.43</v>
      </c>
      <c r="R640" t="s">
        <v>58</v>
      </c>
      <c r="S640" s="3">
        <v>0.1</v>
      </c>
      <c r="T640">
        <v>0</v>
      </c>
      <c r="U640" t="s">
        <v>247</v>
      </c>
      <c r="V640" t="s">
        <v>248</v>
      </c>
      <c r="W640">
        <v>0</v>
      </c>
      <c r="X640" s="2">
        <v>0</v>
      </c>
      <c r="Y640" s="2">
        <v>6.04</v>
      </c>
      <c r="Z640" s="2">
        <v>6.04</v>
      </c>
      <c r="AA640" s="2">
        <v>6.04</v>
      </c>
      <c r="AB640" s="2">
        <v>0</v>
      </c>
    </row>
    <row r="641" spans="1:28" x14ac:dyDescent="0.25">
      <c r="A641">
        <v>2033145360</v>
      </c>
      <c r="B641" t="s">
        <v>470</v>
      </c>
      <c r="C641" t="s">
        <v>471</v>
      </c>
      <c r="D641" t="str">
        <f t="shared" si="19"/>
        <v>KELLY SHAW</v>
      </c>
      <c r="E641" t="s">
        <v>89</v>
      </c>
      <c r="F641" t="s">
        <v>69</v>
      </c>
      <c r="G641" t="s">
        <v>79</v>
      </c>
      <c r="H641" t="s">
        <v>1080</v>
      </c>
      <c r="I641" s="8">
        <v>8977234</v>
      </c>
      <c r="J641" t="s">
        <v>102</v>
      </c>
      <c r="K641" t="s">
        <v>103</v>
      </c>
      <c r="L641" t="str">
        <f t="shared" si="18"/>
        <v>RYAN CALTAGIRONE</v>
      </c>
      <c r="M641" t="s">
        <v>1133</v>
      </c>
      <c r="N641" t="s">
        <v>57</v>
      </c>
      <c r="O641" s="1">
        <v>46054</v>
      </c>
      <c r="P641" s="1">
        <v>46235</v>
      </c>
      <c r="Q641" s="2">
        <v>37.92</v>
      </c>
      <c r="R641" t="s">
        <v>58</v>
      </c>
      <c r="S641" s="3">
        <v>0.9</v>
      </c>
      <c r="T641">
        <v>0</v>
      </c>
      <c r="U641" t="s">
        <v>60</v>
      </c>
      <c r="V641" t="s">
        <v>248</v>
      </c>
      <c r="W641">
        <v>0</v>
      </c>
      <c r="X641" s="2">
        <v>0</v>
      </c>
      <c r="Y641" s="2">
        <v>34.130000000000003</v>
      </c>
      <c r="Z641" s="2">
        <v>0</v>
      </c>
      <c r="AA641" s="2">
        <v>0</v>
      </c>
      <c r="AB641" s="2">
        <v>0</v>
      </c>
    </row>
    <row r="642" spans="1:28" x14ac:dyDescent="0.25">
      <c r="A642">
        <v>2032987594</v>
      </c>
      <c r="B642" t="s">
        <v>426</v>
      </c>
      <c r="C642" t="s">
        <v>427</v>
      </c>
      <c r="D642" t="str">
        <f t="shared" si="19"/>
        <v>CHARITY WATERS</v>
      </c>
      <c r="E642" t="s">
        <v>143</v>
      </c>
      <c r="F642" t="s">
        <v>69</v>
      </c>
      <c r="G642" t="s">
        <v>79</v>
      </c>
      <c r="H642" t="s">
        <v>1080</v>
      </c>
      <c r="I642" s="8">
        <v>8977234</v>
      </c>
      <c r="J642" t="s">
        <v>102</v>
      </c>
      <c r="K642" t="s">
        <v>103</v>
      </c>
      <c r="L642" t="str">
        <f t="shared" ref="L642:L705" si="20">CONCATENATE(K642," ",J642)</f>
        <v>RYAN CALTAGIRONE</v>
      </c>
      <c r="M642" t="s">
        <v>1133</v>
      </c>
      <c r="N642" t="s">
        <v>57</v>
      </c>
      <c r="O642" s="1">
        <v>46054</v>
      </c>
      <c r="P642" s="1">
        <v>46235</v>
      </c>
      <c r="Q642" s="2">
        <v>43.66</v>
      </c>
      <c r="R642" t="s">
        <v>58</v>
      </c>
      <c r="S642" s="3">
        <v>0.9</v>
      </c>
      <c r="T642">
        <v>0</v>
      </c>
      <c r="U642" t="s">
        <v>60</v>
      </c>
      <c r="V642" t="s">
        <v>248</v>
      </c>
      <c r="W642">
        <v>0</v>
      </c>
      <c r="X642" s="2">
        <v>0</v>
      </c>
      <c r="Y642" s="2">
        <v>39.29</v>
      </c>
      <c r="Z642" s="2">
        <v>0</v>
      </c>
      <c r="AA642" s="2">
        <v>0</v>
      </c>
      <c r="AB642" s="2">
        <v>0</v>
      </c>
    </row>
    <row r="643" spans="1:28" x14ac:dyDescent="0.25">
      <c r="A643">
        <v>2033150716</v>
      </c>
      <c r="B643" t="s">
        <v>475</v>
      </c>
      <c r="C643" t="s">
        <v>476</v>
      </c>
      <c r="D643" t="str">
        <f t="shared" ref="D643:D706" si="21">CONCATENATE(C643," ",B643)</f>
        <v>ANGELICA SANTIAGO</v>
      </c>
      <c r="E643" t="s">
        <v>143</v>
      </c>
      <c r="F643" t="s">
        <v>69</v>
      </c>
      <c r="G643" t="s">
        <v>79</v>
      </c>
      <c r="H643" t="s">
        <v>1080</v>
      </c>
      <c r="I643" s="8">
        <v>8977234</v>
      </c>
      <c r="J643" t="s">
        <v>102</v>
      </c>
      <c r="K643" t="s">
        <v>103</v>
      </c>
      <c r="L643" t="str">
        <f t="shared" si="20"/>
        <v>RYAN CALTAGIRONE</v>
      </c>
      <c r="M643" t="s">
        <v>1133</v>
      </c>
      <c r="N643" t="s">
        <v>57</v>
      </c>
      <c r="O643" s="1">
        <v>46054</v>
      </c>
      <c r="P643" s="1">
        <v>46235</v>
      </c>
      <c r="Q643" s="2">
        <v>56.5</v>
      </c>
      <c r="R643" t="s">
        <v>58</v>
      </c>
      <c r="S643" s="3">
        <v>0.9</v>
      </c>
      <c r="T643">
        <v>0</v>
      </c>
      <c r="U643" t="s">
        <v>60</v>
      </c>
      <c r="V643" t="s">
        <v>248</v>
      </c>
      <c r="W643">
        <v>0</v>
      </c>
      <c r="X643" s="2">
        <v>0</v>
      </c>
      <c r="Y643" s="2">
        <v>50.85</v>
      </c>
      <c r="Z643" s="2">
        <v>0</v>
      </c>
      <c r="AA643" s="2">
        <v>0</v>
      </c>
      <c r="AB643" s="2">
        <v>0</v>
      </c>
    </row>
    <row r="644" spans="1:28" x14ac:dyDescent="0.25">
      <c r="A644">
        <v>2035532860</v>
      </c>
      <c r="B644" t="s">
        <v>574</v>
      </c>
      <c r="C644" t="s">
        <v>575</v>
      </c>
      <c r="D644" t="str">
        <f t="shared" si="21"/>
        <v>CHRISTY HENDRIX</v>
      </c>
      <c r="E644" t="s">
        <v>97</v>
      </c>
      <c r="F644" t="s">
        <v>69</v>
      </c>
      <c r="G644" t="s">
        <v>79</v>
      </c>
      <c r="H644" t="s">
        <v>1080</v>
      </c>
      <c r="I644" s="8">
        <v>8977234</v>
      </c>
      <c r="J644" t="s">
        <v>102</v>
      </c>
      <c r="K644" t="s">
        <v>103</v>
      </c>
      <c r="L644" t="str">
        <f t="shared" si="20"/>
        <v>RYAN CALTAGIRONE</v>
      </c>
      <c r="M644" t="s">
        <v>1133</v>
      </c>
      <c r="N644" t="s">
        <v>57</v>
      </c>
      <c r="O644" s="1">
        <v>46172</v>
      </c>
      <c r="P644" s="1">
        <v>46233</v>
      </c>
      <c r="Q644" s="2">
        <v>65.08</v>
      </c>
      <c r="R644" t="s">
        <v>58</v>
      </c>
      <c r="S644" s="3">
        <v>0.9</v>
      </c>
      <c r="T644">
        <v>0</v>
      </c>
      <c r="U644" t="s">
        <v>60</v>
      </c>
      <c r="V644" t="s">
        <v>248</v>
      </c>
      <c r="W644">
        <v>0</v>
      </c>
      <c r="X644" s="2">
        <v>0</v>
      </c>
      <c r="Y644" s="2">
        <v>58.57</v>
      </c>
      <c r="Z644" s="2">
        <v>0</v>
      </c>
      <c r="AA644" s="2">
        <v>0</v>
      </c>
      <c r="AB644" s="2">
        <v>0</v>
      </c>
    </row>
    <row r="645" spans="1:28" x14ac:dyDescent="0.25">
      <c r="A645">
        <v>2033025112</v>
      </c>
      <c r="B645" t="s">
        <v>438</v>
      </c>
      <c r="C645" t="s">
        <v>250</v>
      </c>
      <c r="D645" t="str">
        <f t="shared" si="21"/>
        <v>BENJAMIN ZACHER</v>
      </c>
      <c r="E645" t="s">
        <v>89</v>
      </c>
      <c r="F645" t="s">
        <v>69</v>
      </c>
      <c r="G645" t="s">
        <v>79</v>
      </c>
      <c r="H645" t="s">
        <v>1080</v>
      </c>
      <c r="I645" s="8">
        <v>8977234</v>
      </c>
      <c r="J645" t="s">
        <v>102</v>
      </c>
      <c r="K645" t="s">
        <v>103</v>
      </c>
      <c r="L645" t="str">
        <f t="shared" si="20"/>
        <v>RYAN CALTAGIRONE</v>
      </c>
      <c r="M645" t="s">
        <v>1133</v>
      </c>
      <c r="N645" t="s">
        <v>57</v>
      </c>
      <c r="O645" s="1">
        <v>46054</v>
      </c>
      <c r="P645" s="1">
        <v>46235</v>
      </c>
      <c r="Q645" s="2">
        <v>68.16</v>
      </c>
      <c r="R645" t="s">
        <v>58</v>
      </c>
      <c r="S645" s="3">
        <v>0.9</v>
      </c>
      <c r="T645">
        <v>0</v>
      </c>
      <c r="U645" t="s">
        <v>60</v>
      </c>
      <c r="V645" t="s">
        <v>248</v>
      </c>
      <c r="W645">
        <v>0</v>
      </c>
      <c r="X645" s="2">
        <v>0</v>
      </c>
      <c r="Y645" s="2">
        <v>61.34</v>
      </c>
      <c r="Z645" s="2">
        <v>0</v>
      </c>
      <c r="AA645" s="2">
        <v>0</v>
      </c>
      <c r="AB645" s="2">
        <v>0</v>
      </c>
    </row>
    <row r="646" spans="1:28" x14ac:dyDescent="0.25">
      <c r="A646">
        <v>2020392187</v>
      </c>
      <c r="B646" t="s">
        <v>582</v>
      </c>
      <c r="C646" t="s">
        <v>583</v>
      </c>
      <c r="D646" t="str">
        <f t="shared" si="21"/>
        <v>COLIN SLAIS</v>
      </c>
      <c r="E646" t="s">
        <v>332</v>
      </c>
      <c r="F646" t="s">
        <v>149</v>
      </c>
      <c r="G646" t="s">
        <v>584</v>
      </c>
      <c r="H646" t="s">
        <v>1082</v>
      </c>
      <c r="I646" s="8">
        <v>8977234</v>
      </c>
      <c r="J646" t="s">
        <v>102</v>
      </c>
      <c r="K646" t="s">
        <v>103</v>
      </c>
      <c r="L646" t="str">
        <f t="shared" si="20"/>
        <v>RYAN CALTAGIRONE</v>
      </c>
      <c r="M646" t="s">
        <v>1133</v>
      </c>
      <c r="N646" t="s">
        <v>57</v>
      </c>
      <c r="O646" s="1">
        <v>45288</v>
      </c>
      <c r="P646" s="1">
        <v>46231</v>
      </c>
      <c r="Q646" s="2">
        <v>15</v>
      </c>
      <c r="R646" t="s">
        <v>58</v>
      </c>
      <c r="S646" s="3">
        <v>0.28999999999999998</v>
      </c>
      <c r="T646">
        <v>0</v>
      </c>
      <c r="U646" t="s">
        <v>247</v>
      </c>
      <c r="V646" t="s">
        <v>248</v>
      </c>
      <c r="W646">
        <v>0</v>
      </c>
      <c r="X646" s="2">
        <v>0</v>
      </c>
      <c r="Y646" s="2">
        <v>4.3499999999999996</v>
      </c>
      <c r="Z646" s="2">
        <v>4.3499999999999996</v>
      </c>
      <c r="AA646" s="2">
        <v>4.3499999999999996</v>
      </c>
      <c r="AB646" s="2">
        <v>0</v>
      </c>
    </row>
    <row r="647" spans="1:28" x14ac:dyDescent="0.25">
      <c r="A647">
        <v>2023809266</v>
      </c>
      <c r="B647" t="s">
        <v>585</v>
      </c>
      <c r="C647" t="s">
        <v>586</v>
      </c>
      <c r="D647" t="str">
        <f t="shared" si="21"/>
        <v>ANTOINETTE LARSON</v>
      </c>
      <c r="E647" t="s">
        <v>332</v>
      </c>
      <c r="F647" t="s">
        <v>149</v>
      </c>
      <c r="G647" t="s">
        <v>584</v>
      </c>
      <c r="H647" t="s">
        <v>1082</v>
      </c>
      <c r="I647" s="8">
        <v>8977234</v>
      </c>
      <c r="J647" t="s">
        <v>102</v>
      </c>
      <c r="K647" t="s">
        <v>103</v>
      </c>
      <c r="L647" t="str">
        <f t="shared" si="20"/>
        <v>RYAN CALTAGIRONE</v>
      </c>
      <c r="M647" t="s">
        <v>1133</v>
      </c>
      <c r="N647" t="s">
        <v>57</v>
      </c>
      <c r="O647" s="1">
        <v>45653</v>
      </c>
      <c r="P647" s="1">
        <v>46230</v>
      </c>
      <c r="Q647" s="2">
        <v>15</v>
      </c>
      <c r="R647" t="s">
        <v>58</v>
      </c>
      <c r="S647" s="3">
        <v>0.28999999999999998</v>
      </c>
      <c r="T647">
        <v>0</v>
      </c>
      <c r="U647" t="s">
        <v>247</v>
      </c>
      <c r="V647" t="s">
        <v>248</v>
      </c>
      <c r="W647">
        <v>0</v>
      </c>
      <c r="X647" s="2">
        <v>0</v>
      </c>
      <c r="Y647" s="2">
        <v>4.3499999999999996</v>
      </c>
      <c r="Z647" s="2">
        <v>4.3499999999999996</v>
      </c>
      <c r="AA647" s="2">
        <v>4.3499999999999996</v>
      </c>
      <c r="AB647" s="2">
        <v>0</v>
      </c>
    </row>
    <row r="648" spans="1:28" x14ac:dyDescent="0.25">
      <c r="A648">
        <v>2023957696</v>
      </c>
      <c r="B648" t="s">
        <v>587</v>
      </c>
      <c r="C648" t="s">
        <v>588</v>
      </c>
      <c r="D648" t="str">
        <f t="shared" si="21"/>
        <v>LYNDON WAGNER</v>
      </c>
      <c r="E648" t="s">
        <v>100</v>
      </c>
      <c r="F648" t="s">
        <v>149</v>
      </c>
      <c r="G648" t="s">
        <v>584</v>
      </c>
      <c r="H648" t="s">
        <v>1082</v>
      </c>
      <c r="I648" s="8">
        <v>8977234</v>
      </c>
      <c r="J648" t="s">
        <v>102</v>
      </c>
      <c r="K648" t="s">
        <v>103</v>
      </c>
      <c r="L648" t="str">
        <f t="shared" si="20"/>
        <v>RYAN CALTAGIRONE</v>
      </c>
      <c r="M648" t="s">
        <v>1133</v>
      </c>
      <c r="N648" t="s">
        <v>57</v>
      </c>
      <c r="O648" s="1">
        <v>45656</v>
      </c>
      <c r="P648" s="1">
        <v>46233</v>
      </c>
      <c r="Q648" s="2">
        <v>15</v>
      </c>
      <c r="R648" t="s">
        <v>58</v>
      </c>
      <c r="S648" s="3">
        <v>0.28999999999999998</v>
      </c>
      <c r="T648">
        <v>0</v>
      </c>
      <c r="U648" t="s">
        <v>247</v>
      </c>
      <c r="V648" t="s">
        <v>248</v>
      </c>
      <c r="W648">
        <v>0</v>
      </c>
      <c r="X648" s="2">
        <v>0</v>
      </c>
      <c r="Y648" s="2">
        <v>4.3499999999999996</v>
      </c>
      <c r="Z648" s="2">
        <v>4.3499999999999996</v>
      </c>
      <c r="AA648" s="2">
        <v>4.3499999999999996</v>
      </c>
      <c r="AB648" s="2">
        <v>0</v>
      </c>
    </row>
    <row r="649" spans="1:28" x14ac:dyDescent="0.25">
      <c r="A649">
        <v>2023963352</v>
      </c>
      <c r="B649" t="s">
        <v>589</v>
      </c>
      <c r="C649" t="s">
        <v>63</v>
      </c>
      <c r="D649" t="str">
        <f t="shared" si="21"/>
        <v>TAMMY LYNN</v>
      </c>
      <c r="E649" t="s">
        <v>100</v>
      </c>
      <c r="F649" t="s">
        <v>149</v>
      </c>
      <c r="G649" t="s">
        <v>584</v>
      </c>
      <c r="H649" t="s">
        <v>1082</v>
      </c>
      <c r="I649" s="8">
        <v>8977234</v>
      </c>
      <c r="J649" t="s">
        <v>102</v>
      </c>
      <c r="K649" t="s">
        <v>103</v>
      </c>
      <c r="L649" t="str">
        <f t="shared" si="20"/>
        <v>RYAN CALTAGIRONE</v>
      </c>
      <c r="M649" t="s">
        <v>1133</v>
      </c>
      <c r="N649" t="s">
        <v>57</v>
      </c>
      <c r="O649" s="1">
        <v>45656</v>
      </c>
      <c r="P649" s="1">
        <v>46233</v>
      </c>
      <c r="Q649" s="2">
        <v>15</v>
      </c>
      <c r="R649" t="s">
        <v>58</v>
      </c>
      <c r="S649" s="3">
        <v>0.28999999999999998</v>
      </c>
      <c r="T649">
        <v>0</v>
      </c>
      <c r="U649" t="s">
        <v>247</v>
      </c>
      <c r="V649" t="s">
        <v>248</v>
      </c>
      <c r="W649">
        <v>0</v>
      </c>
      <c r="X649" s="2">
        <v>0</v>
      </c>
      <c r="Y649" s="2">
        <v>4.3499999999999996</v>
      </c>
      <c r="Z649" s="2">
        <v>4.3499999999999996</v>
      </c>
      <c r="AA649" s="2">
        <v>4.3499999999999996</v>
      </c>
      <c r="AB649" s="2">
        <v>0</v>
      </c>
    </row>
    <row r="650" spans="1:28" x14ac:dyDescent="0.25">
      <c r="A650">
        <v>2023964242</v>
      </c>
      <c r="B650" t="s">
        <v>590</v>
      </c>
      <c r="C650" t="s">
        <v>504</v>
      </c>
      <c r="D650" t="str">
        <f t="shared" si="21"/>
        <v>MICHELE OBRIEN</v>
      </c>
      <c r="E650" t="s">
        <v>591</v>
      </c>
      <c r="F650" t="s">
        <v>149</v>
      </c>
      <c r="G650" t="s">
        <v>584</v>
      </c>
      <c r="H650" t="s">
        <v>1082</v>
      </c>
      <c r="I650" s="8">
        <v>8977234</v>
      </c>
      <c r="J650" t="s">
        <v>102</v>
      </c>
      <c r="K650" t="s">
        <v>103</v>
      </c>
      <c r="L650" t="str">
        <f t="shared" si="20"/>
        <v>RYAN CALTAGIRONE</v>
      </c>
      <c r="M650" t="s">
        <v>1133</v>
      </c>
      <c r="N650" t="s">
        <v>57</v>
      </c>
      <c r="O650" s="1">
        <v>45656</v>
      </c>
      <c r="P650" s="1">
        <v>46233</v>
      </c>
      <c r="Q650" s="2">
        <v>15</v>
      </c>
      <c r="R650" t="s">
        <v>58</v>
      </c>
      <c r="S650" s="3">
        <v>0.28999999999999998</v>
      </c>
      <c r="T650">
        <v>0</v>
      </c>
      <c r="U650" t="s">
        <v>247</v>
      </c>
      <c r="V650" t="s">
        <v>248</v>
      </c>
      <c r="W650">
        <v>0</v>
      </c>
      <c r="X650" s="2">
        <v>0</v>
      </c>
      <c r="Y650" s="2">
        <v>4.3499999999999996</v>
      </c>
      <c r="Z650" s="2">
        <v>4.3499999999999996</v>
      </c>
      <c r="AA650" s="2">
        <v>4.3499999999999996</v>
      </c>
      <c r="AB650" s="2">
        <v>0</v>
      </c>
    </row>
    <row r="651" spans="1:28" x14ac:dyDescent="0.25">
      <c r="A651">
        <v>2024035178</v>
      </c>
      <c r="B651" t="s">
        <v>592</v>
      </c>
      <c r="C651" t="s">
        <v>318</v>
      </c>
      <c r="D651" t="str">
        <f t="shared" si="21"/>
        <v>MARTIN FABRITZ</v>
      </c>
      <c r="E651" t="s">
        <v>332</v>
      </c>
      <c r="F651" t="s">
        <v>149</v>
      </c>
      <c r="G651" t="s">
        <v>584</v>
      </c>
      <c r="H651" t="s">
        <v>1082</v>
      </c>
      <c r="I651" s="8">
        <v>8977234</v>
      </c>
      <c r="J651" t="s">
        <v>102</v>
      </c>
      <c r="K651" t="s">
        <v>103</v>
      </c>
      <c r="L651" t="str">
        <f t="shared" si="20"/>
        <v>RYAN CALTAGIRONE</v>
      </c>
      <c r="M651" t="s">
        <v>1133</v>
      </c>
      <c r="N651" t="s">
        <v>57</v>
      </c>
      <c r="O651" s="1">
        <v>45656</v>
      </c>
      <c r="P651" s="1">
        <v>46233</v>
      </c>
      <c r="Q651" s="2">
        <v>15</v>
      </c>
      <c r="R651" t="s">
        <v>58</v>
      </c>
      <c r="S651" s="3">
        <v>0.28999999999999998</v>
      </c>
      <c r="T651">
        <v>0</v>
      </c>
      <c r="U651" t="s">
        <v>247</v>
      </c>
      <c r="V651" t="s">
        <v>248</v>
      </c>
      <c r="W651">
        <v>0</v>
      </c>
      <c r="X651" s="2">
        <v>0</v>
      </c>
      <c r="Y651" s="2">
        <v>4.3499999999999996</v>
      </c>
      <c r="Z651" s="2">
        <v>4.3499999999999996</v>
      </c>
      <c r="AA651" s="2">
        <v>4.3499999999999996</v>
      </c>
      <c r="AB651" s="2">
        <v>0</v>
      </c>
    </row>
    <row r="652" spans="1:28" x14ac:dyDescent="0.25">
      <c r="A652">
        <v>2024112404</v>
      </c>
      <c r="B652" t="s">
        <v>593</v>
      </c>
      <c r="C652" t="s">
        <v>594</v>
      </c>
      <c r="D652" t="str">
        <f t="shared" si="21"/>
        <v>DENEEN DOWDA</v>
      </c>
      <c r="E652" t="s">
        <v>100</v>
      </c>
      <c r="F652" t="s">
        <v>149</v>
      </c>
      <c r="G652" t="s">
        <v>584</v>
      </c>
      <c r="H652" t="s">
        <v>1082</v>
      </c>
      <c r="I652" s="8">
        <v>8977234</v>
      </c>
      <c r="J652" t="s">
        <v>102</v>
      </c>
      <c r="K652" t="s">
        <v>103</v>
      </c>
      <c r="L652" t="str">
        <f t="shared" si="20"/>
        <v>RYAN CALTAGIRONE</v>
      </c>
      <c r="M652" t="s">
        <v>1133</v>
      </c>
      <c r="N652" t="s">
        <v>57</v>
      </c>
      <c r="O652" s="1">
        <v>45656</v>
      </c>
      <c r="P652" s="1">
        <v>46233</v>
      </c>
      <c r="Q652" s="2">
        <v>15</v>
      </c>
      <c r="R652" t="s">
        <v>58</v>
      </c>
      <c r="S652" s="3">
        <v>0.28999999999999998</v>
      </c>
      <c r="T652">
        <v>0</v>
      </c>
      <c r="U652" t="s">
        <v>247</v>
      </c>
      <c r="V652" t="s">
        <v>248</v>
      </c>
      <c r="W652">
        <v>0</v>
      </c>
      <c r="X652" s="2">
        <v>0</v>
      </c>
      <c r="Y652" s="2">
        <v>4.3499999999999996</v>
      </c>
      <c r="Z652" s="2">
        <v>4.3499999999999996</v>
      </c>
      <c r="AA652" s="2">
        <v>4.3499999999999996</v>
      </c>
      <c r="AB652" s="2">
        <v>0</v>
      </c>
    </row>
    <row r="653" spans="1:28" x14ac:dyDescent="0.25">
      <c r="A653">
        <v>2024536863</v>
      </c>
      <c r="B653" t="s">
        <v>595</v>
      </c>
      <c r="C653" t="s">
        <v>596</v>
      </c>
      <c r="D653" t="str">
        <f t="shared" si="21"/>
        <v>ARTHUR CARLSON</v>
      </c>
      <c r="E653" t="s">
        <v>100</v>
      </c>
      <c r="F653" t="s">
        <v>149</v>
      </c>
      <c r="G653" t="s">
        <v>584</v>
      </c>
      <c r="H653" t="s">
        <v>1082</v>
      </c>
      <c r="I653" s="8">
        <v>8977234</v>
      </c>
      <c r="J653" t="s">
        <v>102</v>
      </c>
      <c r="K653" t="s">
        <v>103</v>
      </c>
      <c r="L653" t="str">
        <f t="shared" si="20"/>
        <v>RYAN CALTAGIRONE</v>
      </c>
      <c r="M653" t="s">
        <v>1133</v>
      </c>
      <c r="N653" t="s">
        <v>57</v>
      </c>
      <c r="O653" s="1">
        <v>45656</v>
      </c>
      <c r="P653" s="1">
        <v>46233</v>
      </c>
      <c r="Q653" s="2">
        <v>15</v>
      </c>
      <c r="R653" t="s">
        <v>58</v>
      </c>
      <c r="S653" s="3">
        <v>0.28999999999999998</v>
      </c>
      <c r="T653">
        <v>0</v>
      </c>
      <c r="U653" t="s">
        <v>247</v>
      </c>
      <c r="V653" t="s">
        <v>248</v>
      </c>
      <c r="W653">
        <v>0</v>
      </c>
      <c r="X653" s="2">
        <v>0</v>
      </c>
      <c r="Y653" s="2">
        <v>4.3499999999999996</v>
      </c>
      <c r="Z653" s="2">
        <v>4.3499999999999996</v>
      </c>
      <c r="AA653" s="2">
        <v>4.3499999999999996</v>
      </c>
      <c r="AB653" s="2">
        <v>0</v>
      </c>
    </row>
    <row r="654" spans="1:28" x14ac:dyDescent="0.25">
      <c r="A654">
        <v>2031858818</v>
      </c>
      <c r="B654" t="s">
        <v>617</v>
      </c>
      <c r="C654" t="s">
        <v>618</v>
      </c>
      <c r="D654" t="str">
        <f t="shared" si="21"/>
        <v>ISAAC PANICKER</v>
      </c>
      <c r="E654" t="s">
        <v>117</v>
      </c>
      <c r="F654" t="s">
        <v>149</v>
      </c>
      <c r="G654" t="s">
        <v>584</v>
      </c>
      <c r="H654" t="s">
        <v>1082</v>
      </c>
      <c r="I654" s="8">
        <v>8977234</v>
      </c>
      <c r="J654" t="s">
        <v>102</v>
      </c>
      <c r="K654" t="s">
        <v>103</v>
      </c>
      <c r="L654" t="str">
        <f t="shared" si="20"/>
        <v>RYAN CALTAGIRONE</v>
      </c>
      <c r="M654" t="s">
        <v>1133</v>
      </c>
      <c r="N654" t="s">
        <v>57</v>
      </c>
      <c r="O654" s="1">
        <v>45959</v>
      </c>
      <c r="P654" s="1">
        <v>46232</v>
      </c>
      <c r="Q654" s="2">
        <v>15</v>
      </c>
      <c r="R654" t="s">
        <v>58</v>
      </c>
      <c r="S654" s="3">
        <v>0.28999999999999998</v>
      </c>
      <c r="T654">
        <v>0</v>
      </c>
      <c r="U654" t="s">
        <v>60</v>
      </c>
      <c r="V654" t="s">
        <v>248</v>
      </c>
      <c r="W654">
        <v>0</v>
      </c>
      <c r="X654" s="2">
        <v>0</v>
      </c>
      <c r="Y654" s="2">
        <v>4.3499999999999996</v>
      </c>
      <c r="Z654" s="2">
        <v>4.3499999999999996</v>
      </c>
      <c r="AA654" s="2">
        <v>4.3499999999999996</v>
      </c>
      <c r="AB654" s="2">
        <v>0</v>
      </c>
    </row>
    <row r="655" spans="1:28" x14ac:dyDescent="0.25">
      <c r="A655">
        <v>2018641362</v>
      </c>
      <c r="B655" t="s">
        <v>863</v>
      </c>
      <c r="C655" t="s">
        <v>864</v>
      </c>
      <c r="D655" t="str">
        <f t="shared" si="21"/>
        <v>DARRYL HOLSENDOLPH</v>
      </c>
      <c r="E655" t="s">
        <v>100</v>
      </c>
      <c r="F655" t="s">
        <v>240</v>
      </c>
      <c r="G655" t="s">
        <v>865</v>
      </c>
      <c r="H655" t="s">
        <v>865</v>
      </c>
      <c r="I655" s="8">
        <v>8977234</v>
      </c>
      <c r="J655" t="s">
        <v>102</v>
      </c>
      <c r="K655" t="s">
        <v>103</v>
      </c>
      <c r="L655" t="str">
        <f t="shared" si="20"/>
        <v>RYAN CALTAGIRONE</v>
      </c>
      <c r="M655" t="s">
        <v>1133</v>
      </c>
      <c r="N655" t="s">
        <v>57</v>
      </c>
      <c r="O655" s="1">
        <v>45102</v>
      </c>
      <c r="P655" s="1">
        <v>46228</v>
      </c>
      <c r="Q655" s="2">
        <v>95.7</v>
      </c>
      <c r="R655" t="s">
        <v>58</v>
      </c>
      <c r="S655" s="4">
        <v>5.2499999999999998E-2</v>
      </c>
      <c r="T655">
        <v>0</v>
      </c>
      <c r="U655" t="s">
        <v>247</v>
      </c>
      <c r="V655" t="s">
        <v>248</v>
      </c>
      <c r="W655">
        <v>0</v>
      </c>
      <c r="X655" s="2">
        <v>0</v>
      </c>
      <c r="Y655" s="2">
        <v>5.0199999999999996</v>
      </c>
      <c r="Z655" s="2">
        <v>5.0199999999999996</v>
      </c>
      <c r="AA655" s="2">
        <v>5.0199999999999996</v>
      </c>
      <c r="AB655" s="2">
        <v>0</v>
      </c>
    </row>
    <row r="656" spans="1:28" x14ac:dyDescent="0.25">
      <c r="A656">
        <v>2022833707</v>
      </c>
      <c r="B656" t="s">
        <v>869</v>
      </c>
      <c r="C656" t="s">
        <v>870</v>
      </c>
      <c r="D656" t="str">
        <f t="shared" si="21"/>
        <v>COLLETTA SLOTT</v>
      </c>
      <c r="E656" t="s">
        <v>124</v>
      </c>
      <c r="F656" t="s">
        <v>240</v>
      </c>
      <c r="G656" t="s">
        <v>865</v>
      </c>
      <c r="H656" t="s">
        <v>865</v>
      </c>
      <c r="I656" s="8">
        <v>8977234</v>
      </c>
      <c r="J656" t="s">
        <v>102</v>
      </c>
      <c r="K656" t="s">
        <v>103</v>
      </c>
      <c r="L656" t="str">
        <f t="shared" si="20"/>
        <v>RYAN CALTAGIRONE</v>
      </c>
      <c r="M656" t="s">
        <v>1133</v>
      </c>
      <c r="N656" t="s">
        <v>57</v>
      </c>
      <c r="O656" s="1">
        <v>45407</v>
      </c>
      <c r="P656" s="1">
        <v>46228</v>
      </c>
      <c r="Q656" s="2">
        <v>74.53</v>
      </c>
      <c r="R656" t="s">
        <v>58</v>
      </c>
      <c r="S656" s="4">
        <v>5.2499999999999998E-2</v>
      </c>
      <c r="T656">
        <v>0</v>
      </c>
      <c r="U656" t="s">
        <v>247</v>
      </c>
      <c r="V656" t="s">
        <v>248</v>
      </c>
      <c r="W656">
        <v>0</v>
      </c>
      <c r="X656" s="2">
        <v>0</v>
      </c>
      <c r="Y656" s="2">
        <v>3.91</v>
      </c>
      <c r="Z656" s="2">
        <v>3.91</v>
      </c>
      <c r="AA656" s="2">
        <v>3.91</v>
      </c>
      <c r="AB656" s="2">
        <v>0</v>
      </c>
    </row>
    <row r="657" spans="1:28" x14ac:dyDescent="0.25">
      <c r="A657">
        <v>2020392155</v>
      </c>
      <c r="B657" t="s">
        <v>582</v>
      </c>
      <c r="C657" t="s">
        <v>583</v>
      </c>
      <c r="D657" t="str">
        <f t="shared" si="21"/>
        <v>COLIN SLAIS</v>
      </c>
      <c r="E657" t="s">
        <v>332</v>
      </c>
      <c r="F657" t="s">
        <v>237</v>
      </c>
      <c r="G657" t="s">
        <v>852</v>
      </c>
      <c r="H657" t="s">
        <v>853</v>
      </c>
      <c r="I657" s="8">
        <v>8977234</v>
      </c>
      <c r="J657" t="s">
        <v>102</v>
      </c>
      <c r="K657" t="s">
        <v>103</v>
      </c>
      <c r="L657" t="str">
        <f t="shared" si="20"/>
        <v>RYAN CALTAGIRONE</v>
      </c>
      <c r="M657" t="s">
        <v>1133</v>
      </c>
      <c r="N657" t="s">
        <v>57</v>
      </c>
      <c r="O657" s="1">
        <v>45288</v>
      </c>
      <c r="P657" s="1">
        <v>46231</v>
      </c>
      <c r="Q657" s="2">
        <v>584.87</v>
      </c>
      <c r="R657" t="s">
        <v>58</v>
      </c>
      <c r="S657" s="3">
        <v>0.28999999999999998</v>
      </c>
      <c r="T657">
        <v>0</v>
      </c>
      <c r="U657" t="s">
        <v>247</v>
      </c>
      <c r="V657" t="s">
        <v>248</v>
      </c>
      <c r="W657">
        <v>0</v>
      </c>
      <c r="X657" s="2">
        <v>0</v>
      </c>
      <c r="Y657" s="2">
        <v>169.61</v>
      </c>
      <c r="Z657" s="2">
        <v>169.61</v>
      </c>
      <c r="AA657" s="2">
        <v>169.61</v>
      </c>
      <c r="AB657" s="2">
        <v>0</v>
      </c>
    </row>
    <row r="658" spans="1:28" x14ac:dyDescent="0.25">
      <c r="A658">
        <v>2023809265</v>
      </c>
      <c r="B658" t="s">
        <v>585</v>
      </c>
      <c r="C658" t="s">
        <v>586</v>
      </c>
      <c r="D658" t="str">
        <f t="shared" si="21"/>
        <v>ANTOINETTE LARSON</v>
      </c>
      <c r="E658" t="s">
        <v>332</v>
      </c>
      <c r="F658" t="s">
        <v>237</v>
      </c>
      <c r="G658" t="s">
        <v>852</v>
      </c>
      <c r="H658" t="s">
        <v>853</v>
      </c>
      <c r="I658" s="8">
        <v>8977234</v>
      </c>
      <c r="J658" t="s">
        <v>102</v>
      </c>
      <c r="K658" t="s">
        <v>103</v>
      </c>
      <c r="L658" t="str">
        <f t="shared" si="20"/>
        <v>RYAN CALTAGIRONE</v>
      </c>
      <c r="M658" t="s">
        <v>1133</v>
      </c>
      <c r="N658" t="s">
        <v>57</v>
      </c>
      <c r="O658" s="1">
        <v>45653</v>
      </c>
      <c r="P658" s="1">
        <v>46229</v>
      </c>
      <c r="Q658" s="2">
        <v>252.6</v>
      </c>
      <c r="R658" t="s">
        <v>58</v>
      </c>
      <c r="S658" s="3">
        <v>0.28999999999999998</v>
      </c>
      <c r="T658">
        <v>0</v>
      </c>
      <c r="U658" t="s">
        <v>247</v>
      </c>
      <c r="V658" t="s">
        <v>248</v>
      </c>
      <c r="W658">
        <v>0</v>
      </c>
      <c r="X658" s="2">
        <v>0</v>
      </c>
      <c r="Y658" s="2">
        <v>73.25</v>
      </c>
      <c r="Z658" s="2">
        <v>73.25</v>
      </c>
      <c r="AA658" s="2">
        <v>73.25</v>
      </c>
      <c r="AB658" s="2">
        <v>0</v>
      </c>
    </row>
    <row r="659" spans="1:28" x14ac:dyDescent="0.25">
      <c r="A659">
        <v>2023957695</v>
      </c>
      <c r="B659" t="s">
        <v>587</v>
      </c>
      <c r="C659" t="s">
        <v>588</v>
      </c>
      <c r="D659" t="str">
        <f t="shared" si="21"/>
        <v>LYNDON WAGNER</v>
      </c>
      <c r="E659" t="s">
        <v>100</v>
      </c>
      <c r="F659" t="s">
        <v>237</v>
      </c>
      <c r="G659" t="s">
        <v>852</v>
      </c>
      <c r="H659" t="s">
        <v>853</v>
      </c>
      <c r="I659" s="8">
        <v>8977234</v>
      </c>
      <c r="J659" t="s">
        <v>102</v>
      </c>
      <c r="K659" t="s">
        <v>103</v>
      </c>
      <c r="L659" t="str">
        <f t="shared" si="20"/>
        <v>RYAN CALTAGIRONE</v>
      </c>
      <c r="M659" t="s">
        <v>1133</v>
      </c>
      <c r="N659" t="s">
        <v>57</v>
      </c>
      <c r="O659" s="1">
        <v>45656</v>
      </c>
      <c r="P659" s="1">
        <v>46232</v>
      </c>
      <c r="Q659" s="2">
        <v>339.35</v>
      </c>
      <c r="R659" t="s">
        <v>58</v>
      </c>
      <c r="S659" s="3">
        <v>0.28999999999999998</v>
      </c>
      <c r="T659">
        <v>0</v>
      </c>
      <c r="U659" t="s">
        <v>247</v>
      </c>
      <c r="V659" t="s">
        <v>248</v>
      </c>
      <c r="W659">
        <v>0</v>
      </c>
      <c r="X659" s="2">
        <v>0</v>
      </c>
      <c r="Y659" s="2">
        <v>98.41</v>
      </c>
      <c r="Z659" s="2">
        <v>98.41</v>
      </c>
      <c r="AA659" s="2">
        <v>98.41</v>
      </c>
      <c r="AB659" s="2">
        <v>0</v>
      </c>
    </row>
    <row r="660" spans="1:28" x14ac:dyDescent="0.25">
      <c r="A660">
        <v>2023963351</v>
      </c>
      <c r="B660" t="s">
        <v>589</v>
      </c>
      <c r="C660" t="s">
        <v>63</v>
      </c>
      <c r="D660" t="str">
        <f t="shared" si="21"/>
        <v>TAMMY LYNN</v>
      </c>
      <c r="E660" t="s">
        <v>100</v>
      </c>
      <c r="F660" t="s">
        <v>237</v>
      </c>
      <c r="G660" t="s">
        <v>852</v>
      </c>
      <c r="H660" t="s">
        <v>853</v>
      </c>
      <c r="I660" s="8">
        <v>8977234</v>
      </c>
      <c r="J660" t="s">
        <v>102</v>
      </c>
      <c r="K660" t="s">
        <v>103</v>
      </c>
      <c r="L660" t="str">
        <f t="shared" si="20"/>
        <v>RYAN CALTAGIRONE</v>
      </c>
      <c r="M660" t="s">
        <v>1133</v>
      </c>
      <c r="N660" t="s">
        <v>57</v>
      </c>
      <c r="O660" s="1">
        <v>45656</v>
      </c>
      <c r="P660" s="1">
        <v>46232</v>
      </c>
      <c r="Q660" s="2">
        <v>569.27</v>
      </c>
      <c r="R660" t="s">
        <v>58</v>
      </c>
      <c r="S660" s="3">
        <v>0.28999999999999998</v>
      </c>
      <c r="T660">
        <v>0</v>
      </c>
      <c r="U660" t="s">
        <v>247</v>
      </c>
      <c r="V660" t="s">
        <v>248</v>
      </c>
      <c r="W660">
        <v>0</v>
      </c>
      <c r="X660" s="2">
        <v>0</v>
      </c>
      <c r="Y660" s="2">
        <v>165.09</v>
      </c>
      <c r="Z660" s="2">
        <v>165.09</v>
      </c>
      <c r="AA660" s="2">
        <v>165.09</v>
      </c>
      <c r="AB660" s="2">
        <v>0</v>
      </c>
    </row>
    <row r="661" spans="1:28" x14ac:dyDescent="0.25">
      <c r="A661">
        <v>2023964241</v>
      </c>
      <c r="B661" t="s">
        <v>590</v>
      </c>
      <c r="C661" t="s">
        <v>504</v>
      </c>
      <c r="D661" t="str">
        <f t="shared" si="21"/>
        <v>MICHELE OBRIEN</v>
      </c>
      <c r="E661" t="s">
        <v>591</v>
      </c>
      <c r="F661" t="s">
        <v>237</v>
      </c>
      <c r="G661" t="s">
        <v>852</v>
      </c>
      <c r="H661" t="s">
        <v>853</v>
      </c>
      <c r="I661" s="8">
        <v>8977234</v>
      </c>
      <c r="J661" t="s">
        <v>102</v>
      </c>
      <c r="K661" t="s">
        <v>103</v>
      </c>
      <c r="L661" t="str">
        <f t="shared" si="20"/>
        <v>RYAN CALTAGIRONE</v>
      </c>
      <c r="M661" t="s">
        <v>1133</v>
      </c>
      <c r="N661" t="s">
        <v>57</v>
      </c>
      <c r="O661" s="1">
        <v>45656</v>
      </c>
      <c r="P661" s="1">
        <v>46232</v>
      </c>
      <c r="Q661" s="2">
        <v>327.36</v>
      </c>
      <c r="R661" t="s">
        <v>58</v>
      </c>
      <c r="S661" s="3">
        <v>0.28999999999999998</v>
      </c>
      <c r="T661">
        <v>0</v>
      </c>
      <c r="U661" t="s">
        <v>247</v>
      </c>
      <c r="V661" t="s">
        <v>248</v>
      </c>
      <c r="W661">
        <v>0</v>
      </c>
      <c r="X661" s="2">
        <v>0</v>
      </c>
      <c r="Y661" s="2">
        <v>94.93</v>
      </c>
      <c r="Z661" s="2">
        <v>94.93</v>
      </c>
      <c r="AA661" s="2">
        <v>94.93</v>
      </c>
      <c r="AB661" s="2">
        <v>0</v>
      </c>
    </row>
    <row r="662" spans="1:28" x14ac:dyDescent="0.25">
      <c r="A662">
        <v>2024035177</v>
      </c>
      <c r="B662" t="s">
        <v>592</v>
      </c>
      <c r="C662" t="s">
        <v>318</v>
      </c>
      <c r="D662" t="str">
        <f t="shared" si="21"/>
        <v>MARTIN FABRITZ</v>
      </c>
      <c r="E662" t="s">
        <v>332</v>
      </c>
      <c r="F662" t="s">
        <v>237</v>
      </c>
      <c r="G662" t="s">
        <v>852</v>
      </c>
      <c r="H662" t="s">
        <v>853</v>
      </c>
      <c r="I662" s="8">
        <v>8977234</v>
      </c>
      <c r="J662" t="s">
        <v>102</v>
      </c>
      <c r="K662" t="s">
        <v>103</v>
      </c>
      <c r="L662" t="str">
        <f t="shared" si="20"/>
        <v>RYAN CALTAGIRONE</v>
      </c>
      <c r="M662" t="s">
        <v>1133</v>
      </c>
      <c r="N662" t="s">
        <v>57</v>
      </c>
      <c r="O662" s="1">
        <v>45656</v>
      </c>
      <c r="P662" s="1">
        <v>46232</v>
      </c>
      <c r="Q662" s="2">
        <v>302.77999999999997</v>
      </c>
      <c r="R662" t="s">
        <v>58</v>
      </c>
      <c r="S662" s="3">
        <v>0.28999999999999998</v>
      </c>
      <c r="T662">
        <v>0</v>
      </c>
      <c r="U662" t="s">
        <v>247</v>
      </c>
      <c r="V662" t="s">
        <v>248</v>
      </c>
      <c r="W662">
        <v>0</v>
      </c>
      <c r="X662" s="2">
        <v>0</v>
      </c>
      <c r="Y662" s="2">
        <v>87.81</v>
      </c>
      <c r="Z662" s="2">
        <v>87.81</v>
      </c>
      <c r="AA662" s="2">
        <v>87.81</v>
      </c>
      <c r="AB662" s="2">
        <v>0</v>
      </c>
    </row>
    <row r="663" spans="1:28" x14ac:dyDescent="0.25">
      <c r="A663">
        <v>2024112403</v>
      </c>
      <c r="B663" t="s">
        <v>593</v>
      </c>
      <c r="C663" t="s">
        <v>594</v>
      </c>
      <c r="D663" t="str">
        <f t="shared" si="21"/>
        <v>DENEEN DOWDA</v>
      </c>
      <c r="E663" t="s">
        <v>100</v>
      </c>
      <c r="F663" t="s">
        <v>237</v>
      </c>
      <c r="G663" t="s">
        <v>852</v>
      </c>
      <c r="H663" t="s">
        <v>853</v>
      </c>
      <c r="I663" s="8">
        <v>8977234</v>
      </c>
      <c r="J663" t="s">
        <v>102</v>
      </c>
      <c r="K663" t="s">
        <v>103</v>
      </c>
      <c r="L663" t="str">
        <f t="shared" si="20"/>
        <v>RYAN CALTAGIRONE</v>
      </c>
      <c r="M663" t="s">
        <v>1133</v>
      </c>
      <c r="N663" t="s">
        <v>57</v>
      </c>
      <c r="O663" s="1">
        <v>45656</v>
      </c>
      <c r="P663" s="1">
        <v>46232</v>
      </c>
      <c r="Q663" s="2">
        <v>427.73</v>
      </c>
      <c r="R663" t="s">
        <v>58</v>
      </c>
      <c r="S663" s="3">
        <v>0.28999999999999998</v>
      </c>
      <c r="T663">
        <v>0</v>
      </c>
      <c r="U663" t="s">
        <v>247</v>
      </c>
      <c r="V663" t="s">
        <v>248</v>
      </c>
      <c r="W663">
        <v>0</v>
      </c>
      <c r="X663" s="2">
        <v>0</v>
      </c>
      <c r="Y663" s="2">
        <v>124.04</v>
      </c>
      <c r="Z663" s="2">
        <v>124.04</v>
      </c>
      <c r="AA663" s="2">
        <v>124.04</v>
      </c>
      <c r="AB663" s="2">
        <v>0</v>
      </c>
    </row>
    <row r="664" spans="1:28" x14ac:dyDescent="0.25">
      <c r="A664">
        <v>2024536862</v>
      </c>
      <c r="B664" t="s">
        <v>595</v>
      </c>
      <c r="C664" t="s">
        <v>596</v>
      </c>
      <c r="D664" t="str">
        <f t="shared" si="21"/>
        <v>ARTHUR CARLSON</v>
      </c>
      <c r="E664" t="s">
        <v>100</v>
      </c>
      <c r="F664" t="s">
        <v>237</v>
      </c>
      <c r="G664" t="s">
        <v>852</v>
      </c>
      <c r="H664" t="s">
        <v>853</v>
      </c>
      <c r="I664" s="8">
        <v>8977234</v>
      </c>
      <c r="J664" t="s">
        <v>102</v>
      </c>
      <c r="K664" t="s">
        <v>103</v>
      </c>
      <c r="L664" t="str">
        <f t="shared" si="20"/>
        <v>RYAN CALTAGIRONE</v>
      </c>
      <c r="M664" t="s">
        <v>1133</v>
      </c>
      <c r="N664" t="s">
        <v>57</v>
      </c>
      <c r="O664" s="1">
        <v>45656</v>
      </c>
      <c r="P664" s="1">
        <v>46232</v>
      </c>
      <c r="Q664" s="2">
        <v>240.51</v>
      </c>
      <c r="R664" t="s">
        <v>58</v>
      </c>
      <c r="S664" s="3">
        <v>0.28999999999999998</v>
      </c>
      <c r="T664">
        <v>0</v>
      </c>
      <c r="U664" t="s">
        <v>247</v>
      </c>
      <c r="V664" t="s">
        <v>248</v>
      </c>
      <c r="W664">
        <v>0</v>
      </c>
      <c r="X664" s="2">
        <v>0</v>
      </c>
      <c r="Y664" s="2">
        <v>69.75</v>
      </c>
      <c r="Z664" s="2">
        <v>69.75</v>
      </c>
      <c r="AA664" s="2">
        <v>69.75</v>
      </c>
      <c r="AB664" s="2">
        <v>0</v>
      </c>
    </row>
    <row r="665" spans="1:28" x14ac:dyDescent="0.25">
      <c r="A665">
        <v>2018107017</v>
      </c>
      <c r="B665" t="s">
        <v>1003</v>
      </c>
      <c r="C665" t="s">
        <v>443</v>
      </c>
      <c r="D665" t="str">
        <f t="shared" si="21"/>
        <v>HEIDI MAERTENS</v>
      </c>
      <c r="E665" t="s">
        <v>349</v>
      </c>
      <c r="F665" t="s">
        <v>194</v>
      </c>
      <c r="G665" t="s">
        <v>195</v>
      </c>
      <c r="H665" t="s">
        <v>195</v>
      </c>
      <c r="I665" s="8">
        <v>8977234</v>
      </c>
      <c r="J665" t="s">
        <v>102</v>
      </c>
      <c r="K665" t="s">
        <v>103</v>
      </c>
      <c r="L665" t="str">
        <f t="shared" si="20"/>
        <v>RYAN CALTAGIRONE</v>
      </c>
      <c r="M665" t="s">
        <v>1133</v>
      </c>
      <c r="N665" t="s">
        <v>57</v>
      </c>
      <c r="O665" s="1">
        <v>45012</v>
      </c>
      <c r="P665" s="1">
        <v>46230</v>
      </c>
      <c r="Q665" s="2">
        <v>35.369999999999997</v>
      </c>
      <c r="R665" t="s">
        <v>58</v>
      </c>
      <c r="S665" s="3">
        <v>0.15</v>
      </c>
      <c r="T665">
        <v>0</v>
      </c>
      <c r="U665" t="s">
        <v>247</v>
      </c>
      <c r="V665" t="s">
        <v>248</v>
      </c>
      <c r="W665">
        <v>0</v>
      </c>
      <c r="X665" s="2">
        <v>0</v>
      </c>
      <c r="Y665" s="2">
        <v>5.31</v>
      </c>
      <c r="Z665" s="2">
        <v>5.31</v>
      </c>
      <c r="AA665" s="2">
        <v>5.31</v>
      </c>
      <c r="AB665" s="2">
        <v>0</v>
      </c>
    </row>
    <row r="666" spans="1:28" x14ac:dyDescent="0.25">
      <c r="A666">
        <v>2019662568</v>
      </c>
      <c r="B666" t="s">
        <v>1005</v>
      </c>
      <c r="C666" t="s">
        <v>1006</v>
      </c>
      <c r="D666" t="str">
        <f t="shared" si="21"/>
        <v>MICHAYLA BEST</v>
      </c>
      <c r="E666" t="s">
        <v>302</v>
      </c>
      <c r="F666" t="s">
        <v>194</v>
      </c>
      <c r="G666" t="s">
        <v>195</v>
      </c>
      <c r="H666" t="s">
        <v>195</v>
      </c>
      <c r="I666" s="8">
        <v>8977234</v>
      </c>
      <c r="J666" t="s">
        <v>102</v>
      </c>
      <c r="K666" t="s">
        <v>103</v>
      </c>
      <c r="L666" t="str">
        <f t="shared" si="20"/>
        <v>RYAN CALTAGIRONE</v>
      </c>
      <c r="M666" t="s">
        <v>1133</v>
      </c>
      <c r="N666" t="s">
        <v>57</v>
      </c>
      <c r="O666" s="1">
        <v>45170</v>
      </c>
      <c r="P666" s="1">
        <v>46235</v>
      </c>
      <c r="Q666" s="2">
        <v>82.76</v>
      </c>
      <c r="R666" t="s">
        <v>58</v>
      </c>
      <c r="S666" s="3">
        <v>0.15</v>
      </c>
      <c r="T666">
        <v>0</v>
      </c>
      <c r="U666" t="s">
        <v>247</v>
      </c>
      <c r="V666" t="s">
        <v>248</v>
      </c>
      <c r="W666">
        <v>0</v>
      </c>
      <c r="X666" s="2">
        <v>0</v>
      </c>
      <c r="Y666" s="2">
        <v>12.41</v>
      </c>
      <c r="Z666" s="2">
        <v>12.41</v>
      </c>
      <c r="AA666" s="2">
        <v>12.41</v>
      </c>
      <c r="AB666" s="2">
        <v>0</v>
      </c>
    </row>
    <row r="667" spans="1:28" x14ac:dyDescent="0.25">
      <c r="A667">
        <v>2022351917</v>
      </c>
      <c r="B667" t="s">
        <v>677</v>
      </c>
      <c r="C667" t="s">
        <v>351</v>
      </c>
      <c r="D667" t="str">
        <f t="shared" si="21"/>
        <v>ETHAN FARNAM</v>
      </c>
      <c r="E667" t="s">
        <v>89</v>
      </c>
      <c r="F667" t="s">
        <v>194</v>
      </c>
      <c r="G667" t="s">
        <v>195</v>
      </c>
      <c r="H667" t="s">
        <v>195</v>
      </c>
      <c r="I667" s="8">
        <v>8977234</v>
      </c>
      <c r="J667" t="s">
        <v>102</v>
      </c>
      <c r="K667" t="s">
        <v>103</v>
      </c>
      <c r="L667" t="str">
        <f t="shared" si="20"/>
        <v>RYAN CALTAGIRONE</v>
      </c>
      <c r="M667" t="s">
        <v>1133</v>
      </c>
      <c r="N667" t="s">
        <v>57</v>
      </c>
      <c r="O667" s="1">
        <v>45383</v>
      </c>
      <c r="P667" s="1">
        <v>46235</v>
      </c>
      <c r="Q667" s="2">
        <v>81.150000000000006</v>
      </c>
      <c r="R667" t="s">
        <v>58</v>
      </c>
      <c r="S667" s="3">
        <v>0.15</v>
      </c>
      <c r="T667">
        <v>0</v>
      </c>
      <c r="U667" t="s">
        <v>247</v>
      </c>
      <c r="V667" t="s">
        <v>248</v>
      </c>
      <c r="W667">
        <v>0</v>
      </c>
      <c r="X667" s="2">
        <v>0</v>
      </c>
      <c r="Y667" s="2">
        <v>12.17</v>
      </c>
      <c r="Z667" s="2">
        <v>12.17</v>
      </c>
      <c r="AA667" s="2">
        <v>12.17</v>
      </c>
      <c r="AB667" s="2">
        <v>0</v>
      </c>
    </row>
    <row r="668" spans="1:28" x14ac:dyDescent="0.25">
      <c r="A668">
        <v>2023599967</v>
      </c>
      <c r="B668" t="s">
        <v>685</v>
      </c>
      <c r="C668" t="s">
        <v>291</v>
      </c>
      <c r="D668" t="str">
        <f t="shared" si="21"/>
        <v>AMANDA COPPLE</v>
      </c>
      <c r="E668" t="s">
        <v>89</v>
      </c>
      <c r="F668" t="s">
        <v>194</v>
      </c>
      <c r="G668" t="s">
        <v>195</v>
      </c>
      <c r="H668" t="s">
        <v>195</v>
      </c>
      <c r="I668" s="8">
        <v>8977234</v>
      </c>
      <c r="J668" t="s">
        <v>102</v>
      </c>
      <c r="K668" t="s">
        <v>103</v>
      </c>
      <c r="L668" t="str">
        <f t="shared" si="20"/>
        <v>RYAN CALTAGIRONE</v>
      </c>
      <c r="M668" t="s">
        <v>1133</v>
      </c>
      <c r="N668" t="s">
        <v>57</v>
      </c>
      <c r="O668" s="1">
        <v>45474</v>
      </c>
      <c r="P668" s="1">
        <v>46235</v>
      </c>
      <c r="Q668" s="2">
        <v>59.4</v>
      </c>
      <c r="R668" t="s">
        <v>58</v>
      </c>
      <c r="S668" s="3">
        <v>0.15</v>
      </c>
      <c r="T668">
        <v>0</v>
      </c>
      <c r="U668" t="s">
        <v>247</v>
      </c>
      <c r="V668" t="s">
        <v>248</v>
      </c>
      <c r="W668">
        <v>0</v>
      </c>
      <c r="X668" s="2">
        <v>0</v>
      </c>
      <c r="Y668" s="2">
        <v>8.91</v>
      </c>
      <c r="Z668" s="2">
        <v>8.91</v>
      </c>
      <c r="AA668" s="2">
        <v>8.91</v>
      </c>
      <c r="AB668" s="2">
        <v>0</v>
      </c>
    </row>
    <row r="669" spans="1:28" x14ac:dyDescent="0.25">
      <c r="A669">
        <v>2025831091</v>
      </c>
      <c r="B669" t="s">
        <v>713</v>
      </c>
      <c r="C669" t="s">
        <v>1011</v>
      </c>
      <c r="D669" t="str">
        <f t="shared" si="21"/>
        <v>CORBIN CORNELL</v>
      </c>
      <c r="E669" t="s">
        <v>100</v>
      </c>
      <c r="F669" t="s">
        <v>194</v>
      </c>
      <c r="G669" t="s">
        <v>195</v>
      </c>
      <c r="H669" t="s">
        <v>195</v>
      </c>
      <c r="I669" s="8">
        <v>8977234</v>
      </c>
      <c r="J669" t="s">
        <v>102</v>
      </c>
      <c r="K669" t="s">
        <v>103</v>
      </c>
      <c r="L669" t="str">
        <f t="shared" si="20"/>
        <v>RYAN CALTAGIRONE</v>
      </c>
      <c r="M669" t="s">
        <v>1133</v>
      </c>
      <c r="N669" t="s">
        <v>57</v>
      </c>
      <c r="O669" s="1">
        <v>45658</v>
      </c>
      <c r="P669" s="1">
        <v>46235</v>
      </c>
      <c r="Q669" s="2">
        <v>85.17</v>
      </c>
      <c r="R669" t="s">
        <v>58</v>
      </c>
      <c r="S669" s="3">
        <v>0.15</v>
      </c>
      <c r="T669">
        <v>0</v>
      </c>
      <c r="U669" t="s">
        <v>247</v>
      </c>
      <c r="V669" t="s">
        <v>248</v>
      </c>
      <c r="W669">
        <v>0</v>
      </c>
      <c r="X669" s="2">
        <v>0</v>
      </c>
      <c r="Y669" s="2">
        <v>12.78</v>
      </c>
      <c r="Z669" s="2">
        <v>12.78</v>
      </c>
      <c r="AA669" s="2">
        <v>12.78</v>
      </c>
      <c r="AB669" s="2">
        <v>0</v>
      </c>
    </row>
    <row r="670" spans="1:28" x14ac:dyDescent="0.25">
      <c r="A670">
        <v>2025831418</v>
      </c>
      <c r="B670" t="s">
        <v>713</v>
      </c>
      <c r="C670" t="s">
        <v>714</v>
      </c>
      <c r="D670" t="str">
        <f t="shared" si="21"/>
        <v>LINNEA CORNELL</v>
      </c>
      <c r="E670" t="s">
        <v>100</v>
      </c>
      <c r="F670" t="s">
        <v>194</v>
      </c>
      <c r="G670" t="s">
        <v>195</v>
      </c>
      <c r="H670" t="s">
        <v>195</v>
      </c>
      <c r="I670" s="8">
        <v>8977234</v>
      </c>
      <c r="J670" t="s">
        <v>102</v>
      </c>
      <c r="K670" t="s">
        <v>103</v>
      </c>
      <c r="L670" t="str">
        <f t="shared" si="20"/>
        <v>RYAN CALTAGIRONE</v>
      </c>
      <c r="M670" t="s">
        <v>1133</v>
      </c>
      <c r="N670" t="s">
        <v>57</v>
      </c>
      <c r="O670" s="1">
        <v>45658</v>
      </c>
      <c r="P670" s="1">
        <v>46235</v>
      </c>
      <c r="Q670" s="2">
        <v>16.72</v>
      </c>
      <c r="R670" t="s">
        <v>58</v>
      </c>
      <c r="S670" s="3">
        <v>0.15</v>
      </c>
      <c r="T670">
        <v>0</v>
      </c>
      <c r="U670" t="s">
        <v>247</v>
      </c>
      <c r="V670" t="s">
        <v>248</v>
      </c>
      <c r="W670">
        <v>0</v>
      </c>
      <c r="X670" s="2">
        <v>0</v>
      </c>
      <c r="Y670" s="2">
        <v>2.5099999999999998</v>
      </c>
      <c r="Z670" s="2">
        <v>2.5099999999999998</v>
      </c>
      <c r="AA670" s="2">
        <v>2.5099999999999998</v>
      </c>
      <c r="AB670" s="2">
        <v>0</v>
      </c>
    </row>
    <row r="671" spans="1:28" x14ac:dyDescent="0.25">
      <c r="A671">
        <v>2025997430</v>
      </c>
      <c r="B671" t="s">
        <v>348</v>
      </c>
      <c r="C671" t="s">
        <v>335</v>
      </c>
      <c r="D671" t="str">
        <f t="shared" si="21"/>
        <v>SCOTT JEPPERSON</v>
      </c>
      <c r="E671" t="s">
        <v>349</v>
      </c>
      <c r="F671" t="s">
        <v>194</v>
      </c>
      <c r="G671" t="s">
        <v>195</v>
      </c>
      <c r="H671" t="s">
        <v>195</v>
      </c>
      <c r="I671" s="8">
        <v>8977234</v>
      </c>
      <c r="J671" t="s">
        <v>102</v>
      </c>
      <c r="K671" t="s">
        <v>103</v>
      </c>
      <c r="L671" t="str">
        <f t="shared" si="20"/>
        <v>RYAN CALTAGIRONE</v>
      </c>
      <c r="M671" t="s">
        <v>1133</v>
      </c>
      <c r="N671" t="s">
        <v>57</v>
      </c>
      <c r="O671" s="1">
        <v>45689</v>
      </c>
      <c r="P671" s="1">
        <v>46235</v>
      </c>
      <c r="Q671" s="2">
        <v>120.5</v>
      </c>
      <c r="R671" t="s">
        <v>58</v>
      </c>
      <c r="S671" s="3">
        <v>0.15</v>
      </c>
      <c r="T671">
        <v>0</v>
      </c>
      <c r="U671" t="s">
        <v>247</v>
      </c>
      <c r="V671" t="s">
        <v>248</v>
      </c>
      <c r="W671">
        <v>0</v>
      </c>
      <c r="X671" s="2">
        <v>0</v>
      </c>
      <c r="Y671" s="2">
        <v>18.079999999999998</v>
      </c>
      <c r="Z671" s="2">
        <v>18.079999999999998</v>
      </c>
      <c r="AA671" s="2">
        <v>18.079999999999998</v>
      </c>
      <c r="AB671" s="2">
        <v>0</v>
      </c>
    </row>
    <row r="672" spans="1:28" x14ac:dyDescent="0.25">
      <c r="A672">
        <v>2026006726</v>
      </c>
      <c r="B672" t="s">
        <v>716</v>
      </c>
      <c r="C672" t="s">
        <v>265</v>
      </c>
      <c r="D672" t="str">
        <f t="shared" si="21"/>
        <v>THERESA KALMAN</v>
      </c>
      <c r="E672" t="s">
        <v>68</v>
      </c>
      <c r="F672" t="s">
        <v>194</v>
      </c>
      <c r="G672" t="s">
        <v>195</v>
      </c>
      <c r="H672" t="s">
        <v>195</v>
      </c>
      <c r="I672" s="8">
        <v>8977234</v>
      </c>
      <c r="J672" t="s">
        <v>102</v>
      </c>
      <c r="K672" t="s">
        <v>103</v>
      </c>
      <c r="L672" t="str">
        <f t="shared" si="20"/>
        <v>RYAN CALTAGIRONE</v>
      </c>
      <c r="M672" t="s">
        <v>1133</v>
      </c>
      <c r="N672" t="s">
        <v>57</v>
      </c>
      <c r="O672" s="1">
        <v>45655</v>
      </c>
      <c r="P672" s="1">
        <v>46232</v>
      </c>
      <c r="Q672" s="2">
        <v>140.80000000000001</v>
      </c>
      <c r="R672" t="s">
        <v>58</v>
      </c>
      <c r="S672" s="3">
        <v>0.15</v>
      </c>
      <c r="T672">
        <v>0</v>
      </c>
      <c r="U672" t="s">
        <v>247</v>
      </c>
      <c r="V672" t="s">
        <v>248</v>
      </c>
      <c r="W672">
        <v>0</v>
      </c>
      <c r="X672" s="2">
        <v>0</v>
      </c>
      <c r="Y672" s="2">
        <v>21.12</v>
      </c>
      <c r="Z672" s="2">
        <v>21.12</v>
      </c>
      <c r="AA672" s="2">
        <v>21.12</v>
      </c>
      <c r="AB672" s="2">
        <v>0</v>
      </c>
    </row>
    <row r="673" spans="1:28" x14ac:dyDescent="0.25">
      <c r="A673">
        <v>2026471870</v>
      </c>
      <c r="B673" t="s">
        <v>285</v>
      </c>
      <c r="C673" t="s">
        <v>286</v>
      </c>
      <c r="D673" t="str">
        <f t="shared" si="21"/>
        <v>NATHAN STEHLIK</v>
      </c>
      <c r="E673" t="s">
        <v>117</v>
      </c>
      <c r="F673" t="s">
        <v>194</v>
      </c>
      <c r="G673" t="s">
        <v>195</v>
      </c>
      <c r="H673" t="s">
        <v>195</v>
      </c>
      <c r="I673" s="8">
        <v>8977234</v>
      </c>
      <c r="J673" t="s">
        <v>102</v>
      </c>
      <c r="K673" t="s">
        <v>103</v>
      </c>
      <c r="L673" t="str">
        <f t="shared" si="20"/>
        <v>RYAN CALTAGIRONE</v>
      </c>
      <c r="M673" t="s">
        <v>1133</v>
      </c>
      <c r="N673" t="s">
        <v>57</v>
      </c>
      <c r="O673" s="1">
        <v>45689</v>
      </c>
      <c r="P673" s="1">
        <v>46235</v>
      </c>
      <c r="Q673" s="2">
        <v>26.82</v>
      </c>
      <c r="R673" t="s">
        <v>58</v>
      </c>
      <c r="S673" s="3">
        <v>0.15</v>
      </c>
      <c r="T673">
        <v>0</v>
      </c>
      <c r="U673" t="s">
        <v>247</v>
      </c>
      <c r="V673" t="s">
        <v>248</v>
      </c>
      <c r="W673">
        <v>0</v>
      </c>
      <c r="X673" s="2">
        <v>0</v>
      </c>
      <c r="Y673" s="2">
        <v>4.0199999999999996</v>
      </c>
      <c r="Z673" s="2">
        <v>4.0199999999999996</v>
      </c>
      <c r="AA673" s="2">
        <v>4.0199999999999996</v>
      </c>
      <c r="AB673" s="2">
        <v>0</v>
      </c>
    </row>
    <row r="674" spans="1:28" x14ac:dyDescent="0.25">
      <c r="A674">
        <v>2026568844</v>
      </c>
      <c r="B674" t="s">
        <v>1016</v>
      </c>
      <c r="C674" t="s">
        <v>1017</v>
      </c>
      <c r="D674" t="str">
        <f t="shared" si="21"/>
        <v>MAGDALENA SERRANO</v>
      </c>
      <c r="E674" t="s">
        <v>68</v>
      </c>
      <c r="F674" t="s">
        <v>194</v>
      </c>
      <c r="G674" t="s">
        <v>195</v>
      </c>
      <c r="H674" t="s">
        <v>195</v>
      </c>
      <c r="I674" s="8">
        <v>8977234</v>
      </c>
      <c r="J674" t="s">
        <v>102</v>
      </c>
      <c r="K674" t="s">
        <v>103</v>
      </c>
      <c r="L674" t="str">
        <f t="shared" si="20"/>
        <v>RYAN CALTAGIRONE</v>
      </c>
      <c r="M674" t="s">
        <v>1133</v>
      </c>
      <c r="N674" t="s">
        <v>57</v>
      </c>
      <c r="O674" s="1">
        <v>45689</v>
      </c>
      <c r="P674" s="1">
        <v>46235</v>
      </c>
      <c r="Q674" s="2">
        <v>34</v>
      </c>
      <c r="R674" t="s">
        <v>58</v>
      </c>
      <c r="S674" s="3">
        <v>0.15</v>
      </c>
      <c r="T674">
        <v>0</v>
      </c>
      <c r="U674" t="s">
        <v>247</v>
      </c>
      <c r="V674" t="s">
        <v>248</v>
      </c>
      <c r="W674">
        <v>0</v>
      </c>
      <c r="X674" s="2">
        <v>0</v>
      </c>
      <c r="Y674" s="2">
        <v>5.0999999999999996</v>
      </c>
      <c r="Z674" s="2">
        <v>5.0999999999999996</v>
      </c>
      <c r="AA674" s="2">
        <v>5.0999999999999996</v>
      </c>
      <c r="AB674" s="2">
        <v>0</v>
      </c>
    </row>
    <row r="675" spans="1:28" x14ac:dyDescent="0.25">
      <c r="A675">
        <v>2026616496</v>
      </c>
      <c r="B675" t="s">
        <v>354</v>
      </c>
      <c r="C675" t="s">
        <v>355</v>
      </c>
      <c r="D675" t="str">
        <f t="shared" si="21"/>
        <v>JAMES RAGGETT</v>
      </c>
      <c r="E675" t="s">
        <v>117</v>
      </c>
      <c r="F675" t="s">
        <v>194</v>
      </c>
      <c r="G675" t="s">
        <v>195</v>
      </c>
      <c r="H675" t="s">
        <v>195</v>
      </c>
      <c r="I675" s="8">
        <v>8977234</v>
      </c>
      <c r="J675" t="s">
        <v>102</v>
      </c>
      <c r="K675" t="s">
        <v>103</v>
      </c>
      <c r="L675" t="str">
        <f t="shared" si="20"/>
        <v>RYAN CALTAGIRONE</v>
      </c>
      <c r="M675" t="s">
        <v>1133</v>
      </c>
      <c r="N675" t="s">
        <v>57</v>
      </c>
      <c r="O675" s="1">
        <v>45689</v>
      </c>
      <c r="P675" s="1">
        <v>46235</v>
      </c>
      <c r="Q675" s="2">
        <v>35.04</v>
      </c>
      <c r="R675" t="s">
        <v>58</v>
      </c>
      <c r="S675" s="3">
        <v>0.15</v>
      </c>
      <c r="T675">
        <v>0</v>
      </c>
      <c r="U675" t="s">
        <v>247</v>
      </c>
      <c r="V675" t="s">
        <v>248</v>
      </c>
      <c r="W675">
        <v>0</v>
      </c>
      <c r="X675" s="2">
        <v>0</v>
      </c>
      <c r="Y675" s="2">
        <v>5.26</v>
      </c>
      <c r="Z675" s="2">
        <v>5.26</v>
      </c>
      <c r="AA675" s="2">
        <v>5.26</v>
      </c>
      <c r="AB675" s="2">
        <v>0</v>
      </c>
    </row>
    <row r="676" spans="1:28" x14ac:dyDescent="0.25">
      <c r="A676">
        <v>2026619108</v>
      </c>
      <c r="B676" t="s">
        <v>362</v>
      </c>
      <c r="C676" t="s">
        <v>363</v>
      </c>
      <c r="D676" t="str">
        <f t="shared" si="21"/>
        <v>MAX BRUCK</v>
      </c>
      <c r="E676" t="s">
        <v>124</v>
      </c>
      <c r="F676" t="s">
        <v>194</v>
      </c>
      <c r="G676" t="s">
        <v>195</v>
      </c>
      <c r="H676" t="s">
        <v>195</v>
      </c>
      <c r="I676" s="8">
        <v>8977234</v>
      </c>
      <c r="J676" t="s">
        <v>102</v>
      </c>
      <c r="K676" t="s">
        <v>103</v>
      </c>
      <c r="L676" t="str">
        <f t="shared" si="20"/>
        <v>RYAN CALTAGIRONE</v>
      </c>
      <c r="M676" t="s">
        <v>1133</v>
      </c>
      <c r="N676" t="s">
        <v>57</v>
      </c>
      <c r="O676" s="1">
        <v>45689</v>
      </c>
      <c r="P676" s="1">
        <v>46235</v>
      </c>
      <c r="Q676" s="2">
        <v>109.36</v>
      </c>
      <c r="R676" t="s">
        <v>58</v>
      </c>
      <c r="S676" s="3">
        <v>0.15</v>
      </c>
      <c r="T676">
        <v>0</v>
      </c>
      <c r="U676" t="s">
        <v>247</v>
      </c>
      <c r="V676" t="s">
        <v>248</v>
      </c>
      <c r="W676">
        <v>0</v>
      </c>
      <c r="X676" s="2">
        <v>0</v>
      </c>
      <c r="Y676" s="2">
        <v>16.399999999999999</v>
      </c>
      <c r="Z676" s="2">
        <v>16.399999999999999</v>
      </c>
      <c r="AA676" s="2">
        <v>16.399999999999999</v>
      </c>
      <c r="AB676" s="2">
        <v>0</v>
      </c>
    </row>
    <row r="677" spans="1:28" x14ac:dyDescent="0.25">
      <c r="A677">
        <v>2026730179</v>
      </c>
      <c r="B677" t="s">
        <v>1020</v>
      </c>
      <c r="C677" t="s">
        <v>259</v>
      </c>
      <c r="D677" t="str">
        <f t="shared" si="21"/>
        <v>DOUGLAS DUKE</v>
      </c>
      <c r="E677" t="s">
        <v>332</v>
      </c>
      <c r="F677" t="s">
        <v>194</v>
      </c>
      <c r="G677" t="s">
        <v>195</v>
      </c>
      <c r="H677" t="s">
        <v>195</v>
      </c>
      <c r="I677" s="8">
        <v>8977234</v>
      </c>
      <c r="J677" t="s">
        <v>102</v>
      </c>
      <c r="K677" t="s">
        <v>103</v>
      </c>
      <c r="L677" t="str">
        <f t="shared" si="20"/>
        <v>RYAN CALTAGIRONE</v>
      </c>
      <c r="M677" t="s">
        <v>1133</v>
      </c>
      <c r="N677" t="s">
        <v>57</v>
      </c>
      <c r="O677" s="1">
        <v>45689</v>
      </c>
      <c r="P677" s="1">
        <v>46235</v>
      </c>
      <c r="Q677" s="2">
        <v>158.44999999999999</v>
      </c>
      <c r="R677" t="s">
        <v>58</v>
      </c>
      <c r="S677" s="3">
        <v>0.15</v>
      </c>
      <c r="T677">
        <v>0</v>
      </c>
      <c r="U677" t="s">
        <v>247</v>
      </c>
      <c r="V677" t="s">
        <v>248</v>
      </c>
      <c r="W677">
        <v>0</v>
      </c>
      <c r="X677" s="2">
        <v>0</v>
      </c>
      <c r="Y677" s="2">
        <v>23.77</v>
      </c>
      <c r="Z677" s="2">
        <v>23.77</v>
      </c>
      <c r="AA677" s="2">
        <v>23.77</v>
      </c>
      <c r="AB677" s="2">
        <v>0</v>
      </c>
    </row>
    <row r="678" spans="1:28" x14ac:dyDescent="0.25">
      <c r="A678">
        <v>2028800424</v>
      </c>
      <c r="B678" t="s">
        <v>875</v>
      </c>
      <c r="C678" t="s">
        <v>1042</v>
      </c>
      <c r="D678" t="str">
        <f t="shared" si="21"/>
        <v>TINA ANDERSON</v>
      </c>
      <c r="E678" t="s">
        <v>143</v>
      </c>
      <c r="F678" t="s">
        <v>194</v>
      </c>
      <c r="G678" t="s">
        <v>195</v>
      </c>
      <c r="H678" t="s">
        <v>195</v>
      </c>
      <c r="I678" s="8">
        <v>8977234</v>
      </c>
      <c r="J678" t="s">
        <v>102</v>
      </c>
      <c r="K678" t="s">
        <v>103</v>
      </c>
      <c r="L678" t="str">
        <f t="shared" si="20"/>
        <v>RYAN CALTAGIRONE</v>
      </c>
      <c r="M678" t="s">
        <v>1133</v>
      </c>
      <c r="N678" t="s">
        <v>57</v>
      </c>
      <c r="O678" s="1">
        <v>45804</v>
      </c>
      <c r="P678" s="1">
        <v>46230</v>
      </c>
      <c r="Q678" s="2">
        <v>141.32</v>
      </c>
      <c r="R678" t="s">
        <v>58</v>
      </c>
      <c r="S678" s="3">
        <v>0.15</v>
      </c>
      <c r="T678">
        <v>0</v>
      </c>
      <c r="U678" t="s">
        <v>247</v>
      </c>
      <c r="V678" t="s">
        <v>248</v>
      </c>
      <c r="W678">
        <v>0</v>
      </c>
      <c r="X678" s="2">
        <v>0</v>
      </c>
      <c r="Y678" s="2">
        <v>21.2</v>
      </c>
      <c r="Z678" s="2">
        <v>21.2</v>
      </c>
      <c r="AA678" s="2">
        <v>21.2</v>
      </c>
      <c r="AB678" s="2">
        <v>0</v>
      </c>
    </row>
    <row r="679" spans="1:28" x14ac:dyDescent="0.25">
      <c r="A679">
        <v>2032626949</v>
      </c>
      <c r="B679" t="s">
        <v>407</v>
      </c>
      <c r="C679" t="s">
        <v>408</v>
      </c>
      <c r="D679" t="str">
        <f t="shared" si="21"/>
        <v>JAMIE FILIPPO</v>
      </c>
      <c r="E679" t="s">
        <v>89</v>
      </c>
      <c r="F679" t="s">
        <v>194</v>
      </c>
      <c r="G679" t="s">
        <v>195</v>
      </c>
      <c r="H679" t="s">
        <v>195</v>
      </c>
      <c r="I679" s="8">
        <v>8977234</v>
      </c>
      <c r="J679" t="s">
        <v>102</v>
      </c>
      <c r="K679" t="s">
        <v>103</v>
      </c>
      <c r="L679" t="str">
        <f t="shared" si="20"/>
        <v>RYAN CALTAGIRONE</v>
      </c>
      <c r="M679" t="s">
        <v>1133</v>
      </c>
      <c r="N679" t="s">
        <v>57</v>
      </c>
      <c r="O679" s="1">
        <v>46023</v>
      </c>
      <c r="P679" s="1">
        <v>46235</v>
      </c>
      <c r="Q679" s="2">
        <v>81.150000000000006</v>
      </c>
      <c r="R679" t="s">
        <v>58</v>
      </c>
      <c r="S679" s="3">
        <v>0.7</v>
      </c>
      <c r="T679">
        <v>0</v>
      </c>
      <c r="U679" t="s">
        <v>60</v>
      </c>
      <c r="V679" t="s">
        <v>248</v>
      </c>
      <c r="W679">
        <v>0</v>
      </c>
      <c r="X679" s="2">
        <v>0</v>
      </c>
      <c r="Y679" s="2">
        <v>56.8</v>
      </c>
      <c r="Z679" s="2">
        <v>56.8</v>
      </c>
      <c r="AA679" s="2">
        <v>56.8</v>
      </c>
      <c r="AB679" s="2">
        <v>0</v>
      </c>
    </row>
    <row r="680" spans="1:28" x14ac:dyDescent="0.25">
      <c r="A680">
        <v>2032098955</v>
      </c>
      <c r="B680" t="s">
        <v>301</v>
      </c>
      <c r="C680" t="s">
        <v>209</v>
      </c>
      <c r="D680" t="str">
        <f t="shared" si="21"/>
        <v>JOHN BLACK</v>
      </c>
      <c r="E680" t="s">
        <v>302</v>
      </c>
      <c r="F680" t="s">
        <v>194</v>
      </c>
      <c r="G680" t="s">
        <v>195</v>
      </c>
      <c r="H680" t="s">
        <v>195</v>
      </c>
      <c r="I680" s="8">
        <v>8977234</v>
      </c>
      <c r="J680" t="s">
        <v>102</v>
      </c>
      <c r="K680" t="s">
        <v>103</v>
      </c>
      <c r="L680" t="str">
        <f t="shared" si="20"/>
        <v>RYAN CALTAGIRONE</v>
      </c>
      <c r="M680" t="s">
        <v>1133</v>
      </c>
      <c r="N680" t="s">
        <v>57</v>
      </c>
      <c r="O680" s="1">
        <v>46054</v>
      </c>
      <c r="P680" s="1">
        <v>46235</v>
      </c>
      <c r="Q680" s="2">
        <v>23.28</v>
      </c>
      <c r="R680" t="s">
        <v>58</v>
      </c>
      <c r="S680" s="3">
        <v>0.7</v>
      </c>
      <c r="T680">
        <v>0</v>
      </c>
      <c r="U680" t="s">
        <v>60</v>
      </c>
      <c r="V680" t="s">
        <v>248</v>
      </c>
      <c r="W680">
        <v>0</v>
      </c>
      <c r="X680" s="2">
        <v>0</v>
      </c>
      <c r="Y680" s="2">
        <v>16.3</v>
      </c>
      <c r="Z680" s="2">
        <v>0</v>
      </c>
      <c r="AA680" s="2">
        <v>0</v>
      </c>
      <c r="AB680" s="2">
        <v>0</v>
      </c>
    </row>
    <row r="681" spans="1:28" x14ac:dyDescent="0.25">
      <c r="A681">
        <v>2033135806</v>
      </c>
      <c r="B681" t="s">
        <v>312</v>
      </c>
      <c r="C681" t="s">
        <v>313</v>
      </c>
      <c r="D681" t="str">
        <f t="shared" si="21"/>
        <v>JESUS CAMPUZANO</v>
      </c>
      <c r="E681" t="s">
        <v>100</v>
      </c>
      <c r="F681" t="s">
        <v>194</v>
      </c>
      <c r="G681" t="s">
        <v>195</v>
      </c>
      <c r="H681" t="s">
        <v>195</v>
      </c>
      <c r="I681" s="8">
        <v>8977234</v>
      </c>
      <c r="J681" t="s">
        <v>102</v>
      </c>
      <c r="K681" t="s">
        <v>103</v>
      </c>
      <c r="L681" t="str">
        <f t="shared" si="20"/>
        <v>RYAN CALTAGIRONE</v>
      </c>
      <c r="M681" t="s">
        <v>1133</v>
      </c>
      <c r="N681" t="s">
        <v>57</v>
      </c>
      <c r="O681" s="1">
        <v>46054</v>
      </c>
      <c r="P681" s="1">
        <v>46235</v>
      </c>
      <c r="Q681" s="2">
        <v>29.79</v>
      </c>
      <c r="R681" t="s">
        <v>58</v>
      </c>
      <c r="S681" s="3">
        <v>0.7</v>
      </c>
      <c r="T681">
        <v>0</v>
      </c>
      <c r="U681" t="s">
        <v>60</v>
      </c>
      <c r="V681" t="s">
        <v>248</v>
      </c>
      <c r="W681">
        <v>0</v>
      </c>
      <c r="X681" s="2">
        <v>0</v>
      </c>
      <c r="Y681" s="2">
        <v>20.85</v>
      </c>
      <c r="Z681" s="2">
        <v>0</v>
      </c>
      <c r="AA681" s="2">
        <v>0</v>
      </c>
      <c r="AB681" s="2">
        <v>0</v>
      </c>
    </row>
    <row r="682" spans="1:28" x14ac:dyDescent="0.25">
      <c r="A682">
        <v>2032959560</v>
      </c>
      <c r="B682" t="s">
        <v>419</v>
      </c>
      <c r="C682" t="s">
        <v>420</v>
      </c>
      <c r="D682" t="str">
        <f t="shared" si="21"/>
        <v>DIANA TOBIN</v>
      </c>
      <c r="E682" t="s">
        <v>200</v>
      </c>
      <c r="F682" t="s">
        <v>194</v>
      </c>
      <c r="G682" t="s">
        <v>195</v>
      </c>
      <c r="H682" t="s">
        <v>195</v>
      </c>
      <c r="I682" s="8">
        <v>8977234</v>
      </c>
      <c r="J682" t="s">
        <v>102</v>
      </c>
      <c r="K682" t="s">
        <v>103</v>
      </c>
      <c r="L682" t="str">
        <f t="shared" si="20"/>
        <v>RYAN CALTAGIRONE</v>
      </c>
      <c r="M682" t="s">
        <v>1133</v>
      </c>
      <c r="N682" t="s">
        <v>57</v>
      </c>
      <c r="O682" s="1">
        <v>46054</v>
      </c>
      <c r="P682" s="1">
        <v>46235</v>
      </c>
      <c r="Q682" s="2">
        <v>29.92</v>
      </c>
      <c r="R682" t="s">
        <v>58</v>
      </c>
      <c r="S682" s="3">
        <v>0.7</v>
      </c>
      <c r="T682">
        <v>0</v>
      </c>
      <c r="U682" t="s">
        <v>60</v>
      </c>
      <c r="V682" t="s">
        <v>248</v>
      </c>
      <c r="W682">
        <v>0</v>
      </c>
      <c r="X682" s="2">
        <v>0</v>
      </c>
      <c r="Y682" s="2">
        <v>20.94</v>
      </c>
      <c r="Z682" s="2">
        <v>0</v>
      </c>
      <c r="AA682" s="2">
        <v>0</v>
      </c>
      <c r="AB682" s="2">
        <v>0</v>
      </c>
    </row>
    <row r="683" spans="1:28" x14ac:dyDescent="0.25">
      <c r="A683">
        <v>2035532861</v>
      </c>
      <c r="B683" t="s">
        <v>574</v>
      </c>
      <c r="C683" t="s">
        <v>575</v>
      </c>
      <c r="D683" t="str">
        <f t="shared" si="21"/>
        <v>CHRISTY HENDRIX</v>
      </c>
      <c r="E683" t="s">
        <v>97</v>
      </c>
      <c r="F683" t="s">
        <v>194</v>
      </c>
      <c r="G683" t="s">
        <v>195</v>
      </c>
      <c r="H683" t="s">
        <v>195</v>
      </c>
      <c r="I683" s="8">
        <v>8977234</v>
      </c>
      <c r="J683" t="s">
        <v>102</v>
      </c>
      <c r="K683" t="s">
        <v>103</v>
      </c>
      <c r="L683" t="str">
        <f t="shared" si="20"/>
        <v>RYAN CALTAGIRONE</v>
      </c>
      <c r="M683" t="s">
        <v>1133</v>
      </c>
      <c r="N683" t="s">
        <v>57</v>
      </c>
      <c r="O683" s="1">
        <v>46172</v>
      </c>
      <c r="P683" s="1">
        <v>46233</v>
      </c>
      <c r="Q683" s="2">
        <v>32.92</v>
      </c>
      <c r="R683" t="s">
        <v>58</v>
      </c>
      <c r="S683" s="3">
        <v>0.7</v>
      </c>
      <c r="T683">
        <v>0</v>
      </c>
      <c r="U683" t="s">
        <v>60</v>
      </c>
      <c r="V683" t="s">
        <v>248</v>
      </c>
      <c r="W683">
        <v>0</v>
      </c>
      <c r="X683" s="2">
        <v>0</v>
      </c>
      <c r="Y683" s="2">
        <v>23.04</v>
      </c>
      <c r="Z683" s="2">
        <v>0</v>
      </c>
      <c r="AA683" s="2">
        <v>0</v>
      </c>
      <c r="AB683" s="2">
        <v>0</v>
      </c>
    </row>
    <row r="684" spans="1:28" x14ac:dyDescent="0.25">
      <c r="A684">
        <v>2033072263</v>
      </c>
      <c r="B684" t="s">
        <v>453</v>
      </c>
      <c r="C684" t="s">
        <v>454</v>
      </c>
      <c r="D684" t="str">
        <f t="shared" si="21"/>
        <v>AMY DUARTE</v>
      </c>
      <c r="E684" t="s">
        <v>89</v>
      </c>
      <c r="F684" t="s">
        <v>194</v>
      </c>
      <c r="G684" t="s">
        <v>195</v>
      </c>
      <c r="H684" t="s">
        <v>195</v>
      </c>
      <c r="I684" s="8">
        <v>8977234</v>
      </c>
      <c r="J684" t="s">
        <v>102</v>
      </c>
      <c r="K684" t="s">
        <v>103</v>
      </c>
      <c r="L684" t="str">
        <f t="shared" si="20"/>
        <v>RYAN CALTAGIRONE</v>
      </c>
      <c r="M684" t="s">
        <v>1133</v>
      </c>
      <c r="N684" t="s">
        <v>57</v>
      </c>
      <c r="O684" s="1">
        <v>46049</v>
      </c>
      <c r="P684" s="1">
        <v>46230</v>
      </c>
      <c r="Q684" s="2">
        <v>41.29</v>
      </c>
      <c r="R684" t="s">
        <v>58</v>
      </c>
      <c r="S684" s="3">
        <v>0.7</v>
      </c>
      <c r="T684">
        <v>0</v>
      </c>
      <c r="U684" t="s">
        <v>60</v>
      </c>
      <c r="V684" t="s">
        <v>248</v>
      </c>
      <c r="W684">
        <v>0</v>
      </c>
      <c r="X684" s="2">
        <v>0</v>
      </c>
      <c r="Y684" s="2">
        <v>28.9</v>
      </c>
      <c r="Z684" s="2">
        <v>0</v>
      </c>
      <c r="AA684" s="2">
        <v>0</v>
      </c>
      <c r="AB684" s="2">
        <v>0</v>
      </c>
    </row>
    <row r="685" spans="1:28" x14ac:dyDescent="0.25">
      <c r="A685">
        <v>2032827916</v>
      </c>
      <c r="B685" t="s">
        <v>410</v>
      </c>
      <c r="C685" t="s">
        <v>411</v>
      </c>
      <c r="D685" t="str">
        <f t="shared" si="21"/>
        <v>AMBER LEMIEUX</v>
      </c>
      <c r="E685" t="s">
        <v>332</v>
      </c>
      <c r="F685" t="s">
        <v>194</v>
      </c>
      <c r="G685" t="s">
        <v>195</v>
      </c>
      <c r="H685" t="s">
        <v>195</v>
      </c>
      <c r="I685" s="8">
        <v>8977234</v>
      </c>
      <c r="J685" t="s">
        <v>102</v>
      </c>
      <c r="K685" t="s">
        <v>103</v>
      </c>
      <c r="L685" t="str">
        <f t="shared" si="20"/>
        <v>RYAN CALTAGIRONE</v>
      </c>
      <c r="M685" t="s">
        <v>1133</v>
      </c>
      <c r="N685" t="s">
        <v>57</v>
      </c>
      <c r="O685" s="1">
        <v>46054</v>
      </c>
      <c r="P685" s="1">
        <v>46235</v>
      </c>
      <c r="Q685" s="2">
        <v>54.83</v>
      </c>
      <c r="R685" t="s">
        <v>58</v>
      </c>
      <c r="S685" s="3">
        <v>0.7</v>
      </c>
      <c r="T685">
        <v>0</v>
      </c>
      <c r="U685" t="s">
        <v>60</v>
      </c>
      <c r="V685" t="s">
        <v>248</v>
      </c>
      <c r="W685">
        <v>0</v>
      </c>
      <c r="X685" s="2">
        <v>0</v>
      </c>
      <c r="Y685" s="2">
        <v>38.380000000000003</v>
      </c>
      <c r="Z685" s="2">
        <v>0</v>
      </c>
      <c r="AA685" s="2">
        <v>0</v>
      </c>
      <c r="AB685" s="2">
        <v>0</v>
      </c>
    </row>
    <row r="686" spans="1:28" x14ac:dyDescent="0.25">
      <c r="A686">
        <v>2033344712</v>
      </c>
      <c r="B686" t="s">
        <v>789</v>
      </c>
      <c r="C686" t="s">
        <v>379</v>
      </c>
      <c r="D686" t="str">
        <f t="shared" si="21"/>
        <v>THOMAS WEBB</v>
      </c>
      <c r="E686" t="s">
        <v>332</v>
      </c>
      <c r="F686" t="s">
        <v>194</v>
      </c>
      <c r="G686" t="s">
        <v>195</v>
      </c>
      <c r="H686" t="s">
        <v>195</v>
      </c>
      <c r="I686" s="8">
        <v>8977234</v>
      </c>
      <c r="J686" t="s">
        <v>102</v>
      </c>
      <c r="K686" t="s">
        <v>103</v>
      </c>
      <c r="L686" t="str">
        <f t="shared" si="20"/>
        <v>RYAN CALTAGIRONE</v>
      </c>
      <c r="M686" t="s">
        <v>1133</v>
      </c>
      <c r="N686" t="s">
        <v>57</v>
      </c>
      <c r="O686" s="1">
        <v>46050</v>
      </c>
      <c r="P686" s="1">
        <v>46231</v>
      </c>
      <c r="Q686" s="2">
        <v>57.4</v>
      </c>
      <c r="R686" t="s">
        <v>58</v>
      </c>
      <c r="S686" s="3">
        <v>0.7</v>
      </c>
      <c r="T686">
        <v>0</v>
      </c>
      <c r="U686" t="s">
        <v>60</v>
      </c>
      <c r="V686" t="s">
        <v>248</v>
      </c>
      <c r="W686">
        <v>0</v>
      </c>
      <c r="X686" s="2">
        <v>0</v>
      </c>
      <c r="Y686" s="2">
        <v>40.18</v>
      </c>
      <c r="Z686" s="2">
        <v>0</v>
      </c>
      <c r="AA686" s="2">
        <v>0</v>
      </c>
      <c r="AB686" s="2">
        <v>0</v>
      </c>
    </row>
    <row r="687" spans="1:28" x14ac:dyDescent="0.25">
      <c r="A687">
        <v>2033145359</v>
      </c>
      <c r="B687" t="s">
        <v>470</v>
      </c>
      <c r="C687" t="s">
        <v>471</v>
      </c>
      <c r="D687" t="str">
        <f t="shared" si="21"/>
        <v>KELLY SHAW</v>
      </c>
      <c r="E687" t="s">
        <v>89</v>
      </c>
      <c r="F687" t="s">
        <v>194</v>
      </c>
      <c r="G687" t="s">
        <v>195</v>
      </c>
      <c r="H687" t="s">
        <v>195</v>
      </c>
      <c r="I687" s="8">
        <v>8977234</v>
      </c>
      <c r="J687" t="s">
        <v>102</v>
      </c>
      <c r="K687" t="s">
        <v>103</v>
      </c>
      <c r="L687" t="str">
        <f t="shared" si="20"/>
        <v>RYAN CALTAGIRONE</v>
      </c>
      <c r="M687" t="s">
        <v>1133</v>
      </c>
      <c r="N687" t="s">
        <v>57</v>
      </c>
      <c r="O687" s="1">
        <v>46054</v>
      </c>
      <c r="P687" s="1">
        <v>46235</v>
      </c>
      <c r="Q687" s="2">
        <v>58.24</v>
      </c>
      <c r="R687" t="s">
        <v>58</v>
      </c>
      <c r="S687" s="3">
        <v>0.7</v>
      </c>
      <c r="T687">
        <v>0</v>
      </c>
      <c r="U687" t="s">
        <v>60</v>
      </c>
      <c r="V687" t="s">
        <v>248</v>
      </c>
      <c r="W687">
        <v>0</v>
      </c>
      <c r="X687" s="2">
        <v>0</v>
      </c>
      <c r="Y687" s="2">
        <v>40.770000000000003</v>
      </c>
      <c r="Z687" s="2">
        <v>0</v>
      </c>
      <c r="AA687" s="2">
        <v>0</v>
      </c>
      <c r="AB687" s="2">
        <v>0</v>
      </c>
    </row>
    <row r="688" spans="1:28" x14ac:dyDescent="0.25">
      <c r="A688">
        <v>2033150715</v>
      </c>
      <c r="B688" t="s">
        <v>475</v>
      </c>
      <c r="C688" t="s">
        <v>476</v>
      </c>
      <c r="D688" t="str">
        <f t="shared" si="21"/>
        <v>ANGELICA SANTIAGO</v>
      </c>
      <c r="E688" t="s">
        <v>143</v>
      </c>
      <c r="F688" t="s">
        <v>194</v>
      </c>
      <c r="G688" t="s">
        <v>195</v>
      </c>
      <c r="H688" t="s">
        <v>195</v>
      </c>
      <c r="I688" s="8">
        <v>8977234</v>
      </c>
      <c r="J688" t="s">
        <v>102</v>
      </c>
      <c r="K688" t="s">
        <v>103</v>
      </c>
      <c r="L688" t="str">
        <f t="shared" si="20"/>
        <v>RYAN CALTAGIRONE</v>
      </c>
      <c r="M688" t="s">
        <v>1133</v>
      </c>
      <c r="N688" t="s">
        <v>57</v>
      </c>
      <c r="O688" s="1">
        <v>46054</v>
      </c>
      <c r="P688" s="1">
        <v>46235</v>
      </c>
      <c r="Q688" s="2">
        <v>72.06</v>
      </c>
      <c r="R688" t="s">
        <v>58</v>
      </c>
      <c r="S688" s="3">
        <v>0.7</v>
      </c>
      <c r="T688">
        <v>0</v>
      </c>
      <c r="U688" t="s">
        <v>60</v>
      </c>
      <c r="V688" t="s">
        <v>248</v>
      </c>
      <c r="W688">
        <v>0</v>
      </c>
      <c r="X688" s="2">
        <v>0</v>
      </c>
      <c r="Y688" s="2">
        <v>50.44</v>
      </c>
      <c r="Z688" s="2">
        <v>0</v>
      </c>
      <c r="AA688" s="2">
        <v>0</v>
      </c>
      <c r="AB688" s="2">
        <v>0</v>
      </c>
    </row>
    <row r="689" spans="1:28" x14ac:dyDescent="0.25">
      <c r="A689">
        <v>2032987595</v>
      </c>
      <c r="B689" t="s">
        <v>426</v>
      </c>
      <c r="C689" t="s">
        <v>427</v>
      </c>
      <c r="D689" t="str">
        <f t="shared" si="21"/>
        <v>CHARITY WATERS</v>
      </c>
      <c r="E689" t="s">
        <v>143</v>
      </c>
      <c r="F689" t="s">
        <v>194</v>
      </c>
      <c r="G689" t="s">
        <v>195</v>
      </c>
      <c r="H689" t="s">
        <v>195</v>
      </c>
      <c r="I689" s="8">
        <v>8977234</v>
      </c>
      <c r="J689" t="s">
        <v>102</v>
      </c>
      <c r="K689" t="s">
        <v>103</v>
      </c>
      <c r="L689" t="str">
        <f t="shared" si="20"/>
        <v>RYAN CALTAGIRONE</v>
      </c>
      <c r="M689" t="s">
        <v>1133</v>
      </c>
      <c r="N689" t="s">
        <v>57</v>
      </c>
      <c r="O689" s="1">
        <v>46054</v>
      </c>
      <c r="P689" s="1">
        <v>46235</v>
      </c>
      <c r="Q689" s="2">
        <v>73.56</v>
      </c>
      <c r="R689" t="s">
        <v>58</v>
      </c>
      <c r="S689" s="3">
        <v>0.7</v>
      </c>
      <c r="T689">
        <v>0</v>
      </c>
      <c r="U689" t="s">
        <v>60</v>
      </c>
      <c r="V689" t="s">
        <v>248</v>
      </c>
      <c r="W689">
        <v>0</v>
      </c>
      <c r="X689" s="2">
        <v>0</v>
      </c>
      <c r="Y689" s="2">
        <v>51.49</v>
      </c>
      <c r="Z689" s="2">
        <v>0</v>
      </c>
      <c r="AA689" s="2">
        <v>0</v>
      </c>
      <c r="AB689" s="2">
        <v>0</v>
      </c>
    </row>
    <row r="690" spans="1:28" x14ac:dyDescent="0.25">
      <c r="A690">
        <v>2033057792</v>
      </c>
      <c r="B690" t="s">
        <v>446</v>
      </c>
      <c r="C690" t="s">
        <v>433</v>
      </c>
      <c r="D690" t="str">
        <f t="shared" si="21"/>
        <v>TERESA MILLER</v>
      </c>
      <c r="E690" t="s">
        <v>89</v>
      </c>
      <c r="F690" t="s">
        <v>194</v>
      </c>
      <c r="G690" t="s">
        <v>195</v>
      </c>
      <c r="H690" t="s">
        <v>195</v>
      </c>
      <c r="I690" s="8">
        <v>8977234</v>
      </c>
      <c r="J690" t="s">
        <v>102</v>
      </c>
      <c r="K690" t="s">
        <v>103</v>
      </c>
      <c r="L690" t="str">
        <f t="shared" si="20"/>
        <v>RYAN CALTAGIRONE</v>
      </c>
      <c r="M690" t="s">
        <v>1133</v>
      </c>
      <c r="N690" t="s">
        <v>57</v>
      </c>
      <c r="O690" s="1">
        <v>46054</v>
      </c>
      <c r="P690" s="1">
        <v>46235</v>
      </c>
      <c r="Q690" s="2">
        <v>78.03</v>
      </c>
      <c r="R690" t="s">
        <v>58</v>
      </c>
      <c r="S690" s="3">
        <v>0.7</v>
      </c>
      <c r="T690">
        <v>0</v>
      </c>
      <c r="U690" t="s">
        <v>60</v>
      </c>
      <c r="V690" t="s">
        <v>248</v>
      </c>
      <c r="W690">
        <v>0</v>
      </c>
      <c r="X690" s="2">
        <v>0</v>
      </c>
      <c r="Y690" s="2">
        <v>54.62</v>
      </c>
      <c r="Z690" s="2">
        <v>0</v>
      </c>
      <c r="AA690" s="2">
        <v>0</v>
      </c>
      <c r="AB690" s="2">
        <v>0</v>
      </c>
    </row>
    <row r="691" spans="1:28" x14ac:dyDescent="0.25">
      <c r="A691">
        <v>2033025113</v>
      </c>
      <c r="B691" t="s">
        <v>438</v>
      </c>
      <c r="C691" t="s">
        <v>250</v>
      </c>
      <c r="D691" t="str">
        <f t="shared" si="21"/>
        <v>BENJAMIN ZACHER</v>
      </c>
      <c r="E691" t="s">
        <v>89</v>
      </c>
      <c r="F691" t="s">
        <v>194</v>
      </c>
      <c r="G691" t="s">
        <v>195</v>
      </c>
      <c r="H691" t="s">
        <v>195</v>
      </c>
      <c r="I691" s="8">
        <v>8977234</v>
      </c>
      <c r="J691" t="s">
        <v>102</v>
      </c>
      <c r="K691" t="s">
        <v>103</v>
      </c>
      <c r="L691" t="str">
        <f t="shared" si="20"/>
        <v>RYAN CALTAGIRONE</v>
      </c>
      <c r="M691" t="s">
        <v>1133</v>
      </c>
      <c r="N691" t="s">
        <v>57</v>
      </c>
      <c r="O691" s="1">
        <v>46054</v>
      </c>
      <c r="P691" s="1">
        <v>46235</v>
      </c>
      <c r="Q691" s="2">
        <v>81.150000000000006</v>
      </c>
      <c r="R691" t="s">
        <v>58</v>
      </c>
      <c r="S691" s="3">
        <v>0.7</v>
      </c>
      <c r="T691">
        <v>0</v>
      </c>
      <c r="U691" t="s">
        <v>60</v>
      </c>
      <c r="V691" t="s">
        <v>248</v>
      </c>
      <c r="W691">
        <v>0</v>
      </c>
      <c r="X691" s="2">
        <v>0</v>
      </c>
      <c r="Y691" s="2">
        <v>56.8</v>
      </c>
      <c r="Z691" s="2">
        <v>0</v>
      </c>
      <c r="AA691" s="2">
        <v>0</v>
      </c>
      <c r="AB691" s="2">
        <v>0</v>
      </c>
    </row>
    <row r="692" spans="1:28" x14ac:dyDescent="0.25">
      <c r="A692">
        <v>2033328697</v>
      </c>
      <c r="B692" t="s">
        <v>785</v>
      </c>
      <c r="C692" t="s">
        <v>598</v>
      </c>
      <c r="D692" t="str">
        <f t="shared" si="21"/>
        <v>ANTHONY BURROUGHS</v>
      </c>
      <c r="E692" t="s">
        <v>97</v>
      </c>
      <c r="F692" t="s">
        <v>194</v>
      </c>
      <c r="G692" t="s">
        <v>195</v>
      </c>
      <c r="H692" t="s">
        <v>195</v>
      </c>
      <c r="I692" s="8">
        <v>8977234</v>
      </c>
      <c r="J692" t="s">
        <v>102</v>
      </c>
      <c r="K692" t="s">
        <v>103</v>
      </c>
      <c r="L692" t="str">
        <f t="shared" si="20"/>
        <v>RYAN CALTAGIRONE</v>
      </c>
      <c r="M692" t="s">
        <v>1133</v>
      </c>
      <c r="N692" t="s">
        <v>57</v>
      </c>
      <c r="O692" s="1">
        <v>46054</v>
      </c>
      <c r="P692" s="1">
        <v>46235</v>
      </c>
      <c r="Q692" s="2">
        <v>87.08</v>
      </c>
      <c r="R692" t="s">
        <v>58</v>
      </c>
      <c r="S692" s="3">
        <v>0.7</v>
      </c>
      <c r="T692">
        <v>0</v>
      </c>
      <c r="U692" t="s">
        <v>60</v>
      </c>
      <c r="V692" t="s">
        <v>248</v>
      </c>
      <c r="W692">
        <v>0</v>
      </c>
      <c r="X692" s="2">
        <v>0</v>
      </c>
      <c r="Y692" s="2">
        <v>60.96</v>
      </c>
      <c r="Z692" s="2">
        <v>0</v>
      </c>
      <c r="AA692" s="2">
        <v>0</v>
      </c>
      <c r="AB692" s="2">
        <v>0</v>
      </c>
    </row>
    <row r="693" spans="1:28" x14ac:dyDescent="0.25">
      <c r="A693">
        <v>2033388996</v>
      </c>
      <c r="B693" t="s">
        <v>543</v>
      </c>
      <c r="C693" t="s">
        <v>103</v>
      </c>
      <c r="D693" t="str">
        <f t="shared" si="21"/>
        <v>RYAN LAZARUS</v>
      </c>
      <c r="E693" t="s">
        <v>89</v>
      </c>
      <c r="F693" t="s">
        <v>194</v>
      </c>
      <c r="G693" t="s">
        <v>195</v>
      </c>
      <c r="H693" t="s">
        <v>195</v>
      </c>
      <c r="I693" s="8">
        <v>8977234</v>
      </c>
      <c r="J693" t="s">
        <v>102</v>
      </c>
      <c r="K693" t="s">
        <v>103</v>
      </c>
      <c r="L693" t="str">
        <f t="shared" si="20"/>
        <v>RYAN CALTAGIRONE</v>
      </c>
      <c r="M693" t="s">
        <v>1133</v>
      </c>
      <c r="N693" t="s">
        <v>57</v>
      </c>
      <c r="O693" s="1">
        <v>46054</v>
      </c>
      <c r="P693" s="1">
        <v>46235</v>
      </c>
      <c r="Q693" s="2">
        <v>91.23</v>
      </c>
      <c r="R693" t="s">
        <v>58</v>
      </c>
      <c r="S693" s="3">
        <v>0.7</v>
      </c>
      <c r="T693">
        <v>0</v>
      </c>
      <c r="U693" t="s">
        <v>60</v>
      </c>
      <c r="V693" t="s">
        <v>248</v>
      </c>
      <c r="W693">
        <v>0</v>
      </c>
      <c r="X693" s="2">
        <v>0</v>
      </c>
      <c r="Y693" s="2">
        <v>63.86</v>
      </c>
      <c r="Z693" s="2">
        <v>0</v>
      </c>
      <c r="AA693" s="2">
        <v>0</v>
      </c>
      <c r="AB693" s="2">
        <v>0</v>
      </c>
    </row>
    <row r="694" spans="1:28" x14ac:dyDescent="0.25">
      <c r="A694">
        <v>2033028651</v>
      </c>
      <c r="B694" t="s">
        <v>282</v>
      </c>
      <c r="C694" t="s">
        <v>1067</v>
      </c>
      <c r="D694" t="str">
        <f t="shared" si="21"/>
        <v>RANDY RUSSELL</v>
      </c>
      <c r="E694" t="s">
        <v>68</v>
      </c>
      <c r="F694" t="s">
        <v>194</v>
      </c>
      <c r="G694" t="s">
        <v>195</v>
      </c>
      <c r="H694" t="s">
        <v>195</v>
      </c>
      <c r="I694" s="8">
        <v>8977234</v>
      </c>
      <c r="J694" t="s">
        <v>102</v>
      </c>
      <c r="K694" t="s">
        <v>103</v>
      </c>
      <c r="L694" t="str">
        <f t="shared" si="20"/>
        <v>RYAN CALTAGIRONE</v>
      </c>
      <c r="M694" t="s">
        <v>1133</v>
      </c>
      <c r="N694" t="s">
        <v>57</v>
      </c>
      <c r="O694" s="1">
        <v>46054</v>
      </c>
      <c r="P694" s="1">
        <v>46235</v>
      </c>
      <c r="Q694" s="2">
        <v>94.16</v>
      </c>
      <c r="R694" t="s">
        <v>58</v>
      </c>
      <c r="S694" s="3">
        <v>0.7</v>
      </c>
      <c r="T694">
        <v>0</v>
      </c>
      <c r="U694" t="s">
        <v>60</v>
      </c>
      <c r="V694" t="s">
        <v>248</v>
      </c>
      <c r="W694">
        <v>0</v>
      </c>
      <c r="X694" s="2">
        <v>0</v>
      </c>
      <c r="Y694" s="2">
        <v>65.91</v>
      </c>
      <c r="Z694" s="2">
        <v>0</v>
      </c>
      <c r="AA694" s="2">
        <v>0</v>
      </c>
      <c r="AB694" s="2">
        <v>0</v>
      </c>
    </row>
    <row r="695" spans="1:28" x14ac:dyDescent="0.25">
      <c r="A695">
        <v>2033110652</v>
      </c>
      <c r="B695" t="s">
        <v>729</v>
      </c>
      <c r="C695" t="s">
        <v>308</v>
      </c>
      <c r="D695" t="str">
        <f t="shared" si="21"/>
        <v>TARA DOMINGUEZ</v>
      </c>
      <c r="E695" t="s">
        <v>124</v>
      </c>
      <c r="F695" t="s">
        <v>194</v>
      </c>
      <c r="G695" t="s">
        <v>195</v>
      </c>
      <c r="H695" t="s">
        <v>195</v>
      </c>
      <c r="I695" s="8">
        <v>8977234</v>
      </c>
      <c r="J695" t="s">
        <v>102</v>
      </c>
      <c r="K695" t="s">
        <v>103</v>
      </c>
      <c r="L695" t="str">
        <f t="shared" si="20"/>
        <v>RYAN CALTAGIRONE</v>
      </c>
      <c r="M695" t="s">
        <v>1133</v>
      </c>
      <c r="N695" t="s">
        <v>57</v>
      </c>
      <c r="O695" s="1">
        <v>46054</v>
      </c>
      <c r="P695" s="1">
        <v>46235</v>
      </c>
      <c r="Q695" s="2">
        <v>109.36</v>
      </c>
      <c r="R695" t="s">
        <v>58</v>
      </c>
      <c r="S695" s="3">
        <v>0.7</v>
      </c>
      <c r="T695">
        <v>0</v>
      </c>
      <c r="U695" t="s">
        <v>60</v>
      </c>
      <c r="V695" t="s">
        <v>248</v>
      </c>
      <c r="W695">
        <v>0</v>
      </c>
      <c r="X695" s="2">
        <v>0</v>
      </c>
      <c r="Y695" s="2">
        <v>76.55</v>
      </c>
      <c r="Z695" s="2">
        <v>0</v>
      </c>
      <c r="AA695" s="2">
        <v>0</v>
      </c>
      <c r="AB695" s="2">
        <v>0</v>
      </c>
    </row>
    <row r="696" spans="1:28" x14ac:dyDescent="0.25">
      <c r="A696">
        <v>2021612243</v>
      </c>
      <c r="B696" t="s">
        <v>675</v>
      </c>
      <c r="C696" t="s">
        <v>676</v>
      </c>
      <c r="D696" t="str">
        <f t="shared" si="21"/>
        <v>TONYA SORTO</v>
      </c>
      <c r="E696" t="s">
        <v>100</v>
      </c>
      <c r="F696" t="s">
        <v>133</v>
      </c>
      <c r="G696" t="s">
        <v>134</v>
      </c>
      <c r="H696" t="s">
        <v>134</v>
      </c>
      <c r="I696" s="8">
        <v>8977234</v>
      </c>
      <c r="J696" t="s">
        <v>102</v>
      </c>
      <c r="K696" t="s">
        <v>103</v>
      </c>
      <c r="L696" t="str">
        <f t="shared" si="20"/>
        <v>RYAN CALTAGIRONE</v>
      </c>
      <c r="M696" t="s">
        <v>1133</v>
      </c>
      <c r="N696" t="s">
        <v>57</v>
      </c>
      <c r="O696" s="1">
        <v>45323</v>
      </c>
      <c r="P696" s="1">
        <v>46235</v>
      </c>
      <c r="Q696" s="2">
        <v>72.83</v>
      </c>
      <c r="R696" t="s">
        <v>58</v>
      </c>
      <c r="S696" s="3">
        <v>0.06</v>
      </c>
      <c r="T696">
        <v>0</v>
      </c>
      <c r="U696" t="s">
        <v>247</v>
      </c>
      <c r="V696" t="s">
        <v>248</v>
      </c>
      <c r="W696">
        <v>0</v>
      </c>
      <c r="X696" s="2">
        <v>0</v>
      </c>
      <c r="Y696" s="2">
        <v>4.37</v>
      </c>
      <c r="Z696" s="2">
        <v>4.37</v>
      </c>
      <c r="AA696" s="2">
        <v>4.37</v>
      </c>
      <c r="AB696" s="2">
        <v>0</v>
      </c>
    </row>
    <row r="697" spans="1:28" x14ac:dyDescent="0.25">
      <c r="A697">
        <v>2022351918</v>
      </c>
      <c r="B697" t="s">
        <v>677</v>
      </c>
      <c r="C697" t="s">
        <v>351</v>
      </c>
      <c r="D697" t="str">
        <f t="shared" si="21"/>
        <v>ETHAN FARNAM</v>
      </c>
      <c r="E697" t="s">
        <v>89</v>
      </c>
      <c r="F697" t="s">
        <v>133</v>
      </c>
      <c r="G697" t="s">
        <v>134</v>
      </c>
      <c r="H697" t="s">
        <v>134</v>
      </c>
      <c r="I697" s="8">
        <v>8977234</v>
      </c>
      <c r="J697" t="s">
        <v>102</v>
      </c>
      <c r="K697" t="s">
        <v>103</v>
      </c>
      <c r="L697" t="str">
        <f t="shared" si="20"/>
        <v>RYAN CALTAGIRONE</v>
      </c>
      <c r="M697" t="s">
        <v>1133</v>
      </c>
      <c r="N697" t="s">
        <v>57</v>
      </c>
      <c r="O697" s="1">
        <v>45383</v>
      </c>
      <c r="P697" s="1">
        <v>46235</v>
      </c>
      <c r="Q697" s="2">
        <v>18.32</v>
      </c>
      <c r="R697" t="s">
        <v>58</v>
      </c>
      <c r="S697" s="3">
        <v>0.06</v>
      </c>
      <c r="T697">
        <v>0</v>
      </c>
      <c r="U697" t="s">
        <v>247</v>
      </c>
      <c r="V697" t="s">
        <v>248</v>
      </c>
      <c r="W697">
        <v>0</v>
      </c>
      <c r="X697" s="2">
        <v>0</v>
      </c>
      <c r="Y697" s="2">
        <v>1.1000000000000001</v>
      </c>
      <c r="Z697" s="2">
        <v>1.1000000000000001</v>
      </c>
      <c r="AA697" s="2">
        <v>1.1000000000000001</v>
      </c>
      <c r="AB697" s="2">
        <v>0</v>
      </c>
    </row>
    <row r="698" spans="1:28" x14ac:dyDescent="0.25">
      <c r="A698">
        <v>2023599966</v>
      </c>
      <c r="B698" t="s">
        <v>685</v>
      </c>
      <c r="C698" t="s">
        <v>291</v>
      </c>
      <c r="D698" t="str">
        <f t="shared" si="21"/>
        <v>AMANDA COPPLE</v>
      </c>
      <c r="E698" t="s">
        <v>89</v>
      </c>
      <c r="F698" t="s">
        <v>133</v>
      </c>
      <c r="G698" t="s">
        <v>134</v>
      </c>
      <c r="H698" t="s">
        <v>134</v>
      </c>
      <c r="I698" s="8">
        <v>8977234</v>
      </c>
      <c r="J698" t="s">
        <v>102</v>
      </c>
      <c r="K698" t="s">
        <v>103</v>
      </c>
      <c r="L698" t="str">
        <f t="shared" si="20"/>
        <v>RYAN CALTAGIRONE</v>
      </c>
      <c r="M698" t="s">
        <v>1133</v>
      </c>
      <c r="N698" t="s">
        <v>57</v>
      </c>
      <c r="O698" s="1">
        <v>45474</v>
      </c>
      <c r="P698" s="1">
        <v>46235</v>
      </c>
      <c r="Q698" s="2">
        <v>40.47</v>
      </c>
      <c r="R698" t="s">
        <v>58</v>
      </c>
      <c r="S698" s="3">
        <v>0.06</v>
      </c>
      <c r="T698">
        <v>0</v>
      </c>
      <c r="U698" t="s">
        <v>247</v>
      </c>
      <c r="V698" t="s">
        <v>248</v>
      </c>
      <c r="W698">
        <v>0</v>
      </c>
      <c r="X698" s="2">
        <v>0</v>
      </c>
      <c r="Y698" s="2">
        <v>2.4300000000000002</v>
      </c>
      <c r="Z698" s="2">
        <v>2.4300000000000002</v>
      </c>
      <c r="AA698" s="2">
        <v>2.4300000000000002</v>
      </c>
      <c r="AB698" s="2">
        <v>0</v>
      </c>
    </row>
    <row r="699" spans="1:28" x14ac:dyDescent="0.25">
      <c r="A699">
        <v>2025338057</v>
      </c>
      <c r="B699" t="s">
        <v>701</v>
      </c>
      <c r="C699" t="s">
        <v>702</v>
      </c>
      <c r="D699" t="str">
        <f t="shared" si="21"/>
        <v>ELIANA PISTORIUS</v>
      </c>
      <c r="E699" t="s">
        <v>89</v>
      </c>
      <c r="F699" t="s">
        <v>133</v>
      </c>
      <c r="G699" t="s">
        <v>134</v>
      </c>
      <c r="H699" t="s">
        <v>134</v>
      </c>
      <c r="I699" s="8">
        <v>8977234</v>
      </c>
      <c r="J699" t="s">
        <v>102</v>
      </c>
      <c r="K699" t="s">
        <v>103</v>
      </c>
      <c r="L699" t="str">
        <f t="shared" si="20"/>
        <v>RYAN CALTAGIRONE</v>
      </c>
      <c r="M699" t="s">
        <v>1133</v>
      </c>
      <c r="N699" t="s">
        <v>57</v>
      </c>
      <c r="O699" s="1">
        <v>45597</v>
      </c>
      <c r="P699" s="1">
        <v>46235</v>
      </c>
      <c r="Q699" s="2">
        <v>37.61</v>
      </c>
      <c r="R699" t="s">
        <v>58</v>
      </c>
      <c r="S699" s="3">
        <v>0.06</v>
      </c>
      <c r="T699">
        <v>0</v>
      </c>
      <c r="U699" t="s">
        <v>247</v>
      </c>
      <c r="V699" t="s">
        <v>248</v>
      </c>
      <c r="W699">
        <v>0</v>
      </c>
      <c r="X699" s="2">
        <v>0</v>
      </c>
      <c r="Y699" s="2">
        <v>2.2599999999999998</v>
      </c>
      <c r="Z699" s="2">
        <v>2.2599999999999998</v>
      </c>
      <c r="AA699" s="2">
        <v>2.2599999999999998</v>
      </c>
      <c r="AB699" s="2">
        <v>0</v>
      </c>
    </row>
    <row r="700" spans="1:28" x14ac:dyDescent="0.25">
      <c r="A700">
        <v>2025831420</v>
      </c>
      <c r="B700" t="s">
        <v>713</v>
      </c>
      <c r="C700" t="s">
        <v>714</v>
      </c>
      <c r="D700" t="str">
        <f t="shared" si="21"/>
        <v>LINNEA CORNELL</v>
      </c>
      <c r="E700" t="s">
        <v>100</v>
      </c>
      <c r="F700" t="s">
        <v>133</v>
      </c>
      <c r="G700" t="s">
        <v>134</v>
      </c>
      <c r="H700" t="s">
        <v>134</v>
      </c>
      <c r="I700" s="8">
        <v>8977234</v>
      </c>
      <c r="J700" t="s">
        <v>102</v>
      </c>
      <c r="K700" t="s">
        <v>103</v>
      </c>
      <c r="L700" t="str">
        <f t="shared" si="20"/>
        <v>RYAN CALTAGIRONE</v>
      </c>
      <c r="M700" t="s">
        <v>1133</v>
      </c>
      <c r="N700" t="s">
        <v>57</v>
      </c>
      <c r="O700" s="1">
        <v>45658</v>
      </c>
      <c r="P700" s="1">
        <v>46235</v>
      </c>
      <c r="Q700" s="2">
        <v>46.71</v>
      </c>
      <c r="R700" t="s">
        <v>58</v>
      </c>
      <c r="S700" s="3">
        <v>0.06</v>
      </c>
      <c r="T700">
        <v>0</v>
      </c>
      <c r="U700" t="s">
        <v>247</v>
      </c>
      <c r="V700" t="s">
        <v>248</v>
      </c>
      <c r="W700">
        <v>0</v>
      </c>
      <c r="X700" s="2">
        <v>0</v>
      </c>
      <c r="Y700" s="2">
        <v>2.8</v>
      </c>
      <c r="Z700" s="2">
        <v>2.8</v>
      </c>
      <c r="AA700" s="2">
        <v>2.8</v>
      </c>
      <c r="AB700" s="2">
        <v>0</v>
      </c>
    </row>
    <row r="701" spans="1:28" x14ac:dyDescent="0.25">
      <c r="A701">
        <v>2025845322</v>
      </c>
      <c r="B701" t="s">
        <v>715</v>
      </c>
      <c r="C701" t="s">
        <v>378</v>
      </c>
      <c r="D701" t="str">
        <f t="shared" si="21"/>
        <v>NANCY MAXWELL</v>
      </c>
      <c r="E701" t="s">
        <v>200</v>
      </c>
      <c r="F701" t="s">
        <v>133</v>
      </c>
      <c r="G701" t="s">
        <v>134</v>
      </c>
      <c r="H701" t="s">
        <v>134</v>
      </c>
      <c r="I701" s="8">
        <v>8977234</v>
      </c>
      <c r="J701" t="s">
        <v>102</v>
      </c>
      <c r="K701" t="s">
        <v>103</v>
      </c>
      <c r="L701" t="str">
        <f t="shared" si="20"/>
        <v>RYAN CALTAGIRONE</v>
      </c>
      <c r="M701" t="s">
        <v>1133</v>
      </c>
      <c r="N701" t="s">
        <v>57</v>
      </c>
      <c r="O701" s="1">
        <v>45658</v>
      </c>
      <c r="P701" s="1">
        <v>46235</v>
      </c>
      <c r="Q701" s="2">
        <v>49.42</v>
      </c>
      <c r="R701" t="s">
        <v>58</v>
      </c>
      <c r="S701" s="3">
        <v>0.06</v>
      </c>
      <c r="T701">
        <v>0</v>
      </c>
      <c r="U701" t="s">
        <v>247</v>
      </c>
      <c r="V701" t="s">
        <v>248</v>
      </c>
      <c r="W701">
        <v>0</v>
      </c>
      <c r="X701" s="2">
        <v>0</v>
      </c>
      <c r="Y701" s="2">
        <v>2.97</v>
      </c>
      <c r="Z701" s="2">
        <v>2.97</v>
      </c>
      <c r="AA701" s="2">
        <v>2.97</v>
      </c>
      <c r="AB701" s="2">
        <v>0</v>
      </c>
    </row>
    <row r="702" spans="1:28" x14ac:dyDescent="0.25">
      <c r="A702">
        <v>2025997431</v>
      </c>
      <c r="B702" t="s">
        <v>348</v>
      </c>
      <c r="C702" t="s">
        <v>335</v>
      </c>
      <c r="D702" t="str">
        <f t="shared" si="21"/>
        <v>SCOTT JEPPERSON</v>
      </c>
      <c r="E702" t="s">
        <v>349</v>
      </c>
      <c r="F702" t="s">
        <v>133</v>
      </c>
      <c r="G702" t="s">
        <v>134</v>
      </c>
      <c r="H702" t="s">
        <v>134</v>
      </c>
      <c r="I702" s="8">
        <v>8977234</v>
      </c>
      <c r="J702" t="s">
        <v>102</v>
      </c>
      <c r="K702" t="s">
        <v>103</v>
      </c>
      <c r="L702" t="str">
        <f t="shared" si="20"/>
        <v>RYAN CALTAGIRONE</v>
      </c>
      <c r="M702" t="s">
        <v>1133</v>
      </c>
      <c r="N702" t="s">
        <v>57</v>
      </c>
      <c r="O702" s="1">
        <v>45689</v>
      </c>
      <c r="P702" s="1">
        <v>46235</v>
      </c>
      <c r="Q702" s="2">
        <v>51.57</v>
      </c>
      <c r="R702" t="s">
        <v>58</v>
      </c>
      <c r="S702" s="3">
        <v>0.06</v>
      </c>
      <c r="T702">
        <v>0</v>
      </c>
      <c r="U702" t="s">
        <v>247</v>
      </c>
      <c r="V702" t="s">
        <v>248</v>
      </c>
      <c r="W702">
        <v>0</v>
      </c>
      <c r="X702" s="2">
        <v>0</v>
      </c>
      <c r="Y702" s="2">
        <v>3.09</v>
      </c>
      <c r="Z702" s="2">
        <v>3.09</v>
      </c>
      <c r="AA702" s="2">
        <v>3.09</v>
      </c>
      <c r="AB702" s="2">
        <v>0</v>
      </c>
    </row>
    <row r="703" spans="1:28" x14ac:dyDescent="0.25">
      <c r="A703">
        <v>2026006727</v>
      </c>
      <c r="B703" t="s">
        <v>716</v>
      </c>
      <c r="C703" t="s">
        <v>265</v>
      </c>
      <c r="D703" t="str">
        <f t="shared" si="21"/>
        <v>THERESA KALMAN</v>
      </c>
      <c r="E703" t="s">
        <v>68</v>
      </c>
      <c r="F703" t="s">
        <v>133</v>
      </c>
      <c r="G703" t="s">
        <v>134</v>
      </c>
      <c r="H703" t="s">
        <v>134</v>
      </c>
      <c r="I703" s="8">
        <v>8977234</v>
      </c>
      <c r="J703" t="s">
        <v>102</v>
      </c>
      <c r="K703" t="s">
        <v>103</v>
      </c>
      <c r="L703" t="str">
        <f t="shared" si="20"/>
        <v>RYAN CALTAGIRONE</v>
      </c>
      <c r="M703" t="s">
        <v>1133</v>
      </c>
      <c r="N703" t="s">
        <v>57</v>
      </c>
      <c r="O703" s="1">
        <v>45655</v>
      </c>
      <c r="P703" s="1">
        <v>46232</v>
      </c>
      <c r="Q703" s="2">
        <v>65.989999999999995</v>
      </c>
      <c r="R703" t="s">
        <v>58</v>
      </c>
      <c r="S703" s="3">
        <v>0.06</v>
      </c>
      <c r="T703">
        <v>0</v>
      </c>
      <c r="U703" t="s">
        <v>247</v>
      </c>
      <c r="V703" t="s">
        <v>248</v>
      </c>
      <c r="W703">
        <v>0</v>
      </c>
      <c r="X703" s="2">
        <v>0</v>
      </c>
      <c r="Y703" s="2">
        <v>3.96</v>
      </c>
      <c r="Z703" s="2">
        <v>3.96</v>
      </c>
      <c r="AA703" s="2">
        <v>3.96</v>
      </c>
      <c r="AB703" s="2">
        <v>0</v>
      </c>
    </row>
    <row r="704" spans="1:28" x14ac:dyDescent="0.25">
      <c r="A704">
        <v>2026471873</v>
      </c>
      <c r="B704" t="s">
        <v>285</v>
      </c>
      <c r="C704" t="s">
        <v>286</v>
      </c>
      <c r="D704" t="str">
        <f t="shared" si="21"/>
        <v>NATHAN STEHLIK</v>
      </c>
      <c r="E704" t="s">
        <v>117</v>
      </c>
      <c r="F704" t="s">
        <v>133</v>
      </c>
      <c r="G704" t="s">
        <v>134</v>
      </c>
      <c r="H704" t="s">
        <v>134</v>
      </c>
      <c r="I704" s="8">
        <v>8977234</v>
      </c>
      <c r="J704" t="s">
        <v>102</v>
      </c>
      <c r="K704" t="s">
        <v>103</v>
      </c>
      <c r="L704" t="str">
        <f t="shared" si="20"/>
        <v>RYAN CALTAGIRONE</v>
      </c>
      <c r="M704" t="s">
        <v>1133</v>
      </c>
      <c r="N704" t="s">
        <v>57</v>
      </c>
      <c r="O704" s="1">
        <v>45689</v>
      </c>
      <c r="P704" s="1">
        <v>46235</v>
      </c>
      <c r="Q704" s="2">
        <v>29.32</v>
      </c>
      <c r="R704" t="s">
        <v>58</v>
      </c>
      <c r="S704" s="3">
        <v>0.06</v>
      </c>
      <c r="T704">
        <v>0</v>
      </c>
      <c r="U704" t="s">
        <v>247</v>
      </c>
      <c r="V704" t="s">
        <v>248</v>
      </c>
      <c r="W704">
        <v>0</v>
      </c>
      <c r="X704" s="2">
        <v>0</v>
      </c>
      <c r="Y704" s="2">
        <v>1.76</v>
      </c>
      <c r="Z704" s="2">
        <v>1.76</v>
      </c>
      <c r="AA704" s="2">
        <v>1.76</v>
      </c>
      <c r="AB704" s="2">
        <v>0</v>
      </c>
    </row>
    <row r="705" spans="1:28" x14ac:dyDescent="0.25">
      <c r="A705">
        <v>2026619111</v>
      </c>
      <c r="B705" t="s">
        <v>362</v>
      </c>
      <c r="C705" t="s">
        <v>363</v>
      </c>
      <c r="D705" t="str">
        <f t="shared" si="21"/>
        <v>MAX BRUCK</v>
      </c>
      <c r="E705" t="s">
        <v>124</v>
      </c>
      <c r="F705" t="s">
        <v>133</v>
      </c>
      <c r="G705" t="s">
        <v>134</v>
      </c>
      <c r="H705" t="s">
        <v>134</v>
      </c>
      <c r="I705" s="8">
        <v>8977234</v>
      </c>
      <c r="J705" t="s">
        <v>102</v>
      </c>
      <c r="K705" t="s">
        <v>103</v>
      </c>
      <c r="L705" t="str">
        <f t="shared" si="20"/>
        <v>RYAN CALTAGIRONE</v>
      </c>
      <c r="M705" t="s">
        <v>1133</v>
      </c>
      <c r="N705" t="s">
        <v>57</v>
      </c>
      <c r="O705" s="1">
        <v>45689</v>
      </c>
      <c r="P705" s="1">
        <v>46235</v>
      </c>
      <c r="Q705" s="2">
        <v>129.41</v>
      </c>
      <c r="R705" t="s">
        <v>58</v>
      </c>
      <c r="S705" s="3">
        <v>0.06</v>
      </c>
      <c r="T705">
        <v>0</v>
      </c>
      <c r="U705" t="s">
        <v>247</v>
      </c>
      <c r="V705" t="s">
        <v>248</v>
      </c>
      <c r="W705">
        <v>0</v>
      </c>
      <c r="X705" s="2">
        <v>0</v>
      </c>
      <c r="Y705" s="2">
        <v>7.76</v>
      </c>
      <c r="Z705" s="2">
        <v>7.76</v>
      </c>
      <c r="AA705" s="2">
        <v>7.76</v>
      </c>
      <c r="AB705" s="2">
        <v>0</v>
      </c>
    </row>
    <row r="706" spans="1:28" x14ac:dyDescent="0.25">
      <c r="A706">
        <v>2029176836</v>
      </c>
      <c r="B706" t="s">
        <v>937</v>
      </c>
      <c r="C706" t="s">
        <v>540</v>
      </c>
      <c r="D706" t="str">
        <f t="shared" si="21"/>
        <v>REBECCA BINEKEY</v>
      </c>
      <c r="E706" t="s">
        <v>117</v>
      </c>
      <c r="F706" t="s">
        <v>133</v>
      </c>
      <c r="G706" t="s">
        <v>134</v>
      </c>
      <c r="H706" t="s">
        <v>134</v>
      </c>
      <c r="I706" s="8">
        <v>8977234</v>
      </c>
      <c r="J706" t="s">
        <v>102</v>
      </c>
      <c r="K706" t="s">
        <v>103</v>
      </c>
      <c r="L706" t="str">
        <f t="shared" ref="L706:L769" si="22">CONCATENATE(K706," ",J706)</f>
        <v>RYAN CALTAGIRONE</v>
      </c>
      <c r="M706" t="s">
        <v>1133</v>
      </c>
      <c r="N706" t="s">
        <v>57</v>
      </c>
      <c r="O706" s="1">
        <v>45807</v>
      </c>
      <c r="P706" s="1">
        <v>46233</v>
      </c>
      <c r="Q706" s="2">
        <v>48.4</v>
      </c>
      <c r="R706" t="s">
        <v>58</v>
      </c>
      <c r="S706" s="3">
        <v>0.06</v>
      </c>
      <c r="T706">
        <v>0</v>
      </c>
      <c r="U706" t="s">
        <v>247</v>
      </c>
      <c r="V706" t="s">
        <v>248</v>
      </c>
      <c r="W706">
        <v>0</v>
      </c>
      <c r="X706" s="2">
        <v>0</v>
      </c>
      <c r="Y706" s="2">
        <v>2.9</v>
      </c>
      <c r="Z706" s="2">
        <v>2.9</v>
      </c>
      <c r="AA706" s="2">
        <v>2.9</v>
      </c>
      <c r="AB706" s="2">
        <v>0</v>
      </c>
    </row>
    <row r="707" spans="1:28" x14ac:dyDescent="0.25">
      <c r="A707">
        <v>2032626951</v>
      </c>
      <c r="B707" t="s">
        <v>407</v>
      </c>
      <c r="C707" t="s">
        <v>408</v>
      </c>
      <c r="D707" t="str">
        <f t="shared" ref="D707:D765" si="23">CONCATENATE(C707," ",B707)</f>
        <v>JAMIE FILIPPO</v>
      </c>
      <c r="E707" t="s">
        <v>89</v>
      </c>
      <c r="F707" t="s">
        <v>133</v>
      </c>
      <c r="G707" t="s">
        <v>134</v>
      </c>
      <c r="H707" t="s">
        <v>134</v>
      </c>
      <c r="I707" s="8">
        <v>8977234</v>
      </c>
      <c r="J707" t="s">
        <v>102</v>
      </c>
      <c r="K707" t="s">
        <v>103</v>
      </c>
      <c r="L707" t="str">
        <f t="shared" si="22"/>
        <v>RYAN CALTAGIRONE</v>
      </c>
      <c r="M707" t="s">
        <v>1133</v>
      </c>
      <c r="N707" t="s">
        <v>57</v>
      </c>
      <c r="O707" s="1">
        <v>46023</v>
      </c>
      <c r="P707" s="1">
        <v>46235</v>
      </c>
      <c r="Q707" s="2">
        <v>54.7</v>
      </c>
      <c r="R707" t="s">
        <v>58</v>
      </c>
      <c r="S707" s="4">
        <v>0.375</v>
      </c>
      <c r="T707">
        <v>0</v>
      </c>
      <c r="U707" t="s">
        <v>60</v>
      </c>
      <c r="V707" t="s">
        <v>248</v>
      </c>
      <c r="W707">
        <v>0</v>
      </c>
      <c r="X707" s="2">
        <v>0</v>
      </c>
      <c r="Y707" s="2">
        <v>20.51</v>
      </c>
      <c r="Z707" s="2">
        <v>20.51</v>
      </c>
      <c r="AA707" s="2">
        <v>20.51</v>
      </c>
      <c r="AB707" s="2">
        <v>0</v>
      </c>
    </row>
    <row r="708" spans="1:28" x14ac:dyDescent="0.25">
      <c r="A708">
        <v>2035689546</v>
      </c>
      <c r="B708" t="s">
        <v>973</v>
      </c>
      <c r="C708" t="s">
        <v>889</v>
      </c>
      <c r="D708" t="str">
        <f t="shared" si="23"/>
        <v>STEPHANIE WILKINSON</v>
      </c>
      <c r="E708" t="s">
        <v>591</v>
      </c>
      <c r="F708" t="s">
        <v>133</v>
      </c>
      <c r="G708" t="s">
        <v>134</v>
      </c>
      <c r="H708" t="s">
        <v>134</v>
      </c>
      <c r="I708" s="8">
        <v>8977234</v>
      </c>
      <c r="J708" t="s">
        <v>102</v>
      </c>
      <c r="K708" t="s">
        <v>103</v>
      </c>
      <c r="L708" t="str">
        <f t="shared" si="22"/>
        <v>RYAN CALTAGIRONE</v>
      </c>
      <c r="M708" t="s">
        <v>1133</v>
      </c>
      <c r="N708" t="s">
        <v>57</v>
      </c>
      <c r="O708" s="1">
        <v>46170</v>
      </c>
      <c r="P708" s="1">
        <v>46231</v>
      </c>
      <c r="Q708" s="2">
        <v>38.9</v>
      </c>
      <c r="R708" t="s">
        <v>58</v>
      </c>
      <c r="S708" s="4">
        <v>0.375</v>
      </c>
      <c r="T708">
        <v>0</v>
      </c>
      <c r="U708" t="s">
        <v>60</v>
      </c>
      <c r="V708" t="s">
        <v>248</v>
      </c>
      <c r="W708">
        <v>0</v>
      </c>
      <c r="X708" s="2">
        <v>0</v>
      </c>
      <c r="Y708" s="2">
        <v>14.59</v>
      </c>
      <c r="Z708" s="2">
        <v>0</v>
      </c>
      <c r="AA708" s="2">
        <v>0</v>
      </c>
      <c r="AB708" s="2">
        <v>0</v>
      </c>
    </row>
    <row r="709" spans="1:28" x14ac:dyDescent="0.25">
      <c r="A709">
        <v>2032987596</v>
      </c>
      <c r="B709" t="s">
        <v>426</v>
      </c>
      <c r="C709" t="s">
        <v>427</v>
      </c>
      <c r="D709" t="str">
        <f t="shared" si="23"/>
        <v>CHARITY WATERS</v>
      </c>
      <c r="E709" t="s">
        <v>143</v>
      </c>
      <c r="F709" t="s">
        <v>133</v>
      </c>
      <c r="G709" t="s">
        <v>134</v>
      </c>
      <c r="H709" t="s">
        <v>134</v>
      </c>
      <c r="I709" s="8">
        <v>8977234</v>
      </c>
      <c r="J709" t="s">
        <v>102</v>
      </c>
      <c r="K709" t="s">
        <v>103</v>
      </c>
      <c r="L709" t="str">
        <f t="shared" si="22"/>
        <v>RYAN CALTAGIRONE</v>
      </c>
      <c r="M709" t="s">
        <v>1133</v>
      </c>
      <c r="N709" t="s">
        <v>57</v>
      </c>
      <c r="O709" s="1">
        <v>46054</v>
      </c>
      <c r="P709" s="1">
        <v>46235</v>
      </c>
      <c r="Q709" s="2">
        <v>56.74</v>
      </c>
      <c r="R709" t="s">
        <v>58</v>
      </c>
      <c r="S709" s="4">
        <v>0.375</v>
      </c>
      <c r="T709">
        <v>0</v>
      </c>
      <c r="U709" t="s">
        <v>60</v>
      </c>
      <c r="V709" t="s">
        <v>248</v>
      </c>
      <c r="W709">
        <v>0</v>
      </c>
      <c r="X709" s="2">
        <v>0</v>
      </c>
      <c r="Y709" s="2">
        <v>21.28</v>
      </c>
      <c r="Z709" s="2">
        <v>0</v>
      </c>
      <c r="AA709" s="2">
        <v>0</v>
      </c>
      <c r="AB709" s="2">
        <v>0</v>
      </c>
    </row>
    <row r="710" spans="1:28" x14ac:dyDescent="0.25">
      <c r="A710">
        <v>2033344713</v>
      </c>
      <c r="B710" t="s">
        <v>789</v>
      </c>
      <c r="C710" t="s">
        <v>379</v>
      </c>
      <c r="D710" t="str">
        <f t="shared" si="23"/>
        <v>THOMAS WEBB</v>
      </c>
      <c r="E710" t="s">
        <v>332</v>
      </c>
      <c r="F710" t="s">
        <v>133</v>
      </c>
      <c r="G710" t="s">
        <v>134</v>
      </c>
      <c r="H710" t="s">
        <v>134</v>
      </c>
      <c r="I710" s="8">
        <v>8977234</v>
      </c>
      <c r="J710" t="s">
        <v>102</v>
      </c>
      <c r="K710" t="s">
        <v>103</v>
      </c>
      <c r="L710" t="str">
        <f t="shared" si="22"/>
        <v>RYAN CALTAGIRONE</v>
      </c>
      <c r="M710" t="s">
        <v>1133</v>
      </c>
      <c r="N710" t="s">
        <v>57</v>
      </c>
      <c r="O710" s="1">
        <v>46050</v>
      </c>
      <c r="P710" s="1">
        <v>46231</v>
      </c>
      <c r="Q710" s="2">
        <v>106.49</v>
      </c>
      <c r="R710" t="s">
        <v>58</v>
      </c>
      <c r="S710" s="4">
        <v>0.375</v>
      </c>
      <c r="T710">
        <v>0</v>
      </c>
      <c r="U710" t="s">
        <v>60</v>
      </c>
      <c r="V710" t="s">
        <v>248</v>
      </c>
      <c r="W710">
        <v>0</v>
      </c>
      <c r="X710" s="2">
        <v>0</v>
      </c>
      <c r="Y710" s="2">
        <v>39.93</v>
      </c>
      <c r="Z710" s="2">
        <v>0</v>
      </c>
      <c r="AA710" s="2">
        <v>0</v>
      </c>
      <c r="AB710" s="2">
        <v>0</v>
      </c>
    </row>
    <row r="711" spans="1:28" x14ac:dyDescent="0.25">
      <c r="A711">
        <v>2019527580</v>
      </c>
      <c r="B711" t="s">
        <v>1004</v>
      </c>
      <c r="C711" t="s">
        <v>401</v>
      </c>
      <c r="D711" t="str">
        <f t="shared" si="23"/>
        <v>LISA CHRISTIANSEN</v>
      </c>
      <c r="E711" t="s">
        <v>591</v>
      </c>
      <c r="F711" t="s">
        <v>194</v>
      </c>
      <c r="G711" t="s">
        <v>217</v>
      </c>
      <c r="H711" t="s">
        <v>217</v>
      </c>
      <c r="I711" s="8">
        <v>8977234</v>
      </c>
      <c r="J711" t="s">
        <v>102</v>
      </c>
      <c r="K711" t="s">
        <v>103</v>
      </c>
      <c r="L711" t="str">
        <f t="shared" si="22"/>
        <v>RYAN CALTAGIRONE</v>
      </c>
      <c r="M711" t="s">
        <v>1133</v>
      </c>
      <c r="N711" t="s">
        <v>57</v>
      </c>
      <c r="O711" s="1">
        <v>45161</v>
      </c>
      <c r="P711" s="1">
        <v>46226</v>
      </c>
      <c r="Q711" s="2">
        <v>99.25</v>
      </c>
      <c r="R711" t="s">
        <v>58</v>
      </c>
      <c r="S711" s="3">
        <v>0.1</v>
      </c>
      <c r="T711">
        <v>0</v>
      </c>
      <c r="U711" t="s">
        <v>247</v>
      </c>
      <c r="V711" t="s">
        <v>248</v>
      </c>
      <c r="W711">
        <v>0</v>
      </c>
      <c r="X711" s="2">
        <v>0</v>
      </c>
      <c r="Y711" s="2">
        <v>9.92</v>
      </c>
      <c r="Z711" s="2">
        <v>9.92</v>
      </c>
      <c r="AA711" s="2">
        <v>9.92</v>
      </c>
      <c r="AB711" s="2">
        <v>0</v>
      </c>
    </row>
    <row r="712" spans="1:28" x14ac:dyDescent="0.25">
      <c r="A712">
        <v>2026471872</v>
      </c>
      <c r="B712" t="s">
        <v>285</v>
      </c>
      <c r="C712" t="s">
        <v>286</v>
      </c>
      <c r="D712" t="str">
        <f t="shared" si="23"/>
        <v>NATHAN STEHLIK</v>
      </c>
      <c r="E712" t="s">
        <v>117</v>
      </c>
      <c r="F712" t="s">
        <v>53</v>
      </c>
      <c r="G712" t="s">
        <v>287</v>
      </c>
      <c r="H712" t="s">
        <v>287</v>
      </c>
      <c r="I712" s="8">
        <v>8977234</v>
      </c>
      <c r="J712" t="s">
        <v>102</v>
      </c>
      <c r="K712" t="s">
        <v>103</v>
      </c>
      <c r="L712" t="str">
        <f t="shared" si="22"/>
        <v>RYAN CALTAGIRONE</v>
      </c>
      <c r="M712" t="s">
        <v>1133</v>
      </c>
      <c r="N712" t="s">
        <v>57</v>
      </c>
      <c r="O712" s="1">
        <v>45689</v>
      </c>
      <c r="P712" s="1">
        <v>46235</v>
      </c>
      <c r="Q712" s="2">
        <v>37.81</v>
      </c>
      <c r="R712" t="s">
        <v>58</v>
      </c>
      <c r="S712" s="4">
        <v>6.5000000000000002E-2</v>
      </c>
      <c r="T712">
        <v>0</v>
      </c>
      <c r="U712" t="s">
        <v>247</v>
      </c>
      <c r="V712" t="s">
        <v>248</v>
      </c>
      <c r="W712">
        <v>0</v>
      </c>
      <c r="X712" s="2">
        <v>0</v>
      </c>
      <c r="Y712" s="2">
        <v>2.46</v>
      </c>
      <c r="Z712" s="2">
        <v>2.46</v>
      </c>
      <c r="AA712" s="2">
        <v>2.46</v>
      </c>
      <c r="AB712" s="2">
        <v>0</v>
      </c>
    </row>
    <row r="713" spans="1:28" x14ac:dyDescent="0.25">
      <c r="A713">
        <v>2032098956</v>
      </c>
      <c r="B713" t="s">
        <v>301</v>
      </c>
      <c r="C713" t="s">
        <v>209</v>
      </c>
      <c r="D713" t="str">
        <f t="shared" si="23"/>
        <v>JOHN BLACK</v>
      </c>
      <c r="E713" t="s">
        <v>302</v>
      </c>
      <c r="F713" t="s">
        <v>53</v>
      </c>
      <c r="G713" t="s">
        <v>54</v>
      </c>
      <c r="H713" t="s">
        <v>54</v>
      </c>
      <c r="I713" s="8">
        <v>8977234</v>
      </c>
      <c r="J713" t="s">
        <v>102</v>
      </c>
      <c r="K713" t="s">
        <v>103</v>
      </c>
      <c r="L713" t="str">
        <f t="shared" si="22"/>
        <v>RYAN CALTAGIRONE</v>
      </c>
      <c r="M713" t="s">
        <v>1133</v>
      </c>
      <c r="N713" t="s">
        <v>57</v>
      </c>
      <c r="O713" s="1">
        <v>46054</v>
      </c>
      <c r="P713" s="1">
        <v>46235</v>
      </c>
      <c r="Q713" s="2">
        <v>75.67</v>
      </c>
      <c r="R713" t="s">
        <v>58</v>
      </c>
      <c r="S713" s="3">
        <v>0.6</v>
      </c>
      <c r="T713">
        <v>0</v>
      </c>
      <c r="U713" t="s">
        <v>60</v>
      </c>
      <c r="V713" t="s">
        <v>248</v>
      </c>
      <c r="W713">
        <v>0</v>
      </c>
      <c r="X713" s="2">
        <v>0</v>
      </c>
      <c r="Y713" s="2">
        <v>45.4</v>
      </c>
      <c r="Z713" s="2">
        <v>0</v>
      </c>
      <c r="AA713" s="2">
        <v>0</v>
      </c>
      <c r="AB713" s="2">
        <v>0</v>
      </c>
    </row>
    <row r="714" spans="1:28" x14ac:dyDescent="0.25">
      <c r="A714">
        <v>2033135808</v>
      </c>
      <c r="B714" t="s">
        <v>312</v>
      </c>
      <c r="C714" t="s">
        <v>313</v>
      </c>
      <c r="D714" t="str">
        <f t="shared" si="23"/>
        <v>JESUS CAMPUZANO</v>
      </c>
      <c r="E714" t="s">
        <v>100</v>
      </c>
      <c r="F714" t="s">
        <v>53</v>
      </c>
      <c r="G714" t="s">
        <v>54</v>
      </c>
      <c r="H714" t="s">
        <v>54</v>
      </c>
      <c r="I714" s="8">
        <v>8977234</v>
      </c>
      <c r="J714" t="s">
        <v>102</v>
      </c>
      <c r="K714" t="s">
        <v>103</v>
      </c>
      <c r="L714" t="str">
        <f t="shared" si="22"/>
        <v>RYAN CALTAGIRONE</v>
      </c>
      <c r="M714" t="s">
        <v>1133</v>
      </c>
      <c r="N714" t="s">
        <v>57</v>
      </c>
      <c r="O714" s="1">
        <v>46054</v>
      </c>
      <c r="P714" s="1">
        <v>46235</v>
      </c>
      <c r="Q714" s="2">
        <v>75.67</v>
      </c>
      <c r="R714" t="s">
        <v>58</v>
      </c>
      <c r="S714" s="3">
        <v>0.6</v>
      </c>
      <c r="T714">
        <v>0</v>
      </c>
      <c r="U714" t="s">
        <v>60</v>
      </c>
      <c r="V714" t="s">
        <v>248</v>
      </c>
      <c r="W714">
        <v>0</v>
      </c>
      <c r="X714" s="2">
        <v>0</v>
      </c>
      <c r="Y714" s="2">
        <v>45.4</v>
      </c>
      <c r="Z714" s="2">
        <v>0</v>
      </c>
      <c r="AA714" s="2">
        <v>0</v>
      </c>
      <c r="AB714" s="2">
        <v>0</v>
      </c>
    </row>
    <row r="715" spans="1:28" x14ac:dyDescent="0.25">
      <c r="A715">
        <v>2034650906</v>
      </c>
      <c r="B715" t="s">
        <v>705</v>
      </c>
      <c r="C715" t="s">
        <v>834</v>
      </c>
      <c r="D715" t="str">
        <f t="shared" si="23"/>
        <v>CAROLYN WOODWARD</v>
      </c>
      <c r="E715" t="s">
        <v>68</v>
      </c>
      <c r="F715" t="s">
        <v>194</v>
      </c>
      <c r="G715" t="s">
        <v>195</v>
      </c>
      <c r="H715" t="s">
        <v>195</v>
      </c>
      <c r="I715" s="8">
        <v>16170994</v>
      </c>
      <c r="J715" t="s">
        <v>741</v>
      </c>
      <c r="K715" t="s">
        <v>65</v>
      </c>
      <c r="L715" t="str">
        <f t="shared" si="22"/>
        <v>Ryan Shepard</v>
      </c>
      <c r="M715" t="s">
        <v>1133</v>
      </c>
      <c r="N715" t="s">
        <v>57</v>
      </c>
      <c r="O715" s="1">
        <v>46112</v>
      </c>
      <c r="P715" s="1">
        <v>46233</v>
      </c>
      <c r="Q715" s="2">
        <v>14</v>
      </c>
      <c r="R715" t="s">
        <v>58</v>
      </c>
      <c r="S715" s="3">
        <v>0.7</v>
      </c>
      <c r="T715">
        <v>0</v>
      </c>
      <c r="U715" t="s">
        <v>60</v>
      </c>
      <c r="V715" t="s">
        <v>248</v>
      </c>
      <c r="W715">
        <v>0</v>
      </c>
      <c r="X715" s="2">
        <v>0</v>
      </c>
      <c r="Y715" s="2">
        <v>9.8000000000000007</v>
      </c>
      <c r="Z715" s="2">
        <v>0</v>
      </c>
      <c r="AA715" s="2">
        <v>0</v>
      </c>
      <c r="AB715" s="2">
        <v>0</v>
      </c>
    </row>
    <row r="716" spans="1:28" x14ac:dyDescent="0.25">
      <c r="A716">
        <v>2034650905</v>
      </c>
      <c r="B716" t="s">
        <v>705</v>
      </c>
      <c r="C716" t="s">
        <v>834</v>
      </c>
      <c r="D716" t="str">
        <f t="shared" si="23"/>
        <v>CAROLYN WOODWARD</v>
      </c>
      <c r="E716" t="s">
        <v>68</v>
      </c>
      <c r="F716" t="s">
        <v>133</v>
      </c>
      <c r="G716" t="s">
        <v>134</v>
      </c>
      <c r="H716" t="s">
        <v>134</v>
      </c>
      <c r="I716" s="8">
        <v>16170994</v>
      </c>
      <c r="J716" t="s">
        <v>741</v>
      </c>
      <c r="K716" t="s">
        <v>65</v>
      </c>
      <c r="L716" t="str">
        <f t="shared" si="22"/>
        <v>Ryan Shepard</v>
      </c>
      <c r="M716" t="s">
        <v>1133</v>
      </c>
      <c r="N716" t="s">
        <v>57</v>
      </c>
      <c r="O716" s="1">
        <v>46112</v>
      </c>
      <c r="P716" s="1">
        <v>46233</v>
      </c>
      <c r="Q716" s="2">
        <v>48.11</v>
      </c>
      <c r="R716" t="s">
        <v>58</v>
      </c>
      <c r="S716" s="4">
        <v>0.375</v>
      </c>
      <c r="T716">
        <v>0</v>
      </c>
      <c r="U716" t="s">
        <v>60</v>
      </c>
      <c r="V716" t="s">
        <v>248</v>
      </c>
      <c r="W716">
        <v>0</v>
      </c>
      <c r="X716" s="2">
        <v>0</v>
      </c>
      <c r="Y716" s="2">
        <v>18.04</v>
      </c>
      <c r="Z716" s="2">
        <v>0</v>
      </c>
      <c r="AA716" s="2">
        <v>0</v>
      </c>
      <c r="AB716" s="2">
        <v>0</v>
      </c>
    </row>
    <row r="717" spans="1:28" x14ac:dyDescent="0.25">
      <c r="A717">
        <v>2033407694</v>
      </c>
      <c r="B717" t="s">
        <v>816</v>
      </c>
      <c r="C717" t="s">
        <v>817</v>
      </c>
      <c r="D717" t="str">
        <f t="shared" si="23"/>
        <v>HANADA KHATIB</v>
      </c>
      <c r="E717" t="s">
        <v>89</v>
      </c>
      <c r="F717" t="s">
        <v>194</v>
      </c>
      <c r="G717" t="s">
        <v>195</v>
      </c>
      <c r="H717" t="s">
        <v>195</v>
      </c>
      <c r="I717" s="8">
        <v>19396223</v>
      </c>
      <c r="J717" t="s">
        <v>818</v>
      </c>
      <c r="K717" t="s">
        <v>819</v>
      </c>
      <c r="L717" t="str">
        <f t="shared" si="22"/>
        <v>Saadia Abdul</v>
      </c>
      <c r="M717" t="s">
        <v>1133</v>
      </c>
      <c r="N717" t="s">
        <v>57</v>
      </c>
      <c r="O717" s="1">
        <v>46054</v>
      </c>
      <c r="P717" s="1">
        <v>46235</v>
      </c>
      <c r="Q717" s="2">
        <v>11.5</v>
      </c>
      <c r="R717" t="s">
        <v>58</v>
      </c>
      <c r="S717" s="3">
        <v>0.7</v>
      </c>
      <c r="T717">
        <v>0</v>
      </c>
      <c r="U717" t="s">
        <v>60</v>
      </c>
      <c r="V717" t="s">
        <v>248</v>
      </c>
      <c r="W717">
        <v>0</v>
      </c>
      <c r="X717" s="2">
        <v>0</v>
      </c>
      <c r="Y717" s="2">
        <v>8.0500000000000007</v>
      </c>
      <c r="Z717" s="2">
        <v>0</v>
      </c>
      <c r="AA717" s="2">
        <v>0</v>
      </c>
      <c r="AB717" s="2">
        <v>0</v>
      </c>
    </row>
    <row r="718" spans="1:28" x14ac:dyDescent="0.25">
      <c r="A718">
        <v>2033407693</v>
      </c>
      <c r="B718" t="s">
        <v>816</v>
      </c>
      <c r="C718" t="s">
        <v>817</v>
      </c>
      <c r="D718" t="str">
        <f t="shared" si="23"/>
        <v>HANADA KHATIB</v>
      </c>
      <c r="E718" t="s">
        <v>89</v>
      </c>
      <c r="F718" t="s">
        <v>133</v>
      </c>
      <c r="G718" t="s">
        <v>134</v>
      </c>
      <c r="H718" t="s">
        <v>134</v>
      </c>
      <c r="I718" s="8">
        <v>19396223</v>
      </c>
      <c r="J718" t="s">
        <v>818</v>
      </c>
      <c r="K718" t="s">
        <v>819</v>
      </c>
      <c r="L718" t="str">
        <f t="shared" si="22"/>
        <v>Saadia Abdul</v>
      </c>
      <c r="M718" t="s">
        <v>1133</v>
      </c>
      <c r="N718" t="s">
        <v>57</v>
      </c>
      <c r="O718" s="1">
        <v>46054</v>
      </c>
      <c r="P718" s="1">
        <v>46235</v>
      </c>
      <c r="Q718" s="2">
        <v>78.760000000000005</v>
      </c>
      <c r="R718" t="s">
        <v>58</v>
      </c>
      <c r="S718" s="4">
        <v>0.375</v>
      </c>
      <c r="T718">
        <v>0</v>
      </c>
      <c r="U718" t="s">
        <v>60</v>
      </c>
      <c r="V718" t="s">
        <v>248</v>
      </c>
      <c r="W718">
        <v>0</v>
      </c>
      <c r="X718" s="2">
        <v>0</v>
      </c>
      <c r="Y718" s="2">
        <v>29.54</v>
      </c>
      <c r="Z718" s="2">
        <v>0</v>
      </c>
      <c r="AA718" s="2">
        <v>0</v>
      </c>
      <c r="AB718" s="2">
        <v>0</v>
      </c>
    </row>
    <row r="719" spans="1:28" x14ac:dyDescent="0.25">
      <c r="A719">
        <v>2019896234</v>
      </c>
      <c r="B719" t="s">
        <v>669</v>
      </c>
      <c r="C719" t="s">
        <v>77</v>
      </c>
      <c r="D719" t="str">
        <f t="shared" si="23"/>
        <v>TAYLOR YACAVACE</v>
      </c>
      <c r="E719" t="s">
        <v>52</v>
      </c>
      <c r="F719" t="s">
        <v>133</v>
      </c>
      <c r="G719" t="s">
        <v>134</v>
      </c>
      <c r="H719" t="s">
        <v>134</v>
      </c>
      <c r="I719" s="8">
        <v>8971826</v>
      </c>
      <c r="J719" t="s">
        <v>670</v>
      </c>
      <c r="K719" t="s">
        <v>335</v>
      </c>
      <c r="L719" t="str">
        <f t="shared" si="22"/>
        <v>SCOTT AGUGLIA</v>
      </c>
      <c r="M719" t="s">
        <v>1133</v>
      </c>
      <c r="N719" t="s">
        <v>57</v>
      </c>
      <c r="O719" s="1">
        <v>45169</v>
      </c>
      <c r="P719" s="1">
        <v>46233</v>
      </c>
      <c r="Q719" s="2">
        <v>30.12</v>
      </c>
      <c r="R719" t="s">
        <v>58</v>
      </c>
      <c r="S719" s="3">
        <v>0.06</v>
      </c>
      <c r="T719">
        <v>0</v>
      </c>
      <c r="U719" t="s">
        <v>247</v>
      </c>
      <c r="V719" t="s">
        <v>248</v>
      </c>
      <c r="W719">
        <v>0</v>
      </c>
      <c r="X719" s="2">
        <v>0</v>
      </c>
      <c r="Y719" s="2">
        <v>1.81</v>
      </c>
      <c r="Z719" s="2">
        <v>1.81</v>
      </c>
      <c r="AA719" s="2">
        <v>1.81</v>
      </c>
      <c r="AB719" s="2">
        <v>0</v>
      </c>
    </row>
    <row r="720" spans="1:28" x14ac:dyDescent="0.25">
      <c r="A720">
        <v>2019916726</v>
      </c>
      <c r="B720" t="s">
        <v>671</v>
      </c>
      <c r="C720" t="s">
        <v>672</v>
      </c>
      <c r="D720" t="str">
        <f t="shared" si="23"/>
        <v>NOAH MORGAN</v>
      </c>
      <c r="E720" t="s">
        <v>52</v>
      </c>
      <c r="F720" t="s">
        <v>133</v>
      </c>
      <c r="G720" t="s">
        <v>134</v>
      </c>
      <c r="H720" t="s">
        <v>134</v>
      </c>
      <c r="I720" s="8">
        <v>8971826</v>
      </c>
      <c r="J720" t="s">
        <v>670</v>
      </c>
      <c r="K720" t="s">
        <v>335</v>
      </c>
      <c r="L720" t="str">
        <f t="shared" si="22"/>
        <v>SCOTT AGUGLIA</v>
      </c>
      <c r="M720" t="s">
        <v>1133</v>
      </c>
      <c r="N720" t="s">
        <v>57</v>
      </c>
      <c r="O720" s="1">
        <v>45170</v>
      </c>
      <c r="P720" s="1">
        <v>46235</v>
      </c>
      <c r="Q720" s="2">
        <v>30.12</v>
      </c>
      <c r="R720" t="s">
        <v>58</v>
      </c>
      <c r="S720" s="3">
        <v>0.06</v>
      </c>
      <c r="T720">
        <v>0</v>
      </c>
      <c r="U720" t="s">
        <v>247</v>
      </c>
      <c r="V720" t="s">
        <v>248</v>
      </c>
      <c r="W720">
        <v>0</v>
      </c>
      <c r="X720" s="2">
        <v>0</v>
      </c>
      <c r="Y720" s="2">
        <v>1.81</v>
      </c>
      <c r="Z720" s="2">
        <v>1.81</v>
      </c>
      <c r="AA720" s="2">
        <v>1.81</v>
      </c>
      <c r="AB720" s="2">
        <v>0</v>
      </c>
    </row>
    <row r="721" spans="1:28" x14ac:dyDescent="0.25">
      <c r="A721">
        <v>2029690054</v>
      </c>
      <c r="B721" t="s">
        <v>939</v>
      </c>
      <c r="C721" t="s">
        <v>940</v>
      </c>
      <c r="D721" t="str">
        <f t="shared" si="23"/>
        <v>FARROW BRANDY</v>
      </c>
      <c r="E721" t="s">
        <v>52</v>
      </c>
      <c r="F721" t="s">
        <v>133</v>
      </c>
      <c r="G721" t="s">
        <v>134</v>
      </c>
      <c r="H721" t="s">
        <v>134</v>
      </c>
      <c r="I721" s="8" t="s">
        <v>1124</v>
      </c>
      <c r="J721" t="s">
        <v>670</v>
      </c>
      <c r="K721" t="s">
        <v>335</v>
      </c>
      <c r="L721" t="str">
        <f t="shared" si="22"/>
        <v>SCOTT AGUGLIA</v>
      </c>
      <c r="M721" t="s">
        <v>1133</v>
      </c>
      <c r="N721" t="s">
        <v>57</v>
      </c>
      <c r="O721" s="1">
        <v>45836</v>
      </c>
      <c r="P721" s="1">
        <v>46231</v>
      </c>
      <c r="Q721" s="2">
        <v>58.98</v>
      </c>
      <c r="R721" t="s">
        <v>58</v>
      </c>
      <c r="S721" s="3">
        <v>0.06</v>
      </c>
      <c r="T721">
        <v>0</v>
      </c>
      <c r="U721" t="s">
        <v>247</v>
      </c>
      <c r="V721" t="s">
        <v>248</v>
      </c>
      <c r="W721">
        <v>0</v>
      </c>
      <c r="X721" s="2">
        <v>0</v>
      </c>
      <c r="Y721" s="2">
        <v>3.54</v>
      </c>
      <c r="Z721" s="2">
        <v>3.54</v>
      </c>
      <c r="AA721" s="2">
        <v>3.54</v>
      </c>
      <c r="AB721" s="2">
        <v>0</v>
      </c>
    </row>
    <row r="722" spans="1:28" x14ac:dyDescent="0.25">
      <c r="A722">
        <v>2033076056</v>
      </c>
      <c r="B722" t="s">
        <v>721</v>
      </c>
      <c r="C722" t="s">
        <v>722</v>
      </c>
      <c r="D722" t="str">
        <f t="shared" si="23"/>
        <v>MARTHA THOMSON</v>
      </c>
      <c r="E722" t="s">
        <v>332</v>
      </c>
      <c r="F722" t="s">
        <v>194</v>
      </c>
      <c r="G722" t="s">
        <v>195</v>
      </c>
      <c r="H722" t="s">
        <v>195</v>
      </c>
      <c r="I722" s="8" t="s">
        <v>1110</v>
      </c>
      <c r="J722" t="s">
        <v>186</v>
      </c>
      <c r="K722" t="s">
        <v>625</v>
      </c>
      <c r="L722" t="str">
        <f t="shared" si="22"/>
        <v>STACEY PORTUGAL</v>
      </c>
      <c r="M722" t="s">
        <v>1134</v>
      </c>
      <c r="N722" t="s">
        <v>57</v>
      </c>
      <c r="O722" s="1">
        <v>46054</v>
      </c>
      <c r="P722" s="1">
        <v>46235</v>
      </c>
      <c r="Q722" s="2">
        <v>116.29</v>
      </c>
      <c r="R722" t="s">
        <v>58</v>
      </c>
      <c r="S722" s="3">
        <v>0.7</v>
      </c>
      <c r="T722">
        <v>0</v>
      </c>
      <c r="U722" t="s">
        <v>60</v>
      </c>
      <c r="V722" t="s">
        <v>248</v>
      </c>
      <c r="W722">
        <v>0</v>
      </c>
      <c r="X722" s="2">
        <v>0</v>
      </c>
      <c r="Y722" s="2">
        <v>81.400000000000006</v>
      </c>
      <c r="Z722" s="2">
        <v>0</v>
      </c>
      <c r="AA722" s="2">
        <v>0</v>
      </c>
      <c r="AB722" s="2">
        <v>0</v>
      </c>
    </row>
    <row r="723" spans="1:28" x14ac:dyDescent="0.25">
      <c r="A723">
        <v>2033097053</v>
      </c>
      <c r="B723" t="s">
        <v>723</v>
      </c>
      <c r="C723" t="s">
        <v>359</v>
      </c>
      <c r="D723" t="str">
        <f t="shared" si="23"/>
        <v>MATTHEW OLEVICH</v>
      </c>
      <c r="E723" t="s">
        <v>89</v>
      </c>
      <c r="F723" t="s">
        <v>194</v>
      </c>
      <c r="G723" t="s">
        <v>195</v>
      </c>
      <c r="H723" t="s">
        <v>195</v>
      </c>
      <c r="I723" s="8" t="s">
        <v>1112</v>
      </c>
      <c r="J723" t="s">
        <v>724</v>
      </c>
      <c r="K723" t="s">
        <v>725</v>
      </c>
      <c r="L723" t="str">
        <f t="shared" si="22"/>
        <v>Stephanie Drapac</v>
      </c>
      <c r="M723" t="s">
        <v>1134</v>
      </c>
      <c r="N723" t="s">
        <v>57</v>
      </c>
      <c r="O723" s="1">
        <v>46054</v>
      </c>
      <c r="P723" s="1">
        <v>46235</v>
      </c>
      <c r="Q723" s="2">
        <v>126.92</v>
      </c>
      <c r="R723" t="s">
        <v>58</v>
      </c>
      <c r="S723" s="3">
        <v>0.7</v>
      </c>
      <c r="T723">
        <v>0</v>
      </c>
      <c r="U723" t="s">
        <v>60</v>
      </c>
      <c r="V723" t="s">
        <v>248</v>
      </c>
      <c r="W723">
        <v>0</v>
      </c>
      <c r="X723" s="2">
        <v>0</v>
      </c>
      <c r="Y723" s="2">
        <v>88.84</v>
      </c>
      <c r="Z723" s="2">
        <v>0</v>
      </c>
      <c r="AA723" s="2">
        <v>0</v>
      </c>
      <c r="AB723" s="2">
        <v>0</v>
      </c>
    </row>
    <row r="724" spans="1:28" x14ac:dyDescent="0.25">
      <c r="A724">
        <v>2033097054</v>
      </c>
      <c r="B724" t="s">
        <v>723</v>
      </c>
      <c r="C724" t="s">
        <v>359</v>
      </c>
      <c r="D724" t="str">
        <f t="shared" si="23"/>
        <v>MATTHEW OLEVICH</v>
      </c>
      <c r="E724" t="s">
        <v>89</v>
      </c>
      <c r="F724" t="s">
        <v>133</v>
      </c>
      <c r="G724" t="s">
        <v>134</v>
      </c>
      <c r="H724" t="s">
        <v>134</v>
      </c>
      <c r="I724" s="8" t="s">
        <v>1112</v>
      </c>
      <c r="J724" t="s">
        <v>724</v>
      </c>
      <c r="K724" t="s">
        <v>725</v>
      </c>
      <c r="L724" t="str">
        <f t="shared" si="22"/>
        <v>Stephanie Drapac</v>
      </c>
      <c r="M724" t="s">
        <v>1134</v>
      </c>
      <c r="N724" t="s">
        <v>57</v>
      </c>
      <c r="O724" s="1">
        <v>46054</v>
      </c>
      <c r="P724" s="1">
        <v>46235</v>
      </c>
      <c r="Q724" s="2">
        <v>110.98</v>
      </c>
      <c r="R724" t="s">
        <v>58</v>
      </c>
      <c r="S724" s="4">
        <v>0.375</v>
      </c>
      <c r="T724">
        <v>0</v>
      </c>
      <c r="U724" t="s">
        <v>60</v>
      </c>
      <c r="V724" t="s">
        <v>248</v>
      </c>
      <c r="W724">
        <v>0</v>
      </c>
      <c r="X724" s="2">
        <v>0</v>
      </c>
      <c r="Y724" s="2">
        <v>41.62</v>
      </c>
      <c r="Z724" s="2">
        <v>0</v>
      </c>
      <c r="AA724" s="2">
        <v>0</v>
      </c>
      <c r="AB724" s="2">
        <v>0</v>
      </c>
    </row>
    <row r="725" spans="1:28" x14ac:dyDescent="0.25">
      <c r="A725">
        <v>2033177645</v>
      </c>
      <c r="B725" t="s">
        <v>485</v>
      </c>
      <c r="C725" t="s">
        <v>209</v>
      </c>
      <c r="D725" t="str">
        <f t="shared" si="23"/>
        <v>JOHN GORMAN</v>
      </c>
      <c r="E725" t="s">
        <v>124</v>
      </c>
      <c r="F725" t="s">
        <v>69</v>
      </c>
      <c r="G725" t="s">
        <v>79</v>
      </c>
      <c r="H725" t="s">
        <v>1080</v>
      </c>
      <c r="I725" s="8" t="s">
        <v>1095</v>
      </c>
      <c r="J725" t="s">
        <v>486</v>
      </c>
      <c r="K725" t="s">
        <v>379</v>
      </c>
      <c r="L725" t="str">
        <f t="shared" si="22"/>
        <v>THOMAS PARDUE</v>
      </c>
      <c r="M725" t="s">
        <v>1134</v>
      </c>
      <c r="N725" t="s">
        <v>57</v>
      </c>
      <c r="O725" s="1">
        <v>46054</v>
      </c>
      <c r="P725" s="1">
        <v>46235</v>
      </c>
      <c r="Q725" s="2">
        <v>49.33</v>
      </c>
      <c r="R725" t="s">
        <v>58</v>
      </c>
      <c r="S725" s="3">
        <v>0.9</v>
      </c>
      <c r="T725">
        <v>0</v>
      </c>
      <c r="U725" t="s">
        <v>60</v>
      </c>
      <c r="V725" t="s">
        <v>248</v>
      </c>
      <c r="W725">
        <v>0</v>
      </c>
      <c r="X725" s="2">
        <v>0</v>
      </c>
      <c r="Y725" s="2">
        <v>44.4</v>
      </c>
      <c r="Z725" s="2">
        <v>0</v>
      </c>
      <c r="AA725" s="2">
        <v>0</v>
      </c>
      <c r="AB725" s="2">
        <v>0</v>
      </c>
    </row>
    <row r="726" spans="1:28" x14ac:dyDescent="0.25">
      <c r="A726">
        <v>2033177687</v>
      </c>
      <c r="B726" t="s">
        <v>485</v>
      </c>
      <c r="C726" t="s">
        <v>487</v>
      </c>
      <c r="D726" t="str">
        <f t="shared" si="23"/>
        <v>WINIFRED GORMAN</v>
      </c>
      <c r="E726" t="s">
        <v>124</v>
      </c>
      <c r="F726" t="s">
        <v>69</v>
      </c>
      <c r="G726" t="s">
        <v>79</v>
      </c>
      <c r="H726" t="s">
        <v>1080</v>
      </c>
      <c r="I726" s="8" t="s">
        <v>1095</v>
      </c>
      <c r="J726" t="s">
        <v>486</v>
      </c>
      <c r="K726" t="s">
        <v>379</v>
      </c>
      <c r="L726" t="str">
        <f t="shared" si="22"/>
        <v>THOMAS PARDUE</v>
      </c>
      <c r="M726" t="s">
        <v>1134</v>
      </c>
      <c r="N726" t="s">
        <v>57</v>
      </c>
      <c r="O726" s="1">
        <v>46054</v>
      </c>
      <c r="P726" s="1">
        <v>46235</v>
      </c>
      <c r="Q726" s="2">
        <v>135.21</v>
      </c>
      <c r="R726" t="s">
        <v>58</v>
      </c>
      <c r="S726" s="3">
        <v>0.9</v>
      </c>
      <c r="T726">
        <v>0</v>
      </c>
      <c r="U726" t="s">
        <v>60</v>
      </c>
      <c r="V726" t="s">
        <v>248</v>
      </c>
      <c r="W726">
        <v>0</v>
      </c>
      <c r="X726" s="2">
        <v>0</v>
      </c>
      <c r="Y726" s="2">
        <v>121.69</v>
      </c>
      <c r="Z726" s="2">
        <v>0</v>
      </c>
      <c r="AA726" s="2">
        <v>0</v>
      </c>
      <c r="AB726" s="2">
        <v>0</v>
      </c>
    </row>
    <row r="727" spans="1:28" x14ac:dyDescent="0.25">
      <c r="A727">
        <v>2024151848</v>
      </c>
      <c r="B727" t="s">
        <v>690</v>
      </c>
      <c r="C727" t="s">
        <v>691</v>
      </c>
      <c r="D727" t="str">
        <f t="shared" si="23"/>
        <v>ROBERT HORVATH</v>
      </c>
      <c r="E727" t="s">
        <v>100</v>
      </c>
      <c r="F727" t="s">
        <v>194</v>
      </c>
      <c r="G727" t="s">
        <v>195</v>
      </c>
      <c r="H727" t="s">
        <v>195</v>
      </c>
      <c r="I727" s="8" t="s">
        <v>1109</v>
      </c>
      <c r="J727" t="s">
        <v>486</v>
      </c>
      <c r="K727" t="s">
        <v>379</v>
      </c>
      <c r="L727" t="str">
        <f t="shared" si="22"/>
        <v>THOMAS PARDUE</v>
      </c>
      <c r="M727" t="s">
        <v>1133</v>
      </c>
      <c r="N727" t="s">
        <v>57</v>
      </c>
      <c r="O727" s="1">
        <v>45504</v>
      </c>
      <c r="P727" s="1">
        <v>46233</v>
      </c>
      <c r="Q727" s="2">
        <v>14.08</v>
      </c>
      <c r="R727" t="s">
        <v>58</v>
      </c>
      <c r="S727" s="3">
        <v>0.15</v>
      </c>
      <c r="T727">
        <v>0</v>
      </c>
      <c r="U727" t="s">
        <v>247</v>
      </c>
      <c r="V727" t="s">
        <v>248</v>
      </c>
      <c r="W727">
        <v>0</v>
      </c>
      <c r="X727" s="2">
        <v>0</v>
      </c>
      <c r="Y727" s="2">
        <v>2.11</v>
      </c>
      <c r="Z727" s="2">
        <v>2.11</v>
      </c>
      <c r="AA727" s="2">
        <v>2.11</v>
      </c>
      <c r="AB727" s="2">
        <v>0</v>
      </c>
    </row>
    <row r="728" spans="1:28" x14ac:dyDescent="0.25">
      <c r="A728">
        <v>2033177644</v>
      </c>
      <c r="B728" t="s">
        <v>485</v>
      </c>
      <c r="C728" t="s">
        <v>209</v>
      </c>
      <c r="D728" t="str">
        <f t="shared" si="23"/>
        <v>JOHN GORMAN</v>
      </c>
      <c r="E728" t="s">
        <v>124</v>
      </c>
      <c r="F728" t="s">
        <v>194</v>
      </c>
      <c r="G728" t="s">
        <v>195</v>
      </c>
      <c r="H728" t="s">
        <v>195</v>
      </c>
      <c r="I728" s="8" t="s">
        <v>1095</v>
      </c>
      <c r="J728" t="s">
        <v>486</v>
      </c>
      <c r="K728" t="s">
        <v>379</v>
      </c>
      <c r="L728" t="str">
        <f t="shared" si="22"/>
        <v>THOMAS PARDUE</v>
      </c>
      <c r="M728" t="s">
        <v>1134</v>
      </c>
      <c r="N728" t="s">
        <v>57</v>
      </c>
      <c r="O728" s="1">
        <v>46054</v>
      </c>
      <c r="P728" s="1">
        <v>46235</v>
      </c>
      <c r="Q728" s="2">
        <v>176.94</v>
      </c>
      <c r="R728" t="s">
        <v>58</v>
      </c>
      <c r="S728" s="3">
        <v>0.7</v>
      </c>
      <c r="T728">
        <v>0</v>
      </c>
      <c r="U728" t="s">
        <v>60</v>
      </c>
      <c r="V728" t="s">
        <v>248</v>
      </c>
      <c r="W728">
        <v>0</v>
      </c>
      <c r="X728" s="2">
        <v>0</v>
      </c>
      <c r="Y728" s="2">
        <v>123.86</v>
      </c>
      <c r="Z728" s="2">
        <v>0</v>
      </c>
      <c r="AA728" s="2">
        <v>0</v>
      </c>
      <c r="AB728" s="2">
        <v>0</v>
      </c>
    </row>
    <row r="729" spans="1:28" x14ac:dyDescent="0.25">
      <c r="A729">
        <v>2033177686</v>
      </c>
      <c r="B729" t="s">
        <v>485</v>
      </c>
      <c r="C729" t="s">
        <v>487</v>
      </c>
      <c r="D729" t="str">
        <f t="shared" si="23"/>
        <v>WINIFRED GORMAN</v>
      </c>
      <c r="E729" t="s">
        <v>124</v>
      </c>
      <c r="F729" t="s">
        <v>194</v>
      </c>
      <c r="G729" t="s">
        <v>195</v>
      </c>
      <c r="H729" t="s">
        <v>195</v>
      </c>
      <c r="I729" s="8" t="s">
        <v>1095</v>
      </c>
      <c r="J729" t="s">
        <v>486</v>
      </c>
      <c r="K729" t="s">
        <v>379</v>
      </c>
      <c r="L729" t="str">
        <f t="shared" si="22"/>
        <v>THOMAS PARDUE</v>
      </c>
      <c r="M729" t="s">
        <v>1134</v>
      </c>
      <c r="N729" t="s">
        <v>57</v>
      </c>
      <c r="O729" s="1">
        <v>46054</v>
      </c>
      <c r="P729" s="1">
        <v>46235</v>
      </c>
      <c r="Q729" s="2">
        <v>303.64999999999998</v>
      </c>
      <c r="R729" t="s">
        <v>58</v>
      </c>
      <c r="S729" s="3">
        <v>0.7</v>
      </c>
      <c r="T729">
        <v>0</v>
      </c>
      <c r="U729" t="s">
        <v>60</v>
      </c>
      <c r="V729" t="s">
        <v>248</v>
      </c>
      <c r="W729">
        <v>0</v>
      </c>
      <c r="X729" s="2">
        <v>0</v>
      </c>
      <c r="Y729" s="2">
        <v>212.56</v>
      </c>
      <c r="Z729" s="2">
        <v>0</v>
      </c>
      <c r="AA729" s="2">
        <v>0</v>
      </c>
      <c r="AB729" s="2">
        <v>0</v>
      </c>
    </row>
    <row r="730" spans="1:28" x14ac:dyDescent="0.25">
      <c r="A730">
        <v>2024151847</v>
      </c>
      <c r="B730" t="s">
        <v>690</v>
      </c>
      <c r="C730" t="s">
        <v>691</v>
      </c>
      <c r="D730" t="str">
        <f t="shared" si="23"/>
        <v>ROBERT HORVATH</v>
      </c>
      <c r="E730" t="s">
        <v>100</v>
      </c>
      <c r="F730" t="s">
        <v>133</v>
      </c>
      <c r="G730" t="s">
        <v>134</v>
      </c>
      <c r="H730" t="s">
        <v>134</v>
      </c>
      <c r="I730" s="8" t="s">
        <v>1109</v>
      </c>
      <c r="J730" t="s">
        <v>486</v>
      </c>
      <c r="K730" t="s">
        <v>379</v>
      </c>
      <c r="L730" t="str">
        <f t="shared" si="22"/>
        <v>THOMAS PARDUE</v>
      </c>
      <c r="M730" t="s">
        <v>1133</v>
      </c>
      <c r="N730" t="s">
        <v>57</v>
      </c>
      <c r="O730" s="1">
        <v>45504</v>
      </c>
      <c r="P730" s="1">
        <v>46233</v>
      </c>
      <c r="Q730" s="2">
        <v>16.39</v>
      </c>
      <c r="R730" t="s">
        <v>58</v>
      </c>
      <c r="S730" s="3">
        <v>0.06</v>
      </c>
      <c r="T730">
        <v>0</v>
      </c>
      <c r="U730" t="s">
        <v>247</v>
      </c>
      <c r="V730" t="s">
        <v>248</v>
      </c>
      <c r="W730">
        <v>0</v>
      </c>
      <c r="X730" s="2">
        <v>0</v>
      </c>
      <c r="Y730" s="2">
        <v>0.98</v>
      </c>
      <c r="Z730" s="2">
        <v>0.98</v>
      </c>
      <c r="AA730" s="2">
        <v>0.98</v>
      </c>
      <c r="AB730" s="2">
        <v>0</v>
      </c>
    </row>
    <row r="731" spans="1:28" x14ac:dyDescent="0.25">
      <c r="A731">
        <v>2025525731</v>
      </c>
      <c r="B731" t="s">
        <v>705</v>
      </c>
      <c r="C731" t="s">
        <v>706</v>
      </c>
      <c r="D731" t="str">
        <f t="shared" si="23"/>
        <v>OLIBUEL WOODWARD</v>
      </c>
      <c r="E731" t="s">
        <v>404</v>
      </c>
      <c r="F731" t="s">
        <v>133</v>
      </c>
      <c r="G731" t="s">
        <v>134</v>
      </c>
      <c r="H731" t="s">
        <v>134</v>
      </c>
      <c r="I731" s="8" t="s">
        <v>1109</v>
      </c>
      <c r="J731" t="s">
        <v>486</v>
      </c>
      <c r="K731" t="s">
        <v>379</v>
      </c>
      <c r="L731" t="str">
        <f t="shared" si="22"/>
        <v>THOMAS PARDUE</v>
      </c>
      <c r="M731" t="s">
        <v>1133</v>
      </c>
      <c r="N731" t="s">
        <v>57</v>
      </c>
      <c r="O731" s="1">
        <v>45595</v>
      </c>
      <c r="P731" s="1">
        <v>46233</v>
      </c>
      <c r="Q731" s="2">
        <v>27.04</v>
      </c>
      <c r="R731" t="s">
        <v>58</v>
      </c>
      <c r="S731" s="3">
        <v>0.06</v>
      </c>
      <c r="T731">
        <v>0</v>
      </c>
      <c r="U731" t="s">
        <v>247</v>
      </c>
      <c r="V731" t="s">
        <v>248</v>
      </c>
      <c r="W731">
        <v>0</v>
      </c>
      <c r="X731" s="2">
        <v>0</v>
      </c>
      <c r="Y731" s="2">
        <v>1.62</v>
      </c>
      <c r="Z731" s="2">
        <v>1.62</v>
      </c>
      <c r="AA731" s="2">
        <v>1.62</v>
      </c>
      <c r="AB731" s="2">
        <v>0</v>
      </c>
    </row>
    <row r="732" spans="1:28" x14ac:dyDescent="0.25">
      <c r="A732">
        <v>2035512729</v>
      </c>
      <c r="B732" t="s">
        <v>970</v>
      </c>
      <c r="C732" t="s">
        <v>971</v>
      </c>
      <c r="D732" t="str">
        <f t="shared" si="23"/>
        <v>JEREMY HIGNIGHT</v>
      </c>
      <c r="E732" t="s">
        <v>972</v>
      </c>
      <c r="F732" t="s">
        <v>133</v>
      </c>
      <c r="G732" t="s">
        <v>134</v>
      </c>
      <c r="H732" t="s">
        <v>134</v>
      </c>
      <c r="I732" s="8" t="s">
        <v>1130</v>
      </c>
      <c r="J732" t="s">
        <v>486</v>
      </c>
      <c r="K732" t="s">
        <v>379</v>
      </c>
      <c r="L732" t="str">
        <f t="shared" si="22"/>
        <v>THOMAS PARDUE</v>
      </c>
      <c r="M732" t="s">
        <v>1134</v>
      </c>
      <c r="N732" t="s">
        <v>57</v>
      </c>
      <c r="O732" s="1">
        <v>46158</v>
      </c>
      <c r="P732" s="1">
        <v>46219</v>
      </c>
      <c r="Q732" s="2">
        <v>33.869999999999997</v>
      </c>
      <c r="R732" t="s">
        <v>58</v>
      </c>
      <c r="S732" s="4">
        <v>0.375</v>
      </c>
      <c r="T732">
        <v>0</v>
      </c>
      <c r="U732" t="s">
        <v>60</v>
      </c>
      <c r="V732" t="s">
        <v>248</v>
      </c>
      <c r="W732">
        <v>0</v>
      </c>
      <c r="X732" s="2">
        <v>0</v>
      </c>
      <c r="Y732" s="2">
        <v>12.7</v>
      </c>
      <c r="Z732" s="2">
        <v>0</v>
      </c>
      <c r="AA732" s="2">
        <v>0</v>
      </c>
      <c r="AB732" s="2">
        <v>0</v>
      </c>
    </row>
    <row r="733" spans="1:28" x14ac:dyDescent="0.25">
      <c r="A733">
        <v>2033175060</v>
      </c>
      <c r="B733" t="s">
        <v>808</v>
      </c>
      <c r="C733" t="s">
        <v>598</v>
      </c>
      <c r="D733" t="str">
        <f t="shared" si="23"/>
        <v>ANTHONY JUAREZ</v>
      </c>
      <c r="E733" t="s">
        <v>332</v>
      </c>
      <c r="F733" t="s">
        <v>133</v>
      </c>
      <c r="G733" t="s">
        <v>134</v>
      </c>
      <c r="H733" t="s">
        <v>134</v>
      </c>
      <c r="I733" s="8" t="s">
        <v>1095</v>
      </c>
      <c r="J733" t="s">
        <v>486</v>
      </c>
      <c r="K733" t="s">
        <v>379</v>
      </c>
      <c r="L733" t="str">
        <f t="shared" si="22"/>
        <v>THOMAS PARDUE</v>
      </c>
      <c r="M733" t="s">
        <v>1134</v>
      </c>
      <c r="N733" t="s">
        <v>57</v>
      </c>
      <c r="O733" s="1">
        <v>46054</v>
      </c>
      <c r="P733" s="1">
        <v>46235</v>
      </c>
      <c r="Q733" s="2">
        <v>68.459999999999994</v>
      </c>
      <c r="R733" t="s">
        <v>58</v>
      </c>
      <c r="S733" s="4">
        <v>0.375</v>
      </c>
      <c r="T733">
        <v>0</v>
      </c>
      <c r="U733" t="s">
        <v>60</v>
      </c>
      <c r="V733" t="s">
        <v>248</v>
      </c>
      <c r="W733">
        <v>0</v>
      </c>
      <c r="X733" s="2">
        <v>0</v>
      </c>
      <c r="Y733" s="2">
        <v>25.67</v>
      </c>
      <c r="Z733" s="2">
        <v>0</v>
      </c>
      <c r="AA733" s="2">
        <v>0</v>
      </c>
      <c r="AB733" s="2">
        <v>0</v>
      </c>
    </row>
    <row r="734" spans="1:28" x14ac:dyDescent="0.25">
      <c r="A734">
        <v>2028662388</v>
      </c>
      <c r="B734" t="s">
        <v>1039</v>
      </c>
      <c r="C734" t="s">
        <v>1040</v>
      </c>
      <c r="D734" t="str">
        <f t="shared" si="23"/>
        <v>TERRY COCKRELL</v>
      </c>
      <c r="E734" t="s">
        <v>1041</v>
      </c>
      <c r="F734" t="s">
        <v>194</v>
      </c>
      <c r="G734" t="s">
        <v>217</v>
      </c>
      <c r="H734" t="s">
        <v>217</v>
      </c>
      <c r="I734" s="8" t="s">
        <v>1109</v>
      </c>
      <c r="J734" t="s">
        <v>486</v>
      </c>
      <c r="K734" t="s">
        <v>379</v>
      </c>
      <c r="L734" t="str">
        <f t="shared" si="22"/>
        <v>THOMAS PARDUE</v>
      </c>
      <c r="M734" t="s">
        <v>1133</v>
      </c>
      <c r="N734" t="s">
        <v>57</v>
      </c>
      <c r="O734" s="1">
        <v>45777</v>
      </c>
      <c r="P734" s="1">
        <v>46233</v>
      </c>
      <c r="Q734" s="2">
        <v>19.28</v>
      </c>
      <c r="R734" t="s">
        <v>58</v>
      </c>
      <c r="S734" s="3">
        <v>0.1</v>
      </c>
      <c r="T734">
        <v>0</v>
      </c>
      <c r="U734" t="s">
        <v>247</v>
      </c>
      <c r="V734" t="s">
        <v>248</v>
      </c>
      <c r="W734">
        <v>0</v>
      </c>
      <c r="X734" s="2">
        <v>0</v>
      </c>
      <c r="Y734" s="2">
        <v>1.93</v>
      </c>
      <c r="Z734" s="2">
        <v>1.93</v>
      </c>
      <c r="AA734" s="2">
        <v>1.93</v>
      </c>
      <c r="AB734" s="2">
        <v>0</v>
      </c>
    </row>
    <row r="735" spans="1:28" x14ac:dyDescent="0.25">
      <c r="A735">
        <v>2028664275</v>
      </c>
      <c r="B735" t="s">
        <v>355</v>
      </c>
      <c r="C735" t="s">
        <v>209</v>
      </c>
      <c r="D735" t="str">
        <f t="shared" si="23"/>
        <v>JOHN JAMES</v>
      </c>
      <c r="E735" t="s">
        <v>434</v>
      </c>
      <c r="F735" t="s">
        <v>194</v>
      </c>
      <c r="G735" t="s">
        <v>217</v>
      </c>
      <c r="H735" t="s">
        <v>217</v>
      </c>
      <c r="I735" s="8" t="s">
        <v>1109</v>
      </c>
      <c r="J735" t="s">
        <v>486</v>
      </c>
      <c r="K735" t="s">
        <v>379</v>
      </c>
      <c r="L735" t="str">
        <f t="shared" si="22"/>
        <v>THOMAS PARDUE</v>
      </c>
      <c r="M735" t="s">
        <v>1133</v>
      </c>
      <c r="N735" t="s">
        <v>57</v>
      </c>
      <c r="O735" s="1">
        <v>45777</v>
      </c>
      <c r="P735" s="1">
        <v>46233</v>
      </c>
      <c r="Q735" s="2">
        <v>83.63</v>
      </c>
      <c r="R735" t="s">
        <v>58</v>
      </c>
      <c r="S735" s="3">
        <v>0.1</v>
      </c>
      <c r="T735">
        <v>0</v>
      </c>
      <c r="U735" t="s">
        <v>247</v>
      </c>
      <c r="V735" t="s">
        <v>248</v>
      </c>
      <c r="W735">
        <v>0</v>
      </c>
      <c r="X735" s="2">
        <v>0</v>
      </c>
      <c r="Y735" s="2">
        <v>8.36</v>
      </c>
      <c r="Z735" s="2">
        <v>8.36</v>
      </c>
      <c r="AA735" s="2">
        <v>8.36</v>
      </c>
      <c r="AB735" s="2">
        <v>0</v>
      </c>
    </row>
    <row r="736" spans="1:28" x14ac:dyDescent="0.25">
      <c r="A736">
        <v>2033383616</v>
      </c>
      <c r="B736" t="s">
        <v>808</v>
      </c>
      <c r="C736" t="s">
        <v>598</v>
      </c>
      <c r="D736" t="str">
        <f t="shared" si="23"/>
        <v>ANTHONY JUAREZ</v>
      </c>
      <c r="E736" t="s">
        <v>332</v>
      </c>
      <c r="F736" t="s">
        <v>194</v>
      </c>
      <c r="G736" t="s">
        <v>217</v>
      </c>
      <c r="H736" t="s">
        <v>217</v>
      </c>
      <c r="I736" s="8" t="s">
        <v>1095</v>
      </c>
      <c r="J736" t="s">
        <v>486</v>
      </c>
      <c r="K736" t="s">
        <v>379</v>
      </c>
      <c r="L736" t="str">
        <f t="shared" si="22"/>
        <v>THOMAS PARDUE</v>
      </c>
      <c r="M736" t="s">
        <v>1134</v>
      </c>
      <c r="N736" t="s">
        <v>57</v>
      </c>
      <c r="O736" s="1">
        <v>46052</v>
      </c>
      <c r="P736" s="1">
        <v>46233</v>
      </c>
      <c r="Q736" s="2">
        <v>42</v>
      </c>
      <c r="R736" t="s">
        <v>58</v>
      </c>
      <c r="S736" s="3">
        <v>0.9</v>
      </c>
      <c r="T736">
        <v>0</v>
      </c>
      <c r="U736" t="s">
        <v>60</v>
      </c>
      <c r="V736" t="s">
        <v>248</v>
      </c>
      <c r="W736">
        <v>0</v>
      </c>
      <c r="X736" s="2">
        <v>0</v>
      </c>
      <c r="Y736" s="2">
        <v>37.799999999999997</v>
      </c>
      <c r="Z736" s="2">
        <v>0</v>
      </c>
      <c r="AA736" s="2">
        <v>0</v>
      </c>
      <c r="AB736" s="2">
        <v>0</v>
      </c>
    </row>
    <row r="737" spans="1:28" x14ac:dyDescent="0.25">
      <c r="A737">
        <v>2026728416</v>
      </c>
      <c r="B737" t="s">
        <v>910</v>
      </c>
      <c r="C737" t="s">
        <v>911</v>
      </c>
      <c r="D737" t="str">
        <f t="shared" si="23"/>
        <v>KELSEY STRUCHEN</v>
      </c>
      <c r="E737" t="s">
        <v>89</v>
      </c>
      <c r="F737" t="s">
        <v>194</v>
      </c>
      <c r="G737" t="s">
        <v>195</v>
      </c>
      <c r="H737" t="s">
        <v>195</v>
      </c>
      <c r="I737" s="8">
        <v>18581063</v>
      </c>
      <c r="J737" t="s">
        <v>912</v>
      </c>
      <c r="K737" t="s">
        <v>913</v>
      </c>
      <c r="L737" t="str">
        <f t="shared" si="22"/>
        <v>Timothy Hodgman</v>
      </c>
      <c r="M737" t="s">
        <v>1133</v>
      </c>
      <c r="N737" t="s">
        <v>57</v>
      </c>
      <c r="O737" s="1">
        <v>45689</v>
      </c>
      <c r="P737" s="1">
        <v>46235</v>
      </c>
      <c r="Q737" s="2">
        <v>126.92</v>
      </c>
      <c r="R737" t="s">
        <v>58</v>
      </c>
      <c r="S737" s="3">
        <v>0.15</v>
      </c>
      <c r="T737">
        <v>0</v>
      </c>
      <c r="U737" t="s">
        <v>247</v>
      </c>
      <c r="V737" t="s">
        <v>248</v>
      </c>
      <c r="W737">
        <v>0</v>
      </c>
      <c r="X737" s="2">
        <v>0</v>
      </c>
      <c r="Y737" s="2">
        <v>19.04</v>
      </c>
      <c r="Z737" s="2">
        <v>19.04</v>
      </c>
      <c r="AA737" s="2">
        <v>19.04</v>
      </c>
      <c r="AB737" s="2">
        <v>0</v>
      </c>
    </row>
    <row r="738" spans="1:28" x14ac:dyDescent="0.25">
      <c r="A738">
        <v>2026839646</v>
      </c>
      <c r="B738" t="s">
        <v>923</v>
      </c>
      <c r="C738" t="s">
        <v>924</v>
      </c>
      <c r="D738" t="str">
        <f t="shared" si="23"/>
        <v>JESSICA SAUL</v>
      </c>
      <c r="E738" t="s">
        <v>397</v>
      </c>
      <c r="F738" t="s">
        <v>194</v>
      </c>
      <c r="G738" t="s">
        <v>195</v>
      </c>
      <c r="H738" t="s">
        <v>195</v>
      </c>
      <c r="I738" s="8">
        <v>18581063</v>
      </c>
      <c r="J738" t="s">
        <v>912</v>
      </c>
      <c r="K738" t="s">
        <v>913</v>
      </c>
      <c r="L738" t="str">
        <f t="shared" si="22"/>
        <v>Timothy Hodgman</v>
      </c>
      <c r="M738" t="s">
        <v>1133</v>
      </c>
      <c r="N738" t="s">
        <v>57</v>
      </c>
      <c r="O738" s="1">
        <v>45689</v>
      </c>
      <c r="P738" s="1">
        <v>46235</v>
      </c>
      <c r="Q738" s="2">
        <v>61.66</v>
      </c>
      <c r="R738" t="s">
        <v>58</v>
      </c>
      <c r="S738" s="3">
        <v>0.15</v>
      </c>
      <c r="T738">
        <v>0</v>
      </c>
      <c r="U738" t="s">
        <v>247</v>
      </c>
      <c r="V738" t="s">
        <v>248</v>
      </c>
      <c r="W738">
        <v>0</v>
      </c>
      <c r="X738" s="2">
        <v>0</v>
      </c>
      <c r="Y738" s="2">
        <v>9.25</v>
      </c>
      <c r="Z738" s="2">
        <v>9.25</v>
      </c>
      <c r="AA738" s="2">
        <v>9.25</v>
      </c>
      <c r="AB738" s="2">
        <v>0</v>
      </c>
    </row>
    <row r="739" spans="1:28" x14ac:dyDescent="0.25">
      <c r="A739">
        <v>2030594430</v>
      </c>
      <c r="B739" t="s">
        <v>943</v>
      </c>
      <c r="C739" t="s">
        <v>944</v>
      </c>
      <c r="D739" t="str">
        <f t="shared" si="23"/>
        <v>HIBBARD MATHIAS</v>
      </c>
      <c r="E739" t="s">
        <v>397</v>
      </c>
      <c r="F739" t="s">
        <v>194</v>
      </c>
      <c r="G739" t="s">
        <v>195</v>
      </c>
      <c r="H739" t="s">
        <v>195</v>
      </c>
      <c r="I739" s="8">
        <v>18581063</v>
      </c>
      <c r="J739" t="s">
        <v>912</v>
      </c>
      <c r="K739" t="s">
        <v>913</v>
      </c>
      <c r="L739" t="str">
        <f t="shared" si="22"/>
        <v>Timothy Hodgman</v>
      </c>
      <c r="M739" t="s">
        <v>1133</v>
      </c>
      <c r="N739" t="s">
        <v>57</v>
      </c>
      <c r="O739" s="1">
        <v>45898</v>
      </c>
      <c r="P739" s="1">
        <v>46232</v>
      </c>
      <c r="Q739" s="2">
        <v>41.5</v>
      </c>
      <c r="R739" t="s">
        <v>58</v>
      </c>
      <c r="S739" s="3">
        <v>0.7</v>
      </c>
      <c r="T739">
        <v>0</v>
      </c>
      <c r="U739" t="s">
        <v>60</v>
      </c>
      <c r="V739" t="s">
        <v>248</v>
      </c>
      <c r="W739">
        <v>0</v>
      </c>
      <c r="X739" s="2">
        <v>0</v>
      </c>
      <c r="Y739" s="2">
        <v>29.05</v>
      </c>
      <c r="Z739" s="2">
        <v>29.05</v>
      </c>
      <c r="AA739" s="2">
        <v>29.05</v>
      </c>
      <c r="AB739" s="2">
        <v>0</v>
      </c>
    </row>
    <row r="740" spans="1:28" x14ac:dyDescent="0.25">
      <c r="A740">
        <v>2026728415</v>
      </c>
      <c r="B740" t="s">
        <v>910</v>
      </c>
      <c r="C740" t="s">
        <v>911</v>
      </c>
      <c r="D740" t="str">
        <f t="shared" si="23"/>
        <v>KELSEY STRUCHEN</v>
      </c>
      <c r="E740" t="s">
        <v>89</v>
      </c>
      <c r="F740" t="s">
        <v>133</v>
      </c>
      <c r="G740" t="s">
        <v>134</v>
      </c>
      <c r="H740" t="s">
        <v>134</v>
      </c>
      <c r="I740" s="8">
        <v>18581063</v>
      </c>
      <c r="J740" t="s">
        <v>912</v>
      </c>
      <c r="K740" t="s">
        <v>913</v>
      </c>
      <c r="L740" t="str">
        <f t="shared" si="22"/>
        <v>Timothy Hodgman</v>
      </c>
      <c r="M740" t="s">
        <v>1133</v>
      </c>
      <c r="N740" t="s">
        <v>57</v>
      </c>
      <c r="O740" s="1">
        <v>45689</v>
      </c>
      <c r="P740" s="1">
        <v>46235</v>
      </c>
      <c r="Q740" s="2">
        <v>136.09</v>
      </c>
      <c r="R740" t="s">
        <v>58</v>
      </c>
      <c r="S740" s="3">
        <v>0.06</v>
      </c>
      <c r="T740">
        <v>0</v>
      </c>
      <c r="U740" t="s">
        <v>247</v>
      </c>
      <c r="V740" t="s">
        <v>248</v>
      </c>
      <c r="W740">
        <v>0</v>
      </c>
      <c r="X740" s="2">
        <v>0</v>
      </c>
      <c r="Y740" s="2">
        <v>8.17</v>
      </c>
      <c r="Z740" s="2">
        <v>8.17</v>
      </c>
      <c r="AA740" s="2">
        <v>8.17</v>
      </c>
      <c r="AB740" s="2">
        <v>0</v>
      </c>
    </row>
    <row r="741" spans="1:28" x14ac:dyDescent="0.25">
      <c r="A741">
        <v>2026839647</v>
      </c>
      <c r="B741" t="s">
        <v>923</v>
      </c>
      <c r="C741" t="s">
        <v>924</v>
      </c>
      <c r="D741" t="str">
        <f t="shared" si="23"/>
        <v>JESSICA SAUL</v>
      </c>
      <c r="E741" t="s">
        <v>397</v>
      </c>
      <c r="F741" t="s">
        <v>133</v>
      </c>
      <c r="G741" t="s">
        <v>134</v>
      </c>
      <c r="H741" t="s">
        <v>134</v>
      </c>
      <c r="I741" s="8">
        <v>18581063</v>
      </c>
      <c r="J741" t="s">
        <v>912</v>
      </c>
      <c r="K741" t="s">
        <v>913</v>
      </c>
      <c r="L741" t="str">
        <f t="shared" si="22"/>
        <v>Timothy Hodgman</v>
      </c>
      <c r="M741" t="s">
        <v>1133</v>
      </c>
      <c r="N741" t="s">
        <v>57</v>
      </c>
      <c r="O741" s="1">
        <v>45689</v>
      </c>
      <c r="P741" s="1">
        <v>46235</v>
      </c>
      <c r="Q741" s="2">
        <v>66.650000000000006</v>
      </c>
      <c r="R741" t="s">
        <v>58</v>
      </c>
      <c r="S741" s="3">
        <v>0.06</v>
      </c>
      <c r="T741">
        <v>0</v>
      </c>
      <c r="U741" t="s">
        <v>247</v>
      </c>
      <c r="V741" t="s">
        <v>248</v>
      </c>
      <c r="W741">
        <v>0</v>
      </c>
      <c r="X741" s="2">
        <v>0</v>
      </c>
      <c r="Y741" s="2">
        <v>4</v>
      </c>
      <c r="Z741" s="2">
        <v>4</v>
      </c>
      <c r="AA741" s="2">
        <v>4</v>
      </c>
      <c r="AB741" s="2">
        <v>0</v>
      </c>
    </row>
    <row r="742" spans="1:28" x14ac:dyDescent="0.25">
      <c r="A742">
        <v>2030594429</v>
      </c>
      <c r="B742" t="s">
        <v>943</v>
      </c>
      <c r="C742" t="s">
        <v>944</v>
      </c>
      <c r="D742" t="str">
        <f t="shared" si="23"/>
        <v>HIBBARD MATHIAS</v>
      </c>
      <c r="E742" t="s">
        <v>397</v>
      </c>
      <c r="F742" t="s">
        <v>133</v>
      </c>
      <c r="G742" t="s">
        <v>134</v>
      </c>
      <c r="H742" t="s">
        <v>134</v>
      </c>
      <c r="I742" s="8">
        <v>18581063</v>
      </c>
      <c r="J742" t="s">
        <v>912</v>
      </c>
      <c r="K742" t="s">
        <v>913</v>
      </c>
      <c r="L742" t="str">
        <f t="shared" si="22"/>
        <v>Timothy Hodgman</v>
      </c>
      <c r="M742" t="s">
        <v>1133</v>
      </c>
      <c r="N742" t="s">
        <v>57</v>
      </c>
      <c r="O742" s="1">
        <v>45898</v>
      </c>
      <c r="P742" s="1">
        <v>46232</v>
      </c>
      <c r="Q742" s="2">
        <v>60.74</v>
      </c>
      <c r="R742" t="s">
        <v>58</v>
      </c>
      <c r="S742" s="4">
        <v>0.375</v>
      </c>
      <c r="T742">
        <v>0</v>
      </c>
      <c r="U742" t="s">
        <v>60</v>
      </c>
      <c r="V742" t="s">
        <v>248</v>
      </c>
      <c r="W742">
        <v>0</v>
      </c>
      <c r="X742" s="2">
        <v>0</v>
      </c>
      <c r="Y742" s="2">
        <v>22.78</v>
      </c>
      <c r="Z742" s="2">
        <v>22.78</v>
      </c>
      <c r="AA742" s="2">
        <v>22.78</v>
      </c>
      <c r="AB742" s="2">
        <v>0</v>
      </c>
    </row>
    <row r="743" spans="1:28" x14ac:dyDescent="0.25">
      <c r="A743">
        <v>2026766427</v>
      </c>
      <c r="B743" t="s">
        <v>917</v>
      </c>
      <c r="C743" t="s">
        <v>254</v>
      </c>
      <c r="D743" t="str">
        <f t="shared" si="23"/>
        <v>SARAH MURATA</v>
      </c>
      <c r="E743" t="s">
        <v>89</v>
      </c>
      <c r="F743" t="s">
        <v>194</v>
      </c>
      <c r="G743" t="s">
        <v>195</v>
      </c>
      <c r="H743" t="s">
        <v>195</v>
      </c>
      <c r="I743" s="8" t="s">
        <v>1122</v>
      </c>
      <c r="J743" t="s">
        <v>918</v>
      </c>
      <c r="K743" t="s">
        <v>531</v>
      </c>
      <c r="L743" t="str">
        <f t="shared" si="22"/>
        <v>VICTOR FUENTES</v>
      </c>
      <c r="M743" t="s">
        <v>1133</v>
      </c>
      <c r="N743" t="s">
        <v>57</v>
      </c>
      <c r="O743" s="1">
        <v>45689</v>
      </c>
      <c r="P743" s="1">
        <v>46235</v>
      </c>
      <c r="Q743" s="2">
        <v>145.41999999999999</v>
      </c>
      <c r="R743" t="s">
        <v>58</v>
      </c>
      <c r="S743" s="3">
        <v>0.15</v>
      </c>
      <c r="T743">
        <v>0</v>
      </c>
      <c r="U743" t="s">
        <v>247</v>
      </c>
      <c r="V743" t="s">
        <v>248</v>
      </c>
      <c r="W743">
        <v>0</v>
      </c>
      <c r="X743" s="2">
        <v>0</v>
      </c>
      <c r="Y743" s="2">
        <v>21.81</v>
      </c>
      <c r="Z743" s="2">
        <v>21.81</v>
      </c>
      <c r="AA743" s="2">
        <v>21.81</v>
      </c>
      <c r="AB743" s="2">
        <v>0</v>
      </c>
    </row>
    <row r="744" spans="1:28" x14ac:dyDescent="0.25">
      <c r="A744">
        <v>2026766428</v>
      </c>
      <c r="B744" t="s">
        <v>917</v>
      </c>
      <c r="C744" t="s">
        <v>254</v>
      </c>
      <c r="D744" t="str">
        <f t="shared" si="23"/>
        <v>SARAH MURATA</v>
      </c>
      <c r="E744" t="s">
        <v>89</v>
      </c>
      <c r="F744" t="s">
        <v>133</v>
      </c>
      <c r="G744" t="s">
        <v>134</v>
      </c>
      <c r="H744" t="s">
        <v>134</v>
      </c>
      <c r="I744" s="8" t="s">
        <v>1122</v>
      </c>
      <c r="J744" t="s">
        <v>918</v>
      </c>
      <c r="K744" t="s">
        <v>531</v>
      </c>
      <c r="L744" t="str">
        <f t="shared" si="22"/>
        <v>VICTOR FUENTES</v>
      </c>
      <c r="M744" t="s">
        <v>1133</v>
      </c>
      <c r="N744" t="s">
        <v>57</v>
      </c>
      <c r="O744" s="1">
        <v>45689</v>
      </c>
      <c r="P744" s="1">
        <v>46235</v>
      </c>
      <c r="Q744" s="2">
        <v>90.76</v>
      </c>
      <c r="R744" t="s">
        <v>58</v>
      </c>
      <c r="S744" s="3">
        <v>0.06</v>
      </c>
      <c r="T744">
        <v>0</v>
      </c>
      <c r="U744" t="s">
        <v>247</v>
      </c>
      <c r="V744" t="s">
        <v>248</v>
      </c>
      <c r="W744">
        <v>0</v>
      </c>
      <c r="X744" s="2">
        <v>0</v>
      </c>
      <c r="Y744" s="2">
        <v>5.45</v>
      </c>
      <c r="Z744" s="2">
        <v>5.45</v>
      </c>
      <c r="AA744" s="2">
        <v>5.45</v>
      </c>
      <c r="AB744" s="2">
        <v>0</v>
      </c>
    </row>
    <row r="745" spans="1:28" x14ac:dyDescent="0.25">
      <c r="A745">
        <v>2026328947</v>
      </c>
      <c r="B745" t="s">
        <v>918</v>
      </c>
      <c r="C745" t="s">
        <v>531</v>
      </c>
      <c r="D745" t="str">
        <f t="shared" si="23"/>
        <v>VICTOR FUENTES</v>
      </c>
      <c r="E745" t="s">
        <v>89</v>
      </c>
      <c r="F745" t="s">
        <v>194</v>
      </c>
      <c r="G745" t="s">
        <v>217</v>
      </c>
      <c r="H745" t="s">
        <v>217</v>
      </c>
      <c r="I745" s="8" t="s">
        <v>1122</v>
      </c>
      <c r="J745" t="s">
        <v>918</v>
      </c>
      <c r="K745" t="s">
        <v>531</v>
      </c>
      <c r="L745" t="str">
        <f t="shared" si="22"/>
        <v>VICTOR FUENTES</v>
      </c>
      <c r="M745" t="s">
        <v>1133</v>
      </c>
      <c r="N745" t="s">
        <v>57</v>
      </c>
      <c r="O745" s="1">
        <v>45689</v>
      </c>
      <c r="P745" s="1">
        <v>46235</v>
      </c>
      <c r="Q745" s="2">
        <v>35.5</v>
      </c>
      <c r="R745" t="s">
        <v>58</v>
      </c>
      <c r="S745" s="3">
        <v>0.1</v>
      </c>
      <c r="T745">
        <v>0</v>
      </c>
      <c r="U745" t="s">
        <v>247</v>
      </c>
      <c r="V745" t="s">
        <v>248</v>
      </c>
      <c r="W745">
        <v>0</v>
      </c>
      <c r="X745" s="2">
        <v>0</v>
      </c>
      <c r="Y745" s="2">
        <v>3.55</v>
      </c>
      <c r="Z745" s="2">
        <v>3.55</v>
      </c>
      <c r="AA745" s="2">
        <v>3.55</v>
      </c>
      <c r="AB745" s="2">
        <v>0</v>
      </c>
    </row>
    <row r="746" spans="1:28" x14ac:dyDescent="0.25">
      <c r="A746">
        <v>2025708054</v>
      </c>
      <c r="B746" t="s">
        <v>345</v>
      </c>
      <c r="C746" t="s">
        <v>199</v>
      </c>
      <c r="D746" t="str">
        <f t="shared" si="23"/>
        <v>MARY NOVOTNY</v>
      </c>
      <c r="E746" t="s">
        <v>94</v>
      </c>
      <c r="F746" t="s">
        <v>194</v>
      </c>
      <c r="G746" t="s">
        <v>881</v>
      </c>
      <c r="H746" t="s">
        <v>881</v>
      </c>
      <c r="I746" s="8">
        <v>21313588</v>
      </c>
      <c r="J746" t="s">
        <v>344</v>
      </c>
      <c r="K746" t="s">
        <v>171</v>
      </c>
      <c r="L746" t="str">
        <f t="shared" si="22"/>
        <v>WILLIAM GESKE</v>
      </c>
      <c r="M746" t="s">
        <v>1133</v>
      </c>
      <c r="N746" t="s">
        <v>57</v>
      </c>
      <c r="O746" s="1">
        <v>45658</v>
      </c>
      <c r="P746" s="1">
        <v>46235</v>
      </c>
      <c r="Q746" s="2">
        <v>12.6</v>
      </c>
      <c r="R746" t="s">
        <v>58</v>
      </c>
      <c r="S746" s="3">
        <v>0.15</v>
      </c>
      <c r="T746">
        <v>0</v>
      </c>
      <c r="U746" t="s">
        <v>247</v>
      </c>
      <c r="V746" t="s">
        <v>248</v>
      </c>
      <c r="W746">
        <v>0</v>
      </c>
      <c r="X746" s="2">
        <v>0</v>
      </c>
      <c r="Y746" s="2">
        <v>1.89</v>
      </c>
      <c r="Z746" s="2">
        <v>1.89</v>
      </c>
      <c r="AA746" s="2">
        <v>1.89</v>
      </c>
      <c r="AB746" s="2">
        <v>0</v>
      </c>
    </row>
    <row r="747" spans="1:28" x14ac:dyDescent="0.25">
      <c r="A747">
        <v>2032360822</v>
      </c>
      <c r="B747" t="s">
        <v>393</v>
      </c>
      <c r="C747" t="s">
        <v>394</v>
      </c>
      <c r="D747" t="str">
        <f t="shared" si="23"/>
        <v>ALLYSON CRAWFORD</v>
      </c>
      <c r="E747" t="s">
        <v>94</v>
      </c>
      <c r="F747" t="s">
        <v>69</v>
      </c>
      <c r="G747" t="s">
        <v>70</v>
      </c>
      <c r="H747" t="s">
        <v>1079</v>
      </c>
      <c r="I747" s="8" t="s">
        <v>1090</v>
      </c>
      <c r="J747" t="s">
        <v>344</v>
      </c>
      <c r="K747" t="s">
        <v>171</v>
      </c>
      <c r="L747" t="str">
        <f t="shared" si="22"/>
        <v>WILLIAM GESKE</v>
      </c>
      <c r="M747" t="s">
        <v>1135</v>
      </c>
      <c r="N747" t="s">
        <v>57</v>
      </c>
      <c r="O747" s="1">
        <v>46023</v>
      </c>
      <c r="P747" s="1">
        <v>46235</v>
      </c>
      <c r="Q747" s="2">
        <v>71.680000000000007</v>
      </c>
      <c r="R747" t="s">
        <v>58</v>
      </c>
      <c r="S747" s="3">
        <v>0.75</v>
      </c>
      <c r="T747">
        <v>0</v>
      </c>
      <c r="U747" t="s">
        <v>60</v>
      </c>
      <c r="V747" t="s">
        <v>248</v>
      </c>
      <c r="W747">
        <v>0</v>
      </c>
      <c r="X747" s="2">
        <v>0</v>
      </c>
      <c r="Y747" s="2">
        <v>53.76</v>
      </c>
      <c r="Z747" s="2">
        <v>53.76</v>
      </c>
      <c r="AA747" s="2">
        <v>53.76</v>
      </c>
      <c r="AB747" s="2">
        <v>0</v>
      </c>
    </row>
    <row r="748" spans="1:28" x14ac:dyDescent="0.25">
      <c r="A748">
        <v>2025689180</v>
      </c>
      <c r="B748" t="s">
        <v>342</v>
      </c>
      <c r="C748" t="s">
        <v>343</v>
      </c>
      <c r="D748" t="str">
        <f t="shared" si="23"/>
        <v>KRISTINA WOOD</v>
      </c>
      <c r="E748" t="s">
        <v>94</v>
      </c>
      <c r="F748" t="s">
        <v>69</v>
      </c>
      <c r="G748" t="s">
        <v>101</v>
      </c>
      <c r="H748" t="s">
        <v>1081</v>
      </c>
      <c r="I748" s="8">
        <v>21313588</v>
      </c>
      <c r="J748" t="s">
        <v>344</v>
      </c>
      <c r="K748" t="s">
        <v>171</v>
      </c>
      <c r="L748" t="str">
        <f t="shared" si="22"/>
        <v>WILLIAM GESKE</v>
      </c>
      <c r="M748" t="s">
        <v>1133</v>
      </c>
      <c r="N748" t="s">
        <v>57</v>
      </c>
      <c r="O748" s="1">
        <v>45627</v>
      </c>
      <c r="P748" s="1">
        <v>46235</v>
      </c>
      <c r="Q748" s="2">
        <v>38.229999999999997</v>
      </c>
      <c r="R748" t="s">
        <v>58</v>
      </c>
      <c r="S748" s="3">
        <v>0.1</v>
      </c>
      <c r="T748">
        <v>0</v>
      </c>
      <c r="U748" t="s">
        <v>247</v>
      </c>
      <c r="V748" t="s">
        <v>248</v>
      </c>
      <c r="W748">
        <v>0</v>
      </c>
      <c r="X748" s="2">
        <v>0</v>
      </c>
      <c r="Y748" s="2">
        <v>3.82</v>
      </c>
      <c r="Z748" s="2">
        <v>3.82</v>
      </c>
      <c r="AA748" s="2">
        <v>3.82</v>
      </c>
      <c r="AB748" s="2">
        <v>0</v>
      </c>
    </row>
    <row r="749" spans="1:28" x14ac:dyDescent="0.25">
      <c r="A749">
        <v>2025708055</v>
      </c>
      <c r="B749" t="s">
        <v>345</v>
      </c>
      <c r="C749" t="s">
        <v>199</v>
      </c>
      <c r="D749" t="str">
        <f t="shared" si="23"/>
        <v>MARY NOVOTNY</v>
      </c>
      <c r="E749" t="s">
        <v>94</v>
      </c>
      <c r="F749" t="s">
        <v>69</v>
      </c>
      <c r="G749" t="s">
        <v>101</v>
      </c>
      <c r="H749" t="s">
        <v>1081</v>
      </c>
      <c r="I749" s="8">
        <v>21313588</v>
      </c>
      <c r="J749" t="s">
        <v>344</v>
      </c>
      <c r="K749" t="s">
        <v>171</v>
      </c>
      <c r="L749" t="str">
        <f t="shared" si="22"/>
        <v>WILLIAM GESKE</v>
      </c>
      <c r="M749" t="s">
        <v>1133</v>
      </c>
      <c r="N749" t="s">
        <v>57</v>
      </c>
      <c r="O749" s="1">
        <v>45658</v>
      </c>
      <c r="P749" s="1">
        <v>46235</v>
      </c>
      <c r="Q749" s="2">
        <v>73.58</v>
      </c>
      <c r="R749" t="s">
        <v>58</v>
      </c>
      <c r="S749" s="3">
        <v>0.1</v>
      </c>
      <c r="T749">
        <v>0</v>
      </c>
      <c r="U749" t="s">
        <v>247</v>
      </c>
      <c r="V749" t="s">
        <v>248</v>
      </c>
      <c r="W749">
        <v>0</v>
      </c>
      <c r="X749" s="2">
        <v>0</v>
      </c>
      <c r="Y749" s="2">
        <v>7.36</v>
      </c>
      <c r="Z749" s="2">
        <v>7.36</v>
      </c>
      <c r="AA749" s="2">
        <v>7.36</v>
      </c>
      <c r="AB749" s="2">
        <v>0</v>
      </c>
    </row>
    <row r="750" spans="1:28" x14ac:dyDescent="0.25">
      <c r="A750">
        <v>2025787184</v>
      </c>
      <c r="B750" t="s">
        <v>346</v>
      </c>
      <c r="C750" t="s">
        <v>347</v>
      </c>
      <c r="D750" t="str">
        <f t="shared" si="23"/>
        <v>DANNIELLE RUDOLPH</v>
      </c>
      <c r="E750" t="s">
        <v>94</v>
      </c>
      <c r="F750" t="s">
        <v>69</v>
      </c>
      <c r="G750" t="s">
        <v>101</v>
      </c>
      <c r="H750" t="s">
        <v>1081</v>
      </c>
      <c r="I750" s="8">
        <v>21313588</v>
      </c>
      <c r="J750" t="s">
        <v>344</v>
      </c>
      <c r="K750" t="s">
        <v>171</v>
      </c>
      <c r="L750" t="str">
        <f t="shared" si="22"/>
        <v>WILLIAM GESKE</v>
      </c>
      <c r="M750" t="s">
        <v>1133</v>
      </c>
      <c r="N750" t="s">
        <v>57</v>
      </c>
      <c r="O750" s="1">
        <v>45627</v>
      </c>
      <c r="P750" s="1">
        <v>46235</v>
      </c>
      <c r="Q750" s="2">
        <v>20.350000000000001</v>
      </c>
      <c r="R750" t="s">
        <v>58</v>
      </c>
      <c r="S750" s="3">
        <v>0.1</v>
      </c>
      <c r="T750">
        <v>0</v>
      </c>
      <c r="U750" t="s">
        <v>247</v>
      </c>
      <c r="V750" t="s">
        <v>248</v>
      </c>
      <c r="W750">
        <v>0</v>
      </c>
      <c r="X750" s="2">
        <v>0</v>
      </c>
      <c r="Y750" s="2">
        <v>2.04</v>
      </c>
      <c r="Z750" s="2">
        <v>2.04</v>
      </c>
      <c r="AA750" s="2">
        <v>2.04</v>
      </c>
      <c r="AB750" s="2">
        <v>0</v>
      </c>
    </row>
    <row r="751" spans="1:28" x14ac:dyDescent="0.25">
      <c r="A751">
        <v>2026817010</v>
      </c>
      <c r="B751" t="s">
        <v>375</v>
      </c>
      <c r="C751" t="s">
        <v>376</v>
      </c>
      <c r="D751" t="str">
        <f t="shared" si="23"/>
        <v>JENNA BRINK</v>
      </c>
      <c r="E751" t="s">
        <v>94</v>
      </c>
      <c r="F751" t="s">
        <v>69</v>
      </c>
      <c r="G751" t="s">
        <v>101</v>
      </c>
      <c r="H751" t="s">
        <v>1081</v>
      </c>
      <c r="I751" s="8">
        <v>21313588</v>
      </c>
      <c r="J751" t="s">
        <v>344</v>
      </c>
      <c r="K751" t="s">
        <v>171</v>
      </c>
      <c r="L751" t="str">
        <f t="shared" si="22"/>
        <v>WILLIAM GESKE</v>
      </c>
      <c r="M751" t="s">
        <v>1133</v>
      </c>
      <c r="N751" t="s">
        <v>57</v>
      </c>
      <c r="O751" s="1">
        <v>45689</v>
      </c>
      <c r="P751" s="1">
        <v>46235</v>
      </c>
      <c r="Q751" s="2">
        <v>36.18</v>
      </c>
      <c r="R751" t="s">
        <v>58</v>
      </c>
      <c r="S751" s="3">
        <v>0.1</v>
      </c>
      <c r="T751">
        <v>0</v>
      </c>
      <c r="U751" t="s">
        <v>247</v>
      </c>
      <c r="V751" t="s">
        <v>248</v>
      </c>
      <c r="W751">
        <v>0</v>
      </c>
      <c r="X751" s="2">
        <v>0</v>
      </c>
      <c r="Y751" s="2">
        <v>3.62</v>
      </c>
      <c r="Z751" s="2">
        <v>3.62</v>
      </c>
      <c r="AA751" s="2">
        <v>3.62</v>
      </c>
      <c r="AB751" s="2">
        <v>0</v>
      </c>
    </row>
    <row r="752" spans="1:28" x14ac:dyDescent="0.25">
      <c r="A752">
        <v>2025787181</v>
      </c>
      <c r="B752" t="s">
        <v>346</v>
      </c>
      <c r="C752" t="s">
        <v>347</v>
      </c>
      <c r="D752" t="str">
        <f t="shared" si="23"/>
        <v>DANNIELLE RUDOLPH</v>
      </c>
      <c r="E752" t="s">
        <v>94</v>
      </c>
      <c r="F752" t="s">
        <v>194</v>
      </c>
      <c r="G752" t="s">
        <v>228</v>
      </c>
      <c r="H752" t="s">
        <v>228</v>
      </c>
      <c r="I752" s="8">
        <v>21313588</v>
      </c>
      <c r="J752" t="s">
        <v>344</v>
      </c>
      <c r="K752" t="s">
        <v>171</v>
      </c>
      <c r="L752" t="str">
        <f t="shared" si="22"/>
        <v>WILLIAM GESKE</v>
      </c>
      <c r="M752" t="s">
        <v>1133</v>
      </c>
      <c r="N752" t="s">
        <v>57</v>
      </c>
      <c r="O752" s="1">
        <v>45627</v>
      </c>
      <c r="P752" s="1">
        <v>46235</v>
      </c>
      <c r="Q752" s="2">
        <v>38</v>
      </c>
      <c r="R752" t="s">
        <v>58</v>
      </c>
      <c r="S752" s="3">
        <v>0.09</v>
      </c>
      <c r="T752">
        <v>0</v>
      </c>
      <c r="U752" t="s">
        <v>247</v>
      </c>
      <c r="V752" t="s">
        <v>248</v>
      </c>
      <c r="W752">
        <v>0</v>
      </c>
      <c r="X752" s="2">
        <v>0</v>
      </c>
      <c r="Y752" s="2">
        <v>3.42</v>
      </c>
      <c r="Z752" s="2">
        <v>3.42</v>
      </c>
      <c r="AA752" s="2">
        <v>3.42</v>
      </c>
      <c r="AB752" s="2">
        <v>0</v>
      </c>
    </row>
    <row r="753" spans="1:28" x14ac:dyDescent="0.25">
      <c r="A753">
        <v>2025689182</v>
      </c>
      <c r="B753" t="s">
        <v>342</v>
      </c>
      <c r="C753" t="s">
        <v>343</v>
      </c>
      <c r="D753" t="str">
        <f t="shared" si="23"/>
        <v>KRISTINA WOOD</v>
      </c>
      <c r="E753" t="s">
        <v>94</v>
      </c>
      <c r="F753" t="s">
        <v>188</v>
      </c>
      <c r="G753" t="s">
        <v>189</v>
      </c>
      <c r="H753" t="s">
        <v>189</v>
      </c>
      <c r="I753" s="8">
        <v>21313588</v>
      </c>
      <c r="J753" t="s">
        <v>344</v>
      </c>
      <c r="K753" t="s">
        <v>171</v>
      </c>
      <c r="L753" t="str">
        <f t="shared" si="22"/>
        <v>WILLIAM GESKE</v>
      </c>
      <c r="M753" t="s">
        <v>1133</v>
      </c>
      <c r="N753" t="s">
        <v>57</v>
      </c>
      <c r="O753" s="1">
        <v>45627</v>
      </c>
      <c r="P753" s="1">
        <v>46235</v>
      </c>
      <c r="Q753" s="2">
        <v>53.62</v>
      </c>
      <c r="R753" t="s">
        <v>58</v>
      </c>
      <c r="S753" s="3">
        <v>0.1</v>
      </c>
      <c r="T753">
        <v>0</v>
      </c>
      <c r="U753" t="s">
        <v>247</v>
      </c>
      <c r="V753" t="s">
        <v>248</v>
      </c>
      <c r="W753">
        <v>0</v>
      </c>
      <c r="X753" s="2">
        <v>0</v>
      </c>
      <c r="Y753" s="2">
        <v>5.36</v>
      </c>
      <c r="Z753" s="2">
        <v>5.36</v>
      </c>
      <c r="AA753" s="2">
        <v>5.36</v>
      </c>
      <c r="AB753" s="2">
        <v>0</v>
      </c>
    </row>
    <row r="754" spans="1:28" x14ac:dyDescent="0.25">
      <c r="A754">
        <v>2025708052</v>
      </c>
      <c r="B754" t="s">
        <v>345</v>
      </c>
      <c r="C754" t="s">
        <v>199</v>
      </c>
      <c r="D754" t="str">
        <f t="shared" si="23"/>
        <v>MARY NOVOTNY</v>
      </c>
      <c r="E754" t="s">
        <v>94</v>
      </c>
      <c r="F754" t="s">
        <v>188</v>
      </c>
      <c r="G754" t="s">
        <v>189</v>
      </c>
      <c r="H754" t="s">
        <v>189</v>
      </c>
      <c r="I754" s="8">
        <v>21313588</v>
      </c>
      <c r="J754" t="s">
        <v>344</v>
      </c>
      <c r="K754" t="s">
        <v>171</v>
      </c>
      <c r="L754" t="str">
        <f t="shared" si="22"/>
        <v>WILLIAM GESKE</v>
      </c>
      <c r="M754" t="s">
        <v>1133</v>
      </c>
      <c r="N754" t="s">
        <v>57</v>
      </c>
      <c r="O754" s="1">
        <v>45658</v>
      </c>
      <c r="P754" s="1">
        <v>46235</v>
      </c>
      <c r="Q754" s="2">
        <v>76.56</v>
      </c>
      <c r="R754" t="s">
        <v>58</v>
      </c>
      <c r="S754" s="3">
        <v>0.1</v>
      </c>
      <c r="T754">
        <v>0</v>
      </c>
      <c r="U754" t="s">
        <v>247</v>
      </c>
      <c r="V754" t="s">
        <v>248</v>
      </c>
      <c r="W754">
        <v>0</v>
      </c>
      <c r="X754" s="2">
        <v>0</v>
      </c>
      <c r="Y754" s="2">
        <v>7.66</v>
      </c>
      <c r="Z754" s="2">
        <v>7.66</v>
      </c>
      <c r="AA754" s="2">
        <v>7.66</v>
      </c>
      <c r="AB754" s="2">
        <v>0</v>
      </c>
    </row>
    <row r="755" spans="1:28" x14ac:dyDescent="0.25">
      <c r="A755">
        <v>2025787182</v>
      </c>
      <c r="B755" t="s">
        <v>346</v>
      </c>
      <c r="C755" t="s">
        <v>347</v>
      </c>
      <c r="D755" t="str">
        <f t="shared" si="23"/>
        <v>DANNIELLE RUDOLPH</v>
      </c>
      <c r="E755" t="s">
        <v>94</v>
      </c>
      <c r="F755" t="s">
        <v>188</v>
      </c>
      <c r="G755" t="s">
        <v>189</v>
      </c>
      <c r="H755" t="s">
        <v>189</v>
      </c>
      <c r="I755" s="8">
        <v>21313588</v>
      </c>
      <c r="J755" t="s">
        <v>344</v>
      </c>
      <c r="K755" t="s">
        <v>171</v>
      </c>
      <c r="L755" t="str">
        <f t="shared" si="22"/>
        <v>WILLIAM GESKE</v>
      </c>
      <c r="M755" t="s">
        <v>1133</v>
      </c>
      <c r="N755" t="s">
        <v>57</v>
      </c>
      <c r="O755" s="1">
        <v>45627</v>
      </c>
      <c r="P755" s="1">
        <v>46235</v>
      </c>
      <c r="Q755" s="2">
        <v>60.5</v>
      </c>
      <c r="R755" t="s">
        <v>58</v>
      </c>
      <c r="S755" s="3">
        <v>0.1</v>
      </c>
      <c r="T755">
        <v>0</v>
      </c>
      <c r="U755" t="s">
        <v>247</v>
      </c>
      <c r="V755" t="s">
        <v>248</v>
      </c>
      <c r="W755">
        <v>0</v>
      </c>
      <c r="X755" s="2">
        <v>0</v>
      </c>
      <c r="Y755" s="2">
        <v>6.05</v>
      </c>
      <c r="Z755" s="2">
        <v>6.05</v>
      </c>
      <c r="AA755" s="2">
        <v>6.05</v>
      </c>
      <c r="AB755" s="2">
        <v>0</v>
      </c>
    </row>
    <row r="756" spans="1:28" x14ac:dyDescent="0.25">
      <c r="A756">
        <v>2025689181</v>
      </c>
      <c r="B756" t="s">
        <v>342</v>
      </c>
      <c r="C756" t="s">
        <v>343</v>
      </c>
      <c r="D756" t="str">
        <f t="shared" si="23"/>
        <v>KRISTINA WOOD</v>
      </c>
      <c r="E756" t="s">
        <v>94</v>
      </c>
      <c r="F756" t="s">
        <v>194</v>
      </c>
      <c r="G756" t="s">
        <v>195</v>
      </c>
      <c r="H756" t="s">
        <v>195</v>
      </c>
      <c r="I756" s="8">
        <v>21313588</v>
      </c>
      <c r="J756" t="s">
        <v>344</v>
      </c>
      <c r="K756" t="s">
        <v>171</v>
      </c>
      <c r="L756" t="str">
        <f t="shared" si="22"/>
        <v>WILLIAM GESKE</v>
      </c>
      <c r="M756" t="s">
        <v>1133</v>
      </c>
      <c r="N756" t="s">
        <v>57</v>
      </c>
      <c r="O756" s="1">
        <v>45627</v>
      </c>
      <c r="P756" s="1">
        <v>46235</v>
      </c>
      <c r="Q756" s="2">
        <v>9.1</v>
      </c>
      <c r="R756" t="s">
        <v>58</v>
      </c>
      <c r="S756" s="3">
        <v>0.15</v>
      </c>
      <c r="T756">
        <v>0</v>
      </c>
      <c r="U756" t="s">
        <v>247</v>
      </c>
      <c r="V756" t="s">
        <v>248</v>
      </c>
      <c r="W756">
        <v>0</v>
      </c>
      <c r="X756" s="2">
        <v>0</v>
      </c>
      <c r="Y756" s="2">
        <v>1.36</v>
      </c>
      <c r="Z756" s="2">
        <v>1.36</v>
      </c>
      <c r="AA756" s="2">
        <v>1.36</v>
      </c>
      <c r="AB756" s="2">
        <v>0</v>
      </c>
    </row>
    <row r="757" spans="1:28" x14ac:dyDescent="0.25">
      <c r="A757">
        <v>2025708053</v>
      </c>
      <c r="B757" t="s">
        <v>345</v>
      </c>
      <c r="C757" t="s">
        <v>199</v>
      </c>
      <c r="D757" t="str">
        <f t="shared" si="23"/>
        <v>MARY NOVOTNY</v>
      </c>
      <c r="E757" t="s">
        <v>94</v>
      </c>
      <c r="F757" t="s">
        <v>194</v>
      </c>
      <c r="G757" t="s">
        <v>195</v>
      </c>
      <c r="H757" t="s">
        <v>195</v>
      </c>
      <c r="I757" s="8">
        <v>21313588</v>
      </c>
      <c r="J757" t="s">
        <v>344</v>
      </c>
      <c r="K757" t="s">
        <v>171</v>
      </c>
      <c r="L757" t="str">
        <f t="shared" si="22"/>
        <v>WILLIAM GESKE</v>
      </c>
      <c r="M757" t="s">
        <v>1133</v>
      </c>
      <c r="N757" t="s">
        <v>57</v>
      </c>
      <c r="O757" s="1">
        <v>45658</v>
      </c>
      <c r="P757" s="1">
        <v>46235</v>
      </c>
      <c r="Q757" s="2">
        <v>18.2</v>
      </c>
      <c r="R757" t="s">
        <v>58</v>
      </c>
      <c r="S757" s="3">
        <v>0.15</v>
      </c>
      <c r="T757">
        <v>0</v>
      </c>
      <c r="U757" t="s">
        <v>247</v>
      </c>
      <c r="V757" t="s">
        <v>248</v>
      </c>
      <c r="W757">
        <v>0</v>
      </c>
      <c r="X757" s="2">
        <v>0</v>
      </c>
      <c r="Y757" s="2">
        <v>2.73</v>
      </c>
      <c r="Z757" s="2">
        <v>2.73</v>
      </c>
      <c r="AA757" s="2">
        <v>2.73</v>
      </c>
      <c r="AB757" s="2">
        <v>0</v>
      </c>
    </row>
    <row r="758" spans="1:28" x14ac:dyDescent="0.25">
      <c r="A758">
        <v>2025787183</v>
      </c>
      <c r="B758" t="s">
        <v>346</v>
      </c>
      <c r="C758" t="s">
        <v>347</v>
      </c>
      <c r="D758" t="str">
        <f t="shared" si="23"/>
        <v>DANNIELLE RUDOLPH</v>
      </c>
      <c r="E758" t="s">
        <v>94</v>
      </c>
      <c r="F758" t="s">
        <v>194</v>
      </c>
      <c r="G758" t="s">
        <v>195</v>
      </c>
      <c r="H758" t="s">
        <v>195</v>
      </c>
      <c r="I758" s="8">
        <v>21313588</v>
      </c>
      <c r="J758" t="s">
        <v>344</v>
      </c>
      <c r="K758" t="s">
        <v>171</v>
      </c>
      <c r="L758" t="str">
        <f t="shared" si="22"/>
        <v>WILLIAM GESKE</v>
      </c>
      <c r="M758" t="s">
        <v>1133</v>
      </c>
      <c r="N758" t="s">
        <v>57</v>
      </c>
      <c r="O758" s="1">
        <v>45627</v>
      </c>
      <c r="P758" s="1">
        <v>46235</v>
      </c>
      <c r="Q758" s="2">
        <v>29.2</v>
      </c>
      <c r="R758" t="s">
        <v>58</v>
      </c>
      <c r="S758" s="3">
        <v>0.15</v>
      </c>
      <c r="T758">
        <v>0</v>
      </c>
      <c r="U758" t="s">
        <v>247</v>
      </c>
      <c r="V758" t="s">
        <v>248</v>
      </c>
      <c r="W758">
        <v>0</v>
      </c>
      <c r="X758" s="2">
        <v>0</v>
      </c>
      <c r="Y758" s="2">
        <v>4.38</v>
      </c>
      <c r="Z758" s="2">
        <v>4.38</v>
      </c>
      <c r="AA758" s="2">
        <v>4.38</v>
      </c>
      <c r="AB758" s="2">
        <v>0</v>
      </c>
    </row>
    <row r="759" spans="1:28" x14ac:dyDescent="0.25">
      <c r="A759">
        <v>2026817012</v>
      </c>
      <c r="B759" t="s">
        <v>375</v>
      </c>
      <c r="C759" t="s">
        <v>376</v>
      </c>
      <c r="D759" t="str">
        <f t="shared" si="23"/>
        <v>JENNA BRINK</v>
      </c>
      <c r="E759" t="s">
        <v>94</v>
      </c>
      <c r="F759" t="s">
        <v>194</v>
      </c>
      <c r="G759" t="s">
        <v>195</v>
      </c>
      <c r="H759" t="s">
        <v>195</v>
      </c>
      <c r="I759" s="8">
        <v>21313588</v>
      </c>
      <c r="J759" t="s">
        <v>344</v>
      </c>
      <c r="K759" t="s">
        <v>171</v>
      </c>
      <c r="L759" t="str">
        <f t="shared" si="22"/>
        <v>WILLIAM GESKE</v>
      </c>
      <c r="M759" t="s">
        <v>1133</v>
      </c>
      <c r="N759" t="s">
        <v>57</v>
      </c>
      <c r="O759" s="1">
        <v>45689</v>
      </c>
      <c r="P759" s="1">
        <v>46235</v>
      </c>
      <c r="Q759" s="2">
        <v>9.1</v>
      </c>
      <c r="R759" t="s">
        <v>58</v>
      </c>
      <c r="S759" s="3">
        <v>0.15</v>
      </c>
      <c r="T759">
        <v>0</v>
      </c>
      <c r="U759" t="s">
        <v>247</v>
      </c>
      <c r="V759" t="s">
        <v>248</v>
      </c>
      <c r="W759">
        <v>0</v>
      </c>
      <c r="X759" s="2">
        <v>0</v>
      </c>
      <c r="Y759" s="2">
        <v>1.36</v>
      </c>
      <c r="Z759" s="2">
        <v>1.36</v>
      </c>
      <c r="AA759" s="2">
        <v>1.36</v>
      </c>
      <c r="AB759" s="2">
        <v>0</v>
      </c>
    </row>
    <row r="760" spans="1:28" x14ac:dyDescent="0.25">
      <c r="A760">
        <v>2032360821</v>
      </c>
      <c r="B760" t="s">
        <v>393</v>
      </c>
      <c r="C760" t="s">
        <v>394</v>
      </c>
      <c r="D760" t="str">
        <f t="shared" si="23"/>
        <v>ALLYSON CRAWFORD</v>
      </c>
      <c r="E760" t="s">
        <v>94</v>
      </c>
      <c r="F760" t="s">
        <v>194</v>
      </c>
      <c r="G760" t="s">
        <v>195</v>
      </c>
      <c r="H760" t="s">
        <v>195</v>
      </c>
      <c r="I760" s="8" t="s">
        <v>1090</v>
      </c>
      <c r="J760" t="s">
        <v>344</v>
      </c>
      <c r="K760" t="s">
        <v>171</v>
      </c>
      <c r="L760" t="str">
        <f t="shared" si="22"/>
        <v>WILLIAM GESKE</v>
      </c>
      <c r="M760" t="s">
        <v>1135</v>
      </c>
      <c r="N760" t="s">
        <v>57</v>
      </c>
      <c r="O760" s="1">
        <v>46023</v>
      </c>
      <c r="P760" s="1">
        <v>46235</v>
      </c>
      <c r="Q760" s="2">
        <v>19.41</v>
      </c>
      <c r="R760" t="s">
        <v>58</v>
      </c>
      <c r="S760" s="3">
        <v>0.7</v>
      </c>
      <c r="T760">
        <v>0</v>
      </c>
      <c r="U760" t="s">
        <v>60</v>
      </c>
      <c r="V760" t="s">
        <v>248</v>
      </c>
      <c r="W760">
        <v>0</v>
      </c>
      <c r="X760" s="2">
        <v>0</v>
      </c>
      <c r="Y760" s="2">
        <v>13.59</v>
      </c>
      <c r="Z760" s="2">
        <v>13.59</v>
      </c>
      <c r="AA760" s="2">
        <v>13.59</v>
      </c>
      <c r="AB760" s="2">
        <v>0</v>
      </c>
    </row>
    <row r="761" spans="1:28" x14ac:dyDescent="0.25">
      <c r="A761">
        <v>2032690442</v>
      </c>
      <c r="B761" t="s">
        <v>1060</v>
      </c>
      <c r="C761" t="s">
        <v>182</v>
      </c>
      <c r="D761" t="str">
        <f t="shared" si="23"/>
        <v>JACOB ROTHSTEIN</v>
      </c>
      <c r="E761" t="s">
        <v>94</v>
      </c>
      <c r="F761" t="s">
        <v>194</v>
      </c>
      <c r="G761" t="s">
        <v>195</v>
      </c>
      <c r="H761" t="s">
        <v>195</v>
      </c>
      <c r="I761" s="8" t="s">
        <v>1090</v>
      </c>
      <c r="J761" t="s">
        <v>344</v>
      </c>
      <c r="K761" t="s">
        <v>171</v>
      </c>
      <c r="L761" t="str">
        <f t="shared" si="22"/>
        <v>WILLIAM GESKE</v>
      </c>
      <c r="M761" t="s">
        <v>1135</v>
      </c>
      <c r="N761" t="s">
        <v>57</v>
      </c>
      <c r="O761" s="1">
        <v>46023</v>
      </c>
      <c r="P761" s="1">
        <v>46235</v>
      </c>
      <c r="Q761" s="2">
        <v>9.1</v>
      </c>
      <c r="R761" t="s">
        <v>58</v>
      </c>
      <c r="S761" s="3">
        <v>0.7</v>
      </c>
      <c r="T761">
        <v>0</v>
      </c>
      <c r="U761" t="s">
        <v>60</v>
      </c>
      <c r="V761" t="s">
        <v>248</v>
      </c>
      <c r="W761">
        <v>0</v>
      </c>
      <c r="X761" s="2">
        <v>0</v>
      </c>
      <c r="Y761" s="2">
        <v>6.37</v>
      </c>
      <c r="Z761" s="2">
        <v>6.37</v>
      </c>
      <c r="AA761" s="2">
        <v>6.37</v>
      </c>
      <c r="AB761" s="2">
        <v>0</v>
      </c>
    </row>
    <row r="762" spans="1:28" x14ac:dyDescent="0.25">
      <c r="A762">
        <v>2026817011</v>
      </c>
      <c r="B762" t="s">
        <v>375</v>
      </c>
      <c r="C762" t="s">
        <v>376</v>
      </c>
      <c r="D762" t="str">
        <f t="shared" si="23"/>
        <v>JENNA BRINK</v>
      </c>
      <c r="E762" t="s">
        <v>94</v>
      </c>
      <c r="F762" t="s">
        <v>133</v>
      </c>
      <c r="G762" t="s">
        <v>134</v>
      </c>
      <c r="H762" t="s">
        <v>134</v>
      </c>
      <c r="I762" s="8">
        <v>21313588</v>
      </c>
      <c r="J762" t="s">
        <v>344</v>
      </c>
      <c r="K762" t="s">
        <v>171</v>
      </c>
      <c r="L762" t="str">
        <f t="shared" si="22"/>
        <v>WILLIAM GESKE</v>
      </c>
      <c r="M762" t="s">
        <v>1133</v>
      </c>
      <c r="N762" t="s">
        <v>57</v>
      </c>
      <c r="O762" s="1">
        <v>45689</v>
      </c>
      <c r="P762" s="1">
        <v>46235</v>
      </c>
      <c r="Q762" s="2">
        <v>53.08</v>
      </c>
      <c r="R762" t="s">
        <v>58</v>
      </c>
      <c r="S762" s="3">
        <v>0.06</v>
      </c>
      <c r="T762">
        <v>0</v>
      </c>
      <c r="U762" t="s">
        <v>247</v>
      </c>
      <c r="V762" t="s">
        <v>248</v>
      </c>
      <c r="W762">
        <v>0</v>
      </c>
      <c r="X762" s="2">
        <v>0</v>
      </c>
      <c r="Y762" s="2">
        <v>3.18</v>
      </c>
      <c r="Z762" s="2">
        <v>3.18</v>
      </c>
      <c r="AA762" s="2">
        <v>3.18</v>
      </c>
      <c r="AB762" s="2">
        <v>0</v>
      </c>
    </row>
    <row r="763" spans="1:28" x14ac:dyDescent="0.25">
      <c r="A763">
        <v>2031845691</v>
      </c>
      <c r="B763" t="s">
        <v>947</v>
      </c>
      <c r="C763" t="s">
        <v>948</v>
      </c>
      <c r="D763" t="str">
        <f t="shared" si="23"/>
        <v>RUTH VAETH</v>
      </c>
      <c r="E763" t="s">
        <v>94</v>
      </c>
      <c r="F763" t="s">
        <v>133</v>
      </c>
      <c r="G763" t="s">
        <v>134</v>
      </c>
      <c r="H763" t="s">
        <v>134</v>
      </c>
      <c r="I763" s="8" t="s">
        <v>1090</v>
      </c>
      <c r="J763" t="s">
        <v>344</v>
      </c>
      <c r="K763" t="s">
        <v>171</v>
      </c>
      <c r="L763" t="str">
        <f t="shared" si="22"/>
        <v>WILLIAM GESKE</v>
      </c>
      <c r="M763" t="s">
        <v>1133</v>
      </c>
      <c r="N763" t="s">
        <v>57</v>
      </c>
      <c r="O763" s="1">
        <v>45958</v>
      </c>
      <c r="P763" s="1">
        <v>46231</v>
      </c>
      <c r="Q763" s="2">
        <v>71.760000000000005</v>
      </c>
      <c r="R763" t="s">
        <v>58</v>
      </c>
      <c r="S763" s="4">
        <v>0.375</v>
      </c>
      <c r="T763">
        <v>0</v>
      </c>
      <c r="U763" t="s">
        <v>60</v>
      </c>
      <c r="V763" t="s">
        <v>248</v>
      </c>
      <c r="W763">
        <v>0</v>
      </c>
      <c r="X763" s="2">
        <v>0</v>
      </c>
      <c r="Y763" s="2">
        <v>26.91</v>
      </c>
      <c r="Z763" s="2">
        <v>26.91</v>
      </c>
      <c r="AA763" s="2">
        <v>26.91</v>
      </c>
      <c r="AB763" s="2">
        <v>0</v>
      </c>
    </row>
    <row r="764" spans="1:28" x14ac:dyDescent="0.25">
      <c r="A764">
        <v>2033382127</v>
      </c>
      <c r="B764" t="s">
        <v>967</v>
      </c>
      <c r="C764" t="s">
        <v>773</v>
      </c>
      <c r="D764" t="str">
        <f t="shared" si="23"/>
        <v>ROSS LEONS</v>
      </c>
      <c r="E764" t="s">
        <v>94</v>
      </c>
      <c r="F764" t="s">
        <v>133</v>
      </c>
      <c r="G764" t="s">
        <v>134</v>
      </c>
      <c r="H764" t="s">
        <v>134</v>
      </c>
      <c r="I764" s="8" t="s">
        <v>1090</v>
      </c>
      <c r="J764" t="s">
        <v>344</v>
      </c>
      <c r="K764" t="s">
        <v>171</v>
      </c>
      <c r="L764" t="str">
        <f t="shared" si="22"/>
        <v>WILLIAM GESKE</v>
      </c>
      <c r="M764" t="s">
        <v>1134</v>
      </c>
      <c r="N764" t="s">
        <v>57</v>
      </c>
      <c r="O764" s="1">
        <v>46054</v>
      </c>
      <c r="P764" s="1">
        <v>46235</v>
      </c>
      <c r="Q764" s="2">
        <v>47.63</v>
      </c>
      <c r="R764" t="s">
        <v>58</v>
      </c>
      <c r="S764" s="4">
        <v>0.375</v>
      </c>
      <c r="T764">
        <v>0</v>
      </c>
      <c r="U764" t="s">
        <v>60</v>
      </c>
      <c r="V764" t="s">
        <v>248</v>
      </c>
      <c r="W764">
        <v>0</v>
      </c>
      <c r="X764" s="2">
        <v>0</v>
      </c>
      <c r="Y764" s="2">
        <v>17.86</v>
      </c>
      <c r="Z764" s="2">
        <v>0</v>
      </c>
      <c r="AA764" s="2">
        <v>0</v>
      </c>
      <c r="AB764" s="2">
        <v>0</v>
      </c>
    </row>
    <row r="765" spans="1:28" x14ac:dyDescent="0.25">
      <c r="A765">
        <v>2026753813</v>
      </c>
      <c r="B765" t="s">
        <v>914</v>
      </c>
      <c r="C765" t="s">
        <v>915</v>
      </c>
      <c r="D765" t="str">
        <f t="shared" si="23"/>
        <v>HEATHER SELLS</v>
      </c>
      <c r="E765" t="s">
        <v>626</v>
      </c>
      <c r="F765" t="s">
        <v>133</v>
      </c>
      <c r="G765" t="s">
        <v>134</v>
      </c>
      <c r="H765" t="s">
        <v>134</v>
      </c>
      <c r="I765" s="8">
        <v>18010408</v>
      </c>
      <c r="J765" t="s">
        <v>916</v>
      </c>
      <c r="K765" t="s">
        <v>171</v>
      </c>
      <c r="L765" t="str">
        <f t="shared" si="22"/>
        <v>WILLIAM SCHAEFFER</v>
      </c>
      <c r="M765" t="s">
        <v>1133</v>
      </c>
      <c r="N765" t="s">
        <v>57</v>
      </c>
      <c r="O765" s="1">
        <v>45689</v>
      </c>
      <c r="P765" s="1">
        <v>46235</v>
      </c>
      <c r="Q765" s="2">
        <v>229.61</v>
      </c>
      <c r="R765" t="s">
        <v>58</v>
      </c>
      <c r="S765" s="3">
        <v>0.06</v>
      </c>
      <c r="T765">
        <v>0</v>
      </c>
      <c r="U765" t="s">
        <v>247</v>
      </c>
      <c r="V765" t="s">
        <v>248</v>
      </c>
      <c r="W765">
        <v>0</v>
      </c>
      <c r="X765" s="2">
        <v>0</v>
      </c>
      <c r="Y765" s="2">
        <v>13.78</v>
      </c>
      <c r="Z765" s="2">
        <v>13.78</v>
      </c>
      <c r="AA765" s="2">
        <v>13.78</v>
      </c>
      <c r="AB765" s="2">
        <v>0</v>
      </c>
    </row>
  </sheetData>
  <sortState xmlns:xlrd2="http://schemas.microsoft.com/office/spreadsheetml/2017/richdata2" ref="A2:BA765">
    <sortCondition ref="L2:L7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50DA-2E98-4072-93A2-88C6AE7DE399}">
  <dimension ref="A1:AB85"/>
  <sheetViews>
    <sheetView topLeftCell="E1" workbookViewId="0">
      <selection activeCell="Z2" sqref="Z2:Z32"/>
    </sheetView>
  </sheetViews>
  <sheetFormatPr defaultRowHeight="15" x14ac:dyDescent="0.25"/>
  <cols>
    <col min="1" max="1" width="11" bestFit="1" customWidth="1"/>
    <col min="12" max="12" width="23.7109375" bestFit="1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2019154309</v>
      </c>
      <c r="B2" t="s">
        <v>253</v>
      </c>
      <c r="C2" t="s">
        <v>254</v>
      </c>
      <c r="D2" t="str">
        <f>CONCATENATE(C2," ",B2)</f>
        <v>SARAH CULBERT</v>
      </c>
      <c r="E2" t="s">
        <v>52</v>
      </c>
      <c r="F2" t="s">
        <v>53</v>
      </c>
      <c r="G2" t="s">
        <v>54</v>
      </c>
      <c r="H2" t="s">
        <v>54</v>
      </c>
      <c r="I2" s="8" t="s">
        <v>1071</v>
      </c>
      <c r="J2" t="s">
        <v>255</v>
      </c>
      <c r="K2" t="s">
        <v>256</v>
      </c>
      <c r="L2" t="str">
        <f>CONCATENATE(K2," ",J2)</f>
        <v>ANNE MARIE KOZACHECK</v>
      </c>
      <c r="M2" t="s">
        <v>257</v>
      </c>
      <c r="N2" s="1">
        <v>45108</v>
      </c>
      <c r="O2" s="1">
        <v>46202</v>
      </c>
      <c r="P2" s="1">
        <v>46204</v>
      </c>
      <c r="Q2" s="2">
        <v>-55.41</v>
      </c>
      <c r="R2" t="s">
        <v>58</v>
      </c>
      <c r="S2" s="4">
        <v>6.5000000000000002E-2</v>
      </c>
      <c r="T2">
        <v>-1</v>
      </c>
      <c r="U2" t="s">
        <v>247</v>
      </c>
      <c r="V2" t="s">
        <v>248</v>
      </c>
      <c r="W2">
        <v>0</v>
      </c>
      <c r="X2" s="2">
        <v>0</v>
      </c>
      <c r="Y2" s="2">
        <v>0</v>
      </c>
      <c r="Z2" s="2">
        <v>-3.6</v>
      </c>
      <c r="AA2" s="2">
        <v>-3.6</v>
      </c>
      <c r="AB2" s="2">
        <v>0</v>
      </c>
    </row>
    <row r="3" spans="1:28" x14ac:dyDescent="0.25">
      <c r="A3">
        <v>2026958695</v>
      </c>
      <c r="B3" t="s">
        <v>294</v>
      </c>
      <c r="C3" t="s">
        <v>67</v>
      </c>
      <c r="D3" t="str">
        <f t="shared" ref="D3:D32" si="0">CONCATENATE(C3," ",B3)</f>
        <v>JOSEPH KABEL</v>
      </c>
      <c r="E3" t="s">
        <v>52</v>
      </c>
      <c r="F3" t="s">
        <v>53</v>
      </c>
      <c r="G3" t="s">
        <v>54</v>
      </c>
      <c r="H3" t="s">
        <v>1078</v>
      </c>
      <c r="I3" s="8" t="s">
        <v>1072</v>
      </c>
      <c r="J3" t="s">
        <v>295</v>
      </c>
      <c r="K3" t="s">
        <v>296</v>
      </c>
      <c r="L3" t="str">
        <f t="shared" ref="L3:L32" si="1">CONCATENATE(K3," ",J3)</f>
        <v>TIMOTHY POWERS</v>
      </c>
      <c r="M3" t="s">
        <v>257</v>
      </c>
      <c r="N3" s="1">
        <v>45702</v>
      </c>
      <c r="O3" s="1">
        <v>46202</v>
      </c>
      <c r="P3" s="1">
        <v>46217</v>
      </c>
      <c r="Q3" s="2">
        <v>-52.69</v>
      </c>
      <c r="R3" t="s">
        <v>58</v>
      </c>
      <c r="S3" s="4">
        <v>2.5000000000000001E-2</v>
      </c>
      <c r="T3">
        <v>-1</v>
      </c>
      <c r="U3" t="s">
        <v>247</v>
      </c>
      <c r="V3" t="s">
        <v>248</v>
      </c>
      <c r="W3">
        <v>0</v>
      </c>
      <c r="X3" s="2">
        <v>0</v>
      </c>
      <c r="Y3" s="2">
        <v>0</v>
      </c>
      <c r="Z3" s="2">
        <v>-1.32</v>
      </c>
      <c r="AA3" s="2">
        <v>-1.32</v>
      </c>
      <c r="AB3" s="2">
        <v>0</v>
      </c>
    </row>
    <row r="4" spans="1:28" x14ac:dyDescent="0.25">
      <c r="A4">
        <v>2018732056</v>
      </c>
      <c r="B4" t="s">
        <v>339</v>
      </c>
      <c r="C4" t="s">
        <v>138</v>
      </c>
      <c r="D4" t="str">
        <f t="shared" si="0"/>
        <v>ALEXIS MARSELLA</v>
      </c>
      <c r="F4" t="s">
        <v>69</v>
      </c>
      <c r="G4" t="s">
        <v>338</v>
      </c>
      <c r="H4" t="s">
        <v>1079</v>
      </c>
      <c r="I4" s="8">
        <v>8307933</v>
      </c>
      <c r="J4" t="s">
        <v>210</v>
      </c>
      <c r="K4" t="s">
        <v>211</v>
      </c>
      <c r="L4" t="str">
        <f t="shared" si="1"/>
        <v>GREGORY TEIPEL</v>
      </c>
      <c r="M4" t="s">
        <v>257</v>
      </c>
      <c r="N4" s="1">
        <v>45081</v>
      </c>
      <c r="O4" s="1">
        <v>46202</v>
      </c>
      <c r="P4" s="1">
        <v>46207</v>
      </c>
      <c r="Q4" s="2">
        <v>-5.51</v>
      </c>
      <c r="R4" t="s">
        <v>58</v>
      </c>
      <c r="S4" s="3">
        <v>0.1</v>
      </c>
      <c r="T4">
        <v>-1</v>
      </c>
      <c r="U4" t="s">
        <v>247</v>
      </c>
      <c r="V4" t="s">
        <v>248</v>
      </c>
      <c r="W4">
        <v>0</v>
      </c>
      <c r="X4" s="2">
        <v>0</v>
      </c>
      <c r="Y4" s="2">
        <v>0</v>
      </c>
      <c r="Z4" s="2">
        <v>-0.55000000000000004</v>
      </c>
      <c r="AA4" s="2">
        <v>-0.55000000000000004</v>
      </c>
      <c r="AB4" s="2">
        <v>0</v>
      </c>
    </row>
    <row r="5" spans="1:28" x14ac:dyDescent="0.25">
      <c r="A5">
        <v>2028958358</v>
      </c>
      <c r="B5" t="s">
        <v>380</v>
      </c>
      <c r="C5" t="s">
        <v>381</v>
      </c>
      <c r="D5" t="str">
        <f t="shared" si="0"/>
        <v>DAVID WRING</v>
      </c>
      <c r="E5" t="s">
        <v>89</v>
      </c>
      <c r="F5" t="s">
        <v>69</v>
      </c>
      <c r="G5" t="s">
        <v>79</v>
      </c>
      <c r="H5" t="s">
        <v>1080</v>
      </c>
      <c r="I5" s="8">
        <v>8977234</v>
      </c>
      <c r="J5" t="s">
        <v>102</v>
      </c>
      <c r="K5" t="s">
        <v>103</v>
      </c>
      <c r="L5" t="str">
        <f t="shared" si="1"/>
        <v>RYAN CALTAGIRONE</v>
      </c>
      <c r="M5" t="s">
        <v>257</v>
      </c>
      <c r="N5" s="1">
        <v>45793</v>
      </c>
      <c r="O5" s="1">
        <v>46202</v>
      </c>
      <c r="P5" s="1">
        <v>46219</v>
      </c>
      <c r="Q5" s="2">
        <v>-35.67</v>
      </c>
      <c r="R5" t="s">
        <v>58</v>
      </c>
      <c r="S5" s="3">
        <v>0.1</v>
      </c>
      <c r="T5">
        <v>-1</v>
      </c>
      <c r="U5" t="s">
        <v>247</v>
      </c>
      <c r="V5" t="s">
        <v>248</v>
      </c>
      <c r="W5">
        <v>0</v>
      </c>
      <c r="X5" s="2">
        <v>0</v>
      </c>
      <c r="Y5" s="2">
        <v>0</v>
      </c>
      <c r="Z5" s="2">
        <v>-3.57</v>
      </c>
      <c r="AA5" s="2">
        <v>-3.57</v>
      </c>
      <c r="AB5" s="2">
        <v>0</v>
      </c>
    </row>
    <row r="6" spans="1:28" x14ac:dyDescent="0.25">
      <c r="A6">
        <v>2030366107</v>
      </c>
      <c r="B6" t="s">
        <v>385</v>
      </c>
      <c r="C6" t="s">
        <v>386</v>
      </c>
      <c r="D6" t="str">
        <f t="shared" si="0"/>
        <v>LOVETT DIXON</v>
      </c>
      <c r="E6" t="s">
        <v>124</v>
      </c>
      <c r="F6" t="s">
        <v>69</v>
      </c>
      <c r="G6" t="s">
        <v>79</v>
      </c>
      <c r="H6" t="s">
        <v>1080</v>
      </c>
      <c r="I6" s="8">
        <v>8307933</v>
      </c>
      <c r="J6" t="s">
        <v>210</v>
      </c>
      <c r="K6" t="s">
        <v>211</v>
      </c>
      <c r="L6" t="str">
        <f t="shared" si="1"/>
        <v>GREGORY TEIPEL</v>
      </c>
      <c r="M6" t="s">
        <v>257</v>
      </c>
      <c r="N6" s="1">
        <v>45878</v>
      </c>
      <c r="O6" s="1">
        <v>46202</v>
      </c>
      <c r="P6" s="1">
        <v>46212</v>
      </c>
      <c r="Q6" s="2">
        <v>-27.73</v>
      </c>
      <c r="R6" t="s">
        <v>58</v>
      </c>
      <c r="S6" s="3">
        <v>0.9</v>
      </c>
      <c r="T6">
        <v>-1</v>
      </c>
      <c r="U6" t="s">
        <v>60</v>
      </c>
      <c r="V6" t="s">
        <v>248</v>
      </c>
      <c r="W6">
        <v>0</v>
      </c>
      <c r="X6" s="2">
        <v>0</v>
      </c>
      <c r="Y6" s="2">
        <v>0</v>
      </c>
      <c r="Z6" s="2">
        <v>-24.96</v>
      </c>
      <c r="AA6" s="2">
        <v>-24.96</v>
      </c>
      <c r="AB6" s="2">
        <v>0</v>
      </c>
    </row>
    <row r="7" spans="1:28" x14ac:dyDescent="0.25">
      <c r="A7">
        <v>2030450006</v>
      </c>
      <c r="B7" t="s">
        <v>387</v>
      </c>
      <c r="C7" t="s">
        <v>388</v>
      </c>
      <c r="D7" t="str">
        <f t="shared" si="0"/>
        <v>URSULA EDELENBOS</v>
      </c>
      <c r="E7" t="s">
        <v>146</v>
      </c>
      <c r="F7" t="s">
        <v>69</v>
      </c>
      <c r="G7" t="s">
        <v>79</v>
      </c>
      <c r="H7" t="s">
        <v>1080</v>
      </c>
      <c r="I7" s="8" t="s">
        <v>1073</v>
      </c>
      <c r="J7" t="s">
        <v>389</v>
      </c>
      <c r="K7" t="s">
        <v>390</v>
      </c>
      <c r="L7" t="str">
        <f t="shared" si="1"/>
        <v>Ronald Max</v>
      </c>
      <c r="M7" t="s">
        <v>257</v>
      </c>
      <c r="N7" s="1">
        <v>45888</v>
      </c>
      <c r="O7" s="1">
        <v>46202</v>
      </c>
      <c r="P7" s="1">
        <v>46222</v>
      </c>
      <c r="Q7" s="2">
        <v>-32.79</v>
      </c>
      <c r="R7" t="s">
        <v>58</v>
      </c>
      <c r="S7" s="3">
        <v>0.9</v>
      </c>
      <c r="T7">
        <v>-1</v>
      </c>
      <c r="U7" t="s">
        <v>60</v>
      </c>
      <c r="V7" t="s">
        <v>248</v>
      </c>
      <c r="W7">
        <v>0</v>
      </c>
      <c r="X7" s="2">
        <v>0</v>
      </c>
      <c r="Y7" s="2">
        <v>0</v>
      </c>
      <c r="Z7" s="2">
        <v>-29.51</v>
      </c>
      <c r="AA7" s="2">
        <v>-29.51</v>
      </c>
      <c r="AB7" s="2">
        <v>0</v>
      </c>
    </row>
    <row r="8" spans="1:28" x14ac:dyDescent="0.25">
      <c r="A8">
        <v>2033010311</v>
      </c>
      <c r="B8" t="s">
        <v>430</v>
      </c>
      <c r="C8" t="s">
        <v>431</v>
      </c>
      <c r="D8" t="str">
        <f t="shared" si="0"/>
        <v>IVANA KORALIJA</v>
      </c>
      <c r="E8" t="s">
        <v>89</v>
      </c>
      <c r="F8" t="s">
        <v>69</v>
      </c>
      <c r="G8" t="s">
        <v>70</v>
      </c>
      <c r="H8" t="s">
        <v>1079</v>
      </c>
      <c r="I8" s="8" t="s">
        <v>1074</v>
      </c>
      <c r="J8" t="s">
        <v>113</v>
      </c>
      <c r="K8" t="s">
        <v>114</v>
      </c>
      <c r="L8" t="str">
        <f t="shared" si="1"/>
        <v>Richard Yale</v>
      </c>
      <c r="M8" t="s">
        <v>257</v>
      </c>
      <c r="N8" s="1">
        <v>46032</v>
      </c>
      <c r="O8" s="1">
        <v>46202</v>
      </c>
      <c r="P8" s="1">
        <v>46213</v>
      </c>
      <c r="Q8" s="2">
        <v>-9.2899999999999991</v>
      </c>
      <c r="R8" t="s">
        <v>58</v>
      </c>
      <c r="S8" s="3">
        <v>0.75</v>
      </c>
      <c r="T8">
        <v>-1</v>
      </c>
      <c r="U8" t="s">
        <v>60</v>
      </c>
      <c r="V8" t="s">
        <v>248</v>
      </c>
      <c r="W8">
        <v>0</v>
      </c>
      <c r="X8" s="2">
        <v>0</v>
      </c>
      <c r="Y8" s="2">
        <v>0</v>
      </c>
      <c r="Z8" s="2">
        <v>-6.97</v>
      </c>
      <c r="AA8" s="2">
        <v>-6.97</v>
      </c>
      <c r="AB8" s="2">
        <v>0</v>
      </c>
    </row>
    <row r="9" spans="1:28" x14ac:dyDescent="0.25">
      <c r="A9">
        <v>2035095474</v>
      </c>
      <c r="B9" t="s">
        <v>571</v>
      </c>
      <c r="C9" t="s">
        <v>572</v>
      </c>
      <c r="D9" t="str">
        <f t="shared" si="0"/>
        <v>DIAH ELS</v>
      </c>
      <c r="E9" t="s">
        <v>94</v>
      </c>
      <c r="F9" t="s">
        <v>69</v>
      </c>
      <c r="G9" t="s">
        <v>101</v>
      </c>
      <c r="H9" t="s">
        <v>1081</v>
      </c>
      <c r="I9" s="8" t="s">
        <v>1075</v>
      </c>
      <c r="J9" t="s">
        <v>129</v>
      </c>
      <c r="K9" t="s">
        <v>130</v>
      </c>
      <c r="L9" t="str">
        <f t="shared" si="1"/>
        <v>Joel Lee</v>
      </c>
      <c r="M9" t="s">
        <v>257</v>
      </c>
      <c r="N9" s="1">
        <v>46143</v>
      </c>
      <c r="O9" s="1">
        <v>46202</v>
      </c>
      <c r="P9" s="1">
        <v>46204</v>
      </c>
      <c r="Q9" s="2">
        <v>-13.11</v>
      </c>
      <c r="R9" t="s">
        <v>58</v>
      </c>
      <c r="S9" s="3">
        <v>0.65</v>
      </c>
      <c r="T9">
        <v>-1</v>
      </c>
      <c r="U9" t="s">
        <v>60</v>
      </c>
      <c r="V9" t="s">
        <v>248</v>
      </c>
      <c r="W9">
        <v>0</v>
      </c>
      <c r="X9" s="2">
        <v>0</v>
      </c>
      <c r="Y9" s="2">
        <v>0</v>
      </c>
      <c r="Z9" s="2">
        <v>-8.52</v>
      </c>
      <c r="AA9" s="2">
        <v>-8.52</v>
      </c>
      <c r="AB9" s="2">
        <v>0</v>
      </c>
    </row>
    <row r="10" spans="1:28" x14ac:dyDescent="0.25">
      <c r="A10">
        <v>2035831646</v>
      </c>
      <c r="B10" t="s">
        <v>578</v>
      </c>
      <c r="C10" t="s">
        <v>579</v>
      </c>
      <c r="D10" t="str">
        <f t="shared" si="0"/>
        <v>KIMBERLEY BROOME</v>
      </c>
      <c r="E10" t="s">
        <v>332</v>
      </c>
      <c r="F10" t="s">
        <v>69</v>
      </c>
      <c r="G10" t="s">
        <v>338</v>
      </c>
      <c r="H10" t="s">
        <v>1079</v>
      </c>
      <c r="I10" s="8" t="s">
        <v>1075</v>
      </c>
      <c r="J10" t="s">
        <v>129</v>
      </c>
      <c r="K10" t="s">
        <v>130</v>
      </c>
      <c r="L10" t="str">
        <f t="shared" si="1"/>
        <v>Joel Lee</v>
      </c>
      <c r="M10" t="s">
        <v>257</v>
      </c>
      <c r="N10" s="1">
        <v>46177</v>
      </c>
      <c r="O10" s="1">
        <v>46202</v>
      </c>
      <c r="P10" s="1">
        <v>46207</v>
      </c>
      <c r="Q10" s="2">
        <v>-24.36</v>
      </c>
      <c r="R10" t="s">
        <v>58</v>
      </c>
      <c r="S10" s="3">
        <v>0.75</v>
      </c>
      <c r="T10">
        <v>-1</v>
      </c>
      <c r="U10" t="s">
        <v>60</v>
      </c>
      <c r="V10" t="s">
        <v>248</v>
      </c>
      <c r="W10">
        <v>0</v>
      </c>
      <c r="X10" s="2">
        <v>0</v>
      </c>
      <c r="Y10" s="2">
        <v>0</v>
      </c>
      <c r="Z10" s="2">
        <v>-18.27</v>
      </c>
      <c r="AA10" s="2">
        <v>-18.27</v>
      </c>
      <c r="AB10" s="2">
        <v>0</v>
      </c>
    </row>
    <row r="11" spans="1:28" x14ac:dyDescent="0.25">
      <c r="A11">
        <v>2033612293</v>
      </c>
      <c r="B11" t="s">
        <v>645</v>
      </c>
      <c r="C11" t="s">
        <v>646</v>
      </c>
      <c r="D11" t="str">
        <f t="shared" si="0"/>
        <v>DULCE RAMOS</v>
      </c>
      <c r="E11" t="s">
        <v>89</v>
      </c>
      <c r="F11" t="s">
        <v>149</v>
      </c>
      <c r="G11" t="s">
        <v>150</v>
      </c>
      <c r="H11" t="s">
        <v>150</v>
      </c>
      <c r="I11" s="8" t="s">
        <v>1076</v>
      </c>
      <c r="J11" t="s">
        <v>615</v>
      </c>
      <c r="K11" t="s">
        <v>616</v>
      </c>
      <c r="L11" t="str">
        <f t="shared" si="1"/>
        <v>RICARDO SANTOS</v>
      </c>
      <c r="M11" t="s">
        <v>257</v>
      </c>
      <c r="N11" s="1">
        <v>46065</v>
      </c>
      <c r="O11" s="1">
        <v>46202</v>
      </c>
      <c r="P11" s="1">
        <v>46215</v>
      </c>
      <c r="Q11" s="2">
        <v>-8</v>
      </c>
      <c r="R11" t="s">
        <v>58</v>
      </c>
      <c r="S11" s="3">
        <v>0.38</v>
      </c>
      <c r="T11">
        <v>-1</v>
      </c>
      <c r="U11" t="s">
        <v>60</v>
      </c>
      <c r="V11" t="s">
        <v>248</v>
      </c>
      <c r="W11">
        <v>0</v>
      </c>
      <c r="X11" s="2">
        <v>0</v>
      </c>
      <c r="Y11" s="2">
        <v>0</v>
      </c>
      <c r="Z11" s="2">
        <v>-3.04</v>
      </c>
      <c r="AA11" s="2">
        <v>-3.04</v>
      </c>
      <c r="AB11" s="2">
        <v>0</v>
      </c>
    </row>
    <row r="12" spans="1:28" x14ac:dyDescent="0.25">
      <c r="A12">
        <v>2033915513</v>
      </c>
      <c r="B12" t="s">
        <v>830</v>
      </c>
      <c r="C12" t="s">
        <v>431</v>
      </c>
      <c r="D12" t="str">
        <f t="shared" si="0"/>
        <v>IVANA KORAIJA</v>
      </c>
      <c r="E12" t="s">
        <v>89</v>
      </c>
      <c r="F12" t="s">
        <v>194</v>
      </c>
      <c r="G12" t="s">
        <v>195</v>
      </c>
      <c r="H12" t="s">
        <v>195</v>
      </c>
      <c r="I12" s="8" t="s">
        <v>1074</v>
      </c>
      <c r="J12" t="s">
        <v>113</v>
      </c>
      <c r="K12" t="s">
        <v>114</v>
      </c>
      <c r="L12" t="str">
        <f t="shared" si="1"/>
        <v>Richard Yale</v>
      </c>
      <c r="M12" t="s">
        <v>257</v>
      </c>
      <c r="N12" s="1">
        <v>46082</v>
      </c>
      <c r="O12" s="1">
        <v>46202</v>
      </c>
      <c r="P12" s="1">
        <v>46204</v>
      </c>
      <c r="Q12" s="2">
        <v>-22.38</v>
      </c>
      <c r="R12" t="s">
        <v>58</v>
      </c>
      <c r="S12" s="3">
        <v>0.7</v>
      </c>
      <c r="T12">
        <v>-1</v>
      </c>
      <c r="U12" t="s">
        <v>60</v>
      </c>
      <c r="V12" t="s">
        <v>248</v>
      </c>
      <c r="W12">
        <v>0</v>
      </c>
      <c r="X12" s="2">
        <v>0</v>
      </c>
      <c r="Y12" s="2">
        <v>0</v>
      </c>
      <c r="Z12" s="2">
        <v>-15.67</v>
      </c>
      <c r="AA12" s="2">
        <v>-15.67</v>
      </c>
      <c r="AB12" s="2">
        <v>0</v>
      </c>
    </row>
    <row r="13" spans="1:28" x14ac:dyDescent="0.25">
      <c r="A13">
        <v>2035007569</v>
      </c>
      <c r="B13" t="s">
        <v>835</v>
      </c>
      <c r="C13" t="s">
        <v>836</v>
      </c>
      <c r="D13" t="str">
        <f t="shared" si="0"/>
        <v>VANITA SADDLER</v>
      </c>
      <c r="E13" t="s">
        <v>94</v>
      </c>
      <c r="F13" t="s">
        <v>194</v>
      </c>
      <c r="G13" t="s">
        <v>203</v>
      </c>
      <c r="H13" t="s">
        <v>881</v>
      </c>
      <c r="I13" s="8">
        <v>21581140</v>
      </c>
      <c r="J13" t="s">
        <v>837</v>
      </c>
      <c r="K13" t="s">
        <v>838</v>
      </c>
      <c r="L13" t="str">
        <f t="shared" si="1"/>
        <v>Vanita Saddler</v>
      </c>
      <c r="M13" t="s">
        <v>257</v>
      </c>
      <c r="N13" s="1">
        <v>46131</v>
      </c>
      <c r="O13" s="1">
        <v>46202</v>
      </c>
      <c r="P13" s="1">
        <v>46222</v>
      </c>
      <c r="Q13" s="2">
        <v>-16.07</v>
      </c>
      <c r="R13" t="s">
        <v>58</v>
      </c>
      <c r="S13" s="3">
        <v>0.7</v>
      </c>
      <c r="T13">
        <v>-1</v>
      </c>
      <c r="U13" t="s">
        <v>60</v>
      </c>
      <c r="V13" t="s">
        <v>248</v>
      </c>
      <c r="W13">
        <v>0</v>
      </c>
      <c r="X13" s="2">
        <v>0</v>
      </c>
      <c r="Y13" s="2">
        <v>0</v>
      </c>
      <c r="Z13" s="2">
        <v>-11.25</v>
      </c>
      <c r="AA13" s="2">
        <v>-11.25</v>
      </c>
      <c r="AB13" s="2">
        <v>0</v>
      </c>
    </row>
    <row r="14" spans="1:28" x14ac:dyDescent="0.25">
      <c r="A14">
        <v>2035095473</v>
      </c>
      <c r="B14" t="s">
        <v>571</v>
      </c>
      <c r="C14" t="s">
        <v>572</v>
      </c>
      <c r="D14" t="str">
        <f t="shared" si="0"/>
        <v>DIAH ELS</v>
      </c>
      <c r="E14" t="s">
        <v>94</v>
      </c>
      <c r="F14" t="s">
        <v>194</v>
      </c>
      <c r="G14" t="s">
        <v>195</v>
      </c>
      <c r="H14" t="s">
        <v>195</v>
      </c>
      <c r="I14" s="8" t="s">
        <v>1075</v>
      </c>
      <c r="J14" t="s">
        <v>129</v>
      </c>
      <c r="K14" t="s">
        <v>130</v>
      </c>
      <c r="L14" t="str">
        <f t="shared" si="1"/>
        <v>Joel Lee</v>
      </c>
      <c r="M14" t="s">
        <v>257</v>
      </c>
      <c r="N14" s="1">
        <v>46143</v>
      </c>
      <c r="O14" s="1">
        <v>46202</v>
      </c>
      <c r="P14" s="1">
        <v>46204</v>
      </c>
      <c r="Q14" s="2">
        <v>-2.2599999999999998</v>
      </c>
      <c r="R14" t="s">
        <v>58</v>
      </c>
      <c r="S14" s="3">
        <v>0.7</v>
      </c>
      <c r="T14">
        <v>-1</v>
      </c>
      <c r="U14" t="s">
        <v>60</v>
      </c>
      <c r="V14" t="s">
        <v>248</v>
      </c>
      <c r="W14">
        <v>0</v>
      </c>
      <c r="X14" s="2">
        <v>0</v>
      </c>
      <c r="Y14" s="2">
        <v>0</v>
      </c>
      <c r="Z14" s="2">
        <v>-1.58</v>
      </c>
      <c r="AA14" s="2">
        <v>-1.58</v>
      </c>
      <c r="AB14" s="2">
        <v>0</v>
      </c>
    </row>
    <row r="15" spans="1:28" x14ac:dyDescent="0.25">
      <c r="A15">
        <v>2035831645</v>
      </c>
      <c r="B15" t="s">
        <v>578</v>
      </c>
      <c r="C15" t="s">
        <v>579</v>
      </c>
      <c r="D15" t="str">
        <f t="shared" si="0"/>
        <v>KIMBERLEY BROOME</v>
      </c>
      <c r="E15" t="s">
        <v>332</v>
      </c>
      <c r="F15" t="s">
        <v>194</v>
      </c>
      <c r="G15" t="s">
        <v>195</v>
      </c>
      <c r="H15" t="s">
        <v>195</v>
      </c>
      <c r="I15" s="8" t="s">
        <v>1075</v>
      </c>
      <c r="J15" t="s">
        <v>129</v>
      </c>
      <c r="K15" t="s">
        <v>130</v>
      </c>
      <c r="L15" t="str">
        <f t="shared" si="1"/>
        <v>Joel Lee</v>
      </c>
      <c r="M15" t="s">
        <v>257</v>
      </c>
      <c r="N15" s="1">
        <v>46177</v>
      </c>
      <c r="O15" s="1">
        <v>46202</v>
      </c>
      <c r="P15" s="1">
        <v>46207</v>
      </c>
      <c r="Q15" s="2">
        <v>-14.02</v>
      </c>
      <c r="R15" t="s">
        <v>58</v>
      </c>
      <c r="S15" s="3">
        <v>0.7</v>
      </c>
      <c r="T15">
        <v>-1</v>
      </c>
      <c r="U15" t="s">
        <v>60</v>
      </c>
      <c r="V15" t="s">
        <v>248</v>
      </c>
      <c r="W15">
        <v>0</v>
      </c>
      <c r="X15" s="2">
        <v>0</v>
      </c>
      <c r="Y15" s="2">
        <v>0</v>
      </c>
      <c r="Z15" s="2">
        <v>-9.81</v>
      </c>
      <c r="AA15" s="2">
        <v>-9.81</v>
      </c>
      <c r="AB15" s="2">
        <v>0</v>
      </c>
    </row>
    <row r="16" spans="1:28" x14ac:dyDescent="0.25">
      <c r="A16">
        <v>2031343658</v>
      </c>
      <c r="B16" t="s">
        <v>884</v>
      </c>
      <c r="C16" t="s">
        <v>893</v>
      </c>
      <c r="D16" t="str">
        <f t="shared" si="0"/>
        <v>GERALD METUIWE</v>
      </c>
      <c r="E16" t="s">
        <v>124</v>
      </c>
      <c r="F16" t="s">
        <v>133</v>
      </c>
      <c r="G16" t="s">
        <v>134</v>
      </c>
      <c r="H16" t="s">
        <v>134</v>
      </c>
      <c r="I16" s="8">
        <v>21435997</v>
      </c>
      <c r="J16" t="s">
        <v>229</v>
      </c>
      <c r="K16" t="s">
        <v>230</v>
      </c>
      <c r="L16" t="str">
        <f t="shared" si="1"/>
        <v>Christopher Brousseau</v>
      </c>
      <c r="M16" t="s">
        <v>257</v>
      </c>
      <c r="N16" s="1">
        <v>45931</v>
      </c>
      <c r="O16" s="1">
        <v>46202</v>
      </c>
      <c r="P16" s="1">
        <v>46235</v>
      </c>
      <c r="Q16" s="2">
        <v>-9.24</v>
      </c>
      <c r="R16" t="s">
        <v>58</v>
      </c>
      <c r="S16" s="4">
        <v>0.375</v>
      </c>
      <c r="T16">
        <v>-1</v>
      </c>
      <c r="U16" t="s">
        <v>60</v>
      </c>
      <c r="V16" t="s">
        <v>248</v>
      </c>
      <c r="W16">
        <v>0</v>
      </c>
      <c r="X16" s="2">
        <v>0</v>
      </c>
      <c r="Y16" s="2">
        <v>0</v>
      </c>
      <c r="Z16" s="2">
        <v>-3.46</v>
      </c>
      <c r="AA16" s="2">
        <v>-3.46</v>
      </c>
      <c r="AB16" s="2">
        <v>0</v>
      </c>
    </row>
    <row r="17" spans="1:28" x14ac:dyDescent="0.25">
      <c r="A17">
        <v>2033010308</v>
      </c>
      <c r="B17" t="s">
        <v>430</v>
      </c>
      <c r="C17" t="s">
        <v>431</v>
      </c>
      <c r="D17" t="str">
        <f t="shared" si="0"/>
        <v>IVANA KORALIJA</v>
      </c>
      <c r="E17" t="s">
        <v>89</v>
      </c>
      <c r="F17" t="s">
        <v>133</v>
      </c>
      <c r="G17" t="s">
        <v>134</v>
      </c>
      <c r="H17" t="s">
        <v>134</v>
      </c>
      <c r="I17" s="8" t="s">
        <v>1074</v>
      </c>
      <c r="J17" t="s">
        <v>113</v>
      </c>
      <c r="K17" t="s">
        <v>114</v>
      </c>
      <c r="L17" t="str">
        <f t="shared" si="1"/>
        <v>Richard Yale</v>
      </c>
      <c r="M17" t="s">
        <v>257</v>
      </c>
      <c r="N17" s="1">
        <v>46032</v>
      </c>
      <c r="O17" s="1">
        <v>46202</v>
      </c>
      <c r="P17" s="1">
        <v>46213</v>
      </c>
      <c r="Q17" s="2">
        <v>-42.01</v>
      </c>
      <c r="R17" t="s">
        <v>58</v>
      </c>
      <c r="S17" s="4">
        <v>0.375</v>
      </c>
      <c r="T17">
        <v>-1</v>
      </c>
      <c r="U17" t="s">
        <v>60</v>
      </c>
      <c r="V17" t="s">
        <v>248</v>
      </c>
      <c r="W17">
        <v>0</v>
      </c>
      <c r="X17" s="2">
        <v>0</v>
      </c>
      <c r="Y17" s="2">
        <v>0</v>
      </c>
      <c r="Z17" s="2">
        <v>-15.75</v>
      </c>
      <c r="AA17" s="2">
        <v>-15.75</v>
      </c>
      <c r="AB17" s="2">
        <v>0</v>
      </c>
    </row>
    <row r="18" spans="1:28" x14ac:dyDescent="0.25">
      <c r="A18">
        <v>2033612292</v>
      </c>
      <c r="B18" t="s">
        <v>645</v>
      </c>
      <c r="C18" t="s">
        <v>646</v>
      </c>
      <c r="D18" t="str">
        <f t="shared" si="0"/>
        <v>DULCE RAMOS</v>
      </c>
      <c r="E18" t="s">
        <v>89</v>
      </c>
      <c r="F18" t="s">
        <v>188</v>
      </c>
      <c r="G18" t="s">
        <v>190</v>
      </c>
      <c r="H18" t="s">
        <v>190</v>
      </c>
      <c r="I18" s="8" t="s">
        <v>1076</v>
      </c>
      <c r="J18" t="s">
        <v>615</v>
      </c>
      <c r="K18" t="s">
        <v>616</v>
      </c>
      <c r="L18" t="str">
        <f t="shared" si="1"/>
        <v>RICARDO SANTOS</v>
      </c>
      <c r="M18" t="s">
        <v>257</v>
      </c>
      <c r="N18" s="1">
        <v>46065</v>
      </c>
      <c r="O18" s="1">
        <v>46202</v>
      </c>
      <c r="P18" s="1">
        <v>46215</v>
      </c>
      <c r="Q18" s="2">
        <v>-51.42</v>
      </c>
      <c r="R18" t="s">
        <v>58</v>
      </c>
      <c r="S18" s="3">
        <v>0.38</v>
      </c>
      <c r="T18">
        <v>-1</v>
      </c>
      <c r="U18" t="s">
        <v>60</v>
      </c>
      <c r="V18" t="s">
        <v>248</v>
      </c>
      <c r="W18">
        <v>0</v>
      </c>
      <c r="X18" s="2">
        <v>0</v>
      </c>
      <c r="Y18" s="2">
        <v>0</v>
      </c>
      <c r="Z18" s="2">
        <v>-19.54</v>
      </c>
      <c r="AA18" s="2">
        <v>-19.54</v>
      </c>
      <c r="AB18" s="2">
        <v>0</v>
      </c>
    </row>
    <row r="19" spans="1:28" x14ac:dyDescent="0.25">
      <c r="A19">
        <v>2035095472</v>
      </c>
      <c r="B19" t="s">
        <v>571</v>
      </c>
      <c r="C19" t="s">
        <v>572</v>
      </c>
      <c r="D19" t="str">
        <f t="shared" si="0"/>
        <v>DIAH ELS</v>
      </c>
      <c r="E19" t="s">
        <v>94</v>
      </c>
      <c r="F19" t="s">
        <v>188</v>
      </c>
      <c r="G19" t="s">
        <v>189</v>
      </c>
      <c r="H19" t="s">
        <v>189</v>
      </c>
      <c r="I19" s="8" t="s">
        <v>1075</v>
      </c>
      <c r="J19" t="s">
        <v>129</v>
      </c>
      <c r="K19" t="s">
        <v>130</v>
      </c>
      <c r="L19" t="str">
        <f t="shared" si="1"/>
        <v>Joel Lee</v>
      </c>
      <c r="M19" t="s">
        <v>257</v>
      </c>
      <c r="N19" s="1">
        <v>46143</v>
      </c>
      <c r="O19" s="1">
        <v>46202</v>
      </c>
      <c r="P19" s="1">
        <v>46204</v>
      </c>
      <c r="Q19" s="2">
        <v>-8.73</v>
      </c>
      <c r="R19" t="s">
        <v>58</v>
      </c>
      <c r="S19" s="3">
        <v>0.38</v>
      </c>
      <c r="T19">
        <v>-1</v>
      </c>
      <c r="U19" t="s">
        <v>60</v>
      </c>
      <c r="V19" t="s">
        <v>248</v>
      </c>
      <c r="W19">
        <v>0</v>
      </c>
      <c r="X19" s="2">
        <v>0</v>
      </c>
      <c r="Y19" s="2">
        <v>0</v>
      </c>
      <c r="Z19" s="2">
        <v>-3.32</v>
      </c>
      <c r="AA19" s="2">
        <v>-3.32</v>
      </c>
      <c r="AB19" s="2">
        <v>0</v>
      </c>
    </row>
    <row r="20" spans="1:28" x14ac:dyDescent="0.25">
      <c r="A20">
        <v>2035831647</v>
      </c>
      <c r="B20" t="s">
        <v>578</v>
      </c>
      <c r="C20" t="s">
        <v>579</v>
      </c>
      <c r="D20" t="str">
        <f t="shared" si="0"/>
        <v>KIMBERLEY BROOME</v>
      </c>
      <c r="E20" t="s">
        <v>332</v>
      </c>
      <c r="F20" t="s">
        <v>188</v>
      </c>
      <c r="G20" t="s">
        <v>189</v>
      </c>
      <c r="H20" t="s">
        <v>189</v>
      </c>
      <c r="I20" s="8" t="s">
        <v>1075</v>
      </c>
      <c r="J20" t="s">
        <v>129</v>
      </c>
      <c r="K20" t="s">
        <v>130</v>
      </c>
      <c r="L20" t="str">
        <f t="shared" si="1"/>
        <v>Joel Lee</v>
      </c>
      <c r="M20" t="s">
        <v>257</v>
      </c>
      <c r="N20" s="1">
        <v>46177</v>
      </c>
      <c r="O20" s="1">
        <v>46202</v>
      </c>
      <c r="P20" s="1">
        <v>46207</v>
      </c>
      <c r="Q20" s="2">
        <v>-14.69</v>
      </c>
      <c r="R20" t="s">
        <v>58</v>
      </c>
      <c r="S20" s="3">
        <v>0.38</v>
      </c>
      <c r="T20">
        <v>-1</v>
      </c>
      <c r="U20" t="s">
        <v>60</v>
      </c>
      <c r="V20" t="s">
        <v>248</v>
      </c>
      <c r="W20">
        <v>0</v>
      </c>
      <c r="X20" s="2">
        <v>0</v>
      </c>
      <c r="Y20" s="2">
        <v>0</v>
      </c>
      <c r="Z20" s="2">
        <v>-5.58</v>
      </c>
      <c r="AA20" s="2">
        <v>-5.58</v>
      </c>
      <c r="AB20" s="2">
        <v>0</v>
      </c>
    </row>
    <row r="21" spans="1:28" x14ac:dyDescent="0.25">
      <c r="A21">
        <v>2036006840</v>
      </c>
      <c r="B21" t="s">
        <v>904</v>
      </c>
      <c r="C21" t="s">
        <v>379</v>
      </c>
      <c r="D21" t="str">
        <f t="shared" si="0"/>
        <v>THOMAS OLOUGHLIN</v>
      </c>
      <c r="E21" t="s">
        <v>52</v>
      </c>
      <c r="F21" t="s">
        <v>188</v>
      </c>
      <c r="G21" t="s">
        <v>190</v>
      </c>
      <c r="H21" t="s">
        <v>190</v>
      </c>
      <c r="I21" s="8">
        <v>21758900</v>
      </c>
      <c r="J21" t="s">
        <v>304</v>
      </c>
      <c r="K21" t="s">
        <v>305</v>
      </c>
      <c r="L21" t="str">
        <f t="shared" si="1"/>
        <v>John Rader</v>
      </c>
      <c r="M21" t="s">
        <v>257</v>
      </c>
      <c r="N21" s="1">
        <v>46186</v>
      </c>
      <c r="O21" s="1">
        <v>46202</v>
      </c>
      <c r="P21" s="1">
        <v>46216</v>
      </c>
      <c r="Q21" s="2">
        <v>-224.57</v>
      </c>
      <c r="R21" t="s">
        <v>58</v>
      </c>
      <c r="S21" s="3">
        <v>0.38</v>
      </c>
      <c r="T21">
        <v>-1</v>
      </c>
      <c r="U21" t="s">
        <v>60</v>
      </c>
      <c r="V21" t="s">
        <v>248</v>
      </c>
      <c r="W21">
        <v>0</v>
      </c>
      <c r="X21" s="2">
        <v>0</v>
      </c>
      <c r="Y21" s="2">
        <v>0</v>
      </c>
      <c r="Z21" s="2">
        <v>-85.34</v>
      </c>
      <c r="AA21" s="2">
        <v>-85.34</v>
      </c>
      <c r="AB21" s="2">
        <v>0</v>
      </c>
    </row>
    <row r="22" spans="1:28" x14ac:dyDescent="0.25">
      <c r="A22">
        <v>2036006841</v>
      </c>
      <c r="B22" t="s">
        <v>904</v>
      </c>
      <c r="C22" t="s">
        <v>379</v>
      </c>
      <c r="D22" t="str">
        <f t="shared" si="0"/>
        <v>THOMAS OLOUGHLIN</v>
      </c>
      <c r="E22" t="s">
        <v>52</v>
      </c>
      <c r="F22" t="s">
        <v>188</v>
      </c>
      <c r="G22" t="s">
        <v>191</v>
      </c>
      <c r="H22" t="s">
        <v>190</v>
      </c>
      <c r="I22" s="8">
        <v>21758900</v>
      </c>
      <c r="J22" t="s">
        <v>304</v>
      </c>
      <c r="K22" t="s">
        <v>305</v>
      </c>
      <c r="L22" t="str">
        <f t="shared" si="1"/>
        <v>John Rader</v>
      </c>
      <c r="M22" t="s">
        <v>257</v>
      </c>
      <c r="N22" s="1">
        <v>46186</v>
      </c>
      <c r="O22" s="1">
        <v>46202</v>
      </c>
      <c r="P22" s="1">
        <v>46216</v>
      </c>
      <c r="Q22" s="2">
        <v>-9.9499999999999993</v>
      </c>
      <c r="R22" t="s">
        <v>58</v>
      </c>
      <c r="S22" s="3">
        <v>0.38</v>
      </c>
      <c r="T22">
        <v>-1</v>
      </c>
      <c r="U22" t="s">
        <v>60</v>
      </c>
      <c r="V22" t="s">
        <v>248</v>
      </c>
      <c r="W22">
        <v>0</v>
      </c>
      <c r="X22" s="2">
        <v>0</v>
      </c>
      <c r="Y22" s="2">
        <v>0</v>
      </c>
      <c r="Z22" s="2">
        <v>-3.78</v>
      </c>
      <c r="AA22" s="2">
        <v>-3.78</v>
      </c>
      <c r="AB22" s="2">
        <v>0</v>
      </c>
    </row>
    <row r="23" spans="1:28" x14ac:dyDescent="0.25">
      <c r="A23">
        <v>2018732057</v>
      </c>
      <c r="B23" t="s">
        <v>339</v>
      </c>
      <c r="C23" t="s">
        <v>138</v>
      </c>
      <c r="D23" t="str">
        <f t="shared" si="0"/>
        <v>ALEXIS MARSELLA</v>
      </c>
      <c r="F23" t="s">
        <v>194</v>
      </c>
      <c r="G23" t="s">
        <v>881</v>
      </c>
      <c r="H23" t="s">
        <v>881</v>
      </c>
      <c r="I23" s="8">
        <v>8307933</v>
      </c>
      <c r="J23" t="s">
        <v>210</v>
      </c>
      <c r="K23" t="s">
        <v>211</v>
      </c>
      <c r="L23" t="str">
        <f t="shared" si="1"/>
        <v>GREGORY TEIPEL</v>
      </c>
      <c r="M23" t="s">
        <v>257</v>
      </c>
      <c r="N23" s="1">
        <v>45081</v>
      </c>
      <c r="O23" s="1">
        <v>46202</v>
      </c>
      <c r="P23" s="1">
        <v>46207</v>
      </c>
      <c r="Q23" s="2">
        <v>-3.16</v>
      </c>
      <c r="R23" t="s">
        <v>58</v>
      </c>
      <c r="S23" s="3">
        <v>0.15</v>
      </c>
      <c r="T23">
        <v>-1</v>
      </c>
      <c r="U23" t="s">
        <v>247</v>
      </c>
      <c r="V23" t="s">
        <v>248</v>
      </c>
      <c r="W23">
        <v>0</v>
      </c>
      <c r="X23" s="2">
        <v>0</v>
      </c>
      <c r="Y23" s="2">
        <v>0</v>
      </c>
      <c r="Z23" s="2">
        <v>-0.47</v>
      </c>
      <c r="AA23" s="2">
        <v>-0.47</v>
      </c>
      <c r="AB23" s="2">
        <v>0</v>
      </c>
    </row>
    <row r="24" spans="1:28" x14ac:dyDescent="0.25">
      <c r="A24">
        <v>2018732058</v>
      </c>
      <c r="B24" t="s">
        <v>339</v>
      </c>
      <c r="C24" t="s">
        <v>138</v>
      </c>
      <c r="D24" t="str">
        <f t="shared" si="0"/>
        <v>ALEXIS MARSELLA</v>
      </c>
      <c r="F24" t="s">
        <v>194</v>
      </c>
      <c r="G24" t="s">
        <v>217</v>
      </c>
      <c r="H24" t="s">
        <v>217</v>
      </c>
      <c r="I24" s="8">
        <v>8307933</v>
      </c>
      <c r="J24" t="s">
        <v>210</v>
      </c>
      <c r="K24" t="s">
        <v>211</v>
      </c>
      <c r="L24" t="str">
        <f t="shared" si="1"/>
        <v>GREGORY TEIPEL</v>
      </c>
      <c r="M24" t="s">
        <v>257</v>
      </c>
      <c r="N24" s="1">
        <v>45081</v>
      </c>
      <c r="O24" s="1">
        <v>46202</v>
      </c>
      <c r="P24" s="1">
        <v>46207</v>
      </c>
      <c r="Q24" s="2">
        <v>-6.55</v>
      </c>
      <c r="R24" t="s">
        <v>58</v>
      </c>
      <c r="S24" s="3">
        <v>0.1</v>
      </c>
      <c r="T24">
        <v>-1</v>
      </c>
      <c r="U24" t="s">
        <v>247</v>
      </c>
      <c r="V24" t="s">
        <v>248</v>
      </c>
      <c r="W24">
        <v>0</v>
      </c>
      <c r="X24" s="2">
        <v>0</v>
      </c>
      <c r="Y24" s="2">
        <v>0</v>
      </c>
      <c r="Z24" s="2">
        <v>-0.66</v>
      </c>
      <c r="AA24" s="2">
        <v>-0.66</v>
      </c>
      <c r="AB24" s="2">
        <v>0</v>
      </c>
    </row>
    <row r="25" spans="1:28" x14ac:dyDescent="0.25">
      <c r="A25">
        <v>2027573958</v>
      </c>
      <c r="B25" t="s">
        <v>115</v>
      </c>
      <c r="C25" t="s">
        <v>886</v>
      </c>
      <c r="D25" t="str">
        <f t="shared" si="0"/>
        <v>LARRY WILLIS</v>
      </c>
      <c r="E25" t="s">
        <v>97</v>
      </c>
      <c r="F25" t="s">
        <v>194</v>
      </c>
      <c r="G25" t="s">
        <v>195</v>
      </c>
      <c r="H25" t="s">
        <v>195</v>
      </c>
      <c r="I25" s="8">
        <v>8977234</v>
      </c>
      <c r="J25" t="s">
        <v>102</v>
      </c>
      <c r="K25" t="s">
        <v>103</v>
      </c>
      <c r="L25" t="str">
        <f t="shared" si="1"/>
        <v>RYAN CALTAGIRONE</v>
      </c>
      <c r="M25" t="s">
        <v>257</v>
      </c>
      <c r="N25" s="1">
        <v>45757</v>
      </c>
      <c r="O25" s="1">
        <v>46202</v>
      </c>
      <c r="P25" s="1">
        <v>46213</v>
      </c>
      <c r="Q25" s="2">
        <v>-86.85</v>
      </c>
      <c r="R25" t="s">
        <v>58</v>
      </c>
      <c r="S25" s="3">
        <v>0.15</v>
      </c>
      <c r="T25">
        <v>-1</v>
      </c>
      <c r="U25" t="s">
        <v>247</v>
      </c>
      <c r="V25" t="s">
        <v>248</v>
      </c>
      <c r="W25">
        <v>0</v>
      </c>
      <c r="X25" s="2">
        <v>0</v>
      </c>
      <c r="Y25" s="2">
        <v>0</v>
      </c>
      <c r="Z25" s="2">
        <v>-13.03</v>
      </c>
      <c r="AA25" s="2">
        <v>-13.03</v>
      </c>
      <c r="AB25" s="2">
        <v>0</v>
      </c>
    </row>
    <row r="26" spans="1:28" x14ac:dyDescent="0.25">
      <c r="A26">
        <v>2028143929</v>
      </c>
      <c r="B26" t="s">
        <v>884</v>
      </c>
      <c r="C26" t="s">
        <v>885</v>
      </c>
      <c r="D26" t="str">
        <f t="shared" si="0"/>
        <v>IFEANYICHUKWU METUIWE</v>
      </c>
      <c r="E26" t="s">
        <v>124</v>
      </c>
      <c r="F26" t="s">
        <v>194</v>
      </c>
      <c r="G26" t="s">
        <v>195</v>
      </c>
      <c r="H26" t="s">
        <v>195</v>
      </c>
      <c r="I26" s="8">
        <v>21435997</v>
      </c>
      <c r="J26" t="s">
        <v>229</v>
      </c>
      <c r="K26" t="s">
        <v>230</v>
      </c>
      <c r="L26" t="str">
        <f t="shared" si="1"/>
        <v>Christopher Brousseau</v>
      </c>
      <c r="M26" t="s">
        <v>257</v>
      </c>
      <c r="N26" s="1">
        <v>45754</v>
      </c>
      <c r="O26" s="1">
        <v>46202</v>
      </c>
      <c r="P26" s="1">
        <v>46210</v>
      </c>
      <c r="Q26" s="2">
        <v>-16.25</v>
      </c>
      <c r="R26" t="s">
        <v>58</v>
      </c>
      <c r="S26" s="3">
        <v>0.15</v>
      </c>
      <c r="T26">
        <v>-1</v>
      </c>
      <c r="U26" t="s">
        <v>247</v>
      </c>
      <c r="V26" t="s">
        <v>248</v>
      </c>
      <c r="W26">
        <v>0</v>
      </c>
      <c r="X26" s="2">
        <v>0</v>
      </c>
      <c r="Y26" s="2">
        <v>0</v>
      </c>
      <c r="Z26" s="2">
        <v>-2.44</v>
      </c>
      <c r="AA26" s="2">
        <v>-2.44</v>
      </c>
      <c r="AB26" s="2">
        <v>0</v>
      </c>
    </row>
    <row r="27" spans="1:28" x14ac:dyDescent="0.25">
      <c r="A27">
        <v>2030366106</v>
      </c>
      <c r="B27" t="s">
        <v>385</v>
      </c>
      <c r="C27" t="s">
        <v>386</v>
      </c>
      <c r="D27" t="str">
        <f t="shared" si="0"/>
        <v>LOVETT DIXON</v>
      </c>
      <c r="E27" t="s">
        <v>124</v>
      </c>
      <c r="F27" t="s">
        <v>194</v>
      </c>
      <c r="G27" t="s">
        <v>195</v>
      </c>
      <c r="H27" t="s">
        <v>195</v>
      </c>
      <c r="I27" s="8">
        <v>8307933</v>
      </c>
      <c r="J27" t="s">
        <v>210</v>
      </c>
      <c r="K27" t="s">
        <v>211</v>
      </c>
      <c r="L27" t="str">
        <f t="shared" si="1"/>
        <v>GREGORY TEIPEL</v>
      </c>
      <c r="M27" t="s">
        <v>257</v>
      </c>
      <c r="N27" s="1">
        <v>45878</v>
      </c>
      <c r="O27" s="1">
        <v>46202</v>
      </c>
      <c r="P27" s="1">
        <v>46212</v>
      </c>
      <c r="Q27" s="2">
        <v>-13.24</v>
      </c>
      <c r="R27" t="s">
        <v>58</v>
      </c>
      <c r="S27" s="3">
        <v>0.7</v>
      </c>
      <c r="T27">
        <v>-1</v>
      </c>
      <c r="U27" t="s">
        <v>60</v>
      </c>
      <c r="V27" t="s">
        <v>248</v>
      </c>
      <c r="W27">
        <v>0</v>
      </c>
      <c r="X27" s="2">
        <v>0</v>
      </c>
      <c r="Y27" s="2">
        <v>0</v>
      </c>
      <c r="Z27" s="2">
        <v>-9.27</v>
      </c>
      <c r="AA27" s="2">
        <v>-9.27</v>
      </c>
      <c r="AB27" s="2">
        <v>0</v>
      </c>
    </row>
    <row r="28" spans="1:28" x14ac:dyDescent="0.25">
      <c r="A28">
        <v>2030450004</v>
      </c>
      <c r="B28" t="s">
        <v>387</v>
      </c>
      <c r="C28" t="s">
        <v>388</v>
      </c>
      <c r="D28" t="str">
        <f t="shared" si="0"/>
        <v>URSULA EDELENBOS</v>
      </c>
      <c r="E28" t="s">
        <v>146</v>
      </c>
      <c r="F28" t="s">
        <v>194</v>
      </c>
      <c r="G28" t="s">
        <v>228</v>
      </c>
      <c r="H28" t="s">
        <v>228</v>
      </c>
      <c r="I28" s="8" t="s">
        <v>1073</v>
      </c>
      <c r="J28" t="s">
        <v>389</v>
      </c>
      <c r="K28" t="s">
        <v>390</v>
      </c>
      <c r="L28" t="str">
        <f t="shared" si="1"/>
        <v>Ronald Max</v>
      </c>
      <c r="M28" t="s">
        <v>257</v>
      </c>
      <c r="N28" s="1">
        <v>45888</v>
      </c>
      <c r="O28" s="1">
        <v>46202</v>
      </c>
      <c r="P28" s="1">
        <v>46222</v>
      </c>
      <c r="Q28" s="2">
        <v>-34.93</v>
      </c>
      <c r="R28" t="s">
        <v>58</v>
      </c>
      <c r="S28" s="3">
        <v>0.42</v>
      </c>
      <c r="T28">
        <v>-1</v>
      </c>
      <c r="U28" t="s">
        <v>60</v>
      </c>
      <c r="V28" t="s">
        <v>248</v>
      </c>
      <c r="W28">
        <v>0</v>
      </c>
      <c r="X28" s="2">
        <v>0</v>
      </c>
      <c r="Y28" s="2">
        <v>0</v>
      </c>
      <c r="Z28" s="2">
        <v>-14.67</v>
      </c>
      <c r="AA28" s="2">
        <v>-14.67</v>
      </c>
      <c r="AB28" s="2">
        <v>0</v>
      </c>
    </row>
    <row r="29" spans="1:28" x14ac:dyDescent="0.25">
      <c r="A29">
        <v>2030450005</v>
      </c>
      <c r="B29" t="s">
        <v>387</v>
      </c>
      <c r="C29" t="s">
        <v>388</v>
      </c>
      <c r="D29" t="str">
        <f t="shared" si="0"/>
        <v>URSULA EDELENBOS</v>
      </c>
      <c r="E29" t="s">
        <v>146</v>
      </c>
      <c r="F29" t="s">
        <v>194</v>
      </c>
      <c r="G29" t="s">
        <v>203</v>
      </c>
      <c r="H29" t="s">
        <v>881</v>
      </c>
      <c r="I29" s="8" t="s">
        <v>1073</v>
      </c>
      <c r="J29" t="s">
        <v>389</v>
      </c>
      <c r="K29" t="s">
        <v>390</v>
      </c>
      <c r="L29" t="str">
        <f t="shared" si="1"/>
        <v>Ronald Max</v>
      </c>
      <c r="M29" t="s">
        <v>257</v>
      </c>
      <c r="N29" s="1">
        <v>45888</v>
      </c>
      <c r="O29" s="1">
        <v>46202</v>
      </c>
      <c r="P29" s="1">
        <v>46222</v>
      </c>
      <c r="Q29" s="2">
        <v>-26.2</v>
      </c>
      <c r="R29" t="s">
        <v>58</v>
      </c>
      <c r="S29" s="3">
        <v>0.7</v>
      </c>
      <c r="T29">
        <v>-1</v>
      </c>
      <c r="U29" t="s">
        <v>60</v>
      </c>
      <c r="V29" t="s">
        <v>248</v>
      </c>
      <c r="W29">
        <v>0</v>
      </c>
      <c r="X29" s="2">
        <v>0</v>
      </c>
      <c r="Y29" s="2">
        <v>0</v>
      </c>
      <c r="Z29" s="2">
        <v>-18.34</v>
      </c>
      <c r="AA29" s="2">
        <v>-18.34</v>
      </c>
      <c r="AB29" s="2">
        <v>0</v>
      </c>
    </row>
    <row r="30" spans="1:28" x14ac:dyDescent="0.25">
      <c r="A30">
        <v>2031343659</v>
      </c>
      <c r="B30" t="s">
        <v>884</v>
      </c>
      <c r="C30" t="s">
        <v>893</v>
      </c>
      <c r="D30" t="str">
        <f t="shared" si="0"/>
        <v>GERALD METUIWE</v>
      </c>
      <c r="E30" t="s">
        <v>124</v>
      </c>
      <c r="F30" t="s">
        <v>194</v>
      </c>
      <c r="G30" t="s">
        <v>195</v>
      </c>
      <c r="H30" t="s">
        <v>195</v>
      </c>
      <c r="I30" s="8">
        <v>21435997</v>
      </c>
      <c r="J30" t="s">
        <v>229</v>
      </c>
      <c r="K30" t="s">
        <v>230</v>
      </c>
      <c r="L30" t="str">
        <f t="shared" si="1"/>
        <v>Christopher Brousseau</v>
      </c>
      <c r="M30" t="s">
        <v>257</v>
      </c>
      <c r="N30" s="1">
        <v>45931</v>
      </c>
      <c r="O30" s="1">
        <v>46202</v>
      </c>
      <c r="P30" s="1">
        <v>46235</v>
      </c>
      <c r="Q30" s="2">
        <v>-1.73</v>
      </c>
      <c r="R30" t="s">
        <v>58</v>
      </c>
      <c r="S30" s="3">
        <v>0.7</v>
      </c>
      <c r="T30">
        <v>-1</v>
      </c>
      <c r="U30" t="s">
        <v>60</v>
      </c>
      <c r="V30" t="s">
        <v>248</v>
      </c>
      <c r="W30">
        <v>0</v>
      </c>
      <c r="X30" s="2">
        <v>0</v>
      </c>
      <c r="Y30" s="2">
        <v>0</v>
      </c>
      <c r="Z30" s="2">
        <v>-1.21</v>
      </c>
      <c r="AA30" s="2">
        <v>-1.21</v>
      </c>
      <c r="AB30" s="2">
        <v>0</v>
      </c>
    </row>
    <row r="31" spans="1:28" x14ac:dyDescent="0.25">
      <c r="A31">
        <v>2032702836</v>
      </c>
      <c r="B31" t="s">
        <v>896</v>
      </c>
      <c r="C31" t="s">
        <v>209</v>
      </c>
      <c r="D31" t="str">
        <f t="shared" si="0"/>
        <v>JOHN BRADLEY</v>
      </c>
      <c r="E31" t="s">
        <v>89</v>
      </c>
      <c r="F31" t="s">
        <v>194</v>
      </c>
      <c r="G31" t="s">
        <v>195</v>
      </c>
      <c r="H31" t="s">
        <v>195</v>
      </c>
      <c r="I31" s="8" t="s">
        <v>1077</v>
      </c>
      <c r="J31" t="s">
        <v>172</v>
      </c>
      <c r="K31" t="s">
        <v>173</v>
      </c>
      <c r="L31" t="str">
        <f t="shared" si="1"/>
        <v>Barry Schumann</v>
      </c>
      <c r="M31" t="s">
        <v>257</v>
      </c>
      <c r="N31" s="1">
        <v>46023</v>
      </c>
      <c r="O31" s="1">
        <v>46202</v>
      </c>
      <c r="P31" s="1">
        <v>46204</v>
      </c>
      <c r="Q31" s="2">
        <v>-5.5</v>
      </c>
      <c r="R31" t="s">
        <v>58</v>
      </c>
      <c r="S31" s="3">
        <v>0.7</v>
      </c>
      <c r="T31">
        <v>-1</v>
      </c>
      <c r="U31" t="s">
        <v>60</v>
      </c>
      <c r="V31" t="s">
        <v>248</v>
      </c>
      <c r="W31">
        <v>0</v>
      </c>
      <c r="X31" s="2">
        <v>0</v>
      </c>
      <c r="Y31" s="2">
        <v>0</v>
      </c>
      <c r="Z31" s="2">
        <v>-3.85</v>
      </c>
      <c r="AA31" s="2">
        <v>-3.85</v>
      </c>
      <c r="AB31" s="2">
        <v>0</v>
      </c>
    </row>
    <row r="32" spans="1:28" x14ac:dyDescent="0.25">
      <c r="A32">
        <v>2033010310</v>
      </c>
      <c r="B32" t="s">
        <v>430</v>
      </c>
      <c r="C32" t="s">
        <v>431</v>
      </c>
      <c r="D32" t="str">
        <f t="shared" si="0"/>
        <v>IVANA KORALIJA</v>
      </c>
      <c r="E32" t="s">
        <v>89</v>
      </c>
      <c r="F32" t="s">
        <v>194</v>
      </c>
      <c r="G32" t="s">
        <v>217</v>
      </c>
      <c r="H32" t="s">
        <v>217</v>
      </c>
      <c r="I32" s="8" t="s">
        <v>1074</v>
      </c>
      <c r="J32" t="s">
        <v>113</v>
      </c>
      <c r="K32" t="s">
        <v>114</v>
      </c>
      <c r="L32" t="str">
        <f t="shared" si="1"/>
        <v>Richard Yale</v>
      </c>
      <c r="M32" t="s">
        <v>257</v>
      </c>
      <c r="N32" s="1">
        <v>46032</v>
      </c>
      <c r="O32" s="1">
        <v>46202</v>
      </c>
      <c r="P32" s="1">
        <v>46213</v>
      </c>
      <c r="Q32" s="2">
        <v>-18</v>
      </c>
      <c r="R32" t="s">
        <v>58</v>
      </c>
      <c r="S32" s="3">
        <v>0.9</v>
      </c>
      <c r="T32">
        <v>-1</v>
      </c>
      <c r="U32" t="s">
        <v>60</v>
      </c>
      <c r="V32" t="s">
        <v>248</v>
      </c>
      <c r="W32">
        <v>0</v>
      </c>
      <c r="X32" s="2">
        <v>0</v>
      </c>
      <c r="Y32" s="2">
        <v>0</v>
      </c>
      <c r="Z32" s="2">
        <v>-16.2</v>
      </c>
      <c r="AA32" s="2">
        <v>-16.2</v>
      </c>
      <c r="AB32" s="2">
        <v>0</v>
      </c>
    </row>
    <row r="33" spans="1:28" x14ac:dyDescent="0.25">
      <c r="N33" s="1"/>
      <c r="O33" s="1"/>
      <c r="P33" s="1"/>
      <c r="Q33" s="2"/>
      <c r="S33" s="3"/>
      <c r="X33" s="2"/>
      <c r="Y33" s="2"/>
      <c r="Z33" s="2"/>
      <c r="AA33" s="2"/>
      <c r="AB33" s="2"/>
    </row>
    <row r="34" spans="1:28" x14ac:dyDescent="0.25">
      <c r="N34" s="1"/>
      <c r="O34" s="1"/>
      <c r="P34" s="1"/>
      <c r="Q34" s="2"/>
      <c r="S34" s="3"/>
      <c r="X34" s="2"/>
      <c r="Y34" s="2"/>
      <c r="Z34" s="2"/>
      <c r="AA34" s="2"/>
      <c r="AB34" s="2"/>
    </row>
    <row r="35" spans="1:28" x14ac:dyDescent="0.25">
      <c r="N35" s="1"/>
      <c r="O35" s="1"/>
      <c r="P35" s="1"/>
      <c r="Q35" s="2"/>
      <c r="S35" s="3"/>
      <c r="X35" s="2"/>
      <c r="Y35" s="2"/>
      <c r="Z35" s="2"/>
      <c r="AA35" s="2"/>
      <c r="AB35" s="2"/>
    </row>
    <row r="36" spans="1:28" s="5" customFormat="1" x14ac:dyDescent="0.25">
      <c r="A36" s="5">
        <v>2035831646</v>
      </c>
      <c r="B36" s="5" t="s">
        <v>578</v>
      </c>
      <c r="C36" s="5" t="s">
        <v>579</v>
      </c>
      <c r="F36" s="5" t="s">
        <v>69</v>
      </c>
      <c r="G36" s="5" t="s">
        <v>338</v>
      </c>
      <c r="I36" s="5">
        <v>649163</v>
      </c>
      <c r="J36" s="5" t="s">
        <v>129</v>
      </c>
      <c r="K36" s="5" t="s">
        <v>130</v>
      </c>
      <c r="L36" s="5" t="str">
        <f t="shared" ref="L36:L55" si="2">CONCATENATE(K36," ",J36)</f>
        <v>Joel Lee</v>
      </c>
      <c r="M36" s="5" t="s">
        <v>257</v>
      </c>
      <c r="N36" s="6">
        <v>46177</v>
      </c>
      <c r="O36" s="6">
        <v>46202</v>
      </c>
      <c r="Q36" s="7">
        <v>0</v>
      </c>
      <c r="W36" s="5">
        <v>1</v>
      </c>
      <c r="X36" s="7">
        <v>365.34</v>
      </c>
      <c r="Y36" s="7">
        <v>0</v>
      </c>
      <c r="Z36" s="7">
        <v>60.89</v>
      </c>
      <c r="AA36" s="7">
        <v>-304.45</v>
      </c>
      <c r="AB36" s="7">
        <v>-304.45</v>
      </c>
    </row>
    <row r="37" spans="1:28" s="5" customFormat="1" x14ac:dyDescent="0.25">
      <c r="A37" s="5">
        <v>2035831645</v>
      </c>
      <c r="B37" s="5" t="s">
        <v>578</v>
      </c>
      <c r="C37" s="5" t="s">
        <v>579</v>
      </c>
      <c r="F37" s="5" t="s">
        <v>194</v>
      </c>
      <c r="G37" s="5" t="s">
        <v>195</v>
      </c>
      <c r="I37" s="5">
        <v>649163</v>
      </c>
      <c r="J37" s="5" t="s">
        <v>129</v>
      </c>
      <c r="K37" s="5" t="s">
        <v>130</v>
      </c>
      <c r="L37" s="5" t="str">
        <f t="shared" si="2"/>
        <v>Joel Lee</v>
      </c>
      <c r="M37" s="5" t="s">
        <v>257</v>
      </c>
      <c r="N37" s="6">
        <v>46177</v>
      </c>
      <c r="O37" s="6">
        <v>46202</v>
      </c>
      <c r="Q37" s="7">
        <v>0</v>
      </c>
      <c r="W37" s="5">
        <v>1</v>
      </c>
      <c r="X37" s="7">
        <v>196.2</v>
      </c>
      <c r="Y37" s="7">
        <v>0</v>
      </c>
      <c r="Z37" s="7">
        <v>32.700000000000003</v>
      </c>
      <c r="AA37" s="7">
        <v>-163.5</v>
      </c>
      <c r="AB37" s="7">
        <v>-163.5</v>
      </c>
    </row>
    <row r="38" spans="1:28" s="5" customFormat="1" x14ac:dyDescent="0.25">
      <c r="A38" s="5">
        <v>2035095474</v>
      </c>
      <c r="B38" s="5" t="s">
        <v>571</v>
      </c>
      <c r="C38" s="5" t="s">
        <v>572</v>
      </c>
      <c r="F38" s="5" t="s">
        <v>69</v>
      </c>
      <c r="G38" s="5" t="s">
        <v>101</v>
      </c>
      <c r="I38" s="5">
        <v>649163</v>
      </c>
      <c r="J38" s="5" t="s">
        <v>129</v>
      </c>
      <c r="K38" s="5" t="s">
        <v>130</v>
      </c>
      <c r="L38" s="5" t="str">
        <f t="shared" si="2"/>
        <v>Joel Lee</v>
      </c>
      <c r="M38" s="5" t="s">
        <v>257</v>
      </c>
      <c r="N38" s="6">
        <v>46143</v>
      </c>
      <c r="O38" s="6">
        <v>46202</v>
      </c>
      <c r="Q38" s="7">
        <v>0</v>
      </c>
      <c r="W38" s="5">
        <f>73.04/36.52</f>
        <v>2</v>
      </c>
      <c r="X38" s="7">
        <v>219.12</v>
      </c>
      <c r="Y38" s="7">
        <v>0</v>
      </c>
      <c r="Z38" s="7">
        <v>73.040000000000006</v>
      </c>
      <c r="AA38" s="7">
        <v>-146.08000000000001</v>
      </c>
      <c r="AB38" s="7">
        <v>-146.08000000000001</v>
      </c>
    </row>
    <row r="39" spans="1:28" s="5" customFormat="1" x14ac:dyDescent="0.25">
      <c r="A39" s="5">
        <v>2035831647</v>
      </c>
      <c r="B39" s="5" t="s">
        <v>578</v>
      </c>
      <c r="C39" s="5" t="s">
        <v>579</v>
      </c>
      <c r="F39" s="5" t="s">
        <v>188</v>
      </c>
      <c r="G39" s="5" t="s">
        <v>189</v>
      </c>
      <c r="I39" s="5">
        <v>649163</v>
      </c>
      <c r="J39" s="5" t="s">
        <v>129</v>
      </c>
      <c r="K39" s="5" t="s">
        <v>130</v>
      </c>
      <c r="L39" s="5" t="str">
        <f t="shared" si="2"/>
        <v>Joel Lee</v>
      </c>
      <c r="M39" s="5" t="s">
        <v>257</v>
      </c>
      <c r="N39" s="6">
        <v>46177</v>
      </c>
      <c r="O39" s="6">
        <v>46202</v>
      </c>
      <c r="Q39" s="7">
        <v>0</v>
      </c>
      <c r="W39" s="5">
        <v>1</v>
      </c>
      <c r="X39" s="7">
        <v>111.6</v>
      </c>
      <c r="Y39" s="7">
        <v>0</v>
      </c>
      <c r="Z39" s="7">
        <v>18.600000000000001</v>
      </c>
      <c r="AA39" s="7">
        <v>-93</v>
      </c>
      <c r="AB39" s="7">
        <v>-93</v>
      </c>
    </row>
    <row r="40" spans="1:28" s="5" customFormat="1" x14ac:dyDescent="0.25">
      <c r="A40" s="5">
        <v>2035095472</v>
      </c>
      <c r="B40" s="5" t="s">
        <v>571</v>
      </c>
      <c r="C40" s="5" t="s">
        <v>572</v>
      </c>
      <c r="F40" s="5" t="s">
        <v>188</v>
      </c>
      <c r="G40" s="5" t="s">
        <v>189</v>
      </c>
      <c r="I40" s="5">
        <v>649163</v>
      </c>
      <c r="J40" s="5" t="s">
        <v>129</v>
      </c>
      <c r="K40" s="5" t="s">
        <v>130</v>
      </c>
      <c r="L40" s="5" t="str">
        <f t="shared" si="2"/>
        <v>Joel Lee</v>
      </c>
      <c r="M40" s="5" t="s">
        <v>257</v>
      </c>
      <c r="N40" s="6">
        <v>46143</v>
      </c>
      <c r="O40" s="6">
        <v>46202</v>
      </c>
      <c r="Q40" s="7">
        <v>0</v>
      </c>
      <c r="W40" s="5">
        <f>28.44/14.22</f>
        <v>2</v>
      </c>
      <c r="X40" s="7">
        <v>85.32</v>
      </c>
      <c r="Y40" s="7">
        <v>0</v>
      </c>
      <c r="Z40" s="7">
        <v>28.44</v>
      </c>
      <c r="AA40" s="7">
        <v>-56.88</v>
      </c>
      <c r="AB40" s="7">
        <v>-56.88</v>
      </c>
    </row>
    <row r="41" spans="1:28" s="5" customFormat="1" x14ac:dyDescent="0.25">
      <c r="A41" s="5">
        <v>2035095473</v>
      </c>
      <c r="B41" s="5" t="s">
        <v>571</v>
      </c>
      <c r="C41" s="5" t="s">
        <v>572</v>
      </c>
      <c r="F41" s="5" t="s">
        <v>194</v>
      </c>
      <c r="G41" s="5" t="s">
        <v>195</v>
      </c>
      <c r="I41" s="5">
        <v>649163</v>
      </c>
      <c r="J41" s="5" t="s">
        <v>129</v>
      </c>
      <c r="K41" s="5" t="s">
        <v>130</v>
      </c>
      <c r="L41" s="5" t="str">
        <f t="shared" si="2"/>
        <v>Joel Lee</v>
      </c>
      <c r="M41" s="5" t="s">
        <v>257</v>
      </c>
      <c r="N41" s="6">
        <v>46143</v>
      </c>
      <c r="O41" s="6">
        <v>46202</v>
      </c>
      <c r="Q41" s="7">
        <v>0</v>
      </c>
      <c r="W41" s="5">
        <f>13.58/6.79</f>
        <v>2</v>
      </c>
      <c r="X41" s="7">
        <v>40.74</v>
      </c>
      <c r="Y41" s="7">
        <v>0</v>
      </c>
      <c r="Z41" s="7">
        <v>13.58</v>
      </c>
      <c r="AA41" s="7">
        <v>-27.16</v>
      </c>
      <c r="AB41" s="7">
        <v>-27.16</v>
      </c>
    </row>
    <row r="42" spans="1:28" x14ac:dyDescent="0.25">
      <c r="A42">
        <v>2034549517</v>
      </c>
      <c r="B42" t="s">
        <v>903</v>
      </c>
      <c r="C42" t="s">
        <v>414</v>
      </c>
      <c r="F42" t="s">
        <v>69</v>
      </c>
      <c r="G42" t="s">
        <v>79</v>
      </c>
      <c r="I42">
        <v>883288</v>
      </c>
      <c r="J42" t="s">
        <v>843</v>
      </c>
      <c r="K42" t="s">
        <v>305</v>
      </c>
      <c r="L42" t="str">
        <f t="shared" si="2"/>
        <v>John Karns</v>
      </c>
      <c r="M42" t="s">
        <v>257</v>
      </c>
      <c r="N42" s="1">
        <v>46109</v>
      </c>
      <c r="O42" s="1">
        <v>46202</v>
      </c>
      <c r="Q42" s="2">
        <v>0</v>
      </c>
      <c r="X42" s="2">
        <v>110.34</v>
      </c>
      <c r="Y42" s="2">
        <v>0</v>
      </c>
      <c r="Z42" s="2">
        <v>36.78</v>
      </c>
      <c r="AA42" s="2">
        <v>-73.56</v>
      </c>
      <c r="AB42" s="2">
        <v>-73.56</v>
      </c>
    </row>
    <row r="43" spans="1:28" x14ac:dyDescent="0.25">
      <c r="A43">
        <v>2034549516</v>
      </c>
      <c r="B43" t="s">
        <v>903</v>
      </c>
      <c r="C43" t="s">
        <v>414</v>
      </c>
      <c r="F43" t="s">
        <v>194</v>
      </c>
      <c r="G43" t="s">
        <v>203</v>
      </c>
      <c r="I43">
        <v>883288</v>
      </c>
      <c r="J43" t="s">
        <v>843</v>
      </c>
      <c r="K43" t="s">
        <v>305</v>
      </c>
      <c r="L43" t="str">
        <f t="shared" si="2"/>
        <v>John Karns</v>
      </c>
      <c r="M43" t="s">
        <v>257</v>
      </c>
      <c r="N43" s="1">
        <v>46109</v>
      </c>
      <c r="O43" s="1">
        <v>46202</v>
      </c>
      <c r="Q43" s="2">
        <v>0</v>
      </c>
      <c r="X43" s="2">
        <v>103.38</v>
      </c>
      <c r="Y43" s="2">
        <v>0</v>
      </c>
      <c r="Z43" s="2">
        <v>34.46</v>
      </c>
      <c r="AA43" s="2">
        <v>-68.92</v>
      </c>
      <c r="AB43" s="2">
        <v>-68.92</v>
      </c>
    </row>
    <row r="44" spans="1:28" x14ac:dyDescent="0.25">
      <c r="A44">
        <v>2034549515</v>
      </c>
      <c r="B44" t="s">
        <v>903</v>
      </c>
      <c r="C44" t="s">
        <v>414</v>
      </c>
      <c r="F44" t="s">
        <v>194</v>
      </c>
      <c r="G44" t="s">
        <v>228</v>
      </c>
      <c r="I44">
        <v>883288</v>
      </c>
      <c r="J44" t="s">
        <v>843</v>
      </c>
      <c r="K44" t="s">
        <v>305</v>
      </c>
      <c r="L44" t="str">
        <f t="shared" si="2"/>
        <v>John Karns</v>
      </c>
      <c r="M44" t="s">
        <v>257</v>
      </c>
      <c r="N44" s="1">
        <v>46109</v>
      </c>
      <c r="O44" s="1">
        <v>46202</v>
      </c>
      <c r="Q44" s="2">
        <v>0</v>
      </c>
      <c r="X44" s="2">
        <v>82.68</v>
      </c>
      <c r="Y44" s="2">
        <v>0</v>
      </c>
      <c r="Z44" s="2">
        <v>27.56</v>
      </c>
      <c r="AA44" s="2">
        <v>-55.12</v>
      </c>
      <c r="AB44" s="2">
        <v>-55.12</v>
      </c>
    </row>
    <row r="45" spans="1:28" x14ac:dyDescent="0.25">
      <c r="A45">
        <v>2036006840</v>
      </c>
      <c r="B45" t="s">
        <v>904</v>
      </c>
      <c r="C45" t="s">
        <v>379</v>
      </c>
      <c r="F45" t="s">
        <v>188</v>
      </c>
      <c r="G45" t="s">
        <v>190</v>
      </c>
      <c r="I45">
        <v>649163</v>
      </c>
      <c r="J45" t="s">
        <v>304</v>
      </c>
      <c r="K45" t="s">
        <v>305</v>
      </c>
      <c r="L45" t="str">
        <f t="shared" si="2"/>
        <v>John Rader</v>
      </c>
      <c r="M45" t="s">
        <v>257</v>
      </c>
      <c r="N45" s="1">
        <v>46186</v>
      </c>
      <c r="O45" s="1">
        <v>46202</v>
      </c>
      <c r="Q45" s="2">
        <v>0</v>
      </c>
      <c r="X45" s="2">
        <v>512.04</v>
      </c>
      <c r="Y45" s="2">
        <v>0</v>
      </c>
      <c r="Z45" s="2">
        <v>85.34</v>
      </c>
      <c r="AA45" s="2">
        <v>-426.7</v>
      </c>
      <c r="AB45" s="2">
        <v>-426.7</v>
      </c>
    </row>
    <row r="46" spans="1:28" x14ac:dyDescent="0.25">
      <c r="A46">
        <v>2033075812</v>
      </c>
      <c r="B46" t="s">
        <v>901</v>
      </c>
      <c r="C46" t="s">
        <v>902</v>
      </c>
      <c r="F46" t="s">
        <v>194</v>
      </c>
      <c r="G46" t="s">
        <v>203</v>
      </c>
      <c r="I46">
        <v>929503</v>
      </c>
      <c r="J46" t="s">
        <v>304</v>
      </c>
      <c r="K46" t="s">
        <v>305</v>
      </c>
      <c r="L46" t="str">
        <f t="shared" si="2"/>
        <v>John Rader</v>
      </c>
      <c r="M46" t="s">
        <v>257</v>
      </c>
      <c r="N46" s="1">
        <v>46054</v>
      </c>
      <c r="O46" s="1">
        <v>46202</v>
      </c>
      <c r="Q46" s="2">
        <v>0</v>
      </c>
      <c r="X46" s="2">
        <v>105.6</v>
      </c>
      <c r="Y46" s="2">
        <v>0</v>
      </c>
      <c r="Z46" s="2">
        <v>70.400000000000006</v>
      </c>
      <c r="AA46" s="2">
        <v>-35.200000000000003</v>
      </c>
      <c r="AB46" s="2">
        <v>-35.200000000000003</v>
      </c>
    </row>
    <row r="47" spans="1:28" x14ac:dyDescent="0.25">
      <c r="A47">
        <v>2036006841</v>
      </c>
      <c r="B47" t="s">
        <v>904</v>
      </c>
      <c r="C47" t="s">
        <v>379</v>
      </c>
      <c r="F47" t="s">
        <v>188</v>
      </c>
      <c r="G47" t="s">
        <v>191</v>
      </c>
      <c r="I47">
        <v>649163</v>
      </c>
      <c r="J47" t="s">
        <v>304</v>
      </c>
      <c r="K47" t="s">
        <v>305</v>
      </c>
      <c r="L47" t="str">
        <f t="shared" si="2"/>
        <v>John Rader</v>
      </c>
      <c r="M47" t="s">
        <v>257</v>
      </c>
      <c r="N47" s="1">
        <v>46186</v>
      </c>
      <c r="O47" s="1">
        <v>46202</v>
      </c>
      <c r="Q47" s="2">
        <v>0</v>
      </c>
      <c r="X47" s="2">
        <v>22.68</v>
      </c>
      <c r="Y47" s="2">
        <v>0</v>
      </c>
      <c r="Z47" s="2">
        <v>3.78</v>
      </c>
      <c r="AA47" s="2">
        <v>-18.899999999999999</v>
      </c>
      <c r="AB47" s="2">
        <v>-18.899999999999999</v>
      </c>
    </row>
    <row r="48" spans="1:28" s="5" customFormat="1" x14ac:dyDescent="0.25">
      <c r="A48" s="5">
        <v>2033612292</v>
      </c>
      <c r="B48" s="5" t="s">
        <v>645</v>
      </c>
      <c r="C48" s="5" t="s">
        <v>646</v>
      </c>
      <c r="F48" s="5" t="s">
        <v>188</v>
      </c>
      <c r="G48" s="5" t="s">
        <v>190</v>
      </c>
      <c r="I48" s="5">
        <v>649163</v>
      </c>
      <c r="J48" s="5" t="s">
        <v>615</v>
      </c>
      <c r="K48" s="5" t="s">
        <v>616</v>
      </c>
      <c r="L48" s="5" t="str">
        <f t="shared" si="2"/>
        <v>RICARDO SANTOS</v>
      </c>
      <c r="M48" s="5" t="s">
        <v>257</v>
      </c>
      <c r="N48" s="6">
        <v>46065</v>
      </c>
      <c r="O48" s="6">
        <v>46202</v>
      </c>
      <c r="Q48" s="7">
        <v>0</v>
      </c>
      <c r="W48" s="5">
        <f>183.2/36.64</f>
        <v>5</v>
      </c>
      <c r="X48" s="7">
        <v>219.84</v>
      </c>
      <c r="Y48" s="7">
        <v>0</v>
      </c>
      <c r="Z48" s="7">
        <v>183.2</v>
      </c>
      <c r="AA48" s="7">
        <v>-36.64</v>
      </c>
      <c r="AB48" s="7">
        <v>-36.64</v>
      </c>
    </row>
    <row r="49" spans="1:28" s="5" customFormat="1" x14ac:dyDescent="0.25">
      <c r="A49" s="5">
        <v>2033612293</v>
      </c>
      <c r="B49" s="5" t="s">
        <v>645</v>
      </c>
      <c r="C49" s="5" t="s">
        <v>646</v>
      </c>
      <c r="F49" s="5" t="s">
        <v>149</v>
      </c>
      <c r="G49" s="5" t="s">
        <v>150</v>
      </c>
      <c r="I49" s="5">
        <v>649163</v>
      </c>
      <c r="J49" s="5" t="s">
        <v>615</v>
      </c>
      <c r="K49" s="5" t="s">
        <v>616</v>
      </c>
      <c r="L49" s="5" t="str">
        <f t="shared" si="2"/>
        <v>RICARDO SANTOS</v>
      </c>
      <c r="M49" s="5" t="s">
        <v>257</v>
      </c>
      <c r="N49" s="6">
        <v>46065</v>
      </c>
      <c r="O49" s="6">
        <v>46202</v>
      </c>
      <c r="Q49" s="7">
        <v>0</v>
      </c>
      <c r="W49" s="5">
        <f>28.5/5.7</f>
        <v>5</v>
      </c>
      <c r="X49" s="7">
        <v>34.200000000000003</v>
      </c>
      <c r="Y49" s="7">
        <v>0</v>
      </c>
      <c r="Z49" s="7">
        <v>28.5</v>
      </c>
      <c r="AA49" s="7">
        <v>-5.7</v>
      </c>
      <c r="AB49" s="7">
        <v>-5.7</v>
      </c>
    </row>
    <row r="50" spans="1:28" s="5" customFormat="1" x14ac:dyDescent="0.25">
      <c r="A50" s="5">
        <v>2033915513</v>
      </c>
      <c r="B50" s="5" t="s">
        <v>830</v>
      </c>
      <c r="C50" s="5" t="s">
        <v>431</v>
      </c>
      <c r="F50" s="5" t="s">
        <v>194</v>
      </c>
      <c r="G50" s="5" t="s">
        <v>195</v>
      </c>
      <c r="I50" s="5">
        <v>649163</v>
      </c>
      <c r="J50" s="5" t="s">
        <v>113</v>
      </c>
      <c r="K50" s="5" t="s">
        <v>114</v>
      </c>
      <c r="L50" s="5" t="str">
        <f t="shared" si="2"/>
        <v>Richard Yale</v>
      </c>
      <c r="M50" s="5" t="s">
        <v>257</v>
      </c>
      <c r="N50" s="6">
        <v>46082</v>
      </c>
      <c r="O50" s="6">
        <v>46202</v>
      </c>
      <c r="Q50" s="7">
        <v>0</v>
      </c>
      <c r="W50" s="5">
        <f>268.56/67.14</f>
        <v>4</v>
      </c>
      <c r="X50" s="7">
        <v>402.84</v>
      </c>
      <c r="Y50" s="7">
        <v>0</v>
      </c>
      <c r="Z50" s="7">
        <v>268.56</v>
      </c>
      <c r="AA50" s="7">
        <v>-134.28</v>
      </c>
      <c r="AB50" s="7">
        <v>-134.28</v>
      </c>
    </row>
    <row r="51" spans="1:28" x14ac:dyDescent="0.25">
      <c r="A51">
        <v>2032913508</v>
      </c>
      <c r="B51" t="s">
        <v>898</v>
      </c>
      <c r="C51" t="s">
        <v>899</v>
      </c>
      <c r="F51" t="s">
        <v>237</v>
      </c>
      <c r="G51" t="s">
        <v>853</v>
      </c>
      <c r="I51">
        <v>767312</v>
      </c>
      <c r="J51" t="s">
        <v>486</v>
      </c>
      <c r="K51" t="s">
        <v>379</v>
      </c>
      <c r="L51" t="str">
        <f t="shared" si="2"/>
        <v>THOMAS PARDUE</v>
      </c>
      <c r="M51" t="s">
        <v>257</v>
      </c>
      <c r="N51" s="1">
        <v>46054</v>
      </c>
      <c r="O51" s="1">
        <v>46202</v>
      </c>
      <c r="Q51" s="2">
        <v>0</v>
      </c>
      <c r="X51" s="2">
        <v>595.55999999999995</v>
      </c>
      <c r="Y51" s="2">
        <v>0</v>
      </c>
      <c r="Z51" s="2">
        <v>397.04</v>
      </c>
      <c r="AA51" s="2">
        <v>-198.52</v>
      </c>
      <c r="AB51" s="2">
        <v>-198.52</v>
      </c>
    </row>
    <row r="52" spans="1:28" s="5" customFormat="1" x14ac:dyDescent="0.25">
      <c r="A52" s="5">
        <v>2032913511</v>
      </c>
      <c r="B52" s="5" t="s">
        <v>898</v>
      </c>
      <c r="C52" s="5" t="s">
        <v>899</v>
      </c>
      <c r="F52" s="5" t="s">
        <v>194</v>
      </c>
      <c r="G52" s="5" t="s">
        <v>195</v>
      </c>
      <c r="I52" s="5">
        <v>767312</v>
      </c>
      <c r="J52" s="5" t="s">
        <v>486</v>
      </c>
      <c r="K52" s="5" t="s">
        <v>379</v>
      </c>
      <c r="L52" s="5" t="str">
        <f t="shared" si="2"/>
        <v>THOMAS PARDUE</v>
      </c>
      <c r="M52" s="5" t="s">
        <v>257</v>
      </c>
      <c r="N52" s="6">
        <v>46054</v>
      </c>
      <c r="O52" s="6">
        <v>46202</v>
      </c>
      <c r="Q52" s="7">
        <v>0</v>
      </c>
      <c r="W52" s="5">
        <f>41.8/10.45</f>
        <v>4</v>
      </c>
      <c r="X52" s="7">
        <v>62.7</v>
      </c>
      <c r="Y52" s="7">
        <v>0</v>
      </c>
      <c r="Z52" s="7">
        <v>41.8</v>
      </c>
      <c r="AA52" s="7">
        <v>-20.9</v>
      </c>
      <c r="AB52" s="7">
        <v>-20.9</v>
      </c>
    </row>
    <row r="53" spans="1:28" s="5" customFormat="1" x14ac:dyDescent="0.25">
      <c r="A53" s="5">
        <v>2032913512</v>
      </c>
      <c r="B53" s="5" t="s">
        <v>898</v>
      </c>
      <c r="C53" s="5" t="s">
        <v>899</v>
      </c>
      <c r="F53" s="5" t="s">
        <v>149</v>
      </c>
      <c r="G53" s="5" t="s">
        <v>584</v>
      </c>
      <c r="I53" s="5">
        <v>767312</v>
      </c>
      <c r="J53" s="5" t="s">
        <v>486</v>
      </c>
      <c r="K53" s="5" t="s">
        <v>379</v>
      </c>
      <c r="L53" s="5" t="str">
        <f t="shared" si="2"/>
        <v>THOMAS PARDUE</v>
      </c>
      <c r="M53" s="5" t="s">
        <v>257</v>
      </c>
      <c r="N53" s="6">
        <v>46054</v>
      </c>
      <c r="O53" s="6">
        <v>46202</v>
      </c>
      <c r="Q53" s="7">
        <v>0</v>
      </c>
      <c r="W53" s="5">
        <f>17.4/4.35</f>
        <v>4</v>
      </c>
      <c r="X53" s="7">
        <v>26.1</v>
      </c>
      <c r="Y53" s="7">
        <v>0</v>
      </c>
      <c r="Z53" s="7">
        <v>17.399999999999999</v>
      </c>
      <c r="AA53" s="7">
        <v>-8.6999999999999993</v>
      </c>
      <c r="AB53" s="7">
        <v>-8.6999999999999993</v>
      </c>
    </row>
    <row r="54" spans="1:28" x14ac:dyDescent="0.25">
      <c r="A54">
        <v>2032913509</v>
      </c>
      <c r="B54" t="s">
        <v>898</v>
      </c>
      <c r="C54" t="s">
        <v>899</v>
      </c>
      <c r="F54" t="s">
        <v>237</v>
      </c>
      <c r="G54" t="s">
        <v>900</v>
      </c>
      <c r="I54">
        <v>767312</v>
      </c>
      <c r="J54" t="s">
        <v>486</v>
      </c>
      <c r="K54" t="s">
        <v>379</v>
      </c>
      <c r="L54" t="str">
        <f t="shared" si="2"/>
        <v>THOMAS PARDUE</v>
      </c>
      <c r="M54" t="s">
        <v>257</v>
      </c>
      <c r="N54" s="1">
        <v>46054</v>
      </c>
      <c r="O54" s="1">
        <v>46202</v>
      </c>
      <c r="Q54" s="2">
        <v>0</v>
      </c>
      <c r="X54" s="2">
        <v>17.34</v>
      </c>
      <c r="Y54" s="2">
        <v>0</v>
      </c>
      <c r="Z54" s="2">
        <v>11.56</v>
      </c>
      <c r="AA54" s="2">
        <v>-5.78</v>
      </c>
      <c r="AB54" s="2">
        <v>-5.78</v>
      </c>
    </row>
    <row r="55" spans="1:28" x14ac:dyDescent="0.25">
      <c r="A55">
        <v>2032913510</v>
      </c>
      <c r="B55" t="s">
        <v>898</v>
      </c>
      <c r="C55" t="s">
        <v>899</v>
      </c>
      <c r="F55" t="s">
        <v>237</v>
      </c>
      <c r="G55" t="s">
        <v>900</v>
      </c>
      <c r="I55">
        <v>767312</v>
      </c>
      <c r="J55" t="s">
        <v>486</v>
      </c>
      <c r="K55" t="s">
        <v>379</v>
      </c>
      <c r="L55" t="str">
        <f t="shared" si="2"/>
        <v>THOMAS PARDUE</v>
      </c>
      <c r="M55" t="s">
        <v>257</v>
      </c>
      <c r="N55" s="1">
        <v>46054</v>
      </c>
      <c r="O55" s="1">
        <v>46202</v>
      </c>
      <c r="Q55" s="2">
        <v>0</v>
      </c>
      <c r="X55" s="2">
        <v>8.6999999999999993</v>
      </c>
      <c r="Y55" s="2">
        <v>0</v>
      </c>
      <c r="Z55" s="2">
        <v>5.8</v>
      </c>
      <c r="AA55" s="2">
        <v>-2.9</v>
      </c>
      <c r="AB55" s="2">
        <v>-2.9</v>
      </c>
    </row>
    <row r="56" spans="1:28" x14ac:dyDescent="0.25">
      <c r="N56" s="1"/>
      <c r="O56" s="1"/>
      <c r="Q56" s="2"/>
      <c r="X56" s="2"/>
      <c r="Y56" s="2"/>
      <c r="Z56" s="2"/>
      <c r="AA56" s="2"/>
      <c r="AB56" s="2"/>
    </row>
    <row r="57" spans="1:28" x14ac:dyDescent="0.25">
      <c r="N57" s="1"/>
      <c r="O57" s="1"/>
      <c r="Q57" s="2"/>
      <c r="X57" s="2"/>
      <c r="Y57" s="2"/>
      <c r="Z57" s="2"/>
      <c r="AA57" s="2"/>
      <c r="AB57" s="2"/>
    </row>
    <row r="58" spans="1:28" x14ac:dyDescent="0.25">
      <c r="N58" s="1"/>
      <c r="O58" s="1"/>
      <c r="Q58" s="2"/>
      <c r="X58" s="2"/>
      <c r="Y58" s="2"/>
      <c r="Z58" s="2"/>
      <c r="AA58" s="2"/>
      <c r="AB58" s="2"/>
    </row>
    <row r="59" spans="1:28" x14ac:dyDescent="0.25">
      <c r="A59">
        <v>2018732057</v>
      </c>
      <c r="B59" t="s">
        <v>339</v>
      </c>
      <c r="C59" t="s">
        <v>138</v>
      </c>
      <c r="F59" t="s">
        <v>194</v>
      </c>
      <c r="G59" t="s">
        <v>881</v>
      </c>
      <c r="I59">
        <v>649163</v>
      </c>
      <c r="J59" t="s">
        <v>210</v>
      </c>
      <c r="K59" t="s">
        <v>211</v>
      </c>
      <c r="L59" t="str">
        <f t="shared" ref="L59:L85" si="3">CONCATENATE(K59," ",J59)</f>
        <v>GREGORY TEIPEL</v>
      </c>
      <c r="M59" t="s">
        <v>257</v>
      </c>
      <c r="N59" s="1">
        <v>45081</v>
      </c>
      <c r="O59" s="1">
        <v>46202</v>
      </c>
      <c r="Q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25">
      <c r="A60">
        <v>2018732056</v>
      </c>
      <c r="B60" t="s">
        <v>339</v>
      </c>
      <c r="C60" t="s">
        <v>138</v>
      </c>
      <c r="F60" t="s">
        <v>69</v>
      </c>
      <c r="G60" t="s">
        <v>338</v>
      </c>
      <c r="I60">
        <v>649163</v>
      </c>
      <c r="J60" t="s">
        <v>210</v>
      </c>
      <c r="K60" t="s">
        <v>211</v>
      </c>
      <c r="L60" t="str">
        <f t="shared" si="3"/>
        <v>GREGORY TEIPEL</v>
      </c>
      <c r="M60" t="s">
        <v>257</v>
      </c>
      <c r="N60" s="1">
        <v>45081</v>
      </c>
      <c r="O60" s="1">
        <v>46202</v>
      </c>
      <c r="Q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x14ac:dyDescent="0.25">
      <c r="A61">
        <v>2018732058</v>
      </c>
      <c r="B61" t="s">
        <v>339</v>
      </c>
      <c r="C61" t="s">
        <v>138</v>
      </c>
      <c r="F61" t="s">
        <v>194</v>
      </c>
      <c r="G61" t="s">
        <v>217</v>
      </c>
      <c r="I61">
        <v>649163</v>
      </c>
      <c r="J61" t="s">
        <v>210</v>
      </c>
      <c r="K61" t="s">
        <v>211</v>
      </c>
      <c r="L61" t="str">
        <f t="shared" si="3"/>
        <v>GREGORY TEIPEL</v>
      </c>
      <c r="M61" t="s">
        <v>257</v>
      </c>
      <c r="N61" s="1">
        <v>45081</v>
      </c>
      <c r="O61" s="1">
        <v>46202</v>
      </c>
      <c r="Q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x14ac:dyDescent="0.25">
      <c r="A62">
        <v>2019154309</v>
      </c>
      <c r="B62" t="s">
        <v>253</v>
      </c>
      <c r="C62" t="s">
        <v>254</v>
      </c>
      <c r="F62" t="s">
        <v>53</v>
      </c>
      <c r="G62" t="s">
        <v>54</v>
      </c>
      <c r="I62">
        <v>649163</v>
      </c>
      <c r="J62" t="s">
        <v>255</v>
      </c>
      <c r="K62" t="s">
        <v>256</v>
      </c>
      <c r="L62" t="str">
        <f t="shared" si="3"/>
        <v>ANNE MARIE KOZACHECK</v>
      </c>
      <c r="M62" t="s">
        <v>257</v>
      </c>
      <c r="N62" s="1">
        <v>45108</v>
      </c>
      <c r="O62" s="1">
        <v>46202</v>
      </c>
      <c r="Q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x14ac:dyDescent="0.25">
      <c r="A63">
        <v>2026958695</v>
      </c>
      <c r="B63" t="s">
        <v>294</v>
      </c>
      <c r="C63" t="s">
        <v>67</v>
      </c>
      <c r="F63" t="s">
        <v>53</v>
      </c>
      <c r="G63" t="s">
        <v>54</v>
      </c>
      <c r="I63">
        <v>649163</v>
      </c>
      <c r="J63" t="s">
        <v>295</v>
      </c>
      <c r="K63" t="s">
        <v>296</v>
      </c>
      <c r="L63" t="str">
        <f t="shared" si="3"/>
        <v>TIMOTHY POWERS</v>
      </c>
      <c r="M63" t="s">
        <v>257</v>
      </c>
      <c r="N63" s="1">
        <v>45702</v>
      </c>
      <c r="O63" s="1">
        <v>46202</v>
      </c>
      <c r="Q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x14ac:dyDescent="0.25">
      <c r="A64">
        <v>2026604984</v>
      </c>
      <c r="B64" t="s">
        <v>882</v>
      </c>
      <c r="C64" t="s">
        <v>883</v>
      </c>
      <c r="F64" t="s">
        <v>133</v>
      </c>
      <c r="G64" t="s">
        <v>134</v>
      </c>
      <c r="I64">
        <v>650218</v>
      </c>
      <c r="J64" t="s">
        <v>266</v>
      </c>
      <c r="K64" t="s">
        <v>267</v>
      </c>
      <c r="L64" t="str">
        <f t="shared" si="3"/>
        <v>CAROL FOLEY</v>
      </c>
      <c r="M64" t="s">
        <v>257</v>
      </c>
      <c r="N64" s="1">
        <v>45689</v>
      </c>
      <c r="O64" s="1">
        <v>46202</v>
      </c>
      <c r="Q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x14ac:dyDescent="0.25">
      <c r="A65">
        <v>2028143929</v>
      </c>
      <c r="B65" t="s">
        <v>884</v>
      </c>
      <c r="C65" t="s">
        <v>885</v>
      </c>
      <c r="F65" t="s">
        <v>194</v>
      </c>
      <c r="G65" t="s">
        <v>195</v>
      </c>
      <c r="I65">
        <v>649163</v>
      </c>
      <c r="J65" t="s">
        <v>229</v>
      </c>
      <c r="K65" t="s">
        <v>230</v>
      </c>
      <c r="L65" t="str">
        <f t="shared" si="3"/>
        <v>Christopher Brousseau</v>
      </c>
      <c r="M65" t="s">
        <v>257</v>
      </c>
      <c r="N65" s="1">
        <v>45754</v>
      </c>
      <c r="O65" s="1">
        <v>46202</v>
      </c>
      <c r="Q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x14ac:dyDescent="0.25">
      <c r="A66">
        <v>2027573958</v>
      </c>
      <c r="B66" t="s">
        <v>115</v>
      </c>
      <c r="C66" t="s">
        <v>886</v>
      </c>
      <c r="F66" t="s">
        <v>194</v>
      </c>
      <c r="G66" t="s">
        <v>195</v>
      </c>
      <c r="I66">
        <v>649163</v>
      </c>
      <c r="J66" t="s">
        <v>102</v>
      </c>
      <c r="K66" t="s">
        <v>103</v>
      </c>
      <c r="L66" t="str">
        <f t="shared" si="3"/>
        <v>RYAN CALTAGIRONE</v>
      </c>
      <c r="M66" t="s">
        <v>257</v>
      </c>
      <c r="N66" s="1">
        <v>45757</v>
      </c>
      <c r="O66" s="1">
        <v>46202</v>
      </c>
      <c r="Q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x14ac:dyDescent="0.25">
      <c r="A67">
        <v>2028402718</v>
      </c>
      <c r="B67" t="s">
        <v>887</v>
      </c>
      <c r="C67" t="s">
        <v>888</v>
      </c>
      <c r="F67" t="s">
        <v>194</v>
      </c>
      <c r="G67" t="s">
        <v>195</v>
      </c>
      <c r="I67">
        <v>673059</v>
      </c>
      <c r="J67" t="s">
        <v>102</v>
      </c>
      <c r="K67" t="s">
        <v>103</v>
      </c>
      <c r="L67" t="str">
        <f t="shared" si="3"/>
        <v>RYAN CALTAGIRONE</v>
      </c>
      <c r="M67" t="s">
        <v>257</v>
      </c>
      <c r="N67" s="1">
        <v>45778</v>
      </c>
      <c r="O67" s="1">
        <v>46202</v>
      </c>
      <c r="Q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x14ac:dyDescent="0.25">
      <c r="A68">
        <v>2030079839</v>
      </c>
      <c r="B68" t="s">
        <v>889</v>
      </c>
      <c r="C68" t="s">
        <v>890</v>
      </c>
      <c r="F68" t="s">
        <v>69</v>
      </c>
      <c r="G68" t="s">
        <v>79</v>
      </c>
      <c r="I68">
        <v>823068</v>
      </c>
      <c r="J68" t="s">
        <v>389</v>
      </c>
      <c r="K68" t="s">
        <v>390</v>
      </c>
      <c r="L68" t="str">
        <f t="shared" si="3"/>
        <v>Ronald Max</v>
      </c>
      <c r="M68" t="s">
        <v>257</v>
      </c>
      <c r="N68" s="1">
        <v>45861</v>
      </c>
      <c r="O68" s="1">
        <v>46202</v>
      </c>
      <c r="Q68" s="2">
        <v>0</v>
      </c>
      <c r="X68" s="2">
        <v>541.84</v>
      </c>
      <c r="Y68" s="2">
        <v>0</v>
      </c>
      <c r="Z68" s="2">
        <v>541.84</v>
      </c>
      <c r="AA68" s="2">
        <v>0</v>
      </c>
      <c r="AB68" s="2">
        <v>0</v>
      </c>
    </row>
    <row r="69" spans="1:28" x14ac:dyDescent="0.25">
      <c r="A69">
        <v>2030079840</v>
      </c>
      <c r="B69" t="s">
        <v>889</v>
      </c>
      <c r="C69" t="s">
        <v>890</v>
      </c>
      <c r="F69" t="s">
        <v>194</v>
      </c>
      <c r="G69" t="s">
        <v>881</v>
      </c>
      <c r="I69">
        <v>823068</v>
      </c>
      <c r="J69" t="s">
        <v>389</v>
      </c>
      <c r="K69" t="s">
        <v>390</v>
      </c>
      <c r="L69" t="str">
        <f t="shared" si="3"/>
        <v>Ronald Max</v>
      </c>
      <c r="M69" t="s">
        <v>257</v>
      </c>
      <c r="N69" s="1">
        <v>45861</v>
      </c>
      <c r="O69" s="1">
        <v>46202</v>
      </c>
      <c r="Q69" s="2">
        <v>0</v>
      </c>
      <c r="X69" s="2">
        <v>103.36</v>
      </c>
      <c r="Y69" s="2">
        <v>0</v>
      </c>
      <c r="Z69" s="2">
        <v>103.36</v>
      </c>
      <c r="AA69" s="2">
        <v>0</v>
      </c>
      <c r="AB69" s="2">
        <v>0</v>
      </c>
    </row>
    <row r="70" spans="1:28" x14ac:dyDescent="0.25">
      <c r="A70">
        <v>2030366106</v>
      </c>
      <c r="B70" t="s">
        <v>385</v>
      </c>
      <c r="C70" t="s">
        <v>386</v>
      </c>
      <c r="F70" t="s">
        <v>194</v>
      </c>
      <c r="G70" t="s">
        <v>195</v>
      </c>
      <c r="I70">
        <v>649163</v>
      </c>
      <c r="J70" t="s">
        <v>210</v>
      </c>
      <c r="K70" t="s">
        <v>211</v>
      </c>
      <c r="L70" t="str">
        <f t="shared" si="3"/>
        <v>GREGORY TEIPEL</v>
      </c>
      <c r="M70" t="s">
        <v>257</v>
      </c>
      <c r="N70" s="1">
        <v>45878</v>
      </c>
      <c r="O70" s="1">
        <v>46202</v>
      </c>
      <c r="Q70" s="2">
        <v>0</v>
      </c>
      <c r="X70" s="2">
        <v>119.2</v>
      </c>
      <c r="Y70" s="2">
        <v>0</v>
      </c>
      <c r="Z70" s="2">
        <v>119.2</v>
      </c>
      <c r="AA70" s="2">
        <v>0</v>
      </c>
      <c r="AB70" s="2">
        <v>0</v>
      </c>
    </row>
    <row r="71" spans="1:28" x14ac:dyDescent="0.25">
      <c r="A71">
        <v>2030366107</v>
      </c>
      <c r="B71" t="s">
        <v>385</v>
      </c>
      <c r="C71" t="s">
        <v>386</v>
      </c>
      <c r="F71" t="s">
        <v>69</v>
      </c>
      <c r="G71" t="s">
        <v>79</v>
      </c>
      <c r="I71">
        <v>649163</v>
      </c>
      <c r="J71" t="s">
        <v>210</v>
      </c>
      <c r="K71" t="s">
        <v>211</v>
      </c>
      <c r="L71" t="str">
        <f t="shared" si="3"/>
        <v>GREGORY TEIPEL</v>
      </c>
      <c r="M71" t="s">
        <v>257</v>
      </c>
      <c r="N71" s="1">
        <v>45878</v>
      </c>
      <c r="O71" s="1">
        <v>46202</v>
      </c>
      <c r="Q71" s="2">
        <v>0</v>
      </c>
      <c r="X71" s="2">
        <v>320.87</v>
      </c>
      <c r="Y71" s="2">
        <v>0</v>
      </c>
      <c r="Z71" s="2">
        <v>320.87</v>
      </c>
      <c r="AA71" s="2">
        <v>0</v>
      </c>
      <c r="AB71" s="2">
        <v>0</v>
      </c>
    </row>
    <row r="72" spans="1:28" x14ac:dyDescent="0.25">
      <c r="A72">
        <v>2031255007</v>
      </c>
      <c r="B72" t="s">
        <v>891</v>
      </c>
      <c r="C72" t="s">
        <v>892</v>
      </c>
      <c r="F72" t="s">
        <v>133</v>
      </c>
      <c r="G72" t="s">
        <v>134</v>
      </c>
      <c r="I72">
        <v>812994</v>
      </c>
      <c r="J72" t="s">
        <v>615</v>
      </c>
      <c r="K72" t="s">
        <v>616</v>
      </c>
      <c r="L72" t="str">
        <f t="shared" si="3"/>
        <v>RICARDO SANTOS</v>
      </c>
      <c r="M72" t="s">
        <v>257</v>
      </c>
      <c r="N72" s="1">
        <v>45925</v>
      </c>
      <c r="O72" s="1">
        <v>46202</v>
      </c>
      <c r="Q72" s="2">
        <v>0</v>
      </c>
      <c r="X72" s="2">
        <v>579.36</v>
      </c>
      <c r="Y72" s="2">
        <v>0</v>
      </c>
      <c r="Z72" s="2">
        <v>579.36</v>
      </c>
      <c r="AA72" s="2">
        <v>0</v>
      </c>
      <c r="AB72" s="2">
        <v>0</v>
      </c>
    </row>
    <row r="73" spans="1:28" x14ac:dyDescent="0.25">
      <c r="A73">
        <v>2031255008</v>
      </c>
      <c r="B73" t="s">
        <v>891</v>
      </c>
      <c r="C73" t="s">
        <v>892</v>
      </c>
      <c r="F73" t="s">
        <v>188</v>
      </c>
      <c r="G73" t="s">
        <v>190</v>
      </c>
      <c r="I73">
        <v>812994</v>
      </c>
      <c r="J73" t="s">
        <v>615</v>
      </c>
      <c r="K73" t="s">
        <v>616</v>
      </c>
      <c r="L73" t="str">
        <f t="shared" si="3"/>
        <v>RICARDO SANTOS</v>
      </c>
      <c r="M73" t="s">
        <v>257</v>
      </c>
      <c r="N73" s="1">
        <v>45925</v>
      </c>
      <c r="O73" s="1">
        <v>46202</v>
      </c>
      <c r="Q73" s="2">
        <v>0</v>
      </c>
      <c r="X73" s="2">
        <v>749.76</v>
      </c>
      <c r="Y73" s="2">
        <v>0</v>
      </c>
      <c r="Z73" s="2">
        <v>749.76</v>
      </c>
      <c r="AA73" s="2">
        <v>0</v>
      </c>
      <c r="AB73" s="2">
        <v>0</v>
      </c>
    </row>
    <row r="74" spans="1:28" x14ac:dyDescent="0.25">
      <c r="A74">
        <v>2031255009</v>
      </c>
      <c r="B74" t="s">
        <v>891</v>
      </c>
      <c r="C74" t="s">
        <v>892</v>
      </c>
      <c r="F74" t="s">
        <v>188</v>
      </c>
      <c r="G74" t="s">
        <v>191</v>
      </c>
      <c r="I74">
        <v>812994</v>
      </c>
      <c r="J74" t="s">
        <v>615</v>
      </c>
      <c r="K74" t="s">
        <v>616</v>
      </c>
      <c r="L74" t="str">
        <f t="shared" si="3"/>
        <v>RICARDO SANTOS</v>
      </c>
      <c r="M74" t="s">
        <v>257</v>
      </c>
      <c r="N74" s="1">
        <v>45925</v>
      </c>
      <c r="O74" s="1">
        <v>46202</v>
      </c>
      <c r="Q74" s="2">
        <v>0</v>
      </c>
      <c r="X74" s="2">
        <v>16.14</v>
      </c>
      <c r="Y74" s="2">
        <v>0</v>
      </c>
      <c r="Z74" s="2">
        <v>16.14</v>
      </c>
      <c r="AA74" s="2">
        <v>0</v>
      </c>
      <c r="AB74" s="2">
        <v>0</v>
      </c>
    </row>
    <row r="75" spans="1:28" x14ac:dyDescent="0.25">
      <c r="A75">
        <v>2031255010</v>
      </c>
      <c r="B75" t="s">
        <v>891</v>
      </c>
      <c r="C75" t="s">
        <v>892</v>
      </c>
      <c r="F75" t="s">
        <v>194</v>
      </c>
      <c r="G75" t="s">
        <v>195</v>
      </c>
      <c r="I75">
        <v>812994</v>
      </c>
      <c r="J75" t="s">
        <v>615</v>
      </c>
      <c r="K75" t="s">
        <v>616</v>
      </c>
      <c r="L75" t="str">
        <f t="shared" si="3"/>
        <v>RICARDO SANTOS</v>
      </c>
      <c r="M75" t="s">
        <v>257</v>
      </c>
      <c r="N75" s="1">
        <v>45925</v>
      </c>
      <c r="O75" s="1">
        <v>46202</v>
      </c>
      <c r="Q75" s="2">
        <v>0</v>
      </c>
      <c r="X75" s="2">
        <v>362.28</v>
      </c>
      <c r="Y75" s="2">
        <v>0</v>
      </c>
      <c r="Z75" s="2">
        <v>362.28</v>
      </c>
      <c r="AA75" s="2">
        <v>0</v>
      </c>
      <c r="AB75" s="2">
        <v>0</v>
      </c>
    </row>
    <row r="76" spans="1:28" x14ac:dyDescent="0.25">
      <c r="A76">
        <v>2031255011</v>
      </c>
      <c r="B76" t="s">
        <v>891</v>
      </c>
      <c r="C76" t="s">
        <v>892</v>
      </c>
      <c r="F76" t="s">
        <v>149</v>
      </c>
      <c r="G76" t="s">
        <v>150</v>
      </c>
      <c r="I76">
        <v>812994</v>
      </c>
      <c r="J76" t="s">
        <v>615</v>
      </c>
      <c r="K76" t="s">
        <v>616</v>
      </c>
      <c r="L76" t="str">
        <f t="shared" si="3"/>
        <v>RICARDO SANTOS</v>
      </c>
      <c r="M76" t="s">
        <v>257</v>
      </c>
      <c r="N76" s="1">
        <v>45925</v>
      </c>
      <c r="O76" s="1">
        <v>46202</v>
      </c>
      <c r="Q76" s="2">
        <v>0</v>
      </c>
      <c r="X76" s="2">
        <v>34.200000000000003</v>
      </c>
      <c r="Y76" s="2">
        <v>0</v>
      </c>
      <c r="Z76" s="2">
        <v>34.200000000000003</v>
      </c>
      <c r="AA76" s="2">
        <v>0</v>
      </c>
      <c r="AB76" s="2">
        <v>0</v>
      </c>
    </row>
    <row r="77" spans="1:28" x14ac:dyDescent="0.25">
      <c r="A77">
        <v>2031343659</v>
      </c>
      <c r="B77" t="s">
        <v>884</v>
      </c>
      <c r="C77" t="s">
        <v>893</v>
      </c>
      <c r="F77" t="s">
        <v>194</v>
      </c>
      <c r="G77" t="s">
        <v>195</v>
      </c>
      <c r="I77">
        <v>649163</v>
      </c>
      <c r="J77" t="s">
        <v>229</v>
      </c>
      <c r="K77" t="s">
        <v>230</v>
      </c>
      <c r="L77" t="str">
        <f t="shared" si="3"/>
        <v>Christopher Brousseau</v>
      </c>
      <c r="M77" t="s">
        <v>257</v>
      </c>
      <c r="N77" s="1">
        <v>45931</v>
      </c>
      <c r="O77" s="1">
        <v>46202</v>
      </c>
      <c r="Q77" s="2">
        <v>0</v>
      </c>
      <c r="X77" s="2">
        <v>54.6</v>
      </c>
      <c r="Y77" s="2">
        <v>0</v>
      </c>
      <c r="Z77" s="2">
        <v>54.6</v>
      </c>
      <c r="AA77" s="2">
        <v>0</v>
      </c>
      <c r="AB77" s="2">
        <v>0</v>
      </c>
    </row>
    <row r="78" spans="1:28" x14ac:dyDescent="0.25">
      <c r="A78">
        <v>2031343658</v>
      </c>
      <c r="B78" t="s">
        <v>884</v>
      </c>
      <c r="C78" t="s">
        <v>893</v>
      </c>
      <c r="F78" t="s">
        <v>133</v>
      </c>
      <c r="G78" t="s">
        <v>134</v>
      </c>
      <c r="I78">
        <v>649163</v>
      </c>
      <c r="J78" t="s">
        <v>229</v>
      </c>
      <c r="K78" t="s">
        <v>230</v>
      </c>
      <c r="L78" t="str">
        <f t="shared" si="3"/>
        <v>Christopher Brousseau</v>
      </c>
      <c r="M78" t="s">
        <v>257</v>
      </c>
      <c r="N78" s="1">
        <v>45931</v>
      </c>
      <c r="O78" s="1">
        <v>46202</v>
      </c>
      <c r="Q78" s="2">
        <v>0</v>
      </c>
      <c r="X78" s="2">
        <v>155.94</v>
      </c>
      <c r="Y78" s="2">
        <v>0</v>
      </c>
      <c r="Z78" s="2">
        <v>155.94</v>
      </c>
      <c r="AA78" s="2">
        <v>0</v>
      </c>
      <c r="AB78" s="2">
        <v>0</v>
      </c>
    </row>
    <row r="79" spans="1:28" x14ac:dyDescent="0.25">
      <c r="A79">
        <v>2031840268</v>
      </c>
      <c r="B79" t="s">
        <v>894</v>
      </c>
      <c r="C79" t="s">
        <v>895</v>
      </c>
      <c r="F79" t="s">
        <v>188</v>
      </c>
      <c r="G79" t="s">
        <v>190</v>
      </c>
      <c r="I79">
        <v>856163</v>
      </c>
      <c r="J79" t="s">
        <v>113</v>
      </c>
      <c r="K79" t="s">
        <v>452</v>
      </c>
      <c r="L79" t="str">
        <f t="shared" si="3"/>
        <v>Chad Yale</v>
      </c>
      <c r="M79" t="s">
        <v>257</v>
      </c>
      <c r="N79" s="1">
        <v>45959</v>
      </c>
      <c r="O79" s="1">
        <v>46202</v>
      </c>
      <c r="Q79" s="2">
        <v>0</v>
      </c>
      <c r="X79" s="2">
        <v>263.04000000000002</v>
      </c>
      <c r="Y79" s="2">
        <v>0</v>
      </c>
      <c r="Z79" s="2">
        <v>263.04000000000002</v>
      </c>
      <c r="AA79" s="2">
        <v>0</v>
      </c>
      <c r="AB79" s="2">
        <v>0</v>
      </c>
    </row>
    <row r="80" spans="1:28" x14ac:dyDescent="0.25">
      <c r="A80">
        <v>2031840269</v>
      </c>
      <c r="B80" t="s">
        <v>894</v>
      </c>
      <c r="C80" t="s">
        <v>895</v>
      </c>
      <c r="F80" t="s">
        <v>149</v>
      </c>
      <c r="G80" t="s">
        <v>150</v>
      </c>
      <c r="I80">
        <v>856163</v>
      </c>
      <c r="J80" t="s">
        <v>113</v>
      </c>
      <c r="K80" t="s">
        <v>452</v>
      </c>
      <c r="L80" t="str">
        <f t="shared" si="3"/>
        <v>Chad Yale</v>
      </c>
      <c r="M80" t="s">
        <v>257</v>
      </c>
      <c r="N80" s="1">
        <v>45959</v>
      </c>
      <c r="O80" s="1">
        <v>46202</v>
      </c>
      <c r="Q80" s="2">
        <v>0</v>
      </c>
      <c r="X80" s="2">
        <v>34.200000000000003</v>
      </c>
      <c r="Y80" s="2">
        <v>0</v>
      </c>
      <c r="Z80" s="2">
        <v>34.200000000000003</v>
      </c>
      <c r="AA80" s="2">
        <v>0</v>
      </c>
      <c r="AB80" s="2">
        <v>0</v>
      </c>
    </row>
    <row r="81" spans="1:28" x14ac:dyDescent="0.25">
      <c r="A81">
        <v>2032702836</v>
      </c>
      <c r="B81" t="s">
        <v>896</v>
      </c>
      <c r="C81" t="s">
        <v>209</v>
      </c>
      <c r="F81" t="s">
        <v>194</v>
      </c>
      <c r="G81" t="s">
        <v>195</v>
      </c>
      <c r="I81">
        <v>649163</v>
      </c>
      <c r="J81" t="s">
        <v>172</v>
      </c>
      <c r="K81" t="s">
        <v>173</v>
      </c>
      <c r="L81" t="str">
        <f t="shared" si="3"/>
        <v>Barry Schumann</v>
      </c>
      <c r="M81" t="s">
        <v>257</v>
      </c>
      <c r="N81" s="1">
        <v>46023</v>
      </c>
      <c r="O81" s="1">
        <v>46202</v>
      </c>
      <c r="Q81" s="2">
        <v>0</v>
      </c>
      <c r="X81" s="2">
        <v>115.5</v>
      </c>
      <c r="Y81" s="2">
        <v>0</v>
      </c>
      <c r="Z81" s="2">
        <v>115.5</v>
      </c>
      <c r="AA81" s="2">
        <v>0</v>
      </c>
      <c r="AB81" s="2">
        <v>0</v>
      </c>
    </row>
    <row r="82" spans="1:28" x14ac:dyDescent="0.25">
      <c r="A82">
        <v>2032586531</v>
      </c>
      <c r="B82" t="s">
        <v>897</v>
      </c>
      <c r="C82" t="s">
        <v>335</v>
      </c>
      <c r="F82" t="s">
        <v>194</v>
      </c>
      <c r="G82" t="s">
        <v>195</v>
      </c>
      <c r="I82">
        <v>757719</v>
      </c>
      <c r="J82" t="s">
        <v>186</v>
      </c>
      <c r="K82" t="s">
        <v>625</v>
      </c>
      <c r="L82" t="str">
        <f t="shared" si="3"/>
        <v>STACEY PORTUGAL</v>
      </c>
      <c r="M82" t="s">
        <v>257</v>
      </c>
      <c r="N82" s="1">
        <v>46023</v>
      </c>
      <c r="O82" s="1">
        <v>46202</v>
      </c>
      <c r="Q82" s="2">
        <v>0</v>
      </c>
      <c r="X82" s="2">
        <v>855.72</v>
      </c>
      <c r="Y82" s="2">
        <v>0</v>
      </c>
      <c r="Z82" s="2">
        <v>855.72</v>
      </c>
      <c r="AA82" s="2">
        <v>0</v>
      </c>
      <c r="AB82" s="2">
        <v>0</v>
      </c>
    </row>
    <row r="83" spans="1:28" x14ac:dyDescent="0.25">
      <c r="A83">
        <v>2033010308</v>
      </c>
      <c r="B83" t="s">
        <v>430</v>
      </c>
      <c r="C83" t="s">
        <v>431</v>
      </c>
      <c r="F83" t="s">
        <v>133</v>
      </c>
      <c r="G83" t="s">
        <v>134</v>
      </c>
      <c r="I83">
        <v>649163</v>
      </c>
      <c r="J83" t="s">
        <v>113</v>
      </c>
      <c r="K83" t="s">
        <v>114</v>
      </c>
      <c r="L83" t="str">
        <f t="shared" si="3"/>
        <v>Richard Yale</v>
      </c>
      <c r="M83" t="s">
        <v>257</v>
      </c>
      <c r="N83" s="1">
        <v>46032</v>
      </c>
      <c r="O83" s="1">
        <v>46202</v>
      </c>
      <c r="Q83" s="2">
        <v>0</v>
      </c>
      <c r="X83" s="2">
        <v>177.24</v>
      </c>
      <c r="Y83" s="2">
        <v>0</v>
      </c>
      <c r="Z83" s="2">
        <v>177.24</v>
      </c>
      <c r="AA83" s="2">
        <v>0</v>
      </c>
      <c r="AB83" s="2">
        <v>0</v>
      </c>
    </row>
    <row r="84" spans="1:28" x14ac:dyDescent="0.25">
      <c r="A84">
        <v>2033010310</v>
      </c>
      <c r="B84" t="s">
        <v>430</v>
      </c>
      <c r="C84" t="s">
        <v>431</v>
      </c>
      <c r="F84" t="s">
        <v>194</v>
      </c>
      <c r="G84" t="s">
        <v>217</v>
      </c>
      <c r="I84">
        <v>649163</v>
      </c>
      <c r="J84" t="s">
        <v>113</v>
      </c>
      <c r="K84" t="s">
        <v>114</v>
      </c>
      <c r="L84" t="str">
        <f t="shared" si="3"/>
        <v>Richard Yale</v>
      </c>
      <c r="M84" t="s">
        <v>257</v>
      </c>
      <c r="N84" s="1">
        <v>46032</v>
      </c>
      <c r="O84" s="1">
        <v>46202</v>
      </c>
      <c r="Q84" s="2">
        <v>0</v>
      </c>
      <c r="X84" s="2">
        <v>182.28</v>
      </c>
      <c r="Y84" s="2">
        <v>0</v>
      </c>
      <c r="Z84" s="2">
        <v>182.28</v>
      </c>
      <c r="AA84" s="2">
        <v>0</v>
      </c>
      <c r="AB84" s="2">
        <v>0</v>
      </c>
    </row>
    <row r="85" spans="1:28" x14ac:dyDescent="0.25">
      <c r="A85">
        <v>2033010311</v>
      </c>
      <c r="B85" t="s">
        <v>430</v>
      </c>
      <c r="C85" t="s">
        <v>431</v>
      </c>
      <c r="F85" t="s">
        <v>69</v>
      </c>
      <c r="G85" t="s">
        <v>70</v>
      </c>
      <c r="I85">
        <v>649163</v>
      </c>
      <c r="J85" t="s">
        <v>113</v>
      </c>
      <c r="K85" t="s">
        <v>114</v>
      </c>
      <c r="L85" t="str">
        <f t="shared" si="3"/>
        <v>Richard Yale</v>
      </c>
      <c r="M85" t="s">
        <v>257</v>
      </c>
      <c r="N85" s="1">
        <v>46032</v>
      </c>
      <c r="O85" s="1">
        <v>46202</v>
      </c>
      <c r="Q85" s="2">
        <v>0</v>
      </c>
      <c r="X85" s="2">
        <v>78.36</v>
      </c>
      <c r="Y85" s="2">
        <v>0</v>
      </c>
      <c r="Z85" s="2">
        <v>78.36</v>
      </c>
      <c r="AA85" s="2">
        <v>0</v>
      </c>
      <c r="AB85" s="2">
        <v>0</v>
      </c>
    </row>
  </sheetData>
  <sortState xmlns:xlrd2="http://schemas.microsoft.com/office/spreadsheetml/2017/richdata2" ref="A36:AY55">
    <sortCondition ref="L36:L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6294-FC95-4635-AB65-DDE380F12DAD}">
  <dimension ref="A1:BC95"/>
  <sheetViews>
    <sheetView topLeftCell="I1" workbookViewId="0">
      <selection activeCell="T5" sqref="T5"/>
    </sheetView>
  </sheetViews>
  <sheetFormatPr defaultRowHeight="15" x14ac:dyDescent="0.25"/>
  <cols>
    <col min="1" max="1" width="11" bestFit="1" customWidth="1"/>
    <col min="8" max="8" width="29.140625" customWidth="1"/>
    <col min="9" max="9" width="26" customWidth="1"/>
    <col min="11" max="11" width="12.85546875" bestFit="1" customWidth="1"/>
    <col min="14" max="14" width="21.42578125" bestFit="1" customWidth="1"/>
    <col min="18" max="18" width="13.5703125" bestFit="1" customWidth="1"/>
    <col min="19" max="19" width="12" bestFit="1" customWidth="1"/>
  </cols>
  <sheetData>
    <row r="1" spans="1:30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19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37</v>
      </c>
      <c r="AB1" t="s">
        <v>38</v>
      </c>
      <c r="AC1" t="s">
        <v>39</v>
      </c>
      <c r="AD1" t="s">
        <v>40</v>
      </c>
    </row>
    <row r="2" spans="1:30" s="5" customFormat="1" x14ac:dyDescent="0.25">
      <c r="A2" s="5">
        <v>2036083728</v>
      </c>
      <c r="B2" s="5" t="s">
        <v>87</v>
      </c>
      <c r="C2" s="5" t="s">
        <v>88</v>
      </c>
      <c r="D2" s="5" t="str">
        <f>CONCATENATE(C2," ",B2)</f>
        <v>JACQUELINE PENNINGTON</v>
      </c>
      <c r="E2" s="5" t="s">
        <v>89</v>
      </c>
      <c r="F2" s="5" t="s">
        <v>69</v>
      </c>
      <c r="G2" s="15">
        <v>0.9</v>
      </c>
      <c r="H2" s="5" t="s">
        <v>79</v>
      </c>
      <c r="I2" s="5" t="s">
        <v>1080</v>
      </c>
      <c r="J2" s="5">
        <v>7470776</v>
      </c>
      <c r="K2" s="5" t="str">
        <f>CONCATENATE(J2,"AV6")</f>
        <v>7470776AV6</v>
      </c>
      <c r="L2" s="5" t="s">
        <v>90</v>
      </c>
      <c r="M2" s="5" t="s">
        <v>91</v>
      </c>
      <c r="N2" s="5" t="str">
        <f t="shared" ref="N2:N33" si="0">CONCATENATE(M2," ",L2)</f>
        <v>Andrew Choi</v>
      </c>
      <c r="O2" s="5" t="s">
        <v>1138</v>
      </c>
      <c r="P2" s="5" t="s">
        <v>1134</v>
      </c>
      <c r="Q2" s="5" t="s">
        <v>57</v>
      </c>
      <c r="R2" s="6">
        <v>46204</v>
      </c>
      <c r="S2" s="6">
        <v>46235</v>
      </c>
      <c r="T2" s="7">
        <v>56.35</v>
      </c>
      <c r="U2" s="5" t="s">
        <v>58</v>
      </c>
      <c r="V2" s="5">
        <v>0</v>
      </c>
      <c r="W2" s="5" t="s">
        <v>60</v>
      </c>
      <c r="X2" s="5" t="s">
        <v>61</v>
      </c>
      <c r="Y2" s="5">
        <v>6</v>
      </c>
      <c r="Z2" s="7">
        <v>304.32</v>
      </c>
      <c r="AA2" s="7">
        <v>50.72</v>
      </c>
      <c r="AB2" s="7">
        <v>0</v>
      </c>
      <c r="AC2" s="7">
        <v>304.32</v>
      </c>
      <c r="AD2" s="7">
        <v>0</v>
      </c>
    </row>
    <row r="3" spans="1:30" s="5" customFormat="1" x14ac:dyDescent="0.25">
      <c r="A3" s="5">
        <v>2036182099</v>
      </c>
      <c r="B3" s="5" t="s">
        <v>106</v>
      </c>
      <c r="C3" s="5" t="s">
        <v>107</v>
      </c>
      <c r="D3" s="5" t="str">
        <f t="shared" ref="D3:D66" si="1">CONCATENATE(C3," ",B3)</f>
        <v>MACHLIN MANUEL</v>
      </c>
      <c r="E3" s="5" t="s">
        <v>89</v>
      </c>
      <c r="F3" s="5" t="s">
        <v>69</v>
      </c>
      <c r="G3" s="15">
        <v>0.9</v>
      </c>
      <c r="H3" s="5" t="s">
        <v>79</v>
      </c>
      <c r="I3" s="5" t="s">
        <v>1080</v>
      </c>
      <c r="J3" s="5">
        <v>7470776</v>
      </c>
      <c r="K3" s="5" t="str">
        <f t="shared" ref="K3:K58" si="2">CONCATENATE(J3,"AV6")</f>
        <v>7470776AV6</v>
      </c>
      <c r="L3" s="5" t="s">
        <v>90</v>
      </c>
      <c r="M3" s="5" t="s">
        <v>91</v>
      </c>
      <c r="N3" s="5" t="str">
        <f t="shared" si="0"/>
        <v>Andrew Choi</v>
      </c>
      <c r="O3" s="5" t="s">
        <v>1138</v>
      </c>
      <c r="P3" s="5" t="s">
        <v>1134</v>
      </c>
      <c r="Q3" s="5" t="s">
        <v>57</v>
      </c>
      <c r="R3" s="6">
        <v>46198</v>
      </c>
      <c r="S3" s="6">
        <v>46228</v>
      </c>
      <c r="T3" s="7">
        <v>59.42</v>
      </c>
      <c r="U3" s="5" t="s">
        <v>58</v>
      </c>
      <c r="V3" s="5">
        <v>0</v>
      </c>
      <c r="W3" s="5" t="s">
        <v>60</v>
      </c>
      <c r="X3" s="5" t="s">
        <v>61</v>
      </c>
      <c r="Y3" s="5">
        <v>6</v>
      </c>
      <c r="Z3" s="7">
        <v>320.88</v>
      </c>
      <c r="AA3" s="7">
        <v>53.48</v>
      </c>
      <c r="AB3" s="7">
        <v>0</v>
      </c>
      <c r="AC3" s="7">
        <v>320.88</v>
      </c>
      <c r="AD3" s="7">
        <v>0</v>
      </c>
    </row>
    <row r="4" spans="1:30" s="5" customFormat="1" x14ac:dyDescent="0.25">
      <c r="A4" s="5">
        <v>2036199339</v>
      </c>
      <c r="B4" s="5" t="s">
        <v>106</v>
      </c>
      <c r="C4" s="5" t="s">
        <v>110</v>
      </c>
      <c r="D4" s="5" t="str">
        <f t="shared" si="1"/>
        <v>MARISH MANUEL</v>
      </c>
      <c r="E4" s="5" t="s">
        <v>89</v>
      </c>
      <c r="F4" s="5" t="s">
        <v>69</v>
      </c>
      <c r="G4" s="15">
        <v>0.9</v>
      </c>
      <c r="H4" s="5" t="s">
        <v>79</v>
      </c>
      <c r="I4" s="5" t="s">
        <v>1080</v>
      </c>
      <c r="J4" s="5">
        <v>7470776</v>
      </c>
      <c r="K4" s="5" t="str">
        <f t="shared" si="2"/>
        <v>7470776AV6</v>
      </c>
      <c r="L4" s="5" t="s">
        <v>90</v>
      </c>
      <c r="M4" s="5" t="s">
        <v>91</v>
      </c>
      <c r="N4" s="5" t="str">
        <f t="shared" si="0"/>
        <v>Andrew Choi</v>
      </c>
      <c r="O4" s="5" t="s">
        <v>1138</v>
      </c>
      <c r="P4" s="5" t="s">
        <v>1134</v>
      </c>
      <c r="Q4" s="5" t="s">
        <v>57</v>
      </c>
      <c r="R4" s="6">
        <v>46198</v>
      </c>
      <c r="S4" s="6">
        <v>46228</v>
      </c>
      <c r="T4" s="7">
        <v>54.33</v>
      </c>
      <c r="U4" s="5" t="s">
        <v>58</v>
      </c>
      <c r="V4" s="5">
        <v>0</v>
      </c>
      <c r="W4" s="5" t="s">
        <v>60</v>
      </c>
      <c r="X4" s="5" t="s">
        <v>61</v>
      </c>
      <c r="Y4" s="5">
        <v>6</v>
      </c>
      <c r="Z4" s="7">
        <v>293.39999999999998</v>
      </c>
      <c r="AA4" s="7">
        <v>48.9</v>
      </c>
      <c r="AB4" s="7">
        <v>0</v>
      </c>
      <c r="AC4" s="7">
        <v>293.39999999999998</v>
      </c>
      <c r="AD4" s="7">
        <v>0</v>
      </c>
    </row>
    <row r="5" spans="1:30" s="5" customFormat="1" x14ac:dyDescent="0.25">
      <c r="A5" s="5">
        <v>2036182104</v>
      </c>
      <c r="B5" s="5" t="s">
        <v>106</v>
      </c>
      <c r="C5" s="5" t="s">
        <v>107</v>
      </c>
      <c r="D5" s="5" t="str">
        <f t="shared" si="1"/>
        <v>MACHLIN MANUEL</v>
      </c>
      <c r="E5" s="5" t="s">
        <v>89</v>
      </c>
      <c r="F5" s="5" t="s">
        <v>149</v>
      </c>
      <c r="G5" s="15">
        <v>0.38</v>
      </c>
      <c r="H5" s="5" t="s">
        <v>150</v>
      </c>
      <c r="I5" s="5" t="s">
        <v>150</v>
      </c>
      <c r="J5" s="5">
        <v>7470776</v>
      </c>
      <c r="K5" s="5" t="str">
        <f t="shared" si="2"/>
        <v>7470776AV6</v>
      </c>
      <c r="L5" s="5" t="s">
        <v>90</v>
      </c>
      <c r="M5" s="5" t="s">
        <v>91</v>
      </c>
      <c r="N5" s="5" t="str">
        <f t="shared" si="0"/>
        <v>Andrew Choi</v>
      </c>
      <c r="O5" s="5" t="s">
        <v>1138</v>
      </c>
      <c r="P5" s="5" t="s">
        <v>1134</v>
      </c>
      <c r="Q5" s="5" t="s">
        <v>57</v>
      </c>
      <c r="R5" s="6">
        <v>46198</v>
      </c>
      <c r="S5" s="6">
        <v>46228</v>
      </c>
      <c r="T5" s="7">
        <v>15</v>
      </c>
      <c r="U5" s="5" t="s">
        <v>58</v>
      </c>
      <c r="V5" s="5">
        <v>0</v>
      </c>
      <c r="W5" s="5" t="s">
        <v>60</v>
      </c>
      <c r="X5" s="5" t="s">
        <v>61</v>
      </c>
      <c r="Y5" s="5">
        <v>6</v>
      </c>
      <c r="Z5" s="7">
        <v>34.200000000000003</v>
      </c>
      <c r="AA5" s="7">
        <v>5.7</v>
      </c>
      <c r="AB5" s="7">
        <v>0</v>
      </c>
      <c r="AC5" s="7">
        <v>34.200000000000003</v>
      </c>
      <c r="AD5" s="7">
        <v>0</v>
      </c>
    </row>
    <row r="6" spans="1:30" s="5" customFormat="1" x14ac:dyDescent="0.25">
      <c r="A6" s="5">
        <v>2036199340</v>
      </c>
      <c r="B6" s="5" t="s">
        <v>106</v>
      </c>
      <c r="C6" s="5" t="s">
        <v>110</v>
      </c>
      <c r="D6" s="5" t="str">
        <f t="shared" si="1"/>
        <v>MARISH MANUEL</v>
      </c>
      <c r="E6" s="5" t="s">
        <v>89</v>
      </c>
      <c r="F6" s="5" t="s">
        <v>149</v>
      </c>
      <c r="G6" s="15">
        <v>0.38</v>
      </c>
      <c r="H6" s="5" t="s">
        <v>150</v>
      </c>
      <c r="I6" s="5" t="s">
        <v>150</v>
      </c>
      <c r="J6" s="5">
        <v>7470776</v>
      </c>
      <c r="K6" s="5" t="str">
        <f t="shared" si="2"/>
        <v>7470776AV6</v>
      </c>
      <c r="L6" s="5" t="s">
        <v>90</v>
      </c>
      <c r="M6" s="5" t="s">
        <v>91</v>
      </c>
      <c r="N6" s="5" t="str">
        <f t="shared" si="0"/>
        <v>Andrew Choi</v>
      </c>
      <c r="O6" s="5" t="s">
        <v>1138</v>
      </c>
      <c r="P6" s="5" t="s">
        <v>1134</v>
      </c>
      <c r="Q6" s="5" t="s">
        <v>57</v>
      </c>
      <c r="R6" s="6">
        <v>46198</v>
      </c>
      <c r="S6" s="6">
        <v>46228</v>
      </c>
      <c r="T6" s="7">
        <v>15</v>
      </c>
      <c r="U6" s="5" t="s">
        <v>58</v>
      </c>
      <c r="V6" s="5">
        <v>0</v>
      </c>
      <c r="W6" s="5" t="s">
        <v>60</v>
      </c>
      <c r="X6" s="5" t="s">
        <v>61</v>
      </c>
      <c r="Y6" s="5">
        <v>6</v>
      </c>
      <c r="Z6" s="7">
        <v>34.200000000000003</v>
      </c>
      <c r="AA6" s="7">
        <v>5.7</v>
      </c>
      <c r="AB6" s="7">
        <v>0</v>
      </c>
      <c r="AC6" s="7">
        <v>34.200000000000003</v>
      </c>
      <c r="AD6" s="7">
        <v>0</v>
      </c>
    </row>
    <row r="7" spans="1:30" s="5" customFormat="1" x14ac:dyDescent="0.25">
      <c r="A7" s="5">
        <v>2036083726</v>
      </c>
      <c r="B7" s="5" t="s">
        <v>87</v>
      </c>
      <c r="C7" s="5" t="s">
        <v>88</v>
      </c>
      <c r="D7" s="5" t="str">
        <f t="shared" si="1"/>
        <v>JACQUELINE PENNINGTON</v>
      </c>
      <c r="E7" s="5" t="s">
        <v>89</v>
      </c>
      <c r="F7" s="5" t="s">
        <v>133</v>
      </c>
      <c r="G7" s="16">
        <v>0.375</v>
      </c>
      <c r="H7" s="5" t="s">
        <v>134</v>
      </c>
      <c r="I7" s="5" t="s">
        <v>134</v>
      </c>
      <c r="J7" s="5">
        <v>7470776</v>
      </c>
      <c r="K7" s="5" t="str">
        <f t="shared" si="2"/>
        <v>7470776AV6</v>
      </c>
      <c r="L7" s="5" t="s">
        <v>90</v>
      </c>
      <c r="M7" s="5" t="s">
        <v>91</v>
      </c>
      <c r="N7" s="5" t="str">
        <f t="shared" si="0"/>
        <v>Andrew Choi</v>
      </c>
      <c r="O7" s="5" t="s">
        <v>1138</v>
      </c>
      <c r="P7" s="5" t="s">
        <v>1134</v>
      </c>
      <c r="Q7" s="5" t="s">
        <v>57</v>
      </c>
      <c r="R7" s="6">
        <v>46204</v>
      </c>
      <c r="S7" s="6">
        <v>46235</v>
      </c>
      <c r="T7" s="7">
        <v>265.58999999999997</v>
      </c>
      <c r="U7" s="5" t="s">
        <v>58</v>
      </c>
      <c r="V7" s="5">
        <v>0</v>
      </c>
      <c r="W7" s="5" t="s">
        <v>60</v>
      </c>
      <c r="X7" s="5" t="s">
        <v>61</v>
      </c>
      <c r="Y7" s="5">
        <v>6</v>
      </c>
      <c r="Z7" s="7">
        <v>597.6</v>
      </c>
      <c r="AA7" s="7">
        <v>99.6</v>
      </c>
      <c r="AB7" s="7">
        <v>0</v>
      </c>
      <c r="AC7" s="7">
        <v>597.6</v>
      </c>
      <c r="AD7" s="7">
        <v>0</v>
      </c>
    </row>
    <row r="8" spans="1:30" s="5" customFormat="1" x14ac:dyDescent="0.25">
      <c r="A8" s="5">
        <v>2036182100</v>
      </c>
      <c r="B8" s="5" t="s">
        <v>106</v>
      </c>
      <c r="C8" s="5" t="s">
        <v>107</v>
      </c>
      <c r="D8" s="5" t="str">
        <f t="shared" si="1"/>
        <v>MACHLIN MANUEL</v>
      </c>
      <c r="E8" s="5" t="s">
        <v>89</v>
      </c>
      <c r="F8" s="5" t="s">
        <v>133</v>
      </c>
      <c r="G8" s="16">
        <v>0.375</v>
      </c>
      <c r="H8" s="5" t="s">
        <v>134</v>
      </c>
      <c r="I8" s="5" t="s">
        <v>134</v>
      </c>
      <c r="J8" s="5">
        <v>7470776</v>
      </c>
      <c r="K8" s="5" t="str">
        <f t="shared" si="2"/>
        <v>7470776AV6</v>
      </c>
      <c r="L8" s="5" t="s">
        <v>90</v>
      </c>
      <c r="M8" s="5" t="s">
        <v>91</v>
      </c>
      <c r="N8" s="5" t="str">
        <f t="shared" si="0"/>
        <v>Andrew Choi</v>
      </c>
      <c r="O8" s="5" t="s">
        <v>1138</v>
      </c>
      <c r="P8" s="5" t="s">
        <v>1134</v>
      </c>
      <c r="Q8" s="5" t="s">
        <v>57</v>
      </c>
      <c r="R8" s="6">
        <v>46198</v>
      </c>
      <c r="S8" s="6">
        <v>46228</v>
      </c>
      <c r="T8" s="7">
        <v>78.760000000000005</v>
      </c>
      <c r="U8" s="5" t="s">
        <v>58</v>
      </c>
      <c r="V8" s="5">
        <v>0</v>
      </c>
      <c r="W8" s="5" t="s">
        <v>60</v>
      </c>
      <c r="X8" s="5" t="s">
        <v>61</v>
      </c>
      <c r="Y8" s="5">
        <v>6</v>
      </c>
      <c r="Z8" s="7">
        <v>177.24</v>
      </c>
      <c r="AA8" s="7">
        <v>29.54</v>
      </c>
      <c r="AB8" s="7">
        <v>0</v>
      </c>
      <c r="AC8" s="7">
        <v>177.24</v>
      </c>
      <c r="AD8" s="7">
        <v>0</v>
      </c>
    </row>
    <row r="9" spans="1:30" s="5" customFormat="1" x14ac:dyDescent="0.25">
      <c r="A9" s="5">
        <v>2036199338</v>
      </c>
      <c r="B9" s="5" t="s">
        <v>106</v>
      </c>
      <c r="C9" s="5" t="s">
        <v>110</v>
      </c>
      <c r="D9" s="5" t="str">
        <f t="shared" si="1"/>
        <v>MARISH MANUEL</v>
      </c>
      <c r="E9" s="5" t="s">
        <v>89</v>
      </c>
      <c r="F9" s="5" t="s">
        <v>133</v>
      </c>
      <c r="G9" s="16">
        <v>0.375</v>
      </c>
      <c r="H9" s="5" t="s">
        <v>134</v>
      </c>
      <c r="I9" s="5" t="s">
        <v>134</v>
      </c>
      <c r="J9" s="5">
        <v>7470776</v>
      </c>
      <c r="K9" s="5" t="str">
        <f t="shared" si="2"/>
        <v>7470776AV6</v>
      </c>
      <c r="L9" s="5" t="s">
        <v>90</v>
      </c>
      <c r="M9" s="5" t="s">
        <v>91</v>
      </c>
      <c r="N9" s="5" t="str">
        <f t="shared" si="0"/>
        <v>Andrew Choi</v>
      </c>
      <c r="O9" s="5" t="s">
        <v>1138</v>
      </c>
      <c r="P9" s="5" t="s">
        <v>1134</v>
      </c>
      <c r="Q9" s="5" t="s">
        <v>57</v>
      </c>
      <c r="R9" s="6">
        <v>46198</v>
      </c>
      <c r="S9" s="6">
        <v>46228</v>
      </c>
      <c r="T9" s="7">
        <v>78.760000000000005</v>
      </c>
      <c r="U9" s="5" t="s">
        <v>58</v>
      </c>
      <c r="V9" s="5">
        <v>0</v>
      </c>
      <c r="W9" s="5" t="s">
        <v>60</v>
      </c>
      <c r="X9" s="5" t="s">
        <v>61</v>
      </c>
      <c r="Y9" s="5">
        <v>6</v>
      </c>
      <c r="Z9" s="7">
        <v>177.24</v>
      </c>
      <c r="AA9" s="7">
        <v>29.54</v>
      </c>
      <c r="AB9" s="7">
        <v>0</v>
      </c>
      <c r="AC9" s="7">
        <v>177.24</v>
      </c>
      <c r="AD9" s="7">
        <v>0</v>
      </c>
    </row>
    <row r="10" spans="1:30" s="5" customFormat="1" x14ac:dyDescent="0.25">
      <c r="A10" s="5">
        <v>2036182101</v>
      </c>
      <c r="B10" s="5" t="s">
        <v>106</v>
      </c>
      <c r="C10" s="5" t="s">
        <v>107</v>
      </c>
      <c r="D10" s="5" t="str">
        <f t="shared" si="1"/>
        <v>MACHLIN MANUEL</v>
      </c>
      <c r="E10" s="5" t="s">
        <v>89</v>
      </c>
      <c r="F10" s="5" t="s">
        <v>188</v>
      </c>
      <c r="G10" s="15">
        <v>0.38</v>
      </c>
      <c r="H10" s="5" t="s">
        <v>190</v>
      </c>
      <c r="I10" s="5" t="s">
        <v>190</v>
      </c>
      <c r="J10" s="5">
        <v>7470776</v>
      </c>
      <c r="K10" s="5" t="str">
        <f t="shared" si="2"/>
        <v>7470776AV6</v>
      </c>
      <c r="L10" s="5" t="s">
        <v>90</v>
      </c>
      <c r="M10" s="5" t="s">
        <v>91</v>
      </c>
      <c r="N10" s="5" t="str">
        <f t="shared" si="0"/>
        <v>Andrew Choi</v>
      </c>
      <c r="O10" s="5" t="s">
        <v>1138</v>
      </c>
      <c r="P10" s="5" t="s">
        <v>1134</v>
      </c>
      <c r="Q10" s="5" t="s">
        <v>57</v>
      </c>
      <c r="R10" s="6">
        <v>46198</v>
      </c>
      <c r="S10" s="6">
        <v>46228</v>
      </c>
      <c r="T10" s="7">
        <v>131.32</v>
      </c>
      <c r="U10" s="5" t="s">
        <v>58</v>
      </c>
      <c r="V10" s="5">
        <v>0</v>
      </c>
      <c r="W10" s="5" t="s">
        <v>60</v>
      </c>
      <c r="X10" s="5" t="s">
        <v>61</v>
      </c>
      <c r="Y10" s="5">
        <v>6</v>
      </c>
      <c r="Z10" s="7">
        <v>299.39999999999998</v>
      </c>
      <c r="AA10" s="7">
        <v>49.9</v>
      </c>
      <c r="AB10" s="7">
        <v>0</v>
      </c>
      <c r="AC10" s="7">
        <v>299.39999999999998</v>
      </c>
      <c r="AD10" s="7">
        <v>0</v>
      </c>
    </row>
    <row r="11" spans="1:30" s="5" customFormat="1" x14ac:dyDescent="0.25">
      <c r="A11" s="5">
        <v>2036199335</v>
      </c>
      <c r="B11" s="5" t="s">
        <v>106</v>
      </c>
      <c r="C11" s="5" t="s">
        <v>110</v>
      </c>
      <c r="D11" s="5" t="str">
        <f t="shared" si="1"/>
        <v>MARISH MANUEL</v>
      </c>
      <c r="E11" s="5" t="s">
        <v>89</v>
      </c>
      <c r="F11" s="5" t="s">
        <v>188</v>
      </c>
      <c r="G11" s="15">
        <v>0.38</v>
      </c>
      <c r="H11" s="5" t="s">
        <v>190</v>
      </c>
      <c r="I11" s="5" t="s">
        <v>190</v>
      </c>
      <c r="J11" s="5">
        <v>7470776</v>
      </c>
      <c r="K11" s="5" t="str">
        <f t="shared" si="2"/>
        <v>7470776AV6</v>
      </c>
      <c r="L11" s="5" t="s">
        <v>90</v>
      </c>
      <c r="M11" s="5" t="s">
        <v>91</v>
      </c>
      <c r="N11" s="5" t="str">
        <f t="shared" si="0"/>
        <v>Andrew Choi</v>
      </c>
      <c r="O11" s="5" t="s">
        <v>1138</v>
      </c>
      <c r="P11" s="5" t="s">
        <v>1134</v>
      </c>
      <c r="Q11" s="5" t="s">
        <v>57</v>
      </c>
      <c r="R11" s="6">
        <v>46198</v>
      </c>
      <c r="S11" s="6">
        <v>46228</v>
      </c>
      <c r="T11" s="7">
        <v>131.32</v>
      </c>
      <c r="U11" s="5" t="s">
        <v>58</v>
      </c>
      <c r="V11" s="5">
        <v>0</v>
      </c>
      <c r="W11" s="5" t="s">
        <v>60</v>
      </c>
      <c r="X11" s="5" t="s">
        <v>61</v>
      </c>
      <c r="Y11" s="5">
        <v>6</v>
      </c>
      <c r="Z11" s="7">
        <v>299.39999999999998</v>
      </c>
      <c r="AA11" s="7">
        <v>49.9</v>
      </c>
      <c r="AB11" s="7">
        <v>0</v>
      </c>
      <c r="AC11" s="7">
        <v>299.39999999999998</v>
      </c>
      <c r="AD11" s="7">
        <v>0</v>
      </c>
    </row>
    <row r="12" spans="1:30" s="5" customFormat="1" x14ac:dyDescent="0.25">
      <c r="A12" s="5">
        <v>2036182102</v>
      </c>
      <c r="B12" s="5" t="s">
        <v>106</v>
      </c>
      <c r="C12" s="5" t="s">
        <v>107</v>
      </c>
      <c r="D12" s="5" t="str">
        <f t="shared" si="1"/>
        <v>MACHLIN MANUEL</v>
      </c>
      <c r="E12" s="5" t="s">
        <v>89</v>
      </c>
      <c r="F12" s="5" t="s">
        <v>188</v>
      </c>
      <c r="G12" s="15">
        <v>0.38</v>
      </c>
      <c r="H12" s="5" t="s">
        <v>191</v>
      </c>
      <c r="I12" s="5" t="s">
        <v>190</v>
      </c>
      <c r="J12" s="5">
        <v>7470776</v>
      </c>
      <c r="K12" s="5" t="str">
        <f t="shared" si="2"/>
        <v>7470776AV6</v>
      </c>
      <c r="L12" s="5" t="s">
        <v>90</v>
      </c>
      <c r="M12" s="5" t="s">
        <v>91</v>
      </c>
      <c r="N12" s="5" t="str">
        <f t="shared" si="0"/>
        <v>Andrew Choi</v>
      </c>
      <c r="O12" s="5" t="s">
        <v>1138</v>
      </c>
      <c r="P12" s="5" t="s">
        <v>1134</v>
      </c>
      <c r="Q12" s="5" t="s">
        <v>57</v>
      </c>
      <c r="R12" s="6">
        <v>46198</v>
      </c>
      <c r="S12" s="6">
        <v>46228</v>
      </c>
      <c r="T12" s="7">
        <v>9.9499999999999993</v>
      </c>
      <c r="U12" s="5" t="s">
        <v>58</v>
      </c>
      <c r="V12" s="5">
        <v>0</v>
      </c>
      <c r="W12" s="5" t="s">
        <v>60</v>
      </c>
      <c r="X12" s="5" t="s">
        <v>61</v>
      </c>
      <c r="Y12" s="5">
        <v>6</v>
      </c>
      <c r="Z12" s="7">
        <v>22.68</v>
      </c>
      <c r="AA12" s="7">
        <v>3.78</v>
      </c>
      <c r="AB12" s="7">
        <v>0</v>
      </c>
      <c r="AC12" s="7">
        <v>22.68</v>
      </c>
      <c r="AD12" s="7">
        <v>0</v>
      </c>
    </row>
    <row r="13" spans="1:30" s="5" customFormat="1" x14ac:dyDescent="0.25">
      <c r="A13" s="5">
        <v>2036182103</v>
      </c>
      <c r="B13" s="5" t="s">
        <v>106</v>
      </c>
      <c r="C13" s="5" t="s">
        <v>107</v>
      </c>
      <c r="D13" s="5" t="str">
        <f t="shared" si="1"/>
        <v>MACHLIN MANUEL</v>
      </c>
      <c r="E13" s="5" t="s">
        <v>89</v>
      </c>
      <c r="F13" s="5" t="s">
        <v>188</v>
      </c>
      <c r="G13" s="15">
        <v>0.38</v>
      </c>
      <c r="H13" s="5" t="s">
        <v>191</v>
      </c>
      <c r="I13" s="5" t="s">
        <v>190</v>
      </c>
      <c r="J13" s="5">
        <v>7470776</v>
      </c>
      <c r="K13" s="5" t="str">
        <f t="shared" si="2"/>
        <v>7470776AV6</v>
      </c>
      <c r="L13" s="5" t="s">
        <v>90</v>
      </c>
      <c r="M13" s="5" t="s">
        <v>91</v>
      </c>
      <c r="N13" s="5" t="str">
        <f t="shared" si="0"/>
        <v>Andrew Choi</v>
      </c>
      <c r="O13" s="5" t="s">
        <v>1138</v>
      </c>
      <c r="P13" s="5" t="s">
        <v>1134</v>
      </c>
      <c r="Q13" s="5" t="s">
        <v>57</v>
      </c>
      <c r="R13" s="6">
        <v>46198</v>
      </c>
      <c r="S13" s="6">
        <v>46228</v>
      </c>
      <c r="T13" s="7">
        <v>5</v>
      </c>
      <c r="U13" s="5" t="s">
        <v>58</v>
      </c>
      <c r="V13" s="5">
        <v>0</v>
      </c>
      <c r="W13" s="5" t="s">
        <v>60</v>
      </c>
      <c r="X13" s="5" t="s">
        <v>61</v>
      </c>
      <c r="Y13" s="5">
        <v>6</v>
      </c>
      <c r="Z13" s="7">
        <v>11.4</v>
      </c>
      <c r="AA13" s="7">
        <v>1.9</v>
      </c>
      <c r="AB13" s="7">
        <v>0</v>
      </c>
      <c r="AC13" s="7">
        <v>11.4</v>
      </c>
      <c r="AD13" s="7">
        <v>0</v>
      </c>
    </row>
    <row r="14" spans="1:30" s="5" customFormat="1" x14ac:dyDescent="0.25">
      <c r="A14" s="5">
        <v>2036199336</v>
      </c>
      <c r="B14" s="5" t="s">
        <v>106</v>
      </c>
      <c r="C14" s="5" t="s">
        <v>110</v>
      </c>
      <c r="D14" s="5" t="str">
        <f t="shared" si="1"/>
        <v>MARISH MANUEL</v>
      </c>
      <c r="E14" s="5" t="s">
        <v>89</v>
      </c>
      <c r="F14" s="5" t="s">
        <v>188</v>
      </c>
      <c r="G14" s="15">
        <v>0.38</v>
      </c>
      <c r="H14" s="5" t="s">
        <v>191</v>
      </c>
      <c r="I14" s="5" t="s">
        <v>190</v>
      </c>
      <c r="J14" s="5">
        <v>7470776</v>
      </c>
      <c r="K14" s="5" t="str">
        <f t="shared" si="2"/>
        <v>7470776AV6</v>
      </c>
      <c r="L14" s="5" t="s">
        <v>90</v>
      </c>
      <c r="M14" s="5" t="s">
        <v>91</v>
      </c>
      <c r="N14" s="5" t="str">
        <f t="shared" si="0"/>
        <v>Andrew Choi</v>
      </c>
      <c r="O14" s="5" t="s">
        <v>1138</v>
      </c>
      <c r="P14" s="5" t="s">
        <v>1134</v>
      </c>
      <c r="Q14" s="5" t="s">
        <v>57</v>
      </c>
      <c r="R14" s="6">
        <v>46198</v>
      </c>
      <c r="S14" s="6">
        <v>46228</v>
      </c>
      <c r="T14" s="7">
        <v>9.9499999999999993</v>
      </c>
      <c r="U14" s="5" t="s">
        <v>58</v>
      </c>
      <c r="V14" s="5">
        <v>0</v>
      </c>
      <c r="W14" s="5" t="s">
        <v>60</v>
      </c>
      <c r="X14" s="5" t="s">
        <v>61</v>
      </c>
      <c r="Y14" s="5">
        <v>6</v>
      </c>
      <c r="Z14" s="7">
        <v>22.68</v>
      </c>
      <c r="AA14" s="7">
        <v>3.78</v>
      </c>
      <c r="AB14" s="7">
        <v>0</v>
      </c>
      <c r="AC14" s="7">
        <v>22.68</v>
      </c>
      <c r="AD14" s="7">
        <v>0</v>
      </c>
    </row>
    <row r="15" spans="1:30" s="5" customFormat="1" x14ac:dyDescent="0.25">
      <c r="A15" s="5">
        <v>2036083727</v>
      </c>
      <c r="B15" s="5" t="s">
        <v>87</v>
      </c>
      <c r="C15" s="5" t="s">
        <v>88</v>
      </c>
      <c r="D15" s="5" t="str">
        <f t="shared" si="1"/>
        <v>JACQUELINE PENNINGTON</v>
      </c>
      <c r="E15" s="5" t="s">
        <v>89</v>
      </c>
      <c r="F15" s="5" t="s">
        <v>194</v>
      </c>
      <c r="G15" s="15">
        <v>0.7</v>
      </c>
      <c r="H15" s="5" t="s">
        <v>195</v>
      </c>
      <c r="I15" s="5" t="s">
        <v>195</v>
      </c>
      <c r="J15" s="5">
        <v>7470776</v>
      </c>
      <c r="K15" s="5" t="str">
        <f t="shared" si="2"/>
        <v>7470776AV6</v>
      </c>
      <c r="L15" s="5" t="s">
        <v>90</v>
      </c>
      <c r="M15" s="5" t="s">
        <v>91</v>
      </c>
      <c r="N15" s="5" t="str">
        <f t="shared" si="0"/>
        <v>Andrew Choi</v>
      </c>
      <c r="O15" s="5" t="s">
        <v>1138</v>
      </c>
      <c r="P15" s="5" t="s">
        <v>1134</v>
      </c>
      <c r="Q15" s="5" t="s">
        <v>57</v>
      </c>
      <c r="R15" s="6">
        <v>46204</v>
      </c>
      <c r="S15" s="6">
        <v>46235</v>
      </c>
      <c r="T15" s="7">
        <v>27.5</v>
      </c>
      <c r="U15" s="5" t="s">
        <v>58</v>
      </c>
      <c r="V15" s="5">
        <v>0</v>
      </c>
      <c r="W15" s="5" t="s">
        <v>60</v>
      </c>
      <c r="X15" s="5" t="s">
        <v>61</v>
      </c>
      <c r="Y15" s="5">
        <v>6</v>
      </c>
      <c r="Z15" s="7">
        <v>115.5</v>
      </c>
      <c r="AA15" s="7">
        <v>19.25</v>
      </c>
      <c r="AB15" s="7">
        <v>0</v>
      </c>
      <c r="AC15" s="7">
        <v>115.5</v>
      </c>
      <c r="AD15" s="7">
        <v>0</v>
      </c>
    </row>
    <row r="16" spans="1:30" s="5" customFormat="1" x14ac:dyDescent="0.25">
      <c r="A16" s="5">
        <v>2036182098</v>
      </c>
      <c r="B16" s="5" t="s">
        <v>106</v>
      </c>
      <c r="C16" s="5" t="s">
        <v>107</v>
      </c>
      <c r="D16" s="5" t="str">
        <f t="shared" si="1"/>
        <v>MACHLIN MANUEL</v>
      </c>
      <c r="E16" s="5" t="s">
        <v>89</v>
      </c>
      <c r="F16" s="5" t="s">
        <v>194</v>
      </c>
      <c r="G16" s="15">
        <v>0.7</v>
      </c>
      <c r="H16" s="5" t="s">
        <v>195</v>
      </c>
      <c r="I16" s="5" t="s">
        <v>195</v>
      </c>
      <c r="J16" s="5">
        <v>7470776</v>
      </c>
      <c r="K16" s="5" t="str">
        <f t="shared" si="2"/>
        <v>7470776AV6</v>
      </c>
      <c r="L16" s="5" t="s">
        <v>90</v>
      </c>
      <c r="M16" s="5" t="s">
        <v>91</v>
      </c>
      <c r="N16" s="5" t="str">
        <f t="shared" si="0"/>
        <v>Andrew Choi</v>
      </c>
      <c r="O16" s="5" t="s">
        <v>1138</v>
      </c>
      <c r="P16" s="5" t="s">
        <v>1134</v>
      </c>
      <c r="Q16" s="5" t="s">
        <v>57</v>
      </c>
      <c r="R16" s="6">
        <v>46198</v>
      </c>
      <c r="S16" s="6">
        <v>46228</v>
      </c>
      <c r="T16" s="7">
        <v>11.5</v>
      </c>
      <c r="U16" s="5" t="s">
        <v>58</v>
      </c>
      <c r="V16" s="5">
        <v>0</v>
      </c>
      <c r="W16" s="5" t="s">
        <v>60</v>
      </c>
      <c r="X16" s="5" t="s">
        <v>61</v>
      </c>
      <c r="Y16" s="5">
        <v>6</v>
      </c>
      <c r="Z16" s="7">
        <v>48.3</v>
      </c>
      <c r="AA16" s="7">
        <v>8.0500000000000007</v>
      </c>
      <c r="AB16" s="7">
        <v>0</v>
      </c>
      <c r="AC16" s="7">
        <v>48.3</v>
      </c>
      <c r="AD16" s="7">
        <v>0</v>
      </c>
    </row>
    <row r="17" spans="1:55" s="5" customFormat="1" x14ac:dyDescent="0.25">
      <c r="A17" s="5">
        <v>2036199337</v>
      </c>
      <c r="B17" s="5" t="s">
        <v>106</v>
      </c>
      <c r="C17" s="5" t="s">
        <v>110</v>
      </c>
      <c r="D17" s="5" t="str">
        <f t="shared" si="1"/>
        <v>MARISH MANUEL</v>
      </c>
      <c r="E17" s="5" t="s">
        <v>89</v>
      </c>
      <c r="F17" s="5" t="s">
        <v>194</v>
      </c>
      <c r="G17" s="15">
        <v>0.7</v>
      </c>
      <c r="H17" s="5" t="s">
        <v>195</v>
      </c>
      <c r="I17" s="5" t="s">
        <v>195</v>
      </c>
      <c r="J17" s="5">
        <v>7470776</v>
      </c>
      <c r="K17" s="5" t="str">
        <f t="shared" si="2"/>
        <v>7470776AV6</v>
      </c>
      <c r="L17" s="5" t="s">
        <v>90</v>
      </c>
      <c r="M17" s="5" t="s">
        <v>91</v>
      </c>
      <c r="N17" s="5" t="str">
        <f t="shared" si="0"/>
        <v>Andrew Choi</v>
      </c>
      <c r="O17" s="5" t="s">
        <v>1138</v>
      </c>
      <c r="P17" s="5" t="s">
        <v>1134</v>
      </c>
      <c r="Q17" s="5" t="s">
        <v>57</v>
      </c>
      <c r="R17" s="6">
        <v>46198</v>
      </c>
      <c r="S17" s="6">
        <v>46228</v>
      </c>
      <c r="T17" s="7">
        <v>11.5</v>
      </c>
      <c r="U17" s="5" t="s">
        <v>58</v>
      </c>
      <c r="V17" s="5">
        <v>0</v>
      </c>
      <c r="W17" s="5" t="s">
        <v>60</v>
      </c>
      <c r="X17" s="5" t="s">
        <v>61</v>
      </c>
      <c r="Y17" s="5">
        <v>6</v>
      </c>
      <c r="Z17" s="7">
        <v>48.3</v>
      </c>
      <c r="AA17" s="7">
        <v>8.0500000000000007</v>
      </c>
      <c r="AB17" s="7">
        <v>0</v>
      </c>
      <c r="AC17" s="7">
        <v>48.3</v>
      </c>
      <c r="AD17" s="7">
        <v>0</v>
      </c>
    </row>
    <row r="18" spans="1:55" s="5" customFormat="1" x14ac:dyDescent="0.25">
      <c r="A18" s="5">
        <v>2036225951</v>
      </c>
      <c r="B18" s="5" t="s">
        <v>155</v>
      </c>
      <c r="C18" s="5" t="s">
        <v>156</v>
      </c>
      <c r="D18" s="5" t="str">
        <f t="shared" si="1"/>
        <v>WENDY GEIB</v>
      </c>
      <c r="E18" s="5" t="s">
        <v>89</v>
      </c>
      <c r="F18" s="5" t="s">
        <v>149</v>
      </c>
      <c r="G18" s="15">
        <v>0.56000000000000005</v>
      </c>
      <c r="H18" s="5" t="s">
        <v>157</v>
      </c>
      <c r="I18" s="5" t="s">
        <v>1136</v>
      </c>
      <c r="J18" s="5">
        <v>7146581</v>
      </c>
      <c r="K18" s="5" t="str">
        <f t="shared" si="2"/>
        <v>7146581AV6</v>
      </c>
      <c r="L18" s="5" t="s">
        <v>158</v>
      </c>
      <c r="M18" s="5" t="s">
        <v>159</v>
      </c>
      <c r="N18" s="5" t="str">
        <f t="shared" si="0"/>
        <v>Anthony Hunsberger</v>
      </c>
      <c r="O18" s="5" t="s">
        <v>1138</v>
      </c>
      <c r="P18" s="5" t="s">
        <v>1134</v>
      </c>
      <c r="Q18" s="5" t="s">
        <v>57</v>
      </c>
      <c r="R18" s="6">
        <v>46204</v>
      </c>
      <c r="S18" s="6">
        <v>46235</v>
      </c>
      <c r="T18" s="7">
        <v>5.95</v>
      </c>
      <c r="U18" s="5" t="s">
        <v>58</v>
      </c>
      <c r="V18" s="5">
        <v>0</v>
      </c>
      <c r="W18" s="5" t="s">
        <v>60</v>
      </c>
      <c r="X18" s="5" t="s">
        <v>61</v>
      </c>
      <c r="Y18" s="5">
        <v>6</v>
      </c>
      <c r="Z18" s="7">
        <v>19.98</v>
      </c>
      <c r="AA18" s="7">
        <v>3.33</v>
      </c>
      <c r="AB18" s="7">
        <v>0</v>
      </c>
      <c r="AC18" s="7">
        <v>19.98</v>
      </c>
      <c r="AD18" s="7">
        <v>0</v>
      </c>
    </row>
    <row r="19" spans="1:55" s="5" customFormat="1" x14ac:dyDescent="0.25">
      <c r="A19" s="5">
        <v>2036225950</v>
      </c>
      <c r="B19" s="5" t="s">
        <v>155</v>
      </c>
      <c r="C19" s="5" t="s">
        <v>156</v>
      </c>
      <c r="D19" s="5" t="str">
        <f t="shared" si="1"/>
        <v>WENDY GEIB</v>
      </c>
      <c r="E19" s="5" t="s">
        <v>89</v>
      </c>
      <c r="F19" s="5" t="s">
        <v>240</v>
      </c>
      <c r="G19" s="15">
        <v>0.56000000000000005</v>
      </c>
      <c r="H19" s="5" t="s">
        <v>241</v>
      </c>
      <c r="I19" s="5" t="s">
        <v>1136</v>
      </c>
      <c r="J19" s="5">
        <v>7146581</v>
      </c>
      <c r="K19" s="5" t="str">
        <f t="shared" si="2"/>
        <v>7146581AV6</v>
      </c>
      <c r="L19" s="5" t="s">
        <v>158</v>
      </c>
      <c r="M19" s="5" t="s">
        <v>159</v>
      </c>
      <c r="N19" s="5" t="str">
        <f t="shared" si="0"/>
        <v>Anthony Hunsberger</v>
      </c>
      <c r="O19" s="5" t="s">
        <v>1138</v>
      </c>
      <c r="P19" s="5" t="s">
        <v>1134</v>
      </c>
      <c r="Q19" s="5" t="s">
        <v>57</v>
      </c>
      <c r="R19" s="6">
        <v>46204</v>
      </c>
      <c r="S19" s="6">
        <v>46235</v>
      </c>
      <c r="T19" s="7">
        <v>31.71</v>
      </c>
      <c r="U19" s="5" t="s">
        <v>58</v>
      </c>
      <c r="V19" s="5">
        <v>0</v>
      </c>
      <c r="W19" s="5" t="s">
        <v>60</v>
      </c>
      <c r="X19" s="5" t="s">
        <v>61</v>
      </c>
      <c r="Y19" s="5">
        <v>6</v>
      </c>
      <c r="Z19" s="7">
        <v>106.56</v>
      </c>
      <c r="AA19" s="7">
        <v>17.760000000000002</v>
      </c>
      <c r="AB19" s="7">
        <v>0</v>
      </c>
      <c r="AC19" s="7">
        <v>106.56</v>
      </c>
      <c r="AD19" s="7">
        <v>0</v>
      </c>
    </row>
    <row r="20" spans="1:55" s="5" customFormat="1" x14ac:dyDescent="0.25">
      <c r="A20" s="5">
        <v>2036182312</v>
      </c>
      <c r="B20" s="5" t="s">
        <v>170</v>
      </c>
      <c r="C20" s="5" t="s">
        <v>171</v>
      </c>
      <c r="D20" s="5" t="str">
        <f t="shared" si="1"/>
        <v>WILLIAM CASON</v>
      </c>
      <c r="E20" s="5" t="s">
        <v>124</v>
      </c>
      <c r="F20" s="5" t="s">
        <v>133</v>
      </c>
      <c r="G20" s="16">
        <v>0.375</v>
      </c>
      <c r="H20" s="5" t="s">
        <v>134</v>
      </c>
      <c r="I20" s="5" t="s">
        <v>134</v>
      </c>
      <c r="J20" s="5">
        <v>19586992</v>
      </c>
      <c r="K20" s="5" t="str">
        <f t="shared" si="2"/>
        <v>19586992AV6</v>
      </c>
      <c r="L20" s="5" t="s">
        <v>172</v>
      </c>
      <c r="M20" s="5" t="s">
        <v>173</v>
      </c>
      <c r="N20" s="5" t="str">
        <f t="shared" si="0"/>
        <v>Barry Schumann</v>
      </c>
      <c r="O20" s="5" t="s">
        <v>1138</v>
      </c>
      <c r="P20" s="5" t="s">
        <v>1134</v>
      </c>
      <c r="Q20" s="5" t="s">
        <v>57</v>
      </c>
      <c r="R20" s="6">
        <v>46204</v>
      </c>
      <c r="S20" s="6">
        <v>46235</v>
      </c>
      <c r="T20" s="7">
        <v>71.55</v>
      </c>
      <c r="U20" s="5" t="s">
        <v>58</v>
      </c>
      <c r="V20" s="5">
        <v>0</v>
      </c>
      <c r="W20" s="5" t="s">
        <v>60</v>
      </c>
      <c r="X20" s="5" t="s">
        <v>61</v>
      </c>
      <c r="Y20" s="5">
        <v>6</v>
      </c>
      <c r="Z20" s="7">
        <v>160.97999999999999</v>
      </c>
      <c r="AA20" s="7">
        <v>26.83</v>
      </c>
      <c r="AB20" s="7">
        <v>0</v>
      </c>
      <c r="AC20" s="7">
        <v>160.97999999999999</v>
      </c>
      <c r="AD20" s="7">
        <v>0</v>
      </c>
    </row>
    <row r="21" spans="1:55" s="5" customFormat="1" x14ac:dyDescent="0.25">
      <c r="A21" s="5">
        <v>2036182311</v>
      </c>
      <c r="B21" s="5" t="s">
        <v>170</v>
      </c>
      <c r="C21" s="5" t="s">
        <v>171</v>
      </c>
      <c r="D21" s="5" t="str">
        <f t="shared" si="1"/>
        <v>WILLIAM CASON</v>
      </c>
      <c r="E21" s="5" t="s">
        <v>124</v>
      </c>
      <c r="F21" s="5" t="s">
        <v>194</v>
      </c>
      <c r="G21" s="15">
        <v>0.7</v>
      </c>
      <c r="H21" s="5" t="s">
        <v>195</v>
      </c>
      <c r="I21" s="5" t="s">
        <v>195</v>
      </c>
      <c r="J21" s="5">
        <v>19586992</v>
      </c>
      <c r="K21" s="5" t="str">
        <f t="shared" si="2"/>
        <v>19586992AV6</v>
      </c>
      <c r="L21" s="5" t="s">
        <v>172</v>
      </c>
      <c r="M21" s="5" t="s">
        <v>173</v>
      </c>
      <c r="N21" s="5" t="str">
        <f t="shared" si="0"/>
        <v>Barry Schumann</v>
      </c>
      <c r="O21" s="5" t="s">
        <v>1138</v>
      </c>
      <c r="P21" s="5" t="s">
        <v>1134</v>
      </c>
      <c r="Q21" s="5" t="s">
        <v>57</v>
      </c>
      <c r="R21" s="6">
        <v>46204</v>
      </c>
      <c r="S21" s="6">
        <v>46235</v>
      </c>
      <c r="T21" s="7">
        <v>89.52</v>
      </c>
      <c r="U21" s="5" t="s">
        <v>58</v>
      </c>
      <c r="V21" s="5">
        <v>0</v>
      </c>
      <c r="W21" s="5" t="s">
        <v>60</v>
      </c>
      <c r="X21" s="5" t="s">
        <v>61</v>
      </c>
      <c r="Y21" s="5">
        <v>6</v>
      </c>
      <c r="Z21" s="7">
        <v>375.96</v>
      </c>
      <c r="AA21" s="7">
        <v>62.66</v>
      </c>
      <c r="AB21" s="7">
        <v>0</v>
      </c>
      <c r="AC21" s="7">
        <v>375.96</v>
      </c>
      <c r="AD21" s="7">
        <v>0</v>
      </c>
    </row>
    <row r="22" spans="1:55" s="5" customFormat="1" x14ac:dyDescent="0.25">
      <c r="A22" s="5">
        <v>2036190495</v>
      </c>
      <c r="B22" s="5" t="s">
        <v>215</v>
      </c>
      <c r="C22" s="5" t="s">
        <v>216</v>
      </c>
      <c r="D22" s="5" t="str">
        <f t="shared" si="1"/>
        <v>JENNIFER RYDWELSKI</v>
      </c>
      <c r="E22" s="5" t="s">
        <v>89</v>
      </c>
      <c r="F22" s="5" t="s">
        <v>194</v>
      </c>
      <c r="G22" s="15">
        <v>0.7</v>
      </c>
      <c r="H22" s="5" t="s">
        <v>195</v>
      </c>
      <c r="I22" s="5" t="s">
        <v>195</v>
      </c>
      <c r="J22" s="5">
        <v>19586992</v>
      </c>
      <c r="K22" s="5" t="str">
        <f t="shared" si="2"/>
        <v>19586992AV6</v>
      </c>
      <c r="L22" s="5" t="s">
        <v>172</v>
      </c>
      <c r="M22" s="5" t="s">
        <v>173</v>
      </c>
      <c r="N22" s="5" t="str">
        <f t="shared" si="0"/>
        <v>Barry Schumann</v>
      </c>
      <c r="O22" s="5" t="s">
        <v>1138</v>
      </c>
      <c r="P22" s="5" t="s">
        <v>1134</v>
      </c>
      <c r="Q22" s="5" t="s">
        <v>57</v>
      </c>
      <c r="R22" s="6">
        <v>46204</v>
      </c>
      <c r="S22" s="6">
        <v>46235</v>
      </c>
      <c r="T22" s="7">
        <v>198.36</v>
      </c>
      <c r="U22" s="5" t="s">
        <v>58</v>
      </c>
      <c r="V22" s="5">
        <v>0</v>
      </c>
      <c r="W22" s="5" t="s">
        <v>60</v>
      </c>
      <c r="X22" s="5" t="s">
        <v>61</v>
      </c>
      <c r="Y22" s="5">
        <v>6</v>
      </c>
      <c r="Z22" s="7">
        <v>833.1</v>
      </c>
      <c r="AA22" s="7">
        <v>138.85</v>
      </c>
      <c r="AB22" s="7">
        <v>0</v>
      </c>
      <c r="AC22" s="7">
        <v>833.1</v>
      </c>
      <c r="AD22" s="7">
        <v>0</v>
      </c>
    </row>
    <row r="23" spans="1:55" s="5" customFormat="1" x14ac:dyDescent="0.25">
      <c r="A23" s="5">
        <v>2036149982</v>
      </c>
      <c r="B23" s="5" t="s">
        <v>204</v>
      </c>
      <c r="C23" s="5" t="s">
        <v>205</v>
      </c>
      <c r="D23" s="5" t="str">
        <f t="shared" si="1"/>
        <v>MARC FLORENCIO</v>
      </c>
      <c r="E23" s="5" t="s">
        <v>89</v>
      </c>
      <c r="F23" s="5" t="s">
        <v>194</v>
      </c>
      <c r="G23" s="15">
        <v>0.7</v>
      </c>
      <c r="H23" s="5" t="s">
        <v>195</v>
      </c>
      <c r="I23" s="5" t="s">
        <v>195</v>
      </c>
      <c r="J23" s="5">
        <v>21104854</v>
      </c>
      <c r="K23" s="5" t="str">
        <f t="shared" si="2"/>
        <v>21104854AV6</v>
      </c>
      <c r="L23" s="5" t="s">
        <v>206</v>
      </c>
      <c r="M23" s="5" t="s">
        <v>207</v>
      </c>
      <c r="N23" s="5" t="str">
        <f t="shared" si="0"/>
        <v>BRIAN STROHMAN</v>
      </c>
      <c r="O23" s="5" t="s">
        <v>1138</v>
      </c>
      <c r="P23" s="5" t="s">
        <v>1134</v>
      </c>
      <c r="Q23" s="5" t="s">
        <v>57</v>
      </c>
      <c r="R23" s="6">
        <v>46204</v>
      </c>
      <c r="S23" s="6">
        <v>46235</v>
      </c>
      <c r="T23" s="7">
        <v>74.58</v>
      </c>
      <c r="U23" s="5" t="s">
        <v>58</v>
      </c>
      <c r="V23" s="5">
        <v>0</v>
      </c>
      <c r="W23" s="5" t="s">
        <v>60</v>
      </c>
      <c r="X23" s="5" t="s">
        <v>61</v>
      </c>
      <c r="Y23" s="5">
        <v>6</v>
      </c>
      <c r="Z23" s="7">
        <v>313.26</v>
      </c>
      <c r="AA23" s="7">
        <v>52.21</v>
      </c>
      <c r="AB23" s="7">
        <v>0</v>
      </c>
      <c r="AC23" s="7">
        <v>313.26</v>
      </c>
      <c r="AD23" s="7">
        <v>0</v>
      </c>
    </row>
    <row r="24" spans="1:55" s="5" customFormat="1" x14ac:dyDescent="0.25">
      <c r="A24" s="5">
        <v>2036248139</v>
      </c>
      <c r="B24" s="5" t="s">
        <v>144</v>
      </c>
      <c r="C24" s="5" t="s">
        <v>145</v>
      </c>
      <c r="D24" s="5" t="str">
        <f t="shared" si="1"/>
        <v>KIMANI PINK</v>
      </c>
      <c r="E24" s="5" t="s">
        <v>146</v>
      </c>
      <c r="F24" s="5" t="s">
        <v>69</v>
      </c>
      <c r="G24" s="15">
        <v>0.9</v>
      </c>
      <c r="H24" s="5" t="s">
        <v>79</v>
      </c>
      <c r="I24" s="5" t="s">
        <v>1080</v>
      </c>
      <c r="J24" s="5">
        <v>17554531</v>
      </c>
      <c r="K24" s="5" t="str">
        <f t="shared" si="2"/>
        <v>17554531AV6</v>
      </c>
      <c r="L24" s="5" t="s">
        <v>147</v>
      </c>
      <c r="M24" s="5" t="s">
        <v>148</v>
      </c>
      <c r="N24" s="5" t="str">
        <f t="shared" si="0"/>
        <v>Brittany Oliver</v>
      </c>
      <c r="O24" s="5" t="s">
        <v>1138</v>
      </c>
      <c r="P24" s="5" t="s">
        <v>1134</v>
      </c>
      <c r="Q24" s="5" t="s">
        <v>57</v>
      </c>
      <c r="R24" s="6">
        <v>46200</v>
      </c>
      <c r="S24" s="6">
        <v>46230</v>
      </c>
      <c r="T24" s="7">
        <v>20.059999999999999</v>
      </c>
      <c r="U24" s="5" t="s">
        <v>58</v>
      </c>
      <c r="V24" s="5">
        <v>0</v>
      </c>
      <c r="W24" s="5" t="s">
        <v>60</v>
      </c>
      <c r="X24" s="5" t="s">
        <v>61</v>
      </c>
      <c r="Y24" s="5">
        <v>6</v>
      </c>
      <c r="Z24" s="7">
        <v>108.3</v>
      </c>
      <c r="AA24" s="7">
        <v>18.05</v>
      </c>
      <c r="AB24" s="7">
        <v>0</v>
      </c>
      <c r="AC24" s="7">
        <v>108.3</v>
      </c>
      <c r="AD24" s="7">
        <v>0</v>
      </c>
    </row>
    <row r="25" spans="1:55" s="5" customFormat="1" x14ac:dyDescent="0.25">
      <c r="A25" s="5">
        <v>2036228394</v>
      </c>
      <c r="B25" s="5" t="s">
        <v>224</v>
      </c>
      <c r="C25" s="5" t="s">
        <v>225</v>
      </c>
      <c r="D25" s="5" t="str">
        <f t="shared" si="1"/>
        <v>INIKA JHAMVAR</v>
      </c>
      <c r="E25" s="5" t="s">
        <v>146</v>
      </c>
      <c r="F25" s="5" t="s">
        <v>194</v>
      </c>
      <c r="G25" s="15">
        <v>0.7</v>
      </c>
      <c r="H25" s="5" t="s">
        <v>203</v>
      </c>
      <c r="I25" s="5" t="s">
        <v>881</v>
      </c>
      <c r="J25" s="5">
        <v>17554531</v>
      </c>
      <c r="K25" s="5" t="str">
        <f t="shared" si="2"/>
        <v>17554531AV6</v>
      </c>
      <c r="L25" s="5" t="s">
        <v>147</v>
      </c>
      <c r="M25" s="5" t="s">
        <v>148</v>
      </c>
      <c r="N25" s="5" t="str">
        <f t="shared" si="0"/>
        <v>Brittany Oliver</v>
      </c>
      <c r="O25" s="5" t="s">
        <v>1138</v>
      </c>
      <c r="P25" s="5" t="s">
        <v>1134</v>
      </c>
      <c r="Q25" s="5" t="s">
        <v>57</v>
      </c>
      <c r="R25" s="6">
        <v>46199</v>
      </c>
      <c r="S25" s="6">
        <v>46229</v>
      </c>
      <c r="T25" s="7">
        <v>24.61</v>
      </c>
      <c r="U25" s="5" t="s">
        <v>58</v>
      </c>
      <c r="V25" s="5">
        <v>0</v>
      </c>
      <c r="W25" s="5" t="s">
        <v>60</v>
      </c>
      <c r="X25" s="5" t="s">
        <v>61</v>
      </c>
      <c r="Y25" s="5">
        <v>6</v>
      </c>
      <c r="Z25" s="7">
        <v>103.38</v>
      </c>
      <c r="AA25" s="7">
        <v>17.23</v>
      </c>
      <c r="AB25" s="7">
        <v>0</v>
      </c>
      <c r="AC25" s="7">
        <v>103.38</v>
      </c>
      <c r="AD25" s="7">
        <v>0</v>
      </c>
    </row>
    <row r="26" spans="1:55" s="5" customFormat="1" x14ac:dyDescent="0.25">
      <c r="A26" s="5">
        <v>2036248138</v>
      </c>
      <c r="B26" s="5" t="s">
        <v>144</v>
      </c>
      <c r="C26" s="5" t="s">
        <v>145</v>
      </c>
      <c r="D26" s="5" t="str">
        <f t="shared" si="1"/>
        <v>KIMANI PINK</v>
      </c>
      <c r="E26" s="5" t="s">
        <v>146</v>
      </c>
      <c r="F26" s="5" t="s">
        <v>194</v>
      </c>
      <c r="G26" s="15">
        <v>0.7</v>
      </c>
      <c r="H26" s="5" t="s">
        <v>203</v>
      </c>
      <c r="I26" s="5" t="s">
        <v>881</v>
      </c>
      <c r="J26" s="5">
        <v>17554531</v>
      </c>
      <c r="K26" s="5" t="str">
        <f t="shared" si="2"/>
        <v>17554531AV6</v>
      </c>
      <c r="L26" s="5" t="s">
        <v>147</v>
      </c>
      <c r="M26" s="5" t="s">
        <v>148</v>
      </c>
      <c r="N26" s="5" t="str">
        <f t="shared" si="0"/>
        <v>Brittany Oliver</v>
      </c>
      <c r="O26" s="5" t="s">
        <v>1138</v>
      </c>
      <c r="P26" s="5" t="s">
        <v>1134</v>
      </c>
      <c r="Q26" s="5" t="s">
        <v>57</v>
      </c>
      <c r="R26" s="6">
        <v>46200</v>
      </c>
      <c r="S26" s="6">
        <v>46230</v>
      </c>
      <c r="T26" s="7">
        <v>24.61</v>
      </c>
      <c r="U26" s="5" t="s">
        <v>58</v>
      </c>
      <c r="V26" s="5">
        <v>0</v>
      </c>
      <c r="W26" s="5" t="s">
        <v>60</v>
      </c>
      <c r="X26" s="5" t="s">
        <v>61</v>
      </c>
      <c r="Y26" s="5">
        <v>6</v>
      </c>
      <c r="Z26" s="7">
        <v>103.38</v>
      </c>
      <c r="AA26" s="7">
        <v>17.23</v>
      </c>
      <c r="AB26" s="7">
        <v>0</v>
      </c>
      <c r="AC26" s="7">
        <v>103.38</v>
      </c>
      <c r="AD26" s="7">
        <v>0</v>
      </c>
    </row>
    <row r="27" spans="1:55" s="5" customFormat="1" x14ac:dyDescent="0.25">
      <c r="A27" s="5">
        <v>2036228395</v>
      </c>
      <c r="B27" s="5" t="s">
        <v>224</v>
      </c>
      <c r="C27" s="5" t="s">
        <v>225</v>
      </c>
      <c r="D27" s="5" t="str">
        <f t="shared" si="1"/>
        <v>INIKA JHAMVAR</v>
      </c>
      <c r="E27" s="5" t="s">
        <v>146</v>
      </c>
      <c r="F27" s="5" t="s">
        <v>194</v>
      </c>
      <c r="G27" s="15">
        <v>0.9</v>
      </c>
      <c r="H27" s="5" t="s">
        <v>217</v>
      </c>
      <c r="I27" s="5" t="s">
        <v>217</v>
      </c>
      <c r="J27" s="5">
        <v>17554531</v>
      </c>
      <c r="K27" s="5" t="str">
        <f t="shared" si="2"/>
        <v>17554531AV6</v>
      </c>
      <c r="L27" s="5" t="s">
        <v>147</v>
      </c>
      <c r="M27" s="5" t="s">
        <v>148</v>
      </c>
      <c r="N27" s="5" t="str">
        <f t="shared" si="0"/>
        <v>Brittany Oliver</v>
      </c>
      <c r="O27" s="5" t="s">
        <v>1138</v>
      </c>
      <c r="P27" s="5" t="s">
        <v>1134</v>
      </c>
      <c r="Q27" s="5" t="s">
        <v>57</v>
      </c>
      <c r="R27" s="6">
        <v>46199</v>
      </c>
      <c r="S27" s="6">
        <v>46229</v>
      </c>
      <c r="T27" s="7">
        <v>30.75</v>
      </c>
      <c r="U27" s="5" t="s">
        <v>58</v>
      </c>
      <c r="V27" s="5">
        <v>0</v>
      </c>
      <c r="W27" s="5" t="s">
        <v>60</v>
      </c>
      <c r="X27" s="5" t="s">
        <v>61</v>
      </c>
      <c r="Y27" s="5">
        <v>6</v>
      </c>
      <c r="Z27" s="7">
        <v>166.08</v>
      </c>
      <c r="AA27" s="7">
        <v>27.68</v>
      </c>
      <c r="AB27" s="7">
        <v>0</v>
      </c>
      <c r="AC27" s="7">
        <v>166.08</v>
      </c>
      <c r="AD27" s="7">
        <v>0</v>
      </c>
    </row>
    <row r="28" spans="1:55" s="5" customFormat="1" x14ac:dyDescent="0.25">
      <c r="A28" s="5">
        <v>2036192232</v>
      </c>
      <c r="B28" s="5" t="s">
        <v>152</v>
      </c>
      <c r="C28" s="5" t="s">
        <v>88</v>
      </c>
      <c r="D28" s="5" t="str">
        <f t="shared" si="1"/>
        <v>JACQUELINE SAENZ</v>
      </c>
      <c r="E28" s="5" t="s">
        <v>89</v>
      </c>
      <c r="F28" s="5" t="s">
        <v>149</v>
      </c>
      <c r="G28" s="15">
        <v>0.38</v>
      </c>
      <c r="H28" s="5" t="s">
        <v>150</v>
      </c>
      <c r="I28" s="5" t="s">
        <v>150</v>
      </c>
      <c r="J28" s="5">
        <v>8325282</v>
      </c>
      <c r="K28" s="5" t="str">
        <f t="shared" si="2"/>
        <v>8325282AV6</v>
      </c>
      <c r="L28" s="5" t="s">
        <v>153</v>
      </c>
      <c r="M28" s="5" t="s">
        <v>154</v>
      </c>
      <c r="N28" s="5" t="str">
        <f t="shared" si="0"/>
        <v>Dale Walenga</v>
      </c>
      <c r="O28" s="5" t="s">
        <v>1138</v>
      </c>
      <c r="P28" s="5" t="s">
        <v>1134</v>
      </c>
      <c r="Q28" s="5" t="s">
        <v>57</v>
      </c>
      <c r="R28" s="6">
        <v>46196</v>
      </c>
      <c r="S28" s="6">
        <v>46226</v>
      </c>
      <c r="T28" s="7">
        <v>15</v>
      </c>
      <c r="U28" s="5" t="s">
        <v>58</v>
      </c>
      <c r="V28" s="5">
        <v>0</v>
      </c>
      <c r="W28" s="5" t="s">
        <v>60</v>
      </c>
      <c r="X28" s="5" t="s">
        <v>61</v>
      </c>
      <c r="Y28" s="5">
        <v>6</v>
      </c>
      <c r="Z28" s="7">
        <v>34.200000000000003</v>
      </c>
      <c r="AA28" s="7">
        <v>5.7</v>
      </c>
      <c r="AB28" s="7">
        <v>0</v>
      </c>
      <c r="AC28" s="7">
        <v>34.200000000000003</v>
      </c>
      <c r="AD28" s="7">
        <v>0</v>
      </c>
    </row>
    <row r="29" spans="1:55" s="5" customFormat="1" x14ac:dyDescent="0.25">
      <c r="A29" s="5">
        <v>2036192230</v>
      </c>
      <c r="B29" s="5" t="s">
        <v>152</v>
      </c>
      <c r="C29" s="5" t="s">
        <v>88</v>
      </c>
      <c r="D29" s="5" t="str">
        <f t="shared" si="1"/>
        <v>JACQUELINE SAENZ</v>
      </c>
      <c r="E29" s="5" t="s">
        <v>89</v>
      </c>
      <c r="F29" s="5" t="s">
        <v>188</v>
      </c>
      <c r="G29" s="15">
        <v>0.38</v>
      </c>
      <c r="H29" s="5" t="s">
        <v>190</v>
      </c>
      <c r="I29" s="5" t="s">
        <v>190</v>
      </c>
      <c r="J29" s="5">
        <v>8325282</v>
      </c>
      <c r="K29" s="5" t="str">
        <f t="shared" si="2"/>
        <v>8325282AV6</v>
      </c>
      <c r="L29" s="5" t="s">
        <v>153</v>
      </c>
      <c r="M29" s="5" t="s">
        <v>154</v>
      </c>
      <c r="N29" s="5" t="str">
        <f t="shared" si="0"/>
        <v>Dale Walenga</v>
      </c>
      <c r="O29" s="5" t="s">
        <v>1138</v>
      </c>
      <c r="P29" s="5" t="s">
        <v>1134</v>
      </c>
      <c r="Q29" s="5" t="s">
        <v>57</v>
      </c>
      <c r="R29" s="6">
        <v>46196</v>
      </c>
      <c r="S29" s="6">
        <v>46226</v>
      </c>
      <c r="T29" s="7">
        <v>87.01</v>
      </c>
      <c r="U29" s="5" t="s">
        <v>58</v>
      </c>
      <c r="V29" s="5">
        <v>0</v>
      </c>
      <c r="W29" s="5" t="s">
        <v>60</v>
      </c>
      <c r="X29" s="5" t="s">
        <v>61</v>
      </c>
      <c r="Y29" s="5">
        <v>6</v>
      </c>
      <c r="Z29" s="7">
        <v>198.36</v>
      </c>
      <c r="AA29" s="7">
        <v>33.06</v>
      </c>
      <c r="AB29" s="7">
        <v>0</v>
      </c>
      <c r="AC29" s="7">
        <v>198.36</v>
      </c>
      <c r="AD29" s="7">
        <v>0</v>
      </c>
    </row>
    <row r="30" spans="1:55" x14ac:dyDescent="0.25">
      <c r="A30" s="5">
        <v>2036192231</v>
      </c>
      <c r="B30" s="5" t="s">
        <v>152</v>
      </c>
      <c r="C30" s="5" t="s">
        <v>88</v>
      </c>
      <c r="D30" s="5" t="str">
        <f t="shared" si="1"/>
        <v>JACQUELINE SAENZ</v>
      </c>
      <c r="E30" s="5" t="s">
        <v>89</v>
      </c>
      <c r="F30" s="5" t="s">
        <v>188</v>
      </c>
      <c r="G30" s="15">
        <v>0.38</v>
      </c>
      <c r="H30" s="5" t="s">
        <v>191</v>
      </c>
      <c r="I30" s="5" t="s">
        <v>190</v>
      </c>
      <c r="J30" s="5">
        <v>8325282</v>
      </c>
      <c r="K30" s="5" t="str">
        <f t="shared" si="2"/>
        <v>8325282AV6</v>
      </c>
      <c r="L30" s="5" t="s">
        <v>153</v>
      </c>
      <c r="M30" s="5" t="s">
        <v>154</v>
      </c>
      <c r="N30" s="5" t="str">
        <f t="shared" si="0"/>
        <v>Dale Walenga</v>
      </c>
      <c r="O30" s="5" t="s">
        <v>1138</v>
      </c>
      <c r="P30" s="5" t="s">
        <v>1134</v>
      </c>
      <c r="Q30" s="5" t="s">
        <v>57</v>
      </c>
      <c r="R30" s="6">
        <v>46196</v>
      </c>
      <c r="S30" s="6">
        <v>46226</v>
      </c>
      <c r="T30" s="7">
        <v>9.9499999999999993</v>
      </c>
      <c r="U30" s="5" t="s">
        <v>58</v>
      </c>
      <c r="V30" s="5">
        <v>0</v>
      </c>
      <c r="W30" s="5" t="s">
        <v>60</v>
      </c>
      <c r="X30" s="5" t="s">
        <v>61</v>
      </c>
      <c r="Y30" s="5">
        <v>6</v>
      </c>
      <c r="Z30" s="7">
        <v>22.68</v>
      </c>
      <c r="AA30" s="7">
        <v>3.78</v>
      </c>
      <c r="AB30" s="7">
        <v>0</v>
      </c>
      <c r="AC30" s="7">
        <v>22.68</v>
      </c>
      <c r="AD30" s="7"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25">
      <c r="A31" s="5">
        <v>2036228792</v>
      </c>
      <c r="B31" s="5" t="s">
        <v>137</v>
      </c>
      <c r="C31" s="5" t="s">
        <v>138</v>
      </c>
      <c r="D31" s="5" t="str">
        <f t="shared" si="1"/>
        <v>ALEXIS MARRIONEAUX</v>
      </c>
      <c r="E31" s="5" t="s">
        <v>100</v>
      </c>
      <c r="F31" s="5" t="s">
        <v>69</v>
      </c>
      <c r="G31" s="15">
        <v>0.65</v>
      </c>
      <c r="H31" s="5" t="s">
        <v>101</v>
      </c>
      <c r="I31" s="5" t="s">
        <v>1081</v>
      </c>
      <c r="J31" s="5">
        <v>21592282</v>
      </c>
      <c r="K31" s="5" t="str">
        <f t="shared" si="2"/>
        <v>21592282AV6</v>
      </c>
      <c r="L31" s="5" t="s">
        <v>139</v>
      </c>
      <c r="M31" s="5" t="s">
        <v>140</v>
      </c>
      <c r="N31" s="5" t="str">
        <f t="shared" si="0"/>
        <v>Danielle Lafontaine</v>
      </c>
      <c r="O31" s="5" t="s">
        <v>1138</v>
      </c>
      <c r="P31" s="5" t="s">
        <v>1134</v>
      </c>
      <c r="Q31" s="5" t="s">
        <v>57</v>
      </c>
      <c r="R31" s="6">
        <v>46199</v>
      </c>
      <c r="S31" s="6">
        <v>46229</v>
      </c>
      <c r="T31" s="7">
        <v>18.989999999999998</v>
      </c>
      <c r="U31" s="5" t="s">
        <v>58</v>
      </c>
      <c r="V31" s="5">
        <v>0</v>
      </c>
      <c r="W31" s="5" t="s">
        <v>60</v>
      </c>
      <c r="X31" s="5" t="s">
        <v>61</v>
      </c>
      <c r="Y31" s="5">
        <v>6</v>
      </c>
      <c r="Z31" s="7">
        <v>74.040000000000006</v>
      </c>
      <c r="AA31" s="7">
        <v>12.34</v>
      </c>
      <c r="AB31" s="7">
        <v>0</v>
      </c>
      <c r="AC31" s="7">
        <v>74.040000000000006</v>
      </c>
      <c r="AD31" s="7"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25">
      <c r="A32" s="5">
        <v>2036228790</v>
      </c>
      <c r="B32" s="5" t="s">
        <v>137</v>
      </c>
      <c r="C32" s="5" t="s">
        <v>138</v>
      </c>
      <c r="D32" s="5" t="str">
        <f t="shared" si="1"/>
        <v>ALEXIS MARRIONEAUX</v>
      </c>
      <c r="E32" s="5" t="s">
        <v>100</v>
      </c>
      <c r="F32" s="5" t="s">
        <v>133</v>
      </c>
      <c r="G32" s="16">
        <v>0.375</v>
      </c>
      <c r="H32" s="5" t="s">
        <v>134</v>
      </c>
      <c r="I32" s="5" t="s">
        <v>134</v>
      </c>
      <c r="J32" s="5">
        <v>21592282</v>
      </c>
      <c r="K32" s="5" t="str">
        <f t="shared" si="2"/>
        <v>21592282AV6</v>
      </c>
      <c r="L32" s="5" t="s">
        <v>139</v>
      </c>
      <c r="M32" s="5" t="s">
        <v>140</v>
      </c>
      <c r="N32" s="5" t="str">
        <f t="shared" si="0"/>
        <v>Danielle Lafontaine</v>
      </c>
      <c r="O32" s="5" t="s">
        <v>1138</v>
      </c>
      <c r="P32" s="5" t="s">
        <v>1134</v>
      </c>
      <c r="Q32" s="5" t="s">
        <v>57</v>
      </c>
      <c r="R32" s="6">
        <v>46199</v>
      </c>
      <c r="S32" s="6">
        <v>46229</v>
      </c>
      <c r="T32" s="7">
        <v>52.62</v>
      </c>
      <c r="U32" s="5" t="s">
        <v>58</v>
      </c>
      <c r="V32" s="5">
        <v>0</v>
      </c>
      <c r="W32" s="5" t="s">
        <v>60</v>
      </c>
      <c r="X32" s="5" t="s">
        <v>61</v>
      </c>
      <c r="Y32" s="5">
        <v>6</v>
      </c>
      <c r="Z32" s="7">
        <v>118.38</v>
      </c>
      <c r="AA32" s="7">
        <v>19.73</v>
      </c>
      <c r="AB32" s="7">
        <v>0</v>
      </c>
      <c r="AC32" s="7">
        <v>118.38</v>
      </c>
      <c r="AD32" s="7"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s="5" customFormat="1" x14ac:dyDescent="0.25">
      <c r="A33" s="5">
        <v>2036228791</v>
      </c>
      <c r="B33" s="5" t="s">
        <v>137</v>
      </c>
      <c r="C33" s="5" t="s">
        <v>138</v>
      </c>
      <c r="D33" s="5" t="str">
        <f t="shared" si="1"/>
        <v>ALEXIS MARRIONEAUX</v>
      </c>
      <c r="E33" s="5" t="s">
        <v>100</v>
      </c>
      <c r="F33" s="5" t="s">
        <v>194</v>
      </c>
      <c r="G33" s="15">
        <v>0.7</v>
      </c>
      <c r="H33" s="5" t="s">
        <v>195</v>
      </c>
      <c r="I33" s="5" t="s">
        <v>195</v>
      </c>
      <c r="J33" s="5">
        <v>21592282</v>
      </c>
      <c r="K33" s="5" t="str">
        <f t="shared" si="2"/>
        <v>21592282AV6</v>
      </c>
      <c r="L33" s="5" t="s">
        <v>139</v>
      </c>
      <c r="M33" s="5" t="s">
        <v>140</v>
      </c>
      <c r="N33" s="5" t="str">
        <f t="shared" si="0"/>
        <v>Danielle Lafontaine</v>
      </c>
      <c r="O33" s="5" t="s">
        <v>1138</v>
      </c>
      <c r="P33" s="5" t="s">
        <v>1134</v>
      </c>
      <c r="Q33" s="5" t="s">
        <v>57</v>
      </c>
      <c r="R33" s="6">
        <v>46199</v>
      </c>
      <c r="S33" s="6">
        <v>46229</v>
      </c>
      <c r="T33" s="7">
        <v>22</v>
      </c>
      <c r="U33" s="5" t="s">
        <v>58</v>
      </c>
      <c r="V33" s="5">
        <v>0</v>
      </c>
      <c r="W33" s="5" t="s">
        <v>60</v>
      </c>
      <c r="X33" s="5" t="s">
        <v>61</v>
      </c>
      <c r="Y33" s="5">
        <v>6</v>
      </c>
      <c r="Z33" s="7">
        <v>92.4</v>
      </c>
      <c r="AA33" s="7">
        <v>15.4</v>
      </c>
      <c r="AB33" s="7">
        <v>0</v>
      </c>
      <c r="AC33" s="7">
        <v>92.4</v>
      </c>
      <c r="AD33" s="7">
        <v>0</v>
      </c>
    </row>
    <row r="34" spans="1:55" s="5" customFormat="1" x14ac:dyDescent="0.25">
      <c r="A34" s="5">
        <v>2036092536</v>
      </c>
      <c r="B34" s="5" t="s">
        <v>92</v>
      </c>
      <c r="C34" s="5" t="s">
        <v>93</v>
      </c>
      <c r="D34" s="5" t="str">
        <f t="shared" si="1"/>
        <v>AMAYA FLIEG-VONOHLEN</v>
      </c>
      <c r="E34" s="5" t="s">
        <v>94</v>
      </c>
      <c r="F34" s="5" t="s">
        <v>69</v>
      </c>
      <c r="G34" s="15">
        <v>0.75</v>
      </c>
      <c r="H34" s="5" t="s">
        <v>70</v>
      </c>
      <c r="I34" s="5" t="s">
        <v>1079</v>
      </c>
      <c r="J34" s="5">
        <v>16865615</v>
      </c>
      <c r="K34" s="5" t="str">
        <f t="shared" si="2"/>
        <v>16865615AV6</v>
      </c>
      <c r="L34" s="5" t="s">
        <v>80</v>
      </c>
      <c r="M34" s="5" t="s">
        <v>81</v>
      </c>
      <c r="N34" s="5" t="str">
        <f t="shared" ref="N34:N65" si="3">CONCATENATE(M34," ",L34)</f>
        <v>Heather Geske</v>
      </c>
      <c r="O34" s="5" t="s">
        <v>1138</v>
      </c>
      <c r="P34" s="5" t="s">
        <v>1134</v>
      </c>
      <c r="Q34" s="5" t="s">
        <v>57</v>
      </c>
      <c r="R34" s="6">
        <v>46204</v>
      </c>
      <c r="S34" s="6">
        <v>46235</v>
      </c>
      <c r="T34" s="7">
        <v>6.25</v>
      </c>
      <c r="U34" s="5" t="s">
        <v>58</v>
      </c>
      <c r="V34" s="5">
        <v>0</v>
      </c>
      <c r="W34" s="5" t="s">
        <v>60</v>
      </c>
      <c r="X34" s="5" t="s">
        <v>61</v>
      </c>
      <c r="Y34" s="5">
        <v>6</v>
      </c>
      <c r="Z34" s="7">
        <v>28.14</v>
      </c>
      <c r="AA34" s="7">
        <v>4.6900000000000004</v>
      </c>
      <c r="AB34" s="7">
        <v>0</v>
      </c>
      <c r="AC34" s="7">
        <v>28.14</v>
      </c>
      <c r="AD34" s="7">
        <v>0</v>
      </c>
    </row>
    <row r="35" spans="1:55" s="5" customFormat="1" x14ac:dyDescent="0.25">
      <c r="A35" s="5">
        <v>2035897011</v>
      </c>
      <c r="B35" s="5" t="s">
        <v>76</v>
      </c>
      <c r="C35" s="5" t="s">
        <v>77</v>
      </c>
      <c r="D35" s="5" t="str">
        <f t="shared" si="1"/>
        <v>TAYLOR HAYDEN</v>
      </c>
      <c r="E35" s="5" t="s">
        <v>78</v>
      </c>
      <c r="F35" s="5" t="s">
        <v>69</v>
      </c>
      <c r="G35" s="15">
        <v>0.9</v>
      </c>
      <c r="H35" s="5" t="s">
        <v>79</v>
      </c>
      <c r="I35" s="5" t="s">
        <v>1080</v>
      </c>
      <c r="J35" s="5">
        <v>16865615</v>
      </c>
      <c r="K35" s="5" t="str">
        <f t="shared" si="2"/>
        <v>16865615AV6</v>
      </c>
      <c r="L35" s="5" t="s">
        <v>80</v>
      </c>
      <c r="M35" s="5" t="s">
        <v>81</v>
      </c>
      <c r="N35" s="5" t="str">
        <f t="shared" si="3"/>
        <v>Heather Geske</v>
      </c>
      <c r="O35" s="5" t="s">
        <v>1138</v>
      </c>
      <c r="P35" s="5" t="s">
        <v>1134</v>
      </c>
      <c r="Q35" s="5" t="s">
        <v>57</v>
      </c>
      <c r="R35" s="6">
        <v>46204</v>
      </c>
      <c r="S35" s="6">
        <v>46235</v>
      </c>
      <c r="T35" s="7">
        <v>24.59</v>
      </c>
      <c r="U35" s="5" t="s">
        <v>58</v>
      </c>
      <c r="V35" s="5">
        <v>0</v>
      </c>
      <c r="W35" s="5" t="s">
        <v>60</v>
      </c>
      <c r="X35" s="5" t="s">
        <v>61</v>
      </c>
      <c r="Y35" s="5">
        <v>6</v>
      </c>
      <c r="Z35" s="7">
        <v>132.78</v>
      </c>
      <c r="AA35" s="7">
        <v>22.13</v>
      </c>
      <c r="AB35" s="7">
        <v>0</v>
      </c>
      <c r="AC35" s="7">
        <v>132.78</v>
      </c>
      <c r="AD35" s="7">
        <v>0</v>
      </c>
    </row>
    <row r="36" spans="1:55" s="5" customFormat="1" x14ac:dyDescent="0.25">
      <c r="A36" s="5">
        <v>2035897010</v>
      </c>
      <c r="B36" s="5" t="s">
        <v>76</v>
      </c>
      <c r="C36" s="5" t="s">
        <v>77</v>
      </c>
      <c r="D36" s="5" t="str">
        <f t="shared" si="1"/>
        <v>TAYLOR HAYDEN</v>
      </c>
      <c r="E36" s="5" t="s">
        <v>78</v>
      </c>
      <c r="F36" s="5" t="s">
        <v>133</v>
      </c>
      <c r="G36" s="16">
        <v>0.375</v>
      </c>
      <c r="H36" s="5" t="s">
        <v>134</v>
      </c>
      <c r="I36" s="5" t="s">
        <v>134</v>
      </c>
      <c r="J36" s="5">
        <v>16865615</v>
      </c>
      <c r="K36" s="5" t="str">
        <f t="shared" si="2"/>
        <v>16865615AV6</v>
      </c>
      <c r="L36" s="5" t="s">
        <v>80</v>
      </c>
      <c r="M36" s="5" t="s">
        <v>81</v>
      </c>
      <c r="N36" s="5" t="str">
        <f t="shared" si="3"/>
        <v>Heather Geske</v>
      </c>
      <c r="O36" s="5" t="s">
        <v>1138</v>
      </c>
      <c r="P36" s="5" t="s">
        <v>1134</v>
      </c>
      <c r="Q36" s="5" t="s">
        <v>57</v>
      </c>
      <c r="R36" s="6">
        <v>46204</v>
      </c>
      <c r="S36" s="6">
        <v>46235</v>
      </c>
      <c r="T36" s="7">
        <v>64.87</v>
      </c>
      <c r="U36" s="5" t="s">
        <v>58</v>
      </c>
      <c r="V36" s="5">
        <v>0</v>
      </c>
      <c r="W36" s="5" t="s">
        <v>60</v>
      </c>
      <c r="X36" s="5" t="s">
        <v>61</v>
      </c>
      <c r="Y36" s="5">
        <v>6</v>
      </c>
      <c r="Z36" s="7">
        <v>145.97999999999999</v>
      </c>
      <c r="AA36" s="7">
        <v>24.33</v>
      </c>
      <c r="AB36" s="7">
        <v>0</v>
      </c>
      <c r="AC36" s="7">
        <v>145.97999999999999</v>
      </c>
      <c r="AD36" s="7">
        <v>0</v>
      </c>
    </row>
    <row r="37" spans="1:55" s="5" customFormat="1" x14ac:dyDescent="0.25">
      <c r="A37" s="5">
        <v>2036092537</v>
      </c>
      <c r="B37" s="5" t="s">
        <v>92</v>
      </c>
      <c r="C37" s="5" t="s">
        <v>93</v>
      </c>
      <c r="D37" s="5" t="str">
        <f t="shared" si="1"/>
        <v>AMAYA FLIEG-VONOHLEN</v>
      </c>
      <c r="E37" s="5" t="s">
        <v>94</v>
      </c>
      <c r="F37" s="5" t="s">
        <v>188</v>
      </c>
      <c r="G37" s="15">
        <v>0.38</v>
      </c>
      <c r="H37" s="5" t="s">
        <v>189</v>
      </c>
      <c r="I37" s="5" t="s">
        <v>189</v>
      </c>
      <c r="J37" s="5">
        <v>16865615</v>
      </c>
      <c r="K37" s="5" t="str">
        <f t="shared" si="2"/>
        <v>16865615AV6</v>
      </c>
      <c r="L37" s="5" t="s">
        <v>80</v>
      </c>
      <c r="M37" s="5" t="s">
        <v>81</v>
      </c>
      <c r="N37" s="5" t="str">
        <f t="shared" si="3"/>
        <v>Heather Geske</v>
      </c>
      <c r="O37" s="5" t="s">
        <v>1138</v>
      </c>
      <c r="P37" s="5" t="s">
        <v>1134</v>
      </c>
      <c r="Q37" s="5" t="s">
        <v>57</v>
      </c>
      <c r="R37" s="6">
        <v>46204</v>
      </c>
      <c r="S37" s="6">
        <v>46235</v>
      </c>
      <c r="T37" s="7">
        <v>13.63</v>
      </c>
      <c r="U37" s="5" t="s">
        <v>58</v>
      </c>
      <c r="V37" s="5">
        <v>0</v>
      </c>
      <c r="W37" s="5" t="s">
        <v>60</v>
      </c>
      <c r="X37" s="5" t="s">
        <v>61</v>
      </c>
      <c r="Y37" s="5">
        <v>6</v>
      </c>
      <c r="Z37" s="7">
        <v>31.08</v>
      </c>
      <c r="AA37" s="7">
        <v>5.18</v>
      </c>
      <c r="AB37" s="7">
        <v>0</v>
      </c>
      <c r="AC37" s="7">
        <v>31.08</v>
      </c>
      <c r="AD37" s="7">
        <v>0</v>
      </c>
    </row>
    <row r="38" spans="1:55" s="5" customFormat="1" x14ac:dyDescent="0.25">
      <c r="A38" s="5">
        <v>2035897012</v>
      </c>
      <c r="B38" s="5" t="s">
        <v>76</v>
      </c>
      <c r="C38" s="5" t="s">
        <v>77</v>
      </c>
      <c r="D38" s="5" t="str">
        <f t="shared" si="1"/>
        <v>TAYLOR HAYDEN</v>
      </c>
      <c r="E38" s="5" t="s">
        <v>78</v>
      </c>
      <c r="F38" s="5" t="s">
        <v>194</v>
      </c>
      <c r="G38" s="15">
        <v>0.7</v>
      </c>
      <c r="H38" s="5" t="s">
        <v>195</v>
      </c>
      <c r="I38" s="5" t="s">
        <v>195</v>
      </c>
      <c r="J38" s="5">
        <v>16865615</v>
      </c>
      <c r="K38" s="5" t="str">
        <f t="shared" si="2"/>
        <v>16865615AV6</v>
      </c>
      <c r="L38" s="5" t="s">
        <v>80</v>
      </c>
      <c r="M38" s="5" t="s">
        <v>81</v>
      </c>
      <c r="N38" s="5" t="str">
        <f t="shared" si="3"/>
        <v>Heather Geske</v>
      </c>
      <c r="O38" s="5" t="s">
        <v>1138</v>
      </c>
      <c r="P38" s="5" t="s">
        <v>1134</v>
      </c>
      <c r="Q38" s="5" t="s">
        <v>57</v>
      </c>
      <c r="R38" s="6">
        <v>46204</v>
      </c>
      <c r="S38" s="6">
        <v>46235</v>
      </c>
      <c r="T38" s="7">
        <v>50.62</v>
      </c>
      <c r="U38" s="5" t="s">
        <v>58</v>
      </c>
      <c r="V38" s="5">
        <v>0</v>
      </c>
      <c r="W38" s="5" t="s">
        <v>60</v>
      </c>
      <c r="X38" s="5" t="s">
        <v>61</v>
      </c>
      <c r="Y38" s="5">
        <v>6</v>
      </c>
      <c r="Z38" s="7">
        <v>212.58</v>
      </c>
      <c r="AA38" s="7">
        <v>35.43</v>
      </c>
      <c r="AB38" s="7">
        <v>0</v>
      </c>
      <c r="AC38" s="7">
        <v>212.58</v>
      </c>
      <c r="AD38" s="7">
        <v>0</v>
      </c>
    </row>
    <row r="39" spans="1:55" x14ac:dyDescent="0.25">
      <c r="A39" s="5">
        <v>2036094810</v>
      </c>
      <c r="B39" s="5" t="s">
        <v>201</v>
      </c>
      <c r="C39" s="5" t="s">
        <v>202</v>
      </c>
      <c r="D39" s="5" t="str">
        <f t="shared" si="1"/>
        <v>LEWIS HOLLOWAY</v>
      </c>
      <c r="E39" s="5" t="s">
        <v>94</v>
      </c>
      <c r="F39" s="5" t="s">
        <v>194</v>
      </c>
      <c r="G39" s="15">
        <v>0.7</v>
      </c>
      <c r="H39" s="5" t="s">
        <v>195</v>
      </c>
      <c r="I39" s="5" t="s">
        <v>195</v>
      </c>
      <c r="J39" s="5">
        <v>16865615</v>
      </c>
      <c r="K39" s="5" t="str">
        <f t="shared" si="2"/>
        <v>16865615AV6</v>
      </c>
      <c r="L39" s="5" t="s">
        <v>80</v>
      </c>
      <c r="M39" s="5" t="s">
        <v>81</v>
      </c>
      <c r="N39" s="5" t="str">
        <f t="shared" si="3"/>
        <v>Heather Geske</v>
      </c>
      <c r="O39" s="5" t="s">
        <v>1138</v>
      </c>
      <c r="P39" s="5" t="s">
        <v>1134</v>
      </c>
      <c r="Q39" s="5" t="s">
        <v>57</v>
      </c>
      <c r="R39" s="6">
        <v>46204</v>
      </c>
      <c r="S39" s="6">
        <v>46235</v>
      </c>
      <c r="T39" s="7">
        <v>9.1</v>
      </c>
      <c r="U39" s="5" t="s">
        <v>58</v>
      </c>
      <c r="V39" s="5">
        <v>0</v>
      </c>
      <c r="W39" s="5" t="s">
        <v>60</v>
      </c>
      <c r="X39" s="5" t="s">
        <v>61</v>
      </c>
      <c r="Y39" s="5">
        <v>6</v>
      </c>
      <c r="Z39" s="7">
        <v>38.22</v>
      </c>
      <c r="AA39" s="7">
        <v>6.37</v>
      </c>
      <c r="AB39" s="7">
        <v>0</v>
      </c>
      <c r="AC39" s="7">
        <v>38.22</v>
      </c>
      <c r="AD39" s="7"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1:55" x14ac:dyDescent="0.25">
      <c r="A40" s="5">
        <v>2036210150</v>
      </c>
      <c r="B40" s="5" t="s">
        <v>218</v>
      </c>
      <c r="C40" s="5" t="s">
        <v>219</v>
      </c>
      <c r="D40" s="5" t="str">
        <f t="shared" si="1"/>
        <v>INDIRA MURLIN</v>
      </c>
      <c r="E40" s="5" t="s">
        <v>100</v>
      </c>
      <c r="F40" s="5" t="s">
        <v>194</v>
      </c>
      <c r="G40" s="15">
        <v>0.7</v>
      </c>
      <c r="H40" s="5" t="s">
        <v>195</v>
      </c>
      <c r="I40" s="5" t="s">
        <v>195</v>
      </c>
      <c r="J40" s="5">
        <v>17117649</v>
      </c>
      <c r="K40" s="5" t="str">
        <f t="shared" si="2"/>
        <v>17117649AV6</v>
      </c>
      <c r="L40" s="5" t="s">
        <v>220</v>
      </c>
      <c r="M40" s="5" t="s">
        <v>221</v>
      </c>
      <c r="N40" s="5" t="str">
        <f t="shared" si="3"/>
        <v>Ines Berg</v>
      </c>
      <c r="O40" s="5" t="s">
        <v>1138</v>
      </c>
      <c r="P40" s="5" t="s">
        <v>1134</v>
      </c>
      <c r="Q40" s="5" t="s">
        <v>57</v>
      </c>
      <c r="R40" s="6">
        <v>46198</v>
      </c>
      <c r="S40" s="6">
        <v>46228</v>
      </c>
      <c r="T40" s="7">
        <v>30.54</v>
      </c>
      <c r="U40" s="5" t="s">
        <v>58</v>
      </c>
      <c r="V40" s="5">
        <v>0</v>
      </c>
      <c r="W40" s="5" t="s">
        <v>60</v>
      </c>
      <c r="X40" s="5" t="s">
        <v>61</v>
      </c>
      <c r="Y40" s="5">
        <v>6</v>
      </c>
      <c r="Z40" s="7">
        <v>128.28</v>
      </c>
      <c r="AA40" s="7">
        <v>21.38</v>
      </c>
      <c r="AB40" s="7">
        <v>0</v>
      </c>
      <c r="AC40" s="7">
        <v>128.28</v>
      </c>
      <c r="AD40" s="7"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5" x14ac:dyDescent="0.25">
      <c r="A41" s="5">
        <v>2036180512</v>
      </c>
      <c r="B41" s="5" t="s">
        <v>212</v>
      </c>
      <c r="C41" s="5" t="s">
        <v>209</v>
      </c>
      <c r="D41" s="5" t="str">
        <f t="shared" si="1"/>
        <v>JOHN BLASCHE</v>
      </c>
      <c r="E41" s="5" t="s">
        <v>89</v>
      </c>
      <c r="F41" s="5" t="s">
        <v>194</v>
      </c>
      <c r="G41" s="15">
        <v>0.7</v>
      </c>
      <c r="H41" s="5" t="s">
        <v>195</v>
      </c>
      <c r="I41" s="5" t="s">
        <v>195</v>
      </c>
      <c r="J41" s="5">
        <v>17143996</v>
      </c>
      <c r="K41" s="5" t="str">
        <f t="shared" si="2"/>
        <v>17143996AV6</v>
      </c>
      <c r="L41" s="5" t="s">
        <v>213</v>
      </c>
      <c r="M41" s="5" t="s">
        <v>214</v>
      </c>
      <c r="N41" s="5" t="str">
        <f t="shared" si="3"/>
        <v>James Allen</v>
      </c>
      <c r="O41" s="5" t="s">
        <v>1138</v>
      </c>
      <c r="P41" s="5" t="s">
        <v>1134</v>
      </c>
      <c r="Q41" s="5" t="s">
        <v>57</v>
      </c>
      <c r="R41" s="6">
        <v>46197</v>
      </c>
      <c r="S41" s="6">
        <v>46227</v>
      </c>
      <c r="T41" s="7">
        <v>26.5</v>
      </c>
      <c r="U41" s="5" t="s">
        <v>58</v>
      </c>
      <c r="V41" s="5">
        <v>0</v>
      </c>
      <c r="W41" s="5" t="s">
        <v>60</v>
      </c>
      <c r="X41" s="5" t="s">
        <v>61</v>
      </c>
      <c r="Y41" s="5">
        <v>6</v>
      </c>
      <c r="Z41" s="7">
        <v>111.3</v>
      </c>
      <c r="AA41" s="7">
        <v>18.55</v>
      </c>
      <c r="AB41" s="7">
        <v>0</v>
      </c>
      <c r="AC41" s="7">
        <v>111.3</v>
      </c>
      <c r="AD41" s="7"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x14ac:dyDescent="0.25">
      <c r="A42" s="5">
        <v>2036228776</v>
      </c>
      <c r="B42" s="5" t="s">
        <v>127</v>
      </c>
      <c r="C42" s="5" t="s">
        <v>128</v>
      </c>
      <c r="D42" s="5" t="str">
        <f t="shared" si="1"/>
        <v>ESTHER PARKS</v>
      </c>
      <c r="E42" s="5" t="s">
        <v>94</v>
      </c>
      <c r="F42" s="5" t="s">
        <v>69</v>
      </c>
      <c r="G42" s="15">
        <v>0.65</v>
      </c>
      <c r="H42" s="5" t="s">
        <v>101</v>
      </c>
      <c r="I42" s="5" t="s">
        <v>1081</v>
      </c>
      <c r="J42" s="5">
        <v>6634327</v>
      </c>
      <c r="K42" s="5" t="str">
        <f t="shared" si="2"/>
        <v>6634327AV6</v>
      </c>
      <c r="L42" s="5" t="s">
        <v>129</v>
      </c>
      <c r="M42" s="5" t="s">
        <v>130</v>
      </c>
      <c r="N42" s="5" t="str">
        <f t="shared" si="3"/>
        <v>Joel Lee</v>
      </c>
      <c r="O42" s="5" t="s">
        <v>1138</v>
      </c>
      <c r="P42" s="5" t="s">
        <v>1134</v>
      </c>
      <c r="Q42" s="5" t="s">
        <v>57</v>
      </c>
      <c r="R42" s="6">
        <v>46204</v>
      </c>
      <c r="S42" s="6">
        <v>46235</v>
      </c>
      <c r="T42" s="7">
        <v>36.36</v>
      </c>
      <c r="U42" s="5" t="s">
        <v>58</v>
      </c>
      <c r="V42" s="5">
        <v>0</v>
      </c>
      <c r="W42" s="5" t="s">
        <v>60</v>
      </c>
      <c r="X42" s="5" t="s">
        <v>61</v>
      </c>
      <c r="Y42" s="5">
        <v>6</v>
      </c>
      <c r="Z42" s="7">
        <v>141.78</v>
      </c>
      <c r="AA42" s="7">
        <v>23.63</v>
      </c>
      <c r="AB42" s="7">
        <v>0</v>
      </c>
      <c r="AC42" s="7">
        <v>141.78</v>
      </c>
      <c r="AD42" s="7"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s="5" customFormat="1" x14ac:dyDescent="0.25">
      <c r="A43" s="5">
        <v>2036228774</v>
      </c>
      <c r="B43" s="5" t="s">
        <v>127</v>
      </c>
      <c r="C43" s="5" t="s">
        <v>128</v>
      </c>
      <c r="D43" s="5" t="str">
        <f t="shared" si="1"/>
        <v>ESTHER PARKS</v>
      </c>
      <c r="E43" s="5" t="s">
        <v>94</v>
      </c>
      <c r="F43" s="5" t="s">
        <v>133</v>
      </c>
      <c r="G43" s="16">
        <v>0.375</v>
      </c>
      <c r="H43" s="5" t="s">
        <v>134</v>
      </c>
      <c r="I43" s="5" t="s">
        <v>134</v>
      </c>
      <c r="J43" s="5">
        <v>6634327</v>
      </c>
      <c r="K43" s="5" t="str">
        <f t="shared" si="2"/>
        <v>6634327AV6</v>
      </c>
      <c r="L43" s="5" t="s">
        <v>129</v>
      </c>
      <c r="M43" s="5" t="s">
        <v>130</v>
      </c>
      <c r="N43" s="5" t="str">
        <f t="shared" si="3"/>
        <v>Joel Lee</v>
      </c>
      <c r="O43" s="5" t="s">
        <v>1138</v>
      </c>
      <c r="P43" s="5" t="s">
        <v>1134</v>
      </c>
      <c r="Q43" s="5" t="s">
        <v>57</v>
      </c>
      <c r="R43" s="6">
        <v>46204</v>
      </c>
      <c r="S43" s="6">
        <v>46235</v>
      </c>
      <c r="T43" s="7">
        <v>74.260000000000005</v>
      </c>
      <c r="U43" s="5" t="s">
        <v>58</v>
      </c>
      <c r="V43" s="5">
        <v>0</v>
      </c>
      <c r="W43" s="5" t="s">
        <v>60</v>
      </c>
      <c r="X43" s="5" t="s">
        <v>61</v>
      </c>
      <c r="Y43" s="5">
        <v>6</v>
      </c>
      <c r="Z43" s="7">
        <v>167.1</v>
      </c>
      <c r="AA43" s="7">
        <v>27.85</v>
      </c>
      <c r="AB43" s="7">
        <v>0</v>
      </c>
      <c r="AC43" s="7">
        <v>167.1</v>
      </c>
      <c r="AD43" s="7">
        <v>0</v>
      </c>
    </row>
    <row r="44" spans="1:55" s="5" customFormat="1" x14ac:dyDescent="0.25">
      <c r="A44" s="5">
        <v>2036228775</v>
      </c>
      <c r="B44" s="5" t="s">
        <v>127</v>
      </c>
      <c r="C44" s="5" t="s">
        <v>128</v>
      </c>
      <c r="D44" s="5" t="str">
        <f t="shared" si="1"/>
        <v>ESTHER PARKS</v>
      </c>
      <c r="E44" s="5" t="s">
        <v>94</v>
      </c>
      <c r="F44" s="5" t="s">
        <v>194</v>
      </c>
      <c r="G44" s="15">
        <v>0.7</v>
      </c>
      <c r="H44" s="5" t="s">
        <v>195</v>
      </c>
      <c r="I44" s="5" t="s">
        <v>195</v>
      </c>
      <c r="J44" s="5">
        <v>6634327</v>
      </c>
      <c r="K44" s="5" t="str">
        <f t="shared" si="2"/>
        <v>6634327AV6</v>
      </c>
      <c r="L44" s="5" t="s">
        <v>129</v>
      </c>
      <c r="M44" s="5" t="s">
        <v>130</v>
      </c>
      <c r="N44" s="5" t="str">
        <f t="shared" si="3"/>
        <v>Joel Lee</v>
      </c>
      <c r="O44" s="5" t="s">
        <v>1138</v>
      </c>
      <c r="P44" s="5" t="s">
        <v>1134</v>
      </c>
      <c r="Q44" s="5" t="s">
        <v>57</v>
      </c>
      <c r="R44" s="6">
        <v>46204</v>
      </c>
      <c r="S44" s="6">
        <v>46235</v>
      </c>
      <c r="T44" s="7">
        <v>9.6999999999999993</v>
      </c>
      <c r="U44" s="5" t="s">
        <v>58</v>
      </c>
      <c r="V44" s="5">
        <v>0</v>
      </c>
      <c r="W44" s="5" t="s">
        <v>60</v>
      </c>
      <c r="X44" s="5" t="s">
        <v>61</v>
      </c>
      <c r="Y44" s="5">
        <v>6</v>
      </c>
      <c r="Z44" s="7">
        <v>40.74</v>
      </c>
      <c r="AA44" s="7">
        <v>6.79</v>
      </c>
      <c r="AB44" s="7">
        <v>0</v>
      </c>
      <c r="AC44" s="7">
        <v>40.74</v>
      </c>
      <c r="AD44" s="7">
        <v>0</v>
      </c>
    </row>
    <row r="45" spans="1:55" s="5" customFormat="1" x14ac:dyDescent="0.25">
      <c r="A45" s="5">
        <v>2036198553</v>
      </c>
      <c r="B45" s="5" t="s">
        <v>174</v>
      </c>
      <c r="C45" s="5" t="s">
        <v>175</v>
      </c>
      <c r="D45" s="5" t="str">
        <f t="shared" si="1"/>
        <v>STEPHEN MOY</v>
      </c>
      <c r="E45" s="5" t="s">
        <v>176</v>
      </c>
      <c r="F45" s="5" t="s">
        <v>133</v>
      </c>
      <c r="G45" s="16">
        <v>0.375</v>
      </c>
      <c r="H45" s="5" t="s">
        <v>134</v>
      </c>
      <c r="I45" s="5" t="s">
        <v>134</v>
      </c>
      <c r="J45" s="5">
        <v>16018575</v>
      </c>
      <c r="K45" s="5" t="str">
        <f t="shared" si="2"/>
        <v>16018575AV6</v>
      </c>
      <c r="L45" s="5" t="s">
        <v>177</v>
      </c>
      <c r="M45" s="5" t="s">
        <v>178</v>
      </c>
      <c r="N45" s="5" t="str">
        <f t="shared" si="3"/>
        <v>Kevin Berthelsen</v>
      </c>
      <c r="O45" s="5" t="s">
        <v>1138</v>
      </c>
      <c r="P45" s="5" t="s">
        <v>1134</v>
      </c>
      <c r="Q45" s="5" t="s">
        <v>57</v>
      </c>
      <c r="R45" s="6">
        <v>46204</v>
      </c>
      <c r="S45" s="6">
        <v>46235</v>
      </c>
      <c r="T45" s="7">
        <v>113.66</v>
      </c>
      <c r="U45" s="5" t="s">
        <v>58</v>
      </c>
      <c r="V45" s="5">
        <v>0</v>
      </c>
      <c r="W45" s="5" t="s">
        <v>60</v>
      </c>
      <c r="X45" s="5" t="s">
        <v>61</v>
      </c>
      <c r="Y45" s="5">
        <v>6</v>
      </c>
      <c r="Z45" s="7">
        <v>255.72</v>
      </c>
      <c r="AA45" s="7">
        <v>42.62</v>
      </c>
      <c r="AB45" s="7">
        <v>0</v>
      </c>
      <c r="AC45" s="7">
        <v>255.72</v>
      </c>
      <c r="AD45" s="7">
        <v>0</v>
      </c>
    </row>
    <row r="46" spans="1:55" s="5" customFormat="1" x14ac:dyDescent="0.25">
      <c r="A46" s="5">
        <v>2036198554</v>
      </c>
      <c r="B46" s="5" t="s">
        <v>174</v>
      </c>
      <c r="C46" s="5" t="s">
        <v>175</v>
      </c>
      <c r="D46" s="5" t="str">
        <f t="shared" si="1"/>
        <v>STEPHEN MOY</v>
      </c>
      <c r="E46" s="5" t="s">
        <v>176</v>
      </c>
      <c r="F46" s="5" t="s">
        <v>194</v>
      </c>
      <c r="G46" s="15">
        <v>0.9</v>
      </c>
      <c r="H46" s="5" t="s">
        <v>217</v>
      </c>
      <c r="I46" s="5" t="s">
        <v>217</v>
      </c>
      <c r="J46" s="5">
        <v>16018575</v>
      </c>
      <c r="K46" s="5" t="str">
        <f t="shared" si="2"/>
        <v>16018575AV6</v>
      </c>
      <c r="L46" s="5" t="s">
        <v>177</v>
      </c>
      <c r="M46" s="5" t="s">
        <v>178</v>
      </c>
      <c r="N46" s="5" t="str">
        <f t="shared" si="3"/>
        <v>Kevin Berthelsen</v>
      </c>
      <c r="O46" s="5" t="s">
        <v>1138</v>
      </c>
      <c r="P46" s="5" t="s">
        <v>1134</v>
      </c>
      <c r="Q46" s="5" t="s">
        <v>57</v>
      </c>
      <c r="R46" s="6">
        <v>46204</v>
      </c>
      <c r="S46" s="6">
        <v>46235</v>
      </c>
      <c r="T46" s="7">
        <v>95.38</v>
      </c>
      <c r="U46" s="5" t="s">
        <v>58</v>
      </c>
      <c r="V46" s="5">
        <v>0</v>
      </c>
      <c r="W46" s="5" t="s">
        <v>60</v>
      </c>
      <c r="X46" s="5" t="s">
        <v>61</v>
      </c>
      <c r="Y46" s="5">
        <v>6</v>
      </c>
      <c r="Z46" s="7">
        <v>515.04</v>
      </c>
      <c r="AA46" s="7">
        <v>85.84</v>
      </c>
      <c r="AB46" s="7">
        <v>0</v>
      </c>
      <c r="AC46" s="7">
        <v>515.04</v>
      </c>
      <c r="AD46" s="7">
        <v>0</v>
      </c>
    </row>
    <row r="47" spans="1:55" s="5" customFormat="1" x14ac:dyDescent="0.25">
      <c r="A47" s="5">
        <v>2036168258</v>
      </c>
      <c r="B47" s="5" t="s">
        <v>160</v>
      </c>
      <c r="C47" s="5" t="s">
        <v>161</v>
      </c>
      <c r="D47" s="5" t="str">
        <f t="shared" si="1"/>
        <v>ALLAN YEUNG</v>
      </c>
      <c r="E47" s="5" t="s">
        <v>162</v>
      </c>
      <c r="F47" s="5" t="s">
        <v>133</v>
      </c>
      <c r="G47" s="16">
        <v>0.375</v>
      </c>
      <c r="H47" s="5" t="s">
        <v>134</v>
      </c>
      <c r="I47" s="5" t="s">
        <v>134</v>
      </c>
      <c r="J47" s="5">
        <v>21777079</v>
      </c>
      <c r="K47" s="5" t="str">
        <f t="shared" si="2"/>
        <v>21777079AV6</v>
      </c>
      <c r="L47" s="5" t="s">
        <v>163</v>
      </c>
      <c r="M47" s="5" t="s">
        <v>164</v>
      </c>
      <c r="N47" s="5" t="str">
        <f t="shared" si="3"/>
        <v>Makena Booker</v>
      </c>
      <c r="O47" s="5" t="s">
        <v>1138</v>
      </c>
      <c r="P47" s="5" t="s">
        <v>1134</v>
      </c>
      <c r="Q47" s="5" t="s">
        <v>57</v>
      </c>
      <c r="R47" s="6">
        <v>46204</v>
      </c>
      <c r="S47" s="6">
        <v>46235</v>
      </c>
      <c r="T47" s="7">
        <v>149.33000000000001</v>
      </c>
      <c r="U47" s="5" t="s">
        <v>58</v>
      </c>
      <c r="V47" s="5">
        <v>0</v>
      </c>
      <c r="W47" s="5" t="s">
        <v>60</v>
      </c>
      <c r="X47" s="5" t="s">
        <v>61</v>
      </c>
      <c r="Y47" s="5">
        <v>6</v>
      </c>
      <c r="Z47" s="7">
        <v>336</v>
      </c>
      <c r="AA47" s="7">
        <v>56</v>
      </c>
      <c r="AB47" s="7">
        <v>0</v>
      </c>
      <c r="AC47" s="7">
        <v>336</v>
      </c>
      <c r="AD47" s="7">
        <v>0</v>
      </c>
    </row>
    <row r="48" spans="1:55" s="5" customFormat="1" x14ac:dyDescent="0.25">
      <c r="A48" s="5">
        <v>2036168259</v>
      </c>
      <c r="B48" s="5" t="s">
        <v>160</v>
      </c>
      <c r="C48" s="5" t="s">
        <v>161</v>
      </c>
      <c r="D48" s="5" t="str">
        <f t="shared" si="1"/>
        <v>ALLAN YEUNG</v>
      </c>
      <c r="E48" s="5" t="s">
        <v>162</v>
      </c>
      <c r="F48" s="5" t="s">
        <v>194</v>
      </c>
      <c r="G48" s="15">
        <v>0.7</v>
      </c>
      <c r="H48" s="5" t="s">
        <v>195</v>
      </c>
      <c r="I48" s="5" t="s">
        <v>195</v>
      </c>
      <c r="J48" s="5">
        <v>21777079</v>
      </c>
      <c r="K48" s="5" t="str">
        <f t="shared" si="2"/>
        <v>21777079AV6</v>
      </c>
      <c r="L48" s="5" t="s">
        <v>163</v>
      </c>
      <c r="M48" s="5" t="s">
        <v>164</v>
      </c>
      <c r="N48" s="5" t="str">
        <f t="shared" si="3"/>
        <v>Makena Booker</v>
      </c>
      <c r="O48" s="5" t="s">
        <v>1138</v>
      </c>
      <c r="P48" s="5" t="s">
        <v>1134</v>
      </c>
      <c r="Q48" s="5" t="s">
        <v>57</v>
      </c>
      <c r="R48" s="6">
        <v>46204</v>
      </c>
      <c r="S48" s="6">
        <v>46235</v>
      </c>
      <c r="T48" s="7">
        <v>46.17</v>
      </c>
      <c r="U48" s="5" t="s">
        <v>58</v>
      </c>
      <c r="V48" s="5">
        <v>0</v>
      </c>
      <c r="W48" s="5" t="s">
        <v>60</v>
      </c>
      <c r="X48" s="5" t="s">
        <v>61</v>
      </c>
      <c r="Y48" s="5">
        <v>6</v>
      </c>
      <c r="Z48" s="7">
        <v>193.92</v>
      </c>
      <c r="AA48" s="7">
        <v>32.32</v>
      </c>
      <c r="AB48" s="7">
        <v>0</v>
      </c>
      <c r="AC48" s="7">
        <v>193.92</v>
      </c>
      <c r="AD48" s="7">
        <v>0</v>
      </c>
    </row>
    <row r="49" spans="1:55" s="5" customFormat="1" x14ac:dyDescent="0.25">
      <c r="A49" s="5">
        <v>2036244944</v>
      </c>
      <c r="B49" s="5" t="s">
        <v>231</v>
      </c>
      <c r="C49" s="5" t="s">
        <v>232</v>
      </c>
      <c r="D49" s="5" t="str">
        <f t="shared" si="1"/>
        <v>ISABELLA JOHNSON</v>
      </c>
      <c r="E49" s="5" t="s">
        <v>97</v>
      </c>
      <c r="F49" s="5" t="s">
        <v>194</v>
      </c>
      <c r="G49" s="15">
        <v>0.7</v>
      </c>
      <c r="H49" s="5" t="s">
        <v>195</v>
      </c>
      <c r="I49" s="5" t="s">
        <v>195</v>
      </c>
      <c r="J49" s="5">
        <v>22160643</v>
      </c>
      <c r="K49" s="5" t="str">
        <f t="shared" si="2"/>
        <v>22160643AV6</v>
      </c>
      <c r="L49" s="5" t="s">
        <v>233</v>
      </c>
      <c r="M49" s="5" t="s">
        <v>234</v>
      </c>
      <c r="N49" s="5" t="str">
        <f t="shared" si="3"/>
        <v>Marc Lessem</v>
      </c>
      <c r="O49" s="5" t="s">
        <v>1138</v>
      </c>
      <c r="P49" s="5" t="s">
        <v>1134</v>
      </c>
      <c r="Q49" s="5" t="s">
        <v>57</v>
      </c>
      <c r="R49" s="6">
        <v>46204</v>
      </c>
      <c r="S49" s="6">
        <v>46235</v>
      </c>
      <c r="T49" s="7">
        <v>36.770000000000003</v>
      </c>
      <c r="U49" s="5" t="s">
        <v>58</v>
      </c>
      <c r="V49" s="5">
        <v>0</v>
      </c>
      <c r="W49" s="5" t="s">
        <v>60</v>
      </c>
      <c r="X49" s="5" t="s">
        <v>61</v>
      </c>
      <c r="Y49" s="5">
        <v>6</v>
      </c>
      <c r="Z49" s="7">
        <v>154.44</v>
      </c>
      <c r="AA49" s="7">
        <v>25.74</v>
      </c>
      <c r="AB49" s="7">
        <v>0</v>
      </c>
      <c r="AC49" s="7">
        <v>154.44</v>
      </c>
      <c r="AD49" s="7">
        <v>0</v>
      </c>
    </row>
    <row r="50" spans="1:55" x14ac:dyDescent="0.25">
      <c r="A50" s="5">
        <v>2036213108</v>
      </c>
      <c r="B50" s="5" t="s">
        <v>122</v>
      </c>
      <c r="C50" s="5" t="s">
        <v>123</v>
      </c>
      <c r="D50" s="5" t="str">
        <f t="shared" si="1"/>
        <v>SAUNIATU TOA</v>
      </c>
      <c r="E50" s="5" t="s">
        <v>124</v>
      </c>
      <c r="F50" s="5" t="s">
        <v>69</v>
      </c>
      <c r="G50" s="15">
        <v>0.75</v>
      </c>
      <c r="H50" s="5" t="s">
        <v>70</v>
      </c>
      <c r="I50" s="5" t="s">
        <v>1079</v>
      </c>
      <c r="J50" s="5">
        <v>22106234</v>
      </c>
      <c r="K50" s="5" t="str">
        <f t="shared" si="2"/>
        <v>22106234AV6</v>
      </c>
      <c r="L50" s="5" t="s">
        <v>125</v>
      </c>
      <c r="M50" s="5" t="s">
        <v>126</v>
      </c>
      <c r="N50" s="5" t="str">
        <f t="shared" si="3"/>
        <v>Nicole Toa</v>
      </c>
      <c r="O50" s="5" t="s">
        <v>1138</v>
      </c>
      <c r="P50" s="5" t="s">
        <v>1134</v>
      </c>
      <c r="Q50" s="5" t="s">
        <v>57</v>
      </c>
      <c r="R50" s="6">
        <v>46199</v>
      </c>
      <c r="S50" s="6">
        <v>46229</v>
      </c>
      <c r="T50" s="7">
        <v>69.58</v>
      </c>
      <c r="U50" s="5" t="s">
        <v>58</v>
      </c>
      <c r="V50" s="5">
        <v>0</v>
      </c>
      <c r="W50" s="5" t="s">
        <v>60</v>
      </c>
      <c r="X50" s="5" t="s">
        <v>61</v>
      </c>
      <c r="Y50" s="5">
        <v>6</v>
      </c>
      <c r="Z50" s="7">
        <v>313.08</v>
      </c>
      <c r="AA50" s="7">
        <v>52.18</v>
      </c>
      <c r="AB50" s="7">
        <v>0</v>
      </c>
      <c r="AC50" s="7">
        <v>313.08</v>
      </c>
      <c r="AD50" s="7"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25">
      <c r="A51" s="5">
        <v>2036189763</v>
      </c>
      <c r="B51" s="5" t="s">
        <v>49</v>
      </c>
      <c r="C51" s="5" t="s">
        <v>50</v>
      </c>
      <c r="D51" s="5" t="str">
        <f t="shared" si="1"/>
        <v>MARGARET STANTON</v>
      </c>
      <c r="E51" s="5" t="s">
        <v>52</v>
      </c>
      <c r="F51" s="5" t="s">
        <v>53</v>
      </c>
      <c r="G51" s="15">
        <v>0.6</v>
      </c>
      <c r="H51" s="5" t="s">
        <v>54</v>
      </c>
      <c r="I51" s="5" t="s">
        <v>54</v>
      </c>
      <c r="J51" s="5">
        <v>16509456</v>
      </c>
      <c r="K51" s="5" t="str">
        <f t="shared" si="2"/>
        <v>16509456AV6</v>
      </c>
      <c r="L51" s="5" t="s">
        <v>55</v>
      </c>
      <c r="M51" s="5" t="s">
        <v>56</v>
      </c>
      <c r="N51" s="5" t="str">
        <f t="shared" si="3"/>
        <v>PETER RICHTER</v>
      </c>
      <c r="O51" s="5" t="s">
        <v>1138</v>
      </c>
      <c r="P51" s="5" t="s">
        <v>1134</v>
      </c>
      <c r="Q51" s="5" t="s">
        <v>57</v>
      </c>
      <c r="R51" s="6">
        <v>46197</v>
      </c>
      <c r="S51" s="6">
        <v>46227</v>
      </c>
      <c r="T51" s="7">
        <v>42.45</v>
      </c>
      <c r="U51" s="5" t="s">
        <v>58</v>
      </c>
      <c r="V51" s="5">
        <v>0</v>
      </c>
      <c r="W51" s="5" t="s">
        <v>60</v>
      </c>
      <c r="X51" s="5" t="s">
        <v>61</v>
      </c>
      <c r="Y51" s="5">
        <v>6</v>
      </c>
      <c r="Z51" s="7">
        <v>152.82</v>
      </c>
      <c r="AA51" s="7">
        <v>25.47</v>
      </c>
      <c r="AB51" s="7">
        <v>0</v>
      </c>
      <c r="AC51" s="7">
        <v>152.82</v>
      </c>
      <c r="AD51" s="7"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25">
      <c r="A52" s="5">
        <v>2036179324</v>
      </c>
      <c r="B52" s="5" t="s">
        <v>165</v>
      </c>
      <c r="C52" s="5" t="s">
        <v>166</v>
      </c>
      <c r="D52" s="5" t="str">
        <f t="shared" si="1"/>
        <v>RACHAEL MARSH</v>
      </c>
      <c r="E52" s="5" t="s">
        <v>167</v>
      </c>
      <c r="F52" s="5" t="s">
        <v>133</v>
      </c>
      <c r="G52" s="16">
        <v>0.375</v>
      </c>
      <c r="H52" s="5" t="s">
        <v>134</v>
      </c>
      <c r="I52" s="5" t="s">
        <v>134</v>
      </c>
      <c r="J52" s="5">
        <v>21592282</v>
      </c>
      <c r="K52" s="5" t="str">
        <f t="shared" si="2"/>
        <v>21592282AV6</v>
      </c>
      <c r="L52" s="5" t="s">
        <v>168</v>
      </c>
      <c r="M52" s="5" t="s">
        <v>169</v>
      </c>
      <c r="N52" s="5" t="str">
        <f t="shared" si="3"/>
        <v>Rachael Marsh</v>
      </c>
      <c r="O52" s="5" t="s">
        <v>1138</v>
      </c>
      <c r="P52" s="5" t="s">
        <v>1134</v>
      </c>
      <c r="Q52" s="5" t="s">
        <v>57</v>
      </c>
      <c r="R52" s="6">
        <v>46204</v>
      </c>
      <c r="S52" s="6">
        <v>46235</v>
      </c>
      <c r="T52" s="7">
        <v>51.78</v>
      </c>
      <c r="U52" s="5" t="s">
        <v>58</v>
      </c>
      <c r="V52" s="5">
        <v>0</v>
      </c>
      <c r="W52" s="5" t="s">
        <v>60</v>
      </c>
      <c r="X52" s="5" t="s">
        <v>61</v>
      </c>
      <c r="Y52" s="5">
        <v>6</v>
      </c>
      <c r="Z52" s="7">
        <v>116.52</v>
      </c>
      <c r="AA52" s="7">
        <v>19.420000000000002</v>
      </c>
      <c r="AB52" s="7">
        <v>0</v>
      </c>
      <c r="AC52" s="7">
        <v>116.52</v>
      </c>
      <c r="AD52" s="7"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s="5" customFormat="1" x14ac:dyDescent="0.25">
      <c r="A53" s="5">
        <v>2036203428</v>
      </c>
      <c r="B53" s="5" t="s">
        <v>118</v>
      </c>
      <c r="C53" s="5" t="s">
        <v>119</v>
      </c>
      <c r="D53" s="5" t="str">
        <f t="shared" si="1"/>
        <v>BIBIANA ORTIZ</v>
      </c>
      <c r="E53" s="5" t="s">
        <v>89</v>
      </c>
      <c r="F53" s="5" t="s">
        <v>69</v>
      </c>
      <c r="G53" s="15">
        <v>0.75</v>
      </c>
      <c r="H53" s="5" t="s">
        <v>70</v>
      </c>
      <c r="I53" s="5" t="s">
        <v>1079</v>
      </c>
      <c r="J53" s="5">
        <v>21648482</v>
      </c>
      <c r="K53" s="5" t="str">
        <f t="shared" si="2"/>
        <v>21648482AV6</v>
      </c>
      <c r="L53" s="5" t="s">
        <v>120</v>
      </c>
      <c r="M53" s="5" t="s">
        <v>121</v>
      </c>
      <c r="N53" s="5" t="str">
        <f t="shared" si="3"/>
        <v>Raluca Cheregi</v>
      </c>
      <c r="O53" s="5" t="s">
        <v>1138</v>
      </c>
      <c r="P53" s="5" t="s">
        <v>1134</v>
      </c>
      <c r="Q53" s="5" t="s">
        <v>57</v>
      </c>
      <c r="R53" s="6">
        <v>46198</v>
      </c>
      <c r="S53" s="6">
        <v>46228</v>
      </c>
      <c r="T53" s="7">
        <v>12.3</v>
      </c>
      <c r="U53" s="5" t="s">
        <v>58</v>
      </c>
      <c r="V53" s="5">
        <v>0</v>
      </c>
      <c r="W53" s="5" t="s">
        <v>60</v>
      </c>
      <c r="X53" s="5" t="s">
        <v>61</v>
      </c>
      <c r="Y53" s="5">
        <v>6</v>
      </c>
      <c r="Z53" s="7">
        <v>55.32</v>
      </c>
      <c r="AA53" s="7">
        <v>9.2200000000000006</v>
      </c>
      <c r="AB53" s="7">
        <v>0</v>
      </c>
      <c r="AC53" s="7">
        <v>55.32</v>
      </c>
      <c r="AD53" s="7">
        <v>0</v>
      </c>
    </row>
    <row r="54" spans="1:55" s="5" customFormat="1" x14ac:dyDescent="0.25">
      <c r="A54" s="5">
        <v>2036203429</v>
      </c>
      <c r="B54" s="5" t="s">
        <v>118</v>
      </c>
      <c r="C54" s="5" t="s">
        <v>119</v>
      </c>
      <c r="D54" s="5" t="str">
        <f t="shared" si="1"/>
        <v>BIBIANA ORTIZ</v>
      </c>
      <c r="E54" s="5" t="s">
        <v>89</v>
      </c>
      <c r="F54" s="5" t="s">
        <v>133</v>
      </c>
      <c r="G54" s="16">
        <v>0.375</v>
      </c>
      <c r="H54" s="5" t="s">
        <v>134</v>
      </c>
      <c r="I54" s="5" t="s">
        <v>134</v>
      </c>
      <c r="J54" s="5">
        <v>21648482</v>
      </c>
      <c r="K54" s="5" t="str">
        <f t="shared" si="2"/>
        <v>21648482AV6</v>
      </c>
      <c r="L54" s="5" t="s">
        <v>120</v>
      </c>
      <c r="M54" s="5" t="s">
        <v>121</v>
      </c>
      <c r="N54" s="5" t="str">
        <f t="shared" si="3"/>
        <v>Raluca Cheregi</v>
      </c>
      <c r="O54" s="5" t="s">
        <v>1138</v>
      </c>
      <c r="P54" s="5" t="s">
        <v>1134</v>
      </c>
      <c r="Q54" s="5" t="s">
        <v>57</v>
      </c>
      <c r="R54" s="6">
        <v>46198</v>
      </c>
      <c r="S54" s="6">
        <v>46228</v>
      </c>
      <c r="T54" s="7">
        <v>78.760000000000005</v>
      </c>
      <c r="U54" s="5" t="s">
        <v>58</v>
      </c>
      <c r="V54" s="5">
        <v>0</v>
      </c>
      <c r="W54" s="5" t="s">
        <v>60</v>
      </c>
      <c r="X54" s="5" t="s">
        <v>61</v>
      </c>
      <c r="Y54" s="5">
        <v>6</v>
      </c>
      <c r="Z54" s="7">
        <v>177.24</v>
      </c>
      <c r="AA54" s="7">
        <v>29.54</v>
      </c>
      <c r="AB54" s="7">
        <v>0</v>
      </c>
      <c r="AC54" s="7">
        <v>177.24</v>
      </c>
      <c r="AD54" s="7">
        <v>0</v>
      </c>
    </row>
    <row r="55" spans="1:55" s="5" customFormat="1" x14ac:dyDescent="0.25">
      <c r="A55" s="5">
        <v>2036203426</v>
      </c>
      <c r="B55" s="5" t="s">
        <v>118</v>
      </c>
      <c r="C55" s="5" t="s">
        <v>119</v>
      </c>
      <c r="D55" s="5" t="str">
        <f t="shared" si="1"/>
        <v>BIBIANA ORTIZ</v>
      </c>
      <c r="E55" s="5" t="s">
        <v>89</v>
      </c>
      <c r="F55" s="5" t="s">
        <v>194</v>
      </c>
      <c r="G55" s="15">
        <v>0.7</v>
      </c>
      <c r="H55" s="5" t="s">
        <v>195</v>
      </c>
      <c r="I55" s="5" t="s">
        <v>195</v>
      </c>
      <c r="J55" s="5">
        <v>21648482</v>
      </c>
      <c r="K55" s="5" t="str">
        <f t="shared" si="2"/>
        <v>21648482AV6</v>
      </c>
      <c r="L55" s="5" t="s">
        <v>120</v>
      </c>
      <c r="M55" s="5" t="s">
        <v>121</v>
      </c>
      <c r="N55" s="5" t="str">
        <f t="shared" si="3"/>
        <v>Raluca Cheregi</v>
      </c>
      <c r="O55" s="5" t="s">
        <v>1138</v>
      </c>
      <c r="P55" s="5" t="s">
        <v>1134</v>
      </c>
      <c r="Q55" s="5" t="s">
        <v>57</v>
      </c>
      <c r="R55" s="6">
        <v>46198</v>
      </c>
      <c r="S55" s="6">
        <v>46228</v>
      </c>
      <c r="T55" s="7">
        <v>52.31</v>
      </c>
      <c r="U55" s="5" t="s">
        <v>58</v>
      </c>
      <c r="V55" s="5">
        <v>0</v>
      </c>
      <c r="W55" s="5" t="s">
        <v>60</v>
      </c>
      <c r="X55" s="5" t="s">
        <v>61</v>
      </c>
      <c r="Y55" s="5">
        <v>6</v>
      </c>
      <c r="Z55" s="7">
        <v>219.72</v>
      </c>
      <c r="AA55" s="7">
        <v>36.619999999999997</v>
      </c>
      <c r="AB55" s="7">
        <v>0</v>
      </c>
      <c r="AC55" s="7">
        <v>219.72</v>
      </c>
      <c r="AD55" s="7">
        <v>0</v>
      </c>
    </row>
    <row r="56" spans="1:55" s="5" customFormat="1" x14ac:dyDescent="0.25">
      <c r="A56" s="5">
        <v>2036203427</v>
      </c>
      <c r="B56" s="5" t="s">
        <v>118</v>
      </c>
      <c r="C56" s="5" t="s">
        <v>119</v>
      </c>
      <c r="D56" s="5" t="str">
        <f t="shared" si="1"/>
        <v>BIBIANA ORTIZ</v>
      </c>
      <c r="E56" s="5" t="s">
        <v>89</v>
      </c>
      <c r="F56" s="5" t="s">
        <v>194</v>
      </c>
      <c r="G56" s="15">
        <v>0.9</v>
      </c>
      <c r="H56" s="5" t="s">
        <v>217</v>
      </c>
      <c r="I56" s="5" t="s">
        <v>217</v>
      </c>
      <c r="J56" s="5">
        <v>21648482</v>
      </c>
      <c r="K56" s="5" t="str">
        <f t="shared" si="2"/>
        <v>21648482AV6</v>
      </c>
      <c r="L56" s="5" t="s">
        <v>120</v>
      </c>
      <c r="M56" s="5" t="s">
        <v>121</v>
      </c>
      <c r="N56" s="5" t="str">
        <f t="shared" si="3"/>
        <v>Raluca Cheregi</v>
      </c>
      <c r="O56" s="5" t="s">
        <v>1138</v>
      </c>
      <c r="P56" s="5" t="s">
        <v>1134</v>
      </c>
      <c r="Q56" s="5" t="s">
        <v>57</v>
      </c>
      <c r="R56" s="6">
        <v>46198</v>
      </c>
      <c r="S56" s="6">
        <v>46228</v>
      </c>
      <c r="T56" s="7">
        <v>21.83</v>
      </c>
      <c r="U56" s="5" t="s">
        <v>58</v>
      </c>
      <c r="V56" s="5">
        <v>0</v>
      </c>
      <c r="W56" s="5" t="s">
        <v>60</v>
      </c>
      <c r="X56" s="5" t="s">
        <v>61</v>
      </c>
      <c r="Y56" s="5">
        <v>6</v>
      </c>
      <c r="Z56" s="7">
        <v>117.9</v>
      </c>
      <c r="AA56" s="7">
        <v>19.649999999999999</v>
      </c>
      <c r="AB56" s="7">
        <v>0</v>
      </c>
      <c r="AC56" s="7">
        <v>117.9</v>
      </c>
      <c r="AD56" s="7">
        <v>0</v>
      </c>
    </row>
    <row r="57" spans="1:55" s="5" customFormat="1" x14ac:dyDescent="0.25">
      <c r="A57" s="5">
        <v>2036200629</v>
      </c>
      <c r="B57" s="5" t="s">
        <v>111</v>
      </c>
      <c r="C57" s="5" t="s">
        <v>112</v>
      </c>
      <c r="D57" s="5" t="str">
        <f t="shared" si="1"/>
        <v>SOPHIA COHN</v>
      </c>
      <c r="E57" s="5" t="s">
        <v>89</v>
      </c>
      <c r="F57" s="5" t="s">
        <v>69</v>
      </c>
      <c r="G57" s="15">
        <v>0.9</v>
      </c>
      <c r="H57" s="5" t="s">
        <v>79</v>
      </c>
      <c r="I57" s="5" t="s">
        <v>1080</v>
      </c>
      <c r="J57" s="5">
        <v>16633294</v>
      </c>
      <c r="K57" s="5" t="str">
        <f t="shared" si="2"/>
        <v>16633294AV6</v>
      </c>
      <c r="L57" s="5" t="s">
        <v>113</v>
      </c>
      <c r="M57" s="5" t="s">
        <v>114</v>
      </c>
      <c r="N57" s="5" t="str">
        <f t="shared" si="3"/>
        <v>Richard Yale</v>
      </c>
      <c r="O57" s="5" t="s">
        <v>1138</v>
      </c>
      <c r="P57" s="5" t="s">
        <v>1134</v>
      </c>
      <c r="Q57" s="5" t="s">
        <v>57</v>
      </c>
      <c r="R57" s="6">
        <v>46196</v>
      </c>
      <c r="S57" s="6">
        <v>46226</v>
      </c>
      <c r="T57" s="7">
        <v>50.16</v>
      </c>
      <c r="U57" s="5" t="s">
        <v>58</v>
      </c>
      <c r="V57" s="5">
        <v>0</v>
      </c>
      <c r="W57" s="5" t="s">
        <v>60</v>
      </c>
      <c r="X57" s="5" t="s">
        <v>61</v>
      </c>
      <c r="Y57" s="5">
        <v>6</v>
      </c>
      <c r="Z57" s="7">
        <v>270.83999999999997</v>
      </c>
      <c r="AA57" s="7">
        <v>45.14</v>
      </c>
      <c r="AB57" s="7">
        <v>0</v>
      </c>
      <c r="AC57" s="7">
        <v>270.83999999999997</v>
      </c>
      <c r="AD57" s="7">
        <v>0</v>
      </c>
    </row>
    <row r="58" spans="1:55" s="5" customFormat="1" x14ac:dyDescent="0.25">
      <c r="A58" s="5">
        <v>2036200628</v>
      </c>
      <c r="B58" s="5" t="s">
        <v>111</v>
      </c>
      <c r="C58" s="5" t="s">
        <v>112</v>
      </c>
      <c r="D58" s="5" t="str">
        <f t="shared" si="1"/>
        <v>SOPHIA COHN</v>
      </c>
      <c r="E58" s="5" t="s">
        <v>89</v>
      </c>
      <c r="F58" s="5" t="s">
        <v>194</v>
      </c>
      <c r="G58" s="15">
        <v>0.7</v>
      </c>
      <c r="H58" s="5" t="s">
        <v>195</v>
      </c>
      <c r="I58" s="5" t="s">
        <v>195</v>
      </c>
      <c r="J58" s="5">
        <v>16633294</v>
      </c>
      <c r="K58" s="5" t="str">
        <f t="shared" si="2"/>
        <v>16633294AV6</v>
      </c>
      <c r="L58" s="5" t="s">
        <v>113</v>
      </c>
      <c r="M58" s="5" t="s">
        <v>114</v>
      </c>
      <c r="N58" s="5" t="str">
        <f t="shared" si="3"/>
        <v>Richard Yale</v>
      </c>
      <c r="O58" s="5" t="s">
        <v>1138</v>
      </c>
      <c r="P58" s="5" t="s">
        <v>1134</v>
      </c>
      <c r="Q58" s="5" t="s">
        <v>57</v>
      </c>
      <c r="R58" s="6">
        <v>46196</v>
      </c>
      <c r="S58" s="6">
        <v>46226</v>
      </c>
      <c r="T58" s="7">
        <v>81.150000000000006</v>
      </c>
      <c r="U58" s="5" t="s">
        <v>58</v>
      </c>
      <c r="V58" s="5">
        <v>0</v>
      </c>
      <c r="W58" s="5" t="s">
        <v>60</v>
      </c>
      <c r="X58" s="5" t="s">
        <v>61</v>
      </c>
      <c r="Y58" s="5">
        <v>6</v>
      </c>
      <c r="Z58" s="7">
        <v>340.8</v>
      </c>
      <c r="AA58" s="7">
        <v>56.8</v>
      </c>
      <c r="AB58" s="7">
        <v>0</v>
      </c>
      <c r="AC58" s="7">
        <v>340.8</v>
      </c>
      <c r="AD58" s="7">
        <v>0</v>
      </c>
    </row>
    <row r="59" spans="1:55" x14ac:dyDescent="0.25">
      <c r="A59">
        <v>2036247501</v>
      </c>
      <c r="B59" t="s">
        <v>62</v>
      </c>
      <c r="C59" t="s">
        <v>63</v>
      </c>
      <c r="D59" s="5" t="str">
        <f t="shared" si="1"/>
        <v>TAMMY SANDT</v>
      </c>
      <c r="E59" t="s">
        <v>52</v>
      </c>
      <c r="F59" t="s">
        <v>53</v>
      </c>
      <c r="G59" s="3">
        <v>0.6</v>
      </c>
      <c r="H59" t="s">
        <v>54</v>
      </c>
      <c r="I59" t="s">
        <v>54</v>
      </c>
      <c r="J59">
        <v>15950276</v>
      </c>
      <c r="K59">
        <v>15950276</v>
      </c>
      <c r="L59" t="s">
        <v>64</v>
      </c>
      <c r="M59" t="s">
        <v>65</v>
      </c>
      <c r="N59" t="str">
        <f t="shared" si="3"/>
        <v>Ryan Stocker</v>
      </c>
      <c r="O59" t="s">
        <v>247</v>
      </c>
      <c r="P59" t="s">
        <v>1133</v>
      </c>
      <c r="Q59" t="s">
        <v>57</v>
      </c>
      <c r="R59" s="1">
        <v>46204</v>
      </c>
      <c r="S59" s="1">
        <v>46235</v>
      </c>
      <c r="T59" s="2">
        <v>92.55</v>
      </c>
      <c r="U59" t="s">
        <v>58</v>
      </c>
      <c r="V59">
        <v>0</v>
      </c>
      <c r="W59" t="s">
        <v>60</v>
      </c>
      <c r="X59" t="s">
        <v>61</v>
      </c>
      <c r="Y59">
        <v>6</v>
      </c>
      <c r="Z59" s="2">
        <v>333.18</v>
      </c>
      <c r="AA59" s="2">
        <v>55.53</v>
      </c>
      <c r="AB59" s="2">
        <v>0</v>
      </c>
      <c r="AC59" s="2">
        <v>333.18</v>
      </c>
      <c r="AD59" s="2">
        <v>0</v>
      </c>
    </row>
    <row r="60" spans="1:55" s="5" customFormat="1" x14ac:dyDescent="0.25">
      <c r="A60">
        <v>2035933033</v>
      </c>
      <c r="B60" t="s">
        <v>82</v>
      </c>
      <c r="C60" t="s">
        <v>83</v>
      </c>
      <c r="D60" s="5" t="str">
        <f t="shared" si="1"/>
        <v>JOSHUA STIER</v>
      </c>
      <c r="E60" t="s">
        <v>84</v>
      </c>
      <c r="F60" t="s">
        <v>69</v>
      </c>
      <c r="G60" s="3">
        <v>0.75</v>
      </c>
      <c r="H60" t="s">
        <v>70</v>
      </c>
      <c r="I60" t="s">
        <v>1079</v>
      </c>
      <c r="J60">
        <v>18201929</v>
      </c>
      <c r="K60">
        <v>18201929</v>
      </c>
      <c r="L60" t="s">
        <v>85</v>
      </c>
      <c r="M60" t="s">
        <v>86</v>
      </c>
      <c r="N60" t="str">
        <f t="shared" si="3"/>
        <v>Jake Shulman</v>
      </c>
      <c r="O60" t="s">
        <v>247</v>
      </c>
      <c r="P60" t="s">
        <v>1133</v>
      </c>
      <c r="Q60" t="s">
        <v>57</v>
      </c>
      <c r="R60" s="1">
        <v>46204</v>
      </c>
      <c r="S60" s="1">
        <v>46235</v>
      </c>
      <c r="T60" s="2">
        <v>11.86</v>
      </c>
      <c r="U60" t="s">
        <v>58</v>
      </c>
      <c r="V60">
        <v>0</v>
      </c>
      <c r="W60" t="s">
        <v>60</v>
      </c>
      <c r="X60" t="s">
        <v>61</v>
      </c>
      <c r="Y60">
        <v>6</v>
      </c>
      <c r="Z60" s="2">
        <v>53.4</v>
      </c>
      <c r="AA60" s="2">
        <v>8.9</v>
      </c>
      <c r="AB60" s="2">
        <v>0</v>
      </c>
      <c r="AC60" s="2">
        <v>53.4</v>
      </c>
      <c r="AD60" s="2">
        <v>0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1:55" s="5" customFormat="1" x14ac:dyDescent="0.25">
      <c r="A61">
        <v>2036136234</v>
      </c>
      <c r="B61" t="s">
        <v>98</v>
      </c>
      <c r="C61" t="s">
        <v>99</v>
      </c>
      <c r="D61" s="5" t="str">
        <f t="shared" si="1"/>
        <v>JACKSON PEREDA</v>
      </c>
      <c r="E61" t="s">
        <v>100</v>
      </c>
      <c r="F61" t="s">
        <v>69</v>
      </c>
      <c r="G61" s="3">
        <v>0.65</v>
      </c>
      <c r="H61" t="s">
        <v>101</v>
      </c>
      <c r="I61" t="s">
        <v>1081</v>
      </c>
      <c r="J61">
        <v>8977234</v>
      </c>
      <c r="K61">
        <v>8977234</v>
      </c>
      <c r="L61" t="s">
        <v>102</v>
      </c>
      <c r="M61" t="s">
        <v>103</v>
      </c>
      <c r="N61" t="str">
        <f t="shared" si="3"/>
        <v>RYAN CALTAGIRONE</v>
      </c>
      <c r="O61" t="s">
        <v>247</v>
      </c>
      <c r="P61" t="s">
        <v>1133</v>
      </c>
      <c r="Q61" t="s">
        <v>57</v>
      </c>
      <c r="R61" s="1">
        <v>46235</v>
      </c>
      <c r="S61" s="1">
        <v>46266</v>
      </c>
      <c r="T61" s="2">
        <v>15.91</v>
      </c>
      <c r="U61" t="s">
        <v>58</v>
      </c>
      <c r="V61">
        <v>0</v>
      </c>
      <c r="W61" t="s">
        <v>60</v>
      </c>
      <c r="X61" t="s">
        <v>61</v>
      </c>
      <c r="Y61">
        <v>6</v>
      </c>
      <c r="Z61" s="2">
        <v>62.04</v>
      </c>
      <c r="AA61" s="2">
        <v>10.34</v>
      </c>
      <c r="AB61" s="2">
        <v>0</v>
      </c>
      <c r="AC61" s="2">
        <v>62.04</v>
      </c>
      <c r="AD61" s="2">
        <v>0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s="5" customFormat="1" x14ac:dyDescent="0.25">
      <c r="A62">
        <v>2036185084</v>
      </c>
      <c r="B62" t="s">
        <v>108</v>
      </c>
      <c r="C62" t="s">
        <v>109</v>
      </c>
      <c r="D62" s="5" t="str">
        <f t="shared" si="1"/>
        <v>KANNON HOSSAIN</v>
      </c>
      <c r="E62" t="s">
        <v>100</v>
      </c>
      <c r="F62" t="s">
        <v>69</v>
      </c>
      <c r="G62" s="3">
        <v>0.65</v>
      </c>
      <c r="H62" t="s">
        <v>101</v>
      </c>
      <c r="I62" t="s">
        <v>1081</v>
      </c>
      <c r="J62">
        <v>8977234</v>
      </c>
      <c r="K62">
        <v>8977234</v>
      </c>
      <c r="L62" t="s">
        <v>102</v>
      </c>
      <c r="M62" t="s">
        <v>103</v>
      </c>
      <c r="N62" t="str">
        <f t="shared" si="3"/>
        <v>RYAN CALTAGIRONE</v>
      </c>
      <c r="O62" t="s">
        <v>247</v>
      </c>
      <c r="P62" t="s">
        <v>1133</v>
      </c>
      <c r="Q62" t="s">
        <v>57</v>
      </c>
      <c r="R62" s="1">
        <v>46204</v>
      </c>
      <c r="S62" s="1">
        <v>46235</v>
      </c>
      <c r="T62" s="2">
        <v>25.96</v>
      </c>
      <c r="U62" t="s">
        <v>58</v>
      </c>
      <c r="V62">
        <v>0</v>
      </c>
      <c r="W62" t="s">
        <v>60</v>
      </c>
      <c r="X62" t="s">
        <v>61</v>
      </c>
      <c r="Y62">
        <v>6</v>
      </c>
      <c r="Z62" s="2">
        <v>101.22</v>
      </c>
      <c r="AA62" s="2">
        <v>16.87</v>
      </c>
      <c r="AB62" s="2">
        <v>0</v>
      </c>
      <c r="AC62" s="2">
        <v>101.22</v>
      </c>
      <c r="AD62" s="2">
        <v>0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1:55" s="5" customFormat="1" x14ac:dyDescent="0.25">
      <c r="A63">
        <v>2036247398</v>
      </c>
      <c r="B63" t="s">
        <v>141</v>
      </c>
      <c r="C63" t="s">
        <v>142</v>
      </c>
      <c r="D63" s="5" t="str">
        <f t="shared" si="1"/>
        <v>VANCE TWITCHELL</v>
      </c>
      <c r="E63" t="s">
        <v>143</v>
      </c>
      <c r="F63" t="s">
        <v>69</v>
      </c>
      <c r="G63" s="3">
        <v>0.75</v>
      </c>
      <c r="H63" t="s">
        <v>70</v>
      </c>
      <c r="I63" t="s">
        <v>1079</v>
      </c>
      <c r="J63">
        <v>8977234</v>
      </c>
      <c r="K63">
        <v>8977234</v>
      </c>
      <c r="L63" t="s">
        <v>102</v>
      </c>
      <c r="M63" t="s">
        <v>103</v>
      </c>
      <c r="N63" t="str">
        <f t="shared" si="3"/>
        <v>RYAN CALTAGIRONE</v>
      </c>
      <c r="O63" t="s">
        <v>247</v>
      </c>
      <c r="P63" t="s">
        <v>1133</v>
      </c>
      <c r="Q63" t="s">
        <v>57</v>
      </c>
      <c r="R63" s="1">
        <v>46200</v>
      </c>
      <c r="S63" s="1">
        <v>46230</v>
      </c>
      <c r="T63" s="2">
        <v>38.25</v>
      </c>
      <c r="U63" t="s">
        <v>58</v>
      </c>
      <c r="V63">
        <v>0</v>
      </c>
      <c r="W63" t="s">
        <v>60</v>
      </c>
      <c r="X63" t="s">
        <v>61</v>
      </c>
      <c r="Y63">
        <v>6</v>
      </c>
      <c r="Z63" s="2">
        <v>172.14</v>
      </c>
      <c r="AA63" s="2">
        <v>28.69</v>
      </c>
      <c r="AB63" s="2">
        <v>0</v>
      </c>
      <c r="AC63" s="2">
        <v>172.14</v>
      </c>
      <c r="AD63" s="2">
        <v>0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1:55" s="5" customFormat="1" x14ac:dyDescent="0.25">
      <c r="A64">
        <v>2035830506</v>
      </c>
      <c r="B64" t="s">
        <v>66</v>
      </c>
      <c r="C64" t="s">
        <v>67</v>
      </c>
      <c r="D64" s="5" t="str">
        <f t="shared" si="1"/>
        <v>JOSEPH LUDWIG</v>
      </c>
      <c r="E64" t="s">
        <v>68</v>
      </c>
      <c r="F64" t="s">
        <v>69</v>
      </c>
      <c r="G64" s="3">
        <v>0.75</v>
      </c>
      <c r="H64" t="s">
        <v>70</v>
      </c>
      <c r="I64" t="s">
        <v>1079</v>
      </c>
      <c r="J64">
        <v>19491313</v>
      </c>
      <c r="K64">
        <v>19491313</v>
      </c>
      <c r="L64" t="s">
        <v>71</v>
      </c>
      <c r="M64" t="s">
        <v>72</v>
      </c>
      <c r="N64" t="str">
        <f t="shared" si="3"/>
        <v>Steven Brandt</v>
      </c>
      <c r="O64" t="s">
        <v>247</v>
      </c>
      <c r="P64" t="s">
        <v>1133</v>
      </c>
      <c r="Q64" t="s">
        <v>57</v>
      </c>
      <c r="R64" s="1">
        <v>46204</v>
      </c>
      <c r="S64" s="1">
        <v>46235</v>
      </c>
      <c r="T64" s="2">
        <v>96.75</v>
      </c>
      <c r="U64" t="s">
        <v>58</v>
      </c>
      <c r="V64">
        <v>0</v>
      </c>
      <c r="W64" t="s">
        <v>60</v>
      </c>
      <c r="X64" t="s">
        <v>61</v>
      </c>
      <c r="Y64">
        <v>6</v>
      </c>
      <c r="Z64" s="2">
        <v>435.36</v>
      </c>
      <c r="AA64" s="2">
        <v>72.56</v>
      </c>
      <c r="AB64" s="2">
        <v>0</v>
      </c>
      <c r="AC64" s="2">
        <v>435.36</v>
      </c>
      <c r="AD64" s="2">
        <v>0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1:55" s="5" customFormat="1" x14ac:dyDescent="0.25">
      <c r="A65">
        <v>2035864462</v>
      </c>
      <c r="B65" t="s">
        <v>73</v>
      </c>
      <c r="C65" t="s">
        <v>74</v>
      </c>
      <c r="D65" s="5" t="str">
        <f t="shared" si="1"/>
        <v>SHERRY CALLAHAN</v>
      </c>
      <c r="E65" t="s">
        <v>75</v>
      </c>
      <c r="F65" t="s">
        <v>69</v>
      </c>
      <c r="G65" s="3">
        <v>0.75</v>
      </c>
      <c r="H65" t="s">
        <v>70</v>
      </c>
      <c r="I65" t="s">
        <v>1079</v>
      </c>
      <c r="J65">
        <v>19491313</v>
      </c>
      <c r="K65">
        <v>19491313</v>
      </c>
      <c r="L65" t="s">
        <v>71</v>
      </c>
      <c r="M65" t="s">
        <v>72</v>
      </c>
      <c r="N65" t="str">
        <f t="shared" si="3"/>
        <v>Steven Brandt</v>
      </c>
      <c r="O65" t="s">
        <v>247</v>
      </c>
      <c r="P65" t="s">
        <v>1133</v>
      </c>
      <c r="Q65" t="s">
        <v>57</v>
      </c>
      <c r="R65" s="1">
        <v>46204</v>
      </c>
      <c r="S65" s="1">
        <v>46235</v>
      </c>
      <c r="T65" s="2">
        <v>32.520000000000003</v>
      </c>
      <c r="U65" t="s">
        <v>58</v>
      </c>
      <c r="V65">
        <v>0</v>
      </c>
      <c r="W65" t="s">
        <v>60</v>
      </c>
      <c r="X65" t="s">
        <v>61</v>
      </c>
      <c r="Y65">
        <v>6</v>
      </c>
      <c r="Z65" s="2">
        <v>146.34</v>
      </c>
      <c r="AA65" s="2">
        <v>24.39</v>
      </c>
      <c r="AB65" s="2">
        <v>0</v>
      </c>
      <c r="AC65" s="2">
        <v>146.34</v>
      </c>
      <c r="AD65" s="2">
        <v>0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1:55" s="5" customFormat="1" x14ac:dyDescent="0.25">
      <c r="A66">
        <v>2036110000</v>
      </c>
      <c r="B66" t="s">
        <v>95</v>
      </c>
      <c r="C66" t="s">
        <v>96</v>
      </c>
      <c r="D66" s="5" t="str">
        <f t="shared" si="1"/>
        <v>TERRI PIOTROWICZ</v>
      </c>
      <c r="E66" t="s">
        <v>97</v>
      </c>
      <c r="F66" t="s">
        <v>69</v>
      </c>
      <c r="G66" s="3">
        <v>0.75</v>
      </c>
      <c r="H66" t="s">
        <v>70</v>
      </c>
      <c r="I66" t="s">
        <v>1079</v>
      </c>
      <c r="J66">
        <v>19491313</v>
      </c>
      <c r="K66">
        <v>19491313</v>
      </c>
      <c r="L66" t="s">
        <v>71</v>
      </c>
      <c r="M66" t="s">
        <v>72</v>
      </c>
      <c r="N66" t="str">
        <f t="shared" ref="N66:N97" si="4">CONCATENATE(M66," ",L66)</f>
        <v>Steven Brandt</v>
      </c>
      <c r="O66" t="s">
        <v>247</v>
      </c>
      <c r="P66" t="s">
        <v>1133</v>
      </c>
      <c r="Q66" t="s">
        <v>57</v>
      </c>
      <c r="R66" s="1">
        <v>46204</v>
      </c>
      <c r="S66" s="1">
        <v>46235</v>
      </c>
      <c r="T66" s="2">
        <v>143.38</v>
      </c>
      <c r="U66" t="s">
        <v>58</v>
      </c>
      <c r="V66">
        <v>0</v>
      </c>
      <c r="W66" t="s">
        <v>60</v>
      </c>
      <c r="X66" t="s">
        <v>61</v>
      </c>
      <c r="Y66">
        <v>6</v>
      </c>
      <c r="Z66" s="2">
        <v>645.24</v>
      </c>
      <c r="AA66" s="2">
        <v>107.54</v>
      </c>
      <c r="AB66" s="2">
        <v>0</v>
      </c>
      <c r="AC66" s="2">
        <v>645.24</v>
      </c>
      <c r="AD66" s="2">
        <v>0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 s="5" customFormat="1" x14ac:dyDescent="0.25">
      <c r="A67">
        <v>2036169739</v>
      </c>
      <c r="B67" t="s">
        <v>104</v>
      </c>
      <c r="C67" t="s">
        <v>105</v>
      </c>
      <c r="D67" s="5" t="str">
        <f t="shared" ref="D67:D95" si="5">CONCATENATE(C67," ",B67)</f>
        <v>MARLA KUHLMAN</v>
      </c>
      <c r="E67" t="s">
        <v>68</v>
      </c>
      <c r="F67" t="s">
        <v>69</v>
      </c>
      <c r="G67" s="3">
        <v>0.75</v>
      </c>
      <c r="H67" t="s">
        <v>70</v>
      </c>
      <c r="I67" t="s">
        <v>1079</v>
      </c>
      <c r="J67">
        <v>19491313</v>
      </c>
      <c r="K67">
        <v>19491313</v>
      </c>
      <c r="L67" t="s">
        <v>71</v>
      </c>
      <c r="M67" t="s">
        <v>72</v>
      </c>
      <c r="N67" t="str">
        <f t="shared" si="4"/>
        <v>Steven Brandt</v>
      </c>
      <c r="O67" t="s">
        <v>247</v>
      </c>
      <c r="P67" t="s">
        <v>1133</v>
      </c>
      <c r="Q67" t="s">
        <v>57</v>
      </c>
      <c r="R67" s="1">
        <v>46204</v>
      </c>
      <c r="S67" s="1">
        <v>46235</v>
      </c>
      <c r="T67" s="2">
        <v>59.1</v>
      </c>
      <c r="U67" t="s">
        <v>58</v>
      </c>
      <c r="V67">
        <v>0</v>
      </c>
      <c r="W67" t="s">
        <v>60</v>
      </c>
      <c r="X67" t="s">
        <v>61</v>
      </c>
      <c r="Y67">
        <v>6</v>
      </c>
      <c r="Z67" s="2">
        <v>265.92</v>
      </c>
      <c r="AA67" s="2">
        <v>44.32</v>
      </c>
      <c r="AB67" s="2">
        <v>0</v>
      </c>
      <c r="AC67" s="2">
        <v>265.92</v>
      </c>
      <c r="AD67" s="2">
        <v>0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1:55" s="5" customFormat="1" x14ac:dyDescent="0.25">
      <c r="A68">
        <v>2036202891</v>
      </c>
      <c r="B68" t="s">
        <v>115</v>
      </c>
      <c r="C68" t="s">
        <v>116</v>
      </c>
      <c r="D68" s="5" t="str">
        <f t="shared" si="5"/>
        <v>ANGELA WILLIS</v>
      </c>
      <c r="E68" t="s">
        <v>117</v>
      </c>
      <c r="F68" t="s">
        <v>69</v>
      </c>
      <c r="G68" s="3">
        <v>0.75</v>
      </c>
      <c r="H68" t="s">
        <v>70</v>
      </c>
      <c r="I68" t="s">
        <v>1079</v>
      </c>
      <c r="J68">
        <v>19491313</v>
      </c>
      <c r="K68">
        <v>19491313</v>
      </c>
      <c r="L68" t="s">
        <v>71</v>
      </c>
      <c r="M68" t="s">
        <v>72</v>
      </c>
      <c r="N68" t="str">
        <f t="shared" si="4"/>
        <v>Steven Brandt</v>
      </c>
      <c r="O68" t="s">
        <v>247</v>
      </c>
      <c r="P68" t="s">
        <v>1133</v>
      </c>
      <c r="Q68" t="s">
        <v>57</v>
      </c>
      <c r="R68" s="1">
        <v>46204</v>
      </c>
      <c r="S68" s="1">
        <v>46235</v>
      </c>
      <c r="T68" s="2">
        <v>146.35</v>
      </c>
      <c r="U68" t="s">
        <v>58</v>
      </c>
      <c r="V68">
        <v>0</v>
      </c>
      <c r="W68" t="s">
        <v>60</v>
      </c>
      <c r="X68" t="s">
        <v>61</v>
      </c>
      <c r="Y68">
        <v>6</v>
      </c>
      <c r="Z68" s="2">
        <v>658.56</v>
      </c>
      <c r="AA68" s="2">
        <v>109.76</v>
      </c>
      <c r="AB68" s="2">
        <v>0</v>
      </c>
      <c r="AC68" s="2">
        <v>658.56</v>
      </c>
      <c r="AD68" s="2">
        <v>0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1:55" s="9" customFormat="1" x14ac:dyDescent="0.25">
      <c r="A69" s="9">
        <v>2036244751</v>
      </c>
      <c r="B69" s="9" t="s">
        <v>131</v>
      </c>
      <c r="C69" s="9" t="s">
        <v>132</v>
      </c>
      <c r="D69" s="5" t="str">
        <f t="shared" si="5"/>
        <v>CAMERON KEOLER</v>
      </c>
      <c r="E69" s="9" t="s">
        <v>68</v>
      </c>
      <c r="F69" s="9" t="s">
        <v>133</v>
      </c>
      <c r="G69" s="13">
        <v>9.5000000000000001E-2</v>
      </c>
      <c r="H69" s="9" t="s">
        <v>134</v>
      </c>
      <c r="I69" s="9" t="s">
        <v>1078</v>
      </c>
      <c r="J69" s="9">
        <v>18598357</v>
      </c>
      <c r="K69" s="9" t="s">
        <v>1137</v>
      </c>
      <c r="L69" s="9" t="s">
        <v>135</v>
      </c>
      <c r="M69" s="9" t="s">
        <v>136</v>
      </c>
      <c r="N69" s="9" t="str">
        <f t="shared" si="4"/>
        <v>CHAD BENDER</v>
      </c>
      <c r="O69" s="9" t="s">
        <v>247</v>
      </c>
      <c r="P69" s="9" t="s">
        <v>1133</v>
      </c>
      <c r="Q69" s="9" t="s">
        <v>57</v>
      </c>
      <c r="R69" s="11">
        <v>46204</v>
      </c>
      <c r="S69" s="11">
        <v>46235</v>
      </c>
      <c r="T69" s="12">
        <v>1.73</v>
      </c>
      <c r="U69" s="9" t="s">
        <v>58</v>
      </c>
      <c r="V69" s="9">
        <v>0</v>
      </c>
      <c r="W69" s="9" t="s">
        <v>60</v>
      </c>
      <c r="X69" s="9" t="s">
        <v>61</v>
      </c>
      <c r="Y69" s="9">
        <v>6</v>
      </c>
      <c r="Z69" s="12">
        <v>10.38</v>
      </c>
      <c r="AA69" s="12">
        <v>1.73</v>
      </c>
      <c r="AB69" s="12">
        <v>0</v>
      </c>
      <c r="AC69" s="12">
        <v>10.38</v>
      </c>
      <c r="AD69" s="12">
        <v>0</v>
      </c>
    </row>
    <row r="70" spans="1:55" s="5" customFormat="1" x14ac:dyDescent="0.25">
      <c r="A70">
        <v>2036251837</v>
      </c>
      <c r="B70" t="s">
        <v>183</v>
      </c>
      <c r="C70" t="s">
        <v>184</v>
      </c>
      <c r="D70" s="5" t="str">
        <f t="shared" si="5"/>
        <v>KELTRIN CANFIELD</v>
      </c>
      <c r="E70" t="s">
        <v>185</v>
      </c>
      <c r="F70" t="s">
        <v>133</v>
      </c>
      <c r="G70" s="4">
        <v>0.375</v>
      </c>
      <c r="H70" t="s">
        <v>134</v>
      </c>
      <c r="I70" t="s">
        <v>134</v>
      </c>
      <c r="J70">
        <v>9213293</v>
      </c>
      <c r="K70">
        <v>9213293</v>
      </c>
      <c r="L70" t="s">
        <v>186</v>
      </c>
      <c r="M70" t="s">
        <v>187</v>
      </c>
      <c r="N70" t="str">
        <f t="shared" si="4"/>
        <v>GARY PORTUGAL</v>
      </c>
      <c r="O70" t="s">
        <v>247</v>
      </c>
      <c r="P70" t="s">
        <v>1133</v>
      </c>
      <c r="Q70" t="s">
        <v>57</v>
      </c>
      <c r="R70" s="1">
        <v>46200</v>
      </c>
      <c r="S70" s="1">
        <v>46230</v>
      </c>
      <c r="T70" s="2">
        <v>54.54</v>
      </c>
      <c r="U70" t="s">
        <v>58</v>
      </c>
      <c r="V70">
        <v>0</v>
      </c>
      <c r="W70" t="s">
        <v>60</v>
      </c>
      <c r="X70" t="s">
        <v>61</v>
      </c>
      <c r="Y70">
        <v>6</v>
      </c>
      <c r="Z70" s="2">
        <v>122.7</v>
      </c>
      <c r="AA70" s="2">
        <v>20.45</v>
      </c>
      <c r="AB70" s="2">
        <v>0</v>
      </c>
      <c r="AC70" s="2">
        <v>122.7</v>
      </c>
      <c r="AD70" s="2">
        <v>0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1:55" x14ac:dyDescent="0.25">
      <c r="A71">
        <v>2036209345</v>
      </c>
      <c r="B71" t="s">
        <v>179</v>
      </c>
      <c r="C71" t="s">
        <v>180</v>
      </c>
      <c r="D71" s="5" t="str">
        <f t="shared" si="5"/>
        <v>MARIA SANCHEZ</v>
      </c>
      <c r="E71" t="s">
        <v>124</v>
      </c>
      <c r="F71" t="s">
        <v>133</v>
      </c>
      <c r="G71" s="4">
        <v>0.375</v>
      </c>
      <c r="H71" t="s">
        <v>134</v>
      </c>
      <c r="I71" t="s">
        <v>134</v>
      </c>
      <c r="J71">
        <v>18754354</v>
      </c>
      <c r="K71">
        <v>18754354</v>
      </c>
      <c r="L71" t="s">
        <v>181</v>
      </c>
      <c r="M71" t="s">
        <v>182</v>
      </c>
      <c r="N71" t="str">
        <f t="shared" si="4"/>
        <v>JACOB YALE</v>
      </c>
      <c r="O71" t="s">
        <v>247</v>
      </c>
      <c r="P71" t="s">
        <v>1133</v>
      </c>
      <c r="Q71" t="s">
        <v>57</v>
      </c>
      <c r="R71" s="1">
        <v>46198</v>
      </c>
      <c r="S71" s="1">
        <v>46228</v>
      </c>
      <c r="T71" s="2">
        <v>51.4</v>
      </c>
      <c r="U71" t="s">
        <v>58</v>
      </c>
      <c r="V71">
        <v>0</v>
      </c>
      <c r="W71" t="s">
        <v>60</v>
      </c>
      <c r="X71" t="s">
        <v>61</v>
      </c>
      <c r="Y71">
        <v>6</v>
      </c>
      <c r="Z71" s="2">
        <v>115.68</v>
      </c>
      <c r="AA71" s="2">
        <v>19.28</v>
      </c>
      <c r="AB71" s="2">
        <v>0</v>
      </c>
      <c r="AC71" s="2">
        <v>115.68</v>
      </c>
      <c r="AD71" s="2">
        <v>0</v>
      </c>
    </row>
    <row r="72" spans="1:55" x14ac:dyDescent="0.25">
      <c r="A72">
        <v>2036247499</v>
      </c>
      <c r="B72" t="s">
        <v>62</v>
      </c>
      <c r="C72" t="s">
        <v>63</v>
      </c>
      <c r="D72" s="5" t="str">
        <f t="shared" si="5"/>
        <v>TAMMY SANDT</v>
      </c>
      <c r="E72" t="s">
        <v>52</v>
      </c>
      <c r="F72" t="s">
        <v>133</v>
      </c>
      <c r="G72" s="4">
        <v>0.375</v>
      </c>
      <c r="H72" t="s">
        <v>134</v>
      </c>
      <c r="I72" t="s">
        <v>134</v>
      </c>
      <c r="J72">
        <v>15950276</v>
      </c>
      <c r="K72">
        <v>15950276</v>
      </c>
      <c r="L72" t="s">
        <v>64</v>
      </c>
      <c r="M72" t="s">
        <v>65</v>
      </c>
      <c r="N72" t="str">
        <f t="shared" si="4"/>
        <v>Ryan Stocker</v>
      </c>
      <c r="O72" t="s">
        <v>247</v>
      </c>
      <c r="P72" t="s">
        <v>1133</v>
      </c>
      <c r="Q72" t="s">
        <v>57</v>
      </c>
      <c r="R72" s="1">
        <v>46204</v>
      </c>
      <c r="S72" s="1">
        <v>46235</v>
      </c>
      <c r="T72" s="2">
        <v>141.19999999999999</v>
      </c>
      <c r="U72" t="s">
        <v>58</v>
      </c>
      <c r="V72">
        <v>0</v>
      </c>
      <c r="W72" t="s">
        <v>60</v>
      </c>
      <c r="X72" t="s">
        <v>61</v>
      </c>
      <c r="Y72">
        <v>6</v>
      </c>
      <c r="Z72" s="2">
        <v>317.7</v>
      </c>
      <c r="AA72" s="2">
        <v>52.95</v>
      </c>
      <c r="AB72" s="2">
        <v>0</v>
      </c>
      <c r="AC72" s="2">
        <v>317.7</v>
      </c>
      <c r="AD72" s="2">
        <v>0</v>
      </c>
    </row>
    <row r="73" spans="1:55" s="9" customFormat="1" x14ac:dyDescent="0.25">
      <c r="A73">
        <v>2035830507</v>
      </c>
      <c r="B73" t="s">
        <v>66</v>
      </c>
      <c r="C73" t="s">
        <v>67</v>
      </c>
      <c r="D73" s="5" t="str">
        <f t="shared" si="5"/>
        <v>JOSEPH LUDWIG</v>
      </c>
      <c r="E73" t="s">
        <v>68</v>
      </c>
      <c r="F73" t="s">
        <v>133</v>
      </c>
      <c r="G73" s="4">
        <v>0.375</v>
      </c>
      <c r="H73" t="s">
        <v>134</v>
      </c>
      <c r="I73" t="s">
        <v>134</v>
      </c>
      <c r="J73">
        <v>19491313</v>
      </c>
      <c r="K73">
        <v>19491313</v>
      </c>
      <c r="L73" t="s">
        <v>71</v>
      </c>
      <c r="M73" t="s">
        <v>72</v>
      </c>
      <c r="N73" t="str">
        <f t="shared" si="4"/>
        <v>Steven Brandt</v>
      </c>
      <c r="O73" t="s">
        <v>247</v>
      </c>
      <c r="P73" t="s">
        <v>1133</v>
      </c>
      <c r="Q73" t="s">
        <v>57</v>
      </c>
      <c r="R73" s="1">
        <v>46204</v>
      </c>
      <c r="S73" s="1">
        <v>46235</v>
      </c>
      <c r="T73" s="2">
        <v>35.119999999999997</v>
      </c>
      <c r="U73" t="s">
        <v>58</v>
      </c>
      <c r="V73">
        <v>0</v>
      </c>
      <c r="W73" t="s">
        <v>60</v>
      </c>
      <c r="X73" t="s">
        <v>61</v>
      </c>
      <c r="Y73">
        <v>6</v>
      </c>
      <c r="Z73" s="2">
        <v>79.02</v>
      </c>
      <c r="AA73" s="2">
        <v>13.17</v>
      </c>
      <c r="AB73" s="2">
        <v>0</v>
      </c>
      <c r="AC73" s="2">
        <v>79.02</v>
      </c>
      <c r="AD73" s="2">
        <v>0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1:55" x14ac:dyDescent="0.25">
      <c r="A74">
        <v>2036136236</v>
      </c>
      <c r="B74" t="s">
        <v>98</v>
      </c>
      <c r="C74" t="s">
        <v>99</v>
      </c>
      <c r="D74" s="5" t="str">
        <f t="shared" si="5"/>
        <v>JACKSON PEREDA</v>
      </c>
      <c r="E74" t="s">
        <v>100</v>
      </c>
      <c r="F74" t="s">
        <v>188</v>
      </c>
      <c r="G74" s="3">
        <v>0.38</v>
      </c>
      <c r="H74" t="s">
        <v>189</v>
      </c>
      <c r="I74" t="s">
        <v>189</v>
      </c>
      <c r="J74">
        <v>8977234</v>
      </c>
      <c r="K74">
        <v>8977234</v>
      </c>
      <c r="L74" t="s">
        <v>102</v>
      </c>
      <c r="M74" t="s">
        <v>103</v>
      </c>
      <c r="N74" t="str">
        <f t="shared" si="4"/>
        <v>RYAN CALTAGIRONE</v>
      </c>
      <c r="O74" t="s">
        <v>247</v>
      </c>
      <c r="P74" t="s">
        <v>1133</v>
      </c>
      <c r="Q74" t="s">
        <v>57</v>
      </c>
      <c r="R74" s="1">
        <v>46235</v>
      </c>
      <c r="S74" s="1">
        <v>46266</v>
      </c>
      <c r="T74" s="2">
        <v>11.71</v>
      </c>
      <c r="U74" t="s">
        <v>58</v>
      </c>
      <c r="V74">
        <v>0</v>
      </c>
      <c r="W74" t="s">
        <v>60</v>
      </c>
      <c r="X74" t="s">
        <v>61</v>
      </c>
      <c r="Y74">
        <v>6</v>
      </c>
      <c r="Z74" s="2">
        <v>26.7</v>
      </c>
      <c r="AA74" s="2">
        <v>4.45</v>
      </c>
      <c r="AB74" s="2">
        <v>0</v>
      </c>
      <c r="AC74" s="2">
        <v>26.7</v>
      </c>
      <c r="AD74" s="2">
        <v>0</v>
      </c>
    </row>
    <row r="75" spans="1:55" x14ac:dyDescent="0.25">
      <c r="A75">
        <v>2036247500</v>
      </c>
      <c r="B75" t="s">
        <v>62</v>
      </c>
      <c r="C75" t="s">
        <v>63</v>
      </c>
      <c r="D75" s="5" t="str">
        <f t="shared" si="5"/>
        <v>TAMMY SANDT</v>
      </c>
      <c r="E75" t="s">
        <v>52</v>
      </c>
      <c r="F75" t="s">
        <v>188</v>
      </c>
      <c r="G75" s="3">
        <v>0.38</v>
      </c>
      <c r="H75" t="s">
        <v>189</v>
      </c>
      <c r="I75" t="s">
        <v>189</v>
      </c>
      <c r="J75">
        <v>15950276</v>
      </c>
      <c r="K75">
        <v>15950276</v>
      </c>
      <c r="L75" t="s">
        <v>64</v>
      </c>
      <c r="M75" t="s">
        <v>65</v>
      </c>
      <c r="N75" t="str">
        <f t="shared" si="4"/>
        <v>Ryan Stocker</v>
      </c>
      <c r="O75" t="s">
        <v>247</v>
      </c>
      <c r="P75" t="s">
        <v>1133</v>
      </c>
      <c r="Q75" t="s">
        <v>57</v>
      </c>
      <c r="R75" s="1">
        <v>46204</v>
      </c>
      <c r="S75" s="1">
        <v>46235</v>
      </c>
      <c r="T75" s="2">
        <v>91.94</v>
      </c>
      <c r="U75" t="s">
        <v>58</v>
      </c>
      <c r="V75">
        <v>0</v>
      </c>
      <c r="W75" t="s">
        <v>60</v>
      </c>
      <c r="X75" t="s">
        <v>61</v>
      </c>
      <c r="Y75">
        <v>6</v>
      </c>
      <c r="Z75" s="2">
        <v>209.64</v>
      </c>
      <c r="AA75" s="2">
        <v>34.94</v>
      </c>
      <c r="AB75" s="2">
        <v>0</v>
      </c>
      <c r="AC75" s="2">
        <v>209.64</v>
      </c>
      <c r="AD75" s="2">
        <v>0</v>
      </c>
    </row>
    <row r="76" spans="1:55" x14ac:dyDescent="0.25">
      <c r="A76">
        <v>2036240542</v>
      </c>
      <c r="B76" t="s">
        <v>226</v>
      </c>
      <c r="C76" t="s">
        <v>227</v>
      </c>
      <c r="D76" s="5" t="str">
        <f t="shared" si="5"/>
        <v>EDITH FRIEDMAN</v>
      </c>
      <c r="E76" t="s">
        <v>89</v>
      </c>
      <c r="F76" t="s">
        <v>194</v>
      </c>
      <c r="G76" s="3">
        <v>0.42</v>
      </c>
      <c r="H76" t="s">
        <v>228</v>
      </c>
      <c r="I76" t="s">
        <v>228</v>
      </c>
      <c r="J76">
        <v>21435997</v>
      </c>
      <c r="K76">
        <v>21435997</v>
      </c>
      <c r="L76" t="s">
        <v>229</v>
      </c>
      <c r="M76" t="s">
        <v>230</v>
      </c>
      <c r="N76" t="str">
        <f t="shared" si="4"/>
        <v>Christopher Brousseau</v>
      </c>
      <c r="O76" t="s">
        <v>247</v>
      </c>
      <c r="P76" t="s">
        <v>1133</v>
      </c>
      <c r="Q76" t="s">
        <v>57</v>
      </c>
      <c r="R76" s="1">
        <v>46200</v>
      </c>
      <c r="S76" s="1">
        <v>46230</v>
      </c>
      <c r="T76" s="2">
        <v>71.81</v>
      </c>
      <c r="U76" t="s">
        <v>58</v>
      </c>
      <c r="V76">
        <v>0</v>
      </c>
      <c r="W76" t="s">
        <v>60</v>
      </c>
      <c r="X76" t="s">
        <v>61</v>
      </c>
      <c r="Y76">
        <v>6</v>
      </c>
      <c r="Z76" s="2">
        <v>180.96</v>
      </c>
      <c r="AA76" s="2">
        <v>30.16</v>
      </c>
      <c r="AB76" s="2">
        <v>0</v>
      </c>
      <c r="AC76" s="2">
        <v>180.96</v>
      </c>
      <c r="AD76" s="2">
        <v>0</v>
      </c>
    </row>
    <row r="77" spans="1:55" x14ac:dyDescent="0.25">
      <c r="A77">
        <v>2035604881</v>
      </c>
      <c r="B77" t="s">
        <v>192</v>
      </c>
      <c r="C77" t="s">
        <v>193</v>
      </c>
      <c r="D77" s="5" t="str">
        <f t="shared" si="5"/>
        <v>COLLEEN JERGER</v>
      </c>
      <c r="E77" t="s">
        <v>89</v>
      </c>
      <c r="F77" t="s">
        <v>194</v>
      </c>
      <c r="G77" s="3">
        <v>0.7</v>
      </c>
      <c r="H77" t="s">
        <v>195</v>
      </c>
      <c r="I77" t="s">
        <v>195</v>
      </c>
      <c r="J77">
        <v>3333476</v>
      </c>
      <c r="K77">
        <v>3333476</v>
      </c>
      <c r="L77" t="s">
        <v>196</v>
      </c>
      <c r="M77" t="s">
        <v>197</v>
      </c>
      <c r="N77" t="str">
        <f t="shared" si="4"/>
        <v>Colleen Jerger</v>
      </c>
      <c r="O77" t="s">
        <v>247</v>
      </c>
      <c r="P77" t="s">
        <v>1133</v>
      </c>
      <c r="Q77" t="s">
        <v>57</v>
      </c>
      <c r="R77" s="1">
        <v>46204</v>
      </c>
      <c r="S77" s="1">
        <v>46235</v>
      </c>
      <c r="T77" s="2">
        <v>209.78</v>
      </c>
      <c r="U77" t="s">
        <v>58</v>
      </c>
      <c r="V77">
        <v>0</v>
      </c>
      <c r="W77" t="s">
        <v>60</v>
      </c>
      <c r="X77" t="s">
        <v>61</v>
      </c>
      <c r="Y77">
        <v>6</v>
      </c>
      <c r="Z77" s="2">
        <v>881.1</v>
      </c>
      <c r="AA77" s="2">
        <v>146.85</v>
      </c>
      <c r="AB77" s="2">
        <v>0</v>
      </c>
      <c r="AC77" s="2">
        <v>881.1</v>
      </c>
      <c r="AD77" s="2">
        <v>0</v>
      </c>
    </row>
    <row r="78" spans="1:55" x14ac:dyDescent="0.25">
      <c r="A78">
        <v>2036210311</v>
      </c>
      <c r="B78" t="s">
        <v>222</v>
      </c>
      <c r="C78" t="s">
        <v>223</v>
      </c>
      <c r="D78" s="5" t="str">
        <f t="shared" si="5"/>
        <v>MATILDE PRINCIPE</v>
      </c>
      <c r="E78" t="s">
        <v>89</v>
      </c>
      <c r="F78" t="s">
        <v>194</v>
      </c>
      <c r="G78" s="3">
        <v>0.7</v>
      </c>
      <c r="H78" t="s">
        <v>195</v>
      </c>
      <c r="I78" t="s">
        <v>195</v>
      </c>
      <c r="J78">
        <v>9213293</v>
      </c>
      <c r="K78">
        <v>9213293</v>
      </c>
      <c r="L78" t="s">
        <v>186</v>
      </c>
      <c r="M78" t="s">
        <v>187</v>
      </c>
      <c r="N78" t="str">
        <f t="shared" si="4"/>
        <v>GARY PORTUGAL</v>
      </c>
      <c r="O78" t="s">
        <v>247</v>
      </c>
      <c r="P78" t="s">
        <v>1133</v>
      </c>
      <c r="Q78" t="s">
        <v>57</v>
      </c>
      <c r="R78" s="1">
        <v>46204</v>
      </c>
      <c r="S78" s="1">
        <v>46235</v>
      </c>
      <c r="T78" s="2">
        <v>150.77000000000001</v>
      </c>
      <c r="U78" t="s">
        <v>58</v>
      </c>
      <c r="V78">
        <v>0</v>
      </c>
      <c r="W78" t="s">
        <v>60</v>
      </c>
      <c r="X78" t="s">
        <v>61</v>
      </c>
      <c r="Y78">
        <v>6</v>
      </c>
      <c r="Z78" s="2">
        <v>633.24</v>
      </c>
      <c r="AA78" s="2">
        <v>105.54</v>
      </c>
      <c r="AB78" s="2">
        <v>0</v>
      </c>
      <c r="AC78" s="2">
        <v>633.24</v>
      </c>
      <c r="AD78" s="2">
        <v>0</v>
      </c>
    </row>
    <row r="79" spans="1:55" x14ac:dyDescent="0.25">
      <c r="A79">
        <v>2036251838</v>
      </c>
      <c r="B79" t="s">
        <v>183</v>
      </c>
      <c r="C79" t="s">
        <v>184</v>
      </c>
      <c r="D79" s="5" t="str">
        <f t="shared" si="5"/>
        <v>KELTRIN CANFIELD</v>
      </c>
      <c r="E79" t="s">
        <v>185</v>
      </c>
      <c r="F79" t="s">
        <v>194</v>
      </c>
      <c r="G79" s="3">
        <v>0.9</v>
      </c>
      <c r="H79" t="s">
        <v>217</v>
      </c>
      <c r="I79" t="s">
        <v>217</v>
      </c>
      <c r="J79">
        <v>9213293</v>
      </c>
      <c r="K79">
        <v>9213293</v>
      </c>
      <c r="L79" t="s">
        <v>186</v>
      </c>
      <c r="M79" t="s">
        <v>187</v>
      </c>
      <c r="N79" t="str">
        <f t="shared" si="4"/>
        <v>GARY PORTUGAL</v>
      </c>
      <c r="O79" t="s">
        <v>247</v>
      </c>
      <c r="P79" t="s">
        <v>1133</v>
      </c>
      <c r="Q79" t="s">
        <v>57</v>
      </c>
      <c r="R79" s="1">
        <v>46200</v>
      </c>
      <c r="S79" s="1">
        <v>46230</v>
      </c>
      <c r="T79" s="2">
        <v>9.0500000000000007</v>
      </c>
      <c r="U79" t="s">
        <v>58</v>
      </c>
      <c r="V79">
        <v>0</v>
      </c>
      <c r="W79" t="s">
        <v>60</v>
      </c>
      <c r="X79" t="s">
        <v>61</v>
      </c>
      <c r="Y79">
        <v>6</v>
      </c>
      <c r="Z79" s="2">
        <v>48.84</v>
      </c>
      <c r="AA79" s="2">
        <v>8.14</v>
      </c>
      <c r="AB79" s="2">
        <v>0</v>
      </c>
      <c r="AC79" s="2">
        <v>48.84</v>
      </c>
      <c r="AD79" s="2">
        <v>0</v>
      </c>
    </row>
    <row r="80" spans="1:55" x14ac:dyDescent="0.25">
      <c r="A80">
        <v>2036180130</v>
      </c>
      <c r="B80" t="s">
        <v>208</v>
      </c>
      <c r="C80" t="s">
        <v>209</v>
      </c>
      <c r="D80" s="5" t="str">
        <f t="shared" si="5"/>
        <v>JOHN SOLIS</v>
      </c>
      <c r="E80" t="s">
        <v>124</v>
      </c>
      <c r="F80" t="s">
        <v>194</v>
      </c>
      <c r="G80" s="3">
        <v>0.7</v>
      </c>
      <c r="H80" t="s">
        <v>195</v>
      </c>
      <c r="I80" t="s">
        <v>195</v>
      </c>
      <c r="J80">
        <v>8307933</v>
      </c>
      <c r="K80">
        <v>8307933</v>
      </c>
      <c r="L80" t="s">
        <v>210</v>
      </c>
      <c r="M80" t="s">
        <v>211</v>
      </c>
      <c r="N80" t="str">
        <f t="shared" si="4"/>
        <v>GREGORY TEIPEL</v>
      </c>
      <c r="O80" t="s">
        <v>247</v>
      </c>
      <c r="P80" t="s">
        <v>1133</v>
      </c>
      <c r="Q80" t="s">
        <v>57</v>
      </c>
      <c r="R80" s="1">
        <v>46204</v>
      </c>
      <c r="S80" s="1">
        <v>46235</v>
      </c>
      <c r="T80" s="2">
        <v>220.14</v>
      </c>
      <c r="U80" t="s">
        <v>58</v>
      </c>
      <c r="V80">
        <v>0</v>
      </c>
      <c r="W80" t="s">
        <v>60</v>
      </c>
      <c r="X80" t="s">
        <v>61</v>
      </c>
      <c r="Y80">
        <v>6</v>
      </c>
      <c r="Z80" s="2">
        <v>924.6</v>
      </c>
      <c r="AA80" s="2">
        <v>154.1</v>
      </c>
      <c r="AB80" s="2">
        <v>0</v>
      </c>
      <c r="AC80" s="2">
        <v>924.6</v>
      </c>
      <c r="AD80" s="2">
        <v>0</v>
      </c>
    </row>
    <row r="81" spans="1:30" x14ac:dyDescent="0.25">
      <c r="A81">
        <v>2036209346</v>
      </c>
      <c r="B81" t="s">
        <v>179</v>
      </c>
      <c r="C81" t="s">
        <v>180</v>
      </c>
      <c r="D81" s="5" t="str">
        <f t="shared" si="5"/>
        <v>MARIA SANCHEZ</v>
      </c>
      <c r="E81" t="s">
        <v>124</v>
      </c>
      <c r="F81" t="s">
        <v>194</v>
      </c>
      <c r="G81" s="3">
        <v>0.7</v>
      </c>
      <c r="H81" t="s">
        <v>195</v>
      </c>
      <c r="I81" t="s">
        <v>195</v>
      </c>
      <c r="J81">
        <v>18754354</v>
      </c>
      <c r="K81">
        <v>18754354</v>
      </c>
      <c r="L81" t="s">
        <v>181</v>
      </c>
      <c r="M81" t="s">
        <v>182</v>
      </c>
      <c r="N81" t="str">
        <f t="shared" si="4"/>
        <v>JACOB YALE</v>
      </c>
      <c r="O81" t="s">
        <v>247</v>
      </c>
      <c r="P81" t="s">
        <v>1133</v>
      </c>
      <c r="Q81" t="s">
        <v>57</v>
      </c>
      <c r="R81" s="1">
        <v>46198</v>
      </c>
      <c r="S81" s="1">
        <v>46228</v>
      </c>
      <c r="T81" s="2">
        <v>13</v>
      </c>
      <c r="U81" t="s">
        <v>58</v>
      </c>
      <c r="V81">
        <v>0</v>
      </c>
      <c r="W81" t="s">
        <v>60</v>
      </c>
      <c r="X81" t="s">
        <v>61</v>
      </c>
      <c r="Y81">
        <v>6</v>
      </c>
      <c r="Z81" s="2">
        <v>54.6</v>
      </c>
      <c r="AA81" s="2">
        <v>9.1</v>
      </c>
      <c r="AB81" s="2">
        <v>0</v>
      </c>
      <c r="AC81" s="2">
        <v>54.6</v>
      </c>
      <c r="AD81" s="2">
        <v>0</v>
      </c>
    </row>
    <row r="82" spans="1:30" x14ac:dyDescent="0.25">
      <c r="A82">
        <v>2036136233</v>
      </c>
      <c r="B82" t="s">
        <v>98</v>
      </c>
      <c r="C82" t="s">
        <v>99</v>
      </c>
      <c r="D82" s="5" t="str">
        <f t="shared" si="5"/>
        <v>JACKSON PEREDA</v>
      </c>
      <c r="E82" t="s">
        <v>100</v>
      </c>
      <c r="F82" t="s">
        <v>194</v>
      </c>
      <c r="G82" s="3">
        <v>0.7</v>
      </c>
      <c r="H82" t="s">
        <v>203</v>
      </c>
      <c r="I82" t="s">
        <v>881</v>
      </c>
      <c r="J82">
        <v>8977234</v>
      </c>
      <c r="K82">
        <v>8977234</v>
      </c>
      <c r="L82" t="s">
        <v>102</v>
      </c>
      <c r="M82" t="s">
        <v>103</v>
      </c>
      <c r="N82" t="str">
        <f t="shared" si="4"/>
        <v>RYAN CALTAGIRONE</v>
      </c>
      <c r="O82" t="s">
        <v>247</v>
      </c>
      <c r="P82" t="s">
        <v>1133</v>
      </c>
      <c r="Q82" t="s">
        <v>57</v>
      </c>
      <c r="R82" s="1">
        <v>46235</v>
      </c>
      <c r="S82" s="1">
        <v>46266</v>
      </c>
      <c r="T82" s="2">
        <v>25.73</v>
      </c>
      <c r="U82" t="s">
        <v>58</v>
      </c>
      <c r="V82">
        <v>0</v>
      </c>
      <c r="W82" t="s">
        <v>60</v>
      </c>
      <c r="X82" t="s">
        <v>61</v>
      </c>
      <c r="Y82">
        <v>6</v>
      </c>
      <c r="Z82" s="2">
        <v>108.06</v>
      </c>
      <c r="AA82" s="2">
        <v>18.010000000000002</v>
      </c>
      <c r="AB82" s="2">
        <v>0</v>
      </c>
      <c r="AC82" s="2">
        <v>108.06</v>
      </c>
      <c r="AD82" s="2">
        <v>0</v>
      </c>
    </row>
    <row r="83" spans="1:30" x14ac:dyDescent="0.25">
      <c r="A83">
        <v>2036185083</v>
      </c>
      <c r="B83" t="s">
        <v>108</v>
      </c>
      <c r="C83" t="s">
        <v>109</v>
      </c>
      <c r="D83" s="5" t="str">
        <f t="shared" si="5"/>
        <v>KANNON HOSSAIN</v>
      </c>
      <c r="E83" t="s">
        <v>100</v>
      </c>
      <c r="F83" t="s">
        <v>194</v>
      </c>
      <c r="G83" s="3">
        <v>0.7</v>
      </c>
      <c r="H83" t="s">
        <v>203</v>
      </c>
      <c r="I83" t="s">
        <v>881</v>
      </c>
      <c r="J83">
        <v>8977234</v>
      </c>
      <c r="K83">
        <v>8977234</v>
      </c>
      <c r="L83" t="s">
        <v>102</v>
      </c>
      <c r="M83" t="s">
        <v>103</v>
      </c>
      <c r="N83" t="str">
        <f t="shared" si="4"/>
        <v>RYAN CALTAGIRONE</v>
      </c>
      <c r="O83" t="s">
        <v>247</v>
      </c>
      <c r="P83" t="s">
        <v>1133</v>
      </c>
      <c r="Q83" t="s">
        <v>57</v>
      </c>
      <c r="R83" s="1">
        <v>46204</v>
      </c>
      <c r="S83" s="1">
        <v>46235</v>
      </c>
      <c r="T83" s="2">
        <v>25.73</v>
      </c>
      <c r="U83" t="s">
        <v>58</v>
      </c>
      <c r="V83">
        <v>0</v>
      </c>
      <c r="W83" t="s">
        <v>60</v>
      </c>
      <c r="X83" t="s">
        <v>61</v>
      </c>
      <c r="Y83">
        <v>6</v>
      </c>
      <c r="Z83" s="2">
        <v>108.06</v>
      </c>
      <c r="AA83" s="2">
        <v>18.010000000000002</v>
      </c>
      <c r="AB83" s="2">
        <v>0</v>
      </c>
      <c r="AC83" s="2">
        <v>108.06</v>
      </c>
      <c r="AD83" s="2">
        <v>0</v>
      </c>
    </row>
    <row r="84" spans="1:30" x14ac:dyDescent="0.25">
      <c r="A84">
        <v>2035624361</v>
      </c>
      <c r="B84" t="s">
        <v>198</v>
      </c>
      <c r="C84" t="s">
        <v>199</v>
      </c>
      <c r="D84" s="5" t="str">
        <f t="shared" si="5"/>
        <v>MARY STURGEON</v>
      </c>
      <c r="E84" t="s">
        <v>200</v>
      </c>
      <c r="F84" t="s">
        <v>194</v>
      </c>
      <c r="G84" s="3">
        <v>0.7</v>
      </c>
      <c r="H84" t="s">
        <v>195</v>
      </c>
      <c r="I84" t="s">
        <v>195</v>
      </c>
      <c r="J84">
        <v>8977234</v>
      </c>
      <c r="K84">
        <v>8977234</v>
      </c>
      <c r="L84" t="s">
        <v>102</v>
      </c>
      <c r="M84" t="s">
        <v>103</v>
      </c>
      <c r="N84" t="str">
        <f t="shared" si="4"/>
        <v>RYAN CALTAGIRONE</v>
      </c>
      <c r="O84" t="s">
        <v>247</v>
      </c>
      <c r="P84" t="s">
        <v>1133</v>
      </c>
      <c r="Q84" t="s">
        <v>57</v>
      </c>
      <c r="R84" s="1">
        <v>46198</v>
      </c>
      <c r="S84" s="1">
        <v>46228</v>
      </c>
      <c r="T84" s="2">
        <v>19.68</v>
      </c>
      <c r="U84" t="s">
        <v>58</v>
      </c>
      <c r="V84">
        <v>0</v>
      </c>
      <c r="W84" t="s">
        <v>60</v>
      </c>
      <c r="X84" t="s">
        <v>61</v>
      </c>
      <c r="Y84">
        <v>6</v>
      </c>
      <c r="Z84" s="2">
        <v>82.68</v>
      </c>
      <c r="AA84" s="2">
        <v>13.78</v>
      </c>
      <c r="AB84" s="2">
        <v>0</v>
      </c>
      <c r="AC84" s="2">
        <v>82.68</v>
      </c>
      <c r="AD84" s="2">
        <v>0</v>
      </c>
    </row>
    <row r="85" spans="1:30" x14ac:dyDescent="0.25">
      <c r="A85">
        <v>2036136235</v>
      </c>
      <c r="B85" t="s">
        <v>98</v>
      </c>
      <c r="C85" t="s">
        <v>99</v>
      </c>
      <c r="D85" s="5" t="str">
        <f t="shared" si="5"/>
        <v>JACKSON PEREDA</v>
      </c>
      <c r="E85" t="s">
        <v>100</v>
      </c>
      <c r="F85" t="s">
        <v>194</v>
      </c>
      <c r="G85" s="3">
        <v>0.7</v>
      </c>
      <c r="H85" t="s">
        <v>195</v>
      </c>
      <c r="I85" t="s">
        <v>195</v>
      </c>
      <c r="J85">
        <v>8977234</v>
      </c>
      <c r="K85">
        <v>8977234</v>
      </c>
      <c r="L85" t="s">
        <v>102</v>
      </c>
      <c r="M85" t="s">
        <v>103</v>
      </c>
      <c r="N85" t="str">
        <f t="shared" si="4"/>
        <v>RYAN CALTAGIRONE</v>
      </c>
      <c r="O85" t="s">
        <v>247</v>
      </c>
      <c r="P85" t="s">
        <v>1133</v>
      </c>
      <c r="Q85" t="s">
        <v>57</v>
      </c>
      <c r="R85" s="1">
        <v>46235</v>
      </c>
      <c r="S85" s="1">
        <v>46266</v>
      </c>
      <c r="T85" s="2">
        <v>22</v>
      </c>
      <c r="U85" t="s">
        <v>58</v>
      </c>
      <c r="V85">
        <v>0</v>
      </c>
      <c r="W85" t="s">
        <v>60</v>
      </c>
      <c r="X85" t="s">
        <v>61</v>
      </c>
      <c r="Y85">
        <v>6</v>
      </c>
      <c r="Z85" s="2">
        <v>92.4</v>
      </c>
      <c r="AA85" s="2">
        <v>15.4</v>
      </c>
      <c r="AB85" s="2">
        <v>0</v>
      </c>
      <c r="AC85" s="2">
        <v>92.4</v>
      </c>
      <c r="AD85" s="2">
        <v>0</v>
      </c>
    </row>
    <row r="86" spans="1:30" x14ac:dyDescent="0.25">
      <c r="A86">
        <v>2036185085</v>
      </c>
      <c r="B86" t="s">
        <v>108</v>
      </c>
      <c r="C86" t="s">
        <v>109</v>
      </c>
      <c r="D86" s="5" t="str">
        <f t="shared" si="5"/>
        <v>KANNON HOSSAIN</v>
      </c>
      <c r="E86" t="s">
        <v>100</v>
      </c>
      <c r="F86" t="s">
        <v>194</v>
      </c>
      <c r="G86" s="3">
        <v>0.7</v>
      </c>
      <c r="H86" t="s">
        <v>195</v>
      </c>
      <c r="I86" t="s">
        <v>195</v>
      </c>
      <c r="J86">
        <v>8977234</v>
      </c>
      <c r="K86">
        <v>8977234</v>
      </c>
      <c r="L86" t="s">
        <v>102</v>
      </c>
      <c r="M86" t="s">
        <v>103</v>
      </c>
      <c r="N86" t="str">
        <f t="shared" si="4"/>
        <v>RYAN CALTAGIRONE</v>
      </c>
      <c r="O86" t="s">
        <v>247</v>
      </c>
      <c r="P86" t="s">
        <v>1133</v>
      </c>
      <c r="Q86" t="s">
        <v>57</v>
      </c>
      <c r="R86" s="1">
        <v>46204</v>
      </c>
      <c r="S86" s="1">
        <v>46235</v>
      </c>
      <c r="T86" s="2">
        <v>27.25</v>
      </c>
      <c r="U86" t="s">
        <v>58</v>
      </c>
      <c r="V86">
        <v>0</v>
      </c>
      <c r="W86" t="s">
        <v>60</v>
      </c>
      <c r="X86" t="s">
        <v>61</v>
      </c>
      <c r="Y86">
        <v>6</v>
      </c>
      <c r="Z86" s="2">
        <v>114.48</v>
      </c>
      <c r="AA86" s="2">
        <v>19.079999999999998</v>
      </c>
      <c r="AB86" s="2">
        <v>0</v>
      </c>
      <c r="AC86" s="2">
        <v>114.48</v>
      </c>
      <c r="AD86" s="2">
        <v>0</v>
      </c>
    </row>
    <row r="87" spans="1:30" x14ac:dyDescent="0.25">
      <c r="A87">
        <v>2036247397</v>
      </c>
      <c r="B87" t="s">
        <v>141</v>
      </c>
      <c r="C87" t="s">
        <v>142</v>
      </c>
      <c r="D87" s="5" t="str">
        <f t="shared" si="5"/>
        <v>VANCE TWITCHELL</v>
      </c>
      <c r="E87" t="s">
        <v>143</v>
      </c>
      <c r="F87" t="s">
        <v>194</v>
      </c>
      <c r="G87" s="3">
        <v>0.7</v>
      </c>
      <c r="H87" t="s">
        <v>195</v>
      </c>
      <c r="I87" t="s">
        <v>195</v>
      </c>
      <c r="J87">
        <v>8977234</v>
      </c>
      <c r="K87">
        <v>8977234</v>
      </c>
      <c r="L87" t="s">
        <v>102</v>
      </c>
      <c r="M87" t="s">
        <v>103</v>
      </c>
      <c r="N87" t="str">
        <f t="shared" si="4"/>
        <v>RYAN CALTAGIRONE</v>
      </c>
      <c r="O87" t="s">
        <v>247</v>
      </c>
      <c r="P87" t="s">
        <v>1133</v>
      </c>
      <c r="Q87" t="s">
        <v>57</v>
      </c>
      <c r="R87" s="1">
        <v>46200</v>
      </c>
      <c r="S87" s="1">
        <v>46230</v>
      </c>
      <c r="T87" s="2">
        <v>62.15</v>
      </c>
      <c r="U87" t="s">
        <v>58</v>
      </c>
      <c r="V87">
        <v>0</v>
      </c>
      <c r="W87" t="s">
        <v>60</v>
      </c>
      <c r="X87" t="s">
        <v>61</v>
      </c>
      <c r="Y87">
        <v>6</v>
      </c>
      <c r="Z87" s="2">
        <v>261</v>
      </c>
      <c r="AA87" s="2">
        <v>43.5</v>
      </c>
      <c r="AB87" s="2">
        <v>0</v>
      </c>
      <c r="AC87" s="2">
        <v>261</v>
      </c>
      <c r="AD87" s="2">
        <v>0</v>
      </c>
    </row>
    <row r="88" spans="1:30" x14ac:dyDescent="0.25">
      <c r="A88">
        <v>2036247502</v>
      </c>
      <c r="B88" t="s">
        <v>62</v>
      </c>
      <c r="C88" t="s">
        <v>63</v>
      </c>
      <c r="D88" s="5" t="str">
        <f t="shared" si="5"/>
        <v>TAMMY SANDT</v>
      </c>
      <c r="E88" t="s">
        <v>52</v>
      </c>
      <c r="F88" t="s">
        <v>194</v>
      </c>
      <c r="G88" s="3">
        <v>0.9</v>
      </c>
      <c r="H88" t="s">
        <v>217</v>
      </c>
      <c r="I88" t="s">
        <v>217</v>
      </c>
      <c r="J88">
        <v>15950276</v>
      </c>
      <c r="K88">
        <v>15950276</v>
      </c>
      <c r="L88" t="s">
        <v>64</v>
      </c>
      <c r="M88" t="s">
        <v>65</v>
      </c>
      <c r="N88" t="str">
        <f t="shared" si="4"/>
        <v>Ryan Stocker</v>
      </c>
      <c r="O88" t="s">
        <v>247</v>
      </c>
      <c r="P88" t="s">
        <v>1133</v>
      </c>
      <c r="Q88" t="s">
        <v>57</v>
      </c>
      <c r="R88" s="1">
        <v>46204</v>
      </c>
      <c r="S88" s="1">
        <v>46235</v>
      </c>
      <c r="T88" s="2">
        <v>76.63</v>
      </c>
      <c r="U88" t="s">
        <v>58</v>
      </c>
      <c r="V88">
        <v>0</v>
      </c>
      <c r="W88" t="s">
        <v>60</v>
      </c>
      <c r="X88" t="s">
        <v>61</v>
      </c>
      <c r="Y88">
        <v>6</v>
      </c>
      <c r="Z88" s="2">
        <v>413.82</v>
      </c>
      <c r="AA88" s="2">
        <v>68.97</v>
      </c>
      <c r="AB88" s="2">
        <v>0</v>
      </c>
      <c r="AC88" s="2">
        <v>413.82</v>
      </c>
      <c r="AD88" s="2">
        <v>0</v>
      </c>
    </row>
    <row r="89" spans="1:30" x14ac:dyDescent="0.25">
      <c r="A89">
        <v>2035830505</v>
      </c>
      <c r="B89" t="s">
        <v>66</v>
      </c>
      <c r="C89" t="s">
        <v>67</v>
      </c>
      <c r="D89" s="5" t="str">
        <f t="shared" si="5"/>
        <v>JOSEPH LUDWIG</v>
      </c>
      <c r="E89" t="s">
        <v>68</v>
      </c>
      <c r="F89" t="s">
        <v>194</v>
      </c>
      <c r="G89" s="3">
        <v>0.7</v>
      </c>
      <c r="H89" t="s">
        <v>195</v>
      </c>
      <c r="I89" t="s">
        <v>195</v>
      </c>
      <c r="J89">
        <v>19491313</v>
      </c>
      <c r="K89">
        <v>19491313</v>
      </c>
      <c r="L89" t="s">
        <v>71</v>
      </c>
      <c r="M89" t="s">
        <v>72</v>
      </c>
      <c r="N89" t="str">
        <f t="shared" si="4"/>
        <v>Steven Brandt</v>
      </c>
      <c r="O89" t="s">
        <v>247</v>
      </c>
      <c r="P89" t="s">
        <v>1133</v>
      </c>
      <c r="Q89" t="s">
        <v>57</v>
      </c>
      <c r="R89" s="1">
        <v>46204</v>
      </c>
      <c r="S89" s="1">
        <v>46235</v>
      </c>
      <c r="T89" s="2">
        <v>122.88</v>
      </c>
      <c r="U89" t="s">
        <v>58</v>
      </c>
      <c r="V89">
        <v>0</v>
      </c>
      <c r="W89" t="s">
        <v>60</v>
      </c>
      <c r="X89" t="s">
        <v>61</v>
      </c>
      <c r="Y89">
        <v>6</v>
      </c>
      <c r="Z89" s="2">
        <v>516.12</v>
      </c>
      <c r="AA89" s="2">
        <v>86.02</v>
      </c>
      <c r="AB89" s="2">
        <v>0</v>
      </c>
      <c r="AC89" s="2">
        <v>516.12</v>
      </c>
      <c r="AD89" s="2">
        <v>0</v>
      </c>
    </row>
    <row r="90" spans="1:30" x14ac:dyDescent="0.25">
      <c r="A90">
        <v>2035864461</v>
      </c>
      <c r="B90" t="s">
        <v>73</v>
      </c>
      <c r="C90" t="s">
        <v>74</v>
      </c>
      <c r="D90" s="5" t="str">
        <f t="shared" si="5"/>
        <v>SHERRY CALLAHAN</v>
      </c>
      <c r="E90" t="s">
        <v>75</v>
      </c>
      <c r="F90" t="s">
        <v>194</v>
      </c>
      <c r="G90" s="3">
        <v>0.7</v>
      </c>
      <c r="H90" t="s">
        <v>195</v>
      </c>
      <c r="I90" t="s">
        <v>195</v>
      </c>
      <c r="J90">
        <v>19491313</v>
      </c>
      <c r="K90">
        <v>19491313</v>
      </c>
      <c r="L90" t="s">
        <v>71</v>
      </c>
      <c r="M90" t="s">
        <v>72</v>
      </c>
      <c r="N90" t="str">
        <f t="shared" si="4"/>
        <v>Steven Brandt</v>
      </c>
      <c r="O90" t="s">
        <v>247</v>
      </c>
      <c r="P90" t="s">
        <v>1133</v>
      </c>
      <c r="Q90" t="s">
        <v>57</v>
      </c>
      <c r="R90" s="1">
        <v>46204</v>
      </c>
      <c r="S90" s="1">
        <v>46235</v>
      </c>
      <c r="T90" s="2">
        <v>30.68</v>
      </c>
      <c r="U90" t="s">
        <v>58</v>
      </c>
      <c r="V90">
        <v>0</v>
      </c>
      <c r="W90" t="s">
        <v>60</v>
      </c>
      <c r="X90" t="s">
        <v>61</v>
      </c>
      <c r="Y90">
        <v>6</v>
      </c>
      <c r="Z90" s="2">
        <v>128.88</v>
      </c>
      <c r="AA90" s="2">
        <v>21.48</v>
      </c>
      <c r="AB90" s="2">
        <v>0</v>
      </c>
      <c r="AC90" s="2">
        <v>128.88</v>
      </c>
      <c r="AD90" s="2">
        <v>0</v>
      </c>
    </row>
    <row r="91" spans="1:30" x14ac:dyDescent="0.25">
      <c r="A91">
        <v>2036109999</v>
      </c>
      <c r="B91" t="s">
        <v>95</v>
      </c>
      <c r="C91" t="s">
        <v>96</v>
      </c>
      <c r="D91" s="5" t="str">
        <f t="shared" si="5"/>
        <v>TERRI PIOTROWICZ</v>
      </c>
      <c r="E91" t="s">
        <v>97</v>
      </c>
      <c r="F91" t="s">
        <v>194</v>
      </c>
      <c r="G91" s="3">
        <v>0.7</v>
      </c>
      <c r="H91" t="s">
        <v>195</v>
      </c>
      <c r="I91" t="s">
        <v>195</v>
      </c>
      <c r="J91">
        <v>19491313</v>
      </c>
      <c r="K91">
        <v>19491313</v>
      </c>
      <c r="L91" t="s">
        <v>71</v>
      </c>
      <c r="M91" t="s">
        <v>72</v>
      </c>
      <c r="N91" t="str">
        <f t="shared" si="4"/>
        <v>Steven Brandt</v>
      </c>
      <c r="O91" t="s">
        <v>247</v>
      </c>
      <c r="P91" t="s">
        <v>1133</v>
      </c>
      <c r="Q91" t="s">
        <v>57</v>
      </c>
      <c r="R91" s="1">
        <v>46204</v>
      </c>
      <c r="S91" s="1">
        <v>46235</v>
      </c>
      <c r="T91" s="2">
        <v>252.24</v>
      </c>
      <c r="U91" t="s">
        <v>58</v>
      </c>
      <c r="V91">
        <v>0</v>
      </c>
      <c r="W91" t="s">
        <v>60</v>
      </c>
      <c r="X91" t="s">
        <v>61</v>
      </c>
      <c r="Y91">
        <v>6</v>
      </c>
      <c r="Z91" s="2">
        <v>1059.42</v>
      </c>
      <c r="AA91" s="2">
        <v>176.57</v>
      </c>
      <c r="AB91" s="2">
        <v>0</v>
      </c>
      <c r="AC91" s="2">
        <v>1059.42</v>
      </c>
      <c r="AD91" s="2">
        <v>0</v>
      </c>
    </row>
    <row r="92" spans="1:30" x14ac:dyDescent="0.25">
      <c r="A92">
        <v>2036169738</v>
      </c>
      <c r="B92" t="s">
        <v>104</v>
      </c>
      <c r="C92" t="s">
        <v>105</v>
      </c>
      <c r="D92" s="5" t="str">
        <f t="shared" si="5"/>
        <v>MARLA KUHLMAN</v>
      </c>
      <c r="E92" t="s">
        <v>68</v>
      </c>
      <c r="F92" t="s">
        <v>194</v>
      </c>
      <c r="G92" s="3">
        <v>0.7</v>
      </c>
      <c r="H92" t="s">
        <v>195</v>
      </c>
      <c r="I92" t="s">
        <v>195</v>
      </c>
      <c r="J92">
        <v>19491313</v>
      </c>
      <c r="K92">
        <v>19491313</v>
      </c>
      <c r="L92" t="s">
        <v>71</v>
      </c>
      <c r="M92" t="s">
        <v>72</v>
      </c>
      <c r="N92" t="str">
        <f t="shared" si="4"/>
        <v>Steven Brandt</v>
      </c>
      <c r="O92" t="s">
        <v>247</v>
      </c>
      <c r="P92" t="s">
        <v>1133</v>
      </c>
      <c r="Q92" t="s">
        <v>57</v>
      </c>
      <c r="R92" s="1">
        <v>46204</v>
      </c>
      <c r="S92" s="1">
        <v>46235</v>
      </c>
      <c r="T92" s="2">
        <v>122.88</v>
      </c>
      <c r="U92" t="s">
        <v>58</v>
      </c>
      <c r="V92">
        <v>0</v>
      </c>
      <c r="W92" t="s">
        <v>60</v>
      </c>
      <c r="X92" t="s">
        <v>61</v>
      </c>
      <c r="Y92">
        <v>6</v>
      </c>
      <c r="Z92" s="2">
        <v>516.12</v>
      </c>
      <c r="AA92" s="2">
        <v>86.02</v>
      </c>
      <c r="AB92" s="2">
        <v>0</v>
      </c>
      <c r="AC92" s="2">
        <v>516.12</v>
      </c>
      <c r="AD92" s="2">
        <v>0</v>
      </c>
    </row>
    <row r="93" spans="1:30" x14ac:dyDescent="0.25">
      <c r="A93">
        <v>2036202890</v>
      </c>
      <c r="B93" t="s">
        <v>115</v>
      </c>
      <c r="C93" t="s">
        <v>116</v>
      </c>
      <c r="D93" s="5" t="str">
        <f t="shared" si="5"/>
        <v>ANGELA WILLIS</v>
      </c>
      <c r="E93" t="s">
        <v>117</v>
      </c>
      <c r="F93" t="s">
        <v>194</v>
      </c>
      <c r="G93" s="3">
        <v>0.7</v>
      </c>
      <c r="H93" t="s">
        <v>195</v>
      </c>
      <c r="I93" t="s">
        <v>195</v>
      </c>
      <c r="J93">
        <v>19491313</v>
      </c>
      <c r="K93">
        <v>19491313</v>
      </c>
      <c r="L93" t="s">
        <v>71</v>
      </c>
      <c r="M93" t="s">
        <v>72</v>
      </c>
      <c r="N93" t="str">
        <f t="shared" si="4"/>
        <v>Steven Brandt</v>
      </c>
      <c r="O93" t="s">
        <v>247</v>
      </c>
      <c r="P93" t="s">
        <v>1133</v>
      </c>
      <c r="Q93" t="s">
        <v>57</v>
      </c>
      <c r="R93" s="1">
        <v>46204</v>
      </c>
      <c r="S93" s="1">
        <v>46235</v>
      </c>
      <c r="T93" s="2">
        <v>65.959999999999994</v>
      </c>
      <c r="U93" t="s">
        <v>58</v>
      </c>
      <c r="V93">
        <v>0</v>
      </c>
      <c r="W93" t="s">
        <v>60</v>
      </c>
      <c r="X93" t="s">
        <v>61</v>
      </c>
      <c r="Y93">
        <v>6</v>
      </c>
      <c r="Z93" s="2">
        <v>277.02</v>
      </c>
      <c r="AA93" s="2">
        <v>46.17</v>
      </c>
      <c r="AB93" s="2">
        <v>0</v>
      </c>
      <c r="AC93" s="2">
        <v>277.02</v>
      </c>
      <c r="AD93" s="2">
        <v>0</v>
      </c>
    </row>
    <row r="94" spans="1:30" x14ac:dyDescent="0.25">
      <c r="A94">
        <v>2036244909</v>
      </c>
      <c r="B94" t="s">
        <v>235</v>
      </c>
      <c r="C94" t="s">
        <v>236</v>
      </c>
      <c r="D94" s="5" t="str">
        <f t="shared" si="5"/>
        <v>FRANKLINE KENAH</v>
      </c>
      <c r="E94" t="s">
        <v>146</v>
      </c>
      <c r="F94" t="s">
        <v>237</v>
      </c>
      <c r="G94" s="3">
        <v>0.27</v>
      </c>
      <c r="H94" t="s">
        <v>238</v>
      </c>
      <c r="I94" t="s">
        <v>1084</v>
      </c>
      <c r="J94">
        <v>17554531</v>
      </c>
      <c r="K94">
        <v>17554531</v>
      </c>
      <c r="L94" t="s">
        <v>147</v>
      </c>
      <c r="M94" t="s">
        <v>148</v>
      </c>
      <c r="N94" t="str">
        <f t="shared" si="4"/>
        <v>Brittany Oliver</v>
      </c>
      <c r="O94" t="s">
        <v>247</v>
      </c>
      <c r="P94" t="s">
        <v>1133</v>
      </c>
      <c r="Q94" t="s">
        <v>57</v>
      </c>
      <c r="R94" s="1">
        <v>46200</v>
      </c>
      <c r="S94" s="1">
        <v>46230</v>
      </c>
      <c r="T94" s="2">
        <v>190.07</v>
      </c>
      <c r="U94" t="s">
        <v>58</v>
      </c>
      <c r="V94">
        <v>0</v>
      </c>
      <c r="W94" t="s">
        <v>60</v>
      </c>
      <c r="X94" t="s">
        <v>61</v>
      </c>
      <c r="Y94">
        <v>3</v>
      </c>
      <c r="Z94" s="2">
        <v>153.96</v>
      </c>
      <c r="AA94" s="2">
        <v>51.32</v>
      </c>
      <c r="AB94" s="2">
        <v>0</v>
      </c>
      <c r="AC94" s="2">
        <v>153.96</v>
      </c>
      <c r="AD94" s="2">
        <v>0</v>
      </c>
    </row>
    <row r="95" spans="1:30" x14ac:dyDescent="0.25">
      <c r="A95">
        <v>2036248140</v>
      </c>
      <c r="B95" t="s">
        <v>144</v>
      </c>
      <c r="C95" t="s">
        <v>145</v>
      </c>
      <c r="D95" s="5" t="str">
        <f t="shared" si="5"/>
        <v>KIMANI PINK</v>
      </c>
      <c r="E95" t="s">
        <v>146</v>
      </c>
      <c r="F95" t="s">
        <v>237</v>
      </c>
      <c r="G95" s="3">
        <v>0.27</v>
      </c>
      <c r="H95" t="s">
        <v>238</v>
      </c>
      <c r="I95" t="s">
        <v>1084</v>
      </c>
      <c r="J95">
        <v>17554531</v>
      </c>
      <c r="K95">
        <v>17554531</v>
      </c>
      <c r="L95" t="s">
        <v>147</v>
      </c>
      <c r="M95" t="s">
        <v>148</v>
      </c>
      <c r="N95" t="str">
        <f t="shared" si="4"/>
        <v>Brittany Oliver</v>
      </c>
      <c r="O95" t="s">
        <v>247</v>
      </c>
      <c r="P95" t="s">
        <v>1133</v>
      </c>
      <c r="Q95" t="s">
        <v>57</v>
      </c>
      <c r="R95" s="1">
        <v>46200</v>
      </c>
      <c r="S95" s="1">
        <v>46230</v>
      </c>
      <c r="T95" s="2">
        <v>52.31</v>
      </c>
      <c r="U95" t="s">
        <v>58</v>
      </c>
      <c r="V95">
        <v>0</v>
      </c>
      <c r="W95" t="s">
        <v>60</v>
      </c>
      <c r="X95" t="s">
        <v>61</v>
      </c>
      <c r="Y95">
        <v>3</v>
      </c>
      <c r="Z95" s="2">
        <v>42.36</v>
      </c>
      <c r="AA95" s="2">
        <v>14.12</v>
      </c>
      <c r="AB95" s="2">
        <v>0</v>
      </c>
      <c r="AC95" s="2">
        <v>42.36</v>
      </c>
      <c r="AD95" s="2">
        <v>0</v>
      </c>
    </row>
  </sheetData>
  <sortState xmlns:xlrd2="http://schemas.microsoft.com/office/spreadsheetml/2017/richdata2" ref="A2:BC58">
    <sortCondition sortBy="cellColor" ref="A2:A58" dxfId="0"/>
    <sortCondition ref="N2:N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2026-07-07T12:42:50Z</dcterms:created>
  <dcterms:modified xsi:type="dcterms:W3CDTF">2026-07-23T18:27:59Z</dcterms:modified>
</cp:coreProperties>
</file>