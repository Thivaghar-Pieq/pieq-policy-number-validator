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llstate\2026\2026-06-15\"/>
    </mc:Choice>
  </mc:AlternateContent>
  <xr:revisionPtr revIDLastSave="0" documentId="13_ncr:1_{EF0E22E1-4D93-4A3F-BE07-253F1582606E}" xr6:coauthVersionLast="47" xr6:coauthVersionMax="47" xr10:uidLastSave="{00000000-0000-0000-0000-000000000000}"/>
  <bookViews>
    <workbookView xWindow="-120" yWindow="-120" windowWidth="29040" windowHeight="15720" activeTab="3" xr2:uid="{9DAFBFE2-B290-41A6-9DBE-5F8EB712421F}"/>
  </bookViews>
  <sheets>
    <sheet name="20411454 - Main Line Benefits L" sheetId="1" r:id="rId1"/>
    <sheet name="RN" sheetId="2" r:id="rId2"/>
    <sheet name="CB" sheetId="4" r:id="rId3"/>
    <sheet name="NB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2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N30" i="3" l="1"/>
  <c r="N86" i="3"/>
  <c r="N38" i="3"/>
  <c r="N45" i="3"/>
  <c r="N37" i="3"/>
  <c r="N39" i="3"/>
  <c r="N44" i="3"/>
  <c r="N43" i="3"/>
  <c r="N40" i="3"/>
  <c r="N36" i="3"/>
  <c r="N42" i="3"/>
  <c r="N41" i="3"/>
  <c r="N8" i="3"/>
  <c r="N9" i="3"/>
  <c r="N13" i="3"/>
  <c r="N48" i="3"/>
  <c r="N12" i="3"/>
  <c r="N47" i="3"/>
  <c r="N11" i="3"/>
  <c r="N14" i="3"/>
  <c r="N75" i="3"/>
  <c r="N78" i="3"/>
  <c r="N79" i="3"/>
  <c r="N22" i="3"/>
  <c r="N80" i="3"/>
  <c r="N74" i="3"/>
  <c r="N77" i="3"/>
  <c r="N23" i="3"/>
  <c r="N25" i="3"/>
  <c r="N24" i="3"/>
  <c r="N76" i="3"/>
  <c r="N4" i="3"/>
  <c r="N3" i="3"/>
  <c r="N49" i="3"/>
  <c r="N2" i="3"/>
  <c r="N6" i="3"/>
  <c r="N51" i="3"/>
  <c r="N50" i="3"/>
  <c r="N34" i="3"/>
  <c r="N35" i="3"/>
  <c r="N5" i="3"/>
  <c r="N7" i="3"/>
  <c r="N56" i="3"/>
  <c r="N65" i="3"/>
  <c r="N18" i="3"/>
  <c r="N60" i="3"/>
  <c r="N81" i="3"/>
  <c r="N46" i="3"/>
  <c r="N66" i="3"/>
  <c r="N84" i="3"/>
  <c r="N82" i="3"/>
  <c r="N57" i="3"/>
  <c r="N83" i="3"/>
  <c r="N69" i="3"/>
  <c r="N33" i="3"/>
  <c r="N71" i="3"/>
  <c r="N67" i="3"/>
  <c r="N31" i="3"/>
  <c r="N63" i="3"/>
  <c r="N68" i="3"/>
  <c r="N32" i="3"/>
  <c r="N26" i="3"/>
  <c r="N27" i="3"/>
  <c r="N15" i="3"/>
  <c r="N58" i="3"/>
  <c r="N64" i="3"/>
  <c r="N62" i="3"/>
  <c r="N10" i="3"/>
  <c r="N70" i="3"/>
  <c r="N61" i="3"/>
  <c r="N17" i="3"/>
  <c r="N28" i="3"/>
  <c r="N19" i="3"/>
  <c r="N16" i="3"/>
  <c r="N21" i="3"/>
  <c r="N29" i="3"/>
  <c r="N59" i="3"/>
  <c r="N20" i="3"/>
  <c r="N54" i="3"/>
  <c r="N72" i="3"/>
  <c r="N53" i="3"/>
  <c r="N55" i="3"/>
  <c r="N73" i="3"/>
  <c r="N52" i="3"/>
  <c r="N85" i="3"/>
  <c r="D666" i="2"/>
  <c r="D658" i="2"/>
  <c r="D667" i="2"/>
  <c r="D668" i="2"/>
  <c r="D669" i="2"/>
  <c r="D670" i="2"/>
  <c r="D671" i="2"/>
  <c r="D56" i="2"/>
  <c r="D672" i="2"/>
  <c r="D673" i="2"/>
  <c r="D674" i="2"/>
  <c r="D675" i="2"/>
  <c r="D676" i="2"/>
  <c r="D665" i="2"/>
  <c r="D660" i="2"/>
  <c r="D659" i="2"/>
  <c r="D664" i="2"/>
  <c r="D661" i="2"/>
  <c r="D662" i="2"/>
  <c r="D663" i="2"/>
  <c r="D151" i="2"/>
  <c r="D152" i="2"/>
  <c r="D153" i="2"/>
  <c r="D154" i="2"/>
  <c r="D155" i="2"/>
  <c r="D120" i="2"/>
  <c r="D121" i="2"/>
  <c r="D122" i="2"/>
  <c r="D89" i="2"/>
  <c r="D156" i="2"/>
  <c r="D157" i="2"/>
  <c r="D90" i="2"/>
  <c r="D91" i="2"/>
  <c r="D92" i="2"/>
  <c r="D93" i="2"/>
  <c r="D158" i="2"/>
  <c r="D94" i="2"/>
  <c r="D95" i="2"/>
  <c r="D96" i="2"/>
  <c r="D97" i="2"/>
  <c r="D98" i="2"/>
  <c r="D99" i="2"/>
  <c r="D100" i="2"/>
  <c r="D101" i="2"/>
  <c r="D159" i="2"/>
  <c r="D123" i="2"/>
  <c r="D160" i="2"/>
  <c r="D161" i="2"/>
  <c r="D162" i="2"/>
  <c r="D163" i="2"/>
  <c r="D102" i="2"/>
  <c r="D164" i="2"/>
  <c r="D165" i="2"/>
  <c r="D166" i="2"/>
  <c r="D167" i="2"/>
  <c r="D103" i="2"/>
  <c r="D104" i="2"/>
  <c r="D105" i="2"/>
  <c r="D106" i="2"/>
  <c r="D107" i="2"/>
  <c r="D108" i="2"/>
  <c r="D124" i="2"/>
  <c r="D168" i="2"/>
  <c r="D109" i="2"/>
  <c r="D110" i="2"/>
  <c r="D111" i="2"/>
  <c r="D125" i="2"/>
  <c r="D359" i="2"/>
  <c r="D360" i="2"/>
  <c r="D361" i="2"/>
  <c r="D362" i="2"/>
  <c r="D626" i="2"/>
  <c r="D363" i="2"/>
  <c r="D364" i="2"/>
  <c r="D627" i="2"/>
  <c r="D628" i="2"/>
  <c r="D365" i="2"/>
  <c r="D366" i="2"/>
  <c r="D367" i="2"/>
  <c r="D368" i="2"/>
  <c r="D369" i="2"/>
  <c r="D629" i="2"/>
  <c r="D630" i="2"/>
  <c r="D370" i="2"/>
  <c r="D371" i="2"/>
  <c r="D372" i="2"/>
  <c r="D10" i="2"/>
  <c r="D373" i="2"/>
  <c r="D374" i="2"/>
  <c r="D375" i="2"/>
  <c r="D376" i="2"/>
  <c r="D377" i="2"/>
  <c r="D378" i="2"/>
  <c r="D379" i="2"/>
  <c r="D631" i="2"/>
  <c r="D380" i="2"/>
  <c r="D381" i="2"/>
  <c r="D632" i="2"/>
  <c r="D382" i="2"/>
  <c r="D383" i="2"/>
  <c r="D384" i="2"/>
  <c r="D11" i="2"/>
  <c r="D385" i="2"/>
  <c r="D386" i="2"/>
  <c r="D387" i="2"/>
  <c r="D388" i="2"/>
  <c r="D389" i="2"/>
  <c r="D390" i="2"/>
  <c r="D391" i="2"/>
  <c r="D53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633" i="2"/>
  <c r="D405" i="2"/>
  <c r="D12" i="2"/>
  <c r="D634" i="2"/>
  <c r="D406" i="2"/>
  <c r="D407" i="2"/>
  <c r="D408" i="2"/>
  <c r="D409" i="2"/>
  <c r="D410" i="2"/>
  <c r="D174" i="2"/>
  <c r="D411" i="2"/>
  <c r="D412" i="2"/>
  <c r="D413" i="2"/>
  <c r="D414" i="2"/>
  <c r="D415" i="2"/>
  <c r="D13" i="2"/>
  <c r="D416" i="2"/>
  <c r="D417" i="2"/>
  <c r="D14" i="2"/>
  <c r="D418" i="2"/>
  <c r="D419" i="2"/>
  <c r="D175" i="2"/>
  <c r="D176" i="2"/>
  <c r="D15" i="2"/>
  <c r="D420" i="2"/>
  <c r="D421" i="2"/>
  <c r="D635" i="2"/>
  <c r="D16" i="2"/>
  <c r="D422" i="2"/>
  <c r="D423" i="2"/>
  <c r="D17" i="2"/>
  <c r="D177" i="2"/>
  <c r="D18" i="2"/>
  <c r="D178" i="2"/>
  <c r="D636" i="2"/>
  <c r="D424" i="2"/>
  <c r="D425" i="2"/>
  <c r="D426" i="2"/>
  <c r="D427" i="2"/>
  <c r="D428" i="2"/>
  <c r="D429" i="2"/>
  <c r="D637" i="2"/>
  <c r="D19" i="2"/>
  <c r="D638" i="2"/>
  <c r="D430" i="2"/>
  <c r="D431" i="2"/>
  <c r="D639" i="2"/>
  <c r="D432" i="2"/>
  <c r="D20" i="2"/>
  <c r="D640" i="2"/>
  <c r="D179" i="2"/>
  <c r="D21" i="2"/>
  <c r="D433" i="2"/>
  <c r="D180" i="2"/>
  <c r="D181" i="2"/>
  <c r="D22" i="2"/>
  <c r="D434" i="2"/>
  <c r="D641" i="2"/>
  <c r="D435" i="2"/>
  <c r="D436" i="2"/>
  <c r="D437" i="2"/>
  <c r="D642" i="2"/>
  <c r="D643" i="2"/>
  <c r="D438" i="2"/>
  <c r="D182" i="2"/>
  <c r="D644" i="2"/>
  <c r="D23" i="2"/>
  <c r="D439" i="2"/>
  <c r="D440" i="2"/>
  <c r="D441" i="2"/>
  <c r="D442" i="2"/>
  <c r="D443" i="2"/>
  <c r="D183" i="2"/>
  <c r="D24" i="2"/>
  <c r="D444" i="2"/>
  <c r="D25" i="2"/>
  <c r="D445" i="2"/>
  <c r="D446" i="2"/>
  <c r="D645" i="2"/>
  <c r="D447" i="2"/>
  <c r="D448" i="2"/>
  <c r="D449" i="2"/>
  <c r="D450" i="2"/>
  <c r="D646" i="2"/>
  <c r="D451" i="2"/>
  <c r="D647" i="2"/>
  <c r="D452" i="2"/>
  <c r="D453" i="2"/>
  <c r="D454" i="2"/>
  <c r="D455" i="2"/>
  <c r="D456" i="2"/>
  <c r="D457" i="2"/>
  <c r="D458" i="2"/>
  <c r="D648" i="2"/>
  <c r="D459" i="2"/>
  <c r="D460" i="2"/>
  <c r="D461" i="2"/>
  <c r="D462" i="2"/>
  <c r="D463" i="2"/>
  <c r="D464" i="2"/>
  <c r="D465" i="2"/>
  <c r="D466" i="2"/>
  <c r="D467" i="2"/>
  <c r="D112" i="2"/>
  <c r="D113" i="2"/>
  <c r="D169" i="2"/>
  <c r="D126" i="2"/>
  <c r="D114" i="2"/>
  <c r="D127" i="2"/>
  <c r="D69" i="2"/>
  <c r="D147" i="2"/>
  <c r="D130" i="2"/>
  <c r="D131" i="2"/>
  <c r="D67" i="2"/>
  <c r="D76" i="2"/>
  <c r="D70" i="2"/>
  <c r="D57" i="2"/>
  <c r="D144" i="2"/>
  <c r="D78" i="2"/>
  <c r="D74" i="2"/>
  <c r="D119" i="2"/>
  <c r="D148" i="2"/>
  <c r="D309" i="2"/>
  <c r="D313" i="2"/>
  <c r="D620" i="2"/>
  <c r="D316" i="2"/>
  <c r="D290" i="2"/>
  <c r="D468" i="2"/>
  <c r="D469" i="2"/>
  <c r="D470" i="2"/>
  <c r="D347" i="2"/>
  <c r="D335" i="2"/>
  <c r="D353" i="2"/>
  <c r="D5" i="2"/>
  <c r="D170" i="2"/>
  <c r="D6" i="2"/>
  <c r="D616" i="2"/>
  <c r="D52" i="2"/>
  <c r="D3" i="2"/>
  <c r="D315" i="2"/>
  <c r="D350" i="2"/>
  <c r="D331" i="2"/>
  <c r="D622" i="2"/>
  <c r="D351" i="2"/>
  <c r="D294" i="2"/>
  <c r="D50" i="2"/>
  <c r="D311" i="2"/>
  <c r="D327" i="2"/>
  <c r="D325" i="2"/>
  <c r="D615" i="2"/>
  <c r="D617" i="2"/>
  <c r="D334" i="2"/>
  <c r="D333" i="2"/>
  <c r="D4" i="2"/>
  <c r="D308" i="2"/>
  <c r="D341" i="2"/>
  <c r="D320" i="2"/>
  <c r="D172" i="2"/>
  <c r="D343" i="2"/>
  <c r="D304" i="2"/>
  <c r="D328" i="2"/>
  <c r="D288" i="2"/>
  <c r="D344" i="2"/>
  <c r="D324" i="2"/>
  <c r="D619" i="2"/>
  <c r="D354" i="2"/>
  <c r="D317" i="2"/>
  <c r="D307" i="2"/>
  <c r="D621" i="2"/>
  <c r="D305" i="2"/>
  <c r="D332" i="2"/>
  <c r="D289" i="2"/>
  <c r="D300" i="2"/>
  <c r="D355" i="2"/>
  <c r="D306" i="2"/>
  <c r="D9" i="2"/>
  <c r="D292" i="2"/>
  <c r="D358" i="2"/>
  <c r="D346" i="2"/>
  <c r="D297" i="2"/>
  <c r="D293" i="2"/>
  <c r="D623" i="2"/>
  <c r="D345" i="2"/>
  <c r="D323" i="2"/>
  <c r="D314" i="2"/>
  <c r="D173" i="2"/>
  <c r="D296" i="2"/>
  <c r="D618" i="2"/>
  <c r="D330" i="2"/>
  <c r="D624" i="2"/>
  <c r="D352" i="2"/>
  <c r="D310" i="2"/>
  <c r="D625" i="2"/>
  <c r="D318" i="2"/>
  <c r="D340" i="2"/>
  <c r="D356" i="2"/>
  <c r="D349" i="2"/>
  <c r="D471" i="2"/>
  <c r="D281" i="2"/>
  <c r="D271" i="2"/>
  <c r="D272" i="2"/>
  <c r="D273" i="2"/>
  <c r="D285" i="2"/>
  <c r="D286" i="2"/>
  <c r="D277" i="2"/>
  <c r="D269" i="2"/>
  <c r="D270" i="2"/>
  <c r="D276" i="2"/>
  <c r="D279" i="2"/>
  <c r="D268" i="2"/>
  <c r="D278" i="2"/>
  <c r="D266" i="2"/>
  <c r="D282" i="2"/>
  <c r="D283" i="2"/>
  <c r="D284" i="2"/>
  <c r="D267" i="2"/>
  <c r="D280" i="2"/>
  <c r="D274" i="2"/>
  <c r="D275" i="2"/>
  <c r="D219" i="2"/>
  <c r="D220" i="2"/>
  <c r="D221" i="2"/>
  <c r="D222" i="2"/>
  <c r="D223" i="2"/>
  <c r="D218" i="2"/>
  <c r="D224" i="2"/>
  <c r="D203" i="2"/>
  <c r="D58" i="2"/>
  <c r="D118" i="2"/>
  <c r="D84" i="2"/>
  <c r="D77" i="2"/>
  <c r="D133" i="2"/>
  <c r="D150" i="2"/>
  <c r="D80" i="2"/>
  <c r="D145" i="2"/>
  <c r="D141" i="2"/>
  <c r="D140" i="2"/>
  <c r="D128" i="2"/>
  <c r="D82" i="2"/>
  <c r="D71" i="2"/>
  <c r="D83" i="2"/>
  <c r="D117" i="2"/>
  <c r="D63" i="2"/>
  <c r="D79" i="2"/>
  <c r="D137" i="2"/>
  <c r="D134" i="2"/>
  <c r="D149" i="2"/>
  <c r="D72" i="2"/>
  <c r="D81" i="2"/>
  <c r="D62" i="2"/>
  <c r="D143" i="2"/>
  <c r="D73" i="2"/>
  <c r="D64" i="2"/>
  <c r="D59" i="2"/>
  <c r="D65" i="2"/>
  <c r="D136" i="2"/>
  <c r="D75" i="2"/>
  <c r="D68" i="2"/>
  <c r="D132" i="2"/>
  <c r="D86" i="2"/>
  <c r="D138" i="2"/>
  <c r="D135" i="2"/>
  <c r="D88" i="2"/>
  <c r="D60" i="2"/>
  <c r="D129" i="2"/>
  <c r="D142" i="2"/>
  <c r="D66" i="2"/>
  <c r="D61" i="2"/>
  <c r="D85" i="2"/>
  <c r="D139" i="2"/>
  <c r="D146" i="2"/>
  <c r="D116" i="2"/>
  <c r="D87" i="2"/>
  <c r="D115" i="2"/>
  <c r="D209" i="2"/>
  <c r="D195" i="2"/>
  <c r="D210" i="2"/>
  <c r="D211" i="2"/>
  <c r="D196" i="2"/>
  <c r="D212" i="2"/>
  <c r="D197" i="2"/>
  <c r="D216" i="2"/>
  <c r="D188" i="2"/>
  <c r="D189" i="2"/>
  <c r="D204" i="2"/>
  <c r="D190" i="2"/>
  <c r="D205" i="2"/>
  <c r="D198" i="2"/>
  <c r="D191" i="2"/>
  <c r="D213" i="2"/>
  <c r="D214" i="2"/>
  <c r="D192" i="2"/>
  <c r="D207" i="2"/>
  <c r="D199" i="2"/>
  <c r="D185" i="2"/>
  <c r="D200" i="2"/>
  <c r="D193" i="2"/>
  <c r="D201" i="2"/>
  <c r="D184" i="2"/>
  <c r="D186" i="2"/>
  <c r="D208" i="2"/>
  <c r="D194" i="2"/>
  <c r="D202" i="2"/>
  <c r="D187" i="2"/>
  <c r="D206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511" i="2"/>
  <c r="D499" i="2"/>
  <c r="D502" i="2"/>
  <c r="D497" i="2"/>
  <c r="D509" i="2"/>
  <c r="D491" i="2"/>
  <c r="D530" i="2"/>
  <c r="D518" i="2"/>
  <c r="D525" i="2"/>
  <c r="D523" i="2"/>
  <c r="D514" i="2"/>
  <c r="D490" i="2"/>
  <c r="D495" i="2"/>
  <c r="D510" i="2"/>
  <c r="D610" i="2"/>
  <c r="D501" i="2"/>
  <c r="D611" i="2"/>
  <c r="D612" i="2"/>
  <c r="D613" i="2"/>
  <c r="D614" i="2"/>
  <c r="D513" i="2"/>
  <c r="D51" i="2"/>
  <c r="D489" i="2"/>
  <c r="D515" i="2"/>
  <c r="D504" i="2"/>
  <c r="D496" i="2"/>
  <c r="D512" i="2"/>
  <c r="D529" i="2"/>
  <c r="D516" i="2"/>
  <c r="D528" i="2"/>
  <c r="D49" i="2"/>
  <c r="D498" i="2"/>
  <c r="D521" i="2"/>
  <c r="D522" i="2"/>
  <c r="D506" i="2"/>
  <c r="D531" i="2"/>
  <c r="D492" i="2"/>
  <c r="D505" i="2"/>
  <c r="D500" i="2"/>
  <c r="D524" i="2"/>
  <c r="D517" i="2"/>
  <c r="D503" i="2"/>
  <c r="D519" i="2"/>
  <c r="D494" i="2"/>
  <c r="D508" i="2"/>
  <c r="D507" i="2"/>
  <c r="D520" i="2"/>
  <c r="D493" i="2"/>
  <c r="D526" i="2"/>
  <c r="D527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39" i="2"/>
  <c r="D257" i="2"/>
  <c r="D217" i="2"/>
  <c r="D40" i="2"/>
  <c r="D41" i="2"/>
  <c r="D42" i="2"/>
  <c r="D258" i="2"/>
  <c r="D43" i="2"/>
  <c r="D44" i="2"/>
  <c r="D45" i="2"/>
  <c r="D46" i="2"/>
  <c r="D259" i="2"/>
  <c r="D260" i="2"/>
  <c r="D47" i="2"/>
  <c r="D48" i="2"/>
  <c r="D261" i="2"/>
  <c r="D262" i="2"/>
  <c r="D263" i="2"/>
  <c r="D264" i="2"/>
  <c r="D265" i="2"/>
  <c r="D242" i="2"/>
  <c r="D235" i="2"/>
  <c r="D241" i="2"/>
  <c r="D243" i="2"/>
  <c r="D230" i="2"/>
  <c r="D33" i="2"/>
  <c r="D35" i="2"/>
  <c r="D233" i="2"/>
  <c r="D54" i="2"/>
  <c r="D55" i="2"/>
  <c r="D32" i="2"/>
  <c r="D36" i="2"/>
  <c r="D229" i="2"/>
  <c r="D215" i="2"/>
  <c r="D37" i="2"/>
  <c r="D237" i="2"/>
  <c r="D30" i="2"/>
  <c r="D38" i="2"/>
  <c r="D231" i="2"/>
  <c r="D236" i="2"/>
  <c r="D238" i="2"/>
  <c r="D227" i="2"/>
  <c r="D226" i="2"/>
  <c r="D234" i="2"/>
  <c r="D31" i="2"/>
  <c r="D239" i="2"/>
  <c r="D232" i="2"/>
  <c r="D228" i="2"/>
  <c r="D34" i="2"/>
  <c r="D225" i="2"/>
  <c r="D240" i="2"/>
  <c r="D26" i="2"/>
  <c r="D472" i="2"/>
  <c r="D27" i="2"/>
  <c r="D649" i="2"/>
  <c r="D650" i="2"/>
  <c r="D28" i="2"/>
  <c r="D29" i="2"/>
  <c r="D651" i="2"/>
  <c r="D652" i="2"/>
  <c r="D653" i="2"/>
  <c r="D654" i="2"/>
  <c r="D473" i="2"/>
  <c r="D474" i="2"/>
  <c r="D475" i="2"/>
  <c r="D476" i="2"/>
  <c r="D477" i="2"/>
  <c r="D478" i="2"/>
  <c r="D479" i="2"/>
  <c r="D480" i="2"/>
  <c r="D481" i="2"/>
  <c r="D655" i="2"/>
  <c r="D656" i="2"/>
  <c r="D482" i="2"/>
  <c r="D483" i="2"/>
  <c r="D484" i="2"/>
  <c r="D485" i="2"/>
  <c r="D486" i="2"/>
  <c r="D487" i="2"/>
  <c r="D488" i="2"/>
  <c r="D321" i="2"/>
  <c r="D7" i="2"/>
  <c r="D298" i="2"/>
  <c r="D348" i="2"/>
  <c r="D342" i="2"/>
  <c r="D2" i="2"/>
  <c r="D8" i="2"/>
  <c r="D291" i="2"/>
  <c r="D301" i="2"/>
  <c r="D319" i="2"/>
  <c r="D322" i="2"/>
  <c r="D171" i="2"/>
  <c r="D302" i="2"/>
  <c r="D312" i="2"/>
  <c r="D287" i="2"/>
  <c r="D336" i="2"/>
  <c r="D303" i="2"/>
  <c r="D329" i="2"/>
  <c r="D295" i="2"/>
  <c r="D357" i="2"/>
  <c r="D299" i="2"/>
  <c r="D326" i="2"/>
  <c r="D337" i="2"/>
  <c r="D338" i="2"/>
  <c r="D339" i="2"/>
  <c r="D657" i="2"/>
  <c r="L666" i="2"/>
  <c r="L658" i="2"/>
  <c r="L667" i="2"/>
  <c r="L668" i="2"/>
  <c r="L669" i="2"/>
  <c r="L670" i="2"/>
  <c r="L671" i="2"/>
  <c r="L56" i="2"/>
  <c r="L672" i="2"/>
  <c r="L673" i="2"/>
  <c r="L674" i="2"/>
  <c r="L675" i="2"/>
  <c r="L676" i="2"/>
  <c r="L665" i="2"/>
  <c r="L660" i="2"/>
  <c r="L659" i="2"/>
  <c r="L664" i="2"/>
  <c r="L661" i="2"/>
  <c r="L662" i="2"/>
  <c r="L663" i="2"/>
  <c r="L151" i="2"/>
  <c r="L152" i="2"/>
  <c r="L153" i="2"/>
  <c r="L154" i="2"/>
  <c r="L155" i="2"/>
  <c r="L120" i="2"/>
  <c r="L121" i="2"/>
  <c r="L122" i="2"/>
  <c r="L89" i="2"/>
  <c r="L156" i="2"/>
  <c r="L157" i="2"/>
  <c r="L90" i="2"/>
  <c r="L91" i="2"/>
  <c r="L92" i="2"/>
  <c r="L93" i="2"/>
  <c r="L158" i="2"/>
  <c r="L94" i="2"/>
  <c r="L95" i="2"/>
  <c r="L96" i="2"/>
  <c r="L97" i="2"/>
  <c r="L98" i="2"/>
  <c r="L99" i="2"/>
  <c r="L100" i="2"/>
  <c r="L101" i="2"/>
  <c r="L159" i="2"/>
  <c r="L123" i="2"/>
  <c r="L160" i="2"/>
  <c r="L161" i="2"/>
  <c r="L162" i="2"/>
  <c r="L163" i="2"/>
  <c r="L102" i="2"/>
  <c r="L164" i="2"/>
  <c r="L165" i="2"/>
  <c r="L166" i="2"/>
  <c r="L167" i="2"/>
  <c r="L103" i="2"/>
  <c r="L104" i="2"/>
  <c r="L105" i="2"/>
  <c r="L106" i="2"/>
  <c r="L107" i="2"/>
  <c r="L108" i="2"/>
  <c r="L124" i="2"/>
  <c r="L168" i="2"/>
  <c r="L109" i="2"/>
  <c r="L110" i="2"/>
  <c r="L111" i="2"/>
  <c r="L125" i="2"/>
  <c r="L359" i="2"/>
  <c r="L360" i="2"/>
  <c r="L361" i="2"/>
  <c r="L362" i="2"/>
  <c r="L626" i="2"/>
  <c r="L363" i="2"/>
  <c r="L364" i="2"/>
  <c r="L627" i="2"/>
  <c r="L628" i="2"/>
  <c r="L365" i="2"/>
  <c r="L366" i="2"/>
  <c r="L367" i="2"/>
  <c r="L368" i="2"/>
  <c r="L369" i="2"/>
  <c r="L629" i="2"/>
  <c r="L630" i="2"/>
  <c r="L370" i="2"/>
  <c r="L371" i="2"/>
  <c r="L372" i="2"/>
  <c r="L10" i="2"/>
  <c r="L373" i="2"/>
  <c r="L374" i="2"/>
  <c r="L375" i="2"/>
  <c r="L376" i="2"/>
  <c r="L377" i="2"/>
  <c r="L378" i="2"/>
  <c r="L379" i="2"/>
  <c r="L631" i="2"/>
  <c r="L380" i="2"/>
  <c r="L381" i="2"/>
  <c r="L632" i="2"/>
  <c r="L382" i="2"/>
  <c r="L383" i="2"/>
  <c r="L384" i="2"/>
  <c r="L11" i="2"/>
  <c r="L385" i="2"/>
  <c r="L386" i="2"/>
  <c r="L387" i="2"/>
  <c r="L388" i="2"/>
  <c r="L389" i="2"/>
  <c r="L390" i="2"/>
  <c r="L391" i="2"/>
  <c r="L53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633" i="2"/>
  <c r="L405" i="2"/>
  <c r="L12" i="2"/>
  <c r="L634" i="2"/>
  <c r="L406" i="2"/>
  <c r="L407" i="2"/>
  <c r="L408" i="2"/>
  <c r="L409" i="2"/>
  <c r="L410" i="2"/>
  <c r="L174" i="2"/>
  <c r="L411" i="2"/>
  <c r="L412" i="2"/>
  <c r="L413" i="2"/>
  <c r="L414" i="2"/>
  <c r="L415" i="2"/>
  <c r="L13" i="2"/>
  <c r="L416" i="2"/>
  <c r="L417" i="2"/>
  <c r="L14" i="2"/>
  <c r="L418" i="2"/>
  <c r="L419" i="2"/>
  <c r="L175" i="2"/>
  <c r="L176" i="2"/>
  <c r="L15" i="2"/>
  <c r="L420" i="2"/>
  <c r="L421" i="2"/>
  <c r="L635" i="2"/>
  <c r="L16" i="2"/>
  <c r="L422" i="2"/>
  <c r="L423" i="2"/>
  <c r="L17" i="2"/>
  <c r="L177" i="2"/>
  <c r="L18" i="2"/>
  <c r="L178" i="2"/>
  <c r="L636" i="2"/>
  <c r="L424" i="2"/>
  <c r="L425" i="2"/>
  <c r="L426" i="2"/>
  <c r="L427" i="2"/>
  <c r="L428" i="2"/>
  <c r="L429" i="2"/>
  <c r="L637" i="2"/>
  <c r="L19" i="2"/>
  <c r="L638" i="2"/>
  <c r="L430" i="2"/>
  <c r="L431" i="2"/>
  <c r="L639" i="2"/>
  <c r="L432" i="2"/>
  <c r="L20" i="2"/>
  <c r="L640" i="2"/>
  <c r="L179" i="2"/>
  <c r="L21" i="2"/>
  <c r="L433" i="2"/>
  <c r="L180" i="2"/>
  <c r="L181" i="2"/>
  <c r="L22" i="2"/>
  <c r="L434" i="2"/>
  <c r="L641" i="2"/>
  <c r="L435" i="2"/>
  <c r="L436" i="2"/>
  <c r="L437" i="2"/>
  <c r="L642" i="2"/>
  <c r="L643" i="2"/>
  <c r="L438" i="2"/>
  <c r="L182" i="2"/>
  <c r="L644" i="2"/>
  <c r="L23" i="2"/>
  <c r="L439" i="2"/>
  <c r="L440" i="2"/>
  <c r="L441" i="2"/>
  <c r="L442" i="2"/>
  <c r="L443" i="2"/>
  <c r="L183" i="2"/>
  <c r="L24" i="2"/>
  <c r="L444" i="2"/>
  <c r="L25" i="2"/>
  <c r="L445" i="2"/>
  <c r="L446" i="2"/>
  <c r="L645" i="2"/>
  <c r="L447" i="2"/>
  <c r="L448" i="2"/>
  <c r="L449" i="2"/>
  <c r="L450" i="2"/>
  <c r="L646" i="2"/>
  <c r="L451" i="2"/>
  <c r="L647" i="2"/>
  <c r="L452" i="2"/>
  <c r="L453" i="2"/>
  <c r="L454" i="2"/>
  <c r="L455" i="2"/>
  <c r="L456" i="2"/>
  <c r="L457" i="2"/>
  <c r="L458" i="2"/>
  <c r="L648" i="2"/>
  <c r="L459" i="2"/>
  <c r="L460" i="2"/>
  <c r="L461" i="2"/>
  <c r="L462" i="2"/>
  <c r="L463" i="2"/>
  <c r="L464" i="2"/>
  <c r="L465" i="2"/>
  <c r="L466" i="2"/>
  <c r="L467" i="2"/>
  <c r="L112" i="2"/>
  <c r="L113" i="2"/>
  <c r="L169" i="2"/>
  <c r="L126" i="2"/>
  <c r="L114" i="2"/>
  <c r="L127" i="2"/>
  <c r="L69" i="2"/>
  <c r="L147" i="2"/>
  <c r="L130" i="2"/>
  <c r="L131" i="2"/>
  <c r="L67" i="2"/>
  <c r="L76" i="2"/>
  <c r="L70" i="2"/>
  <c r="L57" i="2"/>
  <c r="L144" i="2"/>
  <c r="L78" i="2"/>
  <c r="L74" i="2"/>
  <c r="L119" i="2"/>
  <c r="L148" i="2"/>
  <c r="L309" i="2"/>
  <c r="L313" i="2"/>
  <c r="L620" i="2"/>
  <c r="L316" i="2"/>
  <c r="L290" i="2"/>
  <c r="L468" i="2"/>
  <c r="L469" i="2"/>
  <c r="L470" i="2"/>
  <c r="L347" i="2"/>
  <c r="L335" i="2"/>
  <c r="L353" i="2"/>
  <c r="L5" i="2"/>
  <c r="L170" i="2"/>
  <c r="L6" i="2"/>
  <c r="L616" i="2"/>
  <c r="L52" i="2"/>
  <c r="L3" i="2"/>
  <c r="L315" i="2"/>
  <c r="L350" i="2"/>
  <c r="L331" i="2"/>
  <c r="L622" i="2"/>
  <c r="L351" i="2"/>
  <c r="L294" i="2"/>
  <c r="L50" i="2"/>
  <c r="L311" i="2"/>
  <c r="L327" i="2"/>
  <c r="L325" i="2"/>
  <c r="L615" i="2"/>
  <c r="L617" i="2"/>
  <c r="L334" i="2"/>
  <c r="L333" i="2"/>
  <c r="L4" i="2"/>
  <c r="L308" i="2"/>
  <c r="L341" i="2"/>
  <c r="L320" i="2"/>
  <c r="L172" i="2"/>
  <c r="L343" i="2"/>
  <c r="L304" i="2"/>
  <c r="L328" i="2"/>
  <c r="L288" i="2"/>
  <c r="L344" i="2"/>
  <c r="L324" i="2"/>
  <c r="L619" i="2"/>
  <c r="L354" i="2"/>
  <c r="L317" i="2"/>
  <c r="L307" i="2"/>
  <c r="L621" i="2"/>
  <c r="L305" i="2"/>
  <c r="L332" i="2"/>
  <c r="L289" i="2"/>
  <c r="L300" i="2"/>
  <c r="L355" i="2"/>
  <c r="L306" i="2"/>
  <c r="L9" i="2"/>
  <c r="L292" i="2"/>
  <c r="L358" i="2"/>
  <c r="L346" i="2"/>
  <c r="L297" i="2"/>
  <c r="L293" i="2"/>
  <c r="L623" i="2"/>
  <c r="L345" i="2"/>
  <c r="L323" i="2"/>
  <c r="L314" i="2"/>
  <c r="L173" i="2"/>
  <c r="L296" i="2"/>
  <c r="L618" i="2"/>
  <c r="L330" i="2"/>
  <c r="L624" i="2"/>
  <c r="L352" i="2"/>
  <c r="L310" i="2"/>
  <c r="L625" i="2"/>
  <c r="L318" i="2"/>
  <c r="L340" i="2"/>
  <c r="L356" i="2"/>
  <c r="L349" i="2"/>
  <c r="L471" i="2"/>
  <c r="L281" i="2"/>
  <c r="L271" i="2"/>
  <c r="L272" i="2"/>
  <c r="L273" i="2"/>
  <c r="L285" i="2"/>
  <c r="L286" i="2"/>
  <c r="L277" i="2"/>
  <c r="L269" i="2"/>
  <c r="L270" i="2"/>
  <c r="L276" i="2"/>
  <c r="L279" i="2"/>
  <c r="L268" i="2"/>
  <c r="L278" i="2"/>
  <c r="L266" i="2"/>
  <c r="L282" i="2"/>
  <c r="L283" i="2"/>
  <c r="L284" i="2"/>
  <c r="L267" i="2"/>
  <c r="L280" i="2"/>
  <c r="L274" i="2"/>
  <c r="L275" i="2"/>
  <c r="L219" i="2"/>
  <c r="L220" i="2"/>
  <c r="L221" i="2"/>
  <c r="L222" i="2"/>
  <c r="L223" i="2"/>
  <c r="L218" i="2"/>
  <c r="L224" i="2"/>
  <c r="L203" i="2"/>
  <c r="L58" i="2"/>
  <c r="L118" i="2"/>
  <c r="L84" i="2"/>
  <c r="L77" i="2"/>
  <c r="L133" i="2"/>
  <c r="L150" i="2"/>
  <c r="L80" i="2"/>
  <c r="L145" i="2"/>
  <c r="L141" i="2"/>
  <c r="L140" i="2"/>
  <c r="L128" i="2"/>
  <c r="L82" i="2"/>
  <c r="L71" i="2"/>
  <c r="L83" i="2"/>
  <c r="L117" i="2"/>
  <c r="L63" i="2"/>
  <c r="L79" i="2"/>
  <c r="L137" i="2"/>
  <c r="L134" i="2"/>
  <c r="L149" i="2"/>
  <c r="L72" i="2"/>
  <c r="L81" i="2"/>
  <c r="L62" i="2"/>
  <c r="L143" i="2"/>
  <c r="L73" i="2"/>
  <c r="L64" i="2"/>
  <c r="L59" i="2"/>
  <c r="L65" i="2"/>
  <c r="L136" i="2"/>
  <c r="L75" i="2"/>
  <c r="L68" i="2"/>
  <c r="L132" i="2"/>
  <c r="L86" i="2"/>
  <c r="L138" i="2"/>
  <c r="L135" i="2"/>
  <c r="L88" i="2"/>
  <c r="L60" i="2"/>
  <c r="L129" i="2"/>
  <c r="L142" i="2"/>
  <c r="L66" i="2"/>
  <c r="L61" i="2"/>
  <c r="L85" i="2"/>
  <c r="L139" i="2"/>
  <c r="L146" i="2"/>
  <c r="L116" i="2"/>
  <c r="L87" i="2"/>
  <c r="L115" i="2"/>
  <c r="L209" i="2"/>
  <c r="L195" i="2"/>
  <c r="L210" i="2"/>
  <c r="L211" i="2"/>
  <c r="L196" i="2"/>
  <c r="L212" i="2"/>
  <c r="L197" i="2"/>
  <c r="L216" i="2"/>
  <c r="L188" i="2"/>
  <c r="L189" i="2"/>
  <c r="L204" i="2"/>
  <c r="L190" i="2"/>
  <c r="L205" i="2"/>
  <c r="L198" i="2"/>
  <c r="L191" i="2"/>
  <c r="L213" i="2"/>
  <c r="L214" i="2"/>
  <c r="L192" i="2"/>
  <c r="L207" i="2"/>
  <c r="L199" i="2"/>
  <c r="L185" i="2"/>
  <c r="L200" i="2"/>
  <c r="L193" i="2"/>
  <c r="L201" i="2"/>
  <c r="L184" i="2"/>
  <c r="L186" i="2"/>
  <c r="L208" i="2"/>
  <c r="L194" i="2"/>
  <c r="L202" i="2"/>
  <c r="L187" i="2"/>
  <c r="L206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511" i="2"/>
  <c r="L499" i="2"/>
  <c r="L502" i="2"/>
  <c r="L497" i="2"/>
  <c r="L509" i="2"/>
  <c r="L491" i="2"/>
  <c r="L530" i="2"/>
  <c r="L518" i="2"/>
  <c r="L525" i="2"/>
  <c r="L523" i="2"/>
  <c r="L514" i="2"/>
  <c r="L490" i="2"/>
  <c r="L495" i="2"/>
  <c r="L510" i="2"/>
  <c r="L610" i="2"/>
  <c r="L501" i="2"/>
  <c r="L611" i="2"/>
  <c r="L612" i="2"/>
  <c r="L613" i="2"/>
  <c r="L614" i="2"/>
  <c r="L513" i="2"/>
  <c r="L51" i="2"/>
  <c r="L489" i="2"/>
  <c r="L515" i="2"/>
  <c r="L504" i="2"/>
  <c r="L496" i="2"/>
  <c r="L512" i="2"/>
  <c r="L529" i="2"/>
  <c r="L516" i="2"/>
  <c r="L528" i="2"/>
  <c r="L49" i="2"/>
  <c r="L498" i="2"/>
  <c r="L521" i="2"/>
  <c r="L522" i="2"/>
  <c r="L506" i="2"/>
  <c r="L531" i="2"/>
  <c r="L492" i="2"/>
  <c r="L505" i="2"/>
  <c r="L500" i="2"/>
  <c r="L524" i="2"/>
  <c r="L517" i="2"/>
  <c r="L503" i="2"/>
  <c r="L519" i="2"/>
  <c r="L494" i="2"/>
  <c r="L508" i="2"/>
  <c r="L507" i="2"/>
  <c r="L520" i="2"/>
  <c r="L493" i="2"/>
  <c r="L526" i="2"/>
  <c r="L527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39" i="2"/>
  <c r="L257" i="2"/>
  <c r="L217" i="2"/>
  <c r="L40" i="2"/>
  <c r="L41" i="2"/>
  <c r="L42" i="2"/>
  <c r="L258" i="2"/>
  <c r="L43" i="2"/>
  <c r="L44" i="2"/>
  <c r="L45" i="2"/>
  <c r="L46" i="2"/>
  <c r="L259" i="2"/>
  <c r="L260" i="2"/>
  <c r="L47" i="2"/>
  <c r="L48" i="2"/>
  <c r="L261" i="2"/>
  <c r="L262" i="2"/>
  <c r="L263" i="2"/>
  <c r="L264" i="2"/>
  <c r="L265" i="2"/>
  <c r="L242" i="2"/>
  <c r="L235" i="2"/>
  <c r="L241" i="2"/>
  <c r="L243" i="2"/>
  <c r="L230" i="2"/>
  <c r="L33" i="2"/>
  <c r="L35" i="2"/>
  <c r="L233" i="2"/>
  <c r="L54" i="2"/>
  <c r="L55" i="2"/>
  <c r="L32" i="2"/>
  <c r="L36" i="2"/>
  <c r="L229" i="2"/>
  <c r="L215" i="2"/>
  <c r="L37" i="2"/>
  <c r="L237" i="2"/>
  <c r="L30" i="2"/>
  <c r="L38" i="2"/>
  <c r="L231" i="2"/>
  <c r="L236" i="2"/>
  <c r="L238" i="2"/>
  <c r="L227" i="2"/>
  <c r="L226" i="2"/>
  <c r="L234" i="2"/>
  <c r="L31" i="2"/>
  <c r="L239" i="2"/>
  <c r="L232" i="2"/>
  <c r="L228" i="2"/>
  <c r="L34" i="2"/>
  <c r="L225" i="2"/>
  <c r="L240" i="2"/>
  <c r="L26" i="2"/>
  <c r="L472" i="2"/>
  <c r="L27" i="2"/>
  <c r="L649" i="2"/>
  <c r="L650" i="2"/>
  <c r="L28" i="2"/>
  <c r="L29" i="2"/>
  <c r="L651" i="2"/>
  <c r="L652" i="2"/>
  <c r="L653" i="2"/>
  <c r="L654" i="2"/>
  <c r="L473" i="2"/>
  <c r="L474" i="2"/>
  <c r="L475" i="2"/>
  <c r="L476" i="2"/>
  <c r="L477" i="2"/>
  <c r="L478" i="2"/>
  <c r="L479" i="2"/>
  <c r="L480" i="2"/>
  <c r="L481" i="2"/>
  <c r="L655" i="2"/>
  <c r="L656" i="2"/>
  <c r="L482" i="2"/>
  <c r="L483" i="2"/>
  <c r="L484" i="2"/>
  <c r="L485" i="2"/>
  <c r="L486" i="2"/>
  <c r="L487" i="2"/>
  <c r="L488" i="2"/>
  <c r="L321" i="2"/>
  <c r="L7" i="2"/>
  <c r="L298" i="2"/>
  <c r="L348" i="2"/>
  <c r="L342" i="2"/>
  <c r="L2" i="2"/>
  <c r="L8" i="2"/>
  <c r="L291" i="2"/>
  <c r="L301" i="2"/>
  <c r="L319" i="2"/>
  <c r="L322" i="2"/>
  <c r="L171" i="2"/>
  <c r="L302" i="2"/>
  <c r="L312" i="2"/>
  <c r="L287" i="2"/>
  <c r="L336" i="2"/>
  <c r="L303" i="2"/>
  <c r="L329" i="2"/>
  <c r="L295" i="2"/>
  <c r="L357" i="2"/>
  <c r="L299" i="2"/>
  <c r="L326" i="2"/>
  <c r="L337" i="2"/>
  <c r="L338" i="2"/>
  <c r="L339" i="2"/>
  <c r="L657" i="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2" i="4"/>
  <c r="V51" i="4"/>
  <c r="V43" i="4"/>
  <c r="V40" i="4"/>
  <c r="V39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48" i="4"/>
  <c r="L49" i="4"/>
  <c r="L50" i="4"/>
  <c r="L72" i="4"/>
  <c r="L73" i="4"/>
  <c r="L74" i="4"/>
  <c r="L75" i="4"/>
  <c r="L76" i="4"/>
  <c r="L77" i="4"/>
  <c r="L78" i="4"/>
  <c r="L79" i="4"/>
  <c r="L80" i="4"/>
  <c r="L81" i="4"/>
  <c r="L82" i="4"/>
  <c r="L46" i="4"/>
  <c r="L47" i="4"/>
  <c r="L51" i="4"/>
  <c r="L39" i="4"/>
  <c r="L40" i="4"/>
  <c r="L44" i="4"/>
  <c r="L42" i="4"/>
  <c r="L43" i="4"/>
  <c r="L37" i="4"/>
  <c r="L38" i="4"/>
  <c r="L45" i="4"/>
  <c r="L41" i="4"/>
  <c r="L2" i="4"/>
</calcChain>
</file>

<file path=xl/sharedStrings.xml><?xml version="1.0" encoding="utf-8"?>
<sst xmlns="http://schemas.openxmlformats.org/spreadsheetml/2006/main" count="23373" uniqueCount="1070">
  <si>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</si>
  <si>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</si>
  <si>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</si>
  <si>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</si>
  <si>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</si>
  <si>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</si>
  <si>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</si>
  <si>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</si>
  <si>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</si>
  <si>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</si>
  <si>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</si>
  <si>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</si>
  <si>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</si>
  <si>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</si>
  <si>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</si>
  <si>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</si>
  <si>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</si>
  <si>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</si>
  <si>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</si>
  <si>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</si>
  <si>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</si>
  <si>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</si>
  <si>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</si>
  <si>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</si>
  <si>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</si>
  <si>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</si>
  <si>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</si>
  <si>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</si>
  <si>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</si>
  <si>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</si>
  <si>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</si>
  <si>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</si>
  <si>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</si>
  <si>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</si>
  <si>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</si>
  <si>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</si>
  <si>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</si>
  <si>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</si>
  <si>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</si>
  <si>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</si>
  <si>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</si>
  <si>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</si>
  <si>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</si>
  <si>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</si>
  <si>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</si>
  <si>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</si>
  <si>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</si>
  <si>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</si>
  <si>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</si>
  <si>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MOUNT</t>
  </si>
  <si>
    <t>ROGER</t>
  </si>
  <si>
    <t>Allstate Health Solutions</t>
  </si>
  <si>
    <t>PA</t>
  </si>
  <si>
    <t>Accident</t>
  </si>
  <si>
    <t>TrioMED Accident and CI 14939</t>
  </si>
  <si>
    <t>ROKEN</t>
  </si>
  <si>
    <t>JOHN</t>
  </si>
  <si>
    <t>Active</t>
  </si>
  <si>
    <t xml:space="preserve">Monthly </t>
  </si>
  <si>
    <t>Default</t>
  </si>
  <si>
    <t>FY</t>
  </si>
  <si>
    <t>Y</t>
  </si>
  <si>
    <t>ARPAN</t>
  </si>
  <si>
    <t>JORDAN</t>
  </si>
  <si>
    <t>RICHTER</t>
  </si>
  <si>
    <t>PETER</t>
  </si>
  <si>
    <t>BOJAZI</t>
  </si>
  <si>
    <t>GIANNA</t>
  </si>
  <si>
    <t>STEVENS</t>
  </si>
  <si>
    <t>RAYMOND</t>
  </si>
  <si>
    <t>OR</t>
  </si>
  <si>
    <t>Ancillary</t>
  </si>
  <si>
    <t>Cancer and Heart/Stroke GI 20231</t>
  </si>
  <si>
    <t>Yale</t>
  </si>
  <si>
    <t>Chad</t>
  </si>
  <si>
    <t>RYDGREN</t>
  </si>
  <si>
    <t>STEPHANIE</t>
  </si>
  <si>
    <t>GA</t>
  </si>
  <si>
    <t>Critical Illness w/ Term Life 21677</t>
  </si>
  <si>
    <t>TEIPEL</t>
  </si>
  <si>
    <t>GREGORY</t>
  </si>
  <si>
    <t>BALL</t>
  </si>
  <si>
    <t>KAYLEIGH</t>
  </si>
  <si>
    <t>OH</t>
  </si>
  <si>
    <t>Cancer and Heart/Stroke 20231</t>
  </si>
  <si>
    <t>CALTAGIRONE</t>
  </si>
  <si>
    <t>RYAN</t>
  </si>
  <si>
    <t>SHEPPARD</t>
  </si>
  <si>
    <t>XENDRA</t>
  </si>
  <si>
    <t>KELLEY</t>
  </si>
  <si>
    <t>MARIO</t>
  </si>
  <si>
    <t>Shepard</t>
  </si>
  <si>
    <t>Ryan</t>
  </si>
  <si>
    <t>KOUNELAS</t>
  </si>
  <si>
    <t>ANDREA</t>
  </si>
  <si>
    <t>FL</t>
  </si>
  <si>
    <t>DUVALL</t>
  </si>
  <si>
    <t>ANNA</t>
  </si>
  <si>
    <t>MCCARTNEY</t>
  </si>
  <si>
    <t>LUCAS</t>
  </si>
  <si>
    <t>MO</t>
  </si>
  <si>
    <t>Berthelsen</t>
  </si>
  <si>
    <t>Kevin</t>
  </si>
  <si>
    <t>MARCHI</t>
  </si>
  <si>
    <t>RENEE</t>
  </si>
  <si>
    <t>YALE</t>
  </si>
  <si>
    <t>JACOB</t>
  </si>
  <si>
    <t>CORBETT</t>
  </si>
  <si>
    <t>REBECCA</t>
  </si>
  <si>
    <t>GROSS</t>
  </si>
  <si>
    <t>WALTER</t>
  </si>
  <si>
    <t>MI</t>
  </si>
  <si>
    <t>Allan</t>
  </si>
  <si>
    <t>H</t>
  </si>
  <si>
    <t>DELIMA</t>
  </si>
  <si>
    <t>DOMINIC</t>
  </si>
  <si>
    <t>Richard</t>
  </si>
  <si>
    <t>CAMPOS</t>
  </si>
  <si>
    <t>KRISTIN</t>
  </si>
  <si>
    <t>IL</t>
  </si>
  <si>
    <t>Association</t>
  </si>
  <si>
    <t>Life Association Access</t>
  </si>
  <si>
    <t>LISKOVEC</t>
  </si>
  <si>
    <t>FRANK</t>
  </si>
  <si>
    <t>A6</t>
  </si>
  <si>
    <t>LIFE Association Membership - C 14956 PPO</t>
  </si>
  <si>
    <t>UJIIYE</t>
  </si>
  <si>
    <t>JENNIFER</t>
  </si>
  <si>
    <t>Walenga</t>
  </si>
  <si>
    <t>Dale</t>
  </si>
  <si>
    <t>VALENTINE-PURSEL</t>
  </si>
  <si>
    <t>JULIA</t>
  </si>
  <si>
    <t>Life Association C OH</t>
  </si>
  <si>
    <t>Brandt</t>
  </si>
  <si>
    <t>Steven</t>
  </si>
  <si>
    <t>SEXTON</t>
  </si>
  <si>
    <t>YVETTE</t>
  </si>
  <si>
    <t>Oliver</t>
  </si>
  <si>
    <t>Brittany</t>
  </si>
  <si>
    <t>LEKKAS</t>
  </si>
  <si>
    <t>STEFANOS</t>
  </si>
  <si>
    <t>Life Association Access (GI)</t>
  </si>
  <si>
    <t>HANSFORD</t>
  </si>
  <si>
    <t>PAYNE</t>
  </si>
  <si>
    <t>KAREN</t>
  </si>
  <si>
    <t>KY</t>
  </si>
  <si>
    <t>Dental</t>
  </si>
  <si>
    <t>SELECT DENTAL 29304</t>
  </si>
  <si>
    <t>Byrne</t>
  </si>
  <si>
    <t>Erin</t>
  </si>
  <si>
    <t>LAFONTAINE</t>
  </si>
  <si>
    <t>DANIELLE</t>
  </si>
  <si>
    <t>Lafontaine</t>
  </si>
  <si>
    <t>Danielle</t>
  </si>
  <si>
    <t>PALMER</t>
  </si>
  <si>
    <t>LOGAN</t>
  </si>
  <si>
    <t>BLASSINGALE</t>
  </si>
  <si>
    <t>LISA</t>
  </si>
  <si>
    <t>FOLEY</t>
  </si>
  <si>
    <t>CAROL</t>
  </si>
  <si>
    <t>RICHMEIER</t>
  </si>
  <si>
    <t>MARNE</t>
  </si>
  <si>
    <t>NE</t>
  </si>
  <si>
    <t>BURLEIGH</t>
  </si>
  <si>
    <t>TAMERA</t>
  </si>
  <si>
    <t>AZ</t>
  </si>
  <si>
    <t>Booker</t>
  </si>
  <si>
    <t>Makena</t>
  </si>
  <si>
    <t>SIMO</t>
  </si>
  <si>
    <t>CONRAD</t>
  </si>
  <si>
    <t>OK</t>
  </si>
  <si>
    <t>PARDUE</t>
  </si>
  <si>
    <t>THOMAS</t>
  </si>
  <si>
    <t>Fixed Indemnity</t>
  </si>
  <si>
    <t>Allstate Health Access</t>
  </si>
  <si>
    <t>SCOTT</t>
  </si>
  <si>
    <t>NHIC LM 2021 Hospital Expense Protection U65</t>
  </si>
  <si>
    <t>Allstate Recuro RX Discount Card</t>
  </si>
  <si>
    <t>OLOUGHLIN</t>
  </si>
  <si>
    <t>Rader</t>
  </si>
  <si>
    <t>John</t>
  </si>
  <si>
    <t>Allstate Health Access (GI)</t>
  </si>
  <si>
    <t>Other</t>
  </si>
  <si>
    <t>Plan Enhancer 20214</t>
  </si>
  <si>
    <t>WILLIS</t>
  </si>
  <si>
    <t>LARRY</t>
  </si>
  <si>
    <t>SC</t>
  </si>
  <si>
    <t>BERRY</t>
  </si>
  <si>
    <t>ROBIN</t>
  </si>
  <si>
    <t>Sherman</t>
  </si>
  <si>
    <t>Matthew</t>
  </si>
  <si>
    <t>BALASUNDARAM</t>
  </si>
  <si>
    <t>MADHUSUTHANAN</t>
  </si>
  <si>
    <t>MD</t>
  </si>
  <si>
    <t>Term Life 21673</t>
  </si>
  <si>
    <t>Max</t>
  </si>
  <si>
    <t>Ronald</t>
  </si>
  <si>
    <t>Dental Indemnity 21618</t>
  </si>
  <si>
    <t>GALVIN</t>
  </si>
  <si>
    <t>FRANCIS</t>
  </si>
  <si>
    <t>BALLARD</t>
  </si>
  <si>
    <t>JAYDEN</t>
  </si>
  <si>
    <t>Accident Fixed-Benefit 21044</t>
  </si>
  <si>
    <t>CARON</t>
  </si>
  <si>
    <t>MIRANDA</t>
  </si>
  <si>
    <t>Shulman</t>
  </si>
  <si>
    <t>Jake</t>
  </si>
  <si>
    <t>RUTHERFORD</t>
  </si>
  <si>
    <t>MELISSA</t>
  </si>
  <si>
    <t>IN</t>
  </si>
  <si>
    <t>YAVA</t>
  </si>
  <si>
    <t>JOAO</t>
  </si>
  <si>
    <t>WA</t>
  </si>
  <si>
    <t>JACQUELINA</t>
  </si>
  <si>
    <t>MCCOY</t>
  </si>
  <si>
    <t>OYUNERDENE</t>
  </si>
  <si>
    <t>ZANA</t>
  </si>
  <si>
    <t>NASANDELGER</t>
  </si>
  <si>
    <t>ALBIOS</t>
  </si>
  <si>
    <t>GLENN</t>
  </si>
  <si>
    <t>Short Term Medical</t>
  </si>
  <si>
    <t>NHIC STM PPO All Other States</t>
  </si>
  <si>
    <t>Recuro 2022 OH Single Term</t>
  </si>
  <si>
    <t>NHIC STM 2022 OH Single Term</t>
  </si>
  <si>
    <t>NHIC STM PPO All Other States Renewable</t>
  </si>
  <si>
    <t>A10</t>
  </si>
  <si>
    <t>Recuro PPO All Other States Renewable</t>
  </si>
  <si>
    <t>MICHAEL</t>
  </si>
  <si>
    <t>NHIC STM 2022 IN, UT Renewable</t>
  </si>
  <si>
    <t>Sanderock</t>
  </si>
  <si>
    <t>Marsha</t>
  </si>
  <si>
    <t>A1</t>
  </si>
  <si>
    <t>JOHNSON</t>
  </si>
  <si>
    <t>KENNETH</t>
  </si>
  <si>
    <t>VA</t>
  </si>
  <si>
    <t>TrioMED 15k 15285</t>
  </si>
  <si>
    <t>ADAM</t>
  </si>
  <si>
    <t>Converted</t>
  </si>
  <si>
    <t>RN</t>
  </si>
  <si>
    <t>N</t>
  </si>
  <si>
    <t>STOFKA</t>
  </si>
  <si>
    <t>TODD</t>
  </si>
  <si>
    <t>Chargeback</t>
  </si>
  <si>
    <t>SURRATT</t>
  </si>
  <si>
    <t>RHONDA</t>
  </si>
  <si>
    <t>AL</t>
  </si>
  <si>
    <t>VOLZ</t>
  </si>
  <si>
    <t>NATALIA</t>
  </si>
  <si>
    <t>TrioMED 30k 15307</t>
  </si>
  <si>
    <t>CAMPBELL</t>
  </si>
  <si>
    <t>CHARLES</t>
  </si>
  <si>
    <t>LUDDY</t>
  </si>
  <si>
    <t>SARAH</t>
  </si>
  <si>
    <t>CLOUSE</t>
  </si>
  <si>
    <t>KEVIN</t>
  </si>
  <si>
    <t>WHITLOCK</t>
  </si>
  <si>
    <t>MATTHEW</t>
  </si>
  <si>
    <t>PETTINE</t>
  </si>
  <si>
    <t>GEOFFREY</t>
  </si>
  <si>
    <t>KABEL</t>
  </si>
  <si>
    <t>JOSEPH</t>
  </si>
  <si>
    <t>POWERS</t>
  </si>
  <si>
    <t>TIMOTHY</t>
  </si>
  <si>
    <t>REITENBACH</t>
  </si>
  <si>
    <t>CHELSEA</t>
  </si>
  <si>
    <t>BUCKLEY</t>
  </si>
  <si>
    <t>PATRICIA</t>
  </si>
  <si>
    <t>PONTA</t>
  </si>
  <si>
    <t>JESSE</t>
  </si>
  <si>
    <t>Hess</t>
  </si>
  <si>
    <t>Jennifer</t>
  </si>
  <si>
    <t>PELLECHIA</t>
  </si>
  <si>
    <t>MARY</t>
  </si>
  <si>
    <t>Stocker</t>
  </si>
  <si>
    <t>ANILO</t>
  </si>
  <si>
    <t>DEVITO</t>
  </si>
  <si>
    <t>DANICA</t>
  </si>
  <si>
    <t>WOOD</t>
  </si>
  <si>
    <t>STEFAN</t>
  </si>
  <si>
    <t>ORTEGA</t>
  </si>
  <si>
    <t>CRISTINA</t>
  </si>
  <si>
    <t>WILKINSON</t>
  </si>
  <si>
    <t>HEWITT</t>
  </si>
  <si>
    <t>SABA</t>
  </si>
  <si>
    <t>STANLEY</t>
  </si>
  <si>
    <t>CRYSTAL</t>
  </si>
  <si>
    <t>STAFFORD</t>
  </si>
  <si>
    <t>SUSAN</t>
  </si>
  <si>
    <t>CARY</t>
  </si>
  <si>
    <t>KATHLEEN</t>
  </si>
  <si>
    <t>CARPENTIER</t>
  </si>
  <si>
    <t>BASIA</t>
  </si>
  <si>
    <t>TX</t>
  </si>
  <si>
    <t>Evenson</t>
  </si>
  <si>
    <t>Kara</t>
  </si>
  <si>
    <t>STANTON</t>
  </si>
  <si>
    <t>CHASE</t>
  </si>
  <si>
    <t>JEROUSEK</t>
  </si>
  <si>
    <t>DENISE</t>
  </si>
  <si>
    <t>SUAREZ</t>
  </si>
  <si>
    <t>LIUV</t>
  </si>
  <si>
    <t>PHILLIPS</t>
  </si>
  <si>
    <t>ROWELL</t>
  </si>
  <si>
    <t>HARDIE</t>
  </si>
  <si>
    <t>MERIWTHER</t>
  </si>
  <si>
    <t>CO</t>
  </si>
  <si>
    <t>GESKE</t>
  </si>
  <si>
    <t>WILLIAM</t>
  </si>
  <si>
    <t>HINTZICKER</t>
  </si>
  <si>
    <t>Cancer and Heart/Stroke 20231 CO-FL-MN-MI</t>
  </si>
  <si>
    <t>DOBSCH</t>
  </si>
  <si>
    <t>CARRIE</t>
  </si>
  <si>
    <t>Geske</t>
  </si>
  <si>
    <t>Heather</t>
  </si>
  <si>
    <t>FELOSA</t>
  </si>
  <si>
    <t>DAWN</t>
  </si>
  <si>
    <t>BRORMAN</t>
  </si>
  <si>
    <t>SHEILA</t>
  </si>
  <si>
    <t>CARROLL</t>
  </si>
  <si>
    <t>CLEAVE</t>
  </si>
  <si>
    <t>MADELYN</t>
  </si>
  <si>
    <t>PETRUNGARO</t>
  </si>
  <si>
    <t>WALENGA</t>
  </si>
  <si>
    <t>DALE</t>
  </si>
  <si>
    <t>SHELLEY</t>
  </si>
  <si>
    <t>MITCHELL</t>
  </si>
  <si>
    <t>PAMELA</t>
  </si>
  <si>
    <t>WI</t>
  </si>
  <si>
    <t>TAUGNER</t>
  </si>
  <si>
    <t>CHRISTIAN</t>
  </si>
  <si>
    <t>SINGH</t>
  </si>
  <si>
    <t>JUANITA</t>
  </si>
  <si>
    <t>Schumann</t>
  </si>
  <si>
    <t>Barry</t>
  </si>
  <si>
    <t>WRING</t>
  </si>
  <si>
    <t>DAVID</t>
  </si>
  <si>
    <t>FUENTES</t>
  </si>
  <si>
    <t>VICTOR</t>
  </si>
  <si>
    <t>SANDRA</t>
  </si>
  <si>
    <t>LA</t>
  </si>
  <si>
    <t>MCKEE</t>
  </si>
  <si>
    <t>JILL</t>
  </si>
  <si>
    <t>IA</t>
  </si>
  <si>
    <t>DEUSER</t>
  </si>
  <si>
    <t>Abdul</t>
  </si>
  <si>
    <t>Saadia</t>
  </si>
  <si>
    <t>MARTINEZ</t>
  </si>
  <si>
    <t>URIEL</t>
  </si>
  <si>
    <t>DUNCAN</t>
  </si>
  <si>
    <t>STEPHEN</t>
  </si>
  <si>
    <t>STALLKAMP</t>
  </si>
  <si>
    <t>EDELENBOS</t>
  </si>
  <si>
    <t>URSULA</t>
  </si>
  <si>
    <t>TROUT</t>
  </si>
  <si>
    <t>JASON</t>
  </si>
  <si>
    <t>GIANG</t>
  </si>
  <si>
    <t>THUHA</t>
  </si>
  <si>
    <t>THOMPSON</t>
  </si>
  <si>
    <t>LATONYS</t>
  </si>
  <si>
    <t>BARNES</t>
  </si>
  <si>
    <t>KAI</t>
  </si>
  <si>
    <t>LEWIS</t>
  </si>
  <si>
    <t>JAMES</t>
  </si>
  <si>
    <t>ELMAN</t>
  </si>
  <si>
    <t>STUART</t>
  </si>
  <si>
    <t>DECKARD</t>
  </si>
  <si>
    <t>ROTILI</t>
  </si>
  <si>
    <t>RANDALL</t>
  </si>
  <si>
    <t>JA'NET</t>
  </si>
  <si>
    <t>HERRERA</t>
  </si>
  <si>
    <t>JOSE</t>
  </si>
  <si>
    <t>ROSENBERG</t>
  </si>
  <si>
    <t>RACHEL</t>
  </si>
  <si>
    <t>BOSSOV</t>
  </si>
  <si>
    <t>PASHE</t>
  </si>
  <si>
    <t>FREDRIC</t>
  </si>
  <si>
    <t>DUNMIRE</t>
  </si>
  <si>
    <t>CHARLIE</t>
  </si>
  <si>
    <t>TEREZA</t>
  </si>
  <si>
    <t>VELMS</t>
  </si>
  <si>
    <t>COLEEN</t>
  </si>
  <si>
    <t>CARLSON</t>
  </si>
  <si>
    <t>HAMLIN</t>
  </si>
  <si>
    <t>TREVOR</t>
  </si>
  <si>
    <t>RESURRECCION</t>
  </si>
  <si>
    <t>Choi</t>
  </si>
  <si>
    <t>Andrew</t>
  </si>
  <si>
    <t>BOHNE</t>
  </si>
  <si>
    <t>SYDNEY</t>
  </si>
  <si>
    <t>PLAYER</t>
  </si>
  <si>
    <t>LENA</t>
  </si>
  <si>
    <t>KUCHAR</t>
  </si>
  <si>
    <t>NICOLE</t>
  </si>
  <si>
    <t>THRIFT</t>
  </si>
  <si>
    <t>CARVALHO</t>
  </si>
  <si>
    <t>BERNARDO</t>
  </si>
  <si>
    <t>TOGMID</t>
  </si>
  <si>
    <t>BATTSENGEL</t>
  </si>
  <si>
    <t>MARTIN</t>
  </si>
  <si>
    <t>KELLI</t>
  </si>
  <si>
    <t>OCHIR</t>
  </si>
  <si>
    <t>MUNKHSAIKHAN</t>
  </si>
  <si>
    <t>ENKHTUR</t>
  </si>
  <si>
    <t>ODMAA</t>
  </si>
  <si>
    <t>PANGAN</t>
  </si>
  <si>
    <t>GLORIA</t>
  </si>
  <si>
    <t>BRENNER</t>
  </si>
  <si>
    <t>BARRY</t>
  </si>
  <si>
    <t>CARLTON</t>
  </si>
  <si>
    <t>TAMMY</t>
  </si>
  <si>
    <t>KS</t>
  </si>
  <si>
    <t>KEGHAN</t>
  </si>
  <si>
    <t>PRUNCZAK</t>
  </si>
  <si>
    <t>ROMAN</t>
  </si>
  <si>
    <t>PORTUGAL</t>
  </si>
  <si>
    <t>GARY</t>
  </si>
  <si>
    <t>DUREN</t>
  </si>
  <si>
    <t>PAUL</t>
  </si>
  <si>
    <t>YOUNG</t>
  </si>
  <si>
    <t>KINYUA</t>
  </si>
  <si>
    <t>JARED</t>
  </si>
  <si>
    <t>HERRERA-LARSEN</t>
  </si>
  <si>
    <t>ESTHER</t>
  </si>
  <si>
    <t>STOCKTON</t>
  </si>
  <si>
    <t>ALEXANDRA</t>
  </si>
  <si>
    <t>KIMBRUE</t>
  </si>
  <si>
    <t>WALKER</t>
  </si>
  <si>
    <t>ELDON</t>
  </si>
  <si>
    <t>MCCALL</t>
  </si>
  <si>
    <t>CARSON</t>
  </si>
  <si>
    <t>JACKSON</t>
  </si>
  <si>
    <t>DOWDY</t>
  </si>
  <si>
    <t>BATTULGA</t>
  </si>
  <si>
    <t>KHUNSHAGAI</t>
  </si>
  <si>
    <t>LARSEN</t>
  </si>
  <si>
    <t>BLAKE</t>
  </si>
  <si>
    <t>DIXON</t>
  </si>
  <si>
    <t>CHAD</t>
  </si>
  <si>
    <t>DE</t>
  </si>
  <si>
    <t>DINH</t>
  </si>
  <si>
    <t>THI</t>
  </si>
  <si>
    <t>SLIFKA</t>
  </si>
  <si>
    <t>KEE</t>
  </si>
  <si>
    <t>LESLIE</t>
  </si>
  <si>
    <t>Brousseau</t>
  </si>
  <si>
    <t>Christopher</t>
  </si>
  <si>
    <t>DANIEL</t>
  </si>
  <si>
    <t>NORA</t>
  </si>
  <si>
    <t>II</t>
  </si>
  <si>
    <t>COOPER</t>
  </si>
  <si>
    <t>CORAL</t>
  </si>
  <si>
    <t>BURI</t>
  </si>
  <si>
    <t>ELIZABETH</t>
  </si>
  <si>
    <t>STAMPER</t>
  </si>
  <si>
    <t>HOLLY</t>
  </si>
  <si>
    <t>PARKER</t>
  </si>
  <si>
    <t>WAYNE</t>
  </si>
  <si>
    <t>Powers</t>
  </si>
  <si>
    <t>PANTEL</t>
  </si>
  <si>
    <t>GAGE</t>
  </si>
  <si>
    <t>PATTEN</t>
  </si>
  <si>
    <t>NINO</t>
  </si>
  <si>
    <t>FUENTES-DIETSCH</t>
  </si>
  <si>
    <t>OLIVIA</t>
  </si>
  <si>
    <t>WEBSTER</t>
  </si>
  <si>
    <t>Tigue</t>
  </si>
  <si>
    <t>Kirk</t>
  </si>
  <si>
    <t>SCHNEIDERMAN</t>
  </si>
  <si>
    <t>JODY</t>
  </si>
  <si>
    <t>MAKSIMOWICZ</t>
  </si>
  <si>
    <t>IZABELA</t>
  </si>
  <si>
    <t>FARIA</t>
  </si>
  <si>
    <t>MARIELLE</t>
  </si>
  <si>
    <t>Allen</t>
  </si>
  <si>
    <t>James</t>
  </si>
  <si>
    <t>DORJKHAND</t>
  </si>
  <si>
    <t>TSENGELMAA</t>
  </si>
  <si>
    <t>KATHERINE</t>
  </si>
  <si>
    <t>FLATT</t>
  </si>
  <si>
    <t>AMBER</t>
  </si>
  <si>
    <t>GANBOLD</t>
  </si>
  <si>
    <t>OYUNTSETSEG</t>
  </si>
  <si>
    <t>FEEMSTER</t>
  </si>
  <si>
    <t>CHRISTOPHER</t>
  </si>
  <si>
    <t>PALAZZO</t>
  </si>
  <si>
    <t>TERRIE</t>
  </si>
  <si>
    <t>Hodgman</t>
  </si>
  <si>
    <t>Timothy</t>
  </si>
  <si>
    <t>JENSEN</t>
  </si>
  <si>
    <t>JULIE</t>
  </si>
  <si>
    <t>TUMENBAYAR</t>
  </si>
  <si>
    <t>BATTSETSEG</t>
  </si>
  <si>
    <t>HODGMAN</t>
  </si>
  <si>
    <t>TOBIAS</t>
  </si>
  <si>
    <t>ROBERT</t>
  </si>
  <si>
    <t>SANTOS</t>
  </si>
  <si>
    <t>RICARDO</t>
  </si>
  <si>
    <t>Accident Fixed Benefit</t>
  </si>
  <si>
    <t>ACHIMAS</t>
  </si>
  <si>
    <t>GIBSON</t>
  </si>
  <si>
    <t>STACIE</t>
  </si>
  <si>
    <t>LOVING</t>
  </si>
  <si>
    <t>Solivan</t>
  </si>
  <si>
    <t>Erica</t>
  </si>
  <si>
    <t>CHULUUNBAT</t>
  </si>
  <si>
    <t>MUNKHJARGAL</t>
  </si>
  <si>
    <t>HTOO</t>
  </si>
  <si>
    <t>THANADABOUTH</t>
  </si>
  <si>
    <t>PATSAMON</t>
  </si>
  <si>
    <t>ANDERSON</t>
  </si>
  <si>
    <t>Lee</t>
  </si>
  <si>
    <t>Joel</t>
  </si>
  <si>
    <t>PITTMAN</t>
  </si>
  <si>
    <t>AMY</t>
  </si>
  <si>
    <t>Berg</t>
  </si>
  <si>
    <t>Ines</t>
  </si>
  <si>
    <t>SOTIRI</t>
  </si>
  <si>
    <t>RISTAN</t>
  </si>
  <si>
    <t>KNOTTS</t>
  </si>
  <si>
    <t>GEORGE</t>
  </si>
  <si>
    <t>ITURBE</t>
  </si>
  <si>
    <t>TORRES</t>
  </si>
  <si>
    <t>ORT</t>
  </si>
  <si>
    <t>NC</t>
  </si>
  <si>
    <t>NYAMJAV</t>
  </si>
  <si>
    <t>ENKHJARGAL</t>
  </si>
  <si>
    <t>ENKHBOLD</t>
  </si>
  <si>
    <t>EMUJIN</t>
  </si>
  <si>
    <t>OCHOA</t>
  </si>
  <si>
    <t>LUCINDA</t>
  </si>
  <si>
    <t>LILIENTHAL</t>
  </si>
  <si>
    <t>Jerger</t>
  </si>
  <si>
    <t>Colleen</t>
  </si>
  <si>
    <t>GREEN</t>
  </si>
  <si>
    <t>EMILY</t>
  </si>
  <si>
    <t>WHITE</t>
  </si>
  <si>
    <t>STROUP</t>
  </si>
  <si>
    <t>PEYTTON</t>
  </si>
  <si>
    <t>BROWN</t>
  </si>
  <si>
    <t>NATHAN</t>
  </si>
  <si>
    <t>WILLAMS</t>
  </si>
  <si>
    <t>DWAYNE</t>
  </si>
  <si>
    <t>GWALTNEY</t>
  </si>
  <si>
    <t>DESIREE</t>
  </si>
  <si>
    <t>Adcock</t>
  </si>
  <si>
    <t>Robert</t>
  </si>
  <si>
    <t>PADILLA</t>
  </si>
  <si>
    <t>DESEREE</t>
  </si>
  <si>
    <t>VURA</t>
  </si>
  <si>
    <t>LAURA</t>
  </si>
  <si>
    <t>REDDING</t>
  </si>
  <si>
    <t>CHERYL</t>
  </si>
  <si>
    <t>MATHEW</t>
  </si>
  <si>
    <t>BERTUCCI</t>
  </si>
  <si>
    <t>DOROTHY</t>
  </si>
  <si>
    <t>AGUGLIA</t>
  </si>
  <si>
    <t>AUGUSTIN</t>
  </si>
  <si>
    <t>SANDLINE</t>
  </si>
  <si>
    <t>GIGLIO</t>
  </si>
  <si>
    <t>CHRIS</t>
  </si>
  <si>
    <t>CORTHRON</t>
  </si>
  <si>
    <t>KORI</t>
  </si>
  <si>
    <t>Karns</t>
  </si>
  <si>
    <t>SCHAENZER</t>
  </si>
  <si>
    <t>ERIC</t>
  </si>
  <si>
    <t>TSERENGOMBO</t>
  </si>
  <si>
    <t>BOLORMAA</t>
  </si>
  <si>
    <t>MYAGMARSUREN</t>
  </si>
  <si>
    <t>SELENGE</t>
  </si>
  <si>
    <t>CAMPAGNA</t>
  </si>
  <si>
    <t>KRISTINA</t>
  </si>
  <si>
    <t>STOZEK</t>
  </si>
  <si>
    <t>JOANNA</t>
  </si>
  <si>
    <t>KENAH</t>
  </si>
  <si>
    <t>FRANKLINE</t>
  </si>
  <si>
    <t>MATTINGLY</t>
  </si>
  <si>
    <t>NEEDLE</t>
  </si>
  <si>
    <t>CROCKER</t>
  </si>
  <si>
    <t>AUBREY</t>
  </si>
  <si>
    <t>CATHERINE</t>
  </si>
  <si>
    <t>SWENSON</t>
  </si>
  <si>
    <t>KATHRYN</t>
  </si>
  <si>
    <t>NICASTRO</t>
  </si>
  <si>
    <t>CHESTANG</t>
  </si>
  <si>
    <t>ASHLEY</t>
  </si>
  <si>
    <t>MS</t>
  </si>
  <si>
    <t>DAVIS</t>
  </si>
  <si>
    <t>GORMAN</t>
  </si>
  <si>
    <t>BRIDGET</t>
  </si>
  <si>
    <t>TENZINGER</t>
  </si>
  <si>
    <t>DIANE</t>
  </si>
  <si>
    <t>GUERRA</t>
  </si>
  <si>
    <t>MARICEL</t>
  </si>
  <si>
    <t>BAUNE</t>
  </si>
  <si>
    <t>WADE</t>
  </si>
  <si>
    <t>Cheregi</t>
  </si>
  <si>
    <t>Raluca</t>
  </si>
  <si>
    <t>REYNA</t>
  </si>
  <si>
    <t>MARIA</t>
  </si>
  <si>
    <t>SALL</t>
  </si>
  <si>
    <t>AWA</t>
  </si>
  <si>
    <t>CASTILLO</t>
  </si>
  <si>
    <t>KOREY</t>
  </si>
  <si>
    <t>PETERS</t>
  </si>
  <si>
    <t>GREENWELL</t>
  </si>
  <si>
    <t>JUSTIN</t>
  </si>
  <si>
    <t>TILLEY</t>
  </si>
  <si>
    <t>ANGELA</t>
  </si>
  <si>
    <t>REEVES</t>
  </si>
  <si>
    <t>TAYLOR</t>
  </si>
  <si>
    <t>SANDOVAL</t>
  </si>
  <si>
    <t>NIKKI</t>
  </si>
  <si>
    <t>CULTON</t>
  </si>
  <si>
    <t>CARLA</t>
  </si>
  <si>
    <t>WILLIE</t>
  </si>
  <si>
    <t>MERISSA</t>
  </si>
  <si>
    <t>STAVLAS</t>
  </si>
  <si>
    <t>BACHVAROV</t>
  </si>
  <si>
    <t>VALENTIN</t>
  </si>
  <si>
    <t>DAUGHERTY</t>
  </si>
  <si>
    <t>SMITH</t>
  </si>
  <si>
    <t>FELICIA</t>
  </si>
  <si>
    <t>ORR</t>
  </si>
  <si>
    <t>CASEY</t>
  </si>
  <si>
    <t>AK</t>
  </si>
  <si>
    <t>THIBEAU</t>
  </si>
  <si>
    <t>DANE'T</t>
  </si>
  <si>
    <t>LINTOW</t>
  </si>
  <si>
    <t>TANYA</t>
  </si>
  <si>
    <t>WATSON</t>
  </si>
  <si>
    <t>ANDREW</t>
  </si>
  <si>
    <t>LUNDGREN</t>
  </si>
  <si>
    <t>JORDIS</t>
  </si>
  <si>
    <t>RUIZ-TOVAR</t>
  </si>
  <si>
    <t>MAURICIO</t>
  </si>
  <si>
    <t>RUFF</t>
  </si>
  <si>
    <t>CEZAR</t>
  </si>
  <si>
    <t>BENITEZ</t>
  </si>
  <si>
    <t>JOAN</t>
  </si>
  <si>
    <t>HINTON</t>
  </si>
  <si>
    <t>EMMALINE</t>
  </si>
  <si>
    <t>GARRETT</t>
  </si>
  <si>
    <t>TONIA</t>
  </si>
  <si>
    <t>MERRELL</t>
  </si>
  <si>
    <t>EDDIE</t>
  </si>
  <si>
    <t>KEENE</t>
  </si>
  <si>
    <t>JOE</t>
  </si>
  <si>
    <t>DIDONNE</t>
  </si>
  <si>
    <t>RIVERA</t>
  </si>
  <si>
    <t>AMLIZ</t>
  </si>
  <si>
    <t>SAVANNAH</t>
  </si>
  <si>
    <t>Green</t>
  </si>
  <si>
    <t>Danna</t>
  </si>
  <si>
    <t>SHALABY</t>
  </si>
  <si>
    <t>DINA</t>
  </si>
  <si>
    <t>Sorrentino</t>
  </si>
  <si>
    <t>Wendy</t>
  </si>
  <si>
    <t>OLAGUE</t>
  </si>
  <si>
    <t>BEAVERS</t>
  </si>
  <si>
    <t>CHARISSA</t>
  </si>
  <si>
    <t>MILLER</t>
  </si>
  <si>
    <t>BARBARA</t>
  </si>
  <si>
    <t>ISBELL</t>
  </si>
  <si>
    <t>KANDICE</t>
  </si>
  <si>
    <t>SPERLING</t>
  </si>
  <si>
    <t>MURLEY</t>
  </si>
  <si>
    <t>KRISTEN</t>
  </si>
  <si>
    <t>DOBELBOWER</t>
  </si>
  <si>
    <t>TYLER</t>
  </si>
  <si>
    <t>BROUSSARD</t>
  </si>
  <si>
    <t>DAIMAN</t>
  </si>
  <si>
    <t>RAY</t>
  </si>
  <si>
    <t>TRENT</t>
  </si>
  <si>
    <t>MORRELL</t>
  </si>
  <si>
    <t>ABEL</t>
  </si>
  <si>
    <t>KILEY</t>
  </si>
  <si>
    <t>RAMOS</t>
  </si>
  <si>
    <t>MONALISA</t>
  </si>
  <si>
    <t>DIANA</t>
  </si>
  <si>
    <t>KENNEDY</t>
  </si>
  <si>
    <t>ELLIOTT</t>
  </si>
  <si>
    <t>TN</t>
  </si>
  <si>
    <t>DYBEL</t>
  </si>
  <si>
    <t>TITUS</t>
  </si>
  <si>
    <t>CASTELLANOS</t>
  </si>
  <si>
    <t>AXEL</t>
  </si>
  <si>
    <t>FLORES</t>
  </si>
  <si>
    <t>VERONICA</t>
  </si>
  <si>
    <t>GRANDSTAFF</t>
  </si>
  <si>
    <t>KETURAH</t>
  </si>
  <si>
    <t>TIFFINEE</t>
  </si>
  <si>
    <t>GAITHER</t>
  </si>
  <si>
    <t>DAKOTA</t>
  </si>
  <si>
    <t>YARBOROUGH</t>
  </si>
  <si>
    <t>MARK</t>
  </si>
  <si>
    <t>WILKERSON</t>
  </si>
  <si>
    <t>CA</t>
  </si>
  <si>
    <t>LINDLE</t>
  </si>
  <si>
    <t>DREW</t>
  </si>
  <si>
    <t>HEINE</t>
  </si>
  <si>
    <t>Heidi</t>
  </si>
  <si>
    <t>MCGURKIN</t>
  </si>
  <si>
    <t>GAYDE</t>
  </si>
  <si>
    <t>DERIC</t>
  </si>
  <si>
    <t>KELLY</t>
  </si>
  <si>
    <t>MAXWELL</t>
  </si>
  <si>
    <t>NANCY</t>
  </si>
  <si>
    <t>SILVA</t>
  </si>
  <si>
    <t>DOMINIQUE</t>
  </si>
  <si>
    <t>STINNETT</t>
  </si>
  <si>
    <t>JENNY</t>
  </si>
  <si>
    <t>ADAMS</t>
  </si>
  <si>
    <t>NICK</t>
  </si>
  <si>
    <t>DOWNEY</t>
  </si>
  <si>
    <t>UT</t>
  </si>
  <si>
    <t>SHADDOCK</t>
  </si>
  <si>
    <t>JEFFERY</t>
  </si>
  <si>
    <t>CULLOP</t>
  </si>
  <si>
    <t>ZAMIR</t>
  </si>
  <si>
    <t>Ubiera</t>
  </si>
  <si>
    <t>SADDLER</t>
  </si>
  <si>
    <t>VANITA</t>
  </si>
  <si>
    <t>Saddler</t>
  </si>
  <si>
    <t>Vanita</t>
  </si>
  <si>
    <t>JR</t>
  </si>
  <si>
    <t>GRANDBOUCHE</t>
  </si>
  <si>
    <t>HARVEY</t>
  </si>
  <si>
    <t>EDWIN</t>
  </si>
  <si>
    <t>Kim</t>
  </si>
  <si>
    <t>Alexander</t>
  </si>
  <si>
    <t>MUKHIN</t>
  </si>
  <si>
    <t>TATYANA</t>
  </si>
  <si>
    <t>MUNOZ</t>
  </si>
  <si>
    <t>STROHMAN</t>
  </si>
  <si>
    <t>BRIAN</t>
  </si>
  <si>
    <t>BERNARD</t>
  </si>
  <si>
    <t>MEGAN</t>
  </si>
  <si>
    <t>FUNK</t>
  </si>
  <si>
    <t>CHRISTINE</t>
  </si>
  <si>
    <t>MCBRIDE</t>
  </si>
  <si>
    <t>TIFFANY</t>
  </si>
  <si>
    <t>BALDWIN</t>
  </si>
  <si>
    <t>REDFORD</t>
  </si>
  <si>
    <t>ANITA</t>
  </si>
  <si>
    <t>HERNANDEZ</t>
  </si>
  <si>
    <t>MANUEL</t>
  </si>
  <si>
    <t>CRAIG</t>
  </si>
  <si>
    <t>BLANKENSHIP</t>
  </si>
  <si>
    <t>SANBORN</t>
  </si>
  <si>
    <t>BOLZ</t>
  </si>
  <si>
    <t>WILLIAMS</t>
  </si>
  <si>
    <t>EMELYN</t>
  </si>
  <si>
    <t>KENNEY</t>
  </si>
  <si>
    <t>DYLAN</t>
  </si>
  <si>
    <t>WILSON</t>
  </si>
  <si>
    <t>BELINDA</t>
  </si>
  <si>
    <t>TETI</t>
  </si>
  <si>
    <t>MIKE</t>
  </si>
  <si>
    <t>ELSWICK</t>
  </si>
  <si>
    <t>As Earned</t>
  </si>
  <si>
    <t>BRITT</t>
  </si>
  <si>
    <t>LANDON</t>
  </si>
  <si>
    <t>FINNIGAN</t>
  </si>
  <si>
    <t>COLLEEN</t>
  </si>
  <si>
    <t>NHIC STM 2022 IN Renewable</t>
  </si>
  <si>
    <t>BERTSCH</t>
  </si>
  <si>
    <t>MAKENNA</t>
  </si>
  <si>
    <t>ANDY</t>
  </si>
  <si>
    <t>RIDER</t>
  </si>
  <si>
    <t>Lytle</t>
  </si>
  <si>
    <t>Dominic</t>
  </si>
  <si>
    <t>Recuro CO-CT-IA-KS-MD-MO-ND-OR-SD</t>
  </si>
  <si>
    <t>A3</t>
  </si>
  <si>
    <t>SCHNEIDER</t>
  </si>
  <si>
    <t>JEANETTE</t>
  </si>
  <si>
    <t>INSKIPT</t>
  </si>
  <si>
    <t>DEBORAH</t>
  </si>
  <si>
    <t>NHIC STM 2022 IN, UT Single Term</t>
  </si>
  <si>
    <t>Recuro PPO All Other States</t>
  </si>
  <si>
    <t>JANICE</t>
  </si>
  <si>
    <t>National General STM CO-CT-IA-KS-MD-MO-ND-OR-SD</t>
  </si>
  <si>
    <t>Recuro PPO UT</t>
  </si>
  <si>
    <t>BRANDON</t>
  </si>
  <si>
    <t>BARTON</t>
  </si>
  <si>
    <t>TRACI</t>
  </si>
  <si>
    <t>Supplement</t>
  </si>
  <si>
    <t>NHIC Dental 2020 DVH 65+</t>
  </si>
  <si>
    <t>CARRYER</t>
  </si>
  <si>
    <t>MOMEYER</t>
  </si>
  <si>
    <t>RIDING</t>
  </si>
  <si>
    <t>HADDAD</t>
  </si>
  <si>
    <t>KOZACHECK</t>
  </si>
  <si>
    <t>ANNE MARIE</t>
  </si>
  <si>
    <t>GOTTLIEB</t>
  </si>
  <si>
    <t>SHIRLEY</t>
  </si>
  <si>
    <t>Jill</t>
  </si>
  <si>
    <t>FROST</t>
  </si>
  <si>
    <t>CBK</t>
  </si>
  <si>
    <t>FUSHI</t>
  </si>
  <si>
    <t>LAWVER</t>
  </si>
  <si>
    <t>SHAWN</t>
  </si>
  <si>
    <t>GOOD</t>
  </si>
  <si>
    <t>MENDOZA</t>
  </si>
  <si>
    <t>MARLENE</t>
  </si>
  <si>
    <t>OAKMAN</t>
  </si>
  <si>
    <t>SHOCKLEY</t>
  </si>
  <si>
    <t>CONNIE</t>
  </si>
  <si>
    <t>DUSTIN</t>
  </si>
  <si>
    <t>BIBA</t>
  </si>
  <si>
    <t>MURPHREE</t>
  </si>
  <si>
    <t>KENLEE</t>
  </si>
  <si>
    <t>LIFE Association Membership - C 14956 LM</t>
  </si>
  <si>
    <t>JARROD</t>
  </si>
  <si>
    <t>ROBERTS</t>
  </si>
  <si>
    <t>TORI</t>
  </si>
  <si>
    <t>KREITMAN</t>
  </si>
  <si>
    <t>LEONARD</t>
  </si>
  <si>
    <t>Life Association C IN</t>
  </si>
  <si>
    <t>LEUBBERS</t>
  </si>
  <si>
    <t>TOMPKINS</t>
  </si>
  <si>
    <t>TIRION</t>
  </si>
  <si>
    <t>ENGELSKIRCH</t>
  </si>
  <si>
    <t>MICHELLE</t>
  </si>
  <si>
    <t>RENGGLI</t>
  </si>
  <si>
    <t>O'BRIEN</t>
  </si>
  <si>
    <t>Allstate Health Cancer Only 5035</t>
  </si>
  <si>
    <t>KATZ</t>
  </si>
  <si>
    <t>URANIA</t>
  </si>
  <si>
    <t>BROW</t>
  </si>
  <si>
    <t>JINAYA</t>
  </si>
  <si>
    <t>WINTERFIELD</t>
  </si>
  <si>
    <t>DVORAK</t>
  </si>
  <si>
    <t>HICKS</t>
  </si>
  <si>
    <t>JOHNTU</t>
  </si>
  <si>
    <t>ROSS</t>
  </si>
  <si>
    <t>JEANNIE</t>
  </si>
  <si>
    <t>SPURLOCK</t>
  </si>
  <si>
    <t>LEILANI</t>
  </si>
  <si>
    <t>DUNNAGAN</t>
  </si>
  <si>
    <t>TORO</t>
  </si>
  <si>
    <t>ERMELINDA</t>
  </si>
  <si>
    <t>MCTEAR</t>
  </si>
  <si>
    <t>JULIAN</t>
  </si>
  <si>
    <t>GALLARELLO</t>
  </si>
  <si>
    <t>MARYANN</t>
  </si>
  <si>
    <t>NV</t>
  </si>
  <si>
    <t>NOVAC</t>
  </si>
  <si>
    <t>GYORGYI</t>
  </si>
  <si>
    <t>LOREDO</t>
  </si>
  <si>
    <t>JOEL</t>
  </si>
  <si>
    <t>RICHARD</t>
  </si>
  <si>
    <t>BEVERIDGE</t>
  </si>
  <si>
    <t>HUNTER</t>
  </si>
  <si>
    <t>CRISTIAN</t>
  </si>
  <si>
    <t>SMITHSON</t>
  </si>
  <si>
    <t>KIMBERLY</t>
  </si>
  <si>
    <t>BIRCH</t>
  </si>
  <si>
    <t>GUTIERREZ</t>
  </si>
  <si>
    <t>MAGDALENA</t>
  </si>
  <si>
    <t>NHIC Specified Care Association</t>
  </si>
  <si>
    <t>Hunsberger</t>
  </si>
  <si>
    <t>Anthony</t>
  </si>
  <si>
    <t>NICHOLAS</t>
  </si>
  <si>
    <t>RISING</t>
  </si>
  <si>
    <t>DIGREGORIO</t>
  </si>
  <si>
    <t>ARTHUR</t>
  </si>
  <si>
    <t>KATELENN</t>
  </si>
  <si>
    <t>FRISHKORN</t>
  </si>
  <si>
    <t>BRITTANY</t>
  </si>
  <si>
    <t>PISTORIUS</t>
  </si>
  <si>
    <t>SCHAAL</t>
  </si>
  <si>
    <t>CHANTAL</t>
  </si>
  <si>
    <t>STANIECH</t>
  </si>
  <si>
    <t>SHANNON</t>
  </si>
  <si>
    <t>SHIPP</t>
  </si>
  <si>
    <t>DONNA</t>
  </si>
  <si>
    <t>KAPANGA</t>
  </si>
  <si>
    <t>SEAN</t>
  </si>
  <si>
    <t>JENNINGS</t>
  </si>
  <si>
    <t>TREFTZ</t>
  </si>
  <si>
    <t>MOREAU</t>
  </si>
  <si>
    <t>MASON</t>
  </si>
  <si>
    <t>HUSSAIN</t>
  </si>
  <si>
    <t>NIDA</t>
  </si>
  <si>
    <t>MACCARELLI</t>
  </si>
  <si>
    <t>VINCE</t>
  </si>
  <si>
    <t>MOUGHALIAN</t>
  </si>
  <si>
    <t>LIBERATORE</t>
  </si>
  <si>
    <t>MICHELE</t>
  </si>
  <si>
    <t>GALLOWAY</t>
  </si>
  <si>
    <t>WESCOTT</t>
  </si>
  <si>
    <t>JAMIE</t>
  </si>
  <si>
    <t>KARAS</t>
  </si>
  <si>
    <t>BARTLOMIEJ</t>
  </si>
  <si>
    <t>CHIMEDTSEREN</t>
  </si>
  <si>
    <t>AMARJARGAL</t>
  </si>
  <si>
    <t>JONES</t>
  </si>
  <si>
    <t>COKISHA</t>
  </si>
  <si>
    <t>ZAVERI</t>
  </si>
  <si>
    <t>RAJIV</t>
  </si>
  <si>
    <t>SHEFFIELD</t>
  </si>
  <si>
    <t>KLAY</t>
  </si>
  <si>
    <t>EICK</t>
  </si>
  <si>
    <t>DARRIN</t>
  </si>
  <si>
    <t>HERMAN</t>
  </si>
  <si>
    <t>LOPEZ</t>
  </si>
  <si>
    <t>BEN</t>
  </si>
  <si>
    <t>ANDRES</t>
  </si>
  <si>
    <t>TOPEL</t>
  </si>
  <si>
    <t>IVY</t>
  </si>
  <si>
    <t>MOURILLON</t>
  </si>
  <si>
    <t>LEVIN</t>
  </si>
  <si>
    <t>MERRY</t>
  </si>
  <si>
    <t>MONBRUM</t>
  </si>
  <si>
    <t>KESTLER</t>
  </si>
  <si>
    <t>APRIL</t>
  </si>
  <si>
    <t>Dionesotes</t>
  </si>
  <si>
    <t>Noah</t>
  </si>
  <si>
    <t>HARTIGAN</t>
  </si>
  <si>
    <t>BRAYDEN</t>
  </si>
  <si>
    <t>PRADZIAD</t>
  </si>
  <si>
    <t>Weitzman</t>
  </si>
  <si>
    <t>Kenneth</t>
  </si>
  <si>
    <t>NGUM</t>
  </si>
  <si>
    <t>MARGARET</t>
  </si>
  <si>
    <t>GARETH</t>
  </si>
  <si>
    <t>DELBOSQUE</t>
  </si>
  <si>
    <t>FUSCHETTO</t>
  </si>
  <si>
    <t>MEJIA</t>
  </si>
  <si>
    <t>ARIANNA</t>
  </si>
  <si>
    <t>BENDER</t>
  </si>
  <si>
    <t>OATS</t>
  </si>
  <si>
    <t>DYWREN</t>
  </si>
  <si>
    <t>CORDES</t>
  </si>
  <si>
    <t>ASHLEN</t>
  </si>
  <si>
    <t>ROBY</t>
  </si>
  <si>
    <t>Whitman</t>
  </si>
  <si>
    <t>GAWRONSKI</t>
  </si>
  <si>
    <t>MAKENZIE</t>
  </si>
  <si>
    <t>FULLWOOD</t>
  </si>
  <si>
    <t>JEAN</t>
  </si>
  <si>
    <t>BERGMAN</t>
  </si>
  <si>
    <t>MARONSKI</t>
  </si>
  <si>
    <t>COUSINEAU-VESELICA</t>
  </si>
  <si>
    <t>TERESA</t>
  </si>
  <si>
    <t>LOYD</t>
  </si>
  <si>
    <t>SPROAT</t>
  </si>
  <si>
    <t>WIGGINS</t>
  </si>
  <si>
    <t>THEODORE</t>
  </si>
  <si>
    <t>CROWLEY</t>
  </si>
  <si>
    <t>HAILEY</t>
  </si>
  <si>
    <t>SCZEPKOWSKI</t>
  </si>
  <si>
    <t>JON</t>
  </si>
  <si>
    <t>KURTEN</t>
  </si>
  <si>
    <t>Henry</t>
  </si>
  <si>
    <t>Michael</t>
  </si>
  <si>
    <t>HOWARD</t>
  </si>
  <si>
    <t>BROMUND</t>
  </si>
  <si>
    <t>AMATA</t>
  </si>
  <si>
    <t>HIGGINS</t>
  </si>
  <si>
    <t>PHELPS</t>
  </si>
  <si>
    <t>CALVIN</t>
  </si>
  <si>
    <t>RESS</t>
  </si>
  <si>
    <t>VACILIKI</t>
  </si>
  <si>
    <t>BEYER</t>
  </si>
  <si>
    <t>DEAN</t>
  </si>
  <si>
    <t>DELROSSI</t>
  </si>
  <si>
    <t>LOIS</t>
  </si>
  <si>
    <t>BRYAN</t>
  </si>
  <si>
    <t>JEREMY</t>
  </si>
  <si>
    <t>BADARCH</t>
  </si>
  <si>
    <t>BOLD</t>
  </si>
  <si>
    <t>CHAO</t>
  </si>
  <si>
    <t>BAVUUDORJ</t>
  </si>
  <si>
    <t>BATTUYA</t>
  </si>
  <si>
    <t>MONAGHAN</t>
  </si>
  <si>
    <t>TALBURT</t>
  </si>
  <si>
    <t>HARRIS</t>
  </si>
  <si>
    <t>MEYER</t>
  </si>
  <si>
    <t>FREDERICK</t>
  </si>
  <si>
    <t>CERRICK</t>
  </si>
  <si>
    <t>STEVE</t>
  </si>
  <si>
    <t>Weller</t>
  </si>
  <si>
    <t>Nathan</t>
  </si>
  <si>
    <t>LAKE</t>
  </si>
  <si>
    <t>RAQUEL</t>
  </si>
  <si>
    <t>DELABAR</t>
  </si>
  <si>
    <t>NELSON</t>
  </si>
  <si>
    <t>JOHANNA</t>
  </si>
  <si>
    <t>LAZZARA</t>
  </si>
  <si>
    <t>GUZMAN</t>
  </si>
  <si>
    <t>AUDERA</t>
  </si>
  <si>
    <t>Rose</t>
  </si>
  <si>
    <t>Latesha</t>
  </si>
  <si>
    <t>KEAYS</t>
  </si>
  <si>
    <t>LAURALEA</t>
  </si>
  <si>
    <t>Cancer and Heart-Stroke 20231</t>
  </si>
  <si>
    <t>Critical Illness with Term Life 21677</t>
  </si>
  <si>
    <t>NHIC STM 2022 IN Single Term</t>
  </si>
  <si>
    <t>Life Association C</t>
  </si>
  <si>
    <t>17425766old</t>
  </si>
  <si>
    <t>16633294AV6</t>
  </si>
  <si>
    <t>16912722AV6</t>
  </si>
  <si>
    <t>8046194AV6</t>
  </si>
  <si>
    <t>22160550AV6</t>
  </si>
  <si>
    <t>17528908N</t>
  </si>
  <si>
    <t>19279958AV6</t>
  </si>
  <si>
    <t>Allstate OVR</t>
  </si>
  <si>
    <t>Cancer and Heart-Stroke 20231 CO-FL-MN-MI</t>
  </si>
  <si>
    <t>NHIC STM PPO IA</t>
  </si>
  <si>
    <t>National General GI Access Plan-All States</t>
  </si>
  <si>
    <t>18781057N</t>
  </si>
  <si>
    <t>8812322AV6L3</t>
  </si>
  <si>
    <t>17740520AV6</t>
  </si>
  <si>
    <t>8812322AV6</t>
  </si>
  <si>
    <t>21540650AV6</t>
  </si>
  <si>
    <t>371819L4</t>
  </si>
  <si>
    <t>19681796AV6</t>
  </si>
  <si>
    <t>19586992AV6</t>
  </si>
  <si>
    <t>21283956old</t>
  </si>
  <si>
    <t>16865615AV6</t>
  </si>
  <si>
    <t>5442438O</t>
  </si>
  <si>
    <t>371819L4AV6</t>
  </si>
  <si>
    <t>20724564AV6</t>
  </si>
  <si>
    <t>7565575AV6old</t>
  </si>
  <si>
    <t>18201929AV6</t>
  </si>
  <si>
    <t>8325282AV6</t>
  </si>
  <si>
    <t>7470776AV6</t>
  </si>
  <si>
    <t>21348299old</t>
  </si>
  <si>
    <t>19279958old</t>
  </si>
  <si>
    <t>21421111AV6</t>
  </si>
  <si>
    <t>17143996AV6</t>
  </si>
  <si>
    <t>20220688AV6</t>
  </si>
  <si>
    <t>8814784AV6</t>
  </si>
  <si>
    <t>19200754AV6</t>
  </si>
  <si>
    <t>8405446AV6</t>
  </si>
  <si>
    <t>6634327AV6</t>
  </si>
  <si>
    <t>17117649AV6</t>
  </si>
  <si>
    <t>20212926AV6</t>
  </si>
  <si>
    <t>20003537old</t>
  </si>
  <si>
    <t>21313588AV6</t>
  </si>
  <si>
    <t>20872981SUB2</t>
  </si>
  <si>
    <t>8971826N</t>
  </si>
  <si>
    <t>17554531AV6O</t>
  </si>
  <si>
    <t>21648482AV6</t>
  </si>
  <si>
    <t>16849453LAV6</t>
  </si>
  <si>
    <t>21744152AV6</t>
  </si>
  <si>
    <t>371819AV6</t>
  </si>
  <si>
    <t>19617796AV6</t>
  </si>
  <si>
    <t>20126474AV6</t>
  </si>
  <si>
    <t>21104854AV6</t>
  </si>
  <si>
    <t>21621622S</t>
  </si>
  <si>
    <t>16849453L5</t>
  </si>
  <si>
    <t>17554531O</t>
  </si>
  <si>
    <t>19278370old</t>
  </si>
  <si>
    <t>18201929L2</t>
  </si>
  <si>
    <t>7146581AV6</t>
  </si>
  <si>
    <t>21283956AV6</t>
  </si>
  <si>
    <t>21733361AV6</t>
  </si>
  <si>
    <t>19219478AV6</t>
  </si>
  <si>
    <t>3333476AV6</t>
  </si>
  <si>
    <t>21436172AV6</t>
  </si>
  <si>
    <t>AE</t>
  </si>
  <si>
    <t>AV</t>
  </si>
  <si>
    <t>AV1</t>
  </si>
  <si>
    <t>20281936OVR</t>
  </si>
  <si>
    <t>17886092OVR</t>
  </si>
  <si>
    <t>18598357OVR</t>
  </si>
  <si>
    <t>21345012OVR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</si>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</sst>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0" fontId="0" fillId="0" borderId="0" xfId="0" applyAlignment="1">
      <alignment horizontal="left"/>
    </xf>
    <xf numFmtId="0" fontId="0" fillId="34" borderId="0" xfId="0" applyFill="1"/>
    <xf numFmtId="0" fontId="0" fillId="34" borderId="0" xfId="0" applyFill="1" applyAlignment="1">
      <alignment horizontal="left"/>
    </xf>
    <xf numFmtId="14" fontId="0" fillId="34" borderId="0" xfId="0" applyNumberFormat="1" applyFill="1"/>
    <xf numFmtId="8" fontId="0" fillId="34" borderId="0" xfId="0" applyNumberFormat="1" applyFill="1"/>
    <xf numFmtId="9" fontId="0" fillId="34" borderId="0" xfId="0" applyNumberFormat="1" applyFill="1"/>
    <xf numFmtId="10" fontId="0" fillId="34" borderId="0" xfId="0" applyNumberFormat="1" applyFill="1"/>
    <xf numFmtId="9" fontId="0" fillId="33" borderId="0" xfId="0" applyNumberFormat="1" applyFill="1"/>
    <xf numFmtId="10" fontId="0" fillId="33" borderId="0" xfId="0" applyNumberFormat="1" applyFill="1"/>
    <xf numFmtId="0" fontId="0" fillId="33" borderId="0" xfId="0" applyFill="1" applyAlignment="1">
      <alignment horizontal="left"/>
    </xf>
    <xf numFmtId="0" fontId="0" fillId="0" borderId="0" xfId="0" applyFill="1" applyAlignment="1">
      <alignment horizontal="left"/>
    </xf>
    <xf numFmtId="9" fontId="0" fillId="0" borderId="0" xfId="0" applyNumberFormat="1" applyFill="1"/>
    <xf numFmtId="10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E60DF-2FAD-4989-A1FE-05EEFC66091D}">
  <dimension ref="A1:AV836"/>
  <sheetViews>
    <sheetView workbookViewId="0">
      <selection sqref="A1:XFD1048576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18.42578125" bestFit="1" customWidth="1"/>
    <col min="10" max="10" width="50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14062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14.425781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46188</v>
      </c>
      <c r="B2" t="s">
        <v>48</v>
      </c>
      <c r="C2">
        <v>649163</v>
      </c>
      <c r="D2">
        <v>2035974518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751867</v>
      </c>
      <c r="L2" t="s">
        <v>55</v>
      </c>
      <c r="M2" t="s">
        <v>56</v>
      </c>
      <c r="N2" t="s">
        <v>57</v>
      </c>
      <c r="O2" s="1">
        <v>46185</v>
      </c>
      <c r="Q2" s="1">
        <v>46215</v>
      </c>
      <c r="R2" s="2">
        <v>52.69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189.66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31.61</v>
      </c>
      <c r="AM2" s="2">
        <v>0</v>
      </c>
      <c r="AN2" s="2">
        <v>189.66</v>
      </c>
      <c r="AO2" s="2">
        <v>0</v>
      </c>
      <c r="AP2" s="2">
        <v>0</v>
      </c>
      <c r="AQ2" s="2">
        <v>0</v>
      </c>
    </row>
    <row r="3" spans="1:48" x14ac:dyDescent="0.25">
      <c r="A3" s="1">
        <v>46188</v>
      </c>
      <c r="B3" t="s">
        <v>48</v>
      </c>
      <c r="C3">
        <v>649163</v>
      </c>
      <c r="D3">
        <v>2036001740</v>
      </c>
      <c r="E3" t="s">
        <v>62</v>
      </c>
      <c r="F3" t="s">
        <v>63</v>
      </c>
      <c r="G3" t="s">
        <v>51</v>
      </c>
      <c r="H3" t="s">
        <v>52</v>
      </c>
      <c r="I3" t="s">
        <v>53</v>
      </c>
      <c r="J3" t="s">
        <v>54</v>
      </c>
      <c r="K3">
        <v>650794</v>
      </c>
      <c r="L3" t="s">
        <v>64</v>
      </c>
      <c r="M3" t="s">
        <v>65</v>
      </c>
      <c r="N3" t="s">
        <v>57</v>
      </c>
      <c r="O3" s="1">
        <v>46186</v>
      </c>
      <c r="Q3" s="1">
        <v>46216</v>
      </c>
      <c r="R3" s="2">
        <v>52.69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189.66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31.61</v>
      </c>
      <c r="AM3" s="2">
        <v>0</v>
      </c>
      <c r="AN3" s="2">
        <v>189.66</v>
      </c>
      <c r="AO3" s="2">
        <v>0</v>
      </c>
      <c r="AP3" s="2">
        <v>0</v>
      </c>
      <c r="AQ3" s="2">
        <v>0</v>
      </c>
    </row>
    <row r="4" spans="1:48" x14ac:dyDescent="0.25">
      <c r="A4" s="1">
        <v>46188</v>
      </c>
      <c r="B4" t="s">
        <v>48</v>
      </c>
      <c r="C4">
        <v>649163</v>
      </c>
      <c r="D4">
        <v>2036023976</v>
      </c>
      <c r="E4" t="s">
        <v>66</v>
      </c>
      <c r="F4" t="s">
        <v>67</v>
      </c>
      <c r="G4" t="s">
        <v>51</v>
      </c>
      <c r="H4" t="s">
        <v>52</v>
      </c>
      <c r="I4" t="s">
        <v>53</v>
      </c>
      <c r="J4" t="s">
        <v>54</v>
      </c>
      <c r="K4">
        <v>751867</v>
      </c>
      <c r="L4" t="s">
        <v>55</v>
      </c>
      <c r="M4" t="s">
        <v>56</v>
      </c>
      <c r="N4" t="s">
        <v>57</v>
      </c>
      <c r="O4" s="1">
        <v>46187</v>
      </c>
      <c r="Q4" s="1">
        <v>46217</v>
      </c>
      <c r="R4" s="2">
        <v>69.5</v>
      </c>
      <c r="S4">
        <v>1</v>
      </c>
      <c r="T4" t="s">
        <v>58</v>
      </c>
      <c r="U4" t="s">
        <v>59</v>
      </c>
      <c r="V4" s="3">
        <v>0.6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250.2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41.7</v>
      </c>
      <c r="AM4" s="2">
        <v>0</v>
      </c>
      <c r="AN4" s="2">
        <v>250.2</v>
      </c>
      <c r="AO4" s="2">
        <v>0</v>
      </c>
      <c r="AP4" s="2">
        <v>0</v>
      </c>
      <c r="AQ4" s="2">
        <v>0</v>
      </c>
    </row>
    <row r="5" spans="1:48" x14ac:dyDescent="0.25">
      <c r="A5" s="1">
        <v>46188</v>
      </c>
      <c r="B5" t="s">
        <v>48</v>
      </c>
      <c r="C5">
        <v>649163</v>
      </c>
      <c r="D5">
        <v>2035676326</v>
      </c>
      <c r="E5" t="s">
        <v>68</v>
      </c>
      <c r="F5" t="s">
        <v>69</v>
      </c>
      <c r="G5" t="s">
        <v>51</v>
      </c>
      <c r="H5" t="s">
        <v>70</v>
      </c>
      <c r="I5" t="s">
        <v>71</v>
      </c>
      <c r="J5" t="s">
        <v>72</v>
      </c>
      <c r="K5">
        <v>856163</v>
      </c>
      <c r="L5" t="s">
        <v>73</v>
      </c>
      <c r="M5" t="s">
        <v>74</v>
      </c>
      <c r="N5" t="s">
        <v>57</v>
      </c>
      <c r="O5" s="1">
        <v>46204</v>
      </c>
      <c r="Q5" s="1">
        <v>46235</v>
      </c>
      <c r="R5" s="2">
        <v>22.15</v>
      </c>
      <c r="S5">
        <v>1</v>
      </c>
      <c r="T5" t="s">
        <v>58</v>
      </c>
      <c r="U5" t="s">
        <v>59</v>
      </c>
      <c r="V5" s="3">
        <v>0.75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99.66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16.61</v>
      </c>
      <c r="AM5" s="2">
        <v>0</v>
      </c>
      <c r="AN5" s="2">
        <v>99.66</v>
      </c>
      <c r="AO5" s="2">
        <v>0</v>
      </c>
      <c r="AP5" s="2">
        <v>0</v>
      </c>
      <c r="AQ5" s="2">
        <v>0</v>
      </c>
    </row>
    <row r="6" spans="1:48" x14ac:dyDescent="0.25">
      <c r="A6" s="1">
        <v>46188</v>
      </c>
      <c r="B6" t="s">
        <v>48</v>
      </c>
      <c r="C6">
        <v>649163</v>
      </c>
      <c r="D6">
        <v>2035809173</v>
      </c>
      <c r="E6" t="s">
        <v>75</v>
      </c>
      <c r="F6" t="s">
        <v>76</v>
      </c>
      <c r="G6" t="s">
        <v>51</v>
      </c>
      <c r="H6" t="s">
        <v>77</v>
      </c>
      <c r="I6" t="s">
        <v>71</v>
      </c>
      <c r="J6" t="s">
        <v>78</v>
      </c>
      <c r="K6">
        <v>651818</v>
      </c>
      <c r="L6" t="s">
        <v>79</v>
      </c>
      <c r="M6" t="s">
        <v>80</v>
      </c>
      <c r="N6" t="s">
        <v>57</v>
      </c>
      <c r="O6" s="1">
        <v>46188</v>
      </c>
      <c r="Q6" s="1">
        <v>46218</v>
      </c>
      <c r="R6" s="2">
        <v>50.16</v>
      </c>
      <c r="S6">
        <v>1</v>
      </c>
      <c r="T6" t="s">
        <v>58</v>
      </c>
      <c r="U6" t="s">
        <v>59</v>
      </c>
      <c r="V6" s="3">
        <v>0.9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270.83999999999997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45.14</v>
      </c>
      <c r="AM6" s="2">
        <v>0</v>
      </c>
      <c r="AN6" s="2">
        <v>270.83999999999997</v>
      </c>
      <c r="AO6" s="2">
        <v>0</v>
      </c>
      <c r="AP6" s="2">
        <v>0</v>
      </c>
      <c r="AQ6" s="2">
        <v>0</v>
      </c>
    </row>
    <row r="7" spans="1:48" x14ac:dyDescent="0.25">
      <c r="A7" s="1">
        <v>46188</v>
      </c>
      <c r="B7" t="s">
        <v>48</v>
      </c>
      <c r="C7">
        <v>649163</v>
      </c>
      <c r="D7">
        <v>2035914447</v>
      </c>
      <c r="E7" t="s">
        <v>81</v>
      </c>
      <c r="F7" t="s">
        <v>82</v>
      </c>
      <c r="G7" t="s">
        <v>51</v>
      </c>
      <c r="H7" t="s">
        <v>83</v>
      </c>
      <c r="I7" t="s">
        <v>71</v>
      </c>
      <c r="J7" t="s">
        <v>84</v>
      </c>
      <c r="K7">
        <v>673059</v>
      </c>
      <c r="L7" t="s">
        <v>85</v>
      </c>
      <c r="M7" t="s">
        <v>86</v>
      </c>
      <c r="N7" t="s">
        <v>57</v>
      </c>
      <c r="O7" s="1">
        <v>46204</v>
      </c>
      <c r="Q7" s="1">
        <v>46235</v>
      </c>
      <c r="R7" s="2">
        <v>42.63</v>
      </c>
      <c r="S7">
        <v>1</v>
      </c>
      <c r="T7" t="s">
        <v>58</v>
      </c>
      <c r="U7" t="s">
        <v>59</v>
      </c>
      <c r="V7" s="3">
        <v>0.75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191.82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31.97</v>
      </c>
      <c r="AM7" s="2">
        <v>0</v>
      </c>
      <c r="AN7" s="2">
        <v>191.82</v>
      </c>
      <c r="AO7" s="2">
        <v>0</v>
      </c>
      <c r="AP7" s="2">
        <v>0</v>
      </c>
      <c r="AQ7" s="2">
        <v>0</v>
      </c>
    </row>
    <row r="8" spans="1:48" x14ac:dyDescent="0.25">
      <c r="A8" s="1">
        <v>46188</v>
      </c>
      <c r="B8" t="s">
        <v>48</v>
      </c>
      <c r="C8">
        <v>649163</v>
      </c>
      <c r="D8">
        <v>2035935095</v>
      </c>
      <c r="E8" t="s">
        <v>87</v>
      </c>
      <c r="F8" t="s">
        <v>88</v>
      </c>
      <c r="G8" t="s">
        <v>51</v>
      </c>
      <c r="H8" t="s">
        <v>70</v>
      </c>
      <c r="I8" t="s">
        <v>71</v>
      </c>
      <c r="J8" t="s">
        <v>72</v>
      </c>
      <c r="K8">
        <v>856163</v>
      </c>
      <c r="L8" t="s">
        <v>73</v>
      </c>
      <c r="M8" t="s">
        <v>74</v>
      </c>
      <c r="N8" t="s">
        <v>57</v>
      </c>
      <c r="O8" s="1">
        <v>46183</v>
      </c>
      <c r="Q8" s="1">
        <v>46213</v>
      </c>
      <c r="R8" s="2">
        <v>47.62</v>
      </c>
      <c r="S8">
        <v>1</v>
      </c>
      <c r="T8" t="s">
        <v>58</v>
      </c>
      <c r="U8" t="s">
        <v>59</v>
      </c>
      <c r="V8" s="3">
        <v>0.75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214.32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35.72</v>
      </c>
      <c r="AM8" s="2">
        <v>0</v>
      </c>
      <c r="AN8" s="2">
        <v>214.32</v>
      </c>
      <c r="AO8" s="2">
        <v>0</v>
      </c>
      <c r="AP8" s="2">
        <v>0</v>
      </c>
      <c r="AQ8" s="2">
        <v>0</v>
      </c>
    </row>
    <row r="9" spans="1:48" x14ac:dyDescent="0.25">
      <c r="A9" s="1">
        <v>46188</v>
      </c>
      <c r="B9" t="s">
        <v>48</v>
      </c>
      <c r="C9">
        <v>649163</v>
      </c>
      <c r="D9">
        <v>2035938020</v>
      </c>
      <c r="E9" t="s">
        <v>89</v>
      </c>
      <c r="F9" t="s">
        <v>90</v>
      </c>
      <c r="G9" t="s">
        <v>51</v>
      </c>
      <c r="H9" t="s">
        <v>83</v>
      </c>
      <c r="I9" t="s">
        <v>71</v>
      </c>
      <c r="J9" t="s">
        <v>72</v>
      </c>
      <c r="K9">
        <v>956422</v>
      </c>
      <c r="L9" t="s">
        <v>91</v>
      </c>
      <c r="M9" t="s">
        <v>92</v>
      </c>
      <c r="N9" t="s">
        <v>57</v>
      </c>
      <c r="O9" s="1">
        <v>46183</v>
      </c>
      <c r="Q9" s="1">
        <v>46213</v>
      </c>
      <c r="R9" s="2">
        <v>29.65</v>
      </c>
      <c r="S9">
        <v>1</v>
      </c>
      <c r="T9" t="s">
        <v>58</v>
      </c>
      <c r="U9" t="s">
        <v>59</v>
      </c>
      <c r="V9" s="3">
        <v>0.75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133.44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22.24</v>
      </c>
      <c r="AM9" s="2">
        <v>0</v>
      </c>
      <c r="AN9" s="2">
        <v>133.44</v>
      </c>
      <c r="AO9" s="2">
        <v>0</v>
      </c>
      <c r="AP9" s="2">
        <v>0</v>
      </c>
      <c r="AQ9" s="2">
        <v>0</v>
      </c>
    </row>
    <row r="10" spans="1:48" x14ac:dyDescent="0.25">
      <c r="A10" s="1">
        <v>46188</v>
      </c>
      <c r="B10" t="s">
        <v>48</v>
      </c>
      <c r="C10">
        <v>649163</v>
      </c>
      <c r="D10">
        <v>2035940833</v>
      </c>
      <c r="E10" t="s">
        <v>93</v>
      </c>
      <c r="F10" t="s">
        <v>94</v>
      </c>
      <c r="G10" t="s">
        <v>51</v>
      </c>
      <c r="H10" t="s">
        <v>95</v>
      </c>
      <c r="I10" t="s">
        <v>71</v>
      </c>
      <c r="J10" t="s">
        <v>72</v>
      </c>
      <c r="K10">
        <v>673059</v>
      </c>
      <c r="L10" t="s">
        <v>85</v>
      </c>
      <c r="M10" t="s">
        <v>86</v>
      </c>
      <c r="N10" t="s">
        <v>57</v>
      </c>
      <c r="O10" s="1">
        <v>46204</v>
      </c>
      <c r="Q10" s="1">
        <v>46235</v>
      </c>
      <c r="R10" s="2">
        <v>50.98</v>
      </c>
      <c r="S10">
        <v>1</v>
      </c>
      <c r="T10" t="s">
        <v>58</v>
      </c>
      <c r="U10" t="s">
        <v>59</v>
      </c>
      <c r="V10" s="3">
        <v>0.75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229.44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38.24</v>
      </c>
      <c r="AM10" s="2">
        <v>0</v>
      </c>
      <c r="AN10" s="2">
        <v>229.44</v>
      </c>
      <c r="AO10" s="2">
        <v>0</v>
      </c>
      <c r="AP10" s="2">
        <v>0</v>
      </c>
      <c r="AQ10" s="2">
        <v>0</v>
      </c>
    </row>
    <row r="11" spans="1:48" x14ac:dyDescent="0.25">
      <c r="A11" s="1">
        <v>46188</v>
      </c>
      <c r="B11" t="s">
        <v>48</v>
      </c>
      <c r="C11">
        <v>649163</v>
      </c>
      <c r="D11">
        <v>2035961074</v>
      </c>
      <c r="E11" t="s">
        <v>96</v>
      </c>
      <c r="F11" t="s">
        <v>97</v>
      </c>
      <c r="G11" t="s">
        <v>51</v>
      </c>
      <c r="H11" t="s">
        <v>70</v>
      </c>
      <c r="I11" t="s">
        <v>71</v>
      </c>
      <c r="J11" t="s">
        <v>72</v>
      </c>
      <c r="K11">
        <v>856163</v>
      </c>
      <c r="L11" t="s">
        <v>73</v>
      </c>
      <c r="M11" t="s">
        <v>74</v>
      </c>
      <c r="N11" t="s">
        <v>57</v>
      </c>
      <c r="O11" s="1">
        <v>46184</v>
      </c>
      <c r="Q11" s="1">
        <v>46214</v>
      </c>
      <c r="R11" s="2">
        <v>28.65</v>
      </c>
      <c r="S11">
        <v>1</v>
      </c>
      <c r="T11" t="s">
        <v>58</v>
      </c>
      <c r="U11" t="s">
        <v>59</v>
      </c>
      <c r="V11" s="3">
        <v>0.75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128.94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21.49</v>
      </c>
      <c r="AM11" s="2">
        <v>0</v>
      </c>
      <c r="AN11" s="2">
        <v>128.94</v>
      </c>
      <c r="AO11" s="2">
        <v>0</v>
      </c>
      <c r="AP11" s="2">
        <v>0</v>
      </c>
      <c r="AQ11" s="2">
        <v>0</v>
      </c>
    </row>
    <row r="12" spans="1:48" x14ac:dyDescent="0.25">
      <c r="A12" s="1">
        <v>46188</v>
      </c>
      <c r="B12" t="s">
        <v>48</v>
      </c>
      <c r="C12">
        <v>649163</v>
      </c>
      <c r="D12">
        <v>2035961426</v>
      </c>
      <c r="E12" t="s">
        <v>98</v>
      </c>
      <c r="F12" t="s">
        <v>99</v>
      </c>
      <c r="G12" t="s">
        <v>51</v>
      </c>
      <c r="H12" t="s">
        <v>100</v>
      </c>
      <c r="I12" t="s">
        <v>71</v>
      </c>
      <c r="J12" t="s">
        <v>84</v>
      </c>
      <c r="K12">
        <v>970074</v>
      </c>
      <c r="L12" t="s">
        <v>101</v>
      </c>
      <c r="M12" t="s">
        <v>102</v>
      </c>
      <c r="N12" t="s">
        <v>57</v>
      </c>
      <c r="O12" s="1">
        <v>46184</v>
      </c>
      <c r="Q12" s="1">
        <v>46214</v>
      </c>
      <c r="R12" s="2">
        <v>71.13</v>
      </c>
      <c r="S12">
        <v>1</v>
      </c>
      <c r="T12" t="s">
        <v>58</v>
      </c>
      <c r="U12" t="s">
        <v>59</v>
      </c>
      <c r="V12" s="3">
        <v>0.75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320.10000000000002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53.35</v>
      </c>
      <c r="AM12" s="2">
        <v>0</v>
      </c>
      <c r="AN12" s="2">
        <v>320.10000000000002</v>
      </c>
      <c r="AO12" s="2">
        <v>0</v>
      </c>
      <c r="AP12" s="2">
        <v>0</v>
      </c>
      <c r="AQ12" s="2">
        <v>0</v>
      </c>
    </row>
    <row r="13" spans="1:48" x14ac:dyDescent="0.25">
      <c r="A13" s="1">
        <v>46188</v>
      </c>
      <c r="B13" t="s">
        <v>48</v>
      </c>
      <c r="C13">
        <v>649163</v>
      </c>
      <c r="D13">
        <v>2035967128</v>
      </c>
      <c r="E13" t="s">
        <v>103</v>
      </c>
      <c r="F13" t="s">
        <v>104</v>
      </c>
      <c r="G13" t="s">
        <v>51</v>
      </c>
      <c r="H13" t="s">
        <v>95</v>
      </c>
      <c r="I13" t="s">
        <v>71</v>
      </c>
      <c r="J13" t="s">
        <v>72</v>
      </c>
      <c r="K13">
        <v>812782</v>
      </c>
      <c r="L13" t="s">
        <v>105</v>
      </c>
      <c r="M13" t="s">
        <v>106</v>
      </c>
      <c r="N13" t="s">
        <v>57</v>
      </c>
      <c r="O13" s="1">
        <v>46204</v>
      </c>
      <c r="Q13" s="1">
        <v>46235</v>
      </c>
      <c r="R13" s="2">
        <v>30.13</v>
      </c>
      <c r="S13">
        <v>1</v>
      </c>
      <c r="T13" t="s">
        <v>58</v>
      </c>
      <c r="U13" t="s">
        <v>59</v>
      </c>
      <c r="V13" s="3">
        <v>0.75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135.6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22.6</v>
      </c>
      <c r="AM13" s="2">
        <v>0</v>
      </c>
      <c r="AN13" s="2">
        <v>135.6</v>
      </c>
      <c r="AO13" s="2">
        <v>0</v>
      </c>
      <c r="AP13" s="2">
        <v>0</v>
      </c>
      <c r="AQ13" s="2">
        <v>0</v>
      </c>
    </row>
    <row r="14" spans="1:48" x14ac:dyDescent="0.25">
      <c r="A14" s="1">
        <v>46188</v>
      </c>
      <c r="B14" t="s">
        <v>48</v>
      </c>
      <c r="C14">
        <v>649163</v>
      </c>
      <c r="D14">
        <v>2035982980</v>
      </c>
      <c r="E14" t="s">
        <v>107</v>
      </c>
      <c r="F14" t="s">
        <v>108</v>
      </c>
      <c r="G14" t="s">
        <v>51</v>
      </c>
      <c r="H14" t="s">
        <v>95</v>
      </c>
      <c r="I14" t="s">
        <v>71</v>
      </c>
      <c r="J14" t="s">
        <v>72</v>
      </c>
      <c r="K14">
        <v>651818</v>
      </c>
      <c r="L14" t="s">
        <v>79</v>
      </c>
      <c r="M14" t="s">
        <v>80</v>
      </c>
      <c r="N14" t="s">
        <v>57</v>
      </c>
      <c r="O14" s="1">
        <v>46204</v>
      </c>
      <c r="Q14" s="1">
        <v>46235</v>
      </c>
      <c r="R14" s="2">
        <v>19.190000000000001</v>
      </c>
      <c r="S14">
        <v>1</v>
      </c>
      <c r="T14" t="s">
        <v>58</v>
      </c>
      <c r="U14" t="s">
        <v>59</v>
      </c>
      <c r="V14" s="3">
        <v>0.75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86.34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14.39</v>
      </c>
      <c r="AM14" s="2">
        <v>0</v>
      </c>
      <c r="AN14" s="2">
        <v>86.34</v>
      </c>
      <c r="AO14" s="2">
        <v>0</v>
      </c>
      <c r="AP14" s="2">
        <v>0</v>
      </c>
      <c r="AQ14" s="2">
        <v>0</v>
      </c>
    </row>
    <row r="15" spans="1:48" x14ac:dyDescent="0.25">
      <c r="A15" s="1">
        <v>46188</v>
      </c>
      <c r="B15" t="s">
        <v>48</v>
      </c>
      <c r="C15">
        <v>649163</v>
      </c>
      <c r="D15">
        <v>2035991295</v>
      </c>
      <c r="E15" t="s">
        <v>109</v>
      </c>
      <c r="F15" t="s">
        <v>110</v>
      </c>
      <c r="G15" t="s">
        <v>51</v>
      </c>
      <c r="H15" t="s">
        <v>111</v>
      </c>
      <c r="I15" t="s">
        <v>71</v>
      </c>
      <c r="J15" t="s">
        <v>72</v>
      </c>
      <c r="K15">
        <v>897073</v>
      </c>
      <c r="L15" t="s">
        <v>112</v>
      </c>
      <c r="M15" t="s">
        <v>113</v>
      </c>
      <c r="N15" t="s">
        <v>57</v>
      </c>
      <c r="O15" s="1">
        <v>46191</v>
      </c>
      <c r="Q15" s="1">
        <v>46221</v>
      </c>
      <c r="R15" s="2">
        <v>13.1</v>
      </c>
      <c r="S15">
        <v>1</v>
      </c>
      <c r="T15" t="s">
        <v>58</v>
      </c>
      <c r="U15" t="s">
        <v>59</v>
      </c>
      <c r="V15" s="3">
        <v>0.75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58.92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9.82</v>
      </c>
      <c r="AM15" s="2">
        <v>0</v>
      </c>
      <c r="AN15" s="2">
        <v>58.92</v>
      </c>
      <c r="AO15" s="2">
        <v>0</v>
      </c>
      <c r="AP15" s="2">
        <v>0</v>
      </c>
      <c r="AQ15" s="2">
        <v>0</v>
      </c>
    </row>
    <row r="16" spans="1:48" x14ac:dyDescent="0.25">
      <c r="A16" s="1">
        <v>46188</v>
      </c>
      <c r="B16" t="s">
        <v>48</v>
      </c>
      <c r="C16">
        <v>649163</v>
      </c>
      <c r="D16">
        <v>2036017844</v>
      </c>
      <c r="E16" t="s">
        <v>114</v>
      </c>
      <c r="F16" t="s">
        <v>115</v>
      </c>
      <c r="G16" t="s">
        <v>51</v>
      </c>
      <c r="H16" t="s">
        <v>70</v>
      </c>
      <c r="I16" t="s">
        <v>71</v>
      </c>
      <c r="J16" t="s">
        <v>78</v>
      </c>
      <c r="K16">
        <v>823350</v>
      </c>
      <c r="L16" t="s">
        <v>73</v>
      </c>
      <c r="M16" t="s">
        <v>116</v>
      </c>
      <c r="N16" t="s">
        <v>57</v>
      </c>
      <c r="O16" s="1">
        <v>46204</v>
      </c>
      <c r="Q16" s="1">
        <v>46235</v>
      </c>
      <c r="R16" s="2">
        <v>63.17</v>
      </c>
      <c r="S16">
        <v>1</v>
      </c>
      <c r="T16" t="s">
        <v>58</v>
      </c>
      <c r="U16" t="s">
        <v>59</v>
      </c>
      <c r="V16" s="3">
        <v>0.9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341.1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56.85</v>
      </c>
      <c r="AM16" s="2">
        <v>0</v>
      </c>
      <c r="AN16" s="2">
        <v>341.1</v>
      </c>
      <c r="AO16" s="2">
        <v>0</v>
      </c>
      <c r="AP16" s="2">
        <v>0</v>
      </c>
      <c r="AQ16" s="2">
        <v>0</v>
      </c>
    </row>
    <row r="17" spans="1:43" x14ac:dyDescent="0.25">
      <c r="A17" s="1">
        <v>46188</v>
      </c>
      <c r="B17" t="s">
        <v>48</v>
      </c>
      <c r="C17">
        <v>649163</v>
      </c>
      <c r="D17">
        <v>2035417103</v>
      </c>
      <c r="E17" t="s">
        <v>117</v>
      </c>
      <c r="F17" t="s">
        <v>118</v>
      </c>
      <c r="G17" t="s">
        <v>51</v>
      </c>
      <c r="H17" t="s">
        <v>119</v>
      </c>
      <c r="I17" t="s">
        <v>120</v>
      </c>
      <c r="J17" t="s">
        <v>121</v>
      </c>
      <c r="K17">
        <v>814033</v>
      </c>
      <c r="L17" t="s">
        <v>122</v>
      </c>
      <c r="M17" t="s">
        <v>123</v>
      </c>
      <c r="N17" t="s">
        <v>57</v>
      </c>
      <c r="O17" s="1">
        <v>46186</v>
      </c>
      <c r="Q17" s="1">
        <v>46216</v>
      </c>
      <c r="R17" s="2">
        <v>15</v>
      </c>
      <c r="S17">
        <v>1</v>
      </c>
      <c r="T17" t="s">
        <v>58</v>
      </c>
      <c r="U17" t="s">
        <v>124</v>
      </c>
      <c r="V17" s="3">
        <v>0.38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34.200000000000003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5.7</v>
      </c>
      <c r="AM17" s="2">
        <v>0</v>
      </c>
      <c r="AN17" s="2">
        <v>34.200000000000003</v>
      </c>
      <c r="AO17" s="2">
        <v>0</v>
      </c>
      <c r="AP17" s="2">
        <v>0</v>
      </c>
      <c r="AQ17" s="2">
        <v>0</v>
      </c>
    </row>
    <row r="18" spans="1:43" x14ac:dyDescent="0.25">
      <c r="A18" s="1">
        <v>46188</v>
      </c>
      <c r="B18" t="s">
        <v>48</v>
      </c>
      <c r="C18">
        <v>649163</v>
      </c>
      <c r="D18">
        <v>2035809174</v>
      </c>
      <c r="E18" t="s">
        <v>75</v>
      </c>
      <c r="F18" t="s">
        <v>76</v>
      </c>
      <c r="G18" t="s">
        <v>51</v>
      </c>
      <c r="H18" t="s">
        <v>77</v>
      </c>
      <c r="I18" t="s">
        <v>120</v>
      </c>
      <c r="J18" t="s">
        <v>125</v>
      </c>
      <c r="K18">
        <v>651818</v>
      </c>
      <c r="L18" t="s">
        <v>79</v>
      </c>
      <c r="M18" t="s">
        <v>80</v>
      </c>
      <c r="N18" t="s">
        <v>57</v>
      </c>
      <c r="O18" s="1">
        <v>46188</v>
      </c>
      <c r="Q18" s="1">
        <v>46218</v>
      </c>
      <c r="R18" s="2">
        <v>15</v>
      </c>
      <c r="S18">
        <v>1</v>
      </c>
      <c r="T18" t="s">
        <v>58</v>
      </c>
      <c r="U18" t="s">
        <v>124</v>
      </c>
      <c r="V18" s="3">
        <v>0.28999999999999998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26.1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4.3499999999999996</v>
      </c>
      <c r="AM18" s="2">
        <v>0</v>
      </c>
      <c r="AN18" s="2">
        <v>26.1</v>
      </c>
      <c r="AO18" s="2">
        <v>0</v>
      </c>
      <c r="AP18" s="2">
        <v>0</v>
      </c>
      <c r="AQ18" s="2">
        <v>0</v>
      </c>
    </row>
    <row r="19" spans="1:43" x14ac:dyDescent="0.25">
      <c r="A19" s="1">
        <v>46188</v>
      </c>
      <c r="B19" t="s">
        <v>48</v>
      </c>
      <c r="C19">
        <v>649163</v>
      </c>
      <c r="D19">
        <v>2035861704</v>
      </c>
      <c r="E19" t="s">
        <v>126</v>
      </c>
      <c r="F19" t="s">
        <v>127</v>
      </c>
      <c r="G19" t="s">
        <v>51</v>
      </c>
      <c r="H19" t="s">
        <v>119</v>
      </c>
      <c r="I19" t="s">
        <v>120</v>
      </c>
      <c r="J19" t="s">
        <v>121</v>
      </c>
      <c r="K19">
        <v>820873</v>
      </c>
      <c r="L19" t="s">
        <v>128</v>
      </c>
      <c r="M19" t="s">
        <v>129</v>
      </c>
      <c r="N19" t="s">
        <v>57</v>
      </c>
      <c r="O19" s="1">
        <v>46190</v>
      </c>
      <c r="Q19" s="1">
        <v>46220</v>
      </c>
      <c r="R19" s="2">
        <v>15</v>
      </c>
      <c r="S19">
        <v>1</v>
      </c>
      <c r="T19" t="s">
        <v>58</v>
      </c>
      <c r="U19" t="s">
        <v>124</v>
      </c>
      <c r="V19" s="3">
        <v>0.38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34.200000000000003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5.7</v>
      </c>
      <c r="AM19" s="2">
        <v>0</v>
      </c>
      <c r="AN19" s="2">
        <v>34.200000000000003</v>
      </c>
      <c r="AO19" s="2">
        <v>0</v>
      </c>
      <c r="AP19" s="2">
        <v>0</v>
      </c>
      <c r="AQ19" s="2">
        <v>0</v>
      </c>
    </row>
    <row r="20" spans="1:43" x14ac:dyDescent="0.25">
      <c r="A20" s="1">
        <v>46188</v>
      </c>
      <c r="B20" t="s">
        <v>48</v>
      </c>
      <c r="C20">
        <v>649163</v>
      </c>
      <c r="D20">
        <v>2035940447</v>
      </c>
      <c r="E20" t="s">
        <v>130</v>
      </c>
      <c r="F20" t="s">
        <v>131</v>
      </c>
      <c r="G20" t="s">
        <v>51</v>
      </c>
      <c r="H20" t="s">
        <v>83</v>
      </c>
      <c r="I20" t="s">
        <v>120</v>
      </c>
      <c r="J20" t="s">
        <v>132</v>
      </c>
      <c r="K20">
        <v>946134</v>
      </c>
      <c r="L20" t="s">
        <v>133</v>
      </c>
      <c r="M20" t="s">
        <v>134</v>
      </c>
      <c r="N20" t="s">
        <v>57</v>
      </c>
      <c r="O20" s="1">
        <v>46183</v>
      </c>
      <c r="Q20" s="1">
        <v>46213</v>
      </c>
      <c r="R20" s="2">
        <v>15</v>
      </c>
      <c r="S20">
        <v>1</v>
      </c>
      <c r="T20" t="s">
        <v>58</v>
      </c>
      <c r="U20" t="s">
        <v>124</v>
      </c>
      <c r="V20" s="3">
        <v>0.19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17.100000000000001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2.85</v>
      </c>
      <c r="AM20" s="2">
        <v>0</v>
      </c>
      <c r="AN20" s="2">
        <v>17.100000000000001</v>
      </c>
      <c r="AO20" s="2">
        <v>0</v>
      </c>
      <c r="AP20" s="2">
        <v>0</v>
      </c>
      <c r="AQ20" s="2">
        <v>0</v>
      </c>
    </row>
    <row r="21" spans="1:43" x14ac:dyDescent="0.25">
      <c r="A21" s="1">
        <v>46188</v>
      </c>
      <c r="B21" t="s">
        <v>48</v>
      </c>
      <c r="C21">
        <v>649163</v>
      </c>
      <c r="D21">
        <v>2035971529</v>
      </c>
      <c r="E21" t="s">
        <v>135</v>
      </c>
      <c r="F21" t="s">
        <v>136</v>
      </c>
      <c r="G21" t="s">
        <v>51</v>
      </c>
      <c r="H21" t="s">
        <v>77</v>
      </c>
      <c r="I21" t="s">
        <v>120</v>
      </c>
      <c r="J21" t="s">
        <v>121</v>
      </c>
      <c r="K21">
        <v>902625</v>
      </c>
      <c r="L21" t="s">
        <v>137</v>
      </c>
      <c r="M21" t="s">
        <v>138</v>
      </c>
      <c r="N21" t="s">
        <v>57</v>
      </c>
      <c r="O21" s="1">
        <v>46164</v>
      </c>
      <c r="Q21" s="1">
        <v>46195</v>
      </c>
      <c r="R21" s="2">
        <v>15</v>
      </c>
      <c r="S21">
        <v>1</v>
      </c>
      <c r="T21" t="s">
        <v>58</v>
      </c>
      <c r="U21" t="s">
        <v>124</v>
      </c>
      <c r="V21" s="3">
        <v>0.38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34.200000000000003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5.7</v>
      </c>
      <c r="AM21" s="2">
        <v>0</v>
      </c>
      <c r="AN21" s="2">
        <v>34.200000000000003</v>
      </c>
      <c r="AO21" s="2">
        <v>0</v>
      </c>
      <c r="AP21" s="2">
        <v>0</v>
      </c>
      <c r="AQ21" s="2">
        <v>0</v>
      </c>
    </row>
    <row r="22" spans="1:43" x14ac:dyDescent="0.25">
      <c r="A22" s="1">
        <v>46188</v>
      </c>
      <c r="B22" t="s">
        <v>48</v>
      </c>
      <c r="C22">
        <v>649163</v>
      </c>
      <c r="D22">
        <v>2036008592</v>
      </c>
      <c r="E22" t="s">
        <v>139</v>
      </c>
      <c r="F22" t="s">
        <v>140</v>
      </c>
      <c r="G22" t="s">
        <v>51</v>
      </c>
      <c r="H22" t="s">
        <v>119</v>
      </c>
      <c r="I22" t="s">
        <v>120</v>
      </c>
      <c r="J22" t="s">
        <v>141</v>
      </c>
      <c r="K22">
        <v>766422</v>
      </c>
      <c r="L22" t="s">
        <v>142</v>
      </c>
      <c r="M22" t="s">
        <v>80</v>
      </c>
      <c r="N22" t="s">
        <v>57</v>
      </c>
      <c r="O22" s="1">
        <v>46186</v>
      </c>
      <c r="Q22" s="1">
        <v>46216</v>
      </c>
      <c r="R22" s="2">
        <v>15</v>
      </c>
      <c r="S22">
        <v>1</v>
      </c>
      <c r="T22" t="s">
        <v>58</v>
      </c>
      <c r="U22" t="s">
        <v>124</v>
      </c>
      <c r="V22" s="3">
        <v>0.19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17.100000000000001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2.85</v>
      </c>
      <c r="AM22" s="2">
        <v>0</v>
      </c>
      <c r="AN22" s="2">
        <v>17.100000000000001</v>
      </c>
      <c r="AO22" s="2">
        <v>0</v>
      </c>
      <c r="AP22" s="2">
        <v>0</v>
      </c>
      <c r="AQ22" s="2">
        <v>0</v>
      </c>
    </row>
    <row r="23" spans="1:43" x14ac:dyDescent="0.25">
      <c r="A23" s="1">
        <v>46188</v>
      </c>
      <c r="B23" t="s">
        <v>48</v>
      </c>
      <c r="C23">
        <v>649163</v>
      </c>
      <c r="D23">
        <v>2035809129</v>
      </c>
      <c r="E23" t="s">
        <v>143</v>
      </c>
      <c r="F23" t="s">
        <v>144</v>
      </c>
      <c r="G23" t="s">
        <v>51</v>
      </c>
      <c r="H23" t="s">
        <v>145</v>
      </c>
      <c r="I23" t="s">
        <v>146</v>
      </c>
      <c r="J23" t="s">
        <v>147</v>
      </c>
      <c r="K23">
        <v>959288</v>
      </c>
      <c r="L23" t="s">
        <v>148</v>
      </c>
      <c r="M23" t="s">
        <v>149</v>
      </c>
      <c r="N23" t="s">
        <v>57</v>
      </c>
      <c r="O23" s="1">
        <v>46185</v>
      </c>
      <c r="Q23" s="1">
        <v>46215</v>
      </c>
      <c r="R23" s="2">
        <v>89.64</v>
      </c>
      <c r="S23">
        <v>1</v>
      </c>
      <c r="T23" t="s">
        <v>58</v>
      </c>
      <c r="U23" t="s">
        <v>59</v>
      </c>
      <c r="V23" s="4">
        <v>0.375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201.72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33.619999999999997</v>
      </c>
      <c r="AM23" s="2">
        <v>0</v>
      </c>
      <c r="AN23" s="2">
        <v>201.72</v>
      </c>
      <c r="AO23" s="2">
        <v>0</v>
      </c>
      <c r="AP23" s="2">
        <v>0</v>
      </c>
      <c r="AQ23" s="2">
        <v>0</v>
      </c>
    </row>
    <row r="24" spans="1:43" x14ac:dyDescent="0.25">
      <c r="A24" s="1">
        <v>46188</v>
      </c>
      <c r="B24" t="s">
        <v>48</v>
      </c>
      <c r="C24">
        <v>649163</v>
      </c>
      <c r="D24">
        <v>2035914449</v>
      </c>
      <c r="E24" t="s">
        <v>81</v>
      </c>
      <c r="F24" t="s">
        <v>82</v>
      </c>
      <c r="G24" t="s">
        <v>51</v>
      </c>
      <c r="H24" t="s">
        <v>83</v>
      </c>
      <c r="I24" t="s">
        <v>146</v>
      </c>
      <c r="J24" t="s">
        <v>147</v>
      </c>
      <c r="K24">
        <v>673059</v>
      </c>
      <c r="L24" t="s">
        <v>85</v>
      </c>
      <c r="M24" t="s">
        <v>86</v>
      </c>
      <c r="N24" t="s">
        <v>57</v>
      </c>
      <c r="O24" s="1">
        <v>46204</v>
      </c>
      <c r="Q24" s="1">
        <v>46235</v>
      </c>
      <c r="R24" s="2">
        <v>49.18</v>
      </c>
      <c r="S24">
        <v>1</v>
      </c>
      <c r="T24" t="s">
        <v>58</v>
      </c>
      <c r="U24" t="s">
        <v>59</v>
      </c>
      <c r="V24" s="4">
        <v>0.375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110.64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18.440000000000001</v>
      </c>
      <c r="AM24" s="2">
        <v>0</v>
      </c>
      <c r="AN24" s="2">
        <v>110.64</v>
      </c>
      <c r="AO24" s="2">
        <v>0</v>
      </c>
      <c r="AP24" s="2">
        <v>0</v>
      </c>
      <c r="AQ24" s="2">
        <v>0</v>
      </c>
    </row>
    <row r="25" spans="1:43" x14ac:dyDescent="0.25">
      <c r="A25" s="1">
        <v>46188</v>
      </c>
      <c r="B25" t="s">
        <v>48</v>
      </c>
      <c r="C25">
        <v>649163</v>
      </c>
      <c r="D25">
        <v>2035940836</v>
      </c>
      <c r="E25" t="s">
        <v>93</v>
      </c>
      <c r="F25" t="s">
        <v>94</v>
      </c>
      <c r="G25" t="s">
        <v>51</v>
      </c>
      <c r="H25" t="s">
        <v>95</v>
      </c>
      <c r="I25" t="s">
        <v>146</v>
      </c>
      <c r="J25" t="s">
        <v>147</v>
      </c>
      <c r="K25">
        <v>673059</v>
      </c>
      <c r="L25" t="s">
        <v>85</v>
      </c>
      <c r="M25" t="s">
        <v>86</v>
      </c>
      <c r="N25" t="s">
        <v>57</v>
      </c>
      <c r="O25" s="1">
        <v>46204</v>
      </c>
      <c r="Q25" s="1">
        <v>46235</v>
      </c>
      <c r="R25" s="2">
        <v>36.119999999999997</v>
      </c>
      <c r="S25">
        <v>1</v>
      </c>
      <c r="T25" t="s">
        <v>58</v>
      </c>
      <c r="U25" t="s">
        <v>59</v>
      </c>
      <c r="V25" s="4">
        <v>0.375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81.239999999999995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13.54</v>
      </c>
      <c r="AM25" s="2">
        <v>0</v>
      </c>
      <c r="AN25" s="2">
        <v>81.239999999999995</v>
      </c>
      <c r="AO25" s="2">
        <v>0</v>
      </c>
      <c r="AP25" s="2">
        <v>0</v>
      </c>
      <c r="AQ25" s="2">
        <v>0</v>
      </c>
    </row>
    <row r="26" spans="1:43" x14ac:dyDescent="0.25">
      <c r="A26" s="1">
        <v>46188</v>
      </c>
      <c r="B26" t="s">
        <v>48</v>
      </c>
      <c r="C26">
        <v>649163</v>
      </c>
      <c r="D26">
        <v>2035954543</v>
      </c>
      <c r="E26" t="s">
        <v>150</v>
      </c>
      <c r="F26" t="s">
        <v>151</v>
      </c>
      <c r="G26" t="s">
        <v>51</v>
      </c>
      <c r="H26" t="s">
        <v>95</v>
      </c>
      <c r="I26" t="s">
        <v>146</v>
      </c>
      <c r="J26" t="s">
        <v>147</v>
      </c>
      <c r="K26">
        <v>974687</v>
      </c>
      <c r="L26" t="s">
        <v>152</v>
      </c>
      <c r="M26" t="s">
        <v>153</v>
      </c>
      <c r="N26" t="s">
        <v>57</v>
      </c>
      <c r="O26" s="1">
        <v>46184</v>
      </c>
      <c r="Q26" s="1">
        <v>46214</v>
      </c>
      <c r="R26" s="2">
        <v>73.17</v>
      </c>
      <c r="S26">
        <v>1</v>
      </c>
      <c r="T26" t="s">
        <v>58</v>
      </c>
      <c r="U26" t="s">
        <v>59</v>
      </c>
      <c r="V26" s="4">
        <v>0.375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164.64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27.44</v>
      </c>
      <c r="AM26" s="2">
        <v>0</v>
      </c>
      <c r="AN26" s="2">
        <v>164.64</v>
      </c>
      <c r="AO26" s="2">
        <v>0</v>
      </c>
      <c r="AP26" s="2">
        <v>0</v>
      </c>
      <c r="AQ26" s="2">
        <v>0</v>
      </c>
    </row>
    <row r="27" spans="1:43" x14ac:dyDescent="0.25">
      <c r="A27" s="1">
        <v>46188</v>
      </c>
      <c r="B27" t="s">
        <v>48</v>
      </c>
      <c r="C27">
        <v>649163</v>
      </c>
      <c r="D27">
        <v>2035976427</v>
      </c>
      <c r="E27" t="s">
        <v>154</v>
      </c>
      <c r="F27" t="s">
        <v>155</v>
      </c>
      <c r="G27" t="s">
        <v>51</v>
      </c>
      <c r="H27" t="s">
        <v>83</v>
      </c>
      <c r="I27" t="s">
        <v>146</v>
      </c>
      <c r="J27" t="s">
        <v>147</v>
      </c>
      <c r="K27">
        <v>956422</v>
      </c>
      <c r="L27" t="s">
        <v>91</v>
      </c>
      <c r="M27" t="s">
        <v>92</v>
      </c>
      <c r="N27" t="s">
        <v>57</v>
      </c>
      <c r="O27" s="1">
        <v>46185</v>
      </c>
      <c r="Q27" s="1">
        <v>46215</v>
      </c>
      <c r="R27" s="2">
        <v>25.89</v>
      </c>
      <c r="S27">
        <v>1</v>
      </c>
      <c r="T27" t="s">
        <v>58</v>
      </c>
      <c r="U27" t="s">
        <v>59</v>
      </c>
      <c r="V27" s="4">
        <v>0.375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58.26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9.7100000000000009</v>
      </c>
      <c r="AM27" s="2">
        <v>0</v>
      </c>
      <c r="AN27" s="2">
        <v>58.26</v>
      </c>
      <c r="AO27" s="2">
        <v>0</v>
      </c>
      <c r="AP27" s="2">
        <v>0</v>
      </c>
      <c r="AQ27" s="2">
        <v>0</v>
      </c>
    </row>
    <row r="28" spans="1:43" x14ac:dyDescent="0.25">
      <c r="A28" s="1">
        <v>46188</v>
      </c>
      <c r="B28" t="s">
        <v>48</v>
      </c>
      <c r="C28">
        <v>649163</v>
      </c>
      <c r="D28">
        <v>2035982972</v>
      </c>
      <c r="E28" t="s">
        <v>156</v>
      </c>
      <c r="F28" t="s">
        <v>157</v>
      </c>
      <c r="G28" t="s">
        <v>51</v>
      </c>
      <c r="H28" t="s">
        <v>52</v>
      </c>
      <c r="I28" t="s">
        <v>146</v>
      </c>
      <c r="J28" t="s">
        <v>147</v>
      </c>
      <c r="K28">
        <v>650218</v>
      </c>
      <c r="L28" t="s">
        <v>158</v>
      </c>
      <c r="M28" t="s">
        <v>159</v>
      </c>
      <c r="N28" t="s">
        <v>57</v>
      </c>
      <c r="O28" s="1">
        <v>46185</v>
      </c>
      <c r="Q28" s="1">
        <v>46215</v>
      </c>
      <c r="R28" s="2">
        <v>45.42</v>
      </c>
      <c r="S28">
        <v>1</v>
      </c>
      <c r="T28" t="s">
        <v>58</v>
      </c>
      <c r="U28" t="s">
        <v>59</v>
      </c>
      <c r="V28" s="4">
        <v>0.375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102.18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17.03</v>
      </c>
      <c r="AM28" s="2">
        <v>0</v>
      </c>
      <c r="AN28" s="2">
        <v>102.18</v>
      </c>
      <c r="AO28" s="2">
        <v>0</v>
      </c>
      <c r="AP28" s="2">
        <v>0</v>
      </c>
      <c r="AQ28" s="2">
        <v>0</v>
      </c>
    </row>
    <row r="29" spans="1:43" x14ac:dyDescent="0.25">
      <c r="A29" s="1">
        <v>46188</v>
      </c>
      <c r="B29" t="s">
        <v>48</v>
      </c>
      <c r="C29">
        <v>649163</v>
      </c>
      <c r="D29">
        <v>2035984863</v>
      </c>
      <c r="E29" t="s">
        <v>160</v>
      </c>
      <c r="F29" t="s">
        <v>161</v>
      </c>
      <c r="G29" t="s">
        <v>51</v>
      </c>
      <c r="H29" t="s">
        <v>162</v>
      </c>
      <c r="I29" t="s">
        <v>146</v>
      </c>
      <c r="J29" t="s">
        <v>147</v>
      </c>
      <c r="K29">
        <v>970074</v>
      </c>
      <c r="L29" t="s">
        <v>101</v>
      </c>
      <c r="M29" t="s">
        <v>102</v>
      </c>
      <c r="N29" t="s">
        <v>57</v>
      </c>
      <c r="O29" s="1">
        <v>46185</v>
      </c>
      <c r="Q29" s="1">
        <v>46215</v>
      </c>
      <c r="R29" s="2">
        <v>58.96</v>
      </c>
      <c r="S29">
        <v>1</v>
      </c>
      <c r="T29" t="s">
        <v>58</v>
      </c>
      <c r="U29" t="s">
        <v>59</v>
      </c>
      <c r="V29" s="4">
        <v>0.375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132.66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22.11</v>
      </c>
      <c r="AM29" s="2">
        <v>0</v>
      </c>
      <c r="AN29" s="2">
        <v>132.66</v>
      </c>
      <c r="AO29" s="2">
        <v>0</v>
      </c>
      <c r="AP29" s="2">
        <v>0</v>
      </c>
      <c r="AQ29" s="2">
        <v>0</v>
      </c>
    </row>
    <row r="30" spans="1:43" x14ac:dyDescent="0.25">
      <c r="A30" s="1">
        <v>46188</v>
      </c>
      <c r="B30" t="s">
        <v>48</v>
      </c>
      <c r="C30">
        <v>649163</v>
      </c>
      <c r="D30">
        <v>2035988154</v>
      </c>
      <c r="E30" t="s">
        <v>163</v>
      </c>
      <c r="F30" t="s">
        <v>164</v>
      </c>
      <c r="G30" t="s">
        <v>51</v>
      </c>
      <c r="H30" t="s">
        <v>165</v>
      </c>
      <c r="I30" t="s">
        <v>146</v>
      </c>
      <c r="J30" t="s">
        <v>147</v>
      </c>
      <c r="K30">
        <v>938894</v>
      </c>
      <c r="L30" t="s">
        <v>166</v>
      </c>
      <c r="M30" t="s">
        <v>167</v>
      </c>
      <c r="N30" t="s">
        <v>57</v>
      </c>
      <c r="O30" s="1">
        <v>46204</v>
      </c>
      <c r="Q30" s="1">
        <v>46235</v>
      </c>
      <c r="R30" s="2">
        <v>42.22</v>
      </c>
      <c r="S30">
        <v>1</v>
      </c>
      <c r="T30" t="s">
        <v>58</v>
      </c>
      <c r="U30" t="s">
        <v>59</v>
      </c>
      <c r="V30" s="4">
        <v>0.375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94.98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15.83</v>
      </c>
      <c r="AM30" s="2">
        <v>0</v>
      </c>
      <c r="AN30" s="2">
        <v>94.98</v>
      </c>
      <c r="AO30" s="2">
        <v>0</v>
      </c>
      <c r="AP30" s="2">
        <v>0</v>
      </c>
      <c r="AQ30" s="2">
        <v>0</v>
      </c>
    </row>
    <row r="31" spans="1:43" x14ac:dyDescent="0.25">
      <c r="A31" s="1">
        <v>46188</v>
      </c>
      <c r="B31" t="s">
        <v>48</v>
      </c>
      <c r="C31">
        <v>649163</v>
      </c>
      <c r="D31">
        <v>2036009071</v>
      </c>
      <c r="E31" t="s">
        <v>168</v>
      </c>
      <c r="F31" t="s">
        <v>169</v>
      </c>
      <c r="G31" t="s">
        <v>51</v>
      </c>
      <c r="H31" t="s">
        <v>170</v>
      </c>
      <c r="I31" t="s">
        <v>146</v>
      </c>
      <c r="J31" t="s">
        <v>147</v>
      </c>
      <c r="K31">
        <v>767312</v>
      </c>
      <c r="L31" t="s">
        <v>171</v>
      </c>
      <c r="M31" t="s">
        <v>172</v>
      </c>
      <c r="N31" t="s">
        <v>57</v>
      </c>
      <c r="O31" s="1">
        <v>46186</v>
      </c>
      <c r="Q31" s="1">
        <v>46216</v>
      </c>
      <c r="R31" s="2">
        <v>25.44</v>
      </c>
      <c r="S31">
        <v>1</v>
      </c>
      <c r="T31" t="s">
        <v>58</v>
      </c>
      <c r="U31" t="s">
        <v>59</v>
      </c>
      <c r="V31" s="4">
        <v>0.375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57.24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9.5399999999999991</v>
      </c>
      <c r="AM31" s="2">
        <v>0</v>
      </c>
      <c r="AN31" s="2">
        <v>57.24</v>
      </c>
      <c r="AO31" s="2">
        <v>0</v>
      </c>
      <c r="AP31" s="2">
        <v>0</v>
      </c>
      <c r="AQ31" s="2">
        <v>0</v>
      </c>
    </row>
    <row r="32" spans="1:43" x14ac:dyDescent="0.25">
      <c r="A32" s="1">
        <v>46188</v>
      </c>
      <c r="B32" t="s">
        <v>48</v>
      </c>
      <c r="C32">
        <v>649163</v>
      </c>
      <c r="D32">
        <v>2036017842</v>
      </c>
      <c r="E32" t="s">
        <v>114</v>
      </c>
      <c r="F32" t="s">
        <v>115</v>
      </c>
      <c r="G32" t="s">
        <v>51</v>
      </c>
      <c r="H32" t="s">
        <v>70</v>
      </c>
      <c r="I32" t="s">
        <v>146</v>
      </c>
      <c r="J32" t="s">
        <v>147</v>
      </c>
      <c r="K32">
        <v>823350</v>
      </c>
      <c r="L32" t="s">
        <v>73</v>
      </c>
      <c r="M32" t="s">
        <v>116</v>
      </c>
      <c r="N32" t="s">
        <v>57</v>
      </c>
      <c r="O32" s="1">
        <v>46204</v>
      </c>
      <c r="Q32" s="1">
        <v>46235</v>
      </c>
      <c r="R32" s="2">
        <v>22.26</v>
      </c>
      <c r="S32">
        <v>1</v>
      </c>
      <c r="T32" t="s">
        <v>58</v>
      </c>
      <c r="U32" t="s">
        <v>59</v>
      </c>
      <c r="V32" s="4">
        <v>0.375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50.1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8.35</v>
      </c>
      <c r="AM32" s="2">
        <v>0</v>
      </c>
      <c r="AN32" s="2">
        <v>50.1</v>
      </c>
      <c r="AO32" s="2">
        <v>0</v>
      </c>
      <c r="AP32" s="2">
        <v>0</v>
      </c>
      <c r="AQ32" s="2">
        <v>0</v>
      </c>
    </row>
    <row r="33" spans="1:43" x14ac:dyDescent="0.25">
      <c r="A33" s="1">
        <v>46188</v>
      </c>
      <c r="B33" t="s">
        <v>48</v>
      </c>
      <c r="C33">
        <v>649163</v>
      </c>
      <c r="D33">
        <v>2036023975</v>
      </c>
      <c r="E33" t="s">
        <v>66</v>
      </c>
      <c r="F33" t="s">
        <v>67</v>
      </c>
      <c r="G33" t="s">
        <v>51</v>
      </c>
      <c r="H33" t="s">
        <v>52</v>
      </c>
      <c r="I33" t="s">
        <v>146</v>
      </c>
      <c r="J33" t="s">
        <v>147</v>
      </c>
      <c r="K33">
        <v>751867</v>
      </c>
      <c r="L33" t="s">
        <v>55</v>
      </c>
      <c r="M33" t="s">
        <v>56</v>
      </c>
      <c r="N33" t="s">
        <v>57</v>
      </c>
      <c r="O33" s="1">
        <v>46187</v>
      </c>
      <c r="Q33" s="1">
        <v>46217</v>
      </c>
      <c r="R33" s="2">
        <v>83.91</v>
      </c>
      <c r="S33">
        <v>1</v>
      </c>
      <c r="T33" t="s">
        <v>58</v>
      </c>
      <c r="U33" t="s">
        <v>59</v>
      </c>
      <c r="V33" s="4">
        <v>0.375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188.82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31.47</v>
      </c>
      <c r="AM33" s="2">
        <v>0</v>
      </c>
      <c r="AN33" s="2">
        <v>188.82</v>
      </c>
      <c r="AO33" s="2">
        <v>0</v>
      </c>
      <c r="AP33" s="2">
        <v>0</v>
      </c>
      <c r="AQ33" s="2">
        <v>0</v>
      </c>
    </row>
    <row r="34" spans="1:43" x14ac:dyDescent="0.25">
      <c r="A34" s="1">
        <v>46188</v>
      </c>
      <c r="B34" t="s">
        <v>48</v>
      </c>
      <c r="C34">
        <v>649163</v>
      </c>
      <c r="D34">
        <v>2035417102</v>
      </c>
      <c r="E34" t="s">
        <v>117</v>
      </c>
      <c r="F34" t="s">
        <v>118</v>
      </c>
      <c r="G34" t="s">
        <v>51</v>
      </c>
      <c r="H34" t="s">
        <v>119</v>
      </c>
      <c r="I34" t="s">
        <v>173</v>
      </c>
      <c r="J34" t="s">
        <v>174</v>
      </c>
      <c r="K34">
        <v>814033</v>
      </c>
      <c r="L34" t="s">
        <v>122</v>
      </c>
      <c r="M34" t="s">
        <v>123</v>
      </c>
      <c r="N34" t="s">
        <v>57</v>
      </c>
      <c r="O34" s="1">
        <v>46186</v>
      </c>
      <c r="Q34" s="1">
        <v>46216</v>
      </c>
      <c r="R34" s="2">
        <v>486.8</v>
      </c>
      <c r="S34">
        <v>1</v>
      </c>
      <c r="T34" t="s">
        <v>58</v>
      </c>
      <c r="U34" t="s">
        <v>59</v>
      </c>
      <c r="V34" s="3">
        <v>0.38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1109.8800000000001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184.98</v>
      </c>
      <c r="AM34" s="2">
        <v>0</v>
      </c>
      <c r="AN34" s="2">
        <v>1109.8800000000001</v>
      </c>
      <c r="AO34" s="2">
        <v>0</v>
      </c>
      <c r="AP34" s="2">
        <v>0</v>
      </c>
      <c r="AQ34" s="2">
        <v>0</v>
      </c>
    </row>
    <row r="35" spans="1:43" x14ac:dyDescent="0.25">
      <c r="A35" s="1">
        <v>46188</v>
      </c>
      <c r="B35" t="s">
        <v>48</v>
      </c>
      <c r="C35">
        <v>649163</v>
      </c>
      <c r="D35">
        <v>2035861703</v>
      </c>
      <c r="E35" t="s">
        <v>126</v>
      </c>
      <c r="F35" t="s">
        <v>127</v>
      </c>
      <c r="G35" t="s">
        <v>51</v>
      </c>
      <c r="H35" t="s">
        <v>119</v>
      </c>
      <c r="I35" t="s">
        <v>173</v>
      </c>
      <c r="J35" t="s">
        <v>174</v>
      </c>
      <c r="K35">
        <v>820873</v>
      </c>
      <c r="L35" t="s">
        <v>128</v>
      </c>
      <c r="M35" t="s">
        <v>129</v>
      </c>
      <c r="N35" t="s">
        <v>57</v>
      </c>
      <c r="O35" s="1">
        <v>46190</v>
      </c>
      <c r="Q35" s="1">
        <v>46220</v>
      </c>
      <c r="R35" s="2">
        <v>371.07</v>
      </c>
      <c r="S35">
        <v>1</v>
      </c>
      <c r="T35" t="s">
        <v>58</v>
      </c>
      <c r="U35" t="s">
        <v>59</v>
      </c>
      <c r="V35" s="3">
        <v>0.38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846.06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141.01</v>
      </c>
      <c r="AM35" s="2">
        <v>0</v>
      </c>
      <c r="AN35" s="2">
        <v>846.06</v>
      </c>
      <c r="AO35" s="2">
        <v>0</v>
      </c>
      <c r="AP35" s="2">
        <v>0</v>
      </c>
      <c r="AQ35" s="2">
        <v>0</v>
      </c>
    </row>
    <row r="36" spans="1:43" x14ac:dyDescent="0.25">
      <c r="A36" s="1">
        <v>46188</v>
      </c>
      <c r="B36" t="s">
        <v>48</v>
      </c>
      <c r="C36">
        <v>649163</v>
      </c>
      <c r="D36">
        <v>2035920647</v>
      </c>
      <c r="E36" t="s">
        <v>175</v>
      </c>
      <c r="F36" t="s">
        <v>76</v>
      </c>
      <c r="G36" t="s">
        <v>51</v>
      </c>
      <c r="H36" t="s">
        <v>52</v>
      </c>
      <c r="I36" t="s">
        <v>173</v>
      </c>
      <c r="J36" t="s">
        <v>176</v>
      </c>
      <c r="K36">
        <v>650218</v>
      </c>
      <c r="L36" t="s">
        <v>158</v>
      </c>
      <c r="M36" t="s">
        <v>159</v>
      </c>
      <c r="N36" t="s">
        <v>57</v>
      </c>
      <c r="O36" s="1">
        <v>46182</v>
      </c>
      <c r="Q36" s="1">
        <v>46212</v>
      </c>
      <c r="R36" s="2">
        <v>47.17</v>
      </c>
      <c r="S36">
        <v>1</v>
      </c>
      <c r="T36" t="s">
        <v>58</v>
      </c>
      <c r="U36" t="s">
        <v>59</v>
      </c>
      <c r="V36" s="3">
        <v>0.38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107.52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17.920000000000002</v>
      </c>
      <c r="AM36" s="2">
        <v>0</v>
      </c>
      <c r="AN36" s="2">
        <v>107.52</v>
      </c>
      <c r="AO36" s="2">
        <v>0</v>
      </c>
      <c r="AP36" s="2">
        <v>0</v>
      </c>
      <c r="AQ36" s="2">
        <v>0</v>
      </c>
    </row>
    <row r="37" spans="1:43" x14ac:dyDescent="0.25">
      <c r="A37" s="1">
        <v>46188</v>
      </c>
      <c r="B37" t="s">
        <v>48</v>
      </c>
      <c r="C37">
        <v>649163</v>
      </c>
      <c r="D37">
        <v>2035971526</v>
      </c>
      <c r="E37" t="s">
        <v>135</v>
      </c>
      <c r="F37" t="s">
        <v>136</v>
      </c>
      <c r="G37" t="s">
        <v>51</v>
      </c>
      <c r="H37" t="s">
        <v>77</v>
      </c>
      <c r="I37" t="s">
        <v>173</v>
      </c>
      <c r="J37" t="s">
        <v>174</v>
      </c>
      <c r="K37">
        <v>902625</v>
      </c>
      <c r="L37" t="s">
        <v>137</v>
      </c>
      <c r="M37" t="s">
        <v>138</v>
      </c>
      <c r="N37" t="s">
        <v>57</v>
      </c>
      <c r="O37" s="1">
        <v>46164</v>
      </c>
      <c r="Q37" s="1">
        <v>46195</v>
      </c>
      <c r="R37" s="2">
        <v>217.56</v>
      </c>
      <c r="S37">
        <v>1</v>
      </c>
      <c r="T37" t="s">
        <v>58</v>
      </c>
      <c r="U37" t="s">
        <v>59</v>
      </c>
      <c r="V37" s="3">
        <v>0.38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496.02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82.67</v>
      </c>
      <c r="AM37" s="2">
        <v>0</v>
      </c>
      <c r="AN37" s="2">
        <v>496.02</v>
      </c>
      <c r="AO37" s="2">
        <v>0</v>
      </c>
      <c r="AP37" s="2">
        <v>0</v>
      </c>
      <c r="AQ37" s="2">
        <v>0</v>
      </c>
    </row>
    <row r="38" spans="1:43" x14ac:dyDescent="0.25">
      <c r="A38" s="1">
        <v>46188</v>
      </c>
      <c r="B38" t="s">
        <v>48</v>
      </c>
      <c r="C38">
        <v>649163</v>
      </c>
      <c r="D38">
        <v>2035971528</v>
      </c>
      <c r="E38" t="s">
        <v>135</v>
      </c>
      <c r="F38" t="s">
        <v>136</v>
      </c>
      <c r="G38" t="s">
        <v>51</v>
      </c>
      <c r="H38" t="s">
        <v>77</v>
      </c>
      <c r="I38" t="s">
        <v>173</v>
      </c>
      <c r="J38" t="s">
        <v>177</v>
      </c>
      <c r="K38">
        <v>902625</v>
      </c>
      <c r="L38" t="s">
        <v>137</v>
      </c>
      <c r="M38" t="s">
        <v>138</v>
      </c>
      <c r="N38" t="s">
        <v>57</v>
      </c>
      <c r="O38" s="1">
        <v>46164</v>
      </c>
      <c r="Q38" s="1">
        <v>46195</v>
      </c>
      <c r="R38" s="2">
        <v>9.9499999999999993</v>
      </c>
      <c r="S38">
        <v>1</v>
      </c>
      <c r="T38" t="s">
        <v>58</v>
      </c>
      <c r="U38" t="s">
        <v>59</v>
      </c>
      <c r="V38" s="3">
        <v>0.38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22.68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3.78</v>
      </c>
      <c r="AM38" s="2">
        <v>0</v>
      </c>
      <c r="AN38" s="2">
        <v>22.68</v>
      </c>
      <c r="AO38" s="2">
        <v>0</v>
      </c>
      <c r="AP38" s="2">
        <v>0</v>
      </c>
      <c r="AQ38" s="2">
        <v>0</v>
      </c>
    </row>
    <row r="39" spans="1:43" x14ac:dyDescent="0.25">
      <c r="A39" s="1">
        <v>46188</v>
      </c>
      <c r="B39" t="s">
        <v>48</v>
      </c>
      <c r="C39">
        <v>649163</v>
      </c>
      <c r="D39">
        <v>2035974517</v>
      </c>
      <c r="E39" t="s">
        <v>49</v>
      </c>
      <c r="F39" t="s">
        <v>50</v>
      </c>
      <c r="G39" t="s">
        <v>51</v>
      </c>
      <c r="H39" t="s">
        <v>52</v>
      </c>
      <c r="I39" t="s">
        <v>173</v>
      </c>
      <c r="J39" t="s">
        <v>176</v>
      </c>
      <c r="K39">
        <v>751867</v>
      </c>
      <c r="L39" t="s">
        <v>55</v>
      </c>
      <c r="M39" t="s">
        <v>56</v>
      </c>
      <c r="N39" t="s">
        <v>57</v>
      </c>
      <c r="O39" s="1">
        <v>46185</v>
      </c>
      <c r="Q39" s="1">
        <v>46215</v>
      </c>
      <c r="R39" s="2">
        <v>40.35</v>
      </c>
      <c r="S39">
        <v>1</v>
      </c>
      <c r="T39" t="s">
        <v>58</v>
      </c>
      <c r="U39" t="s">
        <v>59</v>
      </c>
      <c r="V39" s="3">
        <v>0.38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91.98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15.33</v>
      </c>
      <c r="AM39" s="2">
        <v>0</v>
      </c>
      <c r="AN39" s="2">
        <v>91.98</v>
      </c>
      <c r="AO39" s="2">
        <v>0</v>
      </c>
      <c r="AP39" s="2">
        <v>0</v>
      </c>
      <c r="AQ39" s="2">
        <v>0</v>
      </c>
    </row>
    <row r="40" spans="1:43" x14ac:dyDescent="0.25">
      <c r="A40" s="1">
        <v>46188</v>
      </c>
      <c r="B40" t="s">
        <v>48</v>
      </c>
      <c r="C40">
        <v>649163</v>
      </c>
      <c r="D40">
        <v>2035982971</v>
      </c>
      <c r="E40" t="s">
        <v>156</v>
      </c>
      <c r="F40" t="s">
        <v>157</v>
      </c>
      <c r="G40" t="s">
        <v>51</v>
      </c>
      <c r="H40" t="s">
        <v>52</v>
      </c>
      <c r="I40" t="s">
        <v>173</v>
      </c>
      <c r="J40" t="s">
        <v>176</v>
      </c>
      <c r="K40">
        <v>650218</v>
      </c>
      <c r="L40" t="s">
        <v>158</v>
      </c>
      <c r="M40" t="s">
        <v>159</v>
      </c>
      <c r="N40" t="s">
        <v>57</v>
      </c>
      <c r="O40" s="1">
        <v>46185</v>
      </c>
      <c r="Q40" s="1">
        <v>46215</v>
      </c>
      <c r="R40" s="2">
        <v>53.16</v>
      </c>
      <c r="S40">
        <v>1</v>
      </c>
      <c r="T40" t="s">
        <v>58</v>
      </c>
      <c r="U40" t="s">
        <v>59</v>
      </c>
      <c r="V40" s="3">
        <v>0.38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121.2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20.2</v>
      </c>
      <c r="AM40" s="2">
        <v>0</v>
      </c>
      <c r="AN40" s="2">
        <v>121.2</v>
      </c>
      <c r="AO40" s="2">
        <v>0</v>
      </c>
      <c r="AP40" s="2">
        <v>0</v>
      </c>
      <c r="AQ40" s="2">
        <v>0</v>
      </c>
    </row>
    <row r="41" spans="1:43" x14ac:dyDescent="0.25">
      <c r="A41" s="1">
        <v>46188</v>
      </c>
      <c r="B41" t="s">
        <v>48</v>
      </c>
      <c r="C41">
        <v>649163</v>
      </c>
      <c r="D41">
        <v>2036006840</v>
      </c>
      <c r="E41" t="s">
        <v>178</v>
      </c>
      <c r="F41" t="s">
        <v>172</v>
      </c>
      <c r="G41" t="s">
        <v>51</v>
      </c>
      <c r="H41" t="s">
        <v>52</v>
      </c>
      <c r="I41" t="s">
        <v>173</v>
      </c>
      <c r="J41" t="s">
        <v>174</v>
      </c>
      <c r="K41">
        <v>929503</v>
      </c>
      <c r="L41" t="s">
        <v>179</v>
      </c>
      <c r="M41" t="s">
        <v>180</v>
      </c>
      <c r="N41" t="s">
        <v>57</v>
      </c>
      <c r="O41" s="1">
        <v>46186</v>
      </c>
      <c r="Q41" s="1">
        <v>46216</v>
      </c>
      <c r="R41" s="2">
        <v>224.57</v>
      </c>
      <c r="S41">
        <v>1</v>
      </c>
      <c r="T41" t="s">
        <v>58</v>
      </c>
      <c r="U41" t="s">
        <v>59</v>
      </c>
      <c r="V41" s="3">
        <v>0.38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512.04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85.34</v>
      </c>
      <c r="AM41" s="2">
        <v>0</v>
      </c>
      <c r="AN41" s="2">
        <v>512.04</v>
      </c>
      <c r="AO41" s="2">
        <v>0</v>
      </c>
      <c r="AP41" s="2">
        <v>0</v>
      </c>
      <c r="AQ41" s="2">
        <v>0</v>
      </c>
    </row>
    <row r="42" spans="1:43" x14ac:dyDescent="0.25">
      <c r="A42" s="1">
        <v>46188</v>
      </c>
      <c r="B42" t="s">
        <v>48</v>
      </c>
      <c r="C42">
        <v>649163</v>
      </c>
      <c r="D42">
        <v>2036006841</v>
      </c>
      <c r="E42" t="s">
        <v>178</v>
      </c>
      <c r="F42" t="s">
        <v>172</v>
      </c>
      <c r="G42" t="s">
        <v>51</v>
      </c>
      <c r="H42" t="s">
        <v>52</v>
      </c>
      <c r="I42" t="s">
        <v>173</v>
      </c>
      <c r="J42" t="s">
        <v>177</v>
      </c>
      <c r="K42">
        <v>929503</v>
      </c>
      <c r="L42" t="s">
        <v>179</v>
      </c>
      <c r="M42" t="s">
        <v>180</v>
      </c>
      <c r="N42" t="s">
        <v>57</v>
      </c>
      <c r="O42" s="1">
        <v>46186</v>
      </c>
      <c r="Q42" s="1">
        <v>46216</v>
      </c>
      <c r="R42" s="2">
        <v>9.9499999999999993</v>
      </c>
      <c r="S42">
        <v>1</v>
      </c>
      <c r="T42" t="s">
        <v>58</v>
      </c>
      <c r="U42" t="s">
        <v>59</v>
      </c>
      <c r="V42" s="3">
        <v>0.38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22.68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3.78</v>
      </c>
      <c r="AM42" s="2">
        <v>0</v>
      </c>
      <c r="AN42" s="2">
        <v>22.68</v>
      </c>
      <c r="AO42" s="2">
        <v>0</v>
      </c>
      <c r="AP42" s="2">
        <v>0</v>
      </c>
      <c r="AQ42" s="2">
        <v>0</v>
      </c>
    </row>
    <row r="43" spans="1:43" x14ac:dyDescent="0.25">
      <c r="A43" s="1">
        <v>46188</v>
      </c>
      <c r="B43" t="s">
        <v>48</v>
      </c>
      <c r="C43">
        <v>649163</v>
      </c>
      <c r="D43">
        <v>2036008589</v>
      </c>
      <c r="E43" t="s">
        <v>139</v>
      </c>
      <c r="F43" t="s">
        <v>140</v>
      </c>
      <c r="G43" t="s">
        <v>51</v>
      </c>
      <c r="H43" t="s">
        <v>119</v>
      </c>
      <c r="I43" t="s">
        <v>173</v>
      </c>
      <c r="J43" t="s">
        <v>181</v>
      </c>
      <c r="K43">
        <v>766422</v>
      </c>
      <c r="L43" t="s">
        <v>142</v>
      </c>
      <c r="M43" t="s">
        <v>80</v>
      </c>
      <c r="N43" t="s">
        <v>57</v>
      </c>
      <c r="O43" s="1">
        <v>46186</v>
      </c>
      <c r="Q43" s="1">
        <v>46216</v>
      </c>
      <c r="R43" s="2">
        <v>100.48</v>
      </c>
      <c r="S43">
        <v>1</v>
      </c>
      <c r="T43" t="s">
        <v>58</v>
      </c>
      <c r="U43" t="s">
        <v>59</v>
      </c>
      <c r="V43" s="3">
        <v>0.19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114.54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19.09</v>
      </c>
      <c r="AM43" s="2">
        <v>0</v>
      </c>
      <c r="AN43" s="2">
        <v>114.54</v>
      </c>
      <c r="AO43" s="2">
        <v>0</v>
      </c>
      <c r="AP43" s="2">
        <v>0</v>
      </c>
      <c r="AQ43" s="2">
        <v>0</v>
      </c>
    </row>
    <row r="44" spans="1:43" x14ac:dyDescent="0.25">
      <c r="A44" s="1">
        <v>46188</v>
      </c>
      <c r="B44" t="s">
        <v>48</v>
      </c>
      <c r="C44">
        <v>649163</v>
      </c>
      <c r="D44">
        <v>2036008591</v>
      </c>
      <c r="E44" t="s">
        <v>139</v>
      </c>
      <c r="F44" t="s">
        <v>140</v>
      </c>
      <c r="G44" t="s">
        <v>51</v>
      </c>
      <c r="H44" t="s">
        <v>119</v>
      </c>
      <c r="I44" t="s">
        <v>173</v>
      </c>
      <c r="J44" t="s">
        <v>177</v>
      </c>
      <c r="K44">
        <v>766422</v>
      </c>
      <c r="L44" t="s">
        <v>142</v>
      </c>
      <c r="M44" t="s">
        <v>80</v>
      </c>
      <c r="N44" t="s">
        <v>57</v>
      </c>
      <c r="O44" s="1">
        <v>46186</v>
      </c>
      <c r="Q44" s="1">
        <v>46216</v>
      </c>
      <c r="R44" s="2">
        <v>9.9499999999999993</v>
      </c>
      <c r="S44">
        <v>1</v>
      </c>
      <c r="T44" t="s">
        <v>58</v>
      </c>
      <c r="U44" t="s">
        <v>59</v>
      </c>
      <c r="V44" s="3">
        <v>0.38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22.68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3.78</v>
      </c>
      <c r="AM44" s="2">
        <v>0</v>
      </c>
      <c r="AN44" s="2">
        <v>22.68</v>
      </c>
      <c r="AO44" s="2">
        <v>0</v>
      </c>
      <c r="AP44" s="2">
        <v>0</v>
      </c>
      <c r="AQ44" s="2">
        <v>0</v>
      </c>
    </row>
    <row r="45" spans="1:43" x14ac:dyDescent="0.25">
      <c r="A45" s="1">
        <v>46188</v>
      </c>
      <c r="B45" t="s">
        <v>48</v>
      </c>
      <c r="C45">
        <v>649163</v>
      </c>
      <c r="D45">
        <v>2035676325</v>
      </c>
      <c r="E45" t="s">
        <v>68</v>
      </c>
      <c r="F45" t="s">
        <v>69</v>
      </c>
      <c r="G45" t="s">
        <v>51</v>
      </c>
      <c r="H45" t="s">
        <v>70</v>
      </c>
      <c r="I45" t="s">
        <v>182</v>
      </c>
      <c r="J45" t="s">
        <v>183</v>
      </c>
      <c r="K45">
        <v>856163</v>
      </c>
      <c r="L45" t="s">
        <v>73</v>
      </c>
      <c r="M45" t="s">
        <v>74</v>
      </c>
      <c r="N45" t="s">
        <v>57</v>
      </c>
      <c r="O45" s="1">
        <v>46204</v>
      </c>
      <c r="Q45" s="1">
        <v>46235</v>
      </c>
      <c r="R45" s="2">
        <v>49.18</v>
      </c>
      <c r="S45">
        <v>1</v>
      </c>
      <c r="T45" t="s">
        <v>58</v>
      </c>
      <c r="U45" t="s">
        <v>59</v>
      </c>
      <c r="V45" s="3">
        <v>0.7</v>
      </c>
      <c r="W45" s="2">
        <v>0</v>
      </c>
      <c r="X45">
        <v>0</v>
      </c>
      <c r="Y45" t="s">
        <v>60</v>
      </c>
      <c r="Z45" t="s">
        <v>61</v>
      </c>
      <c r="AA45">
        <v>6</v>
      </c>
      <c r="AB45" s="2">
        <v>206.58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34.43</v>
      </c>
      <c r="AM45" s="2">
        <v>0</v>
      </c>
      <c r="AN45" s="2">
        <v>206.58</v>
      </c>
      <c r="AO45" s="2">
        <v>0</v>
      </c>
      <c r="AP45" s="2">
        <v>0</v>
      </c>
      <c r="AQ45" s="2">
        <v>0</v>
      </c>
    </row>
    <row r="46" spans="1:43" x14ac:dyDescent="0.25">
      <c r="A46" s="1">
        <v>46188</v>
      </c>
      <c r="B46" t="s">
        <v>48</v>
      </c>
      <c r="C46">
        <v>649163</v>
      </c>
      <c r="D46">
        <v>2035681664</v>
      </c>
      <c r="E46" t="s">
        <v>184</v>
      </c>
      <c r="F46" t="s">
        <v>185</v>
      </c>
      <c r="G46" t="s">
        <v>51</v>
      </c>
      <c r="H46" t="s">
        <v>186</v>
      </c>
      <c r="I46" t="s">
        <v>182</v>
      </c>
      <c r="J46" t="s">
        <v>183</v>
      </c>
      <c r="K46">
        <v>673059</v>
      </c>
      <c r="L46" t="s">
        <v>85</v>
      </c>
      <c r="M46" t="s">
        <v>86</v>
      </c>
      <c r="N46" t="s">
        <v>57</v>
      </c>
      <c r="O46" s="1">
        <v>46183</v>
      </c>
      <c r="Q46" s="1">
        <v>46213</v>
      </c>
      <c r="R46" s="2">
        <v>69.349999999999994</v>
      </c>
      <c r="S46">
        <v>1</v>
      </c>
      <c r="T46" t="s">
        <v>58</v>
      </c>
      <c r="U46" t="s">
        <v>59</v>
      </c>
      <c r="V46" s="3">
        <v>0.7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291.24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48.54</v>
      </c>
      <c r="AM46" s="2">
        <v>0</v>
      </c>
      <c r="AN46" s="2">
        <v>291.24</v>
      </c>
      <c r="AO46" s="2">
        <v>0</v>
      </c>
      <c r="AP46" s="2">
        <v>0</v>
      </c>
      <c r="AQ46" s="2">
        <v>0</v>
      </c>
    </row>
    <row r="47" spans="1:43" x14ac:dyDescent="0.25">
      <c r="A47" s="1">
        <v>46188</v>
      </c>
      <c r="B47" t="s">
        <v>48</v>
      </c>
      <c r="C47">
        <v>649163</v>
      </c>
      <c r="D47">
        <v>2035801965</v>
      </c>
      <c r="E47" t="s">
        <v>187</v>
      </c>
      <c r="F47" t="s">
        <v>188</v>
      </c>
      <c r="G47" t="s">
        <v>51</v>
      </c>
      <c r="H47" t="s">
        <v>119</v>
      </c>
      <c r="I47" t="s">
        <v>182</v>
      </c>
      <c r="J47" t="s">
        <v>183</v>
      </c>
      <c r="K47">
        <v>894525</v>
      </c>
      <c r="L47" t="s">
        <v>189</v>
      </c>
      <c r="M47" t="s">
        <v>190</v>
      </c>
      <c r="N47" t="s">
        <v>57</v>
      </c>
      <c r="O47" s="1">
        <v>46186</v>
      </c>
      <c r="Q47" s="1">
        <v>46216</v>
      </c>
      <c r="R47" s="2">
        <v>92.38</v>
      </c>
      <c r="S47">
        <v>1</v>
      </c>
      <c r="T47" t="s">
        <v>58</v>
      </c>
      <c r="U47" t="s">
        <v>59</v>
      </c>
      <c r="V47" s="3">
        <v>0.7</v>
      </c>
      <c r="W47" s="2">
        <v>0</v>
      </c>
      <c r="X47">
        <v>0</v>
      </c>
      <c r="Y47" t="s">
        <v>60</v>
      </c>
      <c r="Z47" t="s">
        <v>61</v>
      </c>
      <c r="AA47">
        <v>6</v>
      </c>
      <c r="AB47" s="2">
        <v>388.02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64.67</v>
      </c>
      <c r="AM47" s="2">
        <v>0</v>
      </c>
      <c r="AN47" s="2">
        <v>388.02</v>
      </c>
      <c r="AO47" s="2">
        <v>0</v>
      </c>
      <c r="AP47" s="2">
        <v>0</v>
      </c>
      <c r="AQ47" s="2">
        <v>0</v>
      </c>
    </row>
    <row r="48" spans="1:43" x14ac:dyDescent="0.25">
      <c r="A48" s="1">
        <v>46188</v>
      </c>
      <c r="B48" t="s">
        <v>48</v>
      </c>
      <c r="C48">
        <v>649163</v>
      </c>
      <c r="D48">
        <v>2035809172</v>
      </c>
      <c r="E48" t="s">
        <v>75</v>
      </c>
      <c r="F48" t="s">
        <v>76</v>
      </c>
      <c r="G48" t="s">
        <v>51</v>
      </c>
      <c r="H48" t="s">
        <v>77</v>
      </c>
      <c r="I48" t="s">
        <v>182</v>
      </c>
      <c r="J48" t="s">
        <v>183</v>
      </c>
      <c r="K48">
        <v>651818</v>
      </c>
      <c r="L48" t="s">
        <v>79</v>
      </c>
      <c r="M48" t="s">
        <v>80</v>
      </c>
      <c r="N48" t="s">
        <v>57</v>
      </c>
      <c r="O48" s="1">
        <v>46188</v>
      </c>
      <c r="Q48" s="1">
        <v>46218</v>
      </c>
      <c r="R48" s="2">
        <v>26.32</v>
      </c>
      <c r="S48">
        <v>1</v>
      </c>
      <c r="T48" t="s">
        <v>58</v>
      </c>
      <c r="U48" t="s">
        <v>59</v>
      </c>
      <c r="V48" s="3">
        <v>0.7</v>
      </c>
      <c r="W48" s="2">
        <v>0</v>
      </c>
      <c r="X48">
        <v>0</v>
      </c>
      <c r="Y48" t="s">
        <v>60</v>
      </c>
      <c r="Z48" t="s">
        <v>61</v>
      </c>
      <c r="AA48">
        <v>6</v>
      </c>
      <c r="AB48" s="2">
        <v>110.52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18.420000000000002</v>
      </c>
      <c r="AM48" s="2">
        <v>0</v>
      </c>
      <c r="AN48" s="2">
        <v>110.52</v>
      </c>
      <c r="AO48" s="2">
        <v>0</v>
      </c>
      <c r="AP48" s="2">
        <v>0</v>
      </c>
      <c r="AQ48" s="2">
        <v>0</v>
      </c>
    </row>
    <row r="49" spans="1:43" x14ac:dyDescent="0.25">
      <c r="A49" s="1">
        <v>46188</v>
      </c>
      <c r="B49" t="s">
        <v>48</v>
      </c>
      <c r="C49">
        <v>649163</v>
      </c>
      <c r="D49">
        <v>2035909626</v>
      </c>
      <c r="E49" t="s">
        <v>191</v>
      </c>
      <c r="F49" t="s">
        <v>192</v>
      </c>
      <c r="G49" t="s">
        <v>51</v>
      </c>
      <c r="H49" t="s">
        <v>193</v>
      </c>
      <c r="I49" t="s">
        <v>182</v>
      </c>
      <c r="J49" t="s">
        <v>194</v>
      </c>
      <c r="K49">
        <v>823068</v>
      </c>
      <c r="L49" t="s">
        <v>195</v>
      </c>
      <c r="M49" t="s">
        <v>196</v>
      </c>
      <c r="N49" t="s">
        <v>57</v>
      </c>
      <c r="O49" s="1">
        <v>46182</v>
      </c>
      <c r="Q49" s="1">
        <v>46212</v>
      </c>
      <c r="R49" s="2">
        <v>77.75</v>
      </c>
      <c r="S49">
        <v>1</v>
      </c>
      <c r="T49" t="s">
        <v>58</v>
      </c>
      <c r="U49" t="s">
        <v>59</v>
      </c>
      <c r="V49" s="3">
        <v>0.9</v>
      </c>
      <c r="W49" s="2">
        <v>0</v>
      </c>
      <c r="X49">
        <v>0</v>
      </c>
      <c r="Y49" t="s">
        <v>60</v>
      </c>
      <c r="Z49" t="s">
        <v>61</v>
      </c>
      <c r="AA49">
        <v>6</v>
      </c>
      <c r="AB49" s="2">
        <v>419.88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69.98</v>
      </c>
      <c r="AM49" s="2">
        <v>0</v>
      </c>
      <c r="AN49" s="2">
        <v>419.88</v>
      </c>
      <c r="AO49" s="2">
        <v>0</v>
      </c>
      <c r="AP49" s="2">
        <v>0</v>
      </c>
      <c r="AQ49" s="2">
        <v>0</v>
      </c>
    </row>
    <row r="50" spans="1:43" x14ac:dyDescent="0.25">
      <c r="A50" s="1">
        <v>46188</v>
      </c>
      <c r="B50" t="s">
        <v>48</v>
      </c>
      <c r="C50">
        <v>649163</v>
      </c>
      <c r="D50">
        <v>2035909627</v>
      </c>
      <c r="E50" t="s">
        <v>191</v>
      </c>
      <c r="F50" t="s">
        <v>192</v>
      </c>
      <c r="G50" t="s">
        <v>51</v>
      </c>
      <c r="H50" t="s">
        <v>193</v>
      </c>
      <c r="I50" t="s">
        <v>182</v>
      </c>
      <c r="J50" t="s">
        <v>197</v>
      </c>
      <c r="K50">
        <v>823068</v>
      </c>
      <c r="L50" t="s">
        <v>195</v>
      </c>
      <c r="M50" t="s">
        <v>196</v>
      </c>
      <c r="N50" t="s">
        <v>57</v>
      </c>
      <c r="O50" s="1">
        <v>46182</v>
      </c>
      <c r="Q50" s="1">
        <v>46212</v>
      </c>
      <c r="R50" s="2">
        <v>11.65</v>
      </c>
      <c r="S50">
        <v>1</v>
      </c>
      <c r="T50" t="s">
        <v>58</v>
      </c>
      <c r="U50" t="s">
        <v>59</v>
      </c>
      <c r="V50" s="3">
        <v>0.42</v>
      </c>
      <c r="W50" s="2">
        <v>0</v>
      </c>
      <c r="X50">
        <v>0</v>
      </c>
      <c r="Y50" t="s">
        <v>60</v>
      </c>
      <c r="Z50" t="s">
        <v>61</v>
      </c>
      <c r="AA50">
        <v>6</v>
      </c>
      <c r="AB50" s="2">
        <v>29.34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4.8899999999999997</v>
      </c>
      <c r="AM50" s="2">
        <v>0</v>
      </c>
      <c r="AN50" s="2">
        <v>29.34</v>
      </c>
      <c r="AO50" s="2">
        <v>0</v>
      </c>
      <c r="AP50" s="2">
        <v>0</v>
      </c>
      <c r="AQ50" s="2">
        <v>0</v>
      </c>
    </row>
    <row r="51" spans="1:43" x14ac:dyDescent="0.25">
      <c r="A51" s="1">
        <v>46188</v>
      </c>
      <c r="B51" t="s">
        <v>48</v>
      </c>
      <c r="C51">
        <v>649163</v>
      </c>
      <c r="D51">
        <v>2035914446</v>
      </c>
      <c r="E51" t="s">
        <v>81</v>
      </c>
      <c r="F51" t="s">
        <v>82</v>
      </c>
      <c r="G51" t="s">
        <v>51</v>
      </c>
      <c r="H51" t="s">
        <v>83</v>
      </c>
      <c r="I51" t="s">
        <v>182</v>
      </c>
      <c r="J51" t="s">
        <v>183</v>
      </c>
      <c r="K51">
        <v>673059</v>
      </c>
      <c r="L51" t="s">
        <v>85</v>
      </c>
      <c r="M51" t="s">
        <v>86</v>
      </c>
      <c r="N51" t="s">
        <v>57</v>
      </c>
      <c r="O51" s="1">
        <v>46204</v>
      </c>
      <c r="Q51" s="1">
        <v>46235</v>
      </c>
      <c r="R51" s="2">
        <v>65.48</v>
      </c>
      <c r="S51">
        <v>1</v>
      </c>
      <c r="T51" t="s">
        <v>58</v>
      </c>
      <c r="U51" t="s">
        <v>59</v>
      </c>
      <c r="V51" s="3">
        <v>0.7</v>
      </c>
      <c r="W51" s="2">
        <v>0</v>
      </c>
      <c r="X51">
        <v>0</v>
      </c>
      <c r="Y51" t="s">
        <v>60</v>
      </c>
      <c r="Z51" t="s">
        <v>61</v>
      </c>
      <c r="AA51">
        <v>6</v>
      </c>
      <c r="AB51" s="2">
        <v>275.04000000000002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45.84</v>
      </c>
      <c r="AM51" s="2">
        <v>0</v>
      </c>
      <c r="AN51" s="2">
        <v>275.04000000000002</v>
      </c>
      <c r="AO51" s="2">
        <v>0</v>
      </c>
      <c r="AP51" s="2">
        <v>0</v>
      </c>
      <c r="AQ51" s="2">
        <v>0</v>
      </c>
    </row>
    <row r="52" spans="1:43" x14ac:dyDescent="0.25">
      <c r="A52" s="1">
        <v>46188</v>
      </c>
      <c r="B52" t="s">
        <v>48</v>
      </c>
      <c r="C52">
        <v>649163</v>
      </c>
      <c r="D52">
        <v>2035914448</v>
      </c>
      <c r="E52" t="s">
        <v>81</v>
      </c>
      <c r="F52" t="s">
        <v>82</v>
      </c>
      <c r="G52" t="s">
        <v>51</v>
      </c>
      <c r="H52" t="s">
        <v>83</v>
      </c>
      <c r="I52" t="s">
        <v>182</v>
      </c>
      <c r="J52" t="s">
        <v>194</v>
      </c>
      <c r="K52">
        <v>673059</v>
      </c>
      <c r="L52" t="s">
        <v>85</v>
      </c>
      <c r="M52" t="s">
        <v>86</v>
      </c>
      <c r="N52" t="s">
        <v>57</v>
      </c>
      <c r="O52" s="1">
        <v>46204</v>
      </c>
      <c r="Q52" s="1">
        <v>46235</v>
      </c>
      <c r="R52" s="2">
        <v>26.33</v>
      </c>
      <c r="S52">
        <v>1</v>
      </c>
      <c r="T52" t="s">
        <v>58</v>
      </c>
      <c r="U52" t="s">
        <v>59</v>
      </c>
      <c r="V52" s="3">
        <v>0.9</v>
      </c>
      <c r="W52" s="2">
        <v>0</v>
      </c>
      <c r="X52">
        <v>0</v>
      </c>
      <c r="Y52" t="s">
        <v>60</v>
      </c>
      <c r="Z52" t="s">
        <v>61</v>
      </c>
      <c r="AA52">
        <v>6</v>
      </c>
      <c r="AB52" s="2">
        <v>142.19999999999999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23.7</v>
      </c>
      <c r="AM52" s="2">
        <v>0</v>
      </c>
      <c r="AN52" s="2">
        <v>142.19999999999999</v>
      </c>
      <c r="AO52" s="2">
        <v>0</v>
      </c>
      <c r="AP52" s="2">
        <v>0</v>
      </c>
      <c r="AQ52" s="2">
        <v>0</v>
      </c>
    </row>
    <row r="53" spans="1:43" x14ac:dyDescent="0.25">
      <c r="A53" s="1">
        <v>46188</v>
      </c>
      <c r="B53" t="s">
        <v>48</v>
      </c>
      <c r="C53">
        <v>649163</v>
      </c>
      <c r="D53">
        <v>2035923374</v>
      </c>
      <c r="E53" t="s">
        <v>198</v>
      </c>
      <c r="F53" t="s">
        <v>199</v>
      </c>
      <c r="G53" t="s">
        <v>51</v>
      </c>
      <c r="H53" t="s">
        <v>193</v>
      </c>
      <c r="I53" t="s">
        <v>182</v>
      </c>
      <c r="J53" t="s">
        <v>194</v>
      </c>
      <c r="K53">
        <v>823068</v>
      </c>
      <c r="L53" t="s">
        <v>195</v>
      </c>
      <c r="M53" t="s">
        <v>196</v>
      </c>
      <c r="N53" t="s">
        <v>57</v>
      </c>
      <c r="O53" s="1">
        <v>46183</v>
      </c>
      <c r="Q53" s="1">
        <v>46213</v>
      </c>
      <c r="R53" s="2">
        <v>9.0500000000000007</v>
      </c>
      <c r="S53">
        <v>1</v>
      </c>
      <c r="T53" t="s">
        <v>58</v>
      </c>
      <c r="U53" t="s">
        <v>59</v>
      </c>
      <c r="V53" s="3">
        <v>0.9</v>
      </c>
      <c r="W53" s="2">
        <v>0</v>
      </c>
      <c r="X53">
        <v>0</v>
      </c>
      <c r="Y53" t="s">
        <v>60</v>
      </c>
      <c r="Z53" t="s">
        <v>61</v>
      </c>
      <c r="AA53">
        <v>6</v>
      </c>
      <c r="AB53" s="2">
        <v>48.84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8.14</v>
      </c>
      <c r="AM53" s="2">
        <v>0</v>
      </c>
      <c r="AN53" s="2">
        <v>48.84</v>
      </c>
      <c r="AO53" s="2">
        <v>0</v>
      </c>
      <c r="AP53" s="2">
        <v>0</v>
      </c>
      <c r="AQ53" s="2">
        <v>0</v>
      </c>
    </row>
    <row r="54" spans="1:43" x14ac:dyDescent="0.25">
      <c r="A54" s="1">
        <v>46188</v>
      </c>
      <c r="B54" t="s">
        <v>48</v>
      </c>
      <c r="C54">
        <v>649163</v>
      </c>
      <c r="D54">
        <v>2035935094</v>
      </c>
      <c r="E54" t="s">
        <v>87</v>
      </c>
      <c r="F54" t="s">
        <v>88</v>
      </c>
      <c r="G54" t="s">
        <v>51</v>
      </c>
      <c r="H54" t="s">
        <v>70</v>
      </c>
      <c r="I54" t="s">
        <v>182</v>
      </c>
      <c r="J54" t="s">
        <v>183</v>
      </c>
      <c r="K54">
        <v>856163</v>
      </c>
      <c r="L54" t="s">
        <v>73</v>
      </c>
      <c r="M54" t="s">
        <v>74</v>
      </c>
      <c r="N54" t="s">
        <v>57</v>
      </c>
      <c r="O54" s="1">
        <v>46183</v>
      </c>
      <c r="Q54" s="1">
        <v>46213</v>
      </c>
      <c r="R54" s="2">
        <v>79.17</v>
      </c>
      <c r="S54">
        <v>1</v>
      </c>
      <c r="T54" t="s">
        <v>58</v>
      </c>
      <c r="U54" t="s">
        <v>59</v>
      </c>
      <c r="V54" s="3">
        <v>0.7</v>
      </c>
      <c r="W54" s="2">
        <v>0</v>
      </c>
      <c r="X54">
        <v>0</v>
      </c>
      <c r="Y54" t="s">
        <v>60</v>
      </c>
      <c r="Z54" t="s">
        <v>61</v>
      </c>
      <c r="AA54">
        <v>6</v>
      </c>
      <c r="AB54" s="2">
        <v>332.52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55.42</v>
      </c>
      <c r="AM54" s="2">
        <v>0</v>
      </c>
      <c r="AN54" s="2">
        <v>332.52</v>
      </c>
      <c r="AO54" s="2">
        <v>0</v>
      </c>
      <c r="AP54" s="2">
        <v>0</v>
      </c>
      <c r="AQ54" s="2">
        <v>0</v>
      </c>
    </row>
    <row r="55" spans="1:43" x14ac:dyDescent="0.25">
      <c r="A55" s="1">
        <v>46188</v>
      </c>
      <c r="B55" t="s">
        <v>48</v>
      </c>
      <c r="C55">
        <v>649163</v>
      </c>
      <c r="D55">
        <v>2035936008</v>
      </c>
      <c r="E55" t="s">
        <v>200</v>
      </c>
      <c r="F55" t="s">
        <v>201</v>
      </c>
      <c r="G55" t="s">
        <v>51</v>
      </c>
      <c r="H55" t="s">
        <v>193</v>
      </c>
      <c r="I55" t="s">
        <v>182</v>
      </c>
      <c r="J55" t="s">
        <v>194</v>
      </c>
      <c r="K55">
        <v>823068</v>
      </c>
      <c r="L55" t="s">
        <v>195</v>
      </c>
      <c r="M55" t="s">
        <v>196</v>
      </c>
      <c r="N55" t="s">
        <v>57</v>
      </c>
      <c r="O55" s="1">
        <v>46183</v>
      </c>
      <c r="Q55" s="1">
        <v>46213</v>
      </c>
      <c r="R55" s="2">
        <v>29.25</v>
      </c>
      <c r="S55">
        <v>1</v>
      </c>
      <c r="T55" t="s">
        <v>58</v>
      </c>
      <c r="U55" t="s">
        <v>59</v>
      </c>
      <c r="V55" s="3">
        <v>0.9</v>
      </c>
      <c r="W55" s="2">
        <v>0</v>
      </c>
      <c r="X55">
        <v>0</v>
      </c>
      <c r="Y55" t="s">
        <v>60</v>
      </c>
      <c r="Z55" t="s">
        <v>61</v>
      </c>
      <c r="AA55">
        <v>6</v>
      </c>
      <c r="AB55" s="2">
        <v>157.91999999999999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26.32</v>
      </c>
      <c r="AM55" s="2">
        <v>0</v>
      </c>
      <c r="AN55" s="2">
        <v>157.91999999999999</v>
      </c>
      <c r="AO55" s="2">
        <v>0</v>
      </c>
      <c r="AP55" s="2">
        <v>0</v>
      </c>
      <c r="AQ55" s="2">
        <v>0</v>
      </c>
    </row>
    <row r="56" spans="1:43" x14ac:dyDescent="0.25">
      <c r="A56" s="1">
        <v>46188</v>
      </c>
      <c r="B56" t="s">
        <v>48</v>
      </c>
      <c r="C56">
        <v>649163</v>
      </c>
      <c r="D56">
        <v>2035938019</v>
      </c>
      <c r="E56" t="s">
        <v>89</v>
      </c>
      <c r="F56" t="s">
        <v>90</v>
      </c>
      <c r="G56" t="s">
        <v>51</v>
      </c>
      <c r="H56" t="s">
        <v>83</v>
      </c>
      <c r="I56" t="s">
        <v>182</v>
      </c>
      <c r="J56" t="s">
        <v>183</v>
      </c>
      <c r="K56">
        <v>956422</v>
      </c>
      <c r="L56" t="s">
        <v>91</v>
      </c>
      <c r="M56" t="s">
        <v>92</v>
      </c>
      <c r="N56" t="s">
        <v>57</v>
      </c>
      <c r="O56" s="1">
        <v>46183</v>
      </c>
      <c r="Q56" s="1">
        <v>46213</v>
      </c>
      <c r="R56" s="2">
        <v>58.43</v>
      </c>
      <c r="S56">
        <v>1</v>
      </c>
      <c r="T56" t="s">
        <v>58</v>
      </c>
      <c r="U56" t="s">
        <v>59</v>
      </c>
      <c r="V56" s="3">
        <v>0.7</v>
      </c>
      <c r="W56" s="2">
        <v>0</v>
      </c>
      <c r="X56">
        <v>0</v>
      </c>
      <c r="Y56" t="s">
        <v>60</v>
      </c>
      <c r="Z56" t="s">
        <v>61</v>
      </c>
      <c r="AA56">
        <v>6</v>
      </c>
      <c r="AB56" s="2">
        <v>245.4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40.9</v>
      </c>
      <c r="AM56" s="2">
        <v>0</v>
      </c>
      <c r="AN56" s="2">
        <v>245.4</v>
      </c>
      <c r="AO56" s="2">
        <v>0</v>
      </c>
      <c r="AP56" s="2">
        <v>0</v>
      </c>
      <c r="AQ56" s="2">
        <v>0</v>
      </c>
    </row>
    <row r="57" spans="1:43" x14ac:dyDescent="0.25">
      <c r="A57" s="1">
        <v>46188</v>
      </c>
      <c r="B57" t="s">
        <v>48</v>
      </c>
      <c r="C57">
        <v>649163</v>
      </c>
      <c r="D57">
        <v>2035938021</v>
      </c>
      <c r="E57" t="s">
        <v>89</v>
      </c>
      <c r="F57" t="s">
        <v>90</v>
      </c>
      <c r="G57" t="s">
        <v>51</v>
      </c>
      <c r="H57" t="s">
        <v>83</v>
      </c>
      <c r="I57" t="s">
        <v>182</v>
      </c>
      <c r="J57" t="s">
        <v>202</v>
      </c>
      <c r="K57">
        <v>956422</v>
      </c>
      <c r="L57" t="s">
        <v>91</v>
      </c>
      <c r="M57" t="s">
        <v>92</v>
      </c>
      <c r="N57" t="s">
        <v>57</v>
      </c>
      <c r="O57" s="1">
        <v>46183</v>
      </c>
      <c r="Q57" s="1">
        <v>46213</v>
      </c>
      <c r="R57" s="2">
        <v>21.44</v>
      </c>
      <c r="S57">
        <v>1</v>
      </c>
      <c r="T57" t="s">
        <v>58</v>
      </c>
      <c r="U57" t="s">
        <v>59</v>
      </c>
      <c r="V57" s="3">
        <v>0.7</v>
      </c>
      <c r="W57" s="2">
        <v>0</v>
      </c>
      <c r="X57">
        <v>0</v>
      </c>
      <c r="Y57" t="s">
        <v>60</v>
      </c>
      <c r="Z57" t="s">
        <v>61</v>
      </c>
      <c r="AA57">
        <v>6</v>
      </c>
      <c r="AB57" s="2">
        <v>90.06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15.01</v>
      </c>
      <c r="AM57" s="2">
        <v>0</v>
      </c>
      <c r="AN57" s="2">
        <v>90.06</v>
      </c>
      <c r="AO57" s="2">
        <v>0</v>
      </c>
      <c r="AP57" s="2">
        <v>0</v>
      </c>
      <c r="AQ57" s="2">
        <v>0</v>
      </c>
    </row>
    <row r="58" spans="1:43" x14ac:dyDescent="0.25">
      <c r="A58" s="1">
        <v>46188</v>
      </c>
      <c r="B58" t="s">
        <v>48</v>
      </c>
      <c r="C58">
        <v>649163</v>
      </c>
      <c r="D58">
        <v>2035940446</v>
      </c>
      <c r="E58" t="s">
        <v>130</v>
      </c>
      <c r="F58" t="s">
        <v>131</v>
      </c>
      <c r="G58" t="s">
        <v>51</v>
      </c>
      <c r="H58" t="s">
        <v>83</v>
      </c>
      <c r="I58" t="s">
        <v>182</v>
      </c>
      <c r="J58" t="s">
        <v>183</v>
      </c>
      <c r="K58">
        <v>946134</v>
      </c>
      <c r="L58" t="s">
        <v>133</v>
      </c>
      <c r="M58" t="s">
        <v>134</v>
      </c>
      <c r="N58" t="s">
        <v>57</v>
      </c>
      <c r="O58" s="1">
        <v>46183</v>
      </c>
      <c r="Q58" s="1">
        <v>46213</v>
      </c>
      <c r="R58" s="2">
        <v>113.02</v>
      </c>
      <c r="S58">
        <v>1</v>
      </c>
      <c r="T58" t="s">
        <v>58</v>
      </c>
      <c r="U58" t="s">
        <v>59</v>
      </c>
      <c r="V58" s="3">
        <v>0.7</v>
      </c>
      <c r="W58" s="2">
        <v>0</v>
      </c>
      <c r="X58">
        <v>0</v>
      </c>
      <c r="Y58" t="s">
        <v>60</v>
      </c>
      <c r="Z58" t="s">
        <v>61</v>
      </c>
      <c r="AA58">
        <v>6</v>
      </c>
      <c r="AB58" s="2">
        <v>474.66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79.11</v>
      </c>
      <c r="AM58" s="2">
        <v>0</v>
      </c>
      <c r="AN58" s="2">
        <v>474.66</v>
      </c>
      <c r="AO58" s="2">
        <v>0</v>
      </c>
      <c r="AP58" s="2">
        <v>0</v>
      </c>
      <c r="AQ58" s="2">
        <v>0</v>
      </c>
    </row>
    <row r="59" spans="1:43" x14ac:dyDescent="0.25">
      <c r="A59" s="1">
        <v>46188</v>
      </c>
      <c r="B59" t="s">
        <v>48</v>
      </c>
      <c r="C59">
        <v>649163</v>
      </c>
      <c r="D59">
        <v>2035940834</v>
      </c>
      <c r="E59" t="s">
        <v>93</v>
      </c>
      <c r="F59" t="s">
        <v>94</v>
      </c>
      <c r="G59" t="s">
        <v>51</v>
      </c>
      <c r="H59" t="s">
        <v>95</v>
      </c>
      <c r="I59" t="s">
        <v>182</v>
      </c>
      <c r="J59" t="s">
        <v>183</v>
      </c>
      <c r="K59">
        <v>673059</v>
      </c>
      <c r="L59" t="s">
        <v>85</v>
      </c>
      <c r="M59" t="s">
        <v>86</v>
      </c>
      <c r="N59" t="s">
        <v>57</v>
      </c>
      <c r="O59" s="1">
        <v>46204</v>
      </c>
      <c r="Q59" s="1">
        <v>46235</v>
      </c>
      <c r="R59" s="2">
        <v>50.07</v>
      </c>
      <c r="S59">
        <v>1</v>
      </c>
      <c r="T59" t="s">
        <v>58</v>
      </c>
      <c r="U59" t="s">
        <v>59</v>
      </c>
      <c r="V59" s="3">
        <v>0.7</v>
      </c>
      <c r="W59" s="2">
        <v>0</v>
      </c>
      <c r="X59">
        <v>0</v>
      </c>
      <c r="Y59" t="s">
        <v>60</v>
      </c>
      <c r="Z59" t="s">
        <v>61</v>
      </c>
      <c r="AA59">
        <v>6</v>
      </c>
      <c r="AB59" s="2">
        <v>210.3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35.049999999999997</v>
      </c>
      <c r="AM59" s="2">
        <v>0</v>
      </c>
      <c r="AN59" s="2">
        <v>210.3</v>
      </c>
      <c r="AO59" s="2">
        <v>0</v>
      </c>
      <c r="AP59" s="2">
        <v>0</v>
      </c>
      <c r="AQ59" s="2">
        <v>0</v>
      </c>
    </row>
    <row r="60" spans="1:43" x14ac:dyDescent="0.25">
      <c r="A60" s="1">
        <v>46188</v>
      </c>
      <c r="B60" t="s">
        <v>48</v>
      </c>
      <c r="C60">
        <v>649163</v>
      </c>
      <c r="D60">
        <v>2035940835</v>
      </c>
      <c r="E60" t="s">
        <v>93</v>
      </c>
      <c r="F60" t="s">
        <v>94</v>
      </c>
      <c r="G60" t="s">
        <v>51</v>
      </c>
      <c r="H60" t="s">
        <v>95</v>
      </c>
      <c r="I60" t="s">
        <v>182</v>
      </c>
      <c r="J60" t="s">
        <v>202</v>
      </c>
      <c r="K60">
        <v>673059</v>
      </c>
      <c r="L60" t="s">
        <v>85</v>
      </c>
      <c r="M60" t="s">
        <v>86</v>
      </c>
      <c r="N60" t="s">
        <v>57</v>
      </c>
      <c r="O60" s="1">
        <v>46204</v>
      </c>
      <c r="Q60" s="1">
        <v>46235</v>
      </c>
      <c r="R60" s="2">
        <v>25.73</v>
      </c>
      <c r="S60">
        <v>1</v>
      </c>
      <c r="T60" t="s">
        <v>58</v>
      </c>
      <c r="U60" t="s">
        <v>59</v>
      </c>
      <c r="V60" s="3">
        <v>0.7</v>
      </c>
      <c r="W60" s="2">
        <v>0</v>
      </c>
      <c r="X60">
        <v>0</v>
      </c>
      <c r="Y60" t="s">
        <v>60</v>
      </c>
      <c r="Z60" t="s">
        <v>61</v>
      </c>
      <c r="AA60">
        <v>6</v>
      </c>
      <c r="AB60" s="2">
        <v>108.06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18.010000000000002</v>
      </c>
      <c r="AM60" s="2">
        <v>0</v>
      </c>
      <c r="AN60" s="2">
        <v>108.06</v>
      </c>
      <c r="AO60" s="2">
        <v>0</v>
      </c>
      <c r="AP60" s="2">
        <v>0</v>
      </c>
      <c r="AQ60" s="2">
        <v>0</v>
      </c>
    </row>
    <row r="61" spans="1:43" x14ac:dyDescent="0.25">
      <c r="A61" s="1">
        <v>46188</v>
      </c>
      <c r="B61" t="s">
        <v>48</v>
      </c>
      <c r="C61">
        <v>649163</v>
      </c>
      <c r="D61">
        <v>2035941894</v>
      </c>
      <c r="E61" t="s">
        <v>203</v>
      </c>
      <c r="F61" t="s">
        <v>204</v>
      </c>
      <c r="G61" t="s">
        <v>51</v>
      </c>
      <c r="H61" t="s">
        <v>95</v>
      </c>
      <c r="I61" t="s">
        <v>182</v>
      </c>
      <c r="J61" t="s">
        <v>183</v>
      </c>
      <c r="K61">
        <v>856824</v>
      </c>
      <c r="L61" t="s">
        <v>205</v>
      </c>
      <c r="M61" t="s">
        <v>206</v>
      </c>
      <c r="N61" t="s">
        <v>57</v>
      </c>
      <c r="O61" s="1">
        <v>46183</v>
      </c>
      <c r="Q61" s="1">
        <v>46213</v>
      </c>
      <c r="R61" s="2">
        <v>22</v>
      </c>
      <c r="S61">
        <v>1</v>
      </c>
      <c r="T61" t="s">
        <v>58</v>
      </c>
      <c r="U61" t="s">
        <v>59</v>
      </c>
      <c r="V61" s="3">
        <v>0.7</v>
      </c>
      <c r="W61" s="2">
        <v>0</v>
      </c>
      <c r="X61">
        <v>0</v>
      </c>
      <c r="Y61" t="s">
        <v>60</v>
      </c>
      <c r="Z61" t="s">
        <v>61</v>
      </c>
      <c r="AA61">
        <v>6</v>
      </c>
      <c r="AB61" s="2">
        <v>92.4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15.4</v>
      </c>
      <c r="AM61" s="2">
        <v>0</v>
      </c>
      <c r="AN61" s="2">
        <v>92.4</v>
      </c>
      <c r="AO61" s="2">
        <v>0</v>
      </c>
      <c r="AP61" s="2">
        <v>0</v>
      </c>
      <c r="AQ61" s="2">
        <v>0</v>
      </c>
    </row>
    <row r="62" spans="1:43" x14ac:dyDescent="0.25">
      <c r="A62" s="1">
        <v>46188</v>
      </c>
      <c r="B62" t="s">
        <v>48</v>
      </c>
      <c r="C62">
        <v>649163</v>
      </c>
      <c r="D62">
        <v>2035945184</v>
      </c>
      <c r="E62" t="s">
        <v>207</v>
      </c>
      <c r="F62" t="s">
        <v>208</v>
      </c>
      <c r="G62" t="s">
        <v>51</v>
      </c>
      <c r="H62" t="s">
        <v>209</v>
      </c>
      <c r="I62" t="s">
        <v>182</v>
      </c>
      <c r="J62" t="s">
        <v>183</v>
      </c>
      <c r="K62">
        <v>673059</v>
      </c>
      <c r="L62" t="s">
        <v>85</v>
      </c>
      <c r="M62" t="s">
        <v>86</v>
      </c>
      <c r="N62" t="s">
        <v>57</v>
      </c>
      <c r="O62" s="1">
        <v>46183</v>
      </c>
      <c r="Q62" s="1">
        <v>46213</v>
      </c>
      <c r="R62" s="2">
        <v>61.01</v>
      </c>
      <c r="S62">
        <v>1</v>
      </c>
      <c r="T62" t="s">
        <v>58</v>
      </c>
      <c r="U62" t="s">
        <v>59</v>
      </c>
      <c r="V62" s="3">
        <v>0.7</v>
      </c>
      <c r="W62" s="2">
        <v>0</v>
      </c>
      <c r="X62">
        <v>0</v>
      </c>
      <c r="Y62" t="s">
        <v>60</v>
      </c>
      <c r="Z62" t="s">
        <v>61</v>
      </c>
      <c r="AA62">
        <v>6</v>
      </c>
      <c r="AB62" s="2">
        <v>256.26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42.71</v>
      </c>
      <c r="AM62" s="2">
        <v>0</v>
      </c>
      <c r="AN62" s="2">
        <v>256.26</v>
      </c>
      <c r="AO62" s="2">
        <v>0</v>
      </c>
      <c r="AP62" s="2">
        <v>0</v>
      </c>
      <c r="AQ62" s="2">
        <v>0</v>
      </c>
    </row>
    <row r="63" spans="1:43" x14ac:dyDescent="0.25">
      <c r="A63" s="1">
        <v>46188</v>
      </c>
      <c r="B63" t="s">
        <v>48</v>
      </c>
      <c r="C63">
        <v>649163</v>
      </c>
      <c r="D63">
        <v>2035945185</v>
      </c>
      <c r="E63" t="s">
        <v>207</v>
      </c>
      <c r="F63" t="s">
        <v>208</v>
      </c>
      <c r="G63" t="s">
        <v>51</v>
      </c>
      <c r="H63" t="s">
        <v>209</v>
      </c>
      <c r="I63" t="s">
        <v>182</v>
      </c>
      <c r="J63" t="s">
        <v>202</v>
      </c>
      <c r="K63">
        <v>673059</v>
      </c>
      <c r="L63" t="s">
        <v>85</v>
      </c>
      <c r="M63" t="s">
        <v>86</v>
      </c>
      <c r="N63" t="s">
        <v>57</v>
      </c>
      <c r="O63" s="1">
        <v>46183</v>
      </c>
      <c r="Q63" s="1">
        <v>46213</v>
      </c>
      <c r="R63" s="2">
        <v>8.3699999999999992</v>
      </c>
      <c r="S63">
        <v>1</v>
      </c>
      <c r="T63" t="s">
        <v>58</v>
      </c>
      <c r="U63" t="s">
        <v>59</v>
      </c>
      <c r="V63" s="3">
        <v>0.7</v>
      </c>
      <c r="W63" s="2">
        <v>0</v>
      </c>
      <c r="X63">
        <v>0</v>
      </c>
      <c r="Y63" t="s">
        <v>60</v>
      </c>
      <c r="Z63" t="s">
        <v>61</v>
      </c>
      <c r="AA63">
        <v>6</v>
      </c>
      <c r="AB63" s="2">
        <v>35.159999999999997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5.86</v>
      </c>
      <c r="AM63" s="2">
        <v>0</v>
      </c>
      <c r="AN63" s="2">
        <v>35.159999999999997</v>
      </c>
      <c r="AO63" s="2">
        <v>0</v>
      </c>
      <c r="AP63" s="2">
        <v>0</v>
      </c>
      <c r="AQ63" s="2">
        <v>0</v>
      </c>
    </row>
    <row r="64" spans="1:43" x14ac:dyDescent="0.25">
      <c r="A64" s="1">
        <v>46188</v>
      </c>
      <c r="B64" t="s">
        <v>48</v>
      </c>
      <c r="C64">
        <v>649163</v>
      </c>
      <c r="D64">
        <v>2035947542</v>
      </c>
      <c r="E64" t="s">
        <v>210</v>
      </c>
      <c r="F64" t="s">
        <v>211</v>
      </c>
      <c r="G64" t="s">
        <v>51</v>
      </c>
      <c r="H64" t="s">
        <v>212</v>
      </c>
      <c r="I64" t="s">
        <v>182</v>
      </c>
      <c r="J64" t="s">
        <v>194</v>
      </c>
      <c r="K64">
        <v>897073</v>
      </c>
      <c r="L64" t="s">
        <v>112</v>
      </c>
      <c r="M64" t="s">
        <v>113</v>
      </c>
      <c r="N64" t="s">
        <v>57</v>
      </c>
      <c r="O64" s="1">
        <v>46189</v>
      </c>
      <c r="Q64" s="1">
        <v>46219</v>
      </c>
      <c r="R64" s="2">
        <v>64.92</v>
      </c>
      <c r="S64">
        <v>1</v>
      </c>
      <c r="T64" t="s">
        <v>58</v>
      </c>
      <c r="U64" t="s">
        <v>59</v>
      </c>
      <c r="V64" s="3">
        <v>0.9</v>
      </c>
      <c r="W64" s="2">
        <v>0</v>
      </c>
      <c r="X64">
        <v>0</v>
      </c>
      <c r="Y64" t="s">
        <v>60</v>
      </c>
      <c r="Z64" t="s">
        <v>61</v>
      </c>
      <c r="AA64">
        <v>6</v>
      </c>
      <c r="AB64" s="2">
        <v>350.58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58.43</v>
      </c>
      <c r="AM64" s="2">
        <v>0</v>
      </c>
      <c r="AN64" s="2">
        <v>350.58</v>
      </c>
      <c r="AO64" s="2">
        <v>0</v>
      </c>
      <c r="AP64" s="2">
        <v>0</v>
      </c>
      <c r="AQ64" s="2">
        <v>0</v>
      </c>
    </row>
    <row r="65" spans="1:43" x14ac:dyDescent="0.25">
      <c r="A65" s="1">
        <v>46188</v>
      </c>
      <c r="B65" t="s">
        <v>48</v>
      </c>
      <c r="C65">
        <v>649163</v>
      </c>
      <c r="D65">
        <v>2035947667</v>
      </c>
      <c r="E65" t="s">
        <v>210</v>
      </c>
      <c r="F65" t="s">
        <v>213</v>
      </c>
      <c r="G65" t="s">
        <v>51</v>
      </c>
      <c r="H65" t="s">
        <v>212</v>
      </c>
      <c r="I65" t="s">
        <v>182</v>
      </c>
      <c r="J65" t="s">
        <v>194</v>
      </c>
      <c r="K65">
        <v>897073</v>
      </c>
      <c r="L65" t="s">
        <v>112</v>
      </c>
      <c r="M65" t="s">
        <v>113</v>
      </c>
      <c r="N65" t="s">
        <v>57</v>
      </c>
      <c r="O65" s="1">
        <v>46183</v>
      </c>
      <c r="Q65" s="1">
        <v>46213</v>
      </c>
      <c r="R65" s="2">
        <v>39.83</v>
      </c>
      <c r="S65">
        <v>1</v>
      </c>
      <c r="T65" t="s">
        <v>58</v>
      </c>
      <c r="U65" t="s">
        <v>59</v>
      </c>
      <c r="V65" s="3">
        <v>0.9</v>
      </c>
      <c r="W65" s="2">
        <v>0</v>
      </c>
      <c r="X65">
        <v>0</v>
      </c>
      <c r="Y65" t="s">
        <v>60</v>
      </c>
      <c r="Z65" t="s">
        <v>61</v>
      </c>
      <c r="AA65">
        <v>6</v>
      </c>
      <c r="AB65" s="2">
        <v>215.1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35.85</v>
      </c>
      <c r="AM65" s="2">
        <v>0</v>
      </c>
      <c r="AN65" s="2">
        <v>215.1</v>
      </c>
      <c r="AO65" s="2">
        <v>0</v>
      </c>
      <c r="AP65" s="2">
        <v>0</v>
      </c>
      <c r="AQ65" s="2">
        <v>0</v>
      </c>
    </row>
    <row r="66" spans="1:43" x14ac:dyDescent="0.25">
      <c r="A66" s="1">
        <v>46188</v>
      </c>
      <c r="B66" t="s">
        <v>48</v>
      </c>
      <c r="C66">
        <v>649163</v>
      </c>
      <c r="D66">
        <v>2035954544</v>
      </c>
      <c r="E66" t="s">
        <v>150</v>
      </c>
      <c r="F66" t="s">
        <v>151</v>
      </c>
      <c r="G66" t="s">
        <v>51</v>
      </c>
      <c r="H66" t="s">
        <v>95</v>
      </c>
      <c r="I66" t="s">
        <v>182</v>
      </c>
      <c r="J66" t="s">
        <v>183</v>
      </c>
      <c r="K66">
        <v>974687</v>
      </c>
      <c r="L66" t="s">
        <v>152</v>
      </c>
      <c r="M66" t="s">
        <v>153</v>
      </c>
      <c r="N66" t="s">
        <v>57</v>
      </c>
      <c r="O66" s="1">
        <v>46184</v>
      </c>
      <c r="Q66" s="1">
        <v>46214</v>
      </c>
      <c r="R66" s="2">
        <v>12.64</v>
      </c>
      <c r="S66">
        <v>1</v>
      </c>
      <c r="T66" t="s">
        <v>58</v>
      </c>
      <c r="U66" t="s">
        <v>59</v>
      </c>
      <c r="V66" s="3">
        <v>0.7</v>
      </c>
      <c r="W66" s="2">
        <v>0</v>
      </c>
      <c r="X66">
        <v>0</v>
      </c>
      <c r="Y66" t="s">
        <v>60</v>
      </c>
      <c r="Z66" t="s">
        <v>61</v>
      </c>
      <c r="AA66">
        <v>6</v>
      </c>
      <c r="AB66" s="2">
        <v>53.1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8.85</v>
      </c>
      <c r="AM66" s="2">
        <v>0</v>
      </c>
      <c r="AN66" s="2">
        <v>53.1</v>
      </c>
      <c r="AO66" s="2">
        <v>0</v>
      </c>
      <c r="AP66" s="2">
        <v>0</v>
      </c>
      <c r="AQ66" s="2">
        <v>0</v>
      </c>
    </row>
    <row r="67" spans="1:43" x14ac:dyDescent="0.25">
      <c r="A67" s="1">
        <v>46188</v>
      </c>
      <c r="B67" t="s">
        <v>48</v>
      </c>
      <c r="C67">
        <v>649163</v>
      </c>
      <c r="D67">
        <v>2035961073</v>
      </c>
      <c r="E67" t="s">
        <v>96</v>
      </c>
      <c r="F67" t="s">
        <v>97</v>
      </c>
      <c r="G67" t="s">
        <v>51</v>
      </c>
      <c r="H67" t="s">
        <v>70</v>
      </c>
      <c r="I67" t="s">
        <v>182</v>
      </c>
      <c r="J67" t="s">
        <v>183</v>
      </c>
      <c r="K67">
        <v>856163</v>
      </c>
      <c r="L67" t="s">
        <v>73</v>
      </c>
      <c r="M67" t="s">
        <v>74</v>
      </c>
      <c r="N67" t="s">
        <v>57</v>
      </c>
      <c r="O67" s="1">
        <v>46184</v>
      </c>
      <c r="Q67" s="1">
        <v>46214</v>
      </c>
      <c r="R67" s="2">
        <v>111.01</v>
      </c>
      <c r="S67">
        <v>1</v>
      </c>
      <c r="T67" t="s">
        <v>58</v>
      </c>
      <c r="U67" t="s">
        <v>59</v>
      </c>
      <c r="V67" s="3">
        <v>0.7</v>
      </c>
      <c r="W67" s="2">
        <v>0</v>
      </c>
      <c r="X67">
        <v>0</v>
      </c>
      <c r="Y67" t="s">
        <v>60</v>
      </c>
      <c r="Z67" t="s">
        <v>61</v>
      </c>
      <c r="AA67">
        <v>6</v>
      </c>
      <c r="AB67" s="2">
        <v>466.26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77.709999999999994</v>
      </c>
      <c r="AM67" s="2">
        <v>0</v>
      </c>
      <c r="AN67" s="2">
        <v>466.26</v>
      </c>
      <c r="AO67" s="2">
        <v>0</v>
      </c>
      <c r="AP67" s="2">
        <v>0</v>
      </c>
      <c r="AQ67" s="2">
        <v>0</v>
      </c>
    </row>
    <row r="68" spans="1:43" x14ac:dyDescent="0.25">
      <c r="A68" s="1">
        <v>46188</v>
      </c>
      <c r="B68" t="s">
        <v>48</v>
      </c>
      <c r="C68">
        <v>649163</v>
      </c>
      <c r="D68">
        <v>2035961425</v>
      </c>
      <c r="E68" t="s">
        <v>98</v>
      </c>
      <c r="F68" t="s">
        <v>99</v>
      </c>
      <c r="G68" t="s">
        <v>51</v>
      </c>
      <c r="H68" t="s">
        <v>100</v>
      </c>
      <c r="I68" t="s">
        <v>182</v>
      </c>
      <c r="J68" t="s">
        <v>183</v>
      </c>
      <c r="K68">
        <v>970074</v>
      </c>
      <c r="L68" t="s">
        <v>101</v>
      </c>
      <c r="M68" t="s">
        <v>102</v>
      </c>
      <c r="N68" t="s">
        <v>57</v>
      </c>
      <c r="O68" s="1">
        <v>46184</v>
      </c>
      <c r="Q68" s="1">
        <v>46214</v>
      </c>
      <c r="R68" s="2">
        <v>51.74</v>
      </c>
      <c r="S68">
        <v>1</v>
      </c>
      <c r="T68" t="s">
        <v>58</v>
      </c>
      <c r="U68" t="s">
        <v>59</v>
      </c>
      <c r="V68" s="3">
        <v>0.7</v>
      </c>
      <c r="W68" s="2">
        <v>0</v>
      </c>
      <c r="X68">
        <v>0</v>
      </c>
      <c r="Y68" t="s">
        <v>60</v>
      </c>
      <c r="Z68" t="s">
        <v>61</v>
      </c>
      <c r="AA68">
        <v>6</v>
      </c>
      <c r="AB68" s="2">
        <v>217.32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36.22</v>
      </c>
      <c r="AM68" s="2">
        <v>0</v>
      </c>
      <c r="AN68" s="2">
        <v>217.32</v>
      </c>
      <c r="AO68" s="2">
        <v>0</v>
      </c>
      <c r="AP68" s="2">
        <v>0</v>
      </c>
      <c r="AQ68" s="2">
        <v>0</v>
      </c>
    </row>
    <row r="69" spans="1:43" x14ac:dyDescent="0.25">
      <c r="A69" s="1">
        <v>46188</v>
      </c>
      <c r="B69" t="s">
        <v>48</v>
      </c>
      <c r="C69">
        <v>649163</v>
      </c>
      <c r="D69">
        <v>2035967127</v>
      </c>
      <c r="E69" t="s">
        <v>103</v>
      </c>
      <c r="F69" t="s">
        <v>104</v>
      </c>
      <c r="G69" t="s">
        <v>51</v>
      </c>
      <c r="H69" t="s">
        <v>95</v>
      </c>
      <c r="I69" t="s">
        <v>182</v>
      </c>
      <c r="J69" t="s">
        <v>183</v>
      </c>
      <c r="K69">
        <v>812782</v>
      </c>
      <c r="L69" t="s">
        <v>105</v>
      </c>
      <c r="M69" t="s">
        <v>106</v>
      </c>
      <c r="N69" t="s">
        <v>57</v>
      </c>
      <c r="O69" s="1">
        <v>46204</v>
      </c>
      <c r="Q69" s="1">
        <v>46235</v>
      </c>
      <c r="R69" s="2">
        <v>50.81</v>
      </c>
      <c r="S69">
        <v>1</v>
      </c>
      <c r="T69" t="s">
        <v>58</v>
      </c>
      <c r="U69" t="s">
        <v>59</v>
      </c>
      <c r="V69" s="3">
        <v>0.7</v>
      </c>
      <c r="W69" s="2">
        <v>0</v>
      </c>
      <c r="X69">
        <v>0</v>
      </c>
      <c r="Y69" t="s">
        <v>60</v>
      </c>
      <c r="Z69" t="s">
        <v>61</v>
      </c>
      <c r="AA69">
        <v>6</v>
      </c>
      <c r="AB69" s="2">
        <v>213.42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35.57</v>
      </c>
      <c r="AM69" s="2">
        <v>0</v>
      </c>
      <c r="AN69" s="2">
        <v>213.42</v>
      </c>
      <c r="AO69" s="2">
        <v>0</v>
      </c>
      <c r="AP69" s="2">
        <v>0</v>
      </c>
      <c r="AQ69" s="2">
        <v>0</v>
      </c>
    </row>
    <row r="70" spans="1:43" x14ac:dyDescent="0.25">
      <c r="A70" s="1">
        <v>46188</v>
      </c>
      <c r="B70" t="s">
        <v>48</v>
      </c>
      <c r="C70">
        <v>649163</v>
      </c>
      <c r="D70">
        <v>2035971527</v>
      </c>
      <c r="E70" t="s">
        <v>135</v>
      </c>
      <c r="F70" t="s">
        <v>136</v>
      </c>
      <c r="G70" t="s">
        <v>51</v>
      </c>
      <c r="H70" t="s">
        <v>77</v>
      </c>
      <c r="I70" t="s">
        <v>182</v>
      </c>
      <c r="J70" t="s">
        <v>197</v>
      </c>
      <c r="K70">
        <v>902625</v>
      </c>
      <c r="L70" t="s">
        <v>137</v>
      </c>
      <c r="M70" t="s">
        <v>138</v>
      </c>
      <c r="N70" t="s">
        <v>57</v>
      </c>
      <c r="O70" s="1">
        <v>46164</v>
      </c>
      <c r="Q70" s="1">
        <v>46195</v>
      </c>
      <c r="R70" s="2">
        <v>26.5</v>
      </c>
      <c r="S70">
        <v>1</v>
      </c>
      <c r="T70" t="s">
        <v>58</v>
      </c>
      <c r="U70" t="s">
        <v>59</v>
      </c>
      <c r="V70" s="3">
        <v>0.42</v>
      </c>
      <c r="W70" s="2">
        <v>0</v>
      </c>
      <c r="X70">
        <v>0</v>
      </c>
      <c r="Y70" t="s">
        <v>60</v>
      </c>
      <c r="Z70" t="s">
        <v>61</v>
      </c>
      <c r="AA70">
        <v>6</v>
      </c>
      <c r="AB70" s="2">
        <v>66.78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11.13</v>
      </c>
      <c r="AM70" s="2">
        <v>0</v>
      </c>
      <c r="AN70" s="2">
        <v>66.78</v>
      </c>
      <c r="AO70" s="2">
        <v>0</v>
      </c>
      <c r="AP70" s="2">
        <v>0</v>
      </c>
      <c r="AQ70" s="2">
        <v>0</v>
      </c>
    </row>
    <row r="71" spans="1:43" x14ac:dyDescent="0.25">
      <c r="A71" s="1">
        <v>46188</v>
      </c>
      <c r="B71" t="s">
        <v>48</v>
      </c>
      <c r="C71">
        <v>649163</v>
      </c>
      <c r="D71">
        <v>2035976426</v>
      </c>
      <c r="E71" t="s">
        <v>154</v>
      </c>
      <c r="F71" t="s">
        <v>155</v>
      </c>
      <c r="G71" t="s">
        <v>51</v>
      </c>
      <c r="H71" t="s">
        <v>83</v>
      </c>
      <c r="I71" t="s">
        <v>182</v>
      </c>
      <c r="J71" t="s">
        <v>183</v>
      </c>
      <c r="K71">
        <v>956422</v>
      </c>
      <c r="L71" t="s">
        <v>91</v>
      </c>
      <c r="M71" t="s">
        <v>92</v>
      </c>
      <c r="N71" t="s">
        <v>57</v>
      </c>
      <c r="O71" s="1">
        <v>46185</v>
      </c>
      <c r="Q71" s="1">
        <v>46215</v>
      </c>
      <c r="R71" s="2">
        <v>39.6</v>
      </c>
      <c r="S71">
        <v>1</v>
      </c>
      <c r="T71" t="s">
        <v>58</v>
      </c>
      <c r="U71" t="s">
        <v>59</v>
      </c>
      <c r="V71" s="3">
        <v>0.7</v>
      </c>
      <c r="W71" s="2">
        <v>0</v>
      </c>
      <c r="X71">
        <v>0</v>
      </c>
      <c r="Y71" t="s">
        <v>60</v>
      </c>
      <c r="Z71" t="s">
        <v>61</v>
      </c>
      <c r="AA71">
        <v>6</v>
      </c>
      <c r="AB71" s="2">
        <v>166.32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27.72</v>
      </c>
      <c r="AM71" s="2">
        <v>0</v>
      </c>
      <c r="AN71" s="2">
        <v>166.32</v>
      </c>
      <c r="AO71" s="2">
        <v>0</v>
      </c>
      <c r="AP71" s="2">
        <v>0</v>
      </c>
      <c r="AQ71" s="2">
        <v>0</v>
      </c>
    </row>
    <row r="72" spans="1:43" x14ac:dyDescent="0.25">
      <c r="A72" s="1">
        <v>46188</v>
      </c>
      <c r="B72" t="s">
        <v>48</v>
      </c>
      <c r="C72">
        <v>649163</v>
      </c>
      <c r="D72">
        <v>2035982979</v>
      </c>
      <c r="E72" t="s">
        <v>107</v>
      </c>
      <c r="F72" t="s">
        <v>108</v>
      </c>
      <c r="G72" t="s">
        <v>51</v>
      </c>
      <c r="H72" t="s">
        <v>95</v>
      </c>
      <c r="I72" t="s">
        <v>182</v>
      </c>
      <c r="J72" t="s">
        <v>183</v>
      </c>
      <c r="K72">
        <v>651818</v>
      </c>
      <c r="L72" t="s">
        <v>79</v>
      </c>
      <c r="M72" t="s">
        <v>80</v>
      </c>
      <c r="N72" t="s">
        <v>57</v>
      </c>
      <c r="O72" s="1">
        <v>46204</v>
      </c>
      <c r="Q72" s="1">
        <v>46235</v>
      </c>
      <c r="R72" s="2">
        <v>22.92</v>
      </c>
      <c r="S72">
        <v>1</v>
      </c>
      <c r="T72" t="s">
        <v>58</v>
      </c>
      <c r="U72" t="s">
        <v>59</v>
      </c>
      <c r="V72" s="3">
        <v>0.7</v>
      </c>
      <c r="W72" s="2">
        <v>0</v>
      </c>
      <c r="X72">
        <v>0</v>
      </c>
      <c r="Y72" t="s">
        <v>60</v>
      </c>
      <c r="Z72" t="s">
        <v>61</v>
      </c>
      <c r="AA72">
        <v>6</v>
      </c>
      <c r="AB72" s="2">
        <v>96.24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16.04</v>
      </c>
      <c r="AM72" s="2">
        <v>0</v>
      </c>
      <c r="AN72" s="2">
        <v>96.24</v>
      </c>
      <c r="AO72" s="2">
        <v>0</v>
      </c>
      <c r="AP72" s="2">
        <v>0</v>
      </c>
      <c r="AQ72" s="2">
        <v>0</v>
      </c>
    </row>
    <row r="73" spans="1:43" x14ac:dyDescent="0.25">
      <c r="A73" s="1">
        <v>46188</v>
      </c>
      <c r="B73" t="s">
        <v>48</v>
      </c>
      <c r="C73">
        <v>649163</v>
      </c>
      <c r="D73">
        <v>2035991296</v>
      </c>
      <c r="E73" t="s">
        <v>109</v>
      </c>
      <c r="F73" t="s">
        <v>110</v>
      </c>
      <c r="G73" t="s">
        <v>51</v>
      </c>
      <c r="H73" t="s">
        <v>111</v>
      </c>
      <c r="I73" t="s">
        <v>182</v>
      </c>
      <c r="J73" t="s">
        <v>183</v>
      </c>
      <c r="K73">
        <v>897073</v>
      </c>
      <c r="L73" t="s">
        <v>112</v>
      </c>
      <c r="M73" t="s">
        <v>113</v>
      </c>
      <c r="N73" t="s">
        <v>57</v>
      </c>
      <c r="O73" s="1">
        <v>46191</v>
      </c>
      <c r="Q73" s="1">
        <v>46221</v>
      </c>
      <c r="R73" s="2">
        <v>21.08</v>
      </c>
      <c r="S73">
        <v>1</v>
      </c>
      <c r="T73" t="s">
        <v>58</v>
      </c>
      <c r="U73" t="s">
        <v>59</v>
      </c>
      <c r="V73" s="3">
        <v>0.7</v>
      </c>
      <c r="W73" s="2">
        <v>0</v>
      </c>
      <c r="X73">
        <v>0</v>
      </c>
      <c r="Y73" t="s">
        <v>60</v>
      </c>
      <c r="Z73" t="s">
        <v>61</v>
      </c>
      <c r="AA73">
        <v>6</v>
      </c>
      <c r="AB73" s="2">
        <v>88.56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14.76</v>
      </c>
      <c r="AM73" s="2">
        <v>0</v>
      </c>
      <c r="AN73" s="2">
        <v>88.56</v>
      </c>
      <c r="AO73" s="2">
        <v>0</v>
      </c>
      <c r="AP73" s="2">
        <v>0</v>
      </c>
      <c r="AQ73" s="2">
        <v>0</v>
      </c>
    </row>
    <row r="74" spans="1:43" x14ac:dyDescent="0.25">
      <c r="A74" s="1">
        <v>46188</v>
      </c>
      <c r="B74" t="s">
        <v>48</v>
      </c>
      <c r="C74">
        <v>649163</v>
      </c>
      <c r="D74">
        <v>2035991297</v>
      </c>
      <c r="E74" t="s">
        <v>109</v>
      </c>
      <c r="F74" t="s">
        <v>110</v>
      </c>
      <c r="G74" t="s">
        <v>51</v>
      </c>
      <c r="H74" t="s">
        <v>111</v>
      </c>
      <c r="I74" t="s">
        <v>182</v>
      </c>
      <c r="J74" t="s">
        <v>194</v>
      </c>
      <c r="K74">
        <v>897073</v>
      </c>
      <c r="L74" t="s">
        <v>112</v>
      </c>
      <c r="M74" t="s">
        <v>113</v>
      </c>
      <c r="N74" t="s">
        <v>57</v>
      </c>
      <c r="O74" s="1">
        <v>46191</v>
      </c>
      <c r="Q74" s="1">
        <v>46221</v>
      </c>
      <c r="R74" s="2">
        <v>12</v>
      </c>
      <c r="S74">
        <v>1</v>
      </c>
      <c r="T74" t="s">
        <v>58</v>
      </c>
      <c r="U74" t="s">
        <v>59</v>
      </c>
      <c r="V74" s="3">
        <v>0.9</v>
      </c>
      <c r="W74" s="2">
        <v>0</v>
      </c>
      <c r="X74">
        <v>0</v>
      </c>
      <c r="Y74" t="s">
        <v>60</v>
      </c>
      <c r="Z74" t="s">
        <v>61</v>
      </c>
      <c r="AA74">
        <v>6</v>
      </c>
      <c r="AB74" s="2">
        <v>64.8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10.8</v>
      </c>
      <c r="AM74" s="2">
        <v>0</v>
      </c>
      <c r="AN74" s="2">
        <v>64.8</v>
      </c>
      <c r="AO74" s="2">
        <v>0</v>
      </c>
      <c r="AP74" s="2">
        <v>0</v>
      </c>
      <c r="AQ74" s="2">
        <v>0</v>
      </c>
    </row>
    <row r="75" spans="1:43" x14ac:dyDescent="0.25">
      <c r="A75" s="1">
        <v>46188</v>
      </c>
      <c r="B75" t="s">
        <v>48</v>
      </c>
      <c r="C75">
        <v>649163</v>
      </c>
      <c r="D75">
        <v>2036006274</v>
      </c>
      <c r="E75" t="s">
        <v>214</v>
      </c>
      <c r="F75" t="s">
        <v>215</v>
      </c>
      <c r="G75" t="s">
        <v>51</v>
      </c>
      <c r="H75" t="s">
        <v>119</v>
      </c>
      <c r="I75" t="s">
        <v>182</v>
      </c>
      <c r="J75" t="s">
        <v>183</v>
      </c>
      <c r="K75">
        <v>807212</v>
      </c>
      <c r="L75" t="s">
        <v>216</v>
      </c>
      <c r="M75" t="s">
        <v>217</v>
      </c>
      <c r="N75" t="s">
        <v>57</v>
      </c>
      <c r="O75" s="1">
        <v>46186</v>
      </c>
      <c r="Q75" s="1">
        <v>46216</v>
      </c>
      <c r="R75" s="2">
        <v>78.400000000000006</v>
      </c>
      <c r="S75">
        <v>1</v>
      </c>
      <c r="T75" t="s">
        <v>58</v>
      </c>
      <c r="U75" t="s">
        <v>59</v>
      </c>
      <c r="V75" s="3">
        <v>0.7</v>
      </c>
      <c r="W75" s="2">
        <v>0</v>
      </c>
      <c r="X75">
        <v>0</v>
      </c>
      <c r="Y75" t="s">
        <v>60</v>
      </c>
      <c r="Z75" t="s">
        <v>61</v>
      </c>
      <c r="AA75">
        <v>6</v>
      </c>
      <c r="AB75" s="2">
        <v>329.28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54.88</v>
      </c>
      <c r="AM75" s="2">
        <v>0</v>
      </c>
      <c r="AN75" s="2">
        <v>329.28</v>
      </c>
      <c r="AO75" s="2">
        <v>0</v>
      </c>
      <c r="AP75" s="2">
        <v>0</v>
      </c>
      <c r="AQ75" s="2">
        <v>0</v>
      </c>
    </row>
    <row r="76" spans="1:43" x14ac:dyDescent="0.25">
      <c r="A76" s="1">
        <v>46188</v>
      </c>
      <c r="B76" t="s">
        <v>48</v>
      </c>
      <c r="C76">
        <v>649163</v>
      </c>
      <c r="D76">
        <v>2036008590</v>
      </c>
      <c r="E76" t="s">
        <v>139</v>
      </c>
      <c r="F76" t="s">
        <v>140</v>
      </c>
      <c r="G76" t="s">
        <v>51</v>
      </c>
      <c r="H76" t="s">
        <v>119</v>
      </c>
      <c r="I76" t="s">
        <v>182</v>
      </c>
      <c r="J76" t="s">
        <v>183</v>
      </c>
      <c r="K76">
        <v>766422</v>
      </c>
      <c r="L76" t="s">
        <v>142</v>
      </c>
      <c r="M76" t="s">
        <v>80</v>
      </c>
      <c r="N76" t="s">
        <v>57</v>
      </c>
      <c r="O76" s="1">
        <v>46186</v>
      </c>
      <c r="Q76" s="1">
        <v>46216</v>
      </c>
      <c r="R76" s="2">
        <v>95.92</v>
      </c>
      <c r="S76">
        <v>1</v>
      </c>
      <c r="T76" t="s">
        <v>58</v>
      </c>
      <c r="U76" t="s">
        <v>59</v>
      </c>
      <c r="V76" s="3">
        <v>0.7</v>
      </c>
      <c r="W76" s="2">
        <v>0</v>
      </c>
      <c r="X76">
        <v>0</v>
      </c>
      <c r="Y76" t="s">
        <v>60</v>
      </c>
      <c r="Z76" t="s">
        <v>61</v>
      </c>
      <c r="AA76">
        <v>6</v>
      </c>
      <c r="AB76" s="2">
        <v>402.84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67.14</v>
      </c>
      <c r="AM76" s="2">
        <v>0</v>
      </c>
      <c r="AN76" s="2">
        <v>402.84</v>
      </c>
      <c r="AO76" s="2">
        <v>0</v>
      </c>
      <c r="AP76" s="2">
        <v>0</v>
      </c>
      <c r="AQ76" s="2">
        <v>0</v>
      </c>
    </row>
    <row r="77" spans="1:43" x14ac:dyDescent="0.25">
      <c r="A77" s="1">
        <v>46188</v>
      </c>
      <c r="B77" t="s">
        <v>48</v>
      </c>
      <c r="C77">
        <v>649163</v>
      </c>
      <c r="D77">
        <v>2036009070</v>
      </c>
      <c r="E77" t="s">
        <v>168</v>
      </c>
      <c r="F77" t="s">
        <v>169</v>
      </c>
      <c r="G77" t="s">
        <v>51</v>
      </c>
      <c r="H77" t="s">
        <v>170</v>
      </c>
      <c r="I77" t="s">
        <v>182</v>
      </c>
      <c r="J77" t="s">
        <v>183</v>
      </c>
      <c r="K77">
        <v>767312</v>
      </c>
      <c r="L77" t="s">
        <v>171</v>
      </c>
      <c r="M77" t="s">
        <v>172</v>
      </c>
      <c r="N77" t="s">
        <v>57</v>
      </c>
      <c r="O77" s="1">
        <v>46186</v>
      </c>
      <c r="Q77" s="1">
        <v>46216</v>
      </c>
      <c r="R77" s="2">
        <v>94.85</v>
      </c>
      <c r="S77">
        <v>1</v>
      </c>
      <c r="T77" t="s">
        <v>58</v>
      </c>
      <c r="U77" t="s">
        <v>59</v>
      </c>
      <c r="V77" s="3">
        <v>0.7</v>
      </c>
      <c r="W77" s="2">
        <v>0</v>
      </c>
      <c r="X77">
        <v>0</v>
      </c>
      <c r="Y77" t="s">
        <v>60</v>
      </c>
      <c r="Z77" t="s">
        <v>61</v>
      </c>
      <c r="AA77">
        <v>6</v>
      </c>
      <c r="AB77" s="2">
        <v>398.4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66.400000000000006</v>
      </c>
      <c r="AM77" s="2">
        <v>0</v>
      </c>
      <c r="AN77" s="2">
        <v>398.4</v>
      </c>
      <c r="AO77" s="2">
        <v>0</v>
      </c>
      <c r="AP77" s="2">
        <v>0</v>
      </c>
      <c r="AQ77" s="2">
        <v>0</v>
      </c>
    </row>
    <row r="78" spans="1:43" x14ac:dyDescent="0.25">
      <c r="A78" s="1">
        <v>46188</v>
      </c>
      <c r="B78" t="s">
        <v>48</v>
      </c>
      <c r="C78">
        <v>649163</v>
      </c>
      <c r="D78">
        <v>2036009072</v>
      </c>
      <c r="E78" t="s">
        <v>168</v>
      </c>
      <c r="F78" t="s">
        <v>169</v>
      </c>
      <c r="G78" t="s">
        <v>51</v>
      </c>
      <c r="H78" t="s">
        <v>170</v>
      </c>
      <c r="I78" t="s">
        <v>182</v>
      </c>
      <c r="J78" t="s">
        <v>194</v>
      </c>
      <c r="K78">
        <v>767312</v>
      </c>
      <c r="L78" t="s">
        <v>171</v>
      </c>
      <c r="M78" t="s">
        <v>172</v>
      </c>
      <c r="N78" t="s">
        <v>57</v>
      </c>
      <c r="O78" s="1">
        <v>46186</v>
      </c>
      <c r="Q78" s="1">
        <v>46216</v>
      </c>
      <c r="R78" s="2">
        <v>102.38</v>
      </c>
      <c r="S78">
        <v>1</v>
      </c>
      <c r="T78" t="s">
        <v>58</v>
      </c>
      <c r="U78" t="s">
        <v>59</v>
      </c>
      <c r="V78" s="3">
        <v>0.9</v>
      </c>
      <c r="W78" s="2">
        <v>0</v>
      </c>
      <c r="X78">
        <v>0</v>
      </c>
      <c r="Y78" t="s">
        <v>60</v>
      </c>
      <c r="Z78" t="s">
        <v>61</v>
      </c>
      <c r="AA78">
        <v>6</v>
      </c>
      <c r="AB78" s="2">
        <v>552.84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92.14</v>
      </c>
      <c r="AM78" s="2">
        <v>0</v>
      </c>
      <c r="AN78" s="2">
        <v>552.84</v>
      </c>
      <c r="AO78" s="2">
        <v>0</v>
      </c>
      <c r="AP78" s="2">
        <v>0</v>
      </c>
      <c r="AQ78" s="2">
        <v>0</v>
      </c>
    </row>
    <row r="79" spans="1:43" x14ac:dyDescent="0.25">
      <c r="A79" s="1">
        <v>46188</v>
      </c>
      <c r="B79" t="s">
        <v>48</v>
      </c>
      <c r="C79">
        <v>649163</v>
      </c>
      <c r="D79">
        <v>2036009617</v>
      </c>
      <c r="E79" t="s">
        <v>218</v>
      </c>
      <c r="F79" t="s">
        <v>219</v>
      </c>
      <c r="G79" t="s">
        <v>51</v>
      </c>
      <c r="H79" t="s">
        <v>70</v>
      </c>
      <c r="I79" t="s">
        <v>182</v>
      </c>
      <c r="J79" t="s">
        <v>183</v>
      </c>
      <c r="K79">
        <v>856163</v>
      </c>
      <c r="L79" t="s">
        <v>73</v>
      </c>
      <c r="M79" t="s">
        <v>74</v>
      </c>
      <c r="N79" t="s">
        <v>57</v>
      </c>
      <c r="O79" s="1">
        <v>46189</v>
      </c>
      <c r="Q79" s="1">
        <v>46219</v>
      </c>
      <c r="R79" s="2">
        <v>110.16</v>
      </c>
      <c r="S79">
        <v>1</v>
      </c>
      <c r="T79" t="s">
        <v>58</v>
      </c>
      <c r="U79" t="s">
        <v>59</v>
      </c>
      <c r="V79" s="3">
        <v>0.7</v>
      </c>
      <c r="W79" s="2">
        <v>0</v>
      </c>
      <c r="X79">
        <v>0</v>
      </c>
      <c r="Y79" t="s">
        <v>60</v>
      </c>
      <c r="Z79" t="s">
        <v>61</v>
      </c>
      <c r="AA79">
        <v>6</v>
      </c>
      <c r="AB79" s="2">
        <v>462.66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77.11</v>
      </c>
      <c r="AM79" s="2">
        <v>0</v>
      </c>
      <c r="AN79" s="2">
        <v>462.66</v>
      </c>
      <c r="AO79" s="2">
        <v>0</v>
      </c>
      <c r="AP79" s="2">
        <v>0</v>
      </c>
      <c r="AQ79" s="2">
        <v>0</v>
      </c>
    </row>
    <row r="80" spans="1:43" x14ac:dyDescent="0.25">
      <c r="A80" s="1">
        <v>46188</v>
      </c>
      <c r="B80" t="s">
        <v>48</v>
      </c>
      <c r="C80">
        <v>649163</v>
      </c>
      <c r="D80">
        <v>2036017843</v>
      </c>
      <c r="E80" t="s">
        <v>114</v>
      </c>
      <c r="F80" t="s">
        <v>115</v>
      </c>
      <c r="G80" t="s">
        <v>51</v>
      </c>
      <c r="H80" t="s">
        <v>70</v>
      </c>
      <c r="I80" t="s">
        <v>182</v>
      </c>
      <c r="J80" t="s">
        <v>183</v>
      </c>
      <c r="K80">
        <v>823350</v>
      </c>
      <c r="L80" t="s">
        <v>73</v>
      </c>
      <c r="M80" t="s">
        <v>116</v>
      </c>
      <c r="N80" t="s">
        <v>57</v>
      </c>
      <c r="O80" s="1">
        <v>46204</v>
      </c>
      <c r="Q80" s="1">
        <v>46235</v>
      </c>
      <c r="R80" s="2">
        <v>55.45</v>
      </c>
      <c r="S80">
        <v>1</v>
      </c>
      <c r="T80" t="s">
        <v>58</v>
      </c>
      <c r="U80" t="s">
        <v>59</v>
      </c>
      <c r="V80" s="3">
        <v>0.7</v>
      </c>
      <c r="W80" s="2">
        <v>0</v>
      </c>
      <c r="X80">
        <v>0</v>
      </c>
      <c r="Y80" t="s">
        <v>60</v>
      </c>
      <c r="Z80" t="s">
        <v>61</v>
      </c>
      <c r="AA80">
        <v>6</v>
      </c>
      <c r="AB80" s="2">
        <v>232.92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38.82</v>
      </c>
      <c r="AM80" s="2">
        <v>0</v>
      </c>
      <c r="AN80" s="2">
        <v>232.92</v>
      </c>
      <c r="AO80" s="2">
        <v>0</v>
      </c>
      <c r="AP80" s="2">
        <v>0</v>
      </c>
      <c r="AQ80" s="2">
        <v>0</v>
      </c>
    </row>
    <row r="81" spans="1:43" x14ac:dyDescent="0.25">
      <c r="A81" s="1">
        <v>46188</v>
      </c>
      <c r="B81" t="s">
        <v>48</v>
      </c>
      <c r="C81">
        <v>649163</v>
      </c>
      <c r="D81">
        <v>2035809171</v>
      </c>
      <c r="E81" t="s">
        <v>75</v>
      </c>
      <c r="F81" t="s">
        <v>76</v>
      </c>
      <c r="G81" t="s">
        <v>51</v>
      </c>
      <c r="H81" t="s">
        <v>77</v>
      </c>
      <c r="I81" t="s">
        <v>220</v>
      </c>
      <c r="J81" t="s">
        <v>221</v>
      </c>
      <c r="K81">
        <v>651818</v>
      </c>
      <c r="L81" t="s">
        <v>79</v>
      </c>
      <c r="M81" t="s">
        <v>80</v>
      </c>
      <c r="N81" t="s">
        <v>57</v>
      </c>
      <c r="O81" s="1">
        <v>46188</v>
      </c>
      <c r="Q81" s="1">
        <v>46218</v>
      </c>
      <c r="R81" s="2">
        <v>206.95</v>
      </c>
      <c r="S81">
        <v>1</v>
      </c>
      <c r="T81" t="s">
        <v>58</v>
      </c>
      <c r="U81" t="s">
        <v>124</v>
      </c>
      <c r="V81" s="3">
        <v>0.28999999999999998</v>
      </c>
      <c r="W81" s="2">
        <v>0</v>
      </c>
      <c r="X81">
        <v>0</v>
      </c>
      <c r="Y81" t="s">
        <v>60</v>
      </c>
      <c r="Z81" t="s">
        <v>61</v>
      </c>
      <c r="AA81">
        <v>6</v>
      </c>
      <c r="AB81" s="2">
        <v>360.12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60.02</v>
      </c>
      <c r="AM81" s="2">
        <v>0</v>
      </c>
      <c r="AN81" s="2">
        <v>360.12</v>
      </c>
      <c r="AO81" s="2">
        <v>0</v>
      </c>
      <c r="AP81" s="2">
        <v>0</v>
      </c>
      <c r="AQ81" s="2">
        <v>0</v>
      </c>
    </row>
    <row r="82" spans="1:43" x14ac:dyDescent="0.25">
      <c r="A82" s="1">
        <v>46188</v>
      </c>
      <c r="B82" t="s">
        <v>48</v>
      </c>
      <c r="C82">
        <v>649163</v>
      </c>
      <c r="D82">
        <v>2035940444</v>
      </c>
      <c r="E82" t="s">
        <v>130</v>
      </c>
      <c r="F82" t="s">
        <v>131</v>
      </c>
      <c r="G82" t="s">
        <v>51</v>
      </c>
      <c r="H82" t="s">
        <v>83</v>
      </c>
      <c r="I82" t="s">
        <v>220</v>
      </c>
      <c r="J82" t="s">
        <v>222</v>
      </c>
      <c r="K82">
        <v>946134</v>
      </c>
      <c r="L82" t="s">
        <v>133</v>
      </c>
      <c r="M82" t="s">
        <v>134</v>
      </c>
      <c r="N82" t="s">
        <v>57</v>
      </c>
      <c r="O82" s="1">
        <v>46183</v>
      </c>
      <c r="Q82" s="1">
        <v>46213</v>
      </c>
      <c r="R82" s="2">
        <v>9.9499999999999993</v>
      </c>
      <c r="S82">
        <v>1</v>
      </c>
      <c r="T82" t="s">
        <v>58</v>
      </c>
      <c r="U82" t="s">
        <v>124</v>
      </c>
      <c r="V82" s="3">
        <v>0.19</v>
      </c>
      <c r="W82" s="2">
        <v>0</v>
      </c>
      <c r="X82">
        <v>0</v>
      </c>
      <c r="Y82" t="s">
        <v>60</v>
      </c>
      <c r="Z82" t="s">
        <v>61</v>
      </c>
      <c r="AA82">
        <v>6</v>
      </c>
      <c r="AB82" s="2">
        <v>11.34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1.89</v>
      </c>
      <c r="AM82" s="2">
        <v>0</v>
      </c>
      <c r="AN82" s="2">
        <v>11.34</v>
      </c>
      <c r="AO82" s="2">
        <v>0</v>
      </c>
      <c r="AP82" s="2">
        <v>0</v>
      </c>
      <c r="AQ82" s="2">
        <v>0</v>
      </c>
    </row>
    <row r="83" spans="1:43" x14ac:dyDescent="0.25">
      <c r="A83" s="1">
        <v>46188</v>
      </c>
      <c r="B83" t="s">
        <v>48</v>
      </c>
      <c r="C83">
        <v>649163</v>
      </c>
      <c r="D83">
        <v>2035940445</v>
      </c>
      <c r="E83" t="s">
        <v>130</v>
      </c>
      <c r="F83" t="s">
        <v>131</v>
      </c>
      <c r="G83" t="s">
        <v>51</v>
      </c>
      <c r="H83" t="s">
        <v>83</v>
      </c>
      <c r="I83" t="s">
        <v>220</v>
      </c>
      <c r="J83" t="s">
        <v>223</v>
      </c>
      <c r="K83">
        <v>946134</v>
      </c>
      <c r="L83" t="s">
        <v>133</v>
      </c>
      <c r="M83" t="s">
        <v>134</v>
      </c>
      <c r="N83" t="s">
        <v>57</v>
      </c>
      <c r="O83" s="1">
        <v>46183</v>
      </c>
      <c r="Q83" s="1">
        <v>46213</v>
      </c>
      <c r="R83" s="2">
        <v>236.15</v>
      </c>
      <c r="S83">
        <v>1</v>
      </c>
      <c r="T83" t="s">
        <v>58</v>
      </c>
      <c r="U83" t="s">
        <v>124</v>
      </c>
      <c r="V83" s="3">
        <v>0.19</v>
      </c>
      <c r="W83" s="2">
        <v>0</v>
      </c>
      <c r="X83">
        <v>0</v>
      </c>
      <c r="Y83" t="s">
        <v>60</v>
      </c>
      <c r="Z83" t="s">
        <v>61</v>
      </c>
      <c r="AA83">
        <v>6</v>
      </c>
      <c r="AB83" s="2">
        <v>269.22000000000003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44.87</v>
      </c>
      <c r="AM83" s="2">
        <v>0</v>
      </c>
      <c r="AN83" s="2">
        <v>269.22000000000003</v>
      </c>
      <c r="AO83" s="2">
        <v>0</v>
      </c>
      <c r="AP83" s="2">
        <v>0</v>
      </c>
      <c r="AQ83" s="2">
        <v>0</v>
      </c>
    </row>
    <row r="84" spans="1:43" x14ac:dyDescent="0.25">
      <c r="A84" s="1">
        <v>46188</v>
      </c>
      <c r="B84" t="s">
        <v>48</v>
      </c>
      <c r="C84">
        <v>649163</v>
      </c>
      <c r="D84">
        <v>2035961424</v>
      </c>
      <c r="E84" t="s">
        <v>98</v>
      </c>
      <c r="F84" t="s">
        <v>99</v>
      </c>
      <c r="G84" t="s">
        <v>51</v>
      </c>
      <c r="H84" t="s">
        <v>100</v>
      </c>
      <c r="I84" t="s">
        <v>220</v>
      </c>
      <c r="J84" t="s">
        <v>224</v>
      </c>
      <c r="K84">
        <v>970074</v>
      </c>
      <c r="L84" t="s">
        <v>101</v>
      </c>
      <c r="M84" t="s">
        <v>102</v>
      </c>
      <c r="N84" t="s">
        <v>57</v>
      </c>
      <c r="O84" s="1">
        <v>46184</v>
      </c>
      <c r="Q84" s="1">
        <v>46214</v>
      </c>
      <c r="R84" s="2">
        <v>180.4</v>
      </c>
      <c r="S84">
        <v>1</v>
      </c>
      <c r="T84" t="s">
        <v>58</v>
      </c>
      <c r="U84" t="s">
        <v>225</v>
      </c>
      <c r="V84" s="3">
        <v>0.28999999999999998</v>
      </c>
      <c r="W84" s="2">
        <v>0</v>
      </c>
      <c r="X84">
        <v>0</v>
      </c>
      <c r="Y84" t="s">
        <v>60</v>
      </c>
      <c r="Z84" t="s">
        <v>61</v>
      </c>
      <c r="AA84">
        <v>6</v>
      </c>
      <c r="AB84" s="2">
        <v>313.92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52.32</v>
      </c>
      <c r="AM84" s="2">
        <v>0</v>
      </c>
      <c r="AN84" s="2">
        <v>313.92</v>
      </c>
      <c r="AO84" s="2">
        <v>0</v>
      </c>
      <c r="AP84" s="2">
        <v>0</v>
      </c>
      <c r="AQ84" s="2">
        <v>0</v>
      </c>
    </row>
    <row r="85" spans="1:43" x14ac:dyDescent="0.25">
      <c r="A85" s="1">
        <v>46188</v>
      </c>
      <c r="B85" t="s">
        <v>48</v>
      </c>
      <c r="C85">
        <v>649163</v>
      </c>
      <c r="D85">
        <v>2035961427</v>
      </c>
      <c r="E85" t="s">
        <v>98</v>
      </c>
      <c r="F85" t="s">
        <v>99</v>
      </c>
      <c r="G85" t="s">
        <v>51</v>
      </c>
      <c r="H85" t="s">
        <v>100</v>
      </c>
      <c r="I85" t="s">
        <v>220</v>
      </c>
      <c r="J85" t="s">
        <v>226</v>
      </c>
      <c r="K85">
        <v>970074</v>
      </c>
      <c r="L85" t="s">
        <v>101</v>
      </c>
      <c r="M85" t="s">
        <v>102</v>
      </c>
      <c r="N85" t="s">
        <v>57</v>
      </c>
      <c r="O85" s="1">
        <v>46184</v>
      </c>
      <c r="Q85" s="1">
        <v>46214</v>
      </c>
      <c r="R85" s="2">
        <v>9.9499999999999993</v>
      </c>
      <c r="S85">
        <v>1</v>
      </c>
      <c r="T85" t="s">
        <v>58</v>
      </c>
      <c r="U85" t="s">
        <v>225</v>
      </c>
      <c r="V85" s="3">
        <v>0.28999999999999998</v>
      </c>
      <c r="W85" s="2">
        <v>0</v>
      </c>
      <c r="X85">
        <v>0</v>
      </c>
      <c r="Y85" t="s">
        <v>60</v>
      </c>
      <c r="Z85" t="s">
        <v>61</v>
      </c>
      <c r="AA85">
        <v>6</v>
      </c>
      <c r="AB85" s="2">
        <v>17.34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2.89</v>
      </c>
      <c r="AM85" s="2">
        <v>0</v>
      </c>
      <c r="AN85" s="2">
        <v>17.34</v>
      </c>
      <c r="AO85" s="2">
        <v>0</v>
      </c>
      <c r="AP85" s="2">
        <v>0</v>
      </c>
      <c r="AQ85" s="2">
        <v>0</v>
      </c>
    </row>
    <row r="86" spans="1:43" x14ac:dyDescent="0.25">
      <c r="A86" s="1">
        <v>46188</v>
      </c>
      <c r="B86" t="s">
        <v>48</v>
      </c>
      <c r="C86">
        <v>649163</v>
      </c>
      <c r="D86">
        <v>2035976337</v>
      </c>
      <c r="E86" t="s">
        <v>227</v>
      </c>
      <c r="F86" t="s">
        <v>108</v>
      </c>
      <c r="G86" t="s">
        <v>51</v>
      </c>
      <c r="H86" t="s">
        <v>209</v>
      </c>
      <c r="I86" t="s">
        <v>220</v>
      </c>
      <c r="J86" t="s">
        <v>228</v>
      </c>
      <c r="K86">
        <v>877790</v>
      </c>
      <c r="L86" t="s">
        <v>229</v>
      </c>
      <c r="M86" t="s">
        <v>230</v>
      </c>
      <c r="N86" t="s">
        <v>57</v>
      </c>
      <c r="O86" s="1">
        <v>45962</v>
      </c>
      <c r="Q86" s="1">
        <v>45992</v>
      </c>
      <c r="R86" s="2">
        <v>3728.64</v>
      </c>
      <c r="S86">
        <v>1</v>
      </c>
      <c r="T86" t="s">
        <v>58</v>
      </c>
      <c r="U86" t="s">
        <v>231</v>
      </c>
      <c r="V86" s="3">
        <v>0.19</v>
      </c>
      <c r="W86" s="2">
        <v>0</v>
      </c>
      <c r="X86">
        <v>0</v>
      </c>
      <c r="Y86" t="s">
        <v>60</v>
      </c>
      <c r="Z86" t="s">
        <v>61</v>
      </c>
      <c r="AA86">
        <v>0</v>
      </c>
      <c r="AB86" s="2">
        <v>0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708.44</v>
      </c>
      <c r="AN86" s="2">
        <v>708.44</v>
      </c>
      <c r="AO86" s="2">
        <v>0</v>
      </c>
      <c r="AP86" s="2">
        <v>0</v>
      </c>
      <c r="AQ86" s="2">
        <v>0</v>
      </c>
    </row>
    <row r="87" spans="1:43" x14ac:dyDescent="0.25">
      <c r="A87" s="1">
        <v>46188</v>
      </c>
      <c r="B87" t="s">
        <v>48</v>
      </c>
      <c r="C87">
        <v>649163</v>
      </c>
      <c r="D87">
        <v>2016841042</v>
      </c>
      <c r="E87" t="s">
        <v>232</v>
      </c>
      <c r="F87" t="s">
        <v>233</v>
      </c>
      <c r="G87" t="s">
        <v>51</v>
      </c>
      <c r="H87" t="s">
        <v>234</v>
      </c>
      <c r="I87" t="s">
        <v>53</v>
      </c>
      <c r="J87" t="s">
        <v>235</v>
      </c>
      <c r="K87">
        <v>652037</v>
      </c>
      <c r="L87" t="s">
        <v>64</v>
      </c>
      <c r="M87" t="s">
        <v>236</v>
      </c>
      <c r="N87" t="s">
        <v>57</v>
      </c>
      <c r="O87" s="1">
        <v>44883</v>
      </c>
      <c r="Q87" s="1">
        <v>46221</v>
      </c>
      <c r="R87" s="2">
        <v>97.79</v>
      </c>
      <c r="S87">
        <v>1</v>
      </c>
      <c r="T87" t="s">
        <v>58</v>
      </c>
      <c r="U87" t="s">
        <v>237</v>
      </c>
      <c r="V87" s="4">
        <v>6.5000000000000002E-2</v>
      </c>
      <c r="W87" s="2">
        <v>0</v>
      </c>
      <c r="X87">
        <v>0</v>
      </c>
      <c r="Y87" t="s">
        <v>238</v>
      </c>
      <c r="Z87" t="s">
        <v>239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6.36</v>
      </c>
      <c r="AN87" s="2">
        <v>6.36</v>
      </c>
      <c r="AO87" s="2">
        <v>0</v>
      </c>
      <c r="AP87" s="2">
        <v>0</v>
      </c>
      <c r="AQ87" s="2">
        <v>0</v>
      </c>
    </row>
    <row r="88" spans="1:43" x14ac:dyDescent="0.25">
      <c r="A88" s="1">
        <v>46188</v>
      </c>
      <c r="B88" t="s">
        <v>48</v>
      </c>
      <c r="C88">
        <v>649163</v>
      </c>
      <c r="D88">
        <v>2023252075</v>
      </c>
      <c r="E88" t="s">
        <v>240</v>
      </c>
      <c r="F88" t="s">
        <v>241</v>
      </c>
      <c r="G88" t="s">
        <v>51</v>
      </c>
      <c r="H88" t="s">
        <v>52</v>
      </c>
      <c r="I88" t="s">
        <v>53</v>
      </c>
      <c r="J88" t="s">
        <v>54</v>
      </c>
      <c r="K88">
        <v>650218</v>
      </c>
      <c r="L88" t="s">
        <v>158</v>
      </c>
      <c r="M88" t="s">
        <v>159</v>
      </c>
      <c r="N88" t="s">
        <v>242</v>
      </c>
      <c r="O88" s="1">
        <v>45444</v>
      </c>
      <c r="P88" s="1">
        <v>46188</v>
      </c>
      <c r="Q88" s="1">
        <v>46204</v>
      </c>
      <c r="R88" s="2">
        <v>-62.54</v>
      </c>
      <c r="S88">
        <v>1</v>
      </c>
      <c r="T88" t="s">
        <v>58</v>
      </c>
      <c r="U88" t="s">
        <v>237</v>
      </c>
      <c r="V88" s="4">
        <v>6.5000000000000002E-2</v>
      </c>
      <c r="W88" s="2">
        <v>0</v>
      </c>
      <c r="X88">
        <v>-1</v>
      </c>
      <c r="Y88" t="s">
        <v>238</v>
      </c>
      <c r="Z88" t="s">
        <v>239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-4.07</v>
      </c>
      <c r="AN88" s="2">
        <v>-4.07</v>
      </c>
      <c r="AO88" s="2">
        <v>0</v>
      </c>
      <c r="AP88" s="2">
        <v>0</v>
      </c>
      <c r="AQ88" s="2">
        <v>0</v>
      </c>
    </row>
    <row r="89" spans="1:43" x14ac:dyDescent="0.25">
      <c r="A89" s="1">
        <v>46188</v>
      </c>
      <c r="B89" t="s">
        <v>48</v>
      </c>
      <c r="C89">
        <v>649163</v>
      </c>
      <c r="D89">
        <v>2023499225</v>
      </c>
      <c r="E89" t="s">
        <v>243</v>
      </c>
      <c r="F89" t="s">
        <v>244</v>
      </c>
      <c r="G89" t="s">
        <v>51</v>
      </c>
      <c r="H89" t="s">
        <v>245</v>
      </c>
      <c r="I89" t="s">
        <v>53</v>
      </c>
      <c r="J89" t="s">
        <v>54</v>
      </c>
      <c r="K89">
        <v>751867</v>
      </c>
      <c r="L89" t="s">
        <v>55</v>
      </c>
      <c r="M89" t="s">
        <v>56</v>
      </c>
      <c r="N89" t="s">
        <v>57</v>
      </c>
      <c r="O89" s="1">
        <v>45456</v>
      </c>
      <c r="Q89" s="1">
        <v>46216</v>
      </c>
      <c r="R89" s="2">
        <v>56.69</v>
      </c>
      <c r="S89">
        <v>1</v>
      </c>
      <c r="T89" t="s">
        <v>58</v>
      </c>
      <c r="U89" t="s">
        <v>237</v>
      </c>
      <c r="V89" s="4">
        <v>6.5000000000000002E-2</v>
      </c>
      <c r="W89" s="2">
        <v>0</v>
      </c>
      <c r="X89">
        <v>0</v>
      </c>
      <c r="Y89" t="s">
        <v>238</v>
      </c>
      <c r="Z89" t="s">
        <v>239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3.68</v>
      </c>
      <c r="AN89" s="2">
        <v>3.68</v>
      </c>
      <c r="AO89" s="2">
        <v>0</v>
      </c>
      <c r="AP89" s="2">
        <v>0</v>
      </c>
      <c r="AQ89" s="2">
        <v>0</v>
      </c>
    </row>
    <row r="90" spans="1:43" x14ac:dyDescent="0.25">
      <c r="A90" s="1">
        <v>46188</v>
      </c>
      <c r="B90" t="s">
        <v>48</v>
      </c>
      <c r="C90">
        <v>649163</v>
      </c>
      <c r="D90">
        <v>2023509944</v>
      </c>
      <c r="E90" t="s">
        <v>246</v>
      </c>
      <c r="F90" t="s">
        <v>247</v>
      </c>
      <c r="G90" t="s">
        <v>51</v>
      </c>
      <c r="H90" t="s">
        <v>52</v>
      </c>
      <c r="I90" t="s">
        <v>53</v>
      </c>
      <c r="J90" t="s">
        <v>248</v>
      </c>
      <c r="K90">
        <v>751867</v>
      </c>
      <c r="L90" t="s">
        <v>55</v>
      </c>
      <c r="M90" t="s">
        <v>56</v>
      </c>
      <c r="N90" t="s">
        <v>57</v>
      </c>
      <c r="O90" s="1">
        <v>45457</v>
      </c>
      <c r="Q90" s="1">
        <v>46217</v>
      </c>
      <c r="R90" s="2">
        <v>109.84</v>
      </c>
      <c r="S90">
        <v>1</v>
      </c>
      <c r="T90" t="s">
        <v>58</v>
      </c>
      <c r="U90" t="s">
        <v>237</v>
      </c>
      <c r="V90" s="4">
        <v>6.5000000000000002E-2</v>
      </c>
      <c r="W90" s="2">
        <v>0</v>
      </c>
      <c r="X90">
        <v>0</v>
      </c>
      <c r="Y90" t="s">
        <v>238</v>
      </c>
      <c r="Z90" t="s">
        <v>239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7.14</v>
      </c>
      <c r="AN90" s="2">
        <v>7.14</v>
      </c>
      <c r="AO90" s="2">
        <v>0</v>
      </c>
      <c r="AP90" s="2">
        <v>0</v>
      </c>
      <c r="AQ90" s="2">
        <v>0</v>
      </c>
    </row>
    <row r="91" spans="1:43" x14ac:dyDescent="0.25">
      <c r="A91" s="1">
        <v>46188</v>
      </c>
      <c r="B91" t="s">
        <v>48</v>
      </c>
      <c r="C91">
        <v>649163</v>
      </c>
      <c r="D91">
        <v>2023510924</v>
      </c>
      <c r="E91" t="s">
        <v>249</v>
      </c>
      <c r="F91" t="s">
        <v>250</v>
      </c>
      <c r="G91" t="s">
        <v>51</v>
      </c>
      <c r="H91" t="s">
        <v>52</v>
      </c>
      <c r="I91" t="s">
        <v>53</v>
      </c>
      <c r="J91" t="s">
        <v>54</v>
      </c>
      <c r="K91">
        <v>751867</v>
      </c>
      <c r="L91" t="s">
        <v>55</v>
      </c>
      <c r="M91" t="s">
        <v>56</v>
      </c>
      <c r="N91" t="s">
        <v>57</v>
      </c>
      <c r="O91" s="1">
        <v>45457</v>
      </c>
      <c r="Q91" s="1">
        <v>46217</v>
      </c>
      <c r="R91" s="2">
        <v>56.69</v>
      </c>
      <c r="S91">
        <v>1</v>
      </c>
      <c r="T91" t="s">
        <v>58</v>
      </c>
      <c r="U91" t="s">
        <v>237</v>
      </c>
      <c r="V91" s="4">
        <v>6.5000000000000002E-2</v>
      </c>
      <c r="W91" s="2">
        <v>0</v>
      </c>
      <c r="X91">
        <v>0</v>
      </c>
      <c r="Y91" t="s">
        <v>238</v>
      </c>
      <c r="Z91" t="s">
        <v>239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3.68</v>
      </c>
      <c r="AN91" s="2">
        <v>3.68</v>
      </c>
      <c r="AO91" s="2">
        <v>0</v>
      </c>
      <c r="AP91" s="2">
        <v>0</v>
      </c>
      <c r="AQ91" s="2">
        <v>0</v>
      </c>
    </row>
    <row r="92" spans="1:43" x14ac:dyDescent="0.25">
      <c r="A92" s="1">
        <v>46188</v>
      </c>
      <c r="B92" t="s">
        <v>48</v>
      </c>
      <c r="C92">
        <v>649163</v>
      </c>
      <c r="D92">
        <v>2024382706</v>
      </c>
      <c r="E92" t="s">
        <v>251</v>
      </c>
      <c r="F92" t="s">
        <v>252</v>
      </c>
      <c r="G92" t="s">
        <v>51</v>
      </c>
      <c r="H92" t="s">
        <v>52</v>
      </c>
      <c r="I92" t="s">
        <v>53</v>
      </c>
      <c r="J92" t="s">
        <v>54</v>
      </c>
      <c r="K92">
        <v>650218</v>
      </c>
      <c r="L92" t="s">
        <v>158</v>
      </c>
      <c r="M92" t="s">
        <v>159</v>
      </c>
      <c r="N92" t="s">
        <v>57</v>
      </c>
      <c r="O92" s="1">
        <v>45519</v>
      </c>
      <c r="Q92" s="1">
        <v>46218</v>
      </c>
      <c r="R92" s="2">
        <v>40.159999999999997</v>
      </c>
      <c r="S92">
        <v>1</v>
      </c>
      <c r="T92" t="s">
        <v>58</v>
      </c>
      <c r="U92" t="s">
        <v>237</v>
      </c>
      <c r="V92" s="4">
        <v>6.5000000000000002E-2</v>
      </c>
      <c r="W92" s="2">
        <v>0</v>
      </c>
      <c r="X92">
        <v>0</v>
      </c>
      <c r="Y92" t="s">
        <v>238</v>
      </c>
      <c r="Z92" t="s">
        <v>239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2.61</v>
      </c>
      <c r="AN92" s="2">
        <v>2.61</v>
      </c>
      <c r="AO92" s="2">
        <v>0</v>
      </c>
      <c r="AP92" s="2">
        <v>0</v>
      </c>
      <c r="AQ92" s="2">
        <v>0</v>
      </c>
    </row>
    <row r="93" spans="1:43" x14ac:dyDescent="0.25">
      <c r="A93" s="1">
        <v>46188</v>
      </c>
      <c r="B93" t="s">
        <v>48</v>
      </c>
      <c r="C93">
        <v>649163</v>
      </c>
      <c r="D93">
        <v>2025756063</v>
      </c>
      <c r="E93" t="s">
        <v>253</v>
      </c>
      <c r="F93" t="s">
        <v>254</v>
      </c>
      <c r="G93" t="s">
        <v>51</v>
      </c>
      <c r="H93" t="s">
        <v>52</v>
      </c>
      <c r="I93" t="s">
        <v>53</v>
      </c>
      <c r="J93" t="s">
        <v>54</v>
      </c>
      <c r="K93">
        <v>650218</v>
      </c>
      <c r="L93" t="s">
        <v>158</v>
      </c>
      <c r="M93" t="s">
        <v>159</v>
      </c>
      <c r="N93" t="s">
        <v>57</v>
      </c>
      <c r="O93" s="1">
        <v>45610</v>
      </c>
      <c r="Q93" s="1">
        <v>46217</v>
      </c>
      <c r="R93" s="2">
        <v>46.45</v>
      </c>
      <c r="S93">
        <v>1</v>
      </c>
      <c r="T93" t="s">
        <v>58</v>
      </c>
      <c r="U93" t="s">
        <v>237</v>
      </c>
      <c r="V93" s="4">
        <v>6.5000000000000002E-2</v>
      </c>
      <c r="W93" s="2">
        <v>0</v>
      </c>
      <c r="X93">
        <v>0</v>
      </c>
      <c r="Y93" t="s">
        <v>238</v>
      </c>
      <c r="Z93" t="s">
        <v>239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3.02</v>
      </c>
      <c r="AN93" s="2">
        <v>3.02</v>
      </c>
      <c r="AO93" s="2">
        <v>0</v>
      </c>
      <c r="AP93" s="2">
        <v>0</v>
      </c>
      <c r="AQ93" s="2">
        <v>0</v>
      </c>
    </row>
    <row r="94" spans="1:43" x14ac:dyDescent="0.25">
      <c r="A94" s="1">
        <v>46188</v>
      </c>
      <c r="B94" t="s">
        <v>48</v>
      </c>
      <c r="C94">
        <v>649163</v>
      </c>
      <c r="D94">
        <v>2025771713</v>
      </c>
      <c r="E94" t="s">
        <v>255</v>
      </c>
      <c r="F94" t="s">
        <v>256</v>
      </c>
      <c r="G94" t="s">
        <v>51</v>
      </c>
      <c r="H94" t="s">
        <v>52</v>
      </c>
      <c r="I94" t="s">
        <v>53</v>
      </c>
      <c r="J94" t="s">
        <v>54</v>
      </c>
      <c r="K94">
        <v>650218</v>
      </c>
      <c r="L94" t="s">
        <v>158</v>
      </c>
      <c r="M94" t="s">
        <v>159</v>
      </c>
      <c r="N94" t="s">
        <v>57</v>
      </c>
      <c r="O94" s="1">
        <v>45611</v>
      </c>
      <c r="Q94" s="1">
        <v>46218</v>
      </c>
      <c r="R94" s="2">
        <v>52.69</v>
      </c>
      <c r="S94">
        <v>1</v>
      </c>
      <c r="T94" t="s">
        <v>58</v>
      </c>
      <c r="U94" t="s">
        <v>237</v>
      </c>
      <c r="V94" s="4">
        <v>6.5000000000000002E-2</v>
      </c>
      <c r="W94" s="2">
        <v>0</v>
      </c>
      <c r="X94">
        <v>0</v>
      </c>
      <c r="Y94" t="s">
        <v>238</v>
      </c>
      <c r="Z94" t="s">
        <v>239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3.42</v>
      </c>
      <c r="AN94" s="2">
        <v>3.42</v>
      </c>
      <c r="AO94" s="2">
        <v>0</v>
      </c>
      <c r="AP94" s="2">
        <v>0</v>
      </c>
      <c r="AQ94" s="2">
        <v>0</v>
      </c>
    </row>
    <row r="95" spans="1:43" x14ac:dyDescent="0.25">
      <c r="A95" s="1">
        <v>46188</v>
      </c>
      <c r="B95" t="s">
        <v>48</v>
      </c>
      <c r="C95">
        <v>649163</v>
      </c>
      <c r="D95">
        <v>2026603200</v>
      </c>
      <c r="E95" t="s">
        <v>257</v>
      </c>
      <c r="F95" t="s">
        <v>258</v>
      </c>
      <c r="G95" t="s">
        <v>51</v>
      </c>
      <c r="H95" t="s">
        <v>52</v>
      </c>
      <c r="I95" t="s">
        <v>53</v>
      </c>
      <c r="J95" t="s">
        <v>54</v>
      </c>
      <c r="K95">
        <v>751867</v>
      </c>
      <c r="L95" t="s">
        <v>55</v>
      </c>
      <c r="M95" t="s">
        <v>56</v>
      </c>
      <c r="N95" t="s">
        <v>57</v>
      </c>
      <c r="O95" s="1">
        <v>45673</v>
      </c>
      <c r="Q95" s="1">
        <v>46219</v>
      </c>
      <c r="R95" s="2">
        <v>56.69</v>
      </c>
      <c r="S95">
        <v>1</v>
      </c>
      <c r="T95" t="s">
        <v>58</v>
      </c>
      <c r="U95" t="s">
        <v>237</v>
      </c>
      <c r="V95" s="4">
        <v>6.5000000000000002E-2</v>
      </c>
      <c r="W95" s="2">
        <v>0</v>
      </c>
      <c r="X95">
        <v>0</v>
      </c>
      <c r="Y95" t="s">
        <v>238</v>
      </c>
      <c r="Z95" t="s">
        <v>239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3.68</v>
      </c>
      <c r="AN95" s="2">
        <v>3.68</v>
      </c>
      <c r="AO95" s="2">
        <v>0</v>
      </c>
      <c r="AP95" s="2">
        <v>0</v>
      </c>
      <c r="AQ95" s="2">
        <v>0</v>
      </c>
    </row>
    <row r="96" spans="1:43" x14ac:dyDescent="0.25">
      <c r="A96" s="1">
        <v>46188</v>
      </c>
      <c r="B96" t="s">
        <v>48</v>
      </c>
      <c r="C96">
        <v>649163</v>
      </c>
      <c r="D96">
        <v>2026958695</v>
      </c>
      <c r="E96" t="s">
        <v>259</v>
      </c>
      <c r="F96" t="s">
        <v>260</v>
      </c>
      <c r="G96" t="s">
        <v>51</v>
      </c>
      <c r="H96" t="s">
        <v>52</v>
      </c>
      <c r="I96" t="s">
        <v>53</v>
      </c>
      <c r="J96" t="s">
        <v>54</v>
      </c>
      <c r="K96">
        <v>677095</v>
      </c>
      <c r="L96" t="s">
        <v>261</v>
      </c>
      <c r="M96" t="s">
        <v>262</v>
      </c>
      <c r="N96" t="s">
        <v>57</v>
      </c>
      <c r="O96" s="1">
        <v>45702</v>
      </c>
      <c r="Q96" s="1">
        <v>46217</v>
      </c>
      <c r="R96" s="2">
        <v>52.69</v>
      </c>
      <c r="S96">
        <v>1</v>
      </c>
      <c r="T96" t="s">
        <v>58</v>
      </c>
      <c r="U96" t="s">
        <v>237</v>
      </c>
      <c r="V96" s="4">
        <v>2.5000000000000001E-2</v>
      </c>
      <c r="W96" s="2">
        <v>0</v>
      </c>
      <c r="X96">
        <v>0</v>
      </c>
      <c r="Y96" t="s">
        <v>238</v>
      </c>
      <c r="Z96" t="s">
        <v>239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1.32</v>
      </c>
      <c r="AN96" s="2">
        <v>1.32</v>
      </c>
      <c r="AO96" s="2">
        <v>0</v>
      </c>
      <c r="AP96" s="2">
        <v>0</v>
      </c>
      <c r="AQ96" s="2">
        <v>0</v>
      </c>
    </row>
    <row r="97" spans="1:43" x14ac:dyDescent="0.25">
      <c r="A97" s="1">
        <v>46188</v>
      </c>
      <c r="B97" t="s">
        <v>48</v>
      </c>
      <c r="C97">
        <v>649163</v>
      </c>
      <c r="D97">
        <v>2028488144</v>
      </c>
      <c r="E97" t="s">
        <v>263</v>
      </c>
      <c r="F97" t="s">
        <v>264</v>
      </c>
      <c r="G97" t="s">
        <v>51</v>
      </c>
      <c r="H97" t="s">
        <v>52</v>
      </c>
      <c r="I97" t="s">
        <v>53</v>
      </c>
      <c r="J97" t="s">
        <v>54</v>
      </c>
      <c r="K97">
        <v>751867</v>
      </c>
      <c r="L97" t="s">
        <v>55</v>
      </c>
      <c r="M97" t="s">
        <v>56</v>
      </c>
      <c r="N97" t="s">
        <v>57</v>
      </c>
      <c r="O97" s="1">
        <v>45766</v>
      </c>
      <c r="Q97" s="1">
        <v>46222</v>
      </c>
      <c r="R97" s="2">
        <v>62.54</v>
      </c>
      <c r="S97">
        <v>1</v>
      </c>
      <c r="T97" t="s">
        <v>58</v>
      </c>
      <c r="U97" t="s">
        <v>237</v>
      </c>
      <c r="V97" s="4">
        <v>6.5000000000000002E-2</v>
      </c>
      <c r="W97" s="2">
        <v>0</v>
      </c>
      <c r="X97">
        <v>0</v>
      </c>
      <c r="Y97" t="s">
        <v>238</v>
      </c>
      <c r="Z97" t="s">
        <v>239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4.07</v>
      </c>
      <c r="AN97" s="2">
        <v>4.07</v>
      </c>
      <c r="AO97" s="2">
        <v>0</v>
      </c>
      <c r="AP97" s="2">
        <v>0</v>
      </c>
      <c r="AQ97" s="2">
        <v>0</v>
      </c>
    </row>
    <row r="98" spans="1:43" x14ac:dyDescent="0.25">
      <c r="A98" s="1">
        <v>46188</v>
      </c>
      <c r="B98" t="s">
        <v>48</v>
      </c>
      <c r="C98">
        <v>649163</v>
      </c>
      <c r="D98">
        <v>2032136156</v>
      </c>
      <c r="E98" t="s">
        <v>265</v>
      </c>
      <c r="F98" t="s">
        <v>266</v>
      </c>
      <c r="G98" t="s">
        <v>51</v>
      </c>
      <c r="H98" t="s">
        <v>119</v>
      </c>
      <c r="I98" t="s">
        <v>53</v>
      </c>
      <c r="J98" t="s">
        <v>54</v>
      </c>
      <c r="K98">
        <v>894525</v>
      </c>
      <c r="L98" t="s">
        <v>189</v>
      </c>
      <c r="M98" t="s">
        <v>190</v>
      </c>
      <c r="N98" t="s">
        <v>57</v>
      </c>
      <c r="O98" s="1">
        <v>45976</v>
      </c>
      <c r="Q98" s="1">
        <v>46218</v>
      </c>
      <c r="R98" s="2">
        <v>75.67</v>
      </c>
      <c r="S98">
        <v>1</v>
      </c>
      <c r="T98" t="s">
        <v>58</v>
      </c>
      <c r="U98" t="s">
        <v>59</v>
      </c>
      <c r="V98" s="3">
        <v>0.6</v>
      </c>
      <c r="W98" s="2">
        <v>0</v>
      </c>
      <c r="X98">
        <v>0</v>
      </c>
      <c r="Y98" t="s">
        <v>60</v>
      </c>
      <c r="Z98" t="s">
        <v>239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45.4</v>
      </c>
      <c r="AN98" s="2">
        <v>45.4</v>
      </c>
      <c r="AO98" s="2">
        <v>0</v>
      </c>
      <c r="AP98" s="2">
        <v>0</v>
      </c>
      <c r="AQ98" s="2">
        <v>0</v>
      </c>
    </row>
    <row r="99" spans="1:43" x14ac:dyDescent="0.25">
      <c r="A99" s="1">
        <v>46188</v>
      </c>
      <c r="B99" t="s">
        <v>48</v>
      </c>
      <c r="C99">
        <v>649163</v>
      </c>
      <c r="D99">
        <v>2032176854</v>
      </c>
      <c r="E99" t="s">
        <v>267</v>
      </c>
      <c r="F99" t="s">
        <v>268</v>
      </c>
      <c r="G99" t="s">
        <v>51</v>
      </c>
      <c r="H99" t="s">
        <v>111</v>
      </c>
      <c r="I99" t="s">
        <v>53</v>
      </c>
      <c r="J99" t="s">
        <v>54</v>
      </c>
      <c r="K99">
        <v>897926</v>
      </c>
      <c r="L99" t="s">
        <v>269</v>
      </c>
      <c r="M99" t="s">
        <v>270</v>
      </c>
      <c r="N99" t="s">
        <v>57</v>
      </c>
      <c r="O99" s="1">
        <v>45976</v>
      </c>
      <c r="Q99" s="1">
        <v>46218</v>
      </c>
      <c r="R99" s="2">
        <v>52.69</v>
      </c>
      <c r="S99">
        <v>1</v>
      </c>
      <c r="T99" t="s">
        <v>58</v>
      </c>
      <c r="U99" t="s">
        <v>59</v>
      </c>
      <c r="V99" s="3">
        <v>0.6</v>
      </c>
      <c r="W99" s="2">
        <v>0</v>
      </c>
      <c r="X99">
        <v>0</v>
      </c>
      <c r="Y99" t="s">
        <v>60</v>
      </c>
      <c r="Z99" t="s">
        <v>239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31.61</v>
      </c>
      <c r="AN99" s="2">
        <v>31.61</v>
      </c>
      <c r="AO99" s="2">
        <v>0</v>
      </c>
      <c r="AP99" s="2">
        <v>0</v>
      </c>
      <c r="AQ99" s="2">
        <v>0</v>
      </c>
    </row>
    <row r="100" spans="1:43" x14ac:dyDescent="0.25">
      <c r="A100" s="1">
        <v>46188</v>
      </c>
      <c r="B100" t="s">
        <v>48</v>
      </c>
      <c r="C100">
        <v>649163</v>
      </c>
      <c r="D100">
        <v>2032673611</v>
      </c>
      <c r="E100" t="s">
        <v>271</v>
      </c>
      <c r="F100" t="s">
        <v>272</v>
      </c>
      <c r="G100" t="s">
        <v>51</v>
      </c>
      <c r="H100" t="s">
        <v>52</v>
      </c>
      <c r="I100" t="s">
        <v>53</v>
      </c>
      <c r="J100" t="s">
        <v>54</v>
      </c>
      <c r="K100">
        <v>885445</v>
      </c>
      <c r="L100" t="s">
        <v>273</v>
      </c>
      <c r="M100" t="s">
        <v>92</v>
      </c>
      <c r="N100" t="s">
        <v>57</v>
      </c>
      <c r="O100" s="1">
        <v>46005</v>
      </c>
      <c r="Q100" s="1">
        <v>46217</v>
      </c>
      <c r="R100" s="2">
        <v>52.69</v>
      </c>
      <c r="S100">
        <v>1</v>
      </c>
      <c r="T100" t="s">
        <v>58</v>
      </c>
      <c r="U100" t="s">
        <v>59</v>
      </c>
      <c r="V100" s="3">
        <v>0.6</v>
      </c>
      <c r="W100" s="2">
        <v>0</v>
      </c>
      <c r="X100">
        <v>0</v>
      </c>
      <c r="Y100" t="s">
        <v>60</v>
      </c>
      <c r="Z100" t="s">
        <v>239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31.61</v>
      </c>
      <c r="AN100" s="2">
        <v>31.61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46188</v>
      </c>
      <c r="B101" t="s">
        <v>48</v>
      </c>
      <c r="C101">
        <v>649163</v>
      </c>
      <c r="D101">
        <v>2032676549</v>
      </c>
      <c r="E101" t="s">
        <v>274</v>
      </c>
      <c r="F101" t="s">
        <v>123</v>
      </c>
      <c r="G101" t="s">
        <v>51</v>
      </c>
      <c r="H101" t="s">
        <v>52</v>
      </c>
      <c r="I101" t="s">
        <v>53</v>
      </c>
      <c r="J101" t="s">
        <v>54</v>
      </c>
      <c r="K101">
        <v>885445</v>
      </c>
      <c r="L101" t="s">
        <v>273</v>
      </c>
      <c r="M101" t="s">
        <v>92</v>
      </c>
      <c r="N101" t="s">
        <v>57</v>
      </c>
      <c r="O101" s="1">
        <v>46005</v>
      </c>
      <c r="Q101" s="1">
        <v>46217</v>
      </c>
      <c r="R101" s="2">
        <v>46.45</v>
      </c>
      <c r="S101">
        <v>1</v>
      </c>
      <c r="T101" t="s">
        <v>58</v>
      </c>
      <c r="U101" t="s">
        <v>59</v>
      </c>
      <c r="V101" s="3">
        <v>0.6</v>
      </c>
      <c r="W101" s="2">
        <v>0</v>
      </c>
      <c r="X101">
        <v>0</v>
      </c>
      <c r="Y101" t="s">
        <v>60</v>
      </c>
      <c r="Z101" t="s">
        <v>239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27.87</v>
      </c>
      <c r="AN101" s="2">
        <v>27.87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46188</v>
      </c>
      <c r="B102" t="s">
        <v>48</v>
      </c>
      <c r="C102">
        <v>649163</v>
      </c>
      <c r="D102">
        <v>2033129763</v>
      </c>
      <c r="E102" t="s">
        <v>275</v>
      </c>
      <c r="F102" t="s">
        <v>276</v>
      </c>
      <c r="G102" t="s">
        <v>51</v>
      </c>
      <c r="H102" t="s">
        <v>52</v>
      </c>
      <c r="I102" t="s">
        <v>53</v>
      </c>
      <c r="J102" t="s">
        <v>54</v>
      </c>
      <c r="K102">
        <v>751867</v>
      </c>
      <c r="L102" t="s">
        <v>55</v>
      </c>
      <c r="M102" t="s">
        <v>56</v>
      </c>
      <c r="N102" t="s">
        <v>57</v>
      </c>
      <c r="O102" s="1">
        <v>46036</v>
      </c>
      <c r="Q102" s="1">
        <v>46217</v>
      </c>
      <c r="R102" s="2">
        <v>40.159999999999997</v>
      </c>
      <c r="S102">
        <v>1</v>
      </c>
      <c r="T102" t="s">
        <v>58</v>
      </c>
      <c r="U102" t="s">
        <v>59</v>
      </c>
      <c r="V102" s="3">
        <v>0.6</v>
      </c>
      <c r="W102" s="2">
        <v>0</v>
      </c>
      <c r="X102">
        <v>0</v>
      </c>
      <c r="Y102" t="s">
        <v>60</v>
      </c>
      <c r="Z102" t="s">
        <v>239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24.1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46188</v>
      </c>
      <c r="B103" t="s">
        <v>48</v>
      </c>
      <c r="C103">
        <v>649163</v>
      </c>
      <c r="D103">
        <v>2033273724</v>
      </c>
      <c r="E103" t="s">
        <v>277</v>
      </c>
      <c r="F103" t="s">
        <v>278</v>
      </c>
      <c r="G103" t="s">
        <v>51</v>
      </c>
      <c r="H103" t="s">
        <v>52</v>
      </c>
      <c r="I103" t="s">
        <v>53</v>
      </c>
      <c r="J103" t="s">
        <v>54</v>
      </c>
      <c r="K103">
        <v>929503</v>
      </c>
      <c r="L103" t="s">
        <v>179</v>
      </c>
      <c r="M103" t="s">
        <v>180</v>
      </c>
      <c r="N103" t="s">
        <v>242</v>
      </c>
      <c r="O103" s="1">
        <v>46054</v>
      </c>
      <c r="P103" s="1">
        <v>46188</v>
      </c>
      <c r="Q103" s="1">
        <v>46204</v>
      </c>
      <c r="R103" s="2">
        <v>-56.69</v>
      </c>
      <c r="S103">
        <v>1</v>
      </c>
      <c r="T103" t="s">
        <v>58</v>
      </c>
      <c r="U103" t="s">
        <v>59</v>
      </c>
      <c r="V103" s="3">
        <v>0.6</v>
      </c>
      <c r="W103" s="2">
        <v>0</v>
      </c>
      <c r="X103">
        <v>-1</v>
      </c>
      <c r="Y103" t="s">
        <v>60</v>
      </c>
      <c r="Z103" t="s">
        <v>239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-34.01</v>
      </c>
      <c r="AN103" s="2">
        <v>-34.01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46188</v>
      </c>
      <c r="B104" t="s">
        <v>48</v>
      </c>
      <c r="C104">
        <v>649163</v>
      </c>
      <c r="D104">
        <v>2033700082</v>
      </c>
      <c r="E104" t="s">
        <v>279</v>
      </c>
      <c r="F104" t="s">
        <v>280</v>
      </c>
      <c r="G104" t="s">
        <v>51</v>
      </c>
      <c r="H104" t="s">
        <v>119</v>
      </c>
      <c r="I104" t="s">
        <v>53</v>
      </c>
      <c r="J104" t="s">
        <v>54</v>
      </c>
      <c r="K104">
        <v>894525</v>
      </c>
      <c r="L104" t="s">
        <v>189</v>
      </c>
      <c r="M104" t="s">
        <v>190</v>
      </c>
      <c r="N104" t="s">
        <v>57</v>
      </c>
      <c r="O104" s="1">
        <v>46071</v>
      </c>
      <c r="Q104" s="1">
        <v>46221</v>
      </c>
      <c r="R104" s="2">
        <v>96.55</v>
      </c>
      <c r="S104">
        <v>1</v>
      </c>
      <c r="T104" t="s">
        <v>58</v>
      </c>
      <c r="U104" t="s">
        <v>59</v>
      </c>
      <c r="V104" s="3">
        <v>0.6</v>
      </c>
      <c r="W104" s="2">
        <v>0</v>
      </c>
      <c r="X104">
        <v>0</v>
      </c>
      <c r="Y104" t="s">
        <v>60</v>
      </c>
      <c r="Z104" t="s">
        <v>239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57.93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46188</v>
      </c>
      <c r="B105" t="s">
        <v>48</v>
      </c>
      <c r="C105">
        <v>649163</v>
      </c>
      <c r="D105">
        <v>2034097751</v>
      </c>
      <c r="E105" t="s">
        <v>281</v>
      </c>
      <c r="F105" t="s">
        <v>282</v>
      </c>
      <c r="G105" t="s">
        <v>51</v>
      </c>
      <c r="H105" t="s">
        <v>145</v>
      </c>
      <c r="I105" t="s">
        <v>53</v>
      </c>
      <c r="J105" t="s">
        <v>54</v>
      </c>
      <c r="K105">
        <v>673059</v>
      </c>
      <c r="L105" t="s">
        <v>85</v>
      </c>
      <c r="M105" t="s">
        <v>86</v>
      </c>
      <c r="N105" t="s">
        <v>57</v>
      </c>
      <c r="O105" s="1">
        <v>46127</v>
      </c>
      <c r="Q105" s="1">
        <v>46218</v>
      </c>
      <c r="R105" s="2">
        <v>112.52</v>
      </c>
      <c r="S105">
        <v>1</v>
      </c>
      <c r="T105" t="s">
        <v>58</v>
      </c>
      <c r="U105" t="s">
        <v>59</v>
      </c>
      <c r="V105" s="3">
        <v>0.6</v>
      </c>
      <c r="W105" s="2">
        <v>0</v>
      </c>
      <c r="X105">
        <v>0</v>
      </c>
      <c r="Y105" t="s">
        <v>60</v>
      </c>
      <c r="Z105" t="s">
        <v>239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67.510000000000005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46188</v>
      </c>
      <c r="B106" t="s">
        <v>48</v>
      </c>
      <c r="C106">
        <v>649163</v>
      </c>
      <c r="D106">
        <v>2034404407</v>
      </c>
      <c r="E106" t="s">
        <v>283</v>
      </c>
      <c r="F106" t="s">
        <v>260</v>
      </c>
      <c r="G106" t="s">
        <v>51</v>
      </c>
      <c r="H106" t="s">
        <v>52</v>
      </c>
      <c r="I106" t="s">
        <v>53</v>
      </c>
      <c r="J106" t="s">
        <v>54</v>
      </c>
      <c r="K106">
        <v>885445</v>
      </c>
      <c r="L106" t="s">
        <v>273</v>
      </c>
      <c r="M106" t="s">
        <v>92</v>
      </c>
      <c r="N106" t="s">
        <v>57</v>
      </c>
      <c r="O106" s="1">
        <v>46099</v>
      </c>
      <c r="Q106" s="1">
        <v>46221</v>
      </c>
      <c r="R106" s="2">
        <v>46.45</v>
      </c>
      <c r="S106">
        <v>1</v>
      </c>
      <c r="T106" t="s">
        <v>58</v>
      </c>
      <c r="U106" t="s">
        <v>59</v>
      </c>
      <c r="V106" s="3">
        <v>0.6</v>
      </c>
      <c r="W106" s="2">
        <v>0</v>
      </c>
      <c r="X106">
        <v>0</v>
      </c>
      <c r="Y106" t="s">
        <v>60</v>
      </c>
      <c r="Z106" t="s">
        <v>239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27.87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46188</v>
      </c>
      <c r="B107" t="s">
        <v>48</v>
      </c>
      <c r="C107">
        <v>649163</v>
      </c>
      <c r="D107">
        <v>2034719307</v>
      </c>
      <c r="E107" t="s">
        <v>284</v>
      </c>
      <c r="F107" t="s">
        <v>285</v>
      </c>
      <c r="G107" t="s">
        <v>51</v>
      </c>
      <c r="H107" t="s">
        <v>52</v>
      </c>
      <c r="I107" t="s">
        <v>53</v>
      </c>
      <c r="J107" t="s">
        <v>54</v>
      </c>
      <c r="K107">
        <v>929503</v>
      </c>
      <c r="L107" t="s">
        <v>179</v>
      </c>
      <c r="M107" t="s">
        <v>180</v>
      </c>
      <c r="N107" t="s">
        <v>242</v>
      </c>
      <c r="O107" s="1">
        <v>46143</v>
      </c>
      <c r="P107" s="1">
        <v>46181</v>
      </c>
      <c r="Q107" s="1">
        <v>46204</v>
      </c>
      <c r="R107" s="2">
        <v>-55.74</v>
      </c>
      <c r="S107">
        <v>1</v>
      </c>
      <c r="T107" t="s">
        <v>58</v>
      </c>
      <c r="U107" t="s">
        <v>59</v>
      </c>
      <c r="V107" s="3">
        <v>0.6</v>
      </c>
      <c r="W107" s="2">
        <v>0</v>
      </c>
      <c r="X107">
        <v>-1</v>
      </c>
      <c r="Y107" t="s">
        <v>60</v>
      </c>
      <c r="Z107" t="s">
        <v>239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-33.44</v>
      </c>
      <c r="AN107" s="2">
        <v>-33.44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46188</v>
      </c>
      <c r="B108" t="s">
        <v>48</v>
      </c>
      <c r="C108">
        <v>649163</v>
      </c>
      <c r="D108">
        <v>2034899050</v>
      </c>
      <c r="E108" t="s">
        <v>286</v>
      </c>
      <c r="F108" t="s">
        <v>287</v>
      </c>
      <c r="G108" t="s">
        <v>51</v>
      </c>
      <c r="H108" t="s">
        <v>119</v>
      </c>
      <c r="I108" t="s">
        <v>53</v>
      </c>
      <c r="J108" t="s">
        <v>54</v>
      </c>
      <c r="K108">
        <v>894525</v>
      </c>
      <c r="L108" t="s">
        <v>189</v>
      </c>
      <c r="M108" t="s">
        <v>190</v>
      </c>
      <c r="N108" t="s">
        <v>57</v>
      </c>
      <c r="O108" s="1">
        <v>46126</v>
      </c>
      <c r="Q108" s="1">
        <v>46217</v>
      </c>
      <c r="R108" s="2">
        <v>79.75</v>
      </c>
      <c r="S108">
        <v>1</v>
      </c>
      <c r="T108" t="s">
        <v>58</v>
      </c>
      <c r="U108" t="s">
        <v>59</v>
      </c>
      <c r="V108" s="3">
        <v>0.6</v>
      </c>
      <c r="W108" s="2">
        <v>0</v>
      </c>
      <c r="X108">
        <v>0</v>
      </c>
      <c r="Y108" t="s">
        <v>60</v>
      </c>
      <c r="Z108" t="s">
        <v>239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47.85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46188</v>
      </c>
      <c r="B109" t="s">
        <v>48</v>
      </c>
      <c r="C109">
        <v>649163</v>
      </c>
      <c r="D109">
        <v>2035438431</v>
      </c>
      <c r="E109" t="s">
        <v>288</v>
      </c>
      <c r="F109" t="s">
        <v>289</v>
      </c>
      <c r="G109" t="s">
        <v>51</v>
      </c>
      <c r="H109" t="s">
        <v>52</v>
      </c>
      <c r="I109" t="s">
        <v>53</v>
      </c>
      <c r="J109" t="s">
        <v>54</v>
      </c>
      <c r="K109">
        <v>929503</v>
      </c>
      <c r="L109" t="s">
        <v>179</v>
      </c>
      <c r="M109" t="s">
        <v>180</v>
      </c>
      <c r="N109" t="s">
        <v>57</v>
      </c>
      <c r="O109" s="1">
        <v>46155</v>
      </c>
      <c r="Q109" s="1">
        <v>46216</v>
      </c>
      <c r="R109" s="2">
        <v>79.67</v>
      </c>
      <c r="S109">
        <v>1</v>
      </c>
      <c r="T109" t="s">
        <v>58</v>
      </c>
      <c r="U109" t="s">
        <v>59</v>
      </c>
      <c r="V109" s="3">
        <v>0.6</v>
      </c>
      <c r="W109" s="2">
        <v>0</v>
      </c>
      <c r="X109">
        <v>0</v>
      </c>
      <c r="Y109" t="s">
        <v>60</v>
      </c>
      <c r="Z109" t="s">
        <v>239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47.8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46188</v>
      </c>
      <c r="B110" t="s">
        <v>48</v>
      </c>
      <c r="C110">
        <v>649163</v>
      </c>
      <c r="D110">
        <v>2035449420</v>
      </c>
      <c r="E110" t="s">
        <v>290</v>
      </c>
      <c r="F110" t="s">
        <v>291</v>
      </c>
      <c r="G110" t="s">
        <v>51</v>
      </c>
      <c r="H110" t="s">
        <v>292</v>
      </c>
      <c r="I110" t="s">
        <v>53</v>
      </c>
      <c r="J110" t="s">
        <v>54</v>
      </c>
      <c r="K110">
        <v>960404</v>
      </c>
      <c r="L110" t="s">
        <v>293</v>
      </c>
      <c r="M110" t="s">
        <v>294</v>
      </c>
      <c r="N110" t="s">
        <v>57</v>
      </c>
      <c r="O110" s="1">
        <v>46156</v>
      </c>
      <c r="Q110" s="1">
        <v>46217</v>
      </c>
      <c r="R110" s="2">
        <v>52.69</v>
      </c>
      <c r="S110">
        <v>1</v>
      </c>
      <c r="T110" t="s">
        <v>58</v>
      </c>
      <c r="U110" t="s">
        <v>59</v>
      </c>
      <c r="V110" s="3">
        <v>0.6</v>
      </c>
      <c r="W110" s="2">
        <v>0</v>
      </c>
      <c r="X110">
        <v>0</v>
      </c>
      <c r="Y110" t="s">
        <v>60</v>
      </c>
      <c r="Z110" t="s">
        <v>239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31.61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46188</v>
      </c>
      <c r="B111" t="s">
        <v>48</v>
      </c>
      <c r="C111">
        <v>649163</v>
      </c>
      <c r="D111">
        <v>2016762022</v>
      </c>
      <c r="E111" t="s">
        <v>295</v>
      </c>
      <c r="F111" t="s">
        <v>296</v>
      </c>
      <c r="G111" t="s">
        <v>51</v>
      </c>
      <c r="H111" t="s">
        <v>100</v>
      </c>
      <c r="I111" t="s">
        <v>71</v>
      </c>
      <c r="J111" t="s">
        <v>84</v>
      </c>
      <c r="K111">
        <v>651818</v>
      </c>
      <c r="L111" t="s">
        <v>79</v>
      </c>
      <c r="M111" t="s">
        <v>80</v>
      </c>
      <c r="N111" t="s">
        <v>242</v>
      </c>
      <c r="O111" s="1">
        <v>44927</v>
      </c>
      <c r="P111" s="1">
        <v>46188</v>
      </c>
      <c r="Q111" s="1">
        <v>46204</v>
      </c>
      <c r="R111" s="2">
        <v>-18.899999999999999</v>
      </c>
      <c r="S111">
        <v>1</v>
      </c>
      <c r="T111" t="s">
        <v>58</v>
      </c>
      <c r="U111" t="s">
        <v>237</v>
      </c>
      <c r="V111" s="3">
        <v>0.1</v>
      </c>
      <c r="W111" s="2">
        <v>0</v>
      </c>
      <c r="X111">
        <v>-1</v>
      </c>
      <c r="Y111" t="s">
        <v>238</v>
      </c>
      <c r="Z111" t="s">
        <v>239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-1.89</v>
      </c>
      <c r="AN111" s="2">
        <v>-1.89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46188</v>
      </c>
      <c r="B112" t="s">
        <v>48</v>
      </c>
      <c r="C112">
        <v>649163</v>
      </c>
      <c r="D112">
        <v>2016762023</v>
      </c>
      <c r="E112" t="s">
        <v>295</v>
      </c>
      <c r="F112" t="s">
        <v>296</v>
      </c>
      <c r="G112" t="s">
        <v>51</v>
      </c>
      <c r="H112" t="s">
        <v>100</v>
      </c>
      <c r="I112" t="s">
        <v>71</v>
      </c>
      <c r="J112" t="s">
        <v>78</v>
      </c>
      <c r="K112">
        <v>651818</v>
      </c>
      <c r="L112" t="s">
        <v>79</v>
      </c>
      <c r="M112" t="s">
        <v>80</v>
      </c>
      <c r="N112" t="s">
        <v>242</v>
      </c>
      <c r="O112" s="1">
        <v>44927</v>
      </c>
      <c r="P112" s="1">
        <v>46188</v>
      </c>
      <c r="Q112" s="1">
        <v>46204</v>
      </c>
      <c r="R112" s="2">
        <v>-53.89</v>
      </c>
      <c r="S112">
        <v>1</v>
      </c>
      <c r="T112" t="s">
        <v>58</v>
      </c>
      <c r="U112" t="s">
        <v>237</v>
      </c>
      <c r="V112" s="3">
        <v>0.1</v>
      </c>
      <c r="W112" s="2">
        <v>0</v>
      </c>
      <c r="X112">
        <v>-1</v>
      </c>
      <c r="Y112" t="s">
        <v>238</v>
      </c>
      <c r="Z112" t="s">
        <v>239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-5.39</v>
      </c>
      <c r="AN112" s="2">
        <v>-5.39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46188</v>
      </c>
      <c r="B113" t="s">
        <v>48</v>
      </c>
      <c r="C113">
        <v>649163</v>
      </c>
      <c r="D113">
        <v>2020174611</v>
      </c>
      <c r="E113" t="s">
        <v>297</v>
      </c>
      <c r="F113" t="s">
        <v>298</v>
      </c>
      <c r="G113" t="s">
        <v>51</v>
      </c>
      <c r="H113" t="s">
        <v>193</v>
      </c>
      <c r="I113" t="s">
        <v>71</v>
      </c>
      <c r="J113" t="s">
        <v>78</v>
      </c>
      <c r="K113">
        <v>652037</v>
      </c>
      <c r="L113" t="s">
        <v>64</v>
      </c>
      <c r="M113" t="s">
        <v>236</v>
      </c>
      <c r="N113" t="s">
        <v>57</v>
      </c>
      <c r="O113" s="1">
        <v>45214</v>
      </c>
      <c r="Q113" s="1">
        <v>46218</v>
      </c>
      <c r="R113" s="2">
        <v>246.44</v>
      </c>
      <c r="S113">
        <v>1</v>
      </c>
      <c r="T113" t="s">
        <v>58</v>
      </c>
      <c r="U113" t="s">
        <v>237</v>
      </c>
      <c r="V113" s="3">
        <v>0.1</v>
      </c>
      <c r="W113" s="2">
        <v>0</v>
      </c>
      <c r="X113">
        <v>0</v>
      </c>
      <c r="Y113" t="s">
        <v>238</v>
      </c>
      <c r="Z113" t="s">
        <v>239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24.64</v>
      </c>
      <c r="AN113" s="2">
        <v>24.64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46188</v>
      </c>
      <c r="B114" t="s">
        <v>48</v>
      </c>
      <c r="C114">
        <v>649163</v>
      </c>
      <c r="D114">
        <v>2021470574</v>
      </c>
      <c r="E114" t="s">
        <v>299</v>
      </c>
      <c r="F114" t="s">
        <v>300</v>
      </c>
      <c r="G114" t="s">
        <v>51</v>
      </c>
      <c r="H114" t="s">
        <v>119</v>
      </c>
      <c r="I114" t="s">
        <v>71</v>
      </c>
      <c r="J114" t="s">
        <v>78</v>
      </c>
      <c r="K114">
        <v>651818</v>
      </c>
      <c r="L114" t="s">
        <v>79</v>
      </c>
      <c r="M114" t="s">
        <v>80</v>
      </c>
      <c r="N114" t="s">
        <v>57</v>
      </c>
      <c r="O114" s="1">
        <v>45341</v>
      </c>
      <c r="Q114" s="1">
        <v>46222</v>
      </c>
      <c r="R114" s="2">
        <v>103.16</v>
      </c>
      <c r="S114">
        <v>1</v>
      </c>
      <c r="T114" t="s">
        <v>58</v>
      </c>
      <c r="U114" t="s">
        <v>237</v>
      </c>
      <c r="V114" s="3">
        <v>0.1</v>
      </c>
      <c r="W114" s="2">
        <v>0</v>
      </c>
      <c r="X114">
        <v>0</v>
      </c>
      <c r="Y114" t="s">
        <v>238</v>
      </c>
      <c r="Z114" t="s">
        <v>239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10.32</v>
      </c>
      <c r="AN114" s="2">
        <v>10.32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46188</v>
      </c>
      <c r="B115" t="s">
        <v>48</v>
      </c>
      <c r="C115">
        <v>649163</v>
      </c>
      <c r="D115">
        <v>2024834573</v>
      </c>
      <c r="E115" t="s">
        <v>301</v>
      </c>
      <c r="F115" t="s">
        <v>252</v>
      </c>
      <c r="G115" t="s">
        <v>51</v>
      </c>
      <c r="H115" t="s">
        <v>170</v>
      </c>
      <c r="I115" t="s">
        <v>71</v>
      </c>
      <c r="J115" t="s">
        <v>78</v>
      </c>
      <c r="K115">
        <v>767312</v>
      </c>
      <c r="L115" t="s">
        <v>171</v>
      </c>
      <c r="M115" t="s">
        <v>172</v>
      </c>
      <c r="N115" t="s">
        <v>57</v>
      </c>
      <c r="O115" s="1">
        <v>45549</v>
      </c>
      <c r="Q115" s="1">
        <v>46217</v>
      </c>
      <c r="R115" s="2">
        <v>41.42</v>
      </c>
      <c r="S115">
        <v>1</v>
      </c>
      <c r="T115" t="s">
        <v>58</v>
      </c>
      <c r="U115" t="s">
        <v>237</v>
      </c>
      <c r="V115" s="3">
        <v>0.1</v>
      </c>
      <c r="W115" s="2">
        <v>0</v>
      </c>
      <c r="X115">
        <v>0</v>
      </c>
      <c r="Y115" t="s">
        <v>238</v>
      </c>
      <c r="Z115" t="s">
        <v>239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4.1399999999999997</v>
      </c>
      <c r="AN115" s="2">
        <v>4.1399999999999997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46188</v>
      </c>
      <c r="B116" t="s">
        <v>48</v>
      </c>
      <c r="C116">
        <v>649163</v>
      </c>
      <c r="D116">
        <v>2025316510</v>
      </c>
      <c r="E116" t="s">
        <v>302</v>
      </c>
      <c r="F116" t="s">
        <v>63</v>
      </c>
      <c r="G116" t="s">
        <v>51</v>
      </c>
      <c r="H116" t="s">
        <v>186</v>
      </c>
      <c r="I116" t="s">
        <v>71</v>
      </c>
      <c r="J116" t="s">
        <v>78</v>
      </c>
      <c r="K116">
        <v>767312</v>
      </c>
      <c r="L116" t="s">
        <v>171</v>
      </c>
      <c r="M116" t="s">
        <v>172</v>
      </c>
      <c r="N116" t="s">
        <v>57</v>
      </c>
      <c r="O116" s="1">
        <v>45580</v>
      </c>
      <c r="Q116" s="1">
        <v>46218</v>
      </c>
      <c r="R116" s="2">
        <v>19.309999999999999</v>
      </c>
      <c r="S116">
        <v>1</v>
      </c>
      <c r="T116" t="s">
        <v>58</v>
      </c>
      <c r="U116" t="s">
        <v>237</v>
      </c>
      <c r="V116" s="3">
        <v>0.1</v>
      </c>
      <c r="W116" s="2">
        <v>0</v>
      </c>
      <c r="X116">
        <v>0</v>
      </c>
      <c r="Y116" t="s">
        <v>238</v>
      </c>
      <c r="Z116" t="s">
        <v>239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1.93</v>
      </c>
      <c r="AN116" s="2">
        <v>1.93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46188</v>
      </c>
      <c r="B117" t="s">
        <v>48</v>
      </c>
      <c r="C117">
        <v>649163</v>
      </c>
      <c r="D117">
        <v>2025820174</v>
      </c>
      <c r="E117" t="s">
        <v>303</v>
      </c>
      <c r="F117" t="s">
        <v>304</v>
      </c>
      <c r="G117" t="s">
        <v>51</v>
      </c>
      <c r="H117" t="s">
        <v>305</v>
      </c>
      <c r="I117" t="s">
        <v>71</v>
      </c>
      <c r="J117" t="s">
        <v>78</v>
      </c>
      <c r="K117">
        <v>796984</v>
      </c>
      <c r="L117" t="s">
        <v>306</v>
      </c>
      <c r="M117" t="s">
        <v>307</v>
      </c>
      <c r="N117" t="s">
        <v>57</v>
      </c>
      <c r="O117" s="1">
        <v>45615</v>
      </c>
      <c r="Q117" s="1">
        <v>46222</v>
      </c>
      <c r="R117" s="2">
        <v>40.21</v>
      </c>
      <c r="S117">
        <v>1</v>
      </c>
      <c r="T117" t="s">
        <v>58</v>
      </c>
      <c r="U117" t="s">
        <v>237</v>
      </c>
      <c r="V117" s="3">
        <v>0.1</v>
      </c>
      <c r="W117" s="2">
        <v>0</v>
      </c>
      <c r="X117">
        <v>0</v>
      </c>
      <c r="Y117" t="s">
        <v>238</v>
      </c>
      <c r="Z117" t="s">
        <v>239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4.0199999999999996</v>
      </c>
      <c r="AN117" s="2">
        <v>4.0199999999999996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46188</v>
      </c>
      <c r="B118" t="s">
        <v>48</v>
      </c>
      <c r="C118">
        <v>649163</v>
      </c>
      <c r="D118">
        <v>2026061218</v>
      </c>
      <c r="E118" t="s">
        <v>308</v>
      </c>
      <c r="F118" t="s">
        <v>260</v>
      </c>
      <c r="G118" t="s">
        <v>51</v>
      </c>
      <c r="H118" t="s">
        <v>305</v>
      </c>
      <c r="I118" t="s">
        <v>71</v>
      </c>
      <c r="J118" t="s">
        <v>309</v>
      </c>
      <c r="K118">
        <v>796984</v>
      </c>
      <c r="L118" t="s">
        <v>306</v>
      </c>
      <c r="M118" t="s">
        <v>307</v>
      </c>
      <c r="N118" t="s">
        <v>57</v>
      </c>
      <c r="O118" s="1">
        <v>45641</v>
      </c>
      <c r="Q118" s="1">
        <v>46218</v>
      </c>
      <c r="R118" s="2">
        <v>37.130000000000003</v>
      </c>
      <c r="S118">
        <v>1</v>
      </c>
      <c r="T118" t="s">
        <v>58</v>
      </c>
      <c r="U118" t="s">
        <v>237</v>
      </c>
      <c r="V118" s="3">
        <v>0.1</v>
      </c>
      <c r="W118" s="2">
        <v>0</v>
      </c>
      <c r="X118">
        <v>0</v>
      </c>
      <c r="Y118" t="s">
        <v>238</v>
      </c>
      <c r="Z118" t="s">
        <v>239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3.71</v>
      </c>
      <c r="AN118" s="2">
        <v>3.71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46188</v>
      </c>
      <c r="B119" t="s">
        <v>48</v>
      </c>
      <c r="C119">
        <v>649163</v>
      </c>
      <c r="D119">
        <v>2026180758</v>
      </c>
      <c r="E119" t="s">
        <v>310</v>
      </c>
      <c r="F119" t="s">
        <v>311</v>
      </c>
      <c r="G119" t="s">
        <v>51</v>
      </c>
      <c r="H119" t="s">
        <v>305</v>
      </c>
      <c r="I119" t="s">
        <v>71</v>
      </c>
      <c r="J119" t="s">
        <v>309</v>
      </c>
      <c r="K119">
        <v>816021</v>
      </c>
      <c r="L119" t="s">
        <v>312</v>
      </c>
      <c r="M119" t="s">
        <v>313</v>
      </c>
      <c r="N119" t="s">
        <v>57</v>
      </c>
      <c r="O119" s="1">
        <v>45641</v>
      </c>
      <c r="Q119" s="1">
        <v>46218</v>
      </c>
      <c r="R119" s="2">
        <v>18.7</v>
      </c>
      <c r="S119">
        <v>1</v>
      </c>
      <c r="T119" t="s">
        <v>58</v>
      </c>
      <c r="U119" t="s">
        <v>237</v>
      </c>
      <c r="V119" s="3">
        <v>0.1</v>
      </c>
      <c r="W119" s="2">
        <v>0</v>
      </c>
      <c r="X119">
        <v>0</v>
      </c>
      <c r="Y119" t="s">
        <v>238</v>
      </c>
      <c r="Z119" t="s">
        <v>239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1.87</v>
      </c>
      <c r="AN119" s="2">
        <v>1.87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46188</v>
      </c>
      <c r="B120" t="s">
        <v>48</v>
      </c>
      <c r="C120">
        <v>649163</v>
      </c>
      <c r="D120">
        <v>2026184418</v>
      </c>
      <c r="E120" t="s">
        <v>314</v>
      </c>
      <c r="F120" t="s">
        <v>315</v>
      </c>
      <c r="G120" t="s">
        <v>51</v>
      </c>
      <c r="H120" t="s">
        <v>305</v>
      </c>
      <c r="I120" t="s">
        <v>71</v>
      </c>
      <c r="J120" t="s">
        <v>309</v>
      </c>
      <c r="K120">
        <v>816021</v>
      </c>
      <c r="L120" t="s">
        <v>312</v>
      </c>
      <c r="M120" t="s">
        <v>313</v>
      </c>
      <c r="N120" t="s">
        <v>57</v>
      </c>
      <c r="O120" s="1">
        <v>45641</v>
      </c>
      <c r="Q120" s="1">
        <v>46218</v>
      </c>
      <c r="R120" s="2">
        <v>45.51</v>
      </c>
      <c r="S120">
        <v>1</v>
      </c>
      <c r="T120" t="s">
        <v>58</v>
      </c>
      <c r="U120" t="s">
        <v>237</v>
      </c>
      <c r="V120" s="3">
        <v>0.1</v>
      </c>
      <c r="W120" s="2">
        <v>0</v>
      </c>
      <c r="X120">
        <v>0</v>
      </c>
      <c r="Y120" t="s">
        <v>238</v>
      </c>
      <c r="Z120" t="s">
        <v>239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4.55</v>
      </c>
      <c r="AN120" s="2">
        <v>4.55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46188</v>
      </c>
      <c r="B121" t="s">
        <v>48</v>
      </c>
      <c r="C121">
        <v>649163</v>
      </c>
      <c r="D121">
        <v>2026206373</v>
      </c>
      <c r="E121" t="s">
        <v>316</v>
      </c>
      <c r="F121" t="s">
        <v>317</v>
      </c>
      <c r="G121" t="s">
        <v>51</v>
      </c>
      <c r="H121" t="s">
        <v>292</v>
      </c>
      <c r="I121" t="s">
        <v>71</v>
      </c>
      <c r="J121" t="s">
        <v>84</v>
      </c>
      <c r="K121">
        <v>651818</v>
      </c>
      <c r="L121" t="s">
        <v>79</v>
      </c>
      <c r="M121" t="s">
        <v>80</v>
      </c>
      <c r="N121" t="s">
        <v>57</v>
      </c>
      <c r="O121" s="1">
        <v>45644</v>
      </c>
      <c r="Q121" s="1">
        <v>46221</v>
      </c>
      <c r="R121" s="2">
        <v>97.8</v>
      </c>
      <c r="S121">
        <v>1</v>
      </c>
      <c r="T121" t="s">
        <v>58</v>
      </c>
      <c r="U121" t="s">
        <v>237</v>
      </c>
      <c r="V121" s="3">
        <v>0.1</v>
      </c>
      <c r="W121" s="2">
        <v>0</v>
      </c>
      <c r="X121">
        <v>0</v>
      </c>
      <c r="Y121" t="s">
        <v>238</v>
      </c>
      <c r="Z121" t="s">
        <v>239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9.7799999999999994</v>
      </c>
      <c r="AN121" s="2">
        <v>9.7799999999999994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46188</v>
      </c>
      <c r="B122" t="s">
        <v>48</v>
      </c>
      <c r="C122">
        <v>649163</v>
      </c>
      <c r="D122">
        <v>2026617754</v>
      </c>
      <c r="E122" t="s">
        <v>318</v>
      </c>
      <c r="F122" t="s">
        <v>172</v>
      </c>
      <c r="G122" t="s">
        <v>51</v>
      </c>
      <c r="H122" t="s">
        <v>292</v>
      </c>
      <c r="I122" t="s">
        <v>71</v>
      </c>
      <c r="J122" t="s">
        <v>78</v>
      </c>
      <c r="K122">
        <v>767312</v>
      </c>
      <c r="L122" t="s">
        <v>171</v>
      </c>
      <c r="M122" t="s">
        <v>172</v>
      </c>
      <c r="N122" t="s">
        <v>57</v>
      </c>
      <c r="O122" s="1">
        <v>45673</v>
      </c>
      <c r="Q122" s="1">
        <v>46219</v>
      </c>
      <c r="R122" s="2">
        <v>72.290000000000006</v>
      </c>
      <c r="S122">
        <v>1</v>
      </c>
      <c r="T122" t="s">
        <v>58</v>
      </c>
      <c r="U122" t="s">
        <v>237</v>
      </c>
      <c r="V122" s="3">
        <v>0.1</v>
      </c>
      <c r="W122" s="2">
        <v>0</v>
      </c>
      <c r="X122">
        <v>0</v>
      </c>
      <c r="Y122" t="s">
        <v>238</v>
      </c>
      <c r="Z122" t="s">
        <v>239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7.23</v>
      </c>
      <c r="AN122" s="2">
        <v>7.23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46188</v>
      </c>
      <c r="B123" t="s">
        <v>48</v>
      </c>
      <c r="C123">
        <v>649163</v>
      </c>
      <c r="D123">
        <v>2027115500</v>
      </c>
      <c r="E123" t="s">
        <v>319</v>
      </c>
      <c r="F123" t="s">
        <v>320</v>
      </c>
      <c r="G123" t="s">
        <v>51</v>
      </c>
      <c r="H123" t="s">
        <v>119</v>
      </c>
      <c r="I123" t="s">
        <v>71</v>
      </c>
      <c r="J123" t="s">
        <v>78</v>
      </c>
      <c r="K123">
        <v>768887</v>
      </c>
      <c r="L123" t="s">
        <v>321</v>
      </c>
      <c r="M123" t="s">
        <v>94</v>
      </c>
      <c r="N123" t="s">
        <v>57</v>
      </c>
      <c r="O123" s="1">
        <v>45703</v>
      </c>
      <c r="Q123" s="1">
        <v>46218</v>
      </c>
      <c r="R123" s="2">
        <v>13.92</v>
      </c>
      <c r="S123">
        <v>1</v>
      </c>
      <c r="T123" t="s">
        <v>58</v>
      </c>
      <c r="U123" t="s">
        <v>237</v>
      </c>
      <c r="V123" s="3">
        <v>0.1</v>
      </c>
      <c r="W123" s="2">
        <v>0</v>
      </c>
      <c r="X123">
        <v>0</v>
      </c>
      <c r="Y123" t="s">
        <v>238</v>
      </c>
      <c r="Z123" t="s">
        <v>239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1.39</v>
      </c>
      <c r="AN123" s="2">
        <v>1.39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46188</v>
      </c>
      <c r="B124" t="s">
        <v>48</v>
      </c>
      <c r="C124">
        <v>649163</v>
      </c>
      <c r="D124">
        <v>2027176337</v>
      </c>
      <c r="E124" t="s">
        <v>322</v>
      </c>
      <c r="F124" t="s">
        <v>323</v>
      </c>
      <c r="G124" t="s">
        <v>51</v>
      </c>
      <c r="H124" t="s">
        <v>119</v>
      </c>
      <c r="I124" t="s">
        <v>71</v>
      </c>
      <c r="J124" t="s">
        <v>84</v>
      </c>
      <c r="K124">
        <v>820873</v>
      </c>
      <c r="L124" t="s">
        <v>128</v>
      </c>
      <c r="M124" t="s">
        <v>129</v>
      </c>
      <c r="N124" t="s">
        <v>57</v>
      </c>
      <c r="O124" s="1">
        <v>45707</v>
      </c>
      <c r="Q124" s="1">
        <v>46222</v>
      </c>
      <c r="R124" s="2">
        <v>114.3</v>
      </c>
      <c r="S124">
        <v>1</v>
      </c>
      <c r="T124" t="s">
        <v>58</v>
      </c>
      <c r="U124" t="s">
        <v>237</v>
      </c>
      <c r="V124" s="3">
        <v>0.1</v>
      </c>
      <c r="W124" s="2">
        <v>0</v>
      </c>
      <c r="X124">
        <v>0</v>
      </c>
      <c r="Y124" t="s">
        <v>238</v>
      </c>
      <c r="Z124" t="s">
        <v>239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11.43</v>
      </c>
      <c r="AN124" s="2">
        <v>11.43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46188</v>
      </c>
      <c r="B125" t="s">
        <v>48</v>
      </c>
      <c r="C125">
        <v>649163</v>
      </c>
      <c r="D125">
        <v>2028303459</v>
      </c>
      <c r="E125" t="s">
        <v>232</v>
      </c>
      <c r="F125" t="s">
        <v>324</v>
      </c>
      <c r="G125" t="s">
        <v>51</v>
      </c>
      <c r="H125" t="s">
        <v>245</v>
      </c>
      <c r="I125" t="s">
        <v>71</v>
      </c>
      <c r="J125" t="s">
        <v>84</v>
      </c>
      <c r="K125">
        <v>651818</v>
      </c>
      <c r="L125" t="s">
        <v>79</v>
      </c>
      <c r="M125" t="s">
        <v>80</v>
      </c>
      <c r="N125" t="s">
        <v>57</v>
      </c>
      <c r="O125" s="1">
        <v>45762</v>
      </c>
      <c r="Q125" s="1">
        <v>46218</v>
      </c>
      <c r="R125" s="2">
        <v>132.5</v>
      </c>
      <c r="S125">
        <v>1</v>
      </c>
      <c r="T125" t="s">
        <v>58</v>
      </c>
      <c r="U125" t="s">
        <v>237</v>
      </c>
      <c r="V125" s="3">
        <v>0.1</v>
      </c>
      <c r="W125" s="2">
        <v>0</v>
      </c>
      <c r="X125">
        <v>0</v>
      </c>
      <c r="Y125" t="s">
        <v>238</v>
      </c>
      <c r="Z125" t="s">
        <v>239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13.25</v>
      </c>
      <c r="AN125" s="2">
        <v>13.25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46188</v>
      </c>
      <c r="B126" t="s">
        <v>48</v>
      </c>
      <c r="C126">
        <v>649163</v>
      </c>
      <c r="D126">
        <v>2028470694</v>
      </c>
      <c r="E126" t="s">
        <v>325</v>
      </c>
      <c r="F126" t="s">
        <v>326</v>
      </c>
      <c r="G126" t="s">
        <v>51</v>
      </c>
      <c r="H126" t="s">
        <v>327</v>
      </c>
      <c r="I126" t="s">
        <v>71</v>
      </c>
      <c r="J126" t="s">
        <v>84</v>
      </c>
      <c r="K126">
        <v>813184</v>
      </c>
      <c r="L126" t="s">
        <v>328</v>
      </c>
      <c r="M126" t="s">
        <v>329</v>
      </c>
      <c r="N126" t="s">
        <v>57</v>
      </c>
      <c r="O126" s="1">
        <v>45765</v>
      </c>
      <c r="Q126" s="1">
        <v>46221</v>
      </c>
      <c r="R126" s="2">
        <v>60.28</v>
      </c>
      <c r="S126">
        <v>1</v>
      </c>
      <c r="T126" t="s">
        <v>58</v>
      </c>
      <c r="U126" t="s">
        <v>237</v>
      </c>
      <c r="V126" s="3">
        <v>0.1</v>
      </c>
      <c r="W126" s="2">
        <v>0</v>
      </c>
      <c r="X126">
        <v>0</v>
      </c>
      <c r="Y126" t="s">
        <v>238</v>
      </c>
      <c r="Z126" t="s">
        <v>239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6.03</v>
      </c>
      <c r="AN126" s="2">
        <v>6.03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46188</v>
      </c>
      <c r="B127" t="s">
        <v>48</v>
      </c>
      <c r="C127">
        <v>649163</v>
      </c>
      <c r="D127">
        <v>2028935096</v>
      </c>
      <c r="E127" t="s">
        <v>330</v>
      </c>
      <c r="F127" t="s">
        <v>331</v>
      </c>
      <c r="G127" t="s">
        <v>51</v>
      </c>
      <c r="H127" t="s">
        <v>95</v>
      </c>
      <c r="I127" t="s">
        <v>71</v>
      </c>
      <c r="J127" t="s">
        <v>72</v>
      </c>
      <c r="K127">
        <v>821015</v>
      </c>
      <c r="L127" t="s">
        <v>332</v>
      </c>
      <c r="M127" t="s">
        <v>333</v>
      </c>
      <c r="N127" t="s">
        <v>57</v>
      </c>
      <c r="O127" s="1">
        <v>45792</v>
      </c>
      <c r="Q127" s="1">
        <v>46218</v>
      </c>
      <c r="R127" s="2">
        <v>50.98</v>
      </c>
      <c r="S127">
        <v>1</v>
      </c>
      <c r="T127" t="s">
        <v>58</v>
      </c>
      <c r="U127" t="s">
        <v>237</v>
      </c>
      <c r="V127" s="3">
        <v>0.1</v>
      </c>
      <c r="W127" s="2">
        <v>0</v>
      </c>
      <c r="X127">
        <v>0</v>
      </c>
      <c r="Y127" t="s">
        <v>238</v>
      </c>
      <c r="Z127" t="s">
        <v>239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5.0999999999999996</v>
      </c>
      <c r="AN127" s="2">
        <v>5.0999999999999996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46188</v>
      </c>
      <c r="B128" t="s">
        <v>48</v>
      </c>
      <c r="C128">
        <v>649163</v>
      </c>
      <c r="D128">
        <v>2028958358</v>
      </c>
      <c r="E128" t="s">
        <v>334</v>
      </c>
      <c r="F128" t="s">
        <v>335</v>
      </c>
      <c r="G128" t="s">
        <v>51</v>
      </c>
      <c r="H128" t="s">
        <v>119</v>
      </c>
      <c r="I128" t="s">
        <v>71</v>
      </c>
      <c r="J128" t="s">
        <v>78</v>
      </c>
      <c r="K128">
        <v>673059</v>
      </c>
      <c r="L128" t="s">
        <v>85</v>
      </c>
      <c r="M128" t="s">
        <v>86</v>
      </c>
      <c r="N128" t="s">
        <v>57</v>
      </c>
      <c r="O128" s="1">
        <v>45793</v>
      </c>
      <c r="Q128" s="1">
        <v>46219</v>
      </c>
      <c r="R128" s="2">
        <v>50.96</v>
      </c>
      <c r="S128">
        <v>1</v>
      </c>
      <c r="T128" t="s">
        <v>58</v>
      </c>
      <c r="U128" t="s">
        <v>237</v>
      </c>
      <c r="V128" s="3">
        <v>0.1</v>
      </c>
      <c r="W128" s="2">
        <v>0</v>
      </c>
      <c r="X128">
        <v>0</v>
      </c>
      <c r="Y128" t="s">
        <v>238</v>
      </c>
      <c r="Z128" t="s">
        <v>239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5.0999999999999996</v>
      </c>
      <c r="AN128" s="2">
        <v>5.0999999999999996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46188</v>
      </c>
      <c r="B129" t="s">
        <v>48</v>
      </c>
      <c r="C129">
        <v>649163</v>
      </c>
      <c r="D129">
        <v>2028965775</v>
      </c>
      <c r="E129" t="s">
        <v>336</v>
      </c>
      <c r="F129" t="s">
        <v>208</v>
      </c>
      <c r="G129" t="s">
        <v>51</v>
      </c>
      <c r="H129" t="s">
        <v>119</v>
      </c>
      <c r="I129" t="s">
        <v>71</v>
      </c>
      <c r="J129" t="s">
        <v>72</v>
      </c>
      <c r="K129">
        <v>792847</v>
      </c>
      <c r="L129" t="s">
        <v>336</v>
      </c>
      <c r="M129" t="s">
        <v>337</v>
      </c>
      <c r="N129" t="s">
        <v>57</v>
      </c>
      <c r="O129" s="1">
        <v>45793</v>
      </c>
      <c r="Q129" s="1">
        <v>46219</v>
      </c>
      <c r="R129" s="2">
        <v>19.3</v>
      </c>
      <c r="S129">
        <v>1</v>
      </c>
      <c r="T129" t="s">
        <v>58</v>
      </c>
      <c r="U129" t="s">
        <v>237</v>
      </c>
      <c r="V129" s="3">
        <v>0.1</v>
      </c>
      <c r="W129" s="2">
        <v>0</v>
      </c>
      <c r="X129">
        <v>0</v>
      </c>
      <c r="Y129" t="s">
        <v>238</v>
      </c>
      <c r="Z129" t="s">
        <v>239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1.93</v>
      </c>
      <c r="AN129" s="2">
        <v>1.93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46188</v>
      </c>
      <c r="B130" t="s">
        <v>48</v>
      </c>
      <c r="C130">
        <v>649163</v>
      </c>
      <c r="D130">
        <v>2028965806</v>
      </c>
      <c r="E130" t="s">
        <v>336</v>
      </c>
      <c r="F130" t="s">
        <v>338</v>
      </c>
      <c r="G130" t="s">
        <v>51</v>
      </c>
      <c r="H130" t="s">
        <v>339</v>
      </c>
      <c r="I130" t="s">
        <v>71</v>
      </c>
      <c r="J130" t="s">
        <v>72</v>
      </c>
      <c r="K130">
        <v>792847</v>
      </c>
      <c r="L130" t="s">
        <v>336</v>
      </c>
      <c r="M130" t="s">
        <v>337</v>
      </c>
      <c r="N130" t="s">
        <v>57</v>
      </c>
      <c r="O130" s="1">
        <v>45793</v>
      </c>
      <c r="Q130" s="1">
        <v>46219</v>
      </c>
      <c r="R130" s="2">
        <v>73.42</v>
      </c>
      <c r="S130">
        <v>1</v>
      </c>
      <c r="T130" t="s">
        <v>58</v>
      </c>
      <c r="U130" t="s">
        <v>237</v>
      </c>
      <c r="V130" s="3">
        <v>0.1</v>
      </c>
      <c r="W130" s="2">
        <v>0</v>
      </c>
      <c r="X130">
        <v>0</v>
      </c>
      <c r="Y130" t="s">
        <v>238</v>
      </c>
      <c r="Z130" t="s">
        <v>239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7.34</v>
      </c>
      <c r="AN130" s="2">
        <v>7.34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46188</v>
      </c>
      <c r="B131" t="s">
        <v>48</v>
      </c>
      <c r="C131">
        <v>649163</v>
      </c>
      <c r="D131">
        <v>2029185271</v>
      </c>
      <c r="E131" t="s">
        <v>340</v>
      </c>
      <c r="F131" t="s">
        <v>341</v>
      </c>
      <c r="G131" t="s">
        <v>51</v>
      </c>
      <c r="H131" t="s">
        <v>342</v>
      </c>
      <c r="I131" t="s">
        <v>71</v>
      </c>
      <c r="J131" t="s">
        <v>72</v>
      </c>
      <c r="K131">
        <v>673059</v>
      </c>
      <c r="L131" t="s">
        <v>85</v>
      </c>
      <c r="M131" t="s">
        <v>86</v>
      </c>
      <c r="N131" t="s">
        <v>57</v>
      </c>
      <c r="O131" s="1">
        <v>45825</v>
      </c>
      <c r="Q131" s="1">
        <v>46220</v>
      </c>
      <c r="R131" s="2">
        <v>66.03</v>
      </c>
      <c r="S131">
        <v>1</v>
      </c>
      <c r="T131" t="s">
        <v>58</v>
      </c>
      <c r="U131" t="s">
        <v>237</v>
      </c>
      <c r="V131" s="3">
        <v>0.1</v>
      </c>
      <c r="W131" s="2">
        <v>0</v>
      </c>
      <c r="X131">
        <v>0</v>
      </c>
      <c r="Y131" t="s">
        <v>238</v>
      </c>
      <c r="Z131" t="s">
        <v>239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6.6</v>
      </c>
      <c r="AN131" s="2">
        <v>6.6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46188</v>
      </c>
      <c r="B132" t="s">
        <v>48</v>
      </c>
      <c r="C132">
        <v>649163</v>
      </c>
      <c r="D132">
        <v>2029502358</v>
      </c>
      <c r="E132" t="s">
        <v>85</v>
      </c>
      <c r="F132" t="s">
        <v>86</v>
      </c>
      <c r="G132" t="s">
        <v>51</v>
      </c>
      <c r="H132" t="s">
        <v>119</v>
      </c>
      <c r="I132" t="s">
        <v>71</v>
      </c>
      <c r="J132" t="s">
        <v>72</v>
      </c>
      <c r="K132">
        <v>673059</v>
      </c>
      <c r="L132" t="s">
        <v>85</v>
      </c>
      <c r="M132" t="s">
        <v>86</v>
      </c>
      <c r="N132" t="s">
        <v>57</v>
      </c>
      <c r="O132" s="1">
        <v>45826</v>
      </c>
      <c r="Q132" s="1">
        <v>46221</v>
      </c>
      <c r="R132" s="2">
        <v>35.380000000000003</v>
      </c>
      <c r="S132">
        <v>1</v>
      </c>
      <c r="T132" t="s">
        <v>58</v>
      </c>
      <c r="U132" t="s">
        <v>237</v>
      </c>
      <c r="V132" s="3">
        <v>0.1</v>
      </c>
      <c r="W132" s="2">
        <v>0</v>
      </c>
      <c r="X132">
        <v>0</v>
      </c>
      <c r="Y132" t="s">
        <v>238</v>
      </c>
      <c r="Z132" t="s">
        <v>239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3.54</v>
      </c>
      <c r="AN132" s="2">
        <v>3.54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46188</v>
      </c>
      <c r="B133" t="s">
        <v>48</v>
      </c>
      <c r="C133">
        <v>649163</v>
      </c>
      <c r="D133">
        <v>2029878253</v>
      </c>
      <c r="E133" t="s">
        <v>343</v>
      </c>
      <c r="F133" t="s">
        <v>106</v>
      </c>
      <c r="G133" t="s">
        <v>51</v>
      </c>
      <c r="H133" t="s">
        <v>119</v>
      </c>
      <c r="I133" t="s">
        <v>71</v>
      </c>
      <c r="J133" t="s">
        <v>72</v>
      </c>
      <c r="K133">
        <v>824076</v>
      </c>
      <c r="L133" t="s">
        <v>344</v>
      </c>
      <c r="M133" t="s">
        <v>345</v>
      </c>
      <c r="N133" t="s">
        <v>57</v>
      </c>
      <c r="O133" s="1">
        <v>45853</v>
      </c>
      <c r="Q133" s="1">
        <v>46218</v>
      </c>
      <c r="R133" s="2">
        <v>15.97</v>
      </c>
      <c r="S133">
        <v>1</v>
      </c>
      <c r="T133" t="s">
        <v>58</v>
      </c>
      <c r="U133" t="s">
        <v>237</v>
      </c>
      <c r="V133" s="3">
        <v>0.75</v>
      </c>
      <c r="W133" s="2">
        <v>0</v>
      </c>
      <c r="X133">
        <v>0</v>
      </c>
      <c r="Y133" t="s">
        <v>60</v>
      </c>
      <c r="Z133" t="s">
        <v>239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11.98</v>
      </c>
      <c r="AN133" s="2">
        <v>11.98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46188</v>
      </c>
      <c r="B134" t="s">
        <v>48</v>
      </c>
      <c r="C134">
        <v>649163</v>
      </c>
      <c r="D134">
        <v>2029951925</v>
      </c>
      <c r="E134" t="s">
        <v>346</v>
      </c>
      <c r="F134" t="s">
        <v>347</v>
      </c>
      <c r="G134" t="s">
        <v>51</v>
      </c>
      <c r="H134" t="s">
        <v>119</v>
      </c>
      <c r="I134" t="s">
        <v>71</v>
      </c>
      <c r="J134" t="s">
        <v>84</v>
      </c>
      <c r="K134">
        <v>824076</v>
      </c>
      <c r="L134" t="s">
        <v>344</v>
      </c>
      <c r="M134" t="s">
        <v>345</v>
      </c>
      <c r="N134" t="s">
        <v>57</v>
      </c>
      <c r="O134" s="1">
        <v>45853</v>
      </c>
      <c r="Q134" s="1">
        <v>46218</v>
      </c>
      <c r="R134" s="2">
        <v>19.25</v>
      </c>
      <c r="S134">
        <v>1</v>
      </c>
      <c r="T134" t="s">
        <v>58</v>
      </c>
      <c r="U134" t="s">
        <v>237</v>
      </c>
      <c r="V134" s="3">
        <v>0.75</v>
      </c>
      <c r="W134" s="2">
        <v>0</v>
      </c>
      <c r="X134">
        <v>0</v>
      </c>
      <c r="Y134" t="s">
        <v>60</v>
      </c>
      <c r="Z134" t="s">
        <v>239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14.44</v>
      </c>
      <c r="AN134" s="2">
        <v>14.44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46188</v>
      </c>
      <c r="B135" t="s">
        <v>48</v>
      </c>
      <c r="C135">
        <v>649163</v>
      </c>
      <c r="D135">
        <v>2029969605</v>
      </c>
      <c r="E135" t="s">
        <v>348</v>
      </c>
      <c r="F135" t="s">
        <v>349</v>
      </c>
      <c r="G135" t="s">
        <v>51</v>
      </c>
      <c r="H135" t="s">
        <v>305</v>
      </c>
      <c r="I135" t="s">
        <v>71</v>
      </c>
      <c r="J135" t="s">
        <v>72</v>
      </c>
      <c r="K135">
        <v>816021</v>
      </c>
      <c r="L135" t="s">
        <v>312</v>
      </c>
      <c r="M135" t="s">
        <v>313</v>
      </c>
      <c r="N135" t="s">
        <v>57</v>
      </c>
      <c r="O135" s="1">
        <v>45854</v>
      </c>
      <c r="Q135" s="1">
        <v>46219</v>
      </c>
      <c r="R135" s="2">
        <v>52.84</v>
      </c>
      <c r="S135">
        <v>1</v>
      </c>
      <c r="T135" t="s">
        <v>58</v>
      </c>
      <c r="U135" t="s">
        <v>237</v>
      </c>
      <c r="V135" s="3">
        <v>0.75</v>
      </c>
      <c r="W135" s="2">
        <v>0</v>
      </c>
      <c r="X135">
        <v>0</v>
      </c>
      <c r="Y135" t="s">
        <v>60</v>
      </c>
      <c r="Z135" t="s">
        <v>239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39.630000000000003</v>
      </c>
      <c r="AN135" s="2">
        <v>39.630000000000003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46188</v>
      </c>
      <c r="B136" t="s">
        <v>48</v>
      </c>
      <c r="C136">
        <v>649163</v>
      </c>
      <c r="D136">
        <v>2029980504</v>
      </c>
      <c r="E136" t="s">
        <v>244</v>
      </c>
      <c r="F136" t="s">
        <v>350</v>
      </c>
      <c r="G136" t="s">
        <v>51</v>
      </c>
      <c r="H136" t="s">
        <v>83</v>
      </c>
      <c r="I136" t="s">
        <v>71</v>
      </c>
      <c r="J136" t="s">
        <v>72</v>
      </c>
      <c r="K136">
        <v>673059</v>
      </c>
      <c r="L136" t="s">
        <v>85</v>
      </c>
      <c r="M136" t="s">
        <v>86</v>
      </c>
      <c r="N136" t="s">
        <v>57</v>
      </c>
      <c r="O136" s="1">
        <v>45884</v>
      </c>
      <c r="Q136" s="1">
        <v>46218</v>
      </c>
      <c r="R136" s="2">
        <v>85.81</v>
      </c>
      <c r="S136">
        <v>1</v>
      </c>
      <c r="T136" t="s">
        <v>58</v>
      </c>
      <c r="U136" t="s">
        <v>237</v>
      </c>
      <c r="V136" s="3">
        <v>0.75</v>
      </c>
      <c r="W136" s="2">
        <v>0</v>
      </c>
      <c r="X136">
        <v>0</v>
      </c>
      <c r="Y136" t="s">
        <v>60</v>
      </c>
      <c r="Z136" t="s">
        <v>239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64.36</v>
      </c>
      <c r="AN136" s="2">
        <v>64.36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46188</v>
      </c>
      <c r="B137" t="s">
        <v>48</v>
      </c>
      <c r="C137">
        <v>649163</v>
      </c>
      <c r="D137">
        <v>2030450006</v>
      </c>
      <c r="E137" t="s">
        <v>351</v>
      </c>
      <c r="F137" t="s">
        <v>352</v>
      </c>
      <c r="G137" t="s">
        <v>51</v>
      </c>
      <c r="H137" t="s">
        <v>193</v>
      </c>
      <c r="I137" t="s">
        <v>71</v>
      </c>
      <c r="J137" t="s">
        <v>78</v>
      </c>
      <c r="K137">
        <v>823068</v>
      </c>
      <c r="L137" t="s">
        <v>195</v>
      </c>
      <c r="M137" t="s">
        <v>196</v>
      </c>
      <c r="N137" t="s">
        <v>57</v>
      </c>
      <c r="O137" s="1">
        <v>45888</v>
      </c>
      <c r="Q137" s="1">
        <v>46222</v>
      </c>
      <c r="R137" s="2">
        <v>30.8</v>
      </c>
      <c r="S137">
        <v>1</v>
      </c>
      <c r="T137" t="s">
        <v>58</v>
      </c>
      <c r="U137" t="s">
        <v>237</v>
      </c>
      <c r="V137" s="3">
        <v>0.9</v>
      </c>
      <c r="W137" s="2">
        <v>0</v>
      </c>
      <c r="X137">
        <v>0</v>
      </c>
      <c r="Y137" t="s">
        <v>60</v>
      </c>
      <c r="Z137" t="s">
        <v>239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27.72</v>
      </c>
      <c r="AN137" s="2">
        <v>27.72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46188</v>
      </c>
      <c r="B138" t="s">
        <v>48</v>
      </c>
      <c r="C138">
        <v>649163</v>
      </c>
      <c r="D138">
        <v>2030455582</v>
      </c>
      <c r="E138" t="s">
        <v>353</v>
      </c>
      <c r="F138" t="s">
        <v>354</v>
      </c>
      <c r="G138" t="s">
        <v>51</v>
      </c>
      <c r="H138" t="s">
        <v>305</v>
      </c>
      <c r="I138" t="s">
        <v>71</v>
      </c>
      <c r="J138" t="s">
        <v>309</v>
      </c>
      <c r="K138">
        <v>816021</v>
      </c>
      <c r="L138" t="s">
        <v>312</v>
      </c>
      <c r="M138" t="s">
        <v>313</v>
      </c>
      <c r="N138" t="s">
        <v>57</v>
      </c>
      <c r="O138" s="1">
        <v>45882</v>
      </c>
      <c r="Q138" s="1">
        <v>46216</v>
      </c>
      <c r="R138" s="2">
        <v>29.88</v>
      </c>
      <c r="S138">
        <v>1</v>
      </c>
      <c r="T138" t="s">
        <v>58</v>
      </c>
      <c r="U138" t="s">
        <v>237</v>
      </c>
      <c r="V138" s="3">
        <v>0.65</v>
      </c>
      <c r="W138" s="2">
        <v>0</v>
      </c>
      <c r="X138">
        <v>0</v>
      </c>
      <c r="Y138" t="s">
        <v>60</v>
      </c>
      <c r="Z138" t="s">
        <v>239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19.420000000000002</v>
      </c>
      <c r="AN138" s="2">
        <v>19.420000000000002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46188</v>
      </c>
      <c r="B139" t="s">
        <v>48</v>
      </c>
      <c r="C139">
        <v>649163</v>
      </c>
      <c r="D139">
        <v>2030463473</v>
      </c>
      <c r="E139" t="s">
        <v>355</v>
      </c>
      <c r="F139" t="s">
        <v>356</v>
      </c>
      <c r="G139" t="s">
        <v>51</v>
      </c>
      <c r="H139" t="s">
        <v>193</v>
      </c>
      <c r="I139" t="s">
        <v>71</v>
      </c>
      <c r="J139" t="s">
        <v>78</v>
      </c>
      <c r="K139">
        <v>823068</v>
      </c>
      <c r="L139" t="s">
        <v>195</v>
      </c>
      <c r="M139" t="s">
        <v>196</v>
      </c>
      <c r="N139" t="s">
        <v>57</v>
      </c>
      <c r="O139" s="1">
        <v>45885</v>
      </c>
      <c r="Q139" s="1">
        <v>46219</v>
      </c>
      <c r="R139" s="2">
        <v>149.66999999999999</v>
      </c>
      <c r="S139">
        <v>1</v>
      </c>
      <c r="T139" t="s">
        <v>58</v>
      </c>
      <c r="U139" t="s">
        <v>237</v>
      </c>
      <c r="V139" s="3">
        <v>0.9</v>
      </c>
      <c r="W139" s="2">
        <v>0</v>
      </c>
      <c r="X139">
        <v>0</v>
      </c>
      <c r="Y139" t="s">
        <v>60</v>
      </c>
      <c r="Z139" t="s">
        <v>239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134.69999999999999</v>
      </c>
      <c r="AN139" s="2">
        <v>134.69999999999999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46188</v>
      </c>
      <c r="B140" t="s">
        <v>48</v>
      </c>
      <c r="C140">
        <v>649163</v>
      </c>
      <c r="D140">
        <v>2030474901</v>
      </c>
      <c r="E140" t="s">
        <v>357</v>
      </c>
      <c r="F140" t="s">
        <v>358</v>
      </c>
      <c r="G140" t="s">
        <v>51</v>
      </c>
      <c r="H140" t="s">
        <v>292</v>
      </c>
      <c r="I140" t="s">
        <v>71</v>
      </c>
      <c r="J140" t="s">
        <v>78</v>
      </c>
      <c r="K140">
        <v>767312</v>
      </c>
      <c r="L140" t="s">
        <v>171</v>
      </c>
      <c r="M140" t="s">
        <v>172</v>
      </c>
      <c r="N140" t="s">
        <v>57</v>
      </c>
      <c r="O140" s="1">
        <v>45883</v>
      </c>
      <c r="Q140" s="1">
        <v>46217</v>
      </c>
      <c r="R140" s="2">
        <v>104.71</v>
      </c>
      <c r="S140">
        <v>1</v>
      </c>
      <c r="T140" t="s">
        <v>58</v>
      </c>
      <c r="U140" t="s">
        <v>237</v>
      </c>
      <c r="V140" s="3">
        <v>0.9</v>
      </c>
      <c r="W140" s="2">
        <v>0</v>
      </c>
      <c r="X140">
        <v>0</v>
      </c>
      <c r="Y140" t="s">
        <v>60</v>
      </c>
      <c r="Z140" t="s">
        <v>239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94.24</v>
      </c>
      <c r="AN140" s="2">
        <v>94.24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46188</v>
      </c>
      <c r="B141" t="s">
        <v>48</v>
      </c>
      <c r="C141">
        <v>649163</v>
      </c>
      <c r="D141">
        <v>2030488872</v>
      </c>
      <c r="E141" t="s">
        <v>359</v>
      </c>
      <c r="F141" t="s">
        <v>360</v>
      </c>
      <c r="G141" t="s">
        <v>51</v>
      </c>
      <c r="H141" t="s">
        <v>193</v>
      </c>
      <c r="I141" t="s">
        <v>71</v>
      </c>
      <c r="J141" t="s">
        <v>78</v>
      </c>
      <c r="K141">
        <v>823068</v>
      </c>
      <c r="L141" t="s">
        <v>195</v>
      </c>
      <c r="M141" t="s">
        <v>196</v>
      </c>
      <c r="N141" t="s">
        <v>57</v>
      </c>
      <c r="O141" s="1">
        <v>45884</v>
      </c>
      <c r="Q141" s="1">
        <v>46218</v>
      </c>
      <c r="R141" s="2">
        <v>46.94</v>
      </c>
      <c r="S141">
        <v>1</v>
      </c>
      <c r="T141" t="s">
        <v>58</v>
      </c>
      <c r="U141" t="s">
        <v>237</v>
      </c>
      <c r="V141" s="3">
        <v>0.9</v>
      </c>
      <c r="W141" s="2">
        <v>0</v>
      </c>
      <c r="X141">
        <v>0</v>
      </c>
      <c r="Y141" t="s">
        <v>60</v>
      </c>
      <c r="Z141" t="s">
        <v>239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42.25</v>
      </c>
      <c r="AN141" s="2">
        <v>42.25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46188</v>
      </c>
      <c r="B142" t="s">
        <v>48</v>
      </c>
      <c r="C142">
        <v>649163</v>
      </c>
      <c r="D142">
        <v>2030501934</v>
      </c>
      <c r="E142" t="s">
        <v>361</v>
      </c>
      <c r="F142" t="s">
        <v>362</v>
      </c>
      <c r="G142" t="s">
        <v>51</v>
      </c>
      <c r="H142" t="s">
        <v>193</v>
      </c>
      <c r="I142" t="s">
        <v>71</v>
      </c>
      <c r="J142" t="s">
        <v>78</v>
      </c>
      <c r="K142">
        <v>652037</v>
      </c>
      <c r="L142" t="s">
        <v>64</v>
      </c>
      <c r="M142" t="s">
        <v>236</v>
      </c>
      <c r="N142" t="s">
        <v>57</v>
      </c>
      <c r="O142" s="1">
        <v>45884</v>
      </c>
      <c r="Q142" s="1">
        <v>46218</v>
      </c>
      <c r="R142" s="2">
        <v>77.959999999999994</v>
      </c>
      <c r="S142">
        <v>1</v>
      </c>
      <c r="T142" t="s">
        <v>58</v>
      </c>
      <c r="U142" t="s">
        <v>237</v>
      </c>
      <c r="V142" s="3">
        <v>0.9</v>
      </c>
      <c r="W142" s="2">
        <v>0</v>
      </c>
      <c r="X142">
        <v>0</v>
      </c>
      <c r="Y142" t="s">
        <v>60</v>
      </c>
      <c r="Z142" t="s">
        <v>239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70.16</v>
      </c>
      <c r="AN142" s="2">
        <v>70.16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46188</v>
      </c>
      <c r="B143" t="s">
        <v>48</v>
      </c>
      <c r="C143">
        <v>649163</v>
      </c>
      <c r="D143">
        <v>2030982989</v>
      </c>
      <c r="E143" t="s">
        <v>363</v>
      </c>
      <c r="F143" t="s">
        <v>364</v>
      </c>
      <c r="G143" t="s">
        <v>51</v>
      </c>
      <c r="H143" t="s">
        <v>95</v>
      </c>
      <c r="I143" t="s">
        <v>71</v>
      </c>
      <c r="J143" t="s">
        <v>72</v>
      </c>
      <c r="K143">
        <v>823350</v>
      </c>
      <c r="L143" t="s">
        <v>73</v>
      </c>
      <c r="M143" t="s">
        <v>116</v>
      </c>
      <c r="N143" t="s">
        <v>57</v>
      </c>
      <c r="O143" s="1">
        <v>45915</v>
      </c>
      <c r="Q143" s="1">
        <v>46218</v>
      </c>
      <c r="R143" s="2">
        <v>62.71</v>
      </c>
      <c r="S143">
        <v>1</v>
      </c>
      <c r="T143" t="s">
        <v>58</v>
      </c>
      <c r="U143" t="s">
        <v>59</v>
      </c>
      <c r="V143" s="3">
        <v>0.75</v>
      </c>
      <c r="W143" s="2">
        <v>0</v>
      </c>
      <c r="X143">
        <v>0</v>
      </c>
      <c r="Y143" t="s">
        <v>60</v>
      </c>
      <c r="Z143" t="s">
        <v>239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47.03</v>
      </c>
      <c r="AN143" s="2">
        <v>47.03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46188</v>
      </c>
      <c r="B144" t="s">
        <v>48</v>
      </c>
      <c r="C144">
        <v>649163</v>
      </c>
      <c r="D144">
        <v>2031017069</v>
      </c>
      <c r="E144" t="s">
        <v>365</v>
      </c>
      <c r="F144" t="s">
        <v>227</v>
      </c>
      <c r="G144" t="s">
        <v>51</v>
      </c>
      <c r="H144" t="s">
        <v>209</v>
      </c>
      <c r="I144" t="s">
        <v>71</v>
      </c>
      <c r="J144" t="s">
        <v>78</v>
      </c>
      <c r="K144">
        <v>877790</v>
      </c>
      <c r="L144" t="s">
        <v>229</v>
      </c>
      <c r="M144" t="s">
        <v>230</v>
      </c>
      <c r="N144" t="s">
        <v>57</v>
      </c>
      <c r="O144" s="1">
        <v>45913</v>
      </c>
      <c r="Q144" s="1">
        <v>46216</v>
      </c>
      <c r="R144" s="2">
        <v>55</v>
      </c>
      <c r="S144">
        <v>1</v>
      </c>
      <c r="T144" t="s">
        <v>58</v>
      </c>
      <c r="U144" t="s">
        <v>59</v>
      </c>
      <c r="V144" s="3">
        <v>0.9</v>
      </c>
      <c r="W144" s="2">
        <v>0</v>
      </c>
      <c r="X144">
        <v>0</v>
      </c>
      <c r="Y144" t="s">
        <v>60</v>
      </c>
      <c r="Z144" t="s">
        <v>239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49.5</v>
      </c>
      <c r="AN144" s="2">
        <v>49.5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46188</v>
      </c>
      <c r="B145" t="s">
        <v>48</v>
      </c>
      <c r="C145">
        <v>649163</v>
      </c>
      <c r="D145">
        <v>2031593003</v>
      </c>
      <c r="E145" t="s">
        <v>366</v>
      </c>
      <c r="F145" t="s">
        <v>80</v>
      </c>
      <c r="G145" t="s">
        <v>51</v>
      </c>
      <c r="H145" t="s">
        <v>193</v>
      </c>
      <c r="I145" t="s">
        <v>71</v>
      </c>
      <c r="J145" t="s">
        <v>78</v>
      </c>
      <c r="K145">
        <v>823068</v>
      </c>
      <c r="L145" t="s">
        <v>195</v>
      </c>
      <c r="M145" t="s">
        <v>196</v>
      </c>
      <c r="N145" t="s">
        <v>57</v>
      </c>
      <c r="O145" s="1">
        <v>45944</v>
      </c>
      <c r="Q145" s="1">
        <v>46217</v>
      </c>
      <c r="R145" s="2">
        <v>31.71</v>
      </c>
      <c r="S145">
        <v>1</v>
      </c>
      <c r="T145" t="s">
        <v>58</v>
      </c>
      <c r="U145" t="s">
        <v>59</v>
      </c>
      <c r="V145" s="3">
        <v>0.9</v>
      </c>
      <c r="W145" s="2">
        <v>0</v>
      </c>
      <c r="X145">
        <v>0</v>
      </c>
      <c r="Y145" t="s">
        <v>60</v>
      </c>
      <c r="Z145" t="s">
        <v>239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28.54</v>
      </c>
      <c r="AN145" s="2">
        <v>28.54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46188</v>
      </c>
      <c r="B146" t="s">
        <v>48</v>
      </c>
      <c r="C146">
        <v>649163</v>
      </c>
      <c r="D146">
        <v>2031713686</v>
      </c>
      <c r="E146" t="s">
        <v>367</v>
      </c>
      <c r="F146" t="s">
        <v>368</v>
      </c>
      <c r="G146" t="s">
        <v>51</v>
      </c>
      <c r="H146" t="s">
        <v>193</v>
      </c>
      <c r="I146" t="s">
        <v>71</v>
      </c>
      <c r="J146" t="s">
        <v>78</v>
      </c>
      <c r="K146">
        <v>823068</v>
      </c>
      <c r="L146" t="s">
        <v>195</v>
      </c>
      <c r="M146" t="s">
        <v>196</v>
      </c>
      <c r="N146" t="s">
        <v>57</v>
      </c>
      <c r="O146" s="1">
        <v>45969</v>
      </c>
      <c r="Q146" s="1">
        <v>46211</v>
      </c>
      <c r="R146" s="2">
        <v>119.44</v>
      </c>
      <c r="S146">
        <v>1</v>
      </c>
      <c r="T146" t="s">
        <v>58</v>
      </c>
      <c r="U146" t="s">
        <v>59</v>
      </c>
      <c r="V146" s="3">
        <v>0.9</v>
      </c>
      <c r="W146" s="2">
        <v>0</v>
      </c>
      <c r="X146">
        <v>0</v>
      </c>
      <c r="Y146" t="s">
        <v>60</v>
      </c>
      <c r="Z146" t="s">
        <v>239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107.5</v>
      </c>
      <c r="AN146" s="2">
        <v>107.5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46188</v>
      </c>
      <c r="B147" t="s">
        <v>48</v>
      </c>
      <c r="C147">
        <v>649163</v>
      </c>
      <c r="D147">
        <v>2032017835</v>
      </c>
      <c r="E147" t="s">
        <v>369</v>
      </c>
      <c r="F147" t="s">
        <v>370</v>
      </c>
      <c r="G147" t="s">
        <v>51</v>
      </c>
      <c r="H147" t="s">
        <v>193</v>
      </c>
      <c r="I147" t="s">
        <v>71</v>
      </c>
      <c r="J147" t="s">
        <v>78</v>
      </c>
      <c r="K147">
        <v>823068</v>
      </c>
      <c r="L147" t="s">
        <v>195</v>
      </c>
      <c r="M147" t="s">
        <v>196</v>
      </c>
      <c r="N147" t="s">
        <v>57</v>
      </c>
      <c r="O147" s="1">
        <v>45980</v>
      </c>
      <c r="Q147" s="1">
        <v>46222</v>
      </c>
      <c r="R147" s="2">
        <v>117.08</v>
      </c>
      <c r="S147">
        <v>1</v>
      </c>
      <c r="T147" t="s">
        <v>58</v>
      </c>
      <c r="U147" t="s">
        <v>59</v>
      </c>
      <c r="V147" s="3">
        <v>0.9</v>
      </c>
      <c r="W147" s="2">
        <v>0</v>
      </c>
      <c r="X147">
        <v>0</v>
      </c>
      <c r="Y147" t="s">
        <v>60</v>
      </c>
      <c r="Z147" t="s">
        <v>239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105.37</v>
      </c>
      <c r="AN147" s="2">
        <v>105.37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46188</v>
      </c>
      <c r="B148" t="s">
        <v>48</v>
      </c>
      <c r="C148">
        <v>649163</v>
      </c>
      <c r="D148">
        <v>2032105228</v>
      </c>
      <c r="E148" t="s">
        <v>371</v>
      </c>
      <c r="F148" t="s">
        <v>372</v>
      </c>
      <c r="G148" t="s">
        <v>51</v>
      </c>
      <c r="H148" t="s">
        <v>119</v>
      </c>
      <c r="I148" t="s">
        <v>71</v>
      </c>
      <c r="J148" t="s">
        <v>84</v>
      </c>
      <c r="K148">
        <v>823350</v>
      </c>
      <c r="L148" t="s">
        <v>73</v>
      </c>
      <c r="M148" t="s">
        <v>116</v>
      </c>
      <c r="N148" t="s">
        <v>57</v>
      </c>
      <c r="O148" s="1">
        <v>45975</v>
      </c>
      <c r="Q148" s="1">
        <v>46217</v>
      </c>
      <c r="R148" s="2">
        <v>31.2</v>
      </c>
      <c r="S148">
        <v>1</v>
      </c>
      <c r="T148" t="s">
        <v>58</v>
      </c>
      <c r="U148" t="s">
        <v>59</v>
      </c>
      <c r="V148" s="3">
        <v>0.75</v>
      </c>
      <c r="W148" s="2">
        <v>0</v>
      </c>
      <c r="X148">
        <v>0</v>
      </c>
      <c r="Y148" t="s">
        <v>60</v>
      </c>
      <c r="Z148" t="s">
        <v>239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23.4</v>
      </c>
      <c r="AN148" s="2">
        <v>23.4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46188</v>
      </c>
      <c r="B149" t="s">
        <v>48</v>
      </c>
      <c r="C149">
        <v>649163</v>
      </c>
      <c r="D149">
        <v>2032116643</v>
      </c>
      <c r="E149" t="s">
        <v>373</v>
      </c>
      <c r="F149" t="s">
        <v>236</v>
      </c>
      <c r="G149" t="s">
        <v>51</v>
      </c>
      <c r="H149" t="s">
        <v>119</v>
      </c>
      <c r="I149" t="s">
        <v>71</v>
      </c>
      <c r="J149" t="s">
        <v>72</v>
      </c>
      <c r="K149">
        <v>823350</v>
      </c>
      <c r="L149" t="s">
        <v>73</v>
      </c>
      <c r="M149" t="s">
        <v>116</v>
      </c>
      <c r="N149" t="s">
        <v>57</v>
      </c>
      <c r="O149" s="1">
        <v>45976</v>
      </c>
      <c r="Q149" s="1">
        <v>46218</v>
      </c>
      <c r="R149" s="2">
        <v>96.34</v>
      </c>
      <c r="S149">
        <v>1</v>
      </c>
      <c r="T149" t="s">
        <v>58</v>
      </c>
      <c r="U149" t="s">
        <v>59</v>
      </c>
      <c r="V149" s="3">
        <v>0.75</v>
      </c>
      <c r="W149" s="2">
        <v>0</v>
      </c>
      <c r="X149">
        <v>0</v>
      </c>
      <c r="Y149" t="s">
        <v>60</v>
      </c>
      <c r="Z149" t="s">
        <v>239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72.260000000000005</v>
      </c>
      <c r="AN149" s="2">
        <v>72.260000000000005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46188</v>
      </c>
      <c r="B150" t="s">
        <v>48</v>
      </c>
      <c r="C150">
        <v>649163</v>
      </c>
      <c r="D150">
        <v>2032135721</v>
      </c>
      <c r="E150" t="s">
        <v>374</v>
      </c>
      <c r="F150" t="s">
        <v>375</v>
      </c>
      <c r="G150" t="s">
        <v>51</v>
      </c>
      <c r="H150" t="s">
        <v>212</v>
      </c>
      <c r="I150" t="s">
        <v>71</v>
      </c>
      <c r="J150" t="s">
        <v>72</v>
      </c>
      <c r="K150">
        <v>856824</v>
      </c>
      <c r="L150" t="s">
        <v>205</v>
      </c>
      <c r="M150" t="s">
        <v>206</v>
      </c>
      <c r="N150" t="s">
        <v>57</v>
      </c>
      <c r="O150" s="1">
        <v>45974</v>
      </c>
      <c r="Q150" s="1">
        <v>46216</v>
      </c>
      <c r="R150" s="2">
        <v>65.56</v>
      </c>
      <c r="S150">
        <v>1</v>
      </c>
      <c r="T150" t="s">
        <v>58</v>
      </c>
      <c r="U150" t="s">
        <v>59</v>
      </c>
      <c r="V150" s="3">
        <v>0.75</v>
      </c>
      <c r="W150" s="2">
        <v>0</v>
      </c>
      <c r="X150">
        <v>0</v>
      </c>
      <c r="Y150" t="s">
        <v>60</v>
      </c>
      <c r="Z150" t="s">
        <v>239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49.17</v>
      </c>
      <c r="AN150" s="2">
        <v>49.17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46188</v>
      </c>
      <c r="B151" t="s">
        <v>48</v>
      </c>
      <c r="C151">
        <v>649163</v>
      </c>
      <c r="D151">
        <v>2032143156</v>
      </c>
      <c r="E151" t="s">
        <v>376</v>
      </c>
      <c r="F151" t="s">
        <v>377</v>
      </c>
      <c r="G151" t="s">
        <v>51</v>
      </c>
      <c r="H151" t="s">
        <v>212</v>
      </c>
      <c r="I151" t="s">
        <v>71</v>
      </c>
      <c r="J151" t="s">
        <v>84</v>
      </c>
      <c r="K151">
        <v>856824</v>
      </c>
      <c r="L151" t="s">
        <v>205</v>
      </c>
      <c r="M151" t="s">
        <v>206</v>
      </c>
      <c r="N151" t="s">
        <v>57</v>
      </c>
      <c r="O151" s="1">
        <v>45975</v>
      </c>
      <c r="Q151" s="1">
        <v>46217</v>
      </c>
      <c r="R151" s="2">
        <v>44.13</v>
      </c>
      <c r="S151">
        <v>1</v>
      </c>
      <c r="T151" t="s">
        <v>58</v>
      </c>
      <c r="U151" t="s">
        <v>59</v>
      </c>
      <c r="V151" s="3">
        <v>0.75</v>
      </c>
      <c r="W151" s="2">
        <v>0</v>
      </c>
      <c r="X151">
        <v>0</v>
      </c>
      <c r="Y151" t="s">
        <v>60</v>
      </c>
      <c r="Z151" t="s">
        <v>239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33.1</v>
      </c>
      <c r="AN151" s="2">
        <v>33.1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46188</v>
      </c>
      <c r="B152" t="s">
        <v>48</v>
      </c>
      <c r="C152">
        <v>649163</v>
      </c>
      <c r="D152">
        <v>2032204650</v>
      </c>
      <c r="E152" t="s">
        <v>378</v>
      </c>
      <c r="F152" t="s">
        <v>151</v>
      </c>
      <c r="G152" t="s">
        <v>51</v>
      </c>
      <c r="H152" t="s">
        <v>119</v>
      </c>
      <c r="I152" t="s">
        <v>71</v>
      </c>
      <c r="J152" t="s">
        <v>72</v>
      </c>
      <c r="K152">
        <v>820873</v>
      </c>
      <c r="L152" t="s">
        <v>128</v>
      </c>
      <c r="M152" t="s">
        <v>129</v>
      </c>
      <c r="N152" t="s">
        <v>57</v>
      </c>
      <c r="O152" s="1">
        <v>45979</v>
      </c>
      <c r="Q152" s="1">
        <v>46221</v>
      </c>
      <c r="R152" s="2">
        <v>62.85</v>
      </c>
      <c r="S152">
        <v>1</v>
      </c>
      <c r="T152" t="s">
        <v>58</v>
      </c>
      <c r="U152" t="s">
        <v>59</v>
      </c>
      <c r="V152" s="3">
        <v>0.75</v>
      </c>
      <c r="W152" s="2">
        <v>0</v>
      </c>
      <c r="X152">
        <v>0</v>
      </c>
      <c r="Y152" t="s">
        <v>60</v>
      </c>
      <c r="Z152" t="s">
        <v>239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47.14</v>
      </c>
      <c r="AN152" s="2">
        <v>47.14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46188</v>
      </c>
      <c r="B153" t="s">
        <v>48</v>
      </c>
      <c r="C153">
        <v>649163</v>
      </c>
      <c r="D153">
        <v>2032208235</v>
      </c>
      <c r="E153" t="s">
        <v>379</v>
      </c>
      <c r="F153" t="s">
        <v>380</v>
      </c>
      <c r="G153" t="s">
        <v>51</v>
      </c>
      <c r="H153" t="s">
        <v>95</v>
      </c>
      <c r="I153" t="s">
        <v>71</v>
      </c>
      <c r="J153" t="s">
        <v>72</v>
      </c>
      <c r="K153">
        <v>856824</v>
      </c>
      <c r="L153" t="s">
        <v>205</v>
      </c>
      <c r="M153" t="s">
        <v>206</v>
      </c>
      <c r="N153" t="s">
        <v>57</v>
      </c>
      <c r="O153" s="1">
        <v>45979</v>
      </c>
      <c r="Q153" s="1">
        <v>46221</v>
      </c>
      <c r="R153" s="2">
        <v>33.76</v>
      </c>
      <c r="S153">
        <v>1</v>
      </c>
      <c r="T153" t="s">
        <v>58</v>
      </c>
      <c r="U153" t="s">
        <v>59</v>
      </c>
      <c r="V153" s="3">
        <v>0.75</v>
      </c>
      <c r="W153" s="2">
        <v>0</v>
      </c>
      <c r="X153">
        <v>0</v>
      </c>
      <c r="Y153" t="s">
        <v>60</v>
      </c>
      <c r="Z153" t="s">
        <v>239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25.32</v>
      </c>
      <c r="AN153" s="2">
        <v>25.32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46188</v>
      </c>
      <c r="B154" t="s">
        <v>48</v>
      </c>
      <c r="C154">
        <v>649163</v>
      </c>
      <c r="D154">
        <v>2032208388</v>
      </c>
      <c r="E154" t="s">
        <v>381</v>
      </c>
      <c r="F154" t="s">
        <v>272</v>
      </c>
      <c r="G154" t="s">
        <v>51</v>
      </c>
      <c r="H154" t="s">
        <v>305</v>
      </c>
      <c r="I154" t="s">
        <v>71</v>
      </c>
      <c r="J154" t="s">
        <v>309</v>
      </c>
      <c r="K154">
        <v>816021</v>
      </c>
      <c r="L154" t="s">
        <v>312</v>
      </c>
      <c r="M154" t="s">
        <v>313</v>
      </c>
      <c r="N154" t="s">
        <v>57</v>
      </c>
      <c r="O154" s="1">
        <v>45979</v>
      </c>
      <c r="Q154" s="1">
        <v>46221</v>
      </c>
      <c r="R154" s="2">
        <v>26.53</v>
      </c>
      <c r="S154">
        <v>1</v>
      </c>
      <c r="T154" t="s">
        <v>58</v>
      </c>
      <c r="U154" t="s">
        <v>59</v>
      </c>
      <c r="V154" s="3">
        <v>0.65</v>
      </c>
      <c r="W154" s="2">
        <v>0</v>
      </c>
      <c r="X154">
        <v>0</v>
      </c>
      <c r="Y154" t="s">
        <v>60</v>
      </c>
      <c r="Z154" t="s">
        <v>239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17.239999999999998</v>
      </c>
      <c r="AN154" s="2">
        <v>17.239999999999998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46188</v>
      </c>
      <c r="B155" t="s">
        <v>48</v>
      </c>
      <c r="C155">
        <v>649163</v>
      </c>
      <c r="D155">
        <v>2032307209</v>
      </c>
      <c r="E155" t="s">
        <v>382</v>
      </c>
      <c r="F155" t="s">
        <v>383</v>
      </c>
      <c r="G155" t="s">
        <v>51</v>
      </c>
      <c r="H155" t="s">
        <v>95</v>
      </c>
      <c r="I155" t="s">
        <v>71</v>
      </c>
      <c r="J155" t="s">
        <v>72</v>
      </c>
      <c r="K155">
        <v>823350</v>
      </c>
      <c r="L155" t="s">
        <v>73</v>
      </c>
      <c r="M155" t="s">
        <v>116</v>
      </c>
      <c r="N155" t="s">
        <v>242</v>
      </c>
      <c r="O155" s="1">
        <v>46023</v>
      </c>
      <c r="P155" s="1">
        <v>46188</v>
      </c>
      <c r="Q155" s="1">
        <v>46204</v>
      </c>
      <c r="R155" s="2">
        <v>-23.19</v>
      </c>
      <c r="S155">
        <v>1</v>
      </c>
      <c r="T155" t="s">
        <v>58</v>
      </c>
      <c r="U155" t="s">
        <v>59</v>
      </c>
      <c r="V155" s="3">
        <v>0.75</v>
      </c>
      <c r="W155" s="2">
        <v>0</v>
      </c>
      <c r="X155">
        <v>-1</v>
      </c>
      <c r="Y155" t="s">
        <v>60</v>
      </c>
      <c r="Z155" t="s">
        <v>239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-17.39</v>
      </c>
      <c r="AN155" s="2">
        <v>-17.39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46188</v>
      </c>
      <c r="B156" t="s">
        <v>48</v>
      </c>
      <c r="C156">
        <v>649163</v>
      </c>
      <c r="D156">
        <v>2032445034</v>
      </c>
      <c r="E156" t="s">
        <v>384</v>
      </c>
      <c r="F156" t="s">
        <v>307</v>
      </c>
      <c r="G156" t="s">
        <v>51</v>
      </c>
      <c r="H156" t="s">
        <v>119</v>
      </c>
      <c r="I156" t="s">
        <v>71</v>
      </c>
      <c r="J156" t="s">
        <v>78</v>
      </c>
      <c r="K156">
        <v>824062</v>
      </c>
      <c r="L156" t="s">
        <v>385</v>
      </c>
      <c r="M156" t="s">
        <v>386</v>
      </c>
      <c r="N156" t="s">
        <v>57</v>
      </c>
      <c r="O156" s="1">
        <v>46006</v>
      </c>
      <c r="Q156" s="1">
        <v>46218</v>
      </c>
      <c r="R156" s="2">
        <v>29.67</v>
      </c>
      <c r="S156">
        <v>1</v>
      </c>
      <c r="T156" t="s">
        <v>58</v>
      </c>
      <c r="U156" t="s">
        <v>59</v>
      </c>
      <c r="V156" s="3">
        <v>0.9</v>
      </c>
      <c r="W156" s="2">
        <v>0</v>
      </c>
      <c r="X156">
        <v>0</v>
      </c>
      <c r="Y156" t="s">
        <v>60</v>
      </c>
      <c r="Z156" t="s">
        <v>239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26.7</v>
      </c>
      <c r="AN156" s="2">
        <v>26.7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46188</v>
      </c>
      <c r="B157" t="s">
        <v>48</v>
      </c>
      <c r="C157">
        <v>649163</v>
      </c>
      <c r="D157">
        <v>2032616562</v>
      </c>
      <c r="E157" t="s">
        <v>387</v>
      </c>
      <c r="F157" t="s">
        <v>388</v>
      </c>
      <c r="G157" t="s">
        <v>51</v>
      </c>
      <c r="H157" t="s">
        <v>119</v>
      </c>
      <c r="I157" t="s">
        <v>71</v>
      </c>
      <c r="J157" t="s">
        <v>72</v>
      </c>
      <c r="K157">
        <v>823350</v>
      </c>
      <c r="L157" t="s">
        <v>73</v>
      </c>
      <c r="M157" t="s">
        <v>116</v>
      </c>
      <c r="N157" t="s">
        <v>57</v>
      </c>
      <c r="O157" s="1">
        <v>46005</v>
      </c>
      <c r="Q157" s="1">
        <v>46217</v>
      </c>
      <c r="R157" s="2">
        <v>13.24</v>
      </c>
      <c r="S157">
        <v>1</v>
      </c>
      <c r="T157" t="s">
        <v>58</v>
      </c>
      <c r="U157" t="s">
        <v>59</v>
      </c>
      <c r="V157" s="3">
        <v>0.75</v>
      </c>
      <c r="W157" s="2">
        <v>0</v>
      </c>
      <c r="X157">
        <v>0</v>
      </c>
      <c r="Y157" t="s">
        <v>60</v>
      </c>
      <c r="Z157" t="s">
        <v>239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9.93</v>
      </c>
      <c r="AN157" s="2">
        <v>9.93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46188</v>
      </c>
      <c r="B158" t="s">
        <v>48</v>
      </c>
      <c r="C158">
        <v>649163</v>
      </c>
      <c r="D158">
        <v>2032634717</v>
      </c>
      <c r="E158" t="s">
        <v>389</v>
      </c>
      <c r="F158" t="s">
        <v>390</v>
      </c>
      <c r="G158" t="s">
        <v>51</v>
      </c>
      <c r="H158" t="s">
        <v>305</v>
      </c>
      <c r="I158" t="s">
        <v>71</v>
      </c>
      <c r="J158" t="s">
        <v>72</v>
      </c>
      <c r="K158">
        <v>816021</v>
      </c>
      <c r="L158" t="s">
        <v>312</v>
      </c>
      <c r="M158" t="s">
        <v>313</v>
      </c>
      <c r="N158" t="s">
        <v>57</v>
      </c>
      <c r="O158" s="1">
        <v>46006</v>
      </c>
      <c r="Q158" s="1">
        <v>46218</v>
      </c>
      <c r="R158" s="2">
        <v>64.27</v>
      </c>
      <c r="S158">
        <v>1</v>
      </c>
      <c r="T158" t="s">
        <v>58</v>
      </c>
      <c r="U158" t="s">
        <v>59</v>
      </c>
      <c r="V158" s="3">
        <v>0.75</v>
      </c>
      <c r="W158" s="2">
        <v>0</v>
      </c>
      <c r="X158">
        <v>0</v>
      </c>
      <c r="Y158" t="s">
        <v>60</v>
      </c>
      <c r="Z158" t="s">
        <v>239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48.2</v>
      </c>
      <c r="AN158" s="2">
        <v>48.2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46188</v>
      </c>
      <c r="B159" t="s">
        <v>48</v>
      </c>
      <c r="C159">
        <v>649163</v>
      </c>
      <c r="D159">
        <v>2032652630</v>
      </c>
      <c r="E159" t="s">
        <v>391</v>
      </c>
      <c r="F159" t="s">
        <v>392</v>
      </c>
      <c r="G159" t="s">
        <v>51</v>
      </c>
      <c r="H159" t="s">
        <v>186</v>
      </c>
      <c r="I159" t="s">
        <v>71</v>
      </c>
      <c r="J159" t="s">
        <v>72</v>
      </c>
      <c r="K159">
        <v>813184</v>
      </c>
      <c r="L159" t="s">
        <v>328</v>
      </c>
      <c r="M159" t="s">
        <v>329</v>
      </c>
      <c r="N159" t="s">
        <v>57</v>
      </c>
      <c r="O159" s="1">
        <v>46004</v>
      </c>
      <c r="Q159" s="1">
        <v>46216</v>
      </c>
      <c r="R159" s="2">
        <v>46.28</v>
      </c>
      <c r="S159">
        <v>1</v>
      </c>
      <c r="T159" t="s">
        <v>58</v>
      </c>
      <c r="U159" t="s">
        <v>59</v>
      </c>
      <c r="V159" s="3">
        <v>0.75</v>
      </c>
      <c r="W159" s="2">
        <v>0</v>
      </c>
      <c r="X159">
        <v>0</v>
      </c>
      <c r="Y159" t="s">
        <v>60</v>
      </c>
      <c r="Z159" t="s">
        <v>239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34.71</v>
      </c>
      <c r="AN159" s="2">
        <v>34.71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46188</v>
      </c>
      <c r="B160" t="s">
        <v>48</v>
      </c>
      <c r="C160">
        <v>649163</v>
      </c>
      <c r="D160">
        <v>2032657983</v>
      </c>
      <c r="E160" t="s">
        <v>393</v>
      </c>
      <c r="F160" t="s">
        <v>264</v>
      </c>
      <c r="G160" t="s">
        <v>51</v>
      </c>
      <c r="H160" t="s">
        <v>95</v>
      </c>
      <c r="I160" t="s">
        <v>71</v>
      </c>
      <c r="J160" t="s">
        <v>309</v>
      </c>
      <c r="K160">
        <v>768887</v>
      </c>
      <c r="L160" t="s">
        <v>321</v>
      </c>
      <c r="M160" t="s">
        <v>94</v>
      </c>
      <c r="N160" t="s">
        <v>57</v>
      </c>
      <c r="O160" s="1">
        <v>46023</v>
      </c>
      <c r="Q160" s="1">
        <v>46235</v>
      </c>
      <c r="R160" s="2">
        <v>20.51</v>
      </c>
      <c r="S160">
        <v>1</v>
      </c>
      <c r="T160" t="s">
        <v>58</v>
      </c>
      <c r="U160" t="s">
        <v>59</v>
      </c>
      <c r="V160" s="3">
        <v>0.65</v>
      </c>
      <c r="W160" s="2">
        <v>0</v>
      </c>
      <c r="X160">
        <v>0</v>
      </c>
      <c r="Y160" t="s">
        <v>60</v>
      </c>
      <c r="Z160" t="s">
        <v>239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13.33</v>
      </c>
      <c r="AN160" s="2">
        <v>13.33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46188</v>
      </c>
      <c r="B161" t="s">
        <v>48</v>
      </c>
      <c r="C161">
        <v>649163</v>
      </c>
      <c r="D161">
        <v>2024834572</v>
      </c>
      <c r="E161" t="s">
        <v>301</v>
      </c>
      <c r="F161" t="s">
        <v>252</v>
      </c>
      <c r="G161" t="s">
        <v>51</v>
      </c>
      <c r="H161" t="s">
        <v>170</v>
      </c>
      <c r="I161" t="s">
        <v>182</v>
      </c>
      <c r="J161" t="s">
        <v>183</v>
      </c>
      <c r="K161">
        <v>767312</v>
      </c>
      <c r="L161" t="s">
        <v>171</v>
      </c>
      <c r="M161" t="s">
        <v>172</v>
      </c>
      <c r="N161" t="s">
        <v>57</v>
      </c>
      <c r="O161" s="1">
        <v>45549</v>
      </c>
      <c r="Q161" s="1">
        <v>46217</v>
      </c>
      <c r="R161" s="2">
        <v>87.77</v>
      </c>
      <c r="S161">
        <v>1</v>
      </c>
      <c r="T161" t="s">
        <v>58</v>
      </c>
      <c r="U161" t="s">
        <v>237</v>
      </c>
      <c r="V161" s="3">
        <v>0.15</v>
      </c>
      <c r="W161" s="2">
        <v>0</v>
      </c>
      <c r="X161">
        <v>0</v>
      </c>
      <c r="Y161" t="s">
        <v>238</v>
      </c>
      <c r="Z161" t="s">
        <v>239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13.17</v>
      </c>
      <c r="AN161" s="2">
        <v>13.17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46188</v>
      </c>
      <c r="B162" t="s">
        <v>48</v>
      </c>
      <c r="C162">
        <v>649163</v>
      </c>
      <c r="D162">
        <v>2024853075</v>
      </c>
      <c r="E162" t="s">
        <v>394</v>
      </c>
      <c r="F162" t="s">
        <v>395</v>
      </c>
      <c r="G162" t="s">
        <v>51</v>
      </c>
      <c r="H162" t="s">
        <v>95</v>
      </c>
      <c r="I162" t="s">
        <v>182</v>
      </c>
      <c r="J162" t="s">
        <v>183</v>
      </c>
      <c r="K162">
        <v>650218</v>
      </c>
      <c r="L162" t="s">
        <v>158</v>
      </c>
      <c r="M162" t="s">
        <v>159</v>
      </c>
      <c r="N162" t="s">
        <v>57</v>
      </c>
      <c r="O162" s="1">
        <v>45550</v>
      </c>
      <c r="Q162" s="1">
        <v>46218</v>
      </c>
      <c r="R162" s="2">
        <v>22.7</v>
      </c>
      <c r="S162">
        <v>1</v>
      </c>
      <c r="T162" t="s">
        <v>58</v>
      </c>
      <c r="U162" t="s">
        <v>237</v>
      </c>
      <c r="V162" s="3">
        <v>0.15</v>
      </c>
      <c r="W162" s="2">
        <v>0</v>
      </c>
      <c r="X162">
        <v>0</v>
      </c>
      <c r="Y162" t="s">
        <v>238</v>
      </c>
      <c r="Z162" t="s">
        <v>239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3.4</v>
      </c>
      <c r="AN162" s="2">
        <v>3.4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46188</v>
      </c>
      <c r="B163" t="s">
        <v>48</v>
      </c>
      <c r="C163">
        <v>649163</v>
      </c>
      <c r="D163">
        <v>2024905824</v>
      </c>
      <c r="E163" t="s">
        <v>396</v>
      </c>
      <c r="F163" t="s">
        <v>397</v>
      </c>
      <c r="G163" t="s">
        <v>51</v>
      </c>
      <c r="H163" t="s">
        <v>119</v>
      </c>
      <c r="I163" t="s">
        <v>182</v>
      </c>
      <c r="J163" t="s">
        <v>183</v>
      </c>
      <c r="K163">
        <v>768887</v>
      </c>
      <c r="L163" t="s">
        <v>321</v>
      </c>
      <c r="M163" t="s">
        <v>94</v>
      </c>
      <c r="N163" t="s">
        <v>57</v>
      </c>
      <c r="O163" s="1">
        <v>45553</v>
      </c>
      <c r="Q163" s="1">
        <v>46221</v>
      </c>
      <c r="R163" s="2">
        <v>40.74</v>
      </c>
      <c r="S163">
        <v>1</v>
      </c>
      <c r="T163" t="s">
        <v>58</v>
      </c>
      <c r="U163" t="s">
        <v>237</v>
      </c>
      <c r="V163" s="3">
        <v>0.15</v>
      </c>
      <c r="W163" s="2">
        <v>0</v>
      </c>
      <c r="X163">
        <v>0</v>
      </c>
      <c r="Y163" t="s">
        <v>238</v>
      </c>
      <c r="Z163" t="s">
        <v>239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6.11</v>
      </c>
      <c r="AN163" s="2">
        <v>6.11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46188</v>
      </c>
      <c r="B164" t="s">
        <v>48</v>
      </c>
      <c r="C164">
        <v>649163</v>
      </c>
      <c r="D164">
        <v>2025316509</v>
      </c>
      <c r="E164" t="s">
        <v>302</v>
      </c>
      <c r="F164" t="s">
        <v>63</v>
      </c>
      <c r="G164" t="s">
        <v>51</v>
      </c>
      <c r="H164" t="s">
        <v>186</v>
      </c>
      <c r="I164" t="s">
        <v>182</v>
      </c>
      <c r="J164" t="s">
        <v>183</v>
      </c>
      <c r="K164">
        <v>767312</v>
      </c>
      <c r="L164" t="s">
        <v>171</v>
      </c>
      <c r="M164" t="s">
        <v>172</v>
      </c>
      <c r="N164" t="s">
        <v>57</v>
      </c>
      <c r="O164" s="1">
        <v>45580</v>
      </c>
      <c r="Q164" s="1">
        <v>46218</v>
      </c>
      <c r="R164" s="2">
        <v>46.36</v>
      </c>
      <c r="S164">
        <v>1</v>
      </c>
      <c r="T164" t="s">
        <v>58</v>
      </c>
      <c r="U164" t="s">
        <v>237</v>
      </c>
      <c r="V164" s="3">
        <v>0.15</v>
      </c>
      <c r="W164" s="2">
        <v>0</v>
      </c>
      <c r="X164">
        <v>0</v>
      </c>
      <c r="Y164" t="s">
        <v>238</v>
      </c>
      <c r="Z164" t="s">
        <v>239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6.95</v>
      </c>
      <c r="AN164" s="2">
        <v>6.95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46188</v>
      </c>
      <c r="B165" t="s">
        <v>48</v>
      </c>
      <c r="C165">
        <v>649163</v>
      </c>
      <c r="D165">
        <v>2025324175</v>
      </c>
      <c r="E165" t="s">
        <v>398</v>
      </c>
      <c r="F165" t="s">
        <v>399</v>
      </c>
      <c r="G165" t="s">
        <v>51</v>
      </c>
      <c r="H165" t="s">
        <v>209</v>
      </c>
      <c r="I165" t="s">
        <v>182</v>
      </c>
      <c r="J165" t="s">
        <v>194</v>
      </c>
      <c r="K165">
        <v>767312</v>
      </c>
      <c r="L165" t="s">
        <v>171</v>
      </c>
      <c r="M165" t="s">
        <v>172</v>
      </c>
      <c r="N165" t="s">
        <v>57</v>
      </c>
      <c r="O165" s="1">
        <v>45584</v>
      </c>
      <c r="Q165" s="1">
        <v>46222</v>
      </c>
      <c r="R165" s="2">
        <v>99.25</v>
      </c>
      <c r="S165">
        <v>1</v>
      </c>
      <c r="T165" t="s">
        <v>58</v>
      </c>
      <c r="U165" t="s">
        <v>237</v>
      </c>
      <c r="V165" s="3">
        <v>0.1</v>
      </c>
      <c r="W165" s="2">
        <v>0</v>
      </c>
      <c r="X165">
        <v>0</v>
      </c>
      <c r="Y165" t="s">
        <v>238</v>
      </c>
      <c r="Z165" t="s">
        <v>239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9.92</v>
      </c>
      <c r="AN165" s="2">
        <v>9.92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46188</v>
      </c>
      <c r="B166" t="s">
        <v>48</v>
      </c>
      <c r="C166">
        <v>649163</v>
      </c>
      <c r="D166">
        <v>2025621632</v>
      </c>
      <c r="E166" t="s">
        <v>400</v>
      </c>
      <c r="F166" t="s">
        <v>401</v>
      </c>
      <c r="G166" t="s">
        <v>51</v>
      </c>
      <c r="H166" t="s">
        <v>119</v>
      </c>
      <c r="I166" t="s">
        <v>182</v>
      </c>
      <c r="J166" t="s">
        <v>183</v>
      </c>
      <c r="K166">
        <v>760902</v>
      </c>
      <c r="L166" t="s">
        <v>402</v>
      </c>
      <c r="M166" t="s">
        <v>403</v>
      </c>
      <c r="N166" t="s">
        <v>57</v>
      </c>
      <c r="O166" s="1">
        <v>45611</v>
      </c>
      <c r="Q166" s="1">
        <v>46218</v>
      </c>
      <c r="R166" s="2">
        <v>34</v>
      </c>
      <c r="S166">
        <v>1</v>
      </c>
      <c r="T166" t="s">
        <v>58</v>
      </c>
      <c r="U166" t="s">
        <v>237</v>
      </c>
      <c r="V166" s="3">
        <v>0.15</v>
      </c>
      <c r="W166" s="2">
        <v>0</v>
      </c>
      <c r="X166">
        <v>0</v>
      </c>
      <c r="Y166" t="s">
        <v>238</v>
      </c>
      <c r="Z166" t="s">
        <v>239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5.0999999999999996</v>
      </c>
      <c r="AN166" s="2">
        <v>5.0999999999999996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46188</v>
      </c>
      <c r="B167" t="s">
        <v>48</v>
      </c>
      <c r="C167">
        <v>649163</v>
      </c>
      <c r="D167">
        <v>2025744022</v>
      </c>
      <c r="E167" t="s">
        <v>404</v>
      </c>
      <c r="F167" t="s">
        <v>405</v>
      </c>
      <c r="G167" t="s">
        <v>51</v>
      </c>
      <c r="H167" t="s">
        <v>119</v>
      </c>
      <c r="I167" t="s">
        <v>182</v>
      </c>
      <c r="J167" t="s">
        <v>183</v>
      </c>
      <c r="K167">
        <v>806645</v>
      </c>
      <c r="L167" t="s">
        <v>406</v>
      </c>
      <c r="M167" t="s">
        <v>407</v>
      </c>
      <c r="N167" t="s">
        <v>57</v>
      </c>
      <c r="O167" s="1">
        <v>45609</v>
      </c>
      <c r="Q167" s="1">
        <v>46216</v>
      </c>
      <c r="R167" s="2">
        <v>118</v>
      </c>
      <c r="S167">
        <v>1</v>
      </c>
      <c r="T167" t="s">
        <v>58</v>
      </c>
      <c r="U167" t="s">
        <v>237</v>
      </c>
      <c r="V167" s="3">
        <v>0.15</v>
      </c>
      <c r="W167" s="2">
        <v>0</v>
      </c>
      <c r="X167">
        <v>0</v>
      </c>
      <c r="Y167" t="s">
        <v>238</v>
      </c>
      <c r="Z167" t="s">
        <v>239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17.7</v>
      </c>
      <c r="AN167" s="2">
        <v>17.7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46188</v>
      </c>
      <c r="B168" t="s">
        <v>48</v>
      </c>
      <c r="C168">
        <v>649163</v>
      </c>
      <c r="D168">
        <v>2025783063</v>
      </c>
      <c r="E168" t="s">
        <v>408</v>
      </c>
      <c r="F168" t="s">
        <v>409</v>
      </c>
      <c r="G168" t="s">
        <v>51</v>
      </c>
      <c r="H168" t="s">
        <v>410</v>
      </c>
      <c r="I168" t="s">
        <v>182</v>
      </c>
      <c r="J168" t="s">
        <v>194</v>
      </c>
      <c r="K168">
        <v>767312</v>
      </c>
      <c r="L168" t="s">
        <v>171</v>
      </c>
      <c r="M168" t="s">
        <v>172</v>
      </c>
      <c r="N168" t="s">
        <v>57</v>
      </c>
      <c r="O168" s="1">
        <v>45612</v>
      </c>
      <c r="Q168" s="1">
        <v>46219</v>
      </c>
      <c r="R168" s="2">
        <v>58.17</v>
      </c>
      <c r="S168">
        <v>1</v>
      </c>
      <c r="T168" t="s">
        <v>58</v>
      </c>
      <c r="U168" t="s">
        <v>237</v>
      </c>
      <c r="V168" s="3">
        <v>0.1</v>
      </c>
      <c r="W168" s="2">
        <v>0</v>
      </c>
      <c r="X168">
        <v>0</v>
      </c>
      <c r="Y168" t="s">
        <v>238</v>
      </c>
      <c r="Z168" t="s">
        <v>239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5.82</v>
      </c>
      <c r="AN168" s="2">
        <v>5.82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46188</v>
      </c>
      <c r="B169" t="s">
        <v>48</v>
      </c>
      <c r="C169">
        <v>649163</v>
      </c>
      <c r="D169">
        <v>2025783978</v>
      </c>
      <c r="E169" t="s">
        <v>408</v>
      </c>
      <c r="F169" t="s">
        <v>411</v>
      </c>
      <c r="G169" t="s">
        <v>51</v>
      </c>
      <c r="H169" t="s">
        <v>410</v>
      </c>
      <c r="I169" t="s">
        <v>182</v>
      </c>
      <c r="J169" t="s">
        <v>194</v>
      </c>
      <c r="K169">
        <v>767312</v>
      </c>
      <c r="L169" t="s">
        <v>171</v>
      </c>
      <c r="M169" t="s">
        <v>172</v>
      </c>
      <c r="N169" t="s">
        <v>57</v>
      </c>
      <c r="O169" s="1">
        <v>45612</v>
      </c>
      <c r="Q169" s="1">
        <v>46219</v>
      </c>
      <c r="R169" s="2">
        <v>16.63</v>
      </c>
      <c r="S169">
        <v>1</v>
      </c>
      <c r="T169" t="s">
        <v>58</v>
      </c>
      <c r="U169" t="s">
        <v>237</v>
      </c>
      <c r="V169" s="3">
        <v>0.1</v>
      </c>
      <c r="W169" s="2">
        <v>0</v>
      </c>
      <c r="X169">
        <v>0</v>
      </c>
      <c r="Y169" t="s">
        <v>238</v>
      </c>
      <c r="Z169" t="s">
        <v>239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1.66</v>
      </c>
      <c r="AN169" s="2">
        <v>1.66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46188</v>
      </c>
      <c r="B170" t="s">
        <v>48</v>
      </c>
      <c r="C170">
        <v>649163</v>
      </c>
      <c r="D170">
        <v>2025820173</v>
      </c>
      <c r="E170" t="s">
        <v>303</v>
      </c>
      <c r="F170" t="s">
        <v>304</v>
      </c>
      <c r="G170" t="s">
        <v>51</v>
      </c>
      <c r="H170" t="s">
        <v>305</v>
      </c>
      <c r="I170" t="s">
        <v>182</v>
      </c>
      <c r="J170" t="s">
        <v>183</v>
      </c>
      <c r="K170">
        <v>796984</v>
      </c>
      <c r="L170" t="s">
        <v>306</v>
      </c>
      <c r="M170" t="s">
        <v>307</v>
      </c>
      <c r="N170" t="s">
        <v>57</v>
      </c>
      <c r="O170" s="1">
        <v>45615</v>
      </c>
      <c r="Q170" s="1">
        <v>46222</v>
      </c>
      <c r="R170" s="2">
        <v>9.6999999999999993</v>
      </c>
      <c r="S170">
        <v>1</v>
      </c>
      <c r="T170" t="s">
        <v>58</v>
      </c>
      <c r="U170" t="s">
        <v>237</v>
      </c>
      <c r="V170" s="3">
        <v>0.15</v>
      </c>
      <c r="W170" s="2">
        <v>0</v>
      </c>
      <c r="X170">
        <v>0</v>
      </c>
      <c r="Y170" t="s">
        <v>238</v>
      </c>
      <c r="Z170" t="s">
        <v>239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1.46</v>
      </c>
      <c r="AN170" s="2">
        <v>1.46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46188</v>
      </c>
      <c r="B171" t="s">
        <v>48</v>
      </c>
      <c r="C171">
        <v>649163</v>
      </c>
      <c r="D171">
        <v>2026061217</v>
      </c>
      <c r="E171" t="s">
        <v>308</v>
      </c>
      <c r="F171" t="s">
        <v>260</v>
      </c>
      <c r="G171" t="s">
        <v>51</v>
      </c>
      <c r="H171" t="s">
        <v>305</v>
      </c>
      <c r="I171" t="s">
        <v>182</v>
      </c>
      <c r="J171" t="s">
        <v>183</v>
      </c>
      <c r="K171">
        <v>796984</v>
      </c>
      <c r="L171" t="s">
        <v>306</v>
      </c>
      <c r="M171" t="s">
        <v>307</v>
      </c>
      <c r="N171" t="s">
        <v>57</v>
      </c>
      <c r="O171" s="1">
        <v>45641</v>
      </c>
      <c r="Q171" s="1">
        <v>46218</v>
      </c>
      <c r="R171" s="2">
        <v>7.89</v>
      </c>
      <c r="S171">
        <v>1</v>
      </c>
      <c r="T171" t="s">
        <v>58</v>
      </c>
      <c r="U171" t="s">
        <v>237</v>
      </c>
      <c r="V171" s="3">
        <v>0.15</v>
      </c>
      <c r="W171" s="2">
        <v>0</v>
      </c>
      <c r="X171">
        <v>0</v>
      </c>
      <c r="Y171" t="s">
        <v>238</v>
      </c>
      <c r="Z171" t="s">
        <v>239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1.18</v>
      </c>
      <c r="AN171" s="2">
        <v>1.18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46188</v>
      </c>
      <c r="B172" t="s">
        <v>48</v>
      </c>
      <c r="C172">
        <v>649163</v>
      </c>
      <c r="D172">
        <v>2026179999</v>
      </c>
      <c r="E172" t="s">
        <v>412</v>
      </c>
      <c r="F172" t="s">
        <v>413</v>
      </c>
      <c r="G172" t="s">
        <v>51</v>
      </c>
      <c r="H172" t="s">
        <v>119</v>
      </c>
      <c r="I172" t="s">
        <v>182</v>
      </c>
      <c r="J172" t="s">
        <v>183</v>
      </c>
      <c r="K172">
        <v>812656</v>
      </c>
      <c r="L172" t="s">
        <v>414</v>
      </c>
      <c r="M172" t="s">
        <v>415</v>
      </c>
      <c r="N172" t="s">
        <v>57</v>
      </c>
      <c r="O172" s="1">
        <v>45641</v>
      </c>
      <c r="Q172" s="1">
        <v>46218</v>
      </c>
      <c r="R172" s="2">
        <v>31.6</v>
      </c>
      <c r="S172">
        <v>1</v>
      </c>
      <c r="T172" t="s">
        <v>58</v>
      </c>
      <c r="U172" t="s">
        <v>237</v>
      </c>
      <c r="V172" s="3">
        <v>0.15</v>
      </c>
      <c r="W172" s="2">
        <v>0</v>
      </c>
      <c r="X172">
        <v>0</v>
      </c>
      <c r="Y172" t="s">
        <v>238</v>
      </c>
      <c r="Z172" t="s">
        <v>239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4.74</v>
      </c>
      <c r="AN172" s="2">
        <v>4.74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46188</v>
      </c>
      <c r="B173" t="s">
        <v>48</v>
      </c>
      <c r="C173">
        <v>649163</v>
      </c>
      <c r="D173">
        <v>2026180757</v>
      </c>
      <c r="E173" t="s">
        <v>310</v>
      </c>
      <c r="F173" t="s">
        <v>311</v>
      </c>
      <c r="G173" t="s">
        <v>51</v>
      </c>
      <c r="H173" t="s">
        <v>305</v>
      </c>
      <c r="I173" t="s">
        <v>182</v>
      </c>
      <c r="J173" t="s">
        <v>183</v>
      </c>
      <c r="K173">
        <v>816021</v>
      </c>
      <c r="L173" t="s">
        <v>312</v>
      </c>
      <c r="M173" t="s">
        <v>313</v>
      </c>
      <c r="N173" t="s">
        <v>57</v>
      </c>
      <c r="O173" s="1">
        <v>45641</v>
      </c>
      <c r="Q173" s="1">
        <v>46218</v>
      </c>
      <c r="R173" s="2">
        <v>9.1</v>
      </c>
      <c r="S173">
        <v>1</v>
      </c>
      <c r="T173" t="s">
        <v>58</v>
      </c>
      <c r="U173" t="s">
        <v>237</v>
      </c>
      <c r="V173" s="3">
        <v>0.15</v>
      </c>
      <c r="W173" s="2">
        <v>0</v>
      </c>
      <c r="X173">
        <v>0</v>
      </c>
      <c r="Y173" t="s">
        <v>238</v>
      </c>
      <c r="Z173" t="s">
        <v>239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1.36</v>
      </c>
      <c r="AN173" s="2">
        <v>1.36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46188</v>
      </c>
      <c r="B174" t="s">
        <v>48</v>
      </c>
      <c r="C174">
        <v>649163</v>
      </c>
      <c r="D174">
        <v>2026184417</v>
      </c>
      <c r="E174" t="s">
        <v>314</v>
      </c>
      <c r="F174" t="s">
        <v>315</v>
      </c>
      <c r="G174" t="s">
        <v>51</v>
      </c>
      <c r="H174" t="s">
        <v>305</v>
      </c>
      <c r="I174" t="s">
        <v>182</v>
      </c>
      <c r="J174" t="s">
        <v>183</v>
      </c>
      <c r="K174">
        <v>816021</v>
      </c>
      <c r="L174" t="s">
        <v>312</v>
      </c>
      <c r="M174" t="s">
        <v>313</v>
      </c>
      <c r="N174" t="s">
        <v>57</v>
      </c>
      <c r="O174" s="1">
        <v>45641</v>
      </c>
      <c r="Q174" s="1">
        <v>46218</v>
      </c>
      <c r="R174" s="2">
        <v>9.1</v>
      </c>
      <c r="S174">
        <v>1</v>
      </c>
      <c r="T174" t="s">
        <v>58</v>
      </c>
      <c r="U174" t="s">
        <v>237</v>
      </c>
      <c r="V174" s="3">
        <v>0.15</v>
      </c>
      <c r="W174" s="2">
        <v>0</v>
      </c>
      <c r="X174">
        <v>0</v>
      </c>
      <c r="Y174" t="s">
        <v>238</v>
      </c>
      <c r="Z174" t="s">
        <v>239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1.36</v>
      </c>
      <c r="AN174" s="2">
        <v>1.36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46188</v>
      </c>
      <c r="B175" t="s">
        <v>48</v>
      </c>
      <c r="C175">
        <v>649163</v>
      </c>
      <c r="D175">
        <v>2026206372</v>
      </c>
      <c r="E175" t="s">
        <v>316</v>
      </c>
      <c r="F175" t="s">
        <v>317</v>
      </c>
      <c r="G175" t="s">
        <v>51</v>
      </c>
      <c r="H175" t="s">
        <v>292</v>
      </c>
      <c r="I175" t="s">
        <v>182</v>
      </c>
      <c r="J175" t="s">
        <v>194</v>
      </c>
      <c r="K175">
        <v>651818</v>
      </c>
      <c r="L175" t="s">
        <v>79</v>
      </c>
      <c r="M175" t="s">
        <v>80</v>
      </c>
      <c r="N175" t="s">
        <v>57</v>
      </c>
      <c r="O175" s="1">
        <v>45644</v>
      </c>
      <c r="Q175" s="1">
        <v>46221</v>
      </c>
      <c r="R175" s="2">
        <v>74</v>
      </c>
      <c r="S175">
        <v>1</v>
      </c>
      <c r="T175" t="s">
        <v>58</v>
      </c>
      <c r="U175" t="s">
        <v>237</v>
      </c>
      <c r="V175" s="3">
        <v>0.1</v>
      </c>
      <c r="W175" s="2">
        <v>0</v>
      </c>
      <c r="X175">
        <v>0</v>
      </c>
      <c r="Y175" t="s">
        <v>238</v>
      </c>
      <c r="Z175" t="s">
        <v>239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7.4</v>
      </c>
      <c r="AN175" s="2">
        <v>7.4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46188</v>
      </c>
      <c r="B176" t="s">
        <v>48</v>
      </c>
      <c r="C176">
        <v>649163</v>
      </c>
      <c r="D176">
        <v>2026206771</v>
      </c>
      <c r="E176" t="s">
        <v>416</v>
      </c>
      <c r="F176" t="s">
        <v>417</v>
      </c>
      <c r="G176" t="s">
        <v>51</v>
      </c>
      <c r="H176" t="s">
        <v>292</v>
      </c>
      <c r="I176" t="s">
        <v>182</v>
      </c>
      <c r="J176" t="s">
        <v>194</v>
      </c>
      <c r="K176">
        <v>767312</v>
      </c>
      <c r="L176" t="s">
        <v>171</v>
      </c>
      <c r="M176" t="s">
        <v>172</v>
      </c>
      <c r="N176" t="s">
        <v>57</v>
      </c>
      <c r="O176" s="1">
        <v>45645</v>
      </c>
      <c r="Q176" s="1">
        <v>46222</v>
      </c>
      <c r="R176" s="2">
        <v>51.78</v>
      </c>
      <c r="S176">
        <v>1</v>
      </c>
      <c r="T176" t="s">
        <v>58</v>
      </c>
      <c r="U176" t="s">
        <v>237</v>
      </c>
      <c r="V176" s="3">
        <v>0.1</v>
      </c>
      <c r="W176" s="2">
        <v>0</v>
      </c>
      <c r="X176">
        <v>0</v>
      </c>
      <c r="Y176" t="s">
        <v>238</v>
      </c>
      <c r="Z176" t="s">
        <v>239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5.18</v>
      </c>
      <c r="AN176" s="2">
        <v>5.18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46188</v>
      </c>
      <c r="B177" t="s">
        <v>48</v>
      </c>
      <c r="C177">
        <v>649163</v>
      </c>
      <c r="D177">
        <v>2026568865</v>
      </c>
      <c r="E177" t="s">
        <v>418</v>
      </c>
      <c r="F177" t="s">
        <v>372</v>
      </c>
      <c r="G177" t="s">
        <v>51</v>
      </c>
      <c r="H177" t="s">
        <v>186</v>
      </c>
      <c r="I177" t="s">
        <v>182</v>
      </c>
      <c r="J177" t="s">
        <v>183</v>
      </c>
      <c r="K177">
        <v>756418</v>
      </c>
      <c r="L177" t="s">
        <v>419</v>
      </c>
      <c r="M177" t="s">
        <v>420</v>
      </c>
      <c r="N177" t="s">
        <v>57</v>
      </c>
      <c r="O177" s="1">
        <v>45671</v>
      </c>
      <c r="Q177" s="1">
        <v>46217</v>
      </c>
      <c r="R177" s="2">
        <v>45.97</v>
      </c>
      <c r="S177">
        <v>1</v>
      </c>
      <c r="T177" t="s">
        <v>58</v>
      </c>
      <c r="U177" t="s">
        <v>237</v>
      </c>
      <c r="V177" s="3">
        <v>0.15</v>
      </c>
      <c r="W177" s="2">
        <v>0</v>
      </c>
      <c r="X177">
        <v>0</v>
      </c>
      <c r="Y177" t="s">
        <v>238</v>
      </c>
      <c r="Z177" t="s">
        <v>239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6.9</v>
      </c>
      <c r="AN177" s="2">
        <v>6.9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46188</v>
      </c>
      <c r="B178" t="s">
        <v>48</v>
      </c>
      <c r="C178">
        <v>649163</v>
      </c>
      <c r="D178">
        <v>2026572545</v>
      </c>
      <c r="E178" t="s">
        <v>421</v>
      </c>
      <c r="F178" t="s">
        <v>422</v>
      </c>
      <c r="G178" t="s">
        <v>51</v>
      </c>
      <c r="H178" t="s">
        <v>119</v>
      </c>
      <c r="I178" t="s">
        <v>182</v>
      </c>
      <c r="J178" t="s">
        <v>183</v>
      </c>
      <c r="K178">
        <v>764123</v>
      </c>
      <c r="L178" t="s">
        <v>421</v>
      </c>
      <c r="M178" t="s">
        <v>422</v>
      </c>
      <c r="N178" t="s">
        <v>57</v>
      </c>
      <c r="O178" s="1">
        <v>45671</v>
      </c>
      <c r="Q178" s="1">
        <v>46217</v>
      </c>
      <c r="R178" s="2">
        <v>26.5</v>
      </c>
      <c r="S178">
        <v>1</v>
      </c>
      <c r="T178" t="s">
        <v>58</v>
      </c>
      <c r="U178" t="s">
        <v>237</v>
      </c>
      <c r="V178" s="3">
        <v>0.15</v>
      </c>
      <c r="W178" s="2">
        <v>0</v>
      </c>
      <c r="X178">
        <v>0</v>
      </c>
      <c r="Y178" t="s">
        <v>238</v>
      </c>
      <c r="Z178" t="s">
        <v>239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3.98</v>
      </c>
      <c r="AN178" s="2">
        <v>3.98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46188</v>
      </c>
      <c r="B179" t="s">
        <v>48</v>
      </c>
      <c r="C179">
        <v>649163</v>
      </c>
      <c r="D179">
        <v>2026586620</v>
      </c>
      <c r="E179" t="s">
        <v>423</v>
      </c>
      <c r="F179" t="s">
        <v>424</v>
      </c>
      <c r="G179" t="s">
        <v>51</v>
      </c>
      <c r="H179" t="s">
        <v>234</v>
      </c>
      <c r="I179" t="s">
        <v>182</v>
      </c>
      <c r="J179" t="s">
        <v>183</v>
      </c>
      <c r="K179">
        <v>756418</v>
      </c>
      <c r="L179" t="s">
        <v>419</v>
      </c>
      <c r="M179" t="s">
        <v>420</v>
      </c>
      <c r="N179" t="s">
        <v>57</v>
      </c>
      <c r="O179" s="1">
        <v>45672</v>
      </c>
      <c r="Q179" s="1">
        <v>46218</v>
      </c>
      <c r="R179" s="2">
        <v>15.29</v>
      </c>
      <c r="S179">
        <v>1</v>
      </c>
      <c r="T179" t="s">
        <v>58</v>
      </c>
      <c r="U179" t="s">
        <v>237</v>
      </c>
      <c r="V179" s="3">
        <v>0.15</v>
      </c>
      <c r="W179" s="2">
        <v>0</v>
      </c>
      <c r="X179">
        <v>0</v>
      </c>
      <c r="Y179" t="s">
        <v>238</v>
      </c>
      <c r="Z179" t="s">
        <v>239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2.29</v>
      </c>
      <c r="AN179" s="2">
        <v>2.29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46188</v>
      </c>
      <c r="B180" t="s">
        <v>48</v>
      </c>
      <c r="D180">
        <v>2026586621</v>
      </c>
      <c r="E180" t="s">
        <v>423</v>
      </c>
      <c r="F180" t="s">
        <v>424</v>
      </c>
      <c r="G180" t="s">
        <v>51</v>
      </c>
      <c r="H180" t="s">
        <v>234</v>
      </c>
      <c r="I180" t="s">
        <v>182</v>
      </c>
      <c r="J180" t="s">
        <v>202</v>
      </c>
      <c r="L180" t="s">
        <v>419</v>
      </c>
      <c r="M180" t="s">
        <v>420</v>
      </c>
      <c r="N180" t="s">
        <v>57</v>
      </c>
      <c r="O180" s="1">
        <v>45672</v>
      </c>
      <c r="Q180" s="1">
        <v>46218</v>
      </c>
      <c r="R180" s="2">
        <v>25.73</v>
      </c>
      <c r="S180">
        <v>1</v>
      </c>
      <c r="T180" t="s">
        <v>58</v>
      </c>
      <c r="U180" t="s">
        <v>237</v>
      </c>
      <c r="V180" s="3">
        <v>0.15</v>
      </c>
      <c r="W180" s="2">
        <v>0</v>
      </c>
      <c r="X180">
        <v>0</v>
      </c>
      <c r="Y180" t="s">
        <v>238</v>
      </c>
      <c r="Z180" t="s">
        <v>239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3.86</v>
      </c>
      <c r="AN180" s="2">
        <v>3.86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46188</v>
      </c>
      <c r="B181" t="s">
        <v>48</v>
      </c>
      <c r="C181">
        <v>649163</v>
      </c>
      <c r="D181">
        <v>2026608909</v>
      </c>
      <c r="E181" t="s">
        <v>425</v>
      </c>
      <c r="F181" t="s">
        <v>424</v>
      </c>
      <c r="G181" t="s">
        <v>51</v>
      </c>
      <c r="H181" t="s">
        <v>119</v>
      </c>
      <c r="I181" t="s">
        <v>182</v>
      </c>
      <c r="J181" t="s">
        <v>183</v>
      </c>
      <c r="K181">
        <v>792847</v>
      </c>
      <c r="L181" t="s">
        <v>336</v>
      </c>
      <c r="M181" t="s">
        <v>337</v>
      </c>
      <c r="N181" t="s">
        <v>57</v>
      </c>
      <c r="O181" s="1">
        <v>45673</v>
      </c>
      <c r="Q181" s="1">
        <v>46219</v>
      </c>
      <c r="R181" s="2">
        <v>58.24</v>
      </c>
      <c r="S181">
        <v>1</v>
      </c>
      <c r="T181" t="s">
        <v>58</v>
      </c>
      <c r="U181" t="s">
        <v>237</v>
      </c>
      <c r="V181" s="3">
        <v>0.15</v>
      </c>
      <c r="W181" s="2">
        <v>0</v>
      </c>
      <c r="X181">
        <v>0</v>
      </c>
      <c r="Y181" t="s">
        <v>238</v>
      </c>
      <c r="Z181" t="s">
        <v>239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8.74</v>
      </c>
      <c r="AN181" s="2">
        <v>8.74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46188</v>
      </c>
      <c r="B182" t="s">
        <v>48</v>
      </c>
      <c r="C182">
        <v>649163</v>
      </c>
      <c r="D182">
        <v>2026625854</v>
      </c>
      <c r="E182" t="s">
        <v>426</v>
      </c>
      <c r="F182" t="s">
        <v>427</v>
      </c>
      <c r="G182" t="s">
        <v>51</v>
      </c>
      <c r="H182" t="s">
        <v>170</v>
      </c>
      <c r="I182" t="s">
        <v>182</v>
      </c>
      <c r="J182" t="s">
        <v>183</v>
      </c>
      <c r="K182">
        <v>767312</v>
      </c>
      <c r="L182" t="s">
        <v>171</v>
      </c>
      <c r="M182" t="s">
        <v>172</v>
      </c>
      <c r="N182" t="s">
        <v>57</v>
      </c>
      <c r="O182" s="1">
        <v>45674</v>
      </c>
      <c r="Q182" s="1">
        <v>46220</v>
      </c>
      <c r="R182" s="2">
        <v>114</v>
      </c>
      <c r="S182">
        <v>1</v>
      </c>
      <c r="T182" t="s">
        <v>58</v>
      </c>
      <c r="U182" t="s">
        <v>237</v>
      </c>
      <c r="V182" s="3">
        <v>0.15</v>
      </c>
      <c r="W182" s="2">
        <v>0</v>
      </c>
      <c r="X182">
        <v>0</v>
      </c>
      <c r="Y182" t="s">
        <v>238</v>
      </c>
      <c r="Z182" t="s">
        <v>239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17.100000000000001</v>
      </c>
      <c r="AN182" s="2">
        <v>17.100000000000001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46188</v>
      </c>
      <c r="B183" t="s">
        <v>48</v>
      </c>
      <c r="C183">
        <v>649163</v>
      </c>
      <c r="D183">
        <v>2026659432</v>
      </c>
      <c r="E183" t="s">
        <v>428</v>
      </c>
      <c r="F183" t="s">
        <v>288</v>
      </c>
      <c r="G183" t="s">
        <v>51</v>
      </c>
      <c r="H183" t="s">
        <v>119</v>
      </c>
      <c r="I183" t="s">
        <v>182</v>
      </c>
      <c r="J183" t="s">
        <v>183</v>
      </c>
      <c r="K183">
        <v>813184</v>
      </c>
      <c r="L183" t="s">
        <v>328</v>
      </c>
      <c r="M183" t="s">
        <v>329</v>
      </c>
      <c r="N183" t="s">
        <v>57</v>
      </c>
      <c r="O183" s="1">
        <v>45675</v>
      </c>
      <c r="Q183" s="1">
        <v>46221</v>
      </c>
      <c r="R183" s="2">
        <v>355.56</v>
      </c>
      <c r="S183">
        <v>1</v>
      </c>
      <c r="T183" t="s">
        <v>58</v>
      </c>
      <c r="U183" t="s">
        <v>237</v>
      </c>
      <c r="V183" s="3">
        <v>0.15</v>
      </c>
      <c r="W183" s="2">
        <v>0</v>
      </c>
      <c r="X183">
        <v>0</v>
      </c>
      <c r="Y183" t="s">
        <v>238</v>
      </c>
      <c r="Z183" t="s">
        <v>239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53.33</v>
      </c>
      <c r="AN183" s="2">
        <v>53.33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46188</v>
      </c>
      <c r="B184" t="s">
        <v>48</v>
      </c>
      <c r="C184">
        <v>649163</v>
      </c>
      <c r="D184">
        <v>2027072202</v>
      </c>
      <c r="E184" t="s">
        <v>429</v>
      </c>
      <c r="F184" t="s">
        <v>430</v>
      </c>
      <c r="G184" t="s">
        <v>51</v>
      </c>
      <c r="H184" t="s">
        <v>305</v>
      </c>
      <c r="I184" t="s">
        <v>182</v>
      </c>
      <c r="J184" t="s">
        <v>183</v>
      </c>
      <c r="K184">
        <v>816021</v>
      </c>
      <c r="L184" t="s">
        <v>312</v>
      </c>
      <c r="M184" t="s">
        <v>313</v>
      </c>
      <c r="N184" t="s">
        <v>57</v>
      </c>
      <c r="O184" s="1">
        <v>45703</v>
      </c>
      <c r="Q184" s="1">
        <v>46218</v>
      </c>
      <c r="R184" s="2">
        <v>18.2</v>
      </c>
      <c r="S184">
        <v>1</v>
      </c>
      <c r="T184" t="s">
        <v>58</v>
      </c>
      <c r="U184" t="s">
        <v>237</v>
      </c>
      <c r="V184" s="3">
        <v>0.15</v>
      </c>
      <c r="W184" s="2">
        <v>0</v>
      </c>
      <c r="X184">
        <v>0</v>
      </c>
      <c r="Y184" t="s">
        <v>238</v>
      </c>
      <c r="Z184" t="s">
        <v>239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2.73</v>
      </c>
      <c r="AN184" s="2">
        <v>2.73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46188</v>
      </c>
      <c r="B185" t="s">
        <v>48</v>
      </c>
      <c r="C185">
        <v>649163</v>
      </c>
      <c r="D185">
        <v>2027106748</v>
      </c>
      <c r="E185" t="s">
        <v>431</v>
      </c>
      <c r="F185" t="s">
        <v>420</v>
      </c>
      <c r="G185" t="s">
        <v>51</v>
      </c>
      <c r="H185" t="s">
        <v>119</v>
      </c>
      <c r="I185" t="s">
        <v>182</v>
      </c>
      <c r="J185" t="s">
        <v>183</v>
      </c>
      <c r="K185">
        <v>792847</v>
      </c>
      <c r="L185" t="s">
        <v>336</v>
      </c>
      <c r="M185" t="s">
        <v>337</v>
      </c>
      <c r="N185" t="s">
        <v>57</v>
      </c>
      <c r="O185" s="1">
        <v>45703</v>
      </c>
      <c r="Q185" s="1">
        <v>46218</v>
      </c>
      <c r="R185" s="2">
        <v>11.5</v>
      </c>
      <c r="S185">
        <v>1</v>
      </c>
      <c r="T185" t="s">
        <v>58</v>
      </c>
      <c r="U185" t="s">
        <v>237</v>
      </c>
      <c r="V185" s="3">
        <v>0.15</v>
      </c>
      <c r="W185" s="2">
        <v>0</v>
      </c>
      <c r="X185">
        <v>0</v>
      </c>
      <c r="Y185" t="s">
        <v>238</v>
      </c>
      <c r="Z185" t="s">
        <v>239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1.72</v>
      </c>
      <c r="AN185" s="2">
        <v>1.72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46188</v>
      </c>
      <c r="B186" t="s">
        <v>48</v>
      </c>
      <c r="C186">
        <v>649163</v>
      </c>
      <c r="D186">
        <v>2027115501</v>
      </c>
      <c r="E186" t="s">
        <v>319</v>
      </c>
      <c r="F186" t="s">
        <v>320</v>
      </c>
      <c r="G186" t="s">
        <v>51</v>
      </c>
      <c r="H186" t="s">
        <v>119</v>
      </c>
      <c r="I186" t="s">
        <v>182</v>
      </c>
      <c r="J186" t="s">
        <v>183</v>
      </c>
      <c r="K186">
        <v>768887</v>
      </c>
      <c r="L186" t="s">
        <v>321</v>
      </c>
      <c r="M186" t="s">
        <v>94</v>
      </c>
      <c r="N186" t="s">
        <v>57</v>
      </c>
      <c r="O186" s="1">
        <v>45703</v>
      </c>
      <c r="Q186" s="1">
        <v>46218</v>
      </c>
      <c r="R186" s="2">
        <v>41.44</v>
      </c>
      <c r="S186">
        <v>1</v>
      </c>
      <c r="T186" t="s">
        <v>58</v>
      </c>
      <c r="U186" t="s">
        <v>237</v>
      </c>
      <c r="V186" s="3">
        <v>0.15</v>
      </c>
      <c r="W186" s="2">
        <v>0</v>
      </c>
      <c r="X186">
        <v>0</v>
      </c>
      <c r="Y186" t="s">
        <v>238</v>
      </c>
      <c r="Z186" t="s">
        <v>239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6.22</v>
      </c>
      <c r="AN186" s="2">
        <v>6.22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46188</v>
      </c>
      <c r="B187" t="s">
        <v>48</v>
      </c>
      <c r="C187">
        <v>649163</v>
      </c>
      <c r="D187">
        <v>2027167305</v>
      </c>
      <c r="E187" t="s">
        <v>432</v>
      </c>
      <c r="F187" t="s">
        <v>433</v>
      </c>
      <c r="G187" t="s">
        <v>51</v>
      </c>
      <c r="H187" t="s">
        <v>119</v>
      </c>
      <c r="I187" t="s">
        <v>182</v>
      </c>
      <c r="J187" t="s">
        <v>183</v>
      </c>
      <c r="K187">
        <v>807212</v>
      </c>
      <c r="L187" t="s">
        <v>216</v>
      </c>
      <c r="M187" t="s">
        <v>217</v>
      </c>
      <c r="N187" t="s">
        <v>57</v>
      </c>
      <c r="O187" s="1">
        <v>45706</v>
      </c>
      <c r="Q187" s="1">
        <v>46221</v>
      </c>
      <c r="R187" s="2">
        <v>35.700000000000003</v>
      </c>
      <c r="S187">
        <v>1</v>
      </c>
      <c r="T187" t="s">
        <v>58</v>
      </c>
      <c r="U187" t="s">
        <v>237</v>
      </c>
      <c r="V187" s="3">
        <v>0.15</v>
      </c>
      <c r="W187" s="2">
        <v>0</v>
      </c>
      <c r="X187">
        <v>0</v>
      </c>
      <c r="Y187" t="s">
        <v>238</v>
      </c>
      <c r="Z187" t="s">
        <v>239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5.36</v>
      </c>
      <c r="AN187" s="2">
        <v>5.36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46188</v>
      </c>
      <c r="B188" t="s">
        <v>48</v>
      </c>
      <c r="C188">
        <v>649163</v>
      </c>
      <c r="D188">
        <v>2027182069</v>
      </c>
      <c r="E188" t="s">
        <v>408</v>
      </c>
      <c r="F188" t="s">
        <v>268</v>
      </c>
      <c r="G188" t="s">
        <v>51</v>
      </c>
      <c r="H188" t="s">
        <v>410</v>
      </c>
      <c r="I188" t="s">
        <v>182</v>
      </c>
      <c r="J188" t="s">
        <v>194</v>
      </c>
      <c r="K188">
        <v>767312</v>
      </c>
      <c r="L188" t="s">
        <v>171</v>
      </c>
      <c r="M188" t="s">
        <v>172</v>
      </c>
      <c r="N188" t="s">
        <v>57</v>
      </c>
      <c r="O188" s="1">
        <v>45707</v>
      </c>
      <c r="Q188" s="1">
        <v>46222</v>
      </c>
      <c r="R188" s="2">
        <v>42.42</v>
      </c>
      <c r="S188">
        <v>1</v>
      </c>
      <c r="T188" t="s">
        <v>58</v>
      </c>
      <c r="U188" t="s">
        <v>237</v>
      </c>
      <c r="V188" s="3">
        <v>0.1</v>
      </c>
      <c r="W188" s="2">
        <v>0</v>
      </c>
      <c r="X188">
        <v>0</v>
      </c>
      <c r="Y188" t="s">
        <v>238</v>
      </c>
      <c r="Z188" t="s">
        <v>239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4.24</v>
      </c>
      <c r="AN188" s="2">
        <v>4.24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46188</v>
      </c>
      <c r="B189" t="s">
        <v>48</v>
      </c>
      <c r="C189">
        <v>649163</v>
      </c>
      <c r="D189">
        <v>2027767677</v>
      </c>
      <c r="E189" t="s">
        <v>434</v>
      </c>
      <c r="F189" t="s">
        <v>435</v>
      </c>
      <c r="G189" t="s">
        <v>51</v>
      </c>
      <c r="H189" t="s">
        <v>327</v>
      </c>
      <c r="I189" t="s">
        <v>182</v>
      </c>
      <c r="J189" t="s">
        <v>183</v>
      </c>
      <c r="K189">
        <v>764123</v>
      </c>
      <c r="L189" t="s">
        <v>421</v>
      </c>
      <c r="M189" t="s">
        <v>422</v>
      </c>
      <c r="N189" t="s">
        <v>57</v>
      </c>
      <c r="O189" s="1">
        <v>45729</v>
      </c>
      <c r="Q189" s="1">
        <v>46216</v>
      </c>
      <c r="R189" s="2">
        <v>56.55</v>
      </c>
      <c r="S189">
        <v>1</v>
      </c>
      <c r="T189" t="s">
        <v>58</v>
      </c>
      <c r="U189" t="s">
        <v>237</v>
      </c>
      <c r="V189" s="3">
        <v>0.15</v>
      </c>
      <c r="W189" s="2">
        <v>0</v>
      </c>
      <c r="X189">
        <v>0</v>
      </c>
      <c r="Y189" t="s">
        <v>238</v>
      </c>
      <c r="Z189" t="s">
        <v>239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8.48</v>
      </c>
      <c r="AN189" s="2">
        <v>8.48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46188</v>
      </c>
      <c r="B190" t="s">
        <v>48</v>
      </c>
      <c r="C190">
        <v>649163</v>
      </c>
      <c r="D190">
        <v>2027849974</v>
      </c>
      <c r="E190" t="s">
        <v>436</v>
      </c>
      <c r="F190" t="s">
        <v>437</v>
      </c>
      <c r="G190" t="s">
        <v>51</v>
      </c>
      <c r="H190" t="s">
        <v>438</v>
      </c>
      <c r="I190" t="s">
        <v>182</v>
      </c>
      <c r="J190" t="s">
        <v>183</v>
      </c>
      <c r="K190">
        <v>650218</v>
      </c>
      <c r="L190" t="s">
        <v>158</v>
      </c>
      <c r="M190" t="s">
        <v>159</v>
      </c>
      <c r="N190" t="s">
        <v>57</v>
      </c>
      <c r="O190" s="1">
        <v>45733</v>
      </c>
      <c r="Q190" s="1">
        <v>46220</v>
      </c>
      <c r="R190" s="2">
        <v>50.96</v>
      </c>
      <c r="S190">
        <v>1</v>
      </c>
      <c r="T190" t="s">
        <v>58</v>
      </c>
      <c r="U190" t="s">
        <v>237</v>
      </c>
      <c r="V190" s="3">
        <v>0.15</v>
      </c>
      <c r="W190" s="2">
        <v>0</v>
      </c>
      <c r="X190">
        <v>0</v>
      </c>
      <c r="Y190" t="s">
        <v>238</v>
      </c>
      <c r="Z190" t="s">
        <v>239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7.64</v>
      </c>
      <c r="AN190" s="2">
        <v>7.64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46188</v>
      </c>
      <c r="B191" t="s">
        <v>48</v>
      </c>
      <c r="C191">
        <v>649163</v>
      </c>
      <c r="D191">
        <v>2027869112</v>
      </c>
      <c r="E191" t="s">
        <v>439</v>
      </c>
      <c r="F191" t="s">
        <v>440</v>
      </c>
      <c r="G191" t="s">
        <v>51</v>
      </c>
      <c r="H191" t="s">
        <v>145</v>
      </c>
      <c r="I191" t="s">
        <v>182</v>
      </c>
      <c r="J191" t="s">
        <v>194</v>
      </c>
      <c r="K191">
        <v>673059</v>
      </c>
      <c r="L191" t="s">
        <v>85</v>
      </c>
      <c r="M191" t="s">
        <v>86</v>
      </c>
      <c r="N191" t="s">
        <v>57</v>
      </c>
      <c r="O191" s="1">
        <v>45734</v>
      </c>
      <c r="Q191" s="1">
        <v>46221</v>
      </c>
      <c r="R191" s="2">
        <v>9.8000000000000007</v>
      </c>
      <c r="S191">
        <v>1</v>
      </c>
      <c r="T191" t="s">
        <v>58</v>
      </c>
      <c r="U191" t="s">
        <v>237</v>
      </c>
      <c r="V191" s="3">
        <v>0.1</v>
      </c>
      <c r="W191" s="2">
        <v>0</v>
      </c>
      <c r="X191">
        <v>0</v>
      </c>
      <c r="Y191" t="s">
        <v>238</v>
      </c>
      <c r="Z191" t="s">
        <v>239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0.98</v>
      </c>
      <c r="AN191" s="2">
        <v>0.98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46188</v>
      </c>
      <c r="B192" t="s">
        <v>48</v>
      </c>
      <c r="C192">
        <v>649163</v>
      </c>
      <c r="D192">
        <v>2028470693</v>
      </c>
      <c r="E192" t="s">
        <v>325</v>
      </c>
      <c r="F192" t="s">
        <v>326</v>
      </c>
      <c r="G192" t="s">
        <v>51</v>
      </c>
      <c r="H192" t="s">
        <v>327</v>
      </c>
      <c r="I192" t="s">
        <v>182</v>
      </c>
      <c r="J192" t="s">
        <v>183</v>
      </c>
      <c r="K192">
        <v>813184</v>
      </c>
      <c r="L192" t="s">
        <v>328</v>
      </c>
      <c r="M192" t="s">
        <v>329</v>
      </c>
      <c r="N192" t="s">
        <v>57</v>
      </c>
      <c r="O192" s="1">
        <v>45765</v>
      </c>
      <c r="Q192" s="1">
        <v>46221</v>
      </c>
      <c r="R192" s="2">
        <v>159.16999999999999</v>
      </c>
      <c r="S192">
        <v>1</v>
      </c>
      <c r="T192" t="s">
        <v>58</v>
      </c>
      <c r="U192" t="s">
        <v>237</v>
      </c>
      <c r="V192" s="3">
        <v>0.15</v>
      </c>
      <c r="W192" s="2">
        <v>0</v>
      </c>
      <c r="X192">
        <v>0</v>
      </c>
      <c r="Y192" t="s">
        <v>238</v>
      </c>
      <c r="Z192" t="s">
        <v>239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23.88</v>
      </c>
      <c r="AN192" s="2">
        <v>23.88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46188</v>
      </c>
      <c r="B193" t="s">
        <v>48</v>
      </c>
      <c r="C193">
        <v>649163</v>
      </c>
      <c r="D193">
        <v>2028471502</v>
      </c>
      <c r="E193" t="s">
        <v>441</v>
      </c>
      <c r="F193" t="s">
        <v>199</v>
      </c>
      <c r="G193" t="s">
        <v>51</v>
      </c>
      <c r="H193" t="s">
        <v>327</v>
      </c>
      <c r="I193" t="s">
        <v>182</v>
      </c>
      <c r="J193" t="s">
        <v>183</v>
      </c>
      <c r="K193">
        <v>813184</v>
      </c>
      <c r="L193" t="s">
        <v>328</v>
      </c>
      <c r="M193" t="s">
        <v>329</v>
      </c>
      <c r="N193" t="s">
        <v>57</v>
      </c>
      <c r="O193" s="1">
        <v>45765</v>
      </c>
      <c r="Q193" s="1">
        <v>46221</v>
      </c>
      <c r="R193" s="2">
        <v>41.98</v>
      </c>
      <c r="S193">
        <v>1</v>
      </c>
      <c r="T193" t="s">
        <v>58</v>
      </c>
      <c r="U193" t="s">
        <v>237</v>
      </c>
      <c r="V193" s="3">
        <v>0.15</v>
      </c>
      <c r="W193" s="2">
        <v>0</v>
      </c>
      <c r="X193">
        <v>0</v>
      </c>
      <c r="Y193" t="s">
        <v>238</v>
      </c>
      <c r="Z193" t="s">
        <v>239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6.3</v>
      </c>
      <c r="AN193" s="2">
        <v>6.3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46188</v>
      </c>
      <c r="B194" t="s">
        <v>48</v>
      </c>
      <c r="C194">
        <v>649163</v>
      </c>
      <c r="D194">
        <v>2028471687</v>
      </c>
      <c r="E194" t="s">
        <v>322</v>
      </c>
      <c r="F194" t="s">
        <v>323</v>
      </c>
      <c r="G194" t="s">
        <v>51</v>
      </c>
      <c r="H194" t="s">
        <v>119</v>
      </c>
      <c r="I194" t="s">
        <v>182</v>
      </c>
      <c r="J194" t="s">
        <v>183</v>
      </c>
      <c r="K194">
        <v>820873</v>
      </c>
      <c r="L194" t="s">
        <v>128</v>
      </c>
      <c r="M194" t="s">
        <v>129</v>
      </c>
      <c r="N194" t="s">
        <v>57</v>
      </c>
      <c r="O194" s="1">
        <v>45765</v>
      </c>
      <c r="Q194" s="1">
        <v>46221</v>
      </c>
      <c r="R194" s="2">
        <v>51</v>
      </c>
      <c r="S194">
        <v>1</v>
      </c>
      <c r="T194" t="s">
        <v>58</v>
      </c>
      <c r="U194" t="s">
        <v>237</v>
      </c>
      <c r="V194" s="3">
        <v>0.15</v>
      </c>
      <c r="W194" s="2">
        <v>0</v>
      </c>
      <c r="X194">
        <v>0</v>
      </c>
      <c r="Y194" t="s">
        <v>238</v>
      </c>
      <c r="Z194" t="s">
        <v>239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7.65</v>
      </c>
      <c r="AN194" s="2">
        <v>7.65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46188</v>
      </c>
      <c r="B195" t="s">
        <v>48</v>
      </c>
      <c r="D195">
        <v>2028488145</v>
      </c>
      <c r="E195" t="s">
        <v>263</v>
      </c>
      <c r="F195" t="s">
        <v>264</v>
      </c>
      <c r="G195" t="s">
        <v>51</v>
      </c>
      <c r="H195" t="s">
        <v>52</v>
      </c>
      <c r="I195" t="s">
        <v>182</v>
      </c>
      <c r="J195" t="s">
        <v>202</v>
      </c>
      <c r="L195" t="s">
        <v>55</v>
      </c>
      <c r="M195" t="s">
        <v>56</v>
      </c>
      <c r="N195" t="s">
        <v>57</v>
      </c>
      <c r="O195" s="1">
        <v>45766</v>
      </c>
      <c r="Q195" s="1">
        <v>46222</v>
      </c>
      <c r="R195" s="2">
        <v>51.46</v>
      </c>
      <c r="S195">
        <v>1</v>
      </c>
      <c r="T195" t="s">
        <v>58</v>
      </c>
      <c r="U195" t="s">
        <v>237</v>
      </c>
      <c r="V195" s="3">
        <v>0.15</v>
      </c>
      <c r="W195" s="2">
        <v>0</v>
      </c>
      <c r="X195">
        <v>0</v>
      </c>
      <c r="Y195" t="s">
        <v>238</v>
      </c>
      <c r="Z195" t="s">
        <v>239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7.72</v>
      </c>
      <c r="AN195" s="2">
        <v>7.72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46188</v>
      </c>
      <c r="B196" t="s">
        <v>48</v>
      </c>
      <c r="C196">
        <v>649163</v>
      </c>
      <c r="D196">
        <v>2028782159</v>
      </c>
      <c r="E196" t="s">
        <v>442</v>
      </c>
      <c r="F196" t="s">
        <v>443</v>
      </c>
      <c r="G196" t="s">
        <v>51</v>
      </c>
      <c r="H196" t="s">
        <v>292</v>
      </c>
      <c r="I196" t="s">
        <v>182</v>
      </c>
      <c r="J196" t="s">
        <v>183</v>
      </c>
      <c r="K196">
        <v>822733</v>
      </c>
      <c r="L196" t="s">
        <v>444</v>
      </c>
      <c r="M196" t="s">
        <v>445</v>
      </c>
      <c r="N196" t="s">
        <v>57</v>
      </c>
      <c r="O196" s="1">
        <v>45792</v>
      </c>
      <c r="Q196" s="1">
        <v>46218</v>
      </c>
      <c r="R196" s="2">
        <v>48.76</v>
      </c>
      <c r="S196">
        <v>1</v>
      </c>
      <c r="T196" t="s">
        <v>58</v>
      </c>
      <c r="U196" t="s">
        <v>237</v>
      </c>
      <c r="V196" s="3">
        <v>0.15</v>
      </c>
      <c r="W196" s="2">
        <v>0</v>
      </c>
      <c r="X196">
        <v>0</v>
      </c>
      <c r="Y196" t="s">
        <v>238</v>
      </c>
      <c r="Z196" t="s">
        <v>239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7.31</v>
      </c>
      <c r="AN196" s="2">
        <v>7.31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46188</v>
      </c>
      <c r="B197" t="s">
        <v>48</v>
      </c>
      <c r="C197">
        <v>649163</v>
      </c>
      <c r="D197">
        <v>2028881458</v>
      </c>
      <c r="E197" t="s">
        <v>446</v>
      </c>
      <c r="F197" t="s">
        <v>447</v>
      </c>
      <c r="G197" t="s">
        <v>51</v>
      </c>
      <c r="H197" t="s">
        <v>119</v>
      </c>
      <c r="I197" t="s">
        <v>182</v>
      </c>
      <c r="J197" t="s">
        <v>183</v>
      </c>
      <c r="K197">
        <v>812656</v>
      </c>
      <c r="L197" t="s">
        <v>414</v>
      </c>
      <c r="M197" t="s">
        <v>415</v>
      </c>
      <c r="N197" t="s">
        <v>57</v>
      </c>
      <c r="O197" s="1">
        <v>45793</v>
      </c>
      <c r="Q197" s="1">
        <v>46219</v>
      </c>
      <c r="R197" s="2">
        <v>27.19</v>
      </c>
      <c r="S197">
        <v>1</v>
      </c>
      <c r="T197" t="s">
        <v>58</v>
      </c>
      <c r="U197" t="s">
        <v>237</v>
      </c>
      <c r="V197" s="3">
        <v>0.15</v>
      </c>
      <c r="W197" s="2">
        <v>0</v>
      </c>
      <c r="X197">
        <v>0</v>
      </c>
      <c r="Y197" t="s">
        <v>238</v>
      </c>
      <c r="Z197" t="s">
        <v>239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4.08</v>
      </c>
      <c r="AN197" s="2">
        <v>4.08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46188</v>
      </c>
      <c r="B198" t="s">
        <v>48</v>
      </c>
      <c r="C198">
        <v>649163</v>
      </c>
      <c r="D198">
        <v>2028912654</v>
      </c>
      <c r="E198" t="s">
        <v>448</v>
      </c>
      <c r="F198" t="s">
        <v>254</v>
      </c>
      <c r="G198" t="s">
        <v>51</v>
      </c>
      <c r="H198" t="s">
        <v>292</v>
      </c>
      <c r="I198" t="s">
        <v>182</v>
      </c>
      <c r="J198" t="s">
        <v>183</v>
      </c>
      <c r="K198">
        <v>823350</v>
      </c>
      <c r="L198" t="s">
        <v>73</v>
      </c>
      <c r="M198" t="s">
        <v>116</v>
      </c>
      <c r="N198" t="s">
        <v>57</v>
      </c>
      <c r="O198" s="1">
        <v>45791</v>
      </c>
      <c r="Q198" s="1">
        <v>46217</v>
      </c>
      <c r="R198" s="2">
        <v>150.66</v>
      </c>
      <c r="S198">
        <v>1</v>
      </c>
      <c r="T198" t="s">
        <v>58</v>
      </c>
      <c r="U198" t="s">
        <v>237</v>
      </c>
      <c r="V198" s="3">
        <v>0.15</v>
      </c>
      <c r="W198" s="2">
        <v>0</v>
      </c>
      <c r="X198">
        <v>0</v>
      </c>
      <c r="Y198" t="s">
        <v>238</v>
      </c>
      <c r="Z198" t="s">
        <v>239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22.6</v>
      </c>
      <c r="AN198" s="2">
        <v>22.6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46188</v>
      </c>
      <c r="B199" t="s">
        <v>48</v>
      </c>
      <c r="C199">
        <v>649163</v>
      </c>
      <c r="D199">
        <v>2028930864</v>
      </c>
      <c r="E199" t="s">
        <v>449</v>
      </c>
      <c r="F199" t="s">
        <v>450</v>
      </c>
      <c r="G199" t="s">
        <v>51</v>
      </c>
      <c r="H199" t="s">
        <v>327</v>
      </c>
      <c r="I199" t="s">
        <v>182</v>
      </c>
      <c r="J199" t="s">
        <v>183</v>
      </c>
      <c r="K199">
        <v>813184</v>
      </c>
      <c r="L199" t="s">
        <v>328</v>
      </c>
      <c r="M199" t="s">
        <v>329</v>
      </c>
      <c r="N199" t="s">
        <v>57</v>
      </c>
      <c r="O199" s="1">
        <v>45793</v>
      </c>
      <c r="Q199" s="1">
        <v>46219</v>
      </c>
      <c r="R199" s="2">
        <v>107.87</v>
      </c>
      <c r="S199">
        <v>1</v>
      </c>
      <c r="T199" t="s">
        <v>58</v>
      </c>
      <c r="U199" t="s">
        <v>237</v>
      </c>
      <c r="V199" s="3">
        <v>0.15</v>
      </c>
      <c r="W199" s="2">
        <v>0</v>
      </c>
      <c r="X199">
        <v>0</v>
      </c>
      <c r="Y199" t="s">
        <v>238</v>
      </c>
      <c r="Z199" t="s">
        <v>239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16.18</v>
      </c>
      <c r="AN199" s="2">
        <v>16.18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46188</v>
      </c>
      <c r="B200" t="s">
        <v>48</v>
      </c>
      <c r="C200">
        <v>649163</v>
      </c>
      <c r="D200">
        <v>2028931111</v>
      </c>
      <c r="E200" t="s">
        <v>451</v>
      </c>
      <c r="F200" t="s">
        <v>452</v>
      </c>
      <c r="G200" t="s">
        <v>51</v>
      </c>
      <c r="H200" t="s">
        <v>327</v>
      </c>
      <c r="I200" t="s">
        <v>182</v>
      </c>
      <c r="J200" t="s">
        <v>183</v>
      </c>
      <c r="K200">
        <v>813184</v>
      </c>
      <c r="L200" t="s">
        <v>328</v>
      </c>
      <c r="M200" t="s">
        <v>329</v>
      </c>
      <c r="N200" t="s">
        <v>57</v>
      </c>
      <c r="O200" s="1">
        <v>45793</v>
      </c>
      <c r="Q200" s="1">
        <v>46219</v>
      </c>
      <c r="R200" s="2">
        <v>107.87</v>
      </c>
      <c r="S200">
        <v>1</v>
      </c>
      <c r="T200" t="s">
        <v>58</v>
      </c>
      <c r="U200" t="s">
        <v>237</v>
      </c>
      <c r="V200" s="3">
        <v>0.15</v>
      </c>
      <c r="W200" s="2">
        <v>0</v>
      </c>
      <c r="X200">
        <v>0</v>
      </c>
      <c r="Y200" t="s">
        <v>238</v>
      </c>
      <c r="Z200" t="s">
        <v>239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16.18</v>
      </c>
      <c r="AN200" s="2">
        <v>16.18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46188</v>
      </c>
      <c r="B201" t="s">
        <v>48</v>
      </c>
      <c r="C201">
        <v>649163</v>
      </c>
      <c r="D201">
        <v>2028935095</v>
      </c>
      <c r="E201" t="s">
        <v>330</v>
      </c>
      <c r="F201" t="s">
        <v>331</v>
      </c>
      <c r="G201" t="s">
        <v>51</v>
      </c>
      <c r="H201" t="s">
        <v>95</v>
      </c>
      <c r="I201" t="s">
        <v>182</v>
      </c>
      <c r="J201" t="s">
        <v>183</v>
      </c>
      <c r="K201">
        <v>821015</v>
      </c>
      <c r="L201" t="s">
        <v>332</v>
      </c>
      <c r="M201" t="s">
        <v>333</v>
      </c>
      <c r="N201" t="s">
        <v>57</v>
      </c>
      <c r="O201" s="1">
        <v>45792</v>
      </c>
      <c r="Q201" s="1">
        <v>46218</v>
      </c>
      <c r="R201" s="2">
        <v>12.83</v>
      </c>
      <c r="S201">
        <v>1</v>
      </c>
      <c r="T201" t="s">
        <v>58</v>
      </c>
      <c r="U201" t="s">
        <v>237</v>
      </c>
      <c r="V201" s="3">
        <v>0.15</v>
      </c>
      <c r="W201" s="2">
        <v>0</v>
      </c>
      <c r="X201">
        <v>0</v>
      </c>
      <c r="Y201" t="s">
        <v>238</v>
      </c>
      <c r="Z201" t="s">
        <v>239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1.92</v>
      </c>
      <c r="AN201" s="2">
        <v>1.92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46188</v>
      </c>
      <c r="B202" t="s">
        <v>48</v>
      </c>
      <c r="C202">
        <v>649163</v>
      </c>
      <c r="D202">
        <v>2028937037</v>
      </c>
      <c r="E202" t="s">
        <v>453</v>
      </c>
      <c r="F202" t="s">
        <v>454</v>
      </c>
      <c r="G202" t="s">
        <v>51</v>
      </c>
      <c r="H202" t="s">
        <v>327</v>
      </c>
      <c r="I202" t="s">
        <v>182</v>
      </c>
      <c r="J202" t="s">
        <v>183</v>
      </c>
      <c r="K202">
        <v>813184</v>
      </c>
      <c r="L202" t="s">
        <v>328</v>
      </c>
      <c r="M202" t="s">
        <v>329</v>
      </c>
      <c r="N202" t="s">
        <v>57</v>
      </c>
      <c r="O202" s="1">
        <v>45793</v>
      </c>
      <c r="Q202" s="1">
        <v>46219</v>
      </c>
      <c r="R202" s="2">
        <v>107.87</v>
      </c>
      <c r="S202">
        <v>1</v>
      </c>
      <c r="T202" t="s">
        <v>58</v>
      </c>
      <c r="U202" t="s">
        <v>237</v>
      </c>
      <c r="V202" s="3">
        <v>0.15</v>
      </c>
      <c r="W202" s="2">
        <v>0</v>
      </c>
      <c r="X202">
        <v>0</v>
      </c>
      <c r="Y202" t="s">
        <v>238</v>
      </c>
      <c r="Z202" t="s">
        <v>239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16.18</v>
      </c>
      <c r="AN202" s="2">
        <v>16.18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46188</v>
      </c>
      <c r="B203" t="s">
        <v>48</v>
      </c>
      <c r="C203">
        <v>649163</v>
      </c>
      <c r="D203">
        <v>2028942144</v>
      </c>
      <c r="E203" t="s">
        <v>455</v>
      </c>
      <c r="F203" t="s">
        <v>456</v>
      </c>
      <c r="G203" t="s">
        <v>51</v>
      </c>
      <c r="H203" t="s">
        <v>170</v>
      </c>
      <c r="I203" t="s">
        <v>182</v>
      </c>
      <c r="J203" t="s">
        <v>183</v>
      </c>
      <c r="K203">
        <v>820140</v>
      </c>
      <c r="L203" t="s">
        <v>457</v>
      </c>
      <c r="M203" t="s">
        <v>190</v>
      </c>
      <c r="N203" t="s">
        <v>57</v>
      </c>
      <c r="O203" s="1">
        <v>45792</v>
      </c>
      <c r="Q203" s="1">
        <v>46218</v>
      </c>
      <c r="R203" s="2">
        <v>31.6</v>
      </c>
      <c r="S203">
        <v>1</v>
      </c>
      <c r="T203" t="s">
        <v>58</v>
      </c>
      <c r="U203" t="s">
        <v>237</v>
      </c>
      <c r="V203" s="3">
        <v>0.09</v>
      </c>
      <c r="W203" s="2">
        <v>0</v>
      </c>
      <c r="X203">
        <v>0</v>
      </c>
      <c r="Y203" t="s">
        <v>238</v>
      </c>
      <c r="Z203" t="s">
        <v>239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2.84</v>
      </c>
      <c r="AN203" s="2">
        <v>2.84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46188</v>
      </c>
      <c r="B204" t="s">
        <v>48</v>
      </c>
      <c r="C204">
        <v>649163</v>
      </c>
      <c r="D204">
        <v>2028946855</v>
      </c>
      <c r="E204" t="s">
        <v>458</v>
      </c>
      <c r="F204" t="s">
        <v>459</v>
      </c>
      <c r="G204" t="s">
        <v>51</v>
      </c>
      <c r="H204" t="s">
        <v>327</v>
      </c>
      <c r="I204" t="s">
        <v>182</v>
      </c>
      <c r="J204" t="s">
        <v>183</v>
      </c>
      <c r="K204">
        <v>813184</v>
      </c>
      <c r="L204" t="s">
        <v>328</v>
      </c>
      <c r="M204" t="s">
        <v>329</v>
      </c>
      <c r="N204" t="s">
        <v>57</v>
      </c>
      <c r="O204" s="1">
        <v>45793</v>
      </c>
      <c r="Q204" s="1">
        <v>46219</v>
      </c>
      <c r="R204" s="2">
        <v>19</v>
      </c>
      <c r="S204">
        <v>1</v>
      </c>
      <c r="T204" t="s">
        <v>58</v>
      </c>
      <c r="U204" t="s">
        <v>237</v>
      </c>
      <c r="V204" s="3">
        <v>0.15</v>
      </c>
      <c r="W204" s="2">
        <v>0</v>
      </c>
      <c r="X204">
        <v>0</v>
      </c>
      <c r="Y204" t="s">
        <v>238</v>
      </c>
      <c r="Z204" t="s">
        <v>239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2.85</v>
      </c>
      <c r="AN204" s="2">
        <v>2.85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46188</v>
      </c>
      <c r="B205" t="s">
        <v>48</v>
      </c>
      <c r="C205">
        <v>649163</v>
      </c>
      <c r="D205">
        <v>2028958357</v>
      </c>
      <c r="E205" t="s">
        <v>334</v>
      </c>
      <c r="F205" t="s">
        <v>335</v>
      </c>
      <c r="G205" t="s">
        <v>51</v>
      </c>
      <c r="H205" t="s">
        <v>119</v>
      </c>
      <c r="I205" t="s">
        <v>182</v>
      </c>
      <c r="J205" t="s">
        <v>183</v>
      </c>
      <c r="K205">
        <v>673059</v>
      </c>
      <c r="L205" t="s">
        <v>85</v>
      </c>
      <c r="M205" t="s">
        <v>86</v>
      </c>
      <c r="N205" t="s">
        <v>57</v>
      </c>
      <c r="O205" s="1">
        <v>45793</v>
      </c>
      <c r="Q205" s="1">
        <v>46219</v>
      </c>
      <c r="R205" s="2">
        <v>118.33</v>
      </c>
      <c r="S205">
        <v>1</v>
      </c>
      <c r="T205" t="s">
        <v>58</v>
      </c>
      <c r="U205" t="s">
        <v>237</v>
      </c>
      <c r="V205" s="3">
        <v>0.15</v>
      </c>
      <c r="W205" s="2">
        <v>0</v>
      </c>
      <c r="X205">
        <v>0</v>
      </c>
      <c r="Y205" t="s">
        <v>238</v>
      </c>
      <c r="Z205" t="s">
        <v>239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17.75</v>
      </c>
      <c r="AN205" s="2">
        <v>17.75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46188</v>
      </c>
      <c r="B206" t="s">
        <v>48</v>
      </c>
      <c r="C206">
        <v>649163</v>
      </c>
      <c r="D206">
        <v>2028962513</v>
      </c>
      <c r="E206" t="s">
        <v>460</v>
      </c>
      <c r="F206" t="s">
        <v>127</v>
      </c>
      <c r="G206" t="s">
        <v>51</v>
      </c>
      <c r="H206" t="s">
        <v>95</v>
      </c>
      <c r="I206" t="s">
        <v>182</v>
      </c>
      <c r="J206" t="s">
        <v>183</v>
      </c>
      <c r="K206">
        <v>806645</v>
      </c>
      <c r="L206" t="s">
        <v>406</v>
      </c>
      <c r="M206" t="s">
        <v>407</v>
      </c>
      <c r="N206" t="s">
        <v>57</v>
      </c>
      <c r="O206" s="1">
        <v>45793</v>
      </c>
      <c r="Q206" s="1">
        <v>46219</v>
      </c>
      <c r="R206" s="2">
        <v>25.36</v>
      </c>
      <c r="S206">
        <v>1</v>
      </c>
      <c r="T206" t="s">
        <v>58</v>
      </c>
      <c r="U206" t="s">
        <v>237</v>
      </c>
      <c r="V206" s="3">
        <v>0.15</v>
      </c>
      <c r="W206" s="2">
        <v>0</v>
      </c>
      <c r="X206">
        <v>0</v>
      </c>
      <c r="Y206" t="s">
        <v>238</v>
      </c>
      <c r="Z206" t="s">
        <v>239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3.8</v>
      </c>
      <c r="AN206" s="2">
        <v>3.8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46188</v>
      </c>
      <c r="B207" t="s">
        <v>48</v>
      </c>
      <c r="C207">
        <v>649163</v>
      </c>
      <c r="D207">
        <v>2028963797</v>
      </c>
      <c r="E207" t="s">
        <v>461</v>
      </c>
      <c r="F207" t="s">
        <v>446</v>
      </c>
      <c r="G207" t="s">
        <v>51</v>
      </c>
      <c r="H207" t="s">
        <v>119</v>
      </c>
      <c r="I207" t="s">
        <v>182</v>
      </c>
      <c r="J207" t="s">
        <v>183</v>
      </c>
      <c r="K207">
        <v>806645</v>
      </c>
      <c r="L207" t="s">
        <v>406</v>
      </c>
      <c r="M207" t="s">
        <v>407</v>
      </c>
      <c r="N207" t="s">
        <v>57</v>
      </c>
      <c r="O207" s="1">
        <v>45793</v>
      </c>
      <c r="Q207" s="1">
        <v>46219</v>
      </c>
      <c r="R207" s="2">
        <v>11.5</v>
      </c>
      <c r="S207">
        <v>1</v>
      </c>
      <c r="T207" t="s">
        <v>58</v>
      </c>
      <c r="U207" t="s">
        <v>237</v>
      </c>
      <c r="V207" s="3">
        <v>0.15</v>
      </c>
      <c r="W207" s="2">
        <v>0</v>
      </c>
      <c r="X207">
        <v>0</v>
      </c>
      <c r="Y207" t="s">
        <v>238</v>
      </c>
      <c r="Z207" t="s">
        <v>239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1.72</v>
      </c>
      <c r="AN207" s="2">
        <v>1.72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46188</v>
      </c>
      <c r="B208" t="s">
        <v>48</v>
      </c>
      <c r="C208">
        <v>649163</v>
      </c>
      <c r="D208">
        <v>2028965776</v>
      </c>
      <c r="E208" t="s">
        <v>336</v>
      </c>
      <c r="F208" t="s">
        <v>208</v>
      </c>
      <c r="G208" t="s">
        <v>51</v>
      </c>
      <c r="H208" t="s">
        <v>119</v>
      </c>
      <c r="I208" t="s">
        <v>182</v>
      </c>
      <c r="J208" t="s">
        <v>183</v>
      </c>
      <c r="K208">
        <v>792847</v>
      </c>
      <c r="L208" t="s">
        <v>336</v>
      </c>
      <c r="M208" t="s">
        <v>337</v>
      </c>
      <c r="N208" t="s">
        <v>57</v>
      </c>
      <c r="O208" s="1">
        <v>45793</v>
      </c>
      <c r="Q208" s="1">
        <v>46219</v>
      </c>
      <c r="R208" s="2">
        <v>58.24</v>
      </c>
      <c r="S208">
        <v>1</v>
      </c>
      <c r="T208" t="s">
        <v>58</v>
      </c>
      <c r="U208" t="s">
        <v>237</v>
      </c>
      <c r="V208" s="3">
        <v>0.15</v>
      </c>
      <c r="W208" s="2">
        <v>0</v>
      </c>
      <c r="X208">
        <v>0</v>
      </c>
      <c r="Y208" t="s">
        <v>238</v>
      </c>
      <c r="Z208" t="s">
        <v>239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8.74</v>
      </c>
      <c r="AN208" s="2">
        <v>8.74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46188</v>
      </c>
      <c r="B209" t="s">
        <v>48</v>
      </c>
      <c r="C209">
        <v>649163</v>
      </c>
      <c r="D209">
        <v>2028965822</v>
      </c>
      <c r="E209" t="s">
        <v>462</v>
      </c>
      <c r="F209" t="s">
        <v>463</v>
      </c>
      <c r="G209" t="s">
        <v>51</v>
      </c>
      <c r="H209" t="s">
        <v>339</v>
      </c>
      <c r="I209" t="s">
        <v>182</v>
      </c>
      <c r="J209" t="s">
        <v>183</v>
      </c>
      <c r="K209">
        <v>792847</v>
      </c>
      <c r="L209" t="s">
        <v>336</v>
      </c>
      <c r="M209" t="s">
        <v>337</v>
      </c>
      <c r="N209" t="s">
        <v>57</v>
      </c>
      <c r="O209" s="1">
        <v>45793</v>
      </c>
      <c r="Q209" s="1">
        <v>46219</v>
      </c>
      <c r="R209" s="2">
        <v>34</v>
      </c>
      <c r="S209">
        <v>1</v>
      </c>
      <c r="T209" t="s">
        <v>58</v>
      </c>
      <c r="U209" t="s">
        <v>237</v>
      </c>
      <c r="V209" s="3">
        <v>0.15</v>
      </c>
      <c r="W209" s="2">
        <v>0</v>
      </c>
      <c r="X209">
        <v>0</v>
      </c>
      <c r="Y209" t="s">
        <v>238</v>
      </c>
      <c r="Z209" t="s">
        <v>239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5.0999999999999996</v>
      </c>
      <c r="AN209" s="2">
        <v>5.0999999999999996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46188</v>
      </c>
      <c r="B210" t="s">
        <v>48</v>
      </c>
      <c r="C210">
        <v>649163</v>
      </c>
      <c r="D210">
        <v>2028977072</v>
      </c>
      <c r="E210" t="s">
        <v>464</v>
      </c>
      <c r="F210" t="s">
        <v>388</v>
      </c>
      <c r="G210" t="s">
        <v>51</v>
      </c>
      <c r="H210" t="s">
        <v>186</v>
      </c>
      <c r="I210" t="s">
        <v>182</v>
      </c>
      <c r="J210" t="s">
        <v>183</v>
      </c>
      <c r="K210">
        <v>822865</v>
      </c>
      <c r="L210" t="s">
        <v>465</v>
      </c>
      <c r="M210" t="s">
        <v>466</v>
      </c>
      <c r="N210" t="s">
        <v>57</v>
      </c>
      <c r="O210" s="1">
        <v>45794</v>
      </c>
      <c r="Q210" s="1">
        <v>46220</v>
      </c>
      <c r="R210" s="2">
        <v>50.6</v>
      </c>
      <c r="S210">
        <v>1</v>
      </c>
      <c r="T210" t="s">
        <v>58</v>
      </c>
      <c r="U210" t="s">
        <v>237</v>
      </c>
      <c r="V210" s="3">
        <v>0.15</v>
      </c>
      <c r="W210" s="2">
        <v>0</v>
      </c>
      <c r="X210">
        <v>0</v>
      </c>
      <c r="Y210" t="s">
        <v>238</v>
      </c>
      <c r="Z210" t="s">
        <v>239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7.59</v>
      </c>
      <c r="AN210" s="2">
        <v>7.59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46188</v>
      </c>
      <c r="B211" t="s">
        <v>48</v>
      </c>
      <c r="C211">
        <v>649163</v>
      </c>
      <c r="D211">
        <v>2028995188</v>
      </c>
      <c r="E211" t="s">
        <v>467</v>
      </c>
      <c r="F211" t="s">
        <v>468</v>
      </c>
      <c r="G211" t="s">
        <v>51</v>
      </c>
      <c r="H211" t="s">
        <v>119</v>
      </c>
      <c r="I211" t="s">
        <v>182</v>
      </c>
      <c r="J211" t="s">
        <v>183</v>
      </c>
      <c r="K211">
        <v>812656</v>
      </c>
      <c r="L211" t="s">
        <v>414</v>
      </c>
      <c r="M211" t="s">
        <v>415</v>
      </c>
      <c r="N211" t="s">
        <v>57</v>
      </c>
      <c r="O211" s="1">
        <v>45795</v>
      </c>
      <c r="Q211" s="1">
        <v>46221</v>
      </c>
      <c r="R211" s="2">
        <v>27.5</v>
      </c>
      <c r="S211">
        <v>1</v>
      </c>
      <c r="T211" t="s">
        <v>58</v>
      </c>
      <c r="U211" t="s">
        <v>237</v>
      </c>
      <c r="V211" s="3">
        <v>0.15</v>
      </c>
      <c r="W211" s="2">
        <v>0</v>
      </c>
      <c r="X211">
        <v>0</v>
      </c>
      <c r="Y211" t="s">
        <v>238</v>
      </c>
      <c r="Z211" t="s">
        <v>239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4.12</v>
      </c>
      <c r="AN211" s="2">
        <v>4.12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46188</v>
      </c>
      <c r="B212" t="s">
        <v>48</v>
      </c>
      <c r="C212">
        <v>649163</v>
      </c>
      <c r="D212">
        <v>2029034139</v>
      </c>
      <c r="E212" t="s">
        <v>469</v>
      </c>
      <c r="F212" t="s">
        <v>470</v>
      </c>
      <c r="G212" t="s">
        <v>51</v>
      </c>
      <c r="H212" t="s">
        <v>119</v>
      </c>
      <c r="I212" t="s">
        <v>182</v>
      </c>
      <c r="J212" t="s">
        <v>183</v>
      </c>
      <c r="K212">
        <v>824062</v>
      </c>
      <c r="L212" t="s">
        <v>385</v>
      </c>
      <c r="M212" t="s">
        <v>386</v>
      </c>
      <c r="N212" t="s">
        <v>242</v>
      </c>
      <c r="O212" s="1">
        <v>45809</v>
      </c>
      <c r="P212" s="1">
        <v>46188</v>
      </c>
      <c r="Q212" s="1">
        <v>46204</v>
      </c>
      <c r="R212" s="2">
        <v>-11.03</v>
      </c>
      <c r="S212">
        <v>1</v>
      </c>
      <c r="T212" t="s">
        <v>58</v>
      </c>
      <c r="U212" t="s">
        <v>237</v>
      </c>
      <c r="V212" s="3">
        <v>0.15</v>
      </c>
      <c r="W212" s="2">
        <v>0</v>
      </c>
      <c r="X212">
        <v>-1</v>
      </c>
      <c r="Y212" t="s">
        <v>238</v>
      </c>
      <c r="Z212" t="s">
        <v>239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-1.65</v>
      </c>
      <c r="AN212" s="2">
        <v>-1.65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46188</v>
      </c>
      <c r="B213" t="s">
        <v>48</v>
      </c>
      <c r="C213">
        <v>649163</v>
      </c>
      <c r="D213">
        <v>2029185272</v>
      </c>
      <c r="E213" t="s">
        <v>340</v>
      </c>
      <c r="F213" t="s">
        <v>341</v>
      </c>
      <c r="G213" t="s">
        <v>51</v>
      </c>
      <c r="H213" t="s">
        <v>342</v>
      </c>
      <c r="I213" t="s">
        <v>182</v>
      </c>
      <c r="J213" t="s">
        <v>183</v>
      </c>
      <c r="K213">
        <v>673059</v>
      </c>
      <c r="L213" t="s">
        <v>85</v>
      </c>
      <c r="M213" t="s">
        <v>86</v>
      </c>
      <c r="N213" t="s">
        <v>57</v>
      </c>
      <c r="O213" s="1">
        <v>45825</v>
      </c>
      <c r="Q213" s="1">
        <v>46220</v>
      </c>
      <c r="R213" s="2">
        <v>10.82</v>
      </c>
      <c r="S213">
        <v>1</v>
      </c>
      <c r="T213" t="s">
        <v>58</v>
      </c>
      <c r="U213" t="s">
        <v>237</v>
      </c>
      <c r="V213" s="3">
        <v>0.15</v>
      </c>
      <c r="W213" s="2">
        <v>0</v>
      </c>
      <c r="X213">
        <v>0</v>
      </c>
      <c r="Y213" t="s">
        <v>238</v>
      </c>
      <c r="Z213" t="s">
        <v>239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1.62</v>
      </c>
      <c r="AN213" s="2">
        <v>1.62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46188</v>
      </c>
      <c r="B214" t="s">
        <v>48</v>
      </c>
      <c r="C214">
        <v>649163</v>
      </c>
      <c r="D214">
        <v>2029402295</v>
      </c>
      <c r="E214" t="s">
        <v>471</v>
      </c>
      <c r="F214" t="s">
        <v>472</v>
      </c>
      <c r="G214" t="s">
        <v>51</v>
      </c>
      <c r="H214" t="s">
        <v>119</v>
      </c>
      <c r="I214" t="s">
        <v>182</v>
      </c>
      <c r="J214" t="s">
        <v>183</v>
      </c>
      <c r="K214">
        <v>843573</v>
      </c>
      <c r="L214" t="s">
        <v>473</v>
      </c>
      <c r="M214" t="s">
        <v>474</v>
      </c>
      <c r="N214" t="s">
        <v>57</v>
      </c>
      <c r="O214" s="1">
        <v>45821</v>
      </c>
      <c r="Q214" s="1">
        <v>46216</v>
      </c>
      <c r="R214" s="2">
        <v>42.38</v>
      </c>
      <c r="S214">
        <v>1</v>
      </c>
      <c r="T214" t="s">
        <v>58</v>
      </c>
      <c r="U214" t="s">
        <v>237</v>
      </c>
      <c r="V214" s="3">
        <v>0.15</v>
      </c>
      <c r="W214" s="2">
        <v>0</v>
      </c>
      <c r="X214">
        <v>0</v>
      </c>
      <c r="Y214" t="s">
        <v>238</v>
      </c>
      <c r="Z214" t="s">
        <v>239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6.36</v>
      </c>
      <c r="AN214" s="2">
        <v>6.36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46188</v>
      </c>
      <c r="B215" t="s">
        <v>48</v>
      </c>
      <c r="C215">
        <v>649163</v>
      </c>
      <c r="D215">
        <v>2029432398</v>
      </c>
      <c r="E215" t="s">
        <v>475</v>
      </c>
      <c r="F215" t="s">
        <v>476</v>
      </c>
      <c r="G215" t="s">
        <v>51</v>
      </c>
      <c r="H215" t="s">
        <v>119</v>
      </c>
      <c r="I215" t="s">
        <v>182</v>
      </c>
      <c r="J215" t="s">
        <v>183</v>
      </c>
      <c r="K215">
        <v>807212</v>
      </c>
      <c r="L215" t="s">
        <v>216</v>
      </c>
      <c r="M215" t="s">
        <v>217</v>
      </c>
      <c r="N215" t="s">
        <v>57</v>
      </c>
      <c r="O215" s="1">
        <v>45821</v>
      </c>
      <c r="Q215" s="1">
        <v>46216</v>
      </c>
      <c r="R215" s="2">
        <v>19</v>
      </c>
      <c r="S215">
        <v>1</v>
      </c>
      <c r="T215" t="s">
        <v>58</v>
      </c>
      <c r="U215" t="s">
        <v>237</v>
      </c>
      <c r="V215" s="3">
        <v>0.15</v>
      </c>
      <c r="W215" s="2">
        <v>0</v>
      </c>
      <c r="X215">
        <v>0</v>
      </c>
      <c r="Y215" t="s">
        <v>238</v>
      </c>
      <c r="Z215" t="s">
        <v>239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2.85</v>
      </c>
      <c r="AN215" s="2">
        <v>2.85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46188</v>
      </c>
      <c r="B216" t="s">
        <v>48</v>
      </c>
      <c r="C216">
        <v>649163</v>
      </c>
      <c r="D216">
        <v>2029434655</v>
      </c>
      <c r="E216" t="s">
        <v>200</v>
      </c>
      <c r="F216" t="s">
        <v>477</v>
      </c>
      <c r="G216" t="s">
        <v>51</v>
      </c>
      <c r="H216" t="s">
        <v>95</v>
      </c>
      <c r="I216" t="s">
        <v>182</v>
      </c>
      <c r="J216" t="s">
        <v>183</v>
      </c>
      <c r="K216">
        <v>812782</v>
      </c>
      <c r="L216" t="s">
        <v>105</v>
      </c>
      <c r="M216" t="s">
        <v>106</v>
      </c>
      <c r="N216" t="s">
        <v>57</v>
      </c>
      <c r="O216" s="1">
        <v>45821</v>
      </c>
      <c r="Q216" s="1">
        <v>46216</v>
      </c>
      <c r="R216" s="2">
        <v>100.52</v>
      </c>
      <c r="S216">
        <v>1</v>
      </c>
      <c r="T216" t="s">
        <v>58</v>
      </c>
      <c r="U216" t="s">
        <v>237</v>
      </c>
      <c r="V216" s="3">
        <v>0.15</v>
      </c>
      <c r="W216" s="2">
        <v>0</v>
      </c>
      <c r="X216">
        <v>0</v>
      </c>
      <c r="Y216" t="s">
        <v>238</v>
      </c>
      <c r="Z216" t="s">
        <v>239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15.08</v>
      </c>
      <c r="AN216" s="2">
        <v>15.08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46188</v>
      </c>
      <c r="B217" t="s">
        <v>48</v>
      </c>
      <c r="C217">
        <v>649163</v>
      </c>
      <c r="D217">
        <v>2029481266</v>
      </c>
      <c r="E217" t="s">
        <v>478</v>
      </c>
      <c r="F217" t="s">
        <v>479</v>
      </c>
      <c r="G217" t="s">
        <v>51</v>
      </c>
      <c r="H217" t="s">
        <v>209</v>
      </c>
      <c r="I217" t="s">
        <v>182</v>
      </c>
      <c r="J217" t="s">
        <v>183</v>
      </c>
      <c r="K217">
        <v>877790</v>
      </c>
      <c r="L217" t="s">
        <v>229</v>
      </c>
      <c r="M217" t="s">
        <v>230</v>
      </c>
      <c r="N217" t="s">
        <v>57</v>
      </c>
      <c r="O217" s="1">
        <v>45825</v>
      </c>
      <c r="Q217" s="1">
        <v>46220</v>
      </c>
      <c r="R217" s="2">
        <v>3.52</v>
      </c>
      <c r="S217">
        <v>1</v>
      </c>
      <c r="T217" t="s">
        <v>58</v>
      </c>
      <c r="U217" t="s">
        <v>237</v>
      </c>
      <c r="V217" s="3">
        <v>0.15</v>
      </c>
      <c r="W217" s="2">
        <v>0</v>
      </c>
      <c r="X217">
        <v>0</v>
      </c>
      <c r="Y217" t="s">
        <v>238</v>
      </c>
      <c r="Z217" t="s">
        <v>239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0.53</v>
      </c>
      <c r="AN217" s="2">
        <v>0.53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46188</v>
      </c>
      <c r="B218" t="s">
        <v>48</v>
      </c>
      <c r="C218">
        <v>649163</v>
      </c>
      <c r="D218">
        <v>2029488849</v>
      </c>
      <c r="E218" t="s">
        <v>480</v>
      </c>
      <c r="F218" t="s">
        <v>481</v>
      </c>
      <c r="G218" t="s">
        <v>51</v>
      </c>
      <c r="H218" t="s">
        <v>119</v>
      </c>
      <c r="I218" t="s">
        <v>182</v>
      </c>
      <c r="J218" t="s">
        <v>194</v>
      </c>
      <c r="K218">
        <v>807212</v>
      </c>
      <c r="L218" t="s">
        <v>216</v>
      </c>
      <c r="M218" t="s">
        <v>217</v>
      </c>
      <c r="N218" t="s">
        <v>57</v>
      </c>
      <c r="O218" s="1">
        <v>45825</v>
      </c>
      <c r="Q218" s="1">
        <v>46220</v>
      </c>
      <c r="R218" s="2">
        <v>21.6</v>
      </c>
      <c r="S218">
        <v>1</v>
      </c>
      <c r="T218" t="s">
        <v>58</v>
      </c>
      <c r="U218" t="s">
        <v>237</v>
      </c>
      <c r="V218" s="3">
        <v>0.1</v>
      </c>
      <c r="W218" s="2">
        <v>0</v>
      </c>
      <c r="X218">
        <v>0</v>
      </c>
      <c r="Y218" t="s">
        <v>238</v>
      </c>
      <c r="Z218" t="s">
        <v>239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2.16</v>
      </c>
      <c r="AN218" s="2">
        <v>2.16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46188</v>
      </c>
      <c r="B219" t="s">
        <v>48</v>
      </c>
      <c r="C219">
        <v>649163</v>
      </c>
      <c r="D219">
        <v>2029511428</v>
      </c>
      <c r="E219" t="s">
        <v>105</v>
      </c>
      <c r="F219" t="s">
        <v>437</v>
      </c>
      <c r="G219" t="s">
        <v>51</v>
      </c>
      <c r="H219" t="s">
        <v>119</v>
      </c>
      <c r="I219" t="s">
        <v>182</v>
      </c>
      <c r="J219" t="s">
        <v>183</v>
      </c>
      <c r="K219">
        <v>823350</v>
      </c>
      <c r="L219" t="s">
        <v>73</v>
      </c>
      <c r="M219" t="s">
        <v>116</v>
      </c>
      <c r="N219" t="s">
        <v>57</v>
      </c>
      <c r="O219" s="1">
        <v>45826</v>
      </c>
      <c r="Q219" s="1">
        <v>46221</v>
      </c>
      <c r="R219" s="2">
        <v>11.5</v>
      </c>
      <c r="S219">
        <v>1</v>
      </c>
      <c r="T219" t="s">
        <v>58</v>
      </c>
      <c r="U219" t="s">
        <v>237</v>
      </c>
      <c r="V219" s="3">
        <v>0.15</v>
      </c>
      <c r="W219" s="2">
        <v>0</v>
      </c>
      <c r="X219">
        <v>0</v>
      </c>
      <c r="Y219" t="s">
        <v>238</v>
      </c>
      <c r="Z219" t="s">
        <v>239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1.72</v>
      </c>
      <c r="AN219" s="2">
        <v>1.72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46188</v>
      </c>
      <c r="B220" t="s">
        <v>48</v>
      </c>
      <c r="D220">
        <v>2029737099</v>
      </c>
      <c r="E220" t="s">
        <v>482</v>
      </c>
      <c r="F220" t="s">
        <v>483</v>
      </c>
      <c r="G220" t="s">
        <v>51</v>
      </c>
      <c r="H220" t="s">
        <v>193</v>
      </c>
      <c r="I220" t="s">
        <v>182</v>
      </c>
      <c r="J220" t="s">
        <v>202</v>
      </c>
      <c r="L220" t="s">
        <v>195</v>
      </c>
      <c r="M220" t="s">
        <v>196</v>
      </c>
      <c r="N220" t="s">
        <v>57</v>
      </c>
      <c r="O220" s="1">
        <v>45856</v>
      </c>
      <c r="Q220" s="1">
        <v>46221</v>
      </c>
      <c r="R220" s="2">
        <v>24.61</v>
      </c>
      <c r="S220">
        <v>1</v>
      </c>
      <c r="T220" t="s">
        <v>58</v>
      </c>
      <c r="U220" t="s">
        <v>237</v>
      </c>
      <c r="V220" s="3">
        <v>0.7</v>
      </c>
      <c r="W220" s="2">
        <v>0</v>
      </c>
      <c r="X220">
        <v>0</v>
      </c>
      <c r="Y220" t="s">
        <v>60</v>
      </c>
      <c r="Z220" t="s">
        <v>239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17.23</v>
      </c>
      <c r="AN220" s="2">
        <v>17.23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46188</v>
      </c>
      <c r="B221" t="s">
        <v>48</v>
      </c>
      <c r="C221">
        <v>649163</v>
      </c>
      <c r="D221">
        <v>2029737100</v>
      </c>
      <c r="E221" t="s">
        <v>482</v>
      </c>
      <c r="F221" t="s">
        <v>483</v>
      </c>
      <c r="G221" t="s">
        <v>51</v>
      </c>
      <c r="H221" t="s">
        <v>193</v>
      </c>
      <c r="I221" t="s">
        <v>182</v>
      </c>
      <c r="J221" t="s">
        <v>194</v>
      </c>
      <c r="K221">
        <v>823068</v>
      </c>
      <c r="L221" t="s">
        <v>195</v>
      </c>
      <c r="M221" t="s">
        <v>196</v>
      </c>
      <c r="N221" t="s">
        <v>57</v>
      </c>
      <c r="O221" s="1">
        <v>45856</v>
      </c>
      <c r="Q221" s="1">
        <v>46221</v>
      </c>
      <c r="R221" s="2">
        <v>51.78</v>
      </c>
      <c r="S221">
        <v>1</v>
      </c>
      <c r="T221" t="s">
        <v>58</v>
      </c>
      <c r="U221" t="s">
        <v>237</v>
      </c>
      <c r="V221" s="3">
        <v>0.9</v>
      </c>
      <c r="W221" s="2">
        <v>0</v>
      </c>
      <c r="X221">
        <v>0</v>
      </c>
      <c r="Y221" t="s">
        <v>60</v>
      </c>
      <c r="Z221" t="s">
        <v>239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46.6</v>
      </c>
      <c r="AN221" s="2">
        <v>46.6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46188</v>
      </c>
      <c r="B222" t="s">
        <v>48</v>
      </c>
      <c r="C222">
        <v>649163</v>
      </c>
      <c r="D222">
        <v>2029878252</v>
      </c>
      <c r="E222" t="s">
        <v>343</v>
      </c>
      <c r="F222" t="s">
        <v>106</v>
      </c>
      <c r="G222" t="s">
        <v>51</v>
      </c>
      <c r="H222" t="s">
        <v>119</v>
      </c>
      <c r="I222" t="s">
        <v>182</v>
      </c>
      <c r="J222" t="s">
        <v>183</v>
      </c>
      <c r="K222">
        <v>824076</v>
      </c>
      <c r="L222" t="s">
        <v>344</v>
      </c>
      <c r="M222" t="s">
        <v>345</v>
      </c>
      <c r="N222" t="s">
        <v>57</v>
      </c>
      <c r="O222" s="1">
        <v>45853</v>
      </c>
      <c r="Q222" s="1">
        <v>46218</v>
      </c>
      <c r="R222" s="2">
        <v>39.25</v>
      </c>
      <c r="S222">
        <v>1</v>
      </c>
      <c r="T222" t="s">
        <v>58</v>
      </c>
      <c r="U222" t="s">
        <v>237</v>
      </c>
      <c r="V222" s="3">
        <v>0.7</v>
      </c>
      <c r="W222" s="2">
        <v>0</v>
      </c>
      <c r="X222">
        <v>0</v>
      </c>
      <c r="Y222" t="s">
        <v>60</v>
      </c>
      <c r="Z222" t="s">
        <v>239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27.48</v>
      </c>
      <c r="AN222" s="2">
        <v>27.48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46188</v>
      </c>
      <c r="B223" t="s">
        <v>48</v>
      </c>
      <c r="C223">
        <v>649163</v>
      </c>
      <c r="D223">
        <v>2029935514</v>
      </c>
      <c r="E223" t="s">
        <v>484</v>
      </c>
      <c r="F223" t="s">
        <v>485</v>
      </c>
      <c r="G223" t="s">
        <v>51</v>
      </c>
      <c r="H223" t="s">
        <v>327</v>
      </c>
      <c r="I223" t="s">
        <v>182</v>
      </c>
      <c r="J223" t="s">
        <v>183</v>
      </c>
      <c r="K223">
        <v>822723</v>
      </c>
      <c r="L223" t="s">
        <v>486</v>
      </c>
      <c r="M223" t="s">
        <v>487</v>
      </c>
      <c r="N223" t="s">
        <v>57</v>
      </c>
      <c r="O223" s="1">
        <v>45853</v>
      </c>
      <c r="Q223" s="1">
        <v>46218</v>
      </c>
      <c r="R223" s="2">
        <v>155.81</v>
      </c>
      <c r="S223">
        <v>1</v>
      </c>
      <c r="T223" t="s">
        <v>58</v>
      </c>
      <c r="U223" t="s">
        <v>237</v>
      </c>
      <c r="V223" s="3">
        <v>0.7</v>
      </c>
      <c r="W223" s="2">
        <v>0</v>
      </c>
      <c r="X223">
        <v>0</v>
      </c>
      <c r="Y223" t="s">
        <v>60</v>
      </c>
      <c r="Z223" t="s">
        <v>239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109.07</v>
      </c>
      <c r="AN223" s="2">
        <v>109.07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46188</v>
      </c>
      <c r="B224" t="s">
        <v>48</v>
      </c>
      <c r="C224">
        <v>649163</v>
      </c>
      <c r="D224">
        <v>2029951924</v>
      </c>
      <c r="E224" t="s">
        <v>346</v>
      </c>
      <c r="F224" t="s">
        <v>347</v>
      </c>
      <c r="G224" t="s">
        <v>51</v>
      </c>
      <c r="H224" t="s">
        <v>119</v>
      </c>
      <c r="I224" t="s">
        <v>182</v>
      </c>
      <c r="J224" t="s">
        <v>183</v>
      </c>
      <c r="K224">
        <v>824076</v>
      </c>
      <c r="L224" t="s">
        <v>344</v>
      </c>
      <c r="M224" t="s">
        <v>345</v>
      </c>
      <c r="N224" t="s">
        <v>57</v>
      </c>
      <c r="O224" s="1">
        <v>45853</v>
      </c>
      <c r="Q224" s="1">
        <v>46218</v>
      </c>
      <c r="R224" s="2">
        <v>41.5</v>
      </c>
      <c r="S224">
        <v>1</v>
      </c>
      <c r="T224" t="s">
        <v>58</v>
      </c>
      <c r="U224" t="s">
        <v>237</v>
      </c>
      <c r="V224" s="3">
        <v>0.7</v>
      </c>
      <c r="W224" s="2">
        <v>0</v>
      </c>
      <c r="X224">
        <v>0</v>
      </c>
      <c r="Y224" t="s">
        <v>60</v>
      </c>
      <c r="Z224" t="s">
        <v>239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29.05</v>
      </c>
      <c r="AN224" s="2">
        <v>29.05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46188</v>
      </c>
      <c r="B225" t="s">
        <v>48</v>
      </c>
      <c r="C225">
        <v>649163</v>
      </c>
      <c r="D225">
        <v>2029957806</v>
      </c>
      <c r="E225" t="s">
        <v>488</v>
      </c>
      <c r="F225" t="s">
        <v>489</v>
      </c>
      <c r="G225" t="s">
        <v>51</v>
      </c>
      <c r="H225" t="s">
        <v>209</v>
      </c>
      <c r="I225" t="s">
        <v>182</v>
      </c>
      <c r="J225" t="s">
        <v>183</v>
      </c>
      <c r="K225">
        <v>877790</v>
      </c>
      <c r="L225" t="s">
        <v>229</v>
      </c>
      <c r="M225" t="s">
        <v>230</v>
      </c>
      <c r="N225" t="s">
        <v>57</v>
      </c>
      <c r="O225" s="1">
        <v>45854</v>
      </c>
      <c r="Q225" s="1">
        <v>46219</v>
      </c>
      <c r="R225" s="2">
        <v>12.4</v>
      </c>
      <c r="S225">
        <v>1</v>
      </c>
      <c r="T225" t="s">
        <v>58</v>
      </c>
      <c r="U225" t="s">
        <v>237</v>
      </c>
      <c r="V225" s="3">
        <v>0.7</v>
      </c>
      <c r="W225" s="2">
        <v>0</v>
      </c>
      <c r="X225">
        <v>0</v>
      </c>
      <c r="Y225" t="s">
        <v>60</v>
      </c>
      <c r="Z225" t="s">
        <v>239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8.68</v>
      </c>
      <c r="AN225" s="2">
        <v>8.68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46188</v>
      </c>
      <c r="B226" t="s">
        <v>48</v>
      </c>
      <c r="C226">
        <v>649163</v>
      </c>
      <c r="D226">
        <v>2029963379</v>
      </c>
      <c r="E226" t="s">
        <v>490</v>
      </c>
      <c r="F226" t="s">
        <v>491</v>
      </c>
      <c r="G226" t="s">
        <v>51</v>
      </c>
      <c r="H226" t="s">
        <v>119</v>
      </c>
      <c r="I226" t="s">
        <v>182</v>
      </c>
      <c r="J226" t="s">
        <v>183</v>
      </c>
      <c r="K226">
        <v>807212</v>
      </c>
      <c r="L226" t="s">
        <v>216</v>
      </c>
      <c r="M226" t="s">
        <v>217</v>
      </c>
      <c r="N226" t="s">
        <v>57</v>
      </c>
      <c r="O226" s="1">
        <v>45854</v>
      </c>
      <c r="Q226" s="1">
        <v>46219</v>
      </c>
      <c r="R226" s="2">
        <v>20.56</v>
      </c>
      <c r="S226">
        <v>1</v>
      </c>
      <c r="T226" t="s">
        <v>58</v>
      </c>
      <c r="U226" t="s">
        <v>237</v>
      </c>
      <c r="V226" s="3">
        <v>0.7</v>
      </c>
      <c r="W226" s="2">
        <v>0</v>
      </c>
      <c r="X226">
        <v>0</v>
      </c>
      <c r="Y226" t="s">
        <v>60</v>
      </c>
      <c r="Z226" t="s">
        <v>239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14.39</v>
      </c>
      <c r="AN226" s="2">
        <v>14.39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46188</v>
      </c>
      <c r="B227" t="s">
        <v>48</v>
      </c>
      <c r="C227">
        <v>649163</v>
      </c>
      <c r="D227">
        <v>2029968822</v>
      </c>
      <c r="E227" t="s">
        <v>172</v>
      </c>
      <c r="F227" t="s">
        <v>80</v>
      </c>
      <c r="G227" t="s">
        <v>51</v>
      </c>
      <c r="H227" t="s">
        <v>119</v>
      </c>
      <c r="I227" t="s">
        <v>182</v>
      </c>
      <c r="J227" t="s">
        <v>197</v>
      </c>
      <c r="K227">
        <v>814033</v>
      </c>
      <c r="L227" t="s">
        <v>122</v>
      </c>
      <c r="M227" t="s">
        <v>123</v>
      </c>
      <c r="N227" t="s">
        <v>57</v>
      </c>
      <c r="O227" s="1">
        <v>45854</v>
      </c>
      <c r="Q227" s="1">
        <v>46219</v>
      </c>
      <c r="R227" s="2">
        <v>25.08</v>
      </c>
      <c r="S227">
        <v>1</v>
      </c>
      <c r="T227" t="s">
        <v>58</v>
      </c>
      <c r="U227" t="s">
        <v>237</v>
      </c>
      <c r="V227" s="3">
        <v>0.42</v>
      </c>
      <c r="W227" s="2">
        <v>0</v>
      </c>
      <c r="X227">
        <v>0</v>
      </c>
      <c r="Y227" t="s">
        <v>60</v>
      </c>
      <c r="Z227" t="s">
        <v>239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10.53</v>
      </c>
      <c r="AN227" s="2">
        <v>10.53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46188</v>
      </c>
      <c r="B228" t="s">
        <v>48</v>
      </c>
      <c r="C228">
        <v>649163</v>
      </c>
      <c r="D228">
        <v>2029968823</v>
      </c>
      <c r="E228" t="s">
        <v>172</v>
      </c>
      <c r="F228" t="s">
        <v>80</v>
      </c>
      <c r="G228" t="s">
        <v>51</v>
      </c>
      <c r="H228" t="s">
        <v>119</v>
      </c>
      <c r="I228" t="s">
        <v>182</v>
      </c>
      <c r="J228" t="s">
        <v>183</v>
      </c>
      <c r="K228">
        <v>814033</v>
      </c>
      <c r="L228" t="s">
        <v>122</v>
      </c>
      <c r="M228" t="s">
        <v>123</v>
      </c>
      <c r="N228" t="s">
        <v>57</v>
      </c>
      <c r="O228" s="1">
        <v>45854</v>
      </c>
      <c r="Q228" s="1">
        <v>46219</v>
      </c>
      <c r="R228" s="2">
        <v>62.8</v>
      </c>
      <c r="S228">
        <v>1</v>
      </c>
      <c r="T228" t="s">
        <v>58</v>
      </c>
      <c r="U228" t="s">
        <v>237</v>
      </c>
      <c r="V228" s="3">
        <v>0.7</v>
      </c>
      <c r="W228" s="2">
        <v>0</v>
      </c>
      <c r="X228">
        <v>0</v>
      </c>
      <c r="Y228" t="s">
        <v>60</v>
      </c>
      <c r="Z228" t="s">
        <v>239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43.96</v>
      </c>
      <c r="AN228" s="2">
        <v>43.96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46188</v>
      </c>
      <c r="B229" t="s">
        <v>48</v>
      </c>
      <c r="C229">
        <v>649163</v>
      </c>
      <c r="D229">
        <v>2029969604</v>
      </c>
      <c r="E229" t="s">
        <v>348</v>
      </c>
      <c r="F229" t="s">
        <v>349</v>
      </c>
      <c r="G229" t="s">
        <v>51</v>
      </c>
      <c r="H229" t="s">
        <v>305</v>
      </c>
      <c r="I229" t="s">
        <v>182</v>
      </c>
      <c r="J229" t="s">
        <v>183</v>
      </c>
      <c r="K229">
        <v>816021</v>
      </c>
      <c r="L229" t="s">
        <v>312</v>
      </c>
      <c r="M229" t="s">
        <v>313</v>
      </c>
      <c r="N229" t="s">
        <v>57</v>
      </c>
      <c r="O229" s="1">
        <v>45854</v>
      </c>
      <c r="Q229" s="1">
        <v>46219</v>
      </c>
      <c r="R229" s="2">
        <v>9.1</v>
      </c>
      <c r="S229">
        <v>1</v>
      </c>
      <c r="T229" t="s">
        <v>58</v>
      </c>
      <c r="U229" t="s">
        <v>237</v>
      </c>
      <c r="V229" s="3">
        <v>0.7</v>
      </c>
      <c r="W229" s="2">
        <v>0</v>
      </c>
      <c r="X229">
        <v>0</v>
      </c>
      <c r="Y229" t="s">
        <v>60</v>
      </c>
      <c r="Z229" t="s">
        <v>239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6.37</v>
      </c>
      <c r="AN229" s="2">
        <v>6.37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46188</v>
      </c>
      <c r="B230" t="s">
        <v>48</v>
      </c>
      <c r="C230">
        <v>649163</v>
      </c>
      <c r="D230">
        <v>2029971479</v>
      </c>
      <c r="E230" t="s">
        <v>492</v>
      </c>
      <c r="F230" t="s">
        <v>262</v>
      </c>
      <c r="G230" t="s">
        <v>51</v>
      </c>
      <c r="H230" t="s">
        <v>327</v>
      </c>
      <c r="I230" t="s">
        <v>182</v>
      </c>
      <c r="J230" t="s">
        <v>183</v>
      </c>
      <c r="K230">
        <v>822723</v>
      </c>
      <c r="L230" t="s">
        <v>486</v>
      </c>
      <c r="M230" t="s">
        <v>487</v>
      </c>
      <c r="N230" t="s">
        <v>57</v>
      </c>
      <c r="O230" s="1">
        <v>45854</v>
      </c>
      <c r="Q230" s="1">
        <v>46219</v>
      </c>
      <c r="R230" s="2">
        <v>15.75</v>
      </c>
      <c r="S230">
        <v>1</v>
      </c>
      <c r="T230" t="s">
        <v>58</v>
      </c>
      <c r="U230" t="s">
        <v>237</v>
      </c>
      <c r="V230" s="3">
        <v>0.7</v>
      </c>
      <c r="W230" s="2">
        <v>0</v>
      </c>
      <c r="X230">
        <v>0</v>
      </c>
      <c r="Y230" t="s">
        <v>60</v>
      </c>
      <c r="Z230" t="s">
        <v>239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11.02</v>
      </c>
      <c r="AN230" s="2">
        <v>11.02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46188</v>
      </c>
      <c r="B231" t="s">
        <v>48</v>
      </c>
      <c r="C231">
        <v>649163</v>
      </c>
      <c r="D231">
        <v>2029973759</v>
      </c>
      <c r="E231" t="s">
        <v>493</v>
      </c>
      <c r="F231" t="s">
        <v>494</v>
      </c>
      <c r="G231" t="s">
        <v>51</v>
      </c>
      <c r="H231" t="s">
        <v>327</v>
      </c>
      <c r="I231" t="s">
        <v>182</v>
      </c>
      <c r="J231" t="s">
        <v>183</v>
      </c>
      <c r="K231">
        <v>812994</v>
      </c>
      <c r="L231" t="s">
        <v>495</v>
      </c>
      <c r="M231" t="s">
        <v>496</v>
      </c>
      <c r="N231" t="s">
        <v>57</v>
      </c>
      <c r="O231" s="1">
        <v>45854</v>
      </c>
      <c r="Q231" s="1">
        <v>46219</v>
      </c>
      <c r="R231" s="2">
        <v>115.98</v>
      </c>
      <c r="S231">
        <v>1</v>
      </c>
      <c r="T231" t="s">
        <v>58</v>
      </c>
      <c r="U231" t="s">
        <v>237</v>
      </c>
      <c r="V231" s="3">
        <v>0.7</v>
      </c>
      <c r="W231" s="2">
        <v>0</v>
      </c>
      <c r="X231">
        <v>0</v>
      </c>
      <c r="Y231" t="s">
        <v>60</v>
      </c>
      <c r="Z231" t="s">
        <v>239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81.19</v>
      </c>
      <c r="AN231" s="2">
        <v>81.19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46188</v>
      </c>
      <c r="B232" t="s">
        <v>48</v>
      </c>
      <c r="C232">
        <v>649163</v>
      </c>
      <c r="D232">
        <v>2029980505</v>
      </c>
      <c r="E232" t="s">
        <v>244</v>
      </c>
      <c r="F232" t="s">
        <v>350</v>
      </c>
      <c r="G232" t="s">
        <v>51</v>
      </c>
      <c r="H232" t="s">
        <v>83</v>
      </c>
      <c r="I232" t="s">
        <v>182</v>
      </c>
      <c r="J232" t="s">
        <v>183</v>
      </c>
      <c r="K232">
        <v>673059</v>
      </c>
      <c r="L232" t="s">
        <v>85</v>
      </c>
      <c r="M232" t="s">
        <v>86</v>
      </c>
      <c r="N232" t="s">
        <v>57</v>
      </c>
      <c r="O232" s="1">
        <v>45884</v>
      </c>
      <c r="Q232" s="1">
        <v>46218</v>
      </c>
      <c r="R232" s="2">
        <v>24</v>
      </c>
      <c r="S232">
        <v>1</v>
      </c>
      <c r="T232" t="s">
        <v>58</v>
      </c>
      <c r="U232" t="s">
        <v>237</v>
      </c>
      <c r="V232" s="3">
        <v>0.7</v>
      </c>
      <c r="W232" s="2">
        <v>0</v>
      </c>
      <c r="X232">
        <v>0</v>
      </c>
      <c r="Y232" t="s">
        <v>60</v>
      </c>
      <c r="Z232" t="s">
        <v>239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16.8</v>
      </c>
      <c r="AN232" s="2">
        <v>16.8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46188</v>
      </c>
      <c r="B233" t="s">
        <v>48</v>
      </c>
      <c r="C233">
        <v>649163</v>
      </c>
      <c r="D233">
        <v>2029980506</v>
      </c>
      <c r="E233" t="s">
        <v>244</v>
      </c>
      <c r="F233" t="s">
        <v>350</v>
      </c>
      <c r="G233" t="s">
        <v>51</v>
      </c>
      <c r="H233" t="s">
        <v>83</v>
      </c>
      <c r="I233" t="s">
        <v>182</v>
      </c>
      <c r="J233" t="s">
        <v>497</v>
      </c>
      <c r="K233">
        <v>673059</v>
      </c>
      <c r="L233" t="s">
        <v>85</v>
      </c>
      <c r="M233" t="s">
        <v>86</v>
      </c>
      <c r="N233" t="s">
        <v>57</v>
      </c>
      <c r="O233" s="1">
        <v>45884</v>
      </c>
      <c r="Q233" s="1">
        <v>46218</v>
      </c>
      <c r="R233" s="2">
        <v>21.44</v>
      </c>
      <c r="S233">
        <v>1</v>
      </c>
      <c r="T233" t="s">
        <v>58</v>
      </c>
      <c r="U233" t="s">
        <v>237</v>
      </c>
      <c r="V233" s="3">
        <v>0.7</v>
      </c>
      <c r="W233" s="2">
        <v>0</v>
      </c>
      <c r="X233">
        <v>0</v>
      </c>
      <c r="Y233" t="s">
        <v>60</v>
      </c>
      <c r="Z233" t="s">
        <v>239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15.01</v>
      </c>
      <c r="AN233" s="2">
        <v>15.01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46188</v>
      </c>
      <c r="B234" t="s">
        <v>48</v>
      </c>
      <c r="C234">
        <v>649163</v>
      </c>
      <c r="D234">
        <v>2029985852</v>
      </c>
      <c r="E234" t="s">
        <v>498</v>
      </c>
      <c r="F234" t="s">
        <v>94</v>
      </c>
      <c r="G234" t="s">
        <v>51</v>
      </c>
      <c r="H234" t="s">
        <v>119</v>
      </c>
      <c r="I234" t="s">
        <v>182</v>
      </c>
      <c r="J234" t="s">
        <v>183</v>
      </c>
      <c r="K234">
        <v>823350</v>
      </c>
      <c r="L234" t="s">
        <v>73</v>
      </c>
      <c r="M234" t="s">
        <v>116</v>
      </c>
      <c r="N234" t="s">
        <v>57</v>
      </c>
      <c r="O234" s="1">
        <v>45855</v>
      </c>
      <c r="Q234" s="1">
        <v>46220</v>
      </c>
      <c r="R234" s="2">
        <v>15.75</v>
      </c>
      <c r="S234">
        <v>1</v>
      </c>
      <c r="T234" t="s">
        <v>58</v>
      </c>
      <c r="U234" t="s">
        <v>237</v>
      </c>
      <c r="V234" s="3">
        <v>0.7</v>
      </c>
      <c r="W234" s="2">
        <v>0</v>
      </c>
      <c r="X234">
        <v>0</v>
      </c>
      <c r="Y234" t="s">
        <v>60</v>
      </c>
      <c r="Z234" t="s">
        <v>239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11.02</v>
      </c>
      <c r="AN234" s="2">
        <v>11.02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46188</v>
      </c>
      <c r="B235" t="s">
        <v>48</v>
      </c>
      <c r="C235">
        <v>649163</v>
      </c>
      <c r="D235">
        <v>2029994615</v>
      </c>
      <c r="E235" t="s">
        <v>499</v>
      </c>
      <c r="F235" t="s">
        <v>500</v>
      </c>
      <c r="G235" t="s">
        <v>51</v>
      </c>
      <c r="H235" t="s">
        <v>186</v>
      </c>
      <c r="I235" t="s">
        <v>182</v>
      </c>
      <c r="J235" t="s">
        <v>183</v>
      </c>
      <c r="K235">
        <v>813184</v>
      </c>
      <c r="L235" t="s">
        <v>328</v>
      </c>
      <c r="M235" t="s">
        <v>329</v>
      </c>
      <c r="N235" t="s">
        <v>57</v>
      </c>
      <c r="O235" s="1">
        <v>45855</v>
      </c>
      <c r="Q235" s="1">
        <v>46220</v>
      </c>
      <c r="R235" s="2">
        <v>28.45</v>
      </c>
      <c r="S235">
        <v>1</v>
      </c>
      <c r="T235" t="s">
        <v>58</v>
      </c>
      <c r="U235" t="s">
        <v>237</v>
      </c>
      <c r="V235" s="3">
        <v>0.7</v>
      </c>
      <c r="W235" s="2">
        <v>0</v>
      </c>
      <c r="X235">
        <v>0</v>
      </c>
      <c r="Y235" t="s">
        <v>60</v>
      </c>
      <c r="Z235" t="s">
        <v>239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19.920000000000002</v>
      </c>
      <c r="AN235" s="2">
        <v>19.920000000000002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46188</v>
      </c>
      <c r="B236" t="s">
        <v>48</v>
      </c>
      <c r="D236">
        <v>2029995394</v>
      </c>
      <c r="E236" t="s">
        <v>501</v>
      </c>
      <c r="F236" t="s">
        <v>262</v>
      </c>
      <c r="G236" t="s">
        <v>51</v>
      </c>
      <c r="H236" t="s">
        <v>95</v>
      </c>
      <c r="I236" t="s">
        <v>182</v>
      </c>
      <c r="J236" t="s">
        <v>202</v>
      </c>
      <c r="L236" t="s">
        <v>502</v>
      </c>
      <c r="M236" t="s">
        <v>503</v>
      </c>
      <c r="N236" t="s">
        <v>57</v>
      </c>
      <c r="O236" s="1">
        <v>45855</v>
      </c>
      <c r="Q236" s="1">
        <v>46220</v>
      </c>
      <c r="R236" s="2">
        <v>25.73</v>
      </c>
      <c r="S236">
        <v>1</v>
      </c>
      <c r="T236" t="s">
        <v>58</v>
      </c>
      <c r="U236" t="s">
        <v>237</v>
      </c>
      <c r="V236" s="3">
        <v>0.7</v>
      </c>
      <c r="W236" s="2">
        <v>0</v>
      </c>
      <c r="X236">
        <v>0</v>
      </c>
      <c r="Y236" t="s">
        <v>60</v>
      </c>
      <c r="Z236" t="s">
        <v>239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18.010000000000002</v>
      </c>
      <c r="AN236" s="2">
        <v>18.010000000000002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46188</v>
      </c>
      <c r="B237" t="s">
        <v>48</v>
      </c>
      <c r="C237">
        <v>649163</v>
      </c>
      <c r="D237">
        <v>2030016857</v>
      </c>
      <c r="E237" t="s">
        <v>216</v>
      </c>
      <c r="F237" t="s">
        <v>217</v>
      </c>
      <c r="G237" t="s">
        <v>51</v>
      </c>
      <c r="H237" t="s">
        <v>119</v>
      </c>
      <c r="I237" t="s">
        <v>182</v>
      </c>
      <c r="J237" t="s">
        <v>183</v>
      </c>
      <c r="K237">
        <v>807212</v>
      </c>
      <c r="L237" t="s">
        <v>216</v>
      </c>
      <c r="M237" t="s">
        <v>217</v>
      </c>
      <c r="N237" t="s">
        <v>57</v>
      </c>
      <c r="O237" s="1">
        <v>45856</v>
      </c>
      <c r="Q237" s="1">
        <v>46221</v>
      </c>
      <c r="R237" s="2">
        <v>51</v>
      </c>
      <c r="S237">
        <v>1</v>
      </c>
      <c r="T237" t="s">
        <v>58</v>
      </c>
      <c r="U237" t="s">
        <v>237</v>
      </c>
      <c r="V237" s="3">
        <v>0.7</v>
      </c>
      <c r="W237" s="2">
        <v>0</v>
      </c>
      <c r="X237">
        <v>0</v>
      </c>
      <c r="Y237" t="s">
        <v>60</v>
      </c>
      <c r="Z237" t="s">
        <v>239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35.700000000000003</v>
      </c>
      <c r="AN237" s="2">
        <v>35.700000000000003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46188</v>
      </c>
      <c r="B238" t="s">
        <v>48</v>
      </c>
      <c r="C238">
        <v>649163</v>
      </c>
      <c r="D238">
        <v>2030017049</v>
      </c>
      <c r="E238" t="s">
        <v>504</v>
      </c>
      <c r="F238" t="s">
        <v>505</v>
      </c>
      <c r="G238" t="s">
        <v>51</v>
      </c>
      <c r="H238" t="s">
        <v>119</v>
      </c>
      <c r="I238" t="s">
        <v>182</v>
      </c>
      <c r="J238" t="s">
        <v>183</v>
      </c>
      <c r="K238">
        <v>807212</v>
      </c>
      <c r="L238" t="s">
        <v>216</v>
      </c>
      <c r="M238" t="s">
        <v>217</v>
      </c>
      <c r="N238" t="s">
        <v>57</v>
      </c>
      <c r="O238" s="1">
        <v>45856</v>
      </c>
      <c r="Q238" s="1">
        <v>46221</v>
      </c>
      <c r="R238" s="2">
        <v>34</v>
      </c>
      <c r="S238">
        <v>1</v>
      </c>
      <c r="T238" t="s">
        <v>58</v>
      </c>
      <c r="U238" t="s">
        <v>237</v>
      </c>
      <c r="V238" s="3">
        <v>0.7</v>
      </c>
      <c r="W238" s="2">
        <v>0</v>
      </c>
      <c r="X238">
        <v>0</v>
      </c>
      <c r="Y238" t="s">
        <v>60</v>
      </c>
      <c r="Z238" t="s">
        <v>239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23.8</v>
      </c>
      <c r="AN238" s="2">
        <v>23.8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46188</v>
      </c>
      <c r="B239" t="s">
        <v>48</v>
      </c>
      <c r="C239">
        <v>649163</v>
      </c>
      <c r="D239">
        <v>2030244511</v>
      </c>
      <c r="E239" t="s">
        <v>506</v>
      </c>
      <c r="F239" t="s">
        <v>417</v>
      </c>
      <c r="G239" t="s">
        <v>51</v>
      </c>
      <c r="H239" t="s">
        <v>119</v>
      </c>
      <c r="I239" t="s">
        <v>182</v>
      </c>
      <c r="J239" t="s">
        <v>197</v>
      </c>
      <c r="K239">
        <v>789909</v>
      </c>
      <c r="L239" t="s">
        <v>507</v>
      </c>
      <c r="M239" t="s">
        <v>508</v>
      </c>
      <c r="N239" t="s">
        <v>57</v>
      </c>
      <c r="O239" s="1">
        <v>45884</v>
      </c>
      <c r="Q239" s="1">
        <v>46218</v>
      </c>
      <c r="R239" s="2">
        <v>42.5</v>
      </c>
      <c r="S239">
        <v>1</v>
      </c>
      <c r="T239" t="s">
        <v>58</v>
      </c>
      <c r="U239" t="s">
        <v>237</v>
      </c>
      <c r="V239" s="3">
        <v>0.42</v>
      </c>
      <c r="W239" s="2">
        <v>0</v>
      </c>
      <c r="X239">
        <v>0</v>
      </c>
      <c r="Y239" t="s">
        <v>60</v>
      </c>
      <c r="Z239" t="s">
        <v>239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17.850000000000001</v>
      </c>
      <c r="AN239" s="2">
        <v>17.850000000000001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46188</v>
      </c>
      <c r="B240" t="s">
        <v>48</v>
      </c>
      <c r="C240">
        <v>649163</v>
      </c>
      <c r="D240">
        <v>2030450004</v>
      </c>
      <c r="E240" t="s">
        <v>351</v>
      </c>
      <c r="F240" t="s">
        <v>352</v>
      </c>
      <c r="G240" t="s">
        <v>51</v>
      </c>
      <c r="H240" t="s">
        <v>193</v>
      </c>
      <c r="I240" t="s">
        <v>182</v>
      </c>
      <c r="J240" t="s">
        <v>197</v>
      </c>
      <c r="K240">
        <v>823068</v>
      </c>
      <c r="L240" t="s">
        <v>195</v>
      </c>
      <c r="M240" t="s">
        <v>196</v>
      </c>
      <c r="N240" t="s">
        <v>57</v>
      </c>
      <c r="O240" s="1">
        <v>45888</v>
      </c>
      <c r="Q240" s="1">
        <v>46222</v>
      </c>
      <c r="R240" s="2">
        <v>32.81</v>
      </c>
      <c r="S240">
        <v>1</v>
      </c>
      <c r="T240" t="s">
        <v>58</v>
      </c>
      <c r="U240" t="s">
        <v>237</v>
      </c>
      <c r="V240" s="3">
        <v>0.42</v>
      </c>
      <c r="W240" s="2">
        <v>0</v>
      </c>
      <c r="X240">
        <v>0</v>
      </c>
      <c r="Y240" t="s">
        <v>60</v>
      </c>
      <c r="Z240" t="s">
        <v>239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13.78</v>
      </c>
      <c r="AN240" s="2">
        <v>13.78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46188</v>
      </c>
      <c r="B241" t="s">
        <v>48</v>
      </c>
      <c r="D241">
        <v>2030450005</v>
      </c>
      <c r="E241" t="s">
        <v>351</v>
      </c>
      <c r="F241" t="s">
        <v>352</v>
      </c>
      <c r="G241" t="s">
        <v>51</v>
      </c>
      <c r="H241" t="s">
        <v>193</v>
      </c>
      <c r="I241" t="s">
        <v>182</v>
      </c>
      <c r="J241" t="s">
        <v>202</v>
      </c>
      <c r="L241" t="s">
        <v>195</v>
      </c>
      <c r="M241" t="s">
        <v>196</v>
      </c>
      <c r="N241" t="s">
        <v>57</v>
      </c>
      <c r="O241" s="1">
        <v>45888</v>
      </c>
      <c r="Q241" s="1">
        <v>46222</v>
      </c>
      <c r="R241" s="2">
        <v>24.61</v>
      </c>
      <c r="S241">
        <v>1</v>
      </c>
      <c r="T241" t="s">
        <v>58</v>
      </c>
      <c r="U241" t="s">
        <v>237</v>
      </c>
      <c r="V241" s="3">
        <v>0.7</v>
      </c>
      <c r="W241" s="2">
        <v>0</v>
      </c>
      <c r="X241">
        <v>0</v>
      </c>
      <c r="Y241" t="s">
        <v>60</v>
      </c>
      <c r="Z241" t="s">
        <v>239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17.23</v>
      </c>
      <c r="AN241" s="2">
        <v>17.23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46188</v>
      </c>
      <c r="B242" t="s">
        <v>48</v>
      </c>
      <c r="C242">
        <v>649163</v>
      </c>
      <c r="D242">
        <v>2030452962</v>
      </c>
      <c r="E242" t="s">
        <v>509</v>
      </c>
      <c r="F242" t="s">
        <v>56</v>
      </c>
      <c r="G242" t="s">
        <v>51</v>
      </c>
      <c r="H242" t="s">
        <v>305</v>
      </c>
      <c r="I242" t="s">
        <v>182</v>
      </c>
      <c r="J242" t="s">
        <v>183</v>
      </c>
      <c r="K242">
        <v>824082</v>
      </c>
      <c r="L242" t="s">
        <v>510</v>
      </c>
      <c r="M242" t="s">
        <v>511</v>
      </c>
      <c r="N242" t="s">
        <v>57</v>
      </c>
      <c r="O242" s="1">
        <v>45882</v>
      </c>
      <c r="Q242" s="1">
        <v>46216</v>
      </c>
      <c r="R242" s="2">
        <v>29.2</v>
      </c>
      <c r="S242">
        <v>1</v>
      </c>
      <c r="T242" t="s">
        <v>58</v>
      </c>
      <c r="U242" t="s">
        <v>237</v>
      </c>
      <c r="V242" s="3">
        <v>0.7</v>
      </c>
      <c r="W242" s="2">
        <v>0</v>
      </c>
      <c r="X242">
        <v>0</v>
      </c>
      <c r="Y242" t="s">
        <v>60</v>
      </c>
      <c r="Z242" t="s">
        <v>239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20.440000000000001</v>
      </c>
      <c r="AN242" s="2">
        <v>20.440000000000001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46188</v>
      </c>
      <c r="B243" t="s">
        <v>48</v>
      </c>
      <c r="C243">
        <v>649163</v>
      </c>
      <c r="D243">
        <v>2030455581</v>
      </c>
      <c r="E243" t="s">
        <v>353</v>
      </c>
      <c r="F243" t="s">
        <v>354</v>
      </c>
      <c r="G243" t="s">
        <v>51</v>
      </c>
      <c r="H243" t="s">
        <v>305</v>
      </c>
      <c r="I243" t="s">
        <v>182</v>
      </c>
      <c r="J243" t="s">
        <v>183</v>
      </c>
      <c r="K243">
        <v>816021</v>
      </c>
      <c r="L243" t="s">
        <v>312</v>
      </c>
      <c r="M243" t="s">
        <v>313</v>
      </c>
      <c r="N243" t="s">
        <v>57</v>
      </c>
      <c r="O243" s="1">
        <v>45882</v>
      </c>
      <c r="Q243" s="1">
        <v>46216</v>
      </c>
      <c r="R243" s="2">
        <v>27.38</v>
      </c>
      <c r="S243">
        <v>1</v>
      </c>
      <c r="T243" t="s">
        <v>58</v>
      </c>
      <c r="U243" t="s">
        <v>237</v>
      </c>
      <c r="V243" s="3">
        <v>0.7</v>
      </c>
      <c r="W243" s="2">
        <v>0</v>
      </c>
      <c r="X243">
        <v>0</v>
      </c>
      <c r="Y243" t="s">
        <v>60</v>
      </c>
      <c r="Z243" t="s">
        <v>239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19.170000000000002</v>
      </c>
      <c r="AN243" s="2">
        <v>19.170000000000002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46188</v>
      </c>
      <c r="B244" t="s">
        <v>48</v>
      </c>
      <c r="C244">
        <v>649163</v>
      </c>
      <c r="D244">
        <v>2030455583</v>
      </c>
      <c r="E244" t="s">
        <v>353</v>
      </c>
      <c r="F244" t="s">
        <v>354</v>
      </c>
      <c r="G244" t="s">
        <v>51</v>
      </c>
      <c r="H244" t="s">
        <v>305</v>
      </c>
      <c r="I244" t="s">
        <v>182</v>
      </c>
      <c r="J244" t="s">
        <v>194</v>
      </c>
      <c r="K244">
        <v>816021</v>
      </c>
      <c r="L244" t="s">
        <v>312</v>
      </c>
      <c r="M244" t="s">
        <v>313</v>
      </c>
      <c r="N244" t="s">
        <v>57</v>
      </c>
      <c r="O244" s="1">
        <v>45882</v>
      </c>
      <c r="Q244" s="1">
        <v>46216</v>
      </c>
      <c r="R244" s="2">
        <v>52.92</v>
      </c>
      <c r="S244">
        <v>1</v>
      </c>
      <c r="T244" t="s">
        <v>58</v>
      </c>
      <c r="U244" t="s">
        <v>237</v>
      </c>
      <c r="V244" s="3">
        <v>0.9</v>
      </c>
      <c r="W244" s="2">
        <v>0</v>
      </c>
      <c r="X244">
        <v>0</v>
      </c>
      <c r="Y244" t="s">
        <v>60</v>
      </c>
      <c r="Z244" t="s">
        <v>239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47.63</v>
      </c>
      <c r="AN244" s="2">
        <v>47.63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46188</v>
      </c>
      <c r="B245" t="s">
        <v>48</v>
      </c>
      <c r="D245">
        <v>2030463472</v>
      </c>
      <c r="E245" t="s">
        <v>355</v>
      </c>
      <c r="F245" t="s">
        <v>356</v>
      </c>
      <c r="G245" t="s">
        <v>51</v>
      </c>
      <c r="H245" t="s">
        <v>193</v>
      </c>
      <c r="I245" t="s">
        <v>182</v>
      </c>
      <c r="J245" t="s">
        <v>202</v>
      </c>
      <c r="L245" t="s">
        <v>195</v>
      </c>
      <c r="M245" t="s">
        <v>196</v>
      </c>
      <c r="N245" t="s">
        <v>57</v>
      </c>
      <c r="O245" s="1">
        <v>45885</v>
      </c>
      <c r="Q245" s="1">
        <v>46219</v>
      </c>
      <c r="R245" s="2">
        <v>55.58</v>
      </c>
      <c r="S245">
        <v>1</v>
      </c>
      <c r="T245" t="s">
        <v>58</v>
      </c>
      <c r="U245" t="s">
        <v>237</v>
      </c>
      <c r="V245" s="3">
        <v>0.7</v>
      </c>
      <c r="W245" s="2">
        <v>0</v>
      </c>
      <c r="X245">
        <v>0</v>
      </c>
      <c r="Y245" t="s">
        <v>60</v>
      </c>
      <c r="Z245" t="s">
        <v>239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38.909999999999997</v>
      </c>
      <c r="AN245" s="2">
        <v>38.909999999999997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46188</v>
      </c>
      <c r="B246" t="s">
        <v>48</v>
      </c>
      <c r="C246">
        <v>649163</v>
      </c>
      <c r="D246">
        <v>2030474678</v>
      </c>
      <c r="E246" t="s">
        <v>512</v>
      </c>
      <c r="F246" t="s">
        <v>513</v>
      </c>
      <c r="G246" t="s">
        <v>51</v>
      </c>
      <c r="H246" t="s">
        <v>95</v>
      </c>
      <c r="I246" t="s">
        <v>182</v>
      </c>
      <c r="J246" t="s">
        <v>183</v>
      </c>
      <c r="K246">
        <v>878036</v>
      </c>
      <c r="L246" t="s">
        <v>514</v>
      </c>
      <c r="M246" t="s">
        <v>515</v>
      </c>
      <c r="N246" t="s">
        <v>57</v>
      </c>
      <c r="O246" s="1">
        <v>45884</v>
      </c>
      <c r="Q246" s="1">
        <v>46218</v>
      </c>
      <c r="R246" s="2">
        <v>55.61</v>
      </c>
      <c r="S246">
        <v>1</v>
      </c>
      <c r="T246" t="s">
        <v>58</v>
      </c>
      <c r="U246" t="s">
        <v>237</v>
      </c>
      <c r="V246" s="3">
        <v>0.7</v>
      </c>
      <c r="W246" s="2">
        <v>0</v>
      </c>
      <c r="X246">
        <v>0</v>
      </c>
      <c r="Y246" t="s">
        <v>60</v>
      </c>
      <c r="Z246" t="s">
        <v>239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38.93</v>
      </c>
      <c r="AN246" s="2">
        <v>38.93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46188</v>
      </c>
      <c r="B247" t="s">
        <v>48</v>
      </c>
      <c r="C247">
        <v>649163</v>
      </c>
      <c r="D247">
        <v>2030474774</v>
      </c>
      <c r="E247" t="s">
        <v>516</v>
      </c>
      <c r="F247" t="s">
        <v>517</v>
      </c>
      <c r="G247" t="s">
        <v>51</v>
      </c>
      <c r="H247" t="s">
        <v>83</v>
      </c>
      <c r="I247" t="s">
        <v>182</v>
      </c>
      <c r="J247" t="s">
        <v>183</v>
      </c>
      <c r="K247">
        <v>673059</v>
      </c>
      <c r="L247" t="s">
        <v>85</v>
      </c>
      <c r="M247" t="s">
        <v>86</v>
      </c>
      <c r="N247" t="s">
        <v>57</v>
      </c>
      <c r="O247" s="1">
        <v>45883</v>
      </c>
      <c r="Q247" s="1">
        <v>46217</v>
      </c>
      <c r="R247" s="2">
        <v>122.88</v>
      </c>
      <c r="S247">
        <v>1</v>
      </c>
      <c r="T247" t="s">
        <v>58</v>
      </c>
      <c r="U247" t="s">
        <v>237</v>
      </c>
      <c r="V247" s="3">
        <v>0.7</v>
      </c>
      <c r="W247" s="2">
        <v>0</v>
      </c>
      <c r="X247">
        <v>0</v>
      </c>
      <c r="Y247" t="s">
        <v>60</v>
      </c>
      <c r="Z247" t="s">
        <v>239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86.02</v>
      </c>
      <c r="AN247" s="2">
        <v>86.02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46188</v>
      </c>
      <c r="B248" t="s">
        <v>48</v>
      </c>
      <c r="D248">
        <v>2030488870</v>
      </c>
      <c r="E248" t="s">
        <v>359</v>
      </c>
      <c r="F248" t="s">
        <v>360</v>
      </c>
      <c r="G248" t="s">
        <v>51</v>
      </c>
      <c r="H248" t="s">
        <v>193</v>
      </c>
      <c r="I248" t="s">
        <v>182</v>
      </c>
      <c r="J248" t="s">
        <v>202</v>
      </c>
      <c r="L248" t="s">
        <v>195</v>
      </c>
      <c r="M248" t="s">
        <v>196</v>
      </c>
      <c r="N248" t="s">
        <v>57</v>
      </c>
      <c r="O248" s="1">
        <v>45884</v>
      </c>
      <c r="Q248" s="1">
        <v>46218</v>
      </c>
      <c r="R248" s="2">
        <v>24.61</v>
      </c>
      <c r="S248">
        <v>1</v>
      </c>
      <c r="T248" t="s">
        <v>58</v>
      </c>
      <c r="U248" t="s">
        <v>237</v>
      </c>
      <c r="V248" s="3">
        <v>0.7</v>
      </c>
      <c r="W248" s="2">
        <v>0</v>
      </c>
      <c r="X248">
        <v>0</v>
      </c>
      <c r="Y248" t="s">
        <v>60</v>
      </c>
      <c r="Z248" t="s">
        <v>239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17.23</v>
      </c>
      <c r="AN248" s="2">
        <v>17.23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46188</v>
      </c>
      <c r="B249" t="s">
        <v>48</v>
      </c>
      <c r="C249">
        <v>649163</v>
      </c>
      <c r="D249">
        <v>2030488871</v>
      </c>
      <c r="E249" t="s">
        <v>359</v>
      </c>
      <c r="F249" t="s">
        <v>360</v>
      </c>
      <c r="G249" t="s">
        <v>51</v>
      </c>
      <c r="H249" t="s">
        <v>193</v>
      </c>
      <c r="I249" t="s">
        <v>182</v>
      </c>
      <c r="J249" t="s">
        <v>197</v>
      </c>
      <c r="K249">
        <v>823068</v>
      </c>
      <c r="L249" t="s">
        <v>195</v>
      </c>
      <c r="M249" t="s">
        <v>196</v>
      </c>
      <c r="N249" t="s">
        <v>57</v>
      </c>
      <c r="O249" s="1">
        <v>45884</v>
      </c>
      <c r="Q249" s="1">
        <v>46218</v>
      </c>
      <c r="R249" s="2">
        <v>27.8</v>
      </c>
      <c r="S249">
        <v>1</v>
      </c>
      <c r="T249" t="s">
        <v>58</v>
      </c>
      <c r="U249" t="s">
        <v>237</v>
      </c>
      <c r="V249" s="3">
        <v>0.42</v>
      </c>
      <c r="W249" s="2">
        <v>0</v>
      </c>
      <c r="X249">
        <v>0</v>
      </c>
      <c r="Y249" t="s">
        <v>60</v>
      </c>
      <c r="Z249" t="s">
        <v>239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11.68</v>
      </c>
      <c r="AN249" s="2">
        <v>11.68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46188</v>
      </c>
      <c r="B250" t="s">
        <v>48</v>
      </c>
      <c r="D250">
        <v>2030501935</v>
      </c>
      <c r="E250" t="s">
        <v>361</v>
      </c>
      <c r="F250" t="s">
        <v>362</v>
      </c>
      <c r="G250" t="s">
        <v>51</v>
      </c>
      <c r="H250" t="s">
        <v>193</v>
      </c>
      <c r="I250" t="s">
        <v>182</v>
      </c>
      <c r="J250" t="s">
        <v>202</v>
      </c>
      <c r="L250" t="s">
        <v>64</v>
      </c>
      <c r="M250" t="s">
        <v>236</v>
      </c>
      <c r="N250" t="s">
        <v>57</v>
      </c>
      <c r="O250" s="1">
        <v>45884</v>
      </c>
      <c r="Q250" s="1">
        <v>46218</v>
      </c>
      <c r="R250" s="2">
        <v>24.61</v>
      </c>
      <c r="S250">
        <v>1</v>
      </c>
      <c r="T250" t="s">
        <v>58</v>
      </c>
      <c r="U250" t="s">
        <v>237</v>
      </c>
      <c r="V250" s="3">
        <v>0.7</v>
      </c>
      <c r="W250" s="2">
        <v>0</v>
      </c>
      <c r="X250">
        <v>0</v>
      </c>
      <c r="Y250" t="s">
        <v>60</v>
      </c>
      <c r="Z250" t="s">
        <v>239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17.23</v>
      </c>
      <c r="AN250" s="2">
        <v>17.23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46188</v>
      </c>
      <c r="B251" t="s">
        <v>48</v>
      </c>
      <c r="C251">
        <v>649163</v>
      </c>
      <c r="D251">
        <v>2030560164</v>
      </c>
      <c r="E251" t="s">
        <v>518</v>
      </c>
      <c r="F251" t="s">
        <v>519</v>
      </c>
      <c r="G251" t="s">
        <v>51</v>
      </c>
      <c r="H251" t="s">
        <v>193</v>
      </c>
      <c r="I251" t="s">
        <v>182</v>
      </c>
      <c r="J251" t="s">
        <v>197</v>
      </c>
      <c r="K251">
        <v>652037</v>
      </c>
      <c r="L251" t="s">
        <v>64</v>
      </c>
      <c r="M251" t="s">
        <v>236</v>
      </c>
      <c r="N251" t="s">
        <v>57</v>
      </c>
      <c r="O251" s="1">
        <v>45888</v>
      </c>
      <c r="Q251" s="1">
        <v>46222</v>
      </c>
      <c r="R251" s="2">
        <v>43.86</v>
      </c>
      <c r="S251">
        <v>1</v>
      </c>
      <c r="T251" t="s">
        <v>58</v>
      </c>
      <c r="U251" t="s">
        <v>237</v>
      </c>
      <c r="V251" s="3">
        <v>0.42</v>
      </c>
      <c r="W251" s="2">
        <v>0</v>
      </c>
      <c r="X251">
        <v>0</v>
      </c>
      <c r="Y251" t="s">
        <v>60</v>
      </c>
      <c r="Z251" t="s">
        <v>239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18.420000000000002</v>
      </c>
      <c r="AN251" s="2">
        <v>18.420000000000002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46188</v>
      </c>
      <c r="B252" t="s">
        <v>48</v>
      </c>
      <c r="C252">
        <v>649163</v>
      </c>
      <c r="D252">
        <v>2030560165</v>
      </c>
      <c r="E252" t="s">
        <v>518</v>
      </c>
      <c r="F252" t="s">
        <v>519</v>
      </c>
      <c r="G252" t="s">
        <v>51</v>
      </c>
      <c r="H252" t="s">
        <v>193</v>
      </c>
      <c r="I252" t="s">
        <v>182</v>
      </c>
      <c r="J252" t="s">
        <v>194</v>
      </c>
      <c r="K252">
        <v>652037</v>
      </c>
      <c r="L252" t="s">
        <v>64</v>
      </c>
      <c r="M252" t="s">
        <v>236</v>
      </c>
      <c r="N252" t="s">
        <v>57</v>
      </c>
      <c r="O252" s="1">
        <v>45888</v>
      </c>
      <c r="Q252" s="1">
        <v>46222</v>
      </c>
      <c r="R252" s="2">
        <v>128.69</v>
      </c>
      <c r="S252">
        <v>1</v>
      </c>
      <c r="T252" t="s">
        <v>58</v>
      </c>
      <c r="U252" t="s">
        <v>237</v>
      </c>
      <c r="V252" s="3">
        <v>0.9</v>
      </c>
      <c r="W252" s="2">
        <v>0</v>
      </c>
      <c r="X252">
        <v>0</v>
      </c>
      <c r="Y252" t="s">
        <v>60</v>
      </c>
      <c r="Z252" t="s">
        <v>239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115.82</v>
      </c>
      <c r="AN252" s="2">
        <v>115.82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46188</v>
      </c>
      <c r="B253" t="s">
        <v>48</v>
      </c>
      <c r="C253">
        <v>649163</v>
      </c>
      <c r="D253">
        <v>2030945328</v>
      </c>
      <c r="E253" t="s">
        <v>520</v>
      </c>
      <c r="F253" t="s">
        <v>227</v>
      </c>
      <c r="G253" t="s">
        <v>51</v>
      </c>
      <c r="H253" t="s">
        <v>119</v>
      </c>
      <c r="I253" t="s">
        <v>182</v>
      </c>
      <c r="J253" t="s">
        <v>183</v>
      </c>
      <c r="K253">
        <v>756803</v>
      </c>
      <c r="L253" t="s">
        <v>521</v>
      </c>
      <c r="M253" t="s">
        <v>370</v>
      </c>
      <c r="N253" t="s">
        <v>57</v>
      </c>
      <c r="O253" s="1">
        <v>45915</v>
      </c>
      <c r="Q253" s="1">
        <v>46218</v>
      </c>
      <c r="R253" s="2">
        <v>27.5</v>
      </c>
      <c r="S253">
        <v>1</v>
      </c>
      <c r="T253" t="s">
        <v>58</v>
      </c>
      <c r="U253" t="s">
        <v>59</v>
      </c>
      <c r="V253" s="3">
        <v>0.7</v>
      </c>
      <c r="W253" s="2">
        <v>0</v>
      </c>
      <c r="X253">
        <v>0</v>
      </c>
      <c r="Y253" t="s">
        <v>60</v>
      </c>
      <c r="Z253" t="s">
        <v>239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19.25</v>
      </c>
      <c r="AN253" s="2">
        <v>19.25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46188</v>
      </c>
      <c r="B254" t="s">
        <v>48</v>
      </c>
      <c r="C254">
        <v>649163</v>
      </c>
      <c r="D254">
        <v>2030982991</v>
      </c>
      <c r="E254" t="s">
        <v>363</v>
      </c>
      <c r="F254" t="s">
        <v>364</v>
      </c>
      <c r="G254" t="s">
        <v>51</v>
      </c>
      <c r="H254" t="s">
        <v>95</v>
      </c>
      <c r="I254" t="s">
        <v>182</v>
      </c>
      <c r="J254" t="s">
        <v>183</v>
      </c>
      <c r="K254">
        <v>823350</v>
      </c>
      <c r="L254" t="s">
        <v>73</v>
      </c>
      <c r="M254" t="s">
        <v>116</v>
      </c>
      <c r="N254" t="s">
        <v>57</v>
      </c>
      <c r="O254" s="1">
        <v>45915</v>
      </c>
      <c r="Q254" s="1">
        <v>46218</v>
      </c>
      <c r="R254" s="2">
        <v>94.01</v>
      </c>
      <c r="S254">
        <v>1</v>
      </c>
      <c r="T254" t="s">
        <v>58</v>
      </c>
      <c r="U254" t="s">
        <v>59</v>
      </c>
      <c r="V254" s="3">
        <v>0.7</v>
      </c>
      <c r="W254" s="2">
        <v>0</v>
      </c>
      <c r="X254">
        <v>0</v>
      </c>
      <c r="Y254" t="s">
        <v>60</v>
      </c>
      <c r="Z254" t="s">
        <v>239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65.81</v>
      </c>
      <c r="AN254" s="2">
        <v>65.81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46188</v>
      </c>
      <c r="B255" t="s">
        <v>48</v>
      </c>
      <c r="C255">
        <v>649163</v>
      </c>
      <c r="D255">
        <v>2031017068</v>
      </c>
      <c r="E255" t="s">
        <v>365</v>
      </c>
      <c r="F255" t="s">
        <v>227</v>
      </c>
      <c r="G255" t="s">
        <v>51</v>
      </c>
      <c r="H255" t="s">
        <v>209</v>
      </c>
      <c r="I255" t="s">
        <v>182</v>
      </c>
      <c r="J255" t="s">
        <v>183</v>
      </c>
      <c r="K255">
        <v>877790</v>
      </c>
      <c r="L255" t="s">
        <v>229</v>
      </c>
      <c r="M255" t="s">
        <v>230</v>
      </c>
      <c r="N255" t="s">
        <v>57</v>
      </c>
      <c r="O255" s="1">
        <v>45913</v>
      </c>
      <c r="Q255" s="1">
        <v>46216</v>
      </c>
      <c r="R255" s="2">
        <v>14.92</v>
      </c>
      <c r="S255">
        <v>1</v>
      </c>
      <c r="T255" t="s">
        <v>58</v>
      </c>
      <c r="U255" t="s">
        <v>59</v>
      </c>
      <c r="V255" s="3">
        <v>0.7</v>
      </c>
      <c r="W255" s="2">
        <v>0</v>
      </c>
      <c r="X255">
        <v>0</v>
      </c>
      <c r="Y255" t="s">
        <v>60</v>
      </c>
      <c r="Z255" t="s">
        <v>239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10.44</v>
      </c>
      <c r="AN255" s="2">
        <v>10.44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46188</v>
      </c>
      <c r="B256" t="s">
        <v>48</v>
      </c>
      <c r="C256">
        <v>649163</v>
      </c>
      <c r="D256">
        <v>2031057792</v>
      </c>
      <c r="E256" t="s">
        <v>522</v>
      </c>
      <c r="F256" t="s">
        <v>56</v>
      </c>
      <c r="G256" t="s">
        <v>51</v>
      </c>
      <c r="H256" t="s">
        <v>523</v>
      </c>
      <c r="I256" t="s">
        <v>182</v>
      </c>
      <c r="J256" t="s">
        <v>183</v>
      </c>
      <c r="K256">
        <v>856163</v>
      </c>
      <c r="L256" t="s">
        <v>73</v>
      </c>
      <c r="M256" t="s">
        <v>74</v>
      </c>
      <c r="N256" t="s">
        <v>57</v>
      </c>
      <c r="O256" s="1">
        <v>45915</v>
      </c>
      <c r="Q256" s="1">
        <v>46218</v>
      </c>
      <c r="R256" s="2">
        <v>30.68</v>
      </c>
      <c r="S256">
        <v>1</v>
      </c>
      <c r="T256" t="s">
        <v>58</v>
      </c>
      <c r="U256" t="s">
        <v>59</v>
      </c>
      <c r="V256" s="3">
        <v>0.7</v>
      </c>
      <c r="W256" s="2">
        <v>0</v>
      </c>
      <c r="X256">
        <v>0</v>
      </c>
      <c r="Y256" t="s">
        <v>60</v>
      </c>
      <c r="Z256" t="s">
        <v>239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21.48</v>
      </c>
      <c r="AN256" s="2">
        <v>21.48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46188</v>
      </c>
      <c r="B257" t="s">
        <v>48</v>
      </c>
      <c r="C257">
        <v>649163</v>
      </c>
      <c r="D257">
        <v>2031073871</v>
      </c>
      <c r="E257" t="s">
        <v>524</v>
      </c>
      <c r="F257" t="s">
        <v>525</v>
      </c>
      <c r="G257" t="s">
        <v>51</v>
      </c>
      <c r="H257" t="s">
        <v>119</v>
      </c>
      <c r="I257" t="s">
        <v>182</v>
      </c>
      <c r="J257" t="s">
        <v>183</v>
      </c>
      <c r="K257">
        <v>807212</v>
      </c>
      <c r="L257" t="s">
        <v>216</v>
      </c>
      <c r="M257" t="s">
        <v>217</v>
      </c>
      <c r="N257" t="s">
        <v>57</v>
      </c>
      <c r="O257" s="1">
        <v>45916</v>
      </c>
      <c r="Q257" s="1">
        <v>46219</v>
      </c>
      <c r="R257" s="2">
        <v>96</v>
      </c>
      <c r="S257">
        <v>1</v>
      </c>
      <c r="T257" t="s">
        <v>58</v>
      </c>
      <c r="U257" t="s">
        <v>59</v>
      </c>
      <c r="V257" s="3">
        <v>0.7</v>
      </c>
      <c r="W257" s="2">
        <v>0</v>
      </c>
      <c r="X257">
        <v>0</v>
      </c>
      <c r="Y257" t="s">
        <v>60</v>
      </c>
      <c r="Z257" t="s">
        <v>239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67.2</v>
      </c>
      <c r="AN257" s="2">
        <v>67.2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46188</v>
      </c>
      <c r="B258" t="s">
        <v>48</v>
      </c>
      <c r="C258">
        <v>649163</v>
      </c>
      <c r="D258">
        <v>2031110050</v>
      </c>
      <c r="E258" t="s">
        <v>526</v>
      </c>
      <c r="F258" t="s">
        <v>527</v>
      </c>
      <c r="G258" t="s">
        <v>51</v>
      </c>
      <c r="H258" t="s">
        <v>119</v>
      </c>
      <c r="I258" t="s">
        <v>182</v>
      </c>
      <c r="J258" t="s">
        <v>183</v>
      </c>
      <c r="K258">
        <v>807212</v>
      </c>
      <c r="L258" t="s">
        <v>216</v>
      </c>
      <c r="M258" t="s">
        <v>217</v>
      </c>
      <c r="N258" t="s">
        <v>57</v>
      </c>
      <c r="O258" s="1">
        <v>45918</v>
      </c>
      <c r="Q258" s="1">
        <v>46221</v>
      </c>
      <c r="R258" s="2">
        <v>18.45</v>
      </c>
      <c r="S258">
        <v>1</v>
      </c>
      <c r="T258" t="s">
        <v>58</v>
      </c>
      <c r="U258" t="s">
        <v>59</v>
      </c>
      <c r="V258" s="3">
        <v>0.7</v>
      </c>
      <c r="W258" s="2">
        <v>0</v>
      </c>
      <c r="X258">
        <v>0</v>
      </c>
      <c r="Y258" t="s">
        <v>60</v>
      </c>
      <c r="Z258" t="s">
        <v>239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12.92</v>
      </c>
      <c r="AN258" s="2">
        <v>12.92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46188</v>
      </c>
      <c r="B259" t="s">
        <v>48</v>
      </c>
      <c r="C259">
        <v>649163</v>
      </c>
      <c r="D259">
        <v>2031142846</v>
      </c>
      <c r="E259" t="s">
        <v>528</v>
      </c>
      <c r="F259" t="s">
        <v>529</v>
      </c>
      <c r="G259" t="s">
        <v>51</v>
      </c>
      <c r="H259" t="s">
        <v>165</v>
      </c>
      <c r="I259" t="s">
        <v>182</v>
      </c>
      <c r="J259" t="s">
        <v>194</v>
      </c>
      <c r="K259">
        <v>767312</v>
      </c>
      <c r="L259" t="s">
        <v>171</v>
      </c>
      <c r="M259" t="s">
        <v>172</v>
      </c>
      <c r="N259" t="s">
        <v>57</v>
      </c>
      <c r="O259" s="1">
        <v>45919</v>
      </c>
      <c r="Q259" s="1">
        <v>46222</v>
      </c>
      <c r="R259" s="2">
        <v>8.9600000000000009</v>
      </c>
      <c r="S259">
        <v>1</v>
      </c>
      <c r="T259" t="s">
        <v>58</v>
      </c>
      <c r="U259" t="s">
        <v>59</v>
      </c>
      <c r="V259" s="3">
        <v>0.9</v>
      </c>
      <c r="W259" s="2">
        <v>0</v>
      </c>
      <c r="X259">
        <v>0</v>
      </c>
      <c r="Y259" t="s">
        <v>60</v>
      </c>
      <c r="Z259" t="s">
        <v>239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8.06</v>
      </c>
      <c r="AN259" s="2">
        <v>8.06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46188</v>
      </c>
      <c r="B260" t="s">
        <v>48</v>
      </c>
      <c r="C260">
        <v>649163</v>
      </c>
      <c r="D260">
        <v>2031593002</v>
      </c>
      <c r="E260" t="s">
        <v>366</v>
      </c>
      <c r="F260" t="s">
        <v>80</v>
      </c>
      <c r="G260" t="s">
        <v>51</v>
      </c>
      <c r="H260" t="s">
        <v>193</v>
      </c>
      <c r="I260" t="s">
        <v>182</v>
      </c>
      <c r="J260" t="s">
        <v>202</v>
      </c>
      <c r="K260">
        <v>823068</v>
      </c>
      <c r="L260" t="s">
        <v>195</v>
      </c>
      <c r="M260" t="s">
        <v>196</v>
      </c>
      <c r="N260" t="s">
        <v>57</v>
      </c>
      <c r="O260" s="1">
        <v>45944</v>
      </c>
      <c r="Q260" s="1">
        <v>46217</v>
      </c>
      <c r="R260" s="2">
        <v>24.61</v>
      </c>
      <c r="S260">
        <v>1</v>
      </c>
      <c r="T260" t="s">
        <v>58</v>
      </c>
      <c r="U260" t="s">
        <v>59</v>
      </c>
      <c r="V260" s="3">
        <v>0.7</v>
      </c>
      <c r="W260" s="2">
        <v>0</v>
      </c>
      <c r="X260">
        <v>0</v>
      </c>
      <c r="Y260" t="s">
        <v>60</v>
      </c>
      <c r="Z260" t="s">
        <v>239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17.23</v>
      </c>
      <c r="AN260" s="2">
        <v>17.23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46188</v>
      </c>
      <c r="B261" t="s">
        <v>48</v>
      </c>
      <c r="C261">
        <v>649163</v>
      </c>
      <c r="D261">
        <v>2031595994</v>
      </c>
      <c r="E261" t="s">
        <v>530</v>
      </c>
      <c r="F261" t="s">
        <v>489</v>
      </c>
      <c r="G261" t="s">
        <v>51</v>
      </c>
      <c r="H261" t="s">
        <v>119</v>
      </c>
      <c r="I261" t="s">
        <v>182</v>
      </c>
      <c r="J261" t="s">
        <v>194</v>
      </c>
      <c r="K261">
        <v>875334</v>
      </c>
      <c r="L261" t="s">
        <v>531</v>
      </c>
      <c r="M261" t="s">
        <v>532</v>
      </c>
      <c r="N261" t="s">
        <v>57</v>
      </c>
      <c r="O261" s="1">
        <v>45944</v>
      </c>
      <c r="Q261" s="1">
        <v>46217</v>
      </c>
      <c r="R261" s="2">
        <v>23.05</v>
      </c>
      <c r="S261">
        <v>1</v>
      </c>
      <c r="T261" t="s">
        <v>58</v>
      </c>
      <c r="U261" t="s">
        <v>59</v>
      </c>
      <c r="V261" s="3">
        <v>0.9</v>
      </c>
      <c r="W261" s="2">
        <v>0</v>
      </c>
      <c r="X261">
        <v>0</v>
      </c>
      <c r="Y261" t="s">
        <v>60</v>
      </c>
      <c r="Z261" t="s">
        <v>239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20.74</v>
      </c>
      <c r="AN261" s="2">
        <v>20.74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46188</v>
      </c>
      <c r="B262" t="s">
        <v>48</v>
      </c>
      <c r="C262">
        <v>649163</v>
      </c>
      <c r="D262">
        <v>2031606882</v>
      </c>
      <c r="E262" t="s">
        <v>533</v>
      </c>
      <c r="F262" t="s">
        <v>534</v>
      </c>
      <c r="G262" t="s">
        <v>51</v>
      </c>
      <c r="H262" t="s">
        <v>305</v>
      </c>
      <c r="I262" t="s">
        <v>182</v>
      </c>
      <c r="J262" t="s">
        <v>183</v>
      </c>
      <c r="K262">
        <v>796984</v>
      </c>
      <c r="L262" t="s">
        <v>306</v>
      </c>
      <c r="M262" t="s">
        <v>307</v>
      </c>
      <c r="N262" t="s">
        <v>57</v>
      </c>
      <c r="O262" s="1">
        <v>45944</v>
      </c>
      <c r="Q262" s="1">
        <v>46217</v>
      </c>
      <c r="R262" s="2">
        <v>9.1</v>
      </c>
      <c r="S262">
        <v>1</v>
      </c>
      <c r="T262" t="s">
        <v>58</v>
      </c>
      <c r="U262" t="s">
        <v>59</v>
      </c>
      <c r="V262" s="3">
        <v>0.7</v>
      </c>
      <c r="W262" s="2">
        <v>0</v>
      </c>
      <c r="X262">
        <v>0</v>
      </c>
      <c r="Y262" t="s">
        <v>60</v>
      </c>
      <c r="Z262" t="s">
        <v>239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6.37</v>
      </c>
      <c r="AN262" s="2">
        <v>6.37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46188</v>
      </c>
      <c r="B263" t="s">
        <v>48</v>
      </c>
      <c r="C263">
        <v>649163</v>
      </c>
      <c r="D263">
        <v>2031617148</v>
      </c>
      <c r="E263" t="s">
        <v>535</v>
      </c>
      <c r="F263" t="s">
        <v>335</v>
      </c>
      <c r="G263" t="s">
        <v>51</v>
      </c>
      <c r="H263" t="s">
        <v>119</v>
      </c>
      <c r="I263" t="s">
        <v>182</v>
      </c>
      <c r="J263" t="s">
        <v>183</v>
      </c>
      <c r="K263">
        <v>814033</v>
      </c>
      <c r="L263" t="s">
        <v>122</v>
      </c>
      <c r="M263" t="s">
        <v>123</v>
      </c>
      <c r="N263" t="s">
        <v>57</v>
      </c>
      <c r="O263" s="1">
        <v>45945</v>
      </c>
      <c r="Q263" s="1">
        <v>46218</v>
      </c>
      <c r="R263" s="2">
        <v>86.32</v>
      </c>
      <c r="S263">
        <v>1</v>
      </c>
      <c r="T263" t="s">
        <v>58</v>
      </c>
      <c r="U263" t="s">
        <v>59</v>
      </c>
      <c r="V263" s="3">
        <v>0.7</v>
      </c>
      <c r="W263" s="2">
        <v>0</v>
      </c>
      <c r="X263">
        <v>0</v>
      </c>
      <c r="Y263" t="s">
        <v>60</v>
      </c>
      <c r="Z263" t="s">
        <v>239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60.42</v>
      </c>
      <c r="AN263" s="2">
        <v>60.42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46188</v>
      </c>
      <c r="B264" t="s">
        <v>48</v>
      </c>
      <c r="C264">
        <v>649163</v>
      </c>
      <c r="D264">
        <v>2031641424</v>
      </c>
      <c r="E264" t="s">
        <v>536</v>
      </c>
      <c r="F264" t="s">
        <v>537</v>
      </c>
      <c r="G264" t="s">
        <v>51</v>
      </c>
      <c r="H264" t="s">
        <v>292</v>
      </c>
      <c r="I264" t="s">
        <v>182</v>
      </c>
      <c r="J264" t="s">
        <v>194</v>
      </c>
      <c r="K264">
        <v>767312</v>
      </c>
      <c r="L264" t="s">
        <v>171</v>
      </c>
      <c r="M264" t="s">
        <v>172</v>
      </c>
      <c r="N264" t="s">
        <v>57</v>
      </c>
      <c r="O264" s="1">
        <v>45946</v>
      </c>
      <c r="Q264" s="1">
        <v>46219</v>
      </c>
      <c r="R264" s="2">
        <v>12.92</v>
      </c>
      <c r="S264">
        <v>1</v>
      </c>
      <c r="T264" t="s">
        <v>58</v>
      </c>
      <c r="U264" t="s">
        <v>59</v>
      </c>
      <c r="V264" s="3">
        <v>0.9</v>
      </c>
      <c r="W264" s="2">
        <v>0</v>
      </c>
      <c r="X264">
        <v>0</v>
      </c>
      <c r="Y264" t="s">
        <v>60</v>
      </c>
      <c r="Z264" t="s">
        <v>239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11.63</v>
      </c>
      <c r="AN264" s="2">
        <v>11.63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46188</v>
      </c>
      <c r="B265" t="s">
        <v>48</v>
      </c>
      <c r="C265">
        <v>649163</v>
      </c>
      <c r="D265">
        <v>2031647899</v>
      </c>
      <c r="E265" t="s">
        <v>538</v>
      </c>
      <c r="F265" t="s">
        <v>539</v>
      </c>
      <c r="G265" t="s">
        <v>51</v>
      </c>
      <c r="H265" t="s">
        <v>119</v>
      </c>
      <c r="I265" t="s">
        <v>182</v>
      </c>
      <c r="J265" t="s">
        <v>183</v>
      </c>
      <c r="K265">
        <v>823350</v>
      </c>
      <c r="L265" t="s">
        <v>73</v>
      </c>
      <c r="M265" t="s">
        <v>116</v>
      </c>
      <c r="N265" t="s">
        <v>57</v>
      </c>
      <c r="O265" s="1">
        <v>45948</v>
      </c>
      <c r="Q265" s="1">
        <v>46221</v>
      </c>
      <c r="R265" s="2">
        <v>97.26</v>
      </c>
      <c r="S265">
        <v>1</v>
      </c>
      <c r="T265" t="s">
        <v>58</v>
      </c>
      <c r="U265" t="s">
        <v>59</v>
      </c>
      <c r="V265" s="3">
        <v>0.7</v>
      </c>
      <c r="W265" s="2">
        <v>0</v>
      </c>
      <c r="X265">
        <v>0</v>
      </c>
      <c r="Y265" t="s">
        <v>60</v>
      </c>
      <c r="Z265" t="s">
        <v>239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68.08</v>
      </c>
      <c r="AN265" s="2">
        <v>68.08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46188</v>
      </c>
      <c r="B266" t="s">
        <v>48</v>
      </c>
      <c r="C266">
        <v>649163</v>
      </c>
      <c r="D266">
        <v>2031713685</v>
      </c>
      <c r="E266" t="s">
        <v>367</v>
      </c>
      <c r="F266" t="s">
        <v>368</v>
      </c>
      <c r="G266" t="s">
        <v>51</v>
      </c>
      <c r="H266" t="s">
        <v>193</v>
      </c>
      <c r="I266" t="s">
        <v>182</v>
      </c>
      <c r="J266" t="s">
        <v>202</v>
      </c>
      <c r="K266">
        <v>823068</v>
      </c>
      <c r="L266" t="s">
        <v>195</v>
      </c>
      <c r="M266" t="s">
        <v>196</v>
      </c>
      <c r="N266" t="s">
        <v>57</v>
      </c>
      <c r="O266" s="1">
        <v>45969</v>
      </c>
      <c r="Q266" s="1">
        <v>46211</v>
      </c>
      <c r="R266" s="2">
        <v>24.61</v>
      </c>
      <c r="S266">
        <v>1</v>
      </c>
      <c r="T266" t="s">
        <v>58</v>
      </c>
      <c r="U266" t="s">
        <v>59</v>
      </c>
      <c r="V266" s="3">
        <v>0.7</v>
      </c>
      <c r="W266" s="2">
        <v>0</v>
      </c>
      <c r="X266">
        <v>0</v>
      </c>
      <c r="Y266" t="s">
        <v>60</v>
      </c>
      <c r="Z266" t="s">
        <v>239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17.23</v>
      </c>
      <c r="AN266" s="2">
        <v>17.23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46188</v>
      </c>
      <c r="B267" t="s">
        <v>48</v>
      </c>
      <c r="C267">
        <v>649163</v>
      </c>
      <c r="D267">
        <v>2031713984</v>
      </c>
      <c r="E267" t="s">
        <v>540</v>
      </c>
      <c r="F267" t="s">
        <v>541</v>
      </c>
      <c r="G267" t="s">
        <v>51</v>
      </c>
      <c r="H267" t="s">
        <v>193</v>
      </c>
      <c r="I267" t="s">
        <v>182</v>
      </c>
      <c r="J267" t="s">
        <v>194</v>
      </c>
      <c r="K267">
        <v>823068</v>
      </c>
      <c r="L267" t="s">
        <v>195</v>
      </c>
      <c r="M267" t="s">
        <v>196</v>
      </c>
      <c r="N267" t="s">
        <v>57</v>
      </c>
      <c r="O267" s="1">
        <v>45969</v>
      </c>
      <c r="Q267" s="1">
        <v>46211</v>
      </c>
      <c r="R267" s="2">
        <v>80.83</v>
      </c>
      <c r="S267">
        <v>1</v>
      </c>
      <c r="T267" t="s">
        <v>58</v>
      </c>
      <c r="U267" t="s">
        <v>59</v>
      </c>
      <c r="V267" s="3">
        <v>0.9</v>
      </c>
      <c r="W267" s="2">
        <v>0</v>
      </c>
      <c r="X267">
        <v>0</v>
      </c>
      <c r="Y267" t="s">
        <v>60</v>
      </c>
      <c r="Z267" t="s">
        <v>239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72.75</v>
      </c>
      <c r="AN267" s="2">
        <v>72.75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46188</v>
      </c>
      <c r="B268" t="s">
        <v>48</v>
      </c>
      <c r="C268">
        <v>649163</v>
      </c>
      <c r="D268">
        <v>2031921687</v>
      </c>
      <c r="E268" t="s">
        <v>542</v>
      </c>
      <c r="F268" t="s">
        <v>543</v>
      </c>
      <c r="G268" t="s">
        <v>51</v>
      </c>
      <c r="H268" t="s">
        <v>193</v>
      </c>
      <c r="I268" t="s">
        <v>182</v>
      </c>
      <c r="J268" t="s">
        <v>197</v>
      </c>
      <c r="K268">
        <v>861933</v>
      </c>
      <c r="L268" t="s">
        <v>544</v>
      </c>
      <c r="M268" t="s">
        <v>545</v>
      </c>
      <c r="N268" t="s">
        <v>57</v>
      </c>
      <c r="O268" s="1">
        <v>45976</v>
      </c>
      <c r="Q268" s="1">
        <v>46218</v>
      </c>
      <c r="R268" s="2">
        <v>27.8</v>
      </c>
      <c r="S268">
        <v>1</v>
      </c>
      <c r="T268" t="s">
        <v>58</v>
      </c>
      <c r="U268" t="s">
        <v>59</v>
      </c>
      <c r="V268" s="3">
        <v>0.42</v>
      </c>
      <c r="W268" s="2">
        <v>0</v>
      </c>
      <c r="X268">
        <v>0</v>
      </c>
      <c r="Y268" t="s">
        <v>60</v>
      </c>
      <c r="Z268" t="s">
        <v>239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11.68</v>
      </c>
      <c r="AN268" s="2">
        <v>11.68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46188</v>
      </c>
      <c r="B269" t="s">
        <v>48</v>
      </c>
      <c r="C269">
        <v>649163</v>
      </c>
      <c r="D269">
        <v>2031921688</v>
      </c>
      <c r="E269" t="s">
        <v>542</v>
      </c>
      <c r="F269" t="s">
        <v>543</v>
      </c>
      <c r="G269" t="s">
        <v>51</v>
      </c>
      <c r="H269" t="s">
        <v>193</v>
      </c>
      <c r="I269" t="s">
        <v>182</v>
      </c>
      <c r="J269" t="s">
        <v>202</v>
      </c>
      <c r="K269">
        <v>861933</v>
      </c>
      <c r="L269" t="s">
        <v>544</v>
      </c>
      <c r="M269" t="s">
        <v>545</v>
      </c>
      <c r="N269" t="s">
        <v>57</v>
      </c>
      <c r="O269" s="1">
        <v>45976</v>
      </c>
      <c r="Q269" s="1">
        <v>46218</v>
      </c>
      <c r="R269" s="2">
        <v>24.61</v>
      </c>
      <c r="S269">
        <v>1</v>
      </c>
      <c r="T269" t="s">
        <v>58</v>
      </c>
      <c r="U269" t="s">
        <v>59</v>
      </c>
      <c r="V269" s="3">
        <v>0.7</v>
      </c>
      <c r="W269" s="2">
        <v>0</v>
      </c>
      <c r="X269">
        <v>0</v>
      </c>
      <c r="Y269" t="s">
        <v>60</v>
      </c>
      <c r="Z269" t="s">
        <v>239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17.23</v>
      </c>
      <c r="AN269" s="2">
        <v>17.23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46188</v>
      </c>
      <c r="B270" t="s">
        <v>48</v>
      </c>
      <c r="C270">
        <v>649163</v>
      </c>
      <c r="D270">
        <v>2031949600</v>
      </c>
      <c r="E270" t="s">
        <v>546</v>
      </c>
      <c r="F270" t="s">
        <v>547</v>
      </c>
      <c r="G270" t="s">
        <v>51</v>
      </c>
      <c r="H270" t="s">
        <v>292</v>
      </c>
      <c r="I270" t="s">
        <v>182</v>
      </c>
      <c r="J270" t="s">
        <v>183</v>
      </c>
      <c r="K270">
        <v>822733</v>
      </c>
      <c r="L270" t="s">
        <v>444</v>
      </c>
      <c r="M270" t="s">
        <v>445</v>
      </c>
      <c r="N270" t="s">
        <v>57</v>
      </c>
      <c r="O270" s="1">
        <v>45969</v>
      </c>
      <c r="Q270" s="1">
        <v>46211</v>
      </c>
      <c r="R270" s="2">
        <v>28.38</v>
      </c>
      <c r="S270">
        <v>1</v>
      </c>
      <c r="T270" t="s">
        <v>58</v>
      </c>
      <c r="U270" t="s">
        <v>59</v>
      </c>
      <c r="V270" s="3">
        <v>0.7</v>
      </c>
      <c r="W270" s="2">
        <v>0</v>
      </c>
      <c r="X270">
        <v>0</v>
      </c>
      <c r="Y270" t="s">
        <v>60</v>
      </c>
      <c r="Z270" t="s">
        <v>239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19.87</v>
      </c>
      <c r="AN270" s="2">
        <v>19.87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46188</v>
      </c>
      <c r="B271" t="s">
        <v>48</v>
      </c>
      <c r="C271">
        <v>649163</v>
      </c>
      <c r="D271">
        <v>2031949601</v>
      </c>
      <c r="E271" t="s">
        <v>546</v>
      </c>
      <c r="F271" t="s">
        <v>547</v>
      </c>
      <c r="G271" t="s">
        <v>51</v>
      </c>
      <c r="H271" t="s">
        <v>292</v>
      </c>
      <c r="I271" t="s">
        <v>182</v>
      </c>
      <c r="J271" t="s">
        <v>197</v>
      </c>
      <c r="K271">
        <v>822733</v>
      </c>
      <c r="L271" t="s">
        <v>444</v>
      </c>
      <c r="M271" t="s">
        <v>445</v>
      </c>
      <c r="N271" t="s">
        <v>57</v>
      </c>
      <c r="O271" s="1">
        <v>45969</v>
      </c>
      <c r="Q271" s="1">
        <v>46211</v>
      </c>
      <c r="R271" s="2">
        <v>13.18</v>
      </c>
      <c r="S271">
        <v>1</v>
      </c>
      <c r="T271" t="s">
        <v>58</v>
      </c>
      <c r="U271" t="s">
        <v>59</v>
      </c>
      <c r="V271" s="3">
        <v>0.42</v>
      </c>
      <c r="W271" s="2">
        <v>0</v>
      </c>
      <c r="X271">
        <v>0</v>
      </c>
      <c r="Y271" t="s">
        <v>60</v>
      </c>
      <c r="Z271" t="s">
        <v>239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5.54</v>
      </c>
      <c r="AN271" s="2">
        <v>5.54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46188</v>
      </c>
      <c r="B272" t="s">
        <v>48</v>
      </c>
      <c r="C272">
        <v>649163</v>
      </c>
      <c r="D272">
        <v>2032017836</v>
      </c>
      <c r="E272" t="s">
        <v>369</v>
      </c>
      <c r="F272" t="s">
        <v>370</v>
      </c>
      <c r="G272" t="s">
        <v>51</v>
      </c>
      <c r="H272" t="s">
        <v>193</v>
      </c>
      <c r="I272" t="s">
        <v>182</v>
      </c>
      <c r="J272" t="s">
        <v>197</v>
      </c>
      <c r="K272">
        <v>823068</v>
      </c>
      <c r="L272" t="s">
        <v>195</v>
      </c>
      <c r="M272" t="s">
        <v>196</v>
      </c>
      <c r="N272" t="s">
        <v>57</v>
      </c>
      <c r="O272" s="1">
        <v>45980</v>
      </c>
      <c r="Q272" s="1">
        <v>46222</v>
      </c>
      <c r="R272" s="2">
        <v>43.86</v>
      </c>
      <c r="S272">
        <v>1</v>
      </c>
      <c r="T272" t="s">
        <v>58</v>
      </c>
      <c r="U272" t="s">
        <v>59</v>
      </c>
      <c r="V272" s="3">
        <v>0.42</v>
      </c>
      <c r="W272" s="2">
        <v>0</v>
      </c>
      <c r="X272">
        <v>0</v>
      </c>
      <c r="Y272" t="s">
        <v>60</v>
      </c>
      <c r="Z272" t="s">
        <v>239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18.420000000000002</v>
      </c>
      <c r="AN272" s="2">
        <v>18.420000000000002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46188</v>
      </c>
      <c r="B273" t="s">
        <v>48</v>
      </c>
      <c r="C273">
        <v>649163</v>
      </c>
      <c r="D273">
        <v>2032017837</v>
      </c>
      <c r="E273" t="s">
        <v>369</v>
      </c>
      <c r="F273" t="s">
        <v>370</v>
      </c>
      <c r="G273" t="s">
        <v>51</v>
      </c>
      <c r="H273" t="s">
        <v>193</v>
      </c>
      <c r="I273" t="s">
        <v>182</v>
      </c>
      <c r="J273" t="s">
        <v>202</v>
      </c>
      <c r="K273">
        <v>823068</v>
      </c>
      <c r="L273" t="s">
        <v>195</v>
      </c>
      <c r="M273" t="s">
        <v>196</v>
      </c>
      <c r="N273" t="s">
        <v>57</v>
      </c>
      <c r="O273" s="1">
        <v>45980</v>
      </c>
      <c r="Q273" s="1">
        <v>46222</v>
      </c>
      <c r="R273" s="2">
        <v>24.61</v>
      </c>
      <c r="S273">
        <v>1</v>
      </c>
      <c r="T273" t="s">
        <v>58</v>
      </c>
      <c r="U273" t="s">
        <v>59</v>
      </c>
      <c r="V273" s="3">
        <v>0.7</v>
      </c>
      <c r="W273" s="2">
        <v>0</v>
      </c>
      <c r="X273">
        <v>0</v>
      </c>
      <c r="Y273" t="s">
        <v>60</v>
      </c>
      <c r="Z273" t="s">
        <v>239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17.23</v>
      </c>
      <c r="AN273" s="2">
        <v>17.23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46188</v>
      </c>
      <c r="B274" t="s">
        <v>48</v>
      </c>
      <c r="C274">
        <v>649163</v>
      </c>
      <c r="D274">
        <v>2032084100</v>
      </c>
      <c r="E274" t="s">
        <v>548</v>
      </c>
      <c r="F274" t="s">
        <v>549</v>
      </c>
      <c r="G274" t="s">
        <v>51</v>
      </c>
      <c r="H274" t="s">
        <v>95</v>
      </c>
      <c r="I274" t="s">
        <v>182</v>
      </c>
      <c r="J274" t="s">
        <v>183</v>
      </c>
      <c r="K274">
        <v>821015</v>
      </c>
      <c r="L274" t="s">
        <v>332</v>
      </c>
      <c r="M274" t="s">
        <v>333</v>
      </c>
      <c r="N274" t="s">
        <v>57</v>
      </c>
      <c r="O274" s="1">
        <v>45976</v>
      </c>
      <c r="Q274" s="1">
        <v>46218</v>
      </c>
      <c r="R274" s="2">
        <v>38.64</v>
      </c>
      <c r="S274">
        <v>1</v>
      </c>
      <c r="T274" t="s">
        <v>58</v>
      </c>
      <c r="U274" t="s">
        <v>59</v>
      </c>
      <c r="V274" s="3">
        <v>0.7</v>
      </c>
      <c r="W274" s="2">
        <v>0</v>
      </c>
      <c r="X274">
        <v>0</v>
      </c>
      <c r="Y274" t="s">
        <v>60</v>
      </c>
      <c r="Z274" t="s">
        <v>239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27.05</v>
      </c>
      <c r="AN274" s="2">
        <v>27.05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46188</v>
      </c>
      <c r="B275" t="s">
        <v>48</v>
      </c>
      <c r="C275">
        <v>649163</v>
      </c>
      <c r="D275">
        <v>2032085106</v>
      </c>
      <c r="E275" t="s">
        <v>550</v>
      </c>
      <c r="F275" t="s">
        <v>551</v>
      </c>
      <c r="G275" t="s">
        <v>51</v>
      </c>
      <c r="H275" t="s">
        <v>339</v>
      </c>
      <c r="I275" t="s">
        <v>182</v>
      </c>
      <c r="J275" t="s">
        <v>194</v>
      </c>
      <c r="K275">
        <v>651818</v>
      </c>
      <c r="L275" t="s">
        <v>79</v>
      </c>
      <c r="M275" t="s">
        <v>80</v>
      </c>
      <c r="N275" t="s">
        <v>57</v>
      </c>
      <c r="O275" s="1">
        <v>45976</v>
      </c>
      <c r="Q275" s="1">
        <v>46218</v>
      </c>
      <c r="R275" s="2">
        <v>99.25</v>
      </c>
      <c r="S275">
        <v>1</v>
      </c>
      <c r="T275" t="s">
        <v>58</v>
      </c>
      <c r="U275" t="s">
        <v>59</v>
      </c>
      <c r="V275" s="3">
        <v>0.9</v>
      </c>
      <c r="W275" s="2">
        <v>0</v>
      </c>
      <c r="X275">
        <v>0</v>
      </c>
      <c r="Y275" t="s">
        <v>60</v>
      </c>
      <c r="Z275" t="s">
        <v>239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89.32</v>
      </c>
      <c r="AN275" s="2">
        <v>89.32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46188</v>
      </c>
      <c r="B276" t="s">
        <v>48</v>
      </c>
      <c r="C276">
        <v>649163</v>
      </c>
      <c r="D276">
        <v>2032105227</v>
      </c>
      <c r="E276" t="s">
        <v>371</v>
      </c>
      <c r="F276" t="s">
        <v>372</v>
      </c>
      <c r="G276" t="s">
        <v>51</v>
      </c>
      <c r="H276" t="s">
        <v>119</v>
      </c>
      <c r="I276" t="s">
        <v>182</v>
      </c>
      <c r="J276" t="s">
        <v>183</v>
      </c>
      <c r="K276">
        <v>823350</v>
      </c>
      <c r="L276" t="s">
        <v>73</v>
      </c>
      <c r="M276" t="s">
        <v>116</v>
      </c>
      <c r="N276" t="s">
        <v>57</v>
      </c>
      <c r="O276" s="1">
        <v>45975</v>
      </c>
      <c r="Q276" s="1">
        <v>46217</v>
      </c>
      <c r="R276" s="2">
        <v>95.92</v>
      </c>
      <c r="S276">
        <v>1</v>
      </c>
      <c r="T276" t="s">
        <v>58</v>
      </c>
      <c r="U276" t="s">
        <v>59</v>
      </c>
      <c r="V276" s="3">
        <v>0.7</v>
      </c>
      <c r="W276" s="2">
        <v>0</v>
      </c>
      <c r="X276">
        <v>0</v>
      </c>
      <c r="Y276" t="s">
        <v>60</v>
      </c>
      <c r="Z276" t="s">
        <v>239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67.14</v>
      </c>
      <c r="AN276" s="2">
        <v>67.14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46188</v>
      </c>
      <c r="B277" t="s">
        <v>48</v>
      </c>
      <c r="C277">
        <v>649163</v>
      </c>
      <c r="D277">
        <v>2032115127</v>
      </c>
      <c r="E277" t="s">
        <v>552</v>
      </c>
      <c r="F277" t="s">
        <v>260</v>
      </c>
      <c r="G277" t="s">
        <v>51</v>
      </c>
      <c r="H277" t="s">
        <v>119</v>
      </c>
      <c r="I277" t="s">
        <v>182</v>
      </c>
      <c r="J277" t="s">
        <v>183</v>
      </c>
      <c r="K277">
        <v>651818</v>
      </c>
      <c r="L277" t="s">
        <v>79</v>
      </c>
      <c r="M277" t="s">
        <v>80</v>
      </c>
      <c r="N277" t="s">
        <v>57</v>
      </c>
      <c r="O277" s="1">
        <v>45976</v>
      </c>
      <c r="Q277" s="1">
        <v>46218</v>
      </c>
      <c r="R277" s="2">
        <v>96</v>
      </c>
      <c r="S277">
        <v>1</v>
      </c>
      <c r="T277" t="s">
        <v>58</v>
      </c>
      <c r="U277" t="s">
        <v>59</v>
      </c>
      <c r="V277" s="3">
        <v>0.7</v>
      </c>
      <c r="W277" s="2">
        <v>0</v>
      </c>
      <c r="X277">
        <v>0</v>
      </c>
      <c r="Y277" t="s">
        <v>60</v>
      </c>
      <c r="Z277" t="s">
        <v>239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67.2</v>
      </c>
      <c r="AN277" s="2">
        <v>67.2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46188</v>
      </c>
      <c r="B278" t="s">
        <v>48</v>
      </c>
      <c r="C278">
        <v>649163</v>
      </c>
      <c r="D278">
        <v>2032116642</v>
      </c>
      <c r="E278" t="s">
        <v>373</v>
      </c>
      <c r="F278" t="s">
        <v>236</v>
      </c>
      <c r="G278" t="s">
        <v>51</v>
      </c>
      <c r="H278" t="s">
        <v>119</v>
      </c>
      <c r="I278" t="s">
        <v>182</v>
      </c>
      <c r="J278" t="s">
        <v>183</v>
      </c>
      <c r="K278">
        <v>823350</v>
      </c>
      <c r="L278" t="s">
        <v>73</v>
      </c>
      <c r="M278" t="s">
        <v>116</v>
      </c>
      <c r="N278" t="s">
        <v>57</v>
      </c>
      <c r="O278" s="1">
        <v>45976</v>
      </c>
      <c r="Q278" s="1">
        <v>46218</v>
      </c>
      <c r="R278" s="2">
        <v>109.2</v>
      </c>
      <c r="S278">
        <v>1</v>
      </c>
      <c r="T278" t="s">
        <v>58</v>
      </c>
      <c r="U278" t="s">
        <v>59</v>
      </c>
      <c r="V278" s="3">
        <v>0.7</v>
      </c>
      <c r="W278" s="2">
        <v>0</v>
      </c>
      <c r="X278">
        <v>0</v>
      </c>
      <c r="Y278" t="s">
        <v>60</v>
      </c>
      <c r="Z278" t="s">
        <v>239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76.44</v>
      </c>
      <c r="AN278" s="2">
        <v>76.44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46188</v>
      </c>
      <c r="B279" t="s">
        <v>48</v>
      </c>
      <c r="C279">
        <v>649163</v>
      </c>
      <c r="D279">
        <v>2032134523</v>
      </c>
      <c r="E279" t="s">
        <v>553</v>
      </c>
      <c r="F279" t="s">
        <v>554</v>
      </c>
      <c r="G279" t="s">
        <v>51</v>
      </c>
      <c r="H279" t="s">
        <v>52</v>
      </c>
      <c r="I279" t="s">
        <v>182</v>
      </c>
      <c r="J279" t="s">
        <v>194</v>
      </c>
      <c r="K279">
        <v>702406</v>
      </c>
      <c r="L279" t="s">
        <v>555</v>
      </c>
      <c r="M279" t="s">
        <v>175</v>
      </c>
      <c r="N279" t="s">
        <v>57</v>
      </c>
      <c r="O279" s="1">
        <v>45974</v>
      </c>
      <c r="Q279" s="1">
        <v>46216</v>
      </c>
      <c r="R279" s="2">
        <v>65.25</v>
      </c>
      <c r="S279">
        <v>1</v>
      </c>
      <c r="T279" t="s">
        <v>58</v>
      </c>
      <c r="U279" t="s">
        <v>59</v>
      </c>
      <c r="V279" s="3">
        <v>0.9</v>
      </c>
      <c r="W279" s="2">
        <v>0</v>
      </c>
      <c r="X279">
        <v>0</v>
      </c>
      <c r="Y279" t="s">
        <v>60</v>
      </c>
      <c r="Z279" t="s">
        <v>239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58.72</v>
      </c>
      <c r="AN279" s="2">
        <v>58.72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46188</v>
      </c>
      <c r="B280" t="s">
        <v>48</v>
      </c>
      <c r="C280">
        <v>649163</v>
      </c>
      <c r="D280">
        <v>2032150171</v>
      </c>
      <c r="E280" t="s">
        <v>556</v>
      </c>
      <c r="F280" t="s">
        <v>557</v>
      </c>
      <c r="G280" t="s">
        <v>51</v>
      </c>
      <c r="H280" t="s">
        <v>193</v>
      </c>
      <c r="I280" t="s">
        <v>182</v>
      </c>
      <c r="J280" t="s">
        <v>194</v>
      </c>
      <c r="K280">
        <v>652037</v>
      </c>
      <c r="L280" t="s">
        <v>64</v>
      </c>
      <c r="M280" t="s">
        <v>236</v>
      </c>
      <c r="N280" t="s">
        <v>57</v>
      </c>
      <c r="O280" s="1">
        <v>45975</v>
      </c>
      <c r="Q280" s="1">
        <v>46217</v>
      </c>
      <c r="R280" s="2">
        <v>34.42</v>
      </c>
      <c r="S280">
        <v>1</v>
      </c>
      <c r="T280" t="s">
        <v>58</v>
      </c>
      <c r="U280" t="s">
        <v>59</v>
      </c>
      <c r="V280" s="3">
        <v>0.9</v>
      </c>
      <c r="W280" s="2">
        <v>0</v>
      </c>
      <c r="X280">
        <v>0</v>
      </c>
      <c r="Y280" t="s">
        <v>60</v>
      </c>
      <c r="Z280" t="s">
        <v>239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30.98</v>
      </c>
      <c r="AN280" s="2">
        <v>30.98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46188</v>
      </c>
      <c r="B281" t="s">
        <v>48</v>
      </c>
      <c r="C281">
        <v>649163</v>
      </c>
      <c r="D281">
        <v>2032151221</v>
      </c>
      <c r="E281" t="s">
        <v>558</v>
      </c>
      <c r="F281" t="s">
        <v>559</v>
      </c>
      <c r="G281" t="s">
        <v>51</v>
      </c>
      <c r="H281" t="s">
        <v>119</v>
      </c>
      <c r="I281" t="s">
        <v>182</v>
      </c>
      <c r="J281" t="s">
        <v>183</v>
      </c>
      <c r="K281">
        <v>806645</v>
      </c>
      <c r="L281" t="s">
        <v>406</v>
      </c>
      <c r="M281" t="s">
        <v>407</v>
      </c>
      <c r="N281" t="s">
        <v>57</v>
      </c>
      <c r="O281" s="1">
        <v>45975</v>
      </c>
      <c r="Q281" s="1">
        <v>46217</v>
      </c>
      <c r="R281" s="2">
        <v>58.24</v>
      </c>
      <c r="S281">
        <v>1</v>
      </c>
      <c r="T281" t="s">
        <v>58</v>
      </c>
      <c r="U281" t="s">
        <v>59</v>
      </c>
      <c r="V281" s="3">
        <v>0.7</v>
      </c>
      <c r="W281" s="2">
        <v>0</v>
      </c>
      <c r="X281">
        <v>0</v>
      </c>
      <c r="Y281" t="s">
        <v>60</v>
      </c>
      <c r="Z281" t="s">
        <v>239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40.770000000000003</v>
      </c>
      <c r="AN281" s="2">
        <v>40.770000000000003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46188</v>
      </c>
      <c r="B282" t="s">
        <v>48</v>
      </c>
      <c r="C282">
        <v>649163</v>
      </c>
      <c r="D282">
        <v>2032155019</v>
      </c>
      <c r="E282" t="s">
        <v>560</v>
      </c>
      <c r="F282" t="s">
        <v>561</v>
      </c>
      <c r="G282" t="s">
        <v>51</v>
      </c>
      <c r="H282" t="s">
        <v>193</v>
      </c>
      <c r="I282" t="s">
        <v>182</v>
      </c>
      <c r="J282" t="s">
        <v>197</v>
      </c>
      <c r="K282">
        <v>883288</v>
      </c>
      <c r="L282" t="s">
        <v>562</v>
      </c>
      <c r="M282" t="s">
        <v>180</v>
      </c>
      <c r="N282" t="s">
        <v>57</v>
      </c>
      <c r="O282" s="1">
        <v>45975</v>
      </c>
      <c r="Q282" s="1">
        <v>46217</v>
      </c>
      <c r="R282" s="2">
        <v>38.85</v>
      </c>
      <c r="S282">
        <v>1</v>
      </c>
      <c r="T282" t="s">
        <v>58</v>
      </c>
      <c r="U282" t="s">
        <v>59</v>
      </c>
      <c r="V282" s="3">
        <v>0.42</v>
      </c>
      <c r="W282" s="2">
        <v>0</v>
      </c>
      <c r="X282">
        <v>0</v>
      </c>
      <c r="Y282" t="s">
        <v>60</v>
      </c>
      <c r="Z282" t="s">
        <v>239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16.32</v>
      </c>
      <c r="AN282" s="2">
        <v>16.32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46188</v>
      </c>
      <c r="B283" t="s">
        <v>48</v>
      </c>
      <c r="C283">
        <v>649163</v>
      </c>
      <c r="D283">
        <v>2032155020</v>
      </c>
      <c r="E283" t="s">
        <v>560</v>
      </c>
      <c r="F283" t="s">
        <v>561</v>
      </c>
      <c r="G283" t="s">
        <v>51</v>
      </c>
      <c r="H283" t="s">
        <v>193</v>
      </c>
      <c r="I283" t="s">
        <v>182</v>
      </c>
      <c r="J283" t="s">
        <v>194</v>
      </c>
      <c r="K283">
        <v>883288</v>
      </c>
      <c r="L283" t="s">
        <v>562</v>
      </c>
      <c r="M283" t="s">
        <v>180</v>
      </c>
      <c r="N283" t="s">
        <v>57</v>
      </c>
      <c r="O283" s="1">
        <v>45975</v>
      </c>
      <c r="Q283" s="1">
        <v>46217</v>
      </c>
      <c r="R283" s="2">
        <v>50.31</v>
      </c>
      <c r="S283">
        <v>1</v>
      </c>
      <c r="T283" t="s">
        <v>58</v>
      </c>
      <c r="U283" t="s">
        <v>59</v>
      </c>
      <c r="V283" s="3">
        <v>0.9</v>
      </c>
      <c r="W283" s="2">
        <v>0</v>
      </c>
      <c r="X283">
        <v>0</v>
      </c>
      <c r="Y283" t="s">
        <v>60</v>
      </c>
      <c r="Z283" t="s">
        <v>239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45.28</v>
      </c>
      <c r="AN283" s="2">
        <v>45.28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46188</v>
      </c>
      <c r="B284" t="s">
        <v>48</v>
      </c>
      <c r="C284">
        <v>649163</v>
      </c>
      <c r="D284">
        <v>2032155021</v>
      </c>
      <c r="E284" t="s">
        <v>560</v>
      </c>
      <c r="F284" t="s">
        <v>561</v>
      </c>
      <c r="G284" t="s">
        <v>51</v>
      </c>
      <c r="H284" t="s">
        <v>193</v>
      </c>
      <c r="I284" t="s">
        <v>182</v>
      </c>
      <c r="J284" t="s">
        <v>202</v>
      </c>
      <c r="K284">
        <v>883288</v>
      </c>
      <c r="L284" t="s">
        <v>562</v>
      </c>
      <c r="M284" t="s">
        <v>180</v>
      </c>
      <c r="N284" t="s">
        <v>57</v>
      </c>
      <c r="O284" s="1">
        <v>45975</v>
      </c>
      <c r="Q284" s="1">
        <v>46217</v>
      </c>
      <c r="R284" s="2">
        <v>24.61</v>
      </c>
      <c r="S284">
        <v>1</v>
      </c>
      <c r="T284" t="s">
        <v>58</v>
      </c>
      <c r="U284" t="s">
        <v>59</v>
      </c>
      <c r="V284" s="3">
        <v>0.7</v>
      </c>
      <c r="W284" s="2">
        <v>0</v>
      </c>
      <c r="X284">
        <v>0</v>
      </c>
      <c r="Y284" t="s">
        <v>60</v>
      </c>
      <c r="Z284" t="s">
        <v>239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17.23</v>
      </c>
      <c r="AN284" s="2">
        <v>17.23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46188</v>
      </c>
      <c r="B285" t="s">
        <v>48</v>
      </c>
      <c r="C285">
        <v>649163</v>
      </c>
      <c r="D285">
        <v>2032159933</v>
      </c>
      <c r="E285" t="s">
        <v>563</v>
      </c>
      <c r="F285" t="s">
        <v>564</v>
      </c>
      <c r="G285" t="s">
        <v>51</v>
      </c>
      <c r="H285" t="s">
        <v>70</v>
      </c>
      <c r="I285" t="s">
        <v>182</v>
      </c>
      <c r="J285" t="s">
        <v>183</v>
      </c>
      <c r="K285">
        <v>822733</v>
      </c>
      <c r="L285" t="s">
        <v>444</v>
      </c>
      <c r="M285" t="s">
        <v>445</v>
      </c>
      <c r="N285" t="s">
        <v>57</v>
      </c>
      <c r="O285" s="1">
        <v>45976</v>
      </c>
      <c r="Q285" s="1">
        <v>46218</v>
      </c>
      <c r="R285" s="2">
        <v>45.46</v>
      </c>
      <c r="S285">
        <v>1</v>
      </c>
      <c r="T285" t="s">
        <v>58</v>
      </c>
      <c r="U285" t="s">
        <v>59</v>
      </c>
      <c r="V285" s="3">
        <v>0.7</v>
      </c>
      <c r="W285" s="2">
        <v>0</v>
      </c>
      <c r="X285">
        <v>0</v>
      </c>
      <c r="Y285" t="s">
        <v>60</v>
      </c>
      <c r="Z285" t="s">
        <v>239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31.82</v>
      </c>
      <c r="AN285" s="2">
        <v>31.82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46188</v>
      </c>
      <c r="B286" t="s">
        <v>48</v>
      </c>
      <c r="C286">
        <v>649163</v>
      </c>
      <c r="D286">
        <v>2032172865</v>
      </c>
      <c r="E286" t="s">
        <v>565</v>
      </c>
      <c r="F286" t="s">
        <v>566</v>
      </c>
      <c r="G286" t="s">
        <v>51</v>
      </c>
      <c r="H286" t="s">
        <v>119</v>
      </c>
      <c r="I286" t="s">
        <v>182</v>
      </c>
      <c r="J286" t="s">
        <v>183</v>
      </c>
      <c r="K286">
        <v>807212</v>
      </c>
      <c r="L286" t="s">
        <v>216</v>
      </c>
      <c r="M286" t="s">
        <v>217</v>
      </c>
      <c r="N286" t="s">
        <v>57</v>
      </c>
      <c r="O286" s="1">
        <v>45976</v>
      </c>
      <c r="Q286" s="1">
        <v>46218</v>
      </c>
      <c r="R286" s="2">
        <v>32.200000000000003</v>
      </c>
      <c r="S286">
        <v>1</v>
      </c>
      <c r="T286" t="s">
        <v>58</v>
      </c>
      <c r="U286" t="s">
        <v>59</v>
      </c>
      <c r="V286" s="3">
        <v>0.7</v>
      </c>
      <c r="W286" s="2">
        <v>0</v>
      </c>
      <c r="X286">
        <v>0</v>
      </c>
      <c r="Y286" t="s">
        <v>60</v>
      </c>
      <c r="Z286" t="s">
        <v>239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22.54</v>
      </c>
      <c r="AN286" s="2">
        <v>22.54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46188</v>
      </c>
      <c r="B287" t="s">
        <v>48</v>
      </c>
      <c r="C287">
        <v>649163</v>
      </c>
      <c r="D287">
        <v>2032173640</v>
      </c>
      <c r="E287" t="s">
        <v>567</v>
      </c>
      <c r="F287" t="s">
        <v>568</v>
      </c>
      <c r="G287" t="s">
        <v>51</v>
      </c>
      <c r="H287" t="s">
        <v>119</v>
      </c>
      <c r="I287" t="s">
        <v>182</v>
      </c>
      <c r="J287" t="s">
        <v>183</v>
      </c>
      <c r="K287">
        <v>807212</v>
      </c>
      <c r="L287" t="s">
        <v>216</v>
      </c>
      <c r="M287" t="s">
        <v>217</v>
      </c>
      <c r="N287" t="s">
        <v>57</v>
      </c>
      <c r="O287" s="1">
        <v>45976</v>
      </c>
      <c r="Q287" s="1">
        <v>46218</v>
      </c>
      <c r="R287" s="2">
        <v>48.19</v>
      </c>
      <c r="S287">
        <v>1</v>
      </c>
      <c r="T287" t="s">
        <v>58</v>
      </c>
      <c r="U287" t="s">
        <v>59</v>
      </c>
      <c r="V287" s="3">
        <v>0.7</v>
      </c>
      <c r="W287" s="2">
        <v>0</v>
      </c>
      <c r="X287">
        <v>0</v>
      </c>
      <c r="Y287" t="s">
        <v>60</v>
      </c>
      <c r="Z287" t="s">
        <v>239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33.729999999999997</v>
      </c>
      <c r="AN287" s="2">
        <v>33.729999999999997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46188</v>
      </c>
      <c r="B288" t="s">
        <v>48</v>
      </c>
      <c r="C288">
        <v>649163</v>
      </c>
      <c r="D288">
        <v>2032175460</v>
      </c>
      <c r="E288" t="s">
        <v>569</v>
      </c>
      <c r="F288" t="s">
        <v>570</v>
      </c>
      <c r="G288" t="s">
        <v>51</v>
      </c>
      <c r="H288" t="s">
        <v>119</v>
      </c>
      <c r="I288" t="s">
        <v>182</v>
      </c>
      <c r="J288" t="s">
        <v>183</v>
      </c>
      <c r="K288">
        <v>806645</v>
      </c>
      <c r="L288" t="s">
        <v>406</v>
      </c>
      <c r="M288" t="s">
        <v>407</v>
      </c>
      <c r="N288" t="s">
        <v>57</v>
      </c>
      <c r="O288" s="1">
        <v>45976</v>
      </c>
      <c r="Q288" s="1">
        <v>46218</v>
      </c>
      <c r="R288" s="2">
        <v>11.5</v>
      </c>
      <c r="S288">
        <v>1</v>
      </c>
      <c r="T288" t="s">
        <v>58</v>
      </c>
      <c r="U288" t="s">
        <v>59</v>
      </c>
      <c r="V288" s="3">
        <v>0.7</v>
      </c>
      <c r="W288" s="2">
        <v>0</v>
      </c>
      <c r="X288">
        <v>0</v>
      </c>
      <c r="Y288" t="s">
        <v>60</v>
      </c>
      <c r="Z288" t="s">
        <v>239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8.0500000000000007</v>
      </c>
      <c r="AN288" s="2">
        <v>8.0500000000000007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46188</v>
      </c>
      <c r="B289" t="s">
        <v>48</v>
      </c>
      <c r="C289">
        <v>649163</v>
      </c>
      <c r="D289">
        <v>2032178545</v>
      </c>
      <c r="E289" t="s">
        <v>571</v>
      </c>
      <c r="F289" t="s">
        <v>572</v>
      </c>
      <c r="G289" t="s">
        <v>51</v>
      </c>
      <c r="H289" t="s">
        <v>186</v>
      </c>
      <c r="I289" t="s">
        <v>182</v>
      </c>
      <c r="J289" t="s">
        <v>183</v>
      </c>
      <c r="K289">
        <v>813184</v>
      </c>
      <c r="L289" t="s">
        <v>328</v>
      </c>
      <c r="M289" t="s">
        <v>329</v>
      </c>
      <c r="N289" t="s">
        <v>57</v>
      </c>
      <c r="O289" s="1">
        <v>45976</v>
      </c>
      <c r="Q289" s="1">
        <v>46218</v>
      </c>
      <c r="R289" s="2">
        <v>54.3</v>
      </c>
      <c r="S289">
        <v>1</v>
      </c>
      <c r="T289" t="s">
        <v>58</v>
      </c>
      <c r="U289" t="s">
        <v>59</v>
      </c>
      <c r="V289" s="3">
        <v>0.7</v>
      </c>
      <c r="W289" s="2">
        <v>0</v>
      </c>
      <c r="X289">
        <v>0</v>
      </c>
      <c r="Y289" t="s">
        <v>60</v>
      </c>
      <c r="Z289" t="s">
        <v>239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38.01</v>
      </c>
      <c r="AN289" s="2">
        <v>38.01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46188</v>
      </c>
      <c r="B290" t="s">
        <v>48</v>
      </c>
      <c r="C290">
        <v>649163</v>
      </c>
      <c r="D290">
        <v>2032192506</v>
      </c>
      <c r="E290" t="s">
        <v>573</v>
      </c>
      <c r="F290" t="s">
        <v>574</v>
      </c>
      <c r="G290" t="s">
        <v>51</v>
      </c>
      <c r="H290" t="s">
        <v>193</v>
      </c>
      <c r="I290" t="s">
        <v>182</v>
      </c>
      <c r="J290" t="s">
        <v>197</v>
      </c>
      <c r="K290">
        <v>902625</v>
      </c>
      <c r="L290" t="s">
        <v>137</v>
      </c>
      <c r="M290" t="s">
        <v>138</v>
      </c>
      <c r="N290" t="s">
        <v>57</v>
      </c>
      <c r="O290" s="1">
        <v>45977</v>
      </c>
      <c r="Q290" s="1">
        <v>46219</v>
      </c>
      <c r="R290" s="2">
        <v>21.08</v>
      </c>
      <c r="S290">
        <v>1</v>
      </c>
      <c r="T290" t="s">
        <v>58</v>
      </c>
      <c r="U290" t="s">
        <v>59</v>
      </c>
      <c r="V290" s="3">
        <v>0.42</v>
      </c>
      <c r="W290" s="2">
        <v>0</v>
      </c>
      <c r="X290">
        <v>0</v>
      </c>
      <c r="Y290" t="s">
        <v>60</v>
      </c>
      <c r="Z290" t="s">
        <v>239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8.85</v>
      </c>
      <c r="AN290" s="2">
        <v>8.85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46188</v>
      </c>
      <c r="B291" t="s">
        <v>48</v>
      </c>
      <c r="C291">
        <v>649163</v>
      </c>
      <c r="D291">
        <v>2032192507</v>
      </c>
      <c r="E291" t="s">
        <v>573</v>
      </c>
      <c r="F291" t="s">
        <v>574</v>
      </c>
      <c r="G291" t="s">
        <v>51</v>
      </c>
      <c r="H291" t="s">
        <v>193</v>
      </c>
      <c r="I291" t="s">
        <v>182</v>
      </c>
      <c r="J291" t="s">
        <v>202</v>
      </c>
      <c r="K291">
        <v>902625</v>
      </c>
      <c r="L291" t="s">
        <v>137</v>
      </c>
      <c r="M291" t="s">
        <v>138</v>
      </c>
      <c r="N291" t="s">
        <v>57</v>
      </c>
      <c r="O291" s="1">
        <v>45977</v>
      </c>
      <c r="Q291" s="1">
        <v>46219</v>
      </c>
      <c r="R291" s="2">
        <v>24.61</v>
      </c>
      <c r="S291">
        <v>1</v>
      </c>
      <c r="T291" t="s">
        <v>58</v>
      </c>
      <c r="U291" t="s">
        <v>59</v>
      </c>
      <c r="V291" s="3">
        <v>0.7</v>
      </c>
      <c r="W291" s="2">
        <v>0</v>
      </c>
      <c r="X291">
        <v>0</v>
      </c>
      <c r="Y291" t="s">
        <v>60</v>
      </c>
      <c r="Z291" t="s">
        <v>239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17.23</v>
      </c>
      <c r="AN291" s="2">
        <v>17.23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46188</v>
      </c>
      <c r="B292" t="s">
        <v>48</v>
      </c>
      <c r="C292">
        <v>649163</v>
      </c>
      <c r="D292">
        <v>2032204649</v>
      </c>
      <c r="E292" t="s">
        <v>378</v>
      </c>
      <c r="F292" t="s">
        <v>151</v>
      </c>
      <c r="G292" t="s">
        <v>51</v>
      </c>
      <c r="H292" t="s">
        <v>119</v>
      </c>
      <c r="I292" t="s">
        <v>182</v>
      </c>
      <c r="J292" t="s">
        <v>183</v>
      </c>
      <c r="K292">
        <v>820873</v>
      </c>
      <c r="L292" t="s">
        <v>128</v>
      </c>
      <c r="M292" t="s">
        <v>129</v>
      </c>
      <c r="N292" t="s">
        <v>57</v>
      </c>
      <c r="O292" s="1">
        <v>45979</v>
      </c>
      <c r="Q292" s="1">
        <v>46221</v>
      </c>
      <c r="R292" s="2">
        <v>26.5</v>
      </c>
      <c r="S292">
        <v>1</v>
      </c>
      <c r="T292" t="s">
        <v>58</v>
      </c>
      <c r="U292" t="s">
        <v>59</v>
      </c>
      <c r="V292" s="3">
        <v>0.7</v>
      </c>
      <c r="W292" s="2">
        <v>0</v>
      </c>
      <c r="X292">
        <v>0</v>
      </c>
      <c r="Y292" t="s">
        <v>60</v>
      </c>
      <c r="Z292" t="s">
        <v>239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18.55</v>
      </c>
      <c r="AN292" s="2">
        <v>18.55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46188</v>
      </c>
      <c r="B293" t="s">
        <v>48</v>
      </c>
      <c r="C293">
        <v>649163</v>
      </c>
      <c r="D293">
        <v>2032206980</v>
      </c>
      <c r="E293" t="s">
        <v>575</v>
      </c>
      <c r="F293" t="s">
        <v>349</v>
      </c>
      <c r="G293" t="s">
        <v>51</v>
      </c>
      <c r="H293" t="s">
        <v>145</v>
      </c>
      <c r="I293" t="s">
        <v>182</v>
      </c>
      <c r="J293" t="s">
        <v>202</v>
      </c>
      <c r="K293">
        <v>812656</v>
      </c>
      <c r="L293" t="s">
        <v>414</v>
      </c>
      <c r="M293" t="s">
        <v>415</v>
      </c>
      <c r="N293" t="s">
        <v>57</v>
      </c>
      <c r="O293" s="1">
        <v>45979</v>
      </c>
      <c r="Q293" s="1">
        <v>46221</v>
      </c>
      <c r="R293" s="2">
        <v>21.44</v>
      </c>
      <c r="S293">
        <v>1</v>
      </c>
      <c r="T293" t="s">
        <v>58</v>
      </c>
      <c r="U293" t="s">
        <v>59</v>
      </c>
      <c r="V293" s="3">
        <v>0.7</v>
      </c>
      <c r="W293" s="2">
        <v>0</v>
      </c>
      <c r="X293">
        <v>0</v>
      </c>
      <c r="Y293" t="s">
        <v>60</v>
      </c>
      <c r="Z293" t="s">
        <v>239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15.01</v>
      </c>
      <c r="AN293" s="2">
        <v>15.01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46188</v>
      </c>
      <c r="B294" t="s">
        <v>48</v>
      </c>
      <c r="C294">
        <v>649163</v>
      </c>
      <c r="D294">
        <v>2032208234</v>
      </c>
      <c r="E294" t="s">
        <v>379</v>
      </c>
      <c r="F294" t="s">
        <v>380</v>
      </c>
      <c r="G294" t="s">
        <v>51</v>
      </c>
      <c r="H294" t="s">
        <v>95</v>
      </c>
      <c r="I294" t="s">
        <v>182</v>
      </c>
      <c r="J294" t="s">
        <v>183</v>
      </c>
      <c r="K294">
        <v>856824</v>
      </c>
      <c r="L294" t="s">
        <v>205</v>
      </c>
      <c r="M294" t="s">
        <v>206</v>
      </c>
      <c r="N294" t="s">
        <v>57</v>
      </c>
      <c r="O294" s="1">
        <v>45979</v>
      </c>
      <c r="Q294" s="1">
        <v>46221</v>
      </c>
      <c r="R294" s="2">
        <v>8.58</v>
      </c>
      <c r="S294">
        <v>1</v>
      </c>
      <c r="T294" t="s">
        <v>58</v>
      </c>
      <c r="U294" t="s">
        <v>59</v>
      </c>
      <c r="V294" s="3">
        <v>0.7</v>
      </c>
      <c r="W294" s="2">
        <v>0</v>
      </c>
      <c r="X294">
        <v>0</v>
      </c>
      <c r="Y294" t="s">
        <v>60</v>
      </c>
      <c r="Z294" t="s">
        <v>239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6.01</v>
      </c>
      <c r="AN294" s="2">
        <v>6.01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46188</v>
      </c>
      <c r="B295" t="s">
        <v>48</v>
      </c>
      <c r="C295">
        <v>649163</v>
      </c>
      <c r="D295">
        <v>2032208387</v>
      </c>
      <c r="E295" t="s">
        <v>381</v>
      </c>
      <c r="F295" t="s">
        <v>272</v>
      </c>
      <c r="G295" t="s">
        <v>51</v>
      </c>
      <c r="H295" t="s">
        <v>305</v>
      </c>
      <c r="I295" t="s">
        <v>182</v>
      </c>
      <c r="J295" t="s">
        <v>183</v>
      </c>
      <c r="K295">
        <v>816021</v>
      </c>
      <c r="L295" t="s">
        <v>312</v>
      </c>
      <c r="M295" t="s">
        <v>313</v>
      </c>
      <c r="N295" t="s">
        <v>57</v>
      </c>
      <c r="O295" s="1">
        <v>45979</v>
      </c>
      <c r="Q295" s="1">
        <v>46221</v>
      </c>
      <c r="R295" s="2">
        <v>9.1</v>
      </c>
      <c r="S295">
        <v>1</v>
      </c>
      <c r="T295" t="s">
        <v>58</v>
      </c>
      <c r="U295" t="s">
        <v>59</v>
      </c>
      <c r="V295" s="3">
        <v>0.7</v>
      </c>
      <c r="W295" s="2">
        <v>0</v>
      </c>
      <c r="X295">
        <v>0</v>
      </c>
      <c r="Y295" t="s">
        <v>60</v>
      </c>
      <c r="Z295" t="s">
        <v>239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6.37</v>
      </c>
      <c r="AN295" s="2">
        <v>6.37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46188</v>
      </c>
      <c r="B296" t="s">
        <v>48</v>
      </c>
      <c r="C296">
        <v>649163</v>
      </c>
      <c r="D296">
        <v>2032208390</v>
      </c>
      <c r="E296" t="s">
        <v>381</v>
      </c>
      <c r="F296" t="s">
        <v>272</v>
      </c>
      <c r="G296" t="s">
        <v>51</v>
      </c>
      <c r="H296" t="s">
        <v>305</v>
      </c>
      <c r="I296" t="s">
        <v>182</v>
      </c>
      <c r="J296" t="s">
        <v>194</v>
      </c>
      <c r="K296">
        <v>816021</v>
      </c>
      <c r="L296" t="s">
        <v>312</v>
      </c>
      <c r="M296" t="s">
        <v>313</v>
      </c>
      <c r="N296" t="s">
        <v>57</v>
      </c>
      <c r="O296" s="1">
        <v>45979</v>
      </c>
      <c r="Q296" s="1">
        <v>46221</v>
      </c>
      <c r="R296" s="2">
        <v>37</v>
      </c>
      <c r="S296">
        <v>1</v>
      </c>
      <c r="T296" t="s">
        <v>58</v>
      </c>
      <c r="U296" t="s">
        <v>59</v>
      </c>
      <c r="V296" s="3">
        <v>0.9</v>
      </c>
      <c r="W296" s="2">
        <v>0</v>
      </c>
      <c r="X296">
        <v>0</v>
      </c>
      <c r="Y296" t="s">
        <v>60</v>
      </c>
      <c r="Z296" t="s">
        <v>239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33.299999999999997</v>
      </c>
      <c r="AN296" s="2">
        <v>33.299999999999997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46188</v>
      </c>
      <c r="B297" t="s">
        <v>48</v>
      </c>
      <c r="C297">
        <v>649163</v>
      </c>
      <c r="D297">
        <v>2032222104</v>
      </c>
      <c r="E297" t="s">
        <v>576</v>
      </c>
      <c r="F297" t="s">
        <v>250</v>
      </c>
      <c r="G297" t="s">
        <v>51</v>
      </c>
      <c r="H297" t="s">
        <v>305</v>
      </c>
      <c r="I297" t="s">
        <v>182</v>
      </c>
      <c r="J297" t="s">
        <v>183</v>
      </c>
      <c r="K297">
        <v>816021</v>
      </c>
      <c r="L297" t="s">
        <v>312</v>
      </c>
      <c r="M297" t="s">
        <v>313</v>
      </c>
      <c r="N297" t="s">
        <v>57</v>
      </c>
      <c r="O297" s="1">
        <v>45979</v>
      </c>
      <c r="Q297" s="1">
        <v>46221</v>
      </c>
      <c r="R297" s="2">
        <v>18.2</v>
      </c>
      <c r="S297">
        <v>1</v>
      </c>
      <c r="T297" t="s">
        <v>58</v>
      </c>
      <c r="U297" t="s">
        <v>59</v>
      </c>
      <c r="V297" s="3">
        <v>0.7</v>
      </c>
      <c r="W297" s="2">
        <v>0</v>
      </c>
      <c r="X297">
        <v>0</v>
      </c>
      <c r="Y297" t="s">
        <v>60</v>
      </c>
      <c r="Z297" t="s">
        <v>239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12.74</v>
      </c>
      <c r="AN297" s="2">
        <v>12.74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46188</v>
      </c>
      <c r="B298" t="s">
        <v>48</v>
      </c>
      <c r="C298">
        <v>649163</v>
      </c>
      <c r="D298">
        <v>2032222373</v>
      </c>
      <c r="E298" t="s">
        <v>577</v>
      </c>
      <c r="F298" t="s">
        <v>578</v>
      </c>
      <c r="G298" t="s">
        <v>51</v>
      </c>
      <c r="H298" t="s">
        <v>70</v>
      </c>
      <c r="I298" t="s">
        <v>182</v>
      </c>
      <c r="J298" t="s">
        <v>183</v>
      </c>
      <c r="K298">
        <v>822733</v>
      </c>
      <c r="L298" t="s">
        <v>444</v>
      </c>
      <c r="M298" t="s">
        <v>445</v>
      </c>
      <c r="N298" t="s">
        <v>57</v>
      </c>
      <c r="O298" s="1">
        <v>45979</v>
      </c>
      <c r="Q298" s="1">
        <v>46221</v>
      </c>
      <c r="R298" s="2">
        <v>45.46</v>
      </c>
      <c r="S298">
        <v>1</v>
      </c>
      <c r="T298" t="s">
        <v>58</v>
      </c>
      <c r="U298" t="s">
        <v>59</v>
      </c>
      <c r="V298" s="3">
        <v>0.7</v>
      </c>
      <c r="W298" s="2">
        <v>0</v>
      </c>
      <c r="X298">
        <v>0</v>
      </c>
      <c r="Y298" t="s">
        <v>60</v>
      </c>
      <c r="Z298" t="s">
        <v>239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31.82</v>
      </c>
      <c r="AN298" s="2">
        <v>31.82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46188</v>
      </c>
      <c r="B299" t="s">
        <v>48</v>
      </c>
      <c r="C299">
        <v>649163</v>
      </c>
      <c r="D299">
        <v>2032223333</v>
      </c>
      <c r="E299" t="s">
        <v>577</v>
      </c>
      <c r="F299" t="s">
        <v>579</v>
      </c>
      <c r="G299" t="s">
        <v>51</v>
      </c>
      <c r="H299" t="s">
        <v>70</v>
      </c>
      <c r="I299" t="s">
        <v>182</v>
      </c>
      <c r="J299" t="s">
        <v>183</v>
      </c>
      <c r="K299">
        <v>822733</v>
      </c>
      <c r="L299" t="s">
        <v>444</v>
      </c>
      <c r="M299" t="s">
        <v>445</v>
      </c>
      <c r="N299" t="s">
        <v>57</v>
      </c>
      <c r="O299" s="1">
        <v>45980</v>
      </c>
      <c r="Q299" s="1">
        <v>46222</v>
      </c>
      <c r="R299" s="2">
        <v>85.36</v>
      </c>
      <c r="S299">
        <v>1</v>
      </c>
      <c r="T299" t="s">
        <v>58</v>
      </c>
      <c r="U299" t="s">
        <v>59</v>
      </c>
      <c r="V299" s="3">
        <v>0.7</v>
      </c>
      <c r="W299" s="2">
        <v>0</v>
      </c>
      <c r="X299">
        <v>0</v>
      </c>
      <c r="Y299" t="s">
        <v>60</v>
      </c>
      <c r="Z299" t="s">
        <v>239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59.75</v>
      </c>
      <c r="AN299" s="2">
        <v>59.75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46188</v>
      </c>
      <c r="B300" t="s">
        <v>48</v>
      </c>
      <c r="C300">
        <v>649163</v>
      </c>
      <c r="D300">
        <v>2032229006</v>
      </c>
      <c r="E300" t="s">
        <v>580</v>
      </c>
      <c r="F300" t="s">
        <v>581</v>
      </c>
      <c r="G300" t="s">
        <v>51</v>
      </c>
      <c r="H300" t="s">
        <v>119</v>
      </c>
      <c r="I300" t="s">
        <v>182</v>
      </c>
      <c r="J300" t="s">
        <v>183</v>
      </c>
      <c r="K300">
        <v>806645</v>
      </c>
      <c r="L300" t="s">
        <v>406</v>
      </c>
      <c r="M300" t="s">
        <v>407</v>
      </c>
      <c r="N300" t="s">
        <v>57</v>
      </c>
      <c r="O300" s="1">
        <v>45980</v>
      </c>
      <c r="Q300" s="1">
        <v>46222</v>
      </c>
      <c r="R300" s="2">
        <v>58.24</v>
      </c>
      <c r="S300">
        <v>1</v>
      </c>
      <c r="T300" t="s">
        <v>58</v>
      </c>
      <c r="U300" t="s">
        <v>59</v>
      </c>
      <c r="V300" s="3">
        <v>0.7</v>
      </c>
      <c r="W300" s="2">
        <v>0</v>
      </c>
      <c r="X300">
        <v>0</v>
      </c>
      <c r="Y300" t="s">
        <v>60</v>
      </c>
      <c r="Z300" t="s">
        <v>239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40.770000000000003</v>
      </c>
      <c r="AN300" s="2">
        <v>40.770000000000003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46188</v>
      </c>
      <c r="B301" t="s">
        <v>48</v>
      </c>
      <c r="C301">
        <v>649163</v>
      </c>
      <c r="D301">
        <v>2032231789</v>
      </c>
      <c r="E301" t="s">
        <v>582</v>
      </c>
      <c r="F301" t="s">
        <v>233</v>
      </c>
      <c r="G301" t="s">
        <v>51</v>
      </c>
      <c r="H301" t="s">
        <v>193</v>
      </c>
      <c r="I301" t="s">
        <v>182</v>
      </c>
      <c r="J301" t="s">
        <v>194</v>
      </c>
      <c r="K301">
        <v>823068</v>
      </c>
      <c r="L301" t="s">
        <v>195</v>
      </c>
      <c r="M301" t="s">
        <v>196</v>
      </c>
      <c r="N301" t="s">
        <v>57</v>
      </c>
      <c r="O301" s="1">
        <v>45980</v>
      </c>
      <c r="Q301" s="1">
        <v>46222</v>
      </c>
      <c r="R301" s="2">
        <v>35.85</v>
      </c>
      <c r="S301">
        <v>1</v>
      </c>
      <c r="T301" t="s">
        <v>58</v>
      </c>
      <c r="U301" t="s">
        <v>59</v>
      </c>
      <c r="V301" s="3">
        <v>0.9</v>
      </c>
      <c r="W301" s="2">
        <v>0</v>
      </c>
      <c r="X301">
        <v>0</v>
      </c>
      <c r="Y301" t="s">
        <v>60</v>
      </c>
      <c r="Z301" t="s">
        <v>239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32.26</v>
      </c>
      <c r="AN301" s="2">
        <v>32.26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46188</v>
      </c>
      <c r="B302" t="s">
        <v>48</v>
      </c>
      <c r="C302">
        <v>649163</v>
      </c>
      <c r="D302">
        <v>2032236389</v>
      </c>
      <c r="E302" t="s">
        <v>583</v>
      </c>
      <c r="F302" t="s">
        <v>584</v>
      </c>
      <c r="G302" t="s">
        <v>51</v>
      </c>
      <c r="H302" t="s">
        <v>585</v>
      </c>
      <c r="I302" t="s">
        <v>182</v>
      </c>
      <c r="J302" t="s">
        <v>183</v>
      </c>
      <c r="K302">
        <v>767312</v>
      </c>
      <c r="L302" t="s">
        <v>171</v>
      </c>
      <c r="M302" t="s">
        <v>172</v>
      </c>
      <c r="N302" t="s">
        <v>57</v>
      </c>
      <c r="O302" s="1">
        <v>45980</v>
      </c>
      <c r="Q302" s="1">
        <v>46222</v>
      </c>
      <c r="R302" s="2">
        <v>55.68</v>
      </c>
      <c r="S302">
        <v>1</v>
      </c>
      <c r="T302" t="s">
        <v>58</v>
      </c>
      <c r="U302" t="s">
        <v>59</v>
      </c>
      <c r="V302" s="3">
        <v>0.7</v>
      </c>
      <c r="W302" s="2">
        <v>0</v>
      </c>
      <c r="X302">
        <v>0</v>
      </c>
      <c r="Y302" t="s">
        <v>60</v>
      </c>
      <c r="Z302" t="s">
        <v>239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38.979999999999997</v>
      </c>
      <c r="AN302" s="2">
        <v>38.979999999999997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46188</v>
      </c>
      <c r="B303" t="s">
        <v>48</v>
      </c>
      <c r="C303">
        <v>649163</v>
      </c>
      <c r="D303">
        <v>2032236390</v>
      </c>
      <c r="E303" t="s">
        <v>583</v>
      </c>
      <c r="F303" t="s">
        <v>584</v>
      </c>
      <c r="G303" t="s">
        <v>51</v>
      </c>
      <c r="H303" t="s">
        <v>585</v>
      </c>
      <c r="I303" t="s">
        <v>182</v>
      </c>
      <c r="J303" t="s">
        <v>194</v>
      </c>
      <c r="K303">
        <v>767312</v>
      </c>
      <c r="L303" t="s">
        <v>171</v>
      </c>
      <c r="M303" t="s">
        <v>172</v>
      </c>
      <c r="N303" t="s">
        <v>57</v>
      </c>
      <c r="O303" s="1">
        <v>45980</v>
      </c>
      <c r="Q303" s="1">
        <v>46222</v>
      </c>
      <c r="R303" s="2">
        <v>21.83</v>
      </c>
      <c r="S303">
        <v>1</v>
      </c>
      <c r="T303" t="s">
        <v>58</v>
      </c>
      <c r="U303" t="s">
        <v>59</v>
      </c>
      <c r="V303" s="3">
        <v>0.9</v>
      </c>
      <c r="W303" s="2">
        <v>0</v>
      </c>
      <c r="X303">
        <v>0</v>
      </c>
      <c r="Y303" t="s">
        <v>60</v>
      </c>
      <c r="Z303" t="s">
        <v>239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19.649999999999999</v>
      </c>
      <c r="AN303" s="2">
        <v>19.649999999999999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46188</v>
      </c>
      <c r="B304" t="s">
        <v>48</v>
      </c>
      <c r="C304">
        <v>649163</v>
      </c>
      <c r="D304">
        <v>2032256023</v>
      </c>
      <c r="E304" t="s">
        <v>586</v>
      </c>
      <c r="F304" t="s">
        <v>494</v>
      </c>
      <c r="G304" t="s">
        <v>51</v>
      </c>
      <c r="H304" t="s">
        <v>305</v>
      </c>
      <c r="I304" t="s">
        <v>182</v>
      </c>
      <c r="J304" t="s">
        <v>183</v>
      </c>
      <c r="K304">
        <v>796984</v>
      </c>
      <c r="L304" t="s">
        <v>306</v>
      </c>
      <c r="M304" t="s">
        <v>307</v>
      </c>
      <c r="N304" t="s">
        <v>57</v>
      </c>
      <c r="O304" s="1">
        <v>45981</v>
      </c>
      <c r="Q304" s="1">
        <v>46193</v>
      </c>
      <c r="R304" s="2">
        <v>-9.1</v>
      </c>
      <c r="S304">
        <v>1</v>
      </c>
      <c r="T304" t="s">
        <v>58</v>
      </c>
      <c r="U304" t="s">
        <v>59</v>
      </c>
      <c r="V304" s="3">
        <v>0.7</v>
      </c>
      <c r="W304" s="2">
        <v>0</v>
      </c>
      <c r="X304">
        <v>-1</v>
      </c>
      <c r="Y304" t="s">
        <v>60</v>
      </c>
      <c r="Z304" t="s">
        <v>239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-6.37</v>
      </c>
      <c r="AN304" s="2">
        <v>-6.37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46188</v>
      </c>
      <c r="B305" t="s">
        <v>48</v>
      </c>
      <c r="C305">
        <v>649163</v>
      </c>
      <c r="D305">
        <v>2032256023</v>
      </c>
      <c r="E305" t="s">
        <v>586</v>
      </c>
      <c r="F305" t="s">
        <v>494</v>
      </c>
      <c r="G305" t="s">
        <v>51</v>
      </c>
      <c r="H305" t="s">
        <v>305</v>
      </c>
      <c r="I305" t="s">
        <v>182</v>
      </c>
      <c r="J305" t="s">
        <v>183</v>
      </c>
      <c r="K305">
        <v>796984</v>
      </c>
      <c r="L305" t="s">
        <v>306</v>
      </c>
      <c r="M305" t="s">
        <v>307</v>
      </c>
      <c r="N305" t="s">
        <v>57</v>
      </c>
      <c r="O305" s="1">
        <v>45981</v>
      </c>
      <c r="Q305" s="1">
        <v>46193</v>
      </c>
      <c r="R305" s="2">
        <v>-9.1</v>
      </c>
      <c r="S305">
        <v>1</v>
      </c>
      <c r="T305" t="s">
        <v>58</v>
      </c>
      <c r="U305" t="s">
        <v>59</v>
      </c>
      <c r="V305" s="3">
        <v>0.7</v>
      </c>
      <c r="W305" s="2">
        <v>0</v>
      </c>
      <c r="X305">
        <v>-1</v>
      </c>
      <c r="Y305" t="s">
        <v>60</v>
      </c>
      <c r="Z305" t="s">
        <v>239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-6.37</v>
      </c>
      <c r="AN305" s="2">
        <v>-6.37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46188</v>
      </c>
      <c r="B306" t="s">
        <v>48</v>
      </c>
      <c r="C306">
        <v>649163</v>
      </c>
      <c r="D306">
        <v>2032256023</v>
      </c>
      <c r="E306" t="s">
        <v>586</v>
      </c>
      <c r="F306" t="s">
        <v>494</v>
      </c>
      <c r="G306" t="s">
        <v>51</v>
      </c>
      <c r="H306" t="s">
        <v>305</v>
      </c>
      <c r="I306" t="s">
        <v>182</v>
      </c>
      <c r="J306" t="s">
        <v>183</v>
      </c>
      <c r="K306">
        <v>796984</v>
      </c>
      <c r="L306" t="s">
        <v>306</v>
      </c>
      <c r="M306" t="s">
        <v>307</v>
      </c>
      <c r="N306" t="s">
        <v>57</v>
      </c>
      <c r="O306" s="1">
        <v>45981</v>
      </c>
      <c r="Q306" s="1">
        <v>46193</v>
      </c>
      <c r="R306" s="2">
        <v>-9.1</v>
      </c>
      <c r="S306">
        <v>1</v>
      </c>
      <c r="T306" t="s">
        <v>58</v>
      </c>
      <c r="U306" t="s">
        <v>59</v>
      </c>
      <c r="V306" s="3">
        <v>0.7</v>
      </c>
      <c r="W306" s="2">
        <v>0</v>
      </c>
      <c r="X306">
        <v>-1</v>
      </c>
      <c r="Y306" t="s">
        <v>60</v>
      </c>
      <c r="Z306" t="s">
        <v>239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-6.37</v>
      </c>
      <c r="AN306" s="2">
        <v>-6.37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46188</v>
      </c>
      <c r="B307" t="s">
        <v>48</v>
      </c>
      <c r="C307">
        <v>649163</v>
      </c>
      <c r="D307">
        <v>2032256023</v>
      </c>
      <c r="E307" t="s">
        <v>586</v>
      </c>
      <c r="F307" t="s">
        <v>494</v>
      </c>
      <c r="G307" t="s">
        <v>51</v>
      </c>
      <c r="H307" t="s">
        <v>305</v>
      </c>
      <c r="I307" t="s">
        <v>182</v>
      </c>
      <c r="J307" t="s">
        <v>183</v>
      </c>
      <c r="K307">
        <v>796984</v>
      </c>
      <c r="L307" t="s">
        <v>306</v>
      </c>
      <c r="M307" t="s">
        <v>307</v>
      </c>
      <c r="N307" t="s">
        <v>57</v>
      </c>
      <c r="O307" s="1">
        <v>45981</v>
      </c>
      <c r="Q307" s="1">
        <v>46193</v>
      </c>
      <c r="R307" s="2">
        <v>-9.1</v>
      </c>
      <c r="S307">
        <v>1</v>
      </c>
      <c r="T307" t="s">
        <v>58</v>
      </c>
      <c r="U307" t="s">
        <v>59</v>
      </c>
      <c r="V307" s="3">
        <v>0.7</v>
      </c>
      <c r="W307" s="2">
        <v>0</v>
      </c>
      <c r="X307">
        <v>-1</v>
      </c>
      <c r="Y307" t="s">
        <v>60</v>
      </c>
      <c r="Z307" t="s">
        <v>239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-6.37</v>
      </c>
      <c r="AN307" s="2">
        <v>-6.37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46188</v>
      </c>
      <c r="B308" t="s">
        <v>48</v>
      </c>
      <c r="C308">
        <v>649163</v>
      </c>
      <c r="D308">
        <v>2032256023</v>
      </c>
      <c r="E308" t="s">
        <v>586</v>
      </c>
      <c r="F308" t="s">
        <v>494</v>
      </c>
      <c r="G308" t="s">
        <v>51</v>
      </c>
      <c r="H308" t="s">
        <v>305</v>
      </c>
      <c r="I308" t="s">
        <v>182</v>
      </c>
      <c r="J308" t="s">
        <v>183</v>
      </c>
      <c r="K308">
        <v>796984</v>
      </c>
      <c r="L308" t="s">
        <v>306</v>
      </c>
      <c r="M308" t="s">
        <v>307</v>
      </c>
      <c r="N308" t="s">
        <v>57</v>
      </c>
      <c r="O308" s="1">
        <v>45981</v>
      </c>
      <c r="Q308" s="1">
        <v>46193</v>
      </c>
      <c r="R308" s="2">
        <v>27.3</v>
      </c>
      <c r="S308">
        <v>1</v>
      </c>
      <c r="T308" t="s">
        <v>58</v>
      </c>
      <c r="U308" t="s">
        <v>59</v>
      </c>
      <c r="V308" s="3">
        <v>0.7</v>
      </c>
      <c r="W308" s="2">
        <v>0</v>
      </c>
      <c r="X308">
        <v>0</v>
      </c>
      <c r="Y308" t="s">
        <v>60</v>
      </c>
      <c r="Z308" t="s">
        <v>239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19.11</v>
      </c>
      <c r="AN308" s="2">
        <v>19.11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46188</v>
      </c>
      <c r="B309" t="s">
        <v>48</v>
      </c>
      <c r="C309">
        <v>649163</v>
      </c>
      <c r="D309">
        <v>2032307208</v>
      </c>
      <c r="E309" t="s">
        <v>382</v>
      </c>
      <c r="F309" t="s">
        <v>383</v>
      </c>
      <c r="G309" t="s">
        <v>51</v>
      </c>
      <c r="H309" t="s">
        <v>95</v>
      </c>
      <c r="I309" t="s">
        <v>182</v>
      </c>
      <c r="J309" t="s">
        <v>183</v>
      </c>
      <c r="K309">
        <v>823350</v>
      </c>
      <c r="L309" t="s">
        <v>73</v>
      </c>
      <c r="M309" t="s">
        <v>116</v>
      </c>
      <c r="N309" t="s">
        <v>242</v>
      </c>
      <c r="O309" s="1">
        <v>46023</v>
      </c>
      <c r="P309" s="1">
        <v>46188</v>
      </c>
      <c r="Q309" s="1">
        <v>46204</v>
      </c>
      <c r="R309" s="2">
        <v>-49.49</v>
      </c>
      <c r="S309">
        <v>1</v>
      </c>
      <c r="T309" t="s">
        <v>58</v>
      </c>
      <c r="U309" t="s">
        <v>59</v>
      </c>
      <c r="V309" s="3">
        <v>0.7</v>
      </c>
      <c r="W309" s="2">
        <v>0</v>
      </c>
      <c r="X309">
        <v>-1</v>
      </c>
      <c r="Y309" t="s">
        <v>60</v>
      </c>
      <c r="Z309" t="s">
        <v>239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-34.64</v>
      </c>
      <c r="AN309" s="2">
        <v>-34.64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46188</v>
      </c>
      <c r="B310" t="s">
        <v>48</v>
      </c>
      <c r="C310">
        <v>649163</v>
      </c>
      <c r="D310">
        <v>2032445033</v>
      </c>
      <c r="E310" t="s">
        <v>384</v>
      </c>
      <c r="F310" t="s">
        <v>307</v>
      </c>
      <c r="G310" t="s">
        <v>51</v>
      </c>
      <c r="H310" t="s">
        <v>119</v>
      </c>
      <c r="I310" t="s">
        <v>182</v>
      </c>
      <c r="J310" t="s">
        <v>183</v>
      </c>
      <c r="K310">
        <v>824062</v>
      </c>
      <c r="L310" t="s">
        <v>385</v>
      </c>
      <c r="M310" t="s">
        <v>386</v>
      </c>
      <c r="N310" t="s">
        <v>57</v>
      </c>
      <c r="O310" s="1">
        <v>46006</v>
      </c>
      <c r="Q310" s="1">
        <v>46218</v>
      </c>
      <c r="R310" s="2">
        <v>22</v>
      </c>
      <c r="S310">
        <v>1</v>
      </c>
      <c r="T310" t="s">
        <v>58</v>
      </c>
      <c r="U310" t="s">
        <v>59</v>
      </c>
      <c r="V310" s="3">
        <v>0.7</v>
      </c>
      <c r="W310" s="2">
        <v>0</v>
      </c>
      <c r="X310">
        <v>0</v>
      </c>
      <c r="Y310" t="s">
        <v>60</v>
      </c>
      <c r="Z310" t="s">
        <v>239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15.4</v>
      </c>
      <c r="AN310" s="2">
        <v>15.4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46188</v>
      </c>
      <c r="B311" t="s">
        <v>48</v>
      </c>
      <c r="C311">
        <v>649163</v>
      </c>
      <c r="D311">
        <v>2032569048</v>
      </c>
      <c r="E311" t="s">
        <v>587</v>
      </c>
      <c r="F311" t="s">
        <v>588</v>
      </c>
      <c r="G311" t="s">
        <v>51</v>
      </c>
      <c r="H311" t="s">
        <v>170</v>
      </c>
      <c r="I311" t="s">
        <v>182</v>
      </c>
      <c r="J311" t="s">
        <v>183</v>
      </c>
      <c r="K311">
        <v>767312</v>
      </c>
      <c r="L311" t="s">
        <v>171</v>
      </c>
      <c r="M311" t="s">
        <v>172</v>
      </c>
      <c r="N311" t="s">
        <v>57</v>
      </c>
      <c r="O311" s="1">
        <v>46004</v>
      </c>
      <c r="Q311" s="1">
        <v>46216</v>
      </c>
      <c r="R311" s="2">
        <v>167.54</v>
      </c>
      <c r="S311">
        <v>1</v>
      </c>
      <c r="T311" t="s">
        <v>58</v>
      </c>
      <c r="U311" t="s">
        <v>59</v>
      </c>
      <c r="V311" s="3">
        <v>0.7</v>
      </c>
      <c r="W311" s="2">
        <v>0</v>
      </c>
      <c r="X311">
        <v>0</v>
      </c>
      <c r="Y311" t="s">
        <v>60</v>
      </c>
      <c r="Z311" t="s">
        <v>239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117.28</v>
      </c>
      <c r="AN311" s="2">
        <v>117.28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46188</v>
      </c>
      <c r="B312" t="s">
        <v>48</v>
      </c>
      <c r="C312">
        <v>649163</v>
      </c>
      <c r="D312">
        <v>2032569049</v>
      </c>
      <c r="E312" t="s">
        <v>587</v>
      </c>
      <c r="F312" t="s">
        <v>588</v>
      </c>
      <c r="G312" t="s">
        <v>51</v>
      </c>
      <c r="H312" t="s">
        <v>170</v>
      </c>
      <c r="I312" t="s">
        <v>182</v>
      </c>
      <c r="J312" t="s">
        <v>194</v>
      </c>
      <c r="K312">
        <v>767312</v>
      </c>
      <c r="L312" t="s">
        <v>171</v>
      </c>
      <c r="M312" t="s">
        <v>172</v>
      </c>
      <c r="N312" t="s">
        <v>57</v>
      </c>
      <c r="O312" s="1">
        <v>46004</v>
      </c>
      <c r="Q312" s="1">
        <v>46216</v>
      </c>
      <c r="R312" s="2">
        <v>57.35</v>
      </c>
      <c r="S312">
        <v>1</v>
      </c>
      <c r="T312" t="s">
        <v>58</v>
      </c>
      <c r="U312" t="s">
        <v>59</v>
      </c>
      <c r="V312" s="3">
        <v>0.9</v>
      </c>
      <c r="W312" s="2">
        <v>0</v>
      </c>
      <c r="X312">
        <v>0</v>
      </c>
      <c r="Y312" t="s">
        <v>60</v>
      </c>
      <c r="Z312" t="s">
        <v>239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51.62</v>
      </c>
      <c r="AN312" s="2">
        <v>51.62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46188</v>
      </c>
      <c r="B313" t="s">
        <v>48</v>
      </c>
      <c r="C313">
        <v>649163</v>
      </c>
      <c r="D313">
        <v>2032605394</v>
      </c>
      <c r="E313" t="s">
        <v>589</v>
      </c>
      <c r="F313" t="s">
        <v>590</v>
      </c>
      <c r="G313" t="s">
        <v>51</v>
      </c>
      <c r="H313" t="s">
        <v>119</v>
      </c>
      <c r="I313" t="s">
        <v>182</v>
      </c>
      <c r="J313" t="s">
        <v>183</v>
      </c>
      <c r="K313">
        <v>812656</v>
      </c>
      <c r="L313" t="s">
        <v>414</v>
      </c>
      <c r="M313" t="s">
        <v>415</v>
      </c>
      <c r="N313" t="s">
        <v>57</v>
      </c>
      <c r="O313" s="1">
        <v>46008</v>
      </c>
      <c r="Q313" s="1">
        <v>46220</v>
      </c>
      <c r="R313" s="2">
        <v>37.18</v>
      </c>
      <c r="S313">
        <v>1</v>
      </c>
      <c r="T313" t="s">
        <v>58</v>
      </c>
      <c r="U313" t="s">
        <v>59</v>
      </c>
      <c r="V313" s="3">
        <v>0.7</v>
      </c>
      <c r="W313" s="2">
        <v>0</v>
      </c>
      <c r="X313">
        <v>0</v>
      </c>
      <c r="Y313" t="s">
        <v>60</v>
      </c>
      <c r="Z313" t="s">
        <v>239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26.03</v>
      </c>
      <c r="AN313" s="2">
        <v>26.03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46188</v>
      </c>
      <c r="B314" t="s">
        <v>48</v>
      </c>
      <c r="C314">
        <v>649163</v>
      </c>
      <c r="D314">
        <v>2032616561</v>
      </c>
      <c r="E314" t="s">
        <v>387</v>
      </c>
      <c r="F314" t="s">
        <v>388</v>
      </c>
      <c r="G314" t="s">
        <v>51</v>
      </c>
      <c r="H314" t="s">
        <v>119</v>
      </c>
      <c r="I314" t="s">
        <v>182</v>
      </c>
      <c r="J314" t="s">
        <v>183</v>
      </c>
      <c r="K314">
        <v>823350</v>
      </c>
      <c r="L314" t="s">
        <v>73</v>
      </c>
      <c r="M314" t="s">
        <v>116</v>
      </c>
      <c r="N314" t="s">
        <v>57</v>
      </c>
      <c r="O314" s="1">
        <v>46005</v>
      </c>
      <c r="Q314" s="1">
        <v>46217</v>
      </c>
      <c r="R314" s="2">
        <v>56.07</v>
      </c>
      <c r="S314">
        <v>1</v>
      </c>
      <c r="T314" t="s">
        <v>58</v>
      </c>
      <c r="U314" t="s">
        <v>59</v>
      </c>
      <c r="V314" s="3">
        <v>0.7</v>
      </c>
      <c r="W314" s="2">
        <v>0</v>
      </c>
      <c r="X314">
        <v>0</v>
      </c>
      <c r="Y314" t="s">
        <v>60</v>
      </c>
      <c r="Z314" t="s">
        <v>239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39.25</v>
      </c>
      <c r="AN314" s="2">
        <v>39.25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46188</v>
      </c>
      <c r="B315" t="s">
        <v>48</v>
      </c>
      <c r="C315">
        <v>649163</v>
      </c>
      <c r="D315">
        <v>2032634716</v>
      </c>
      <c r="E315" t="s">
        <v>389</v>
      </c>
      <c r="F315" t="s">
        <v>390</v>
      </c>
      <c r="G315" t="s">
        <v>51</v>
      </c>
      <c r="H315" t="s">
        <v>305</v>
      </c>
      <c r="I315" t="s">
        <v>182</v>
      </c>
      <c r="J315" t="s">
        <v>183</v>
      </c>
      <c r="K315">
        <v>816021</v>
      </c>
      <c r="L315" t="s">
        <v>312</v>
      </c>
      <c r="M315" t="s">
        <v>313</v>
      </c>
      <c r="N315" t="s">
        <v>57</v>
      </c>
      <c r="O315" s="1">
        <v>46006</v>
      </c>
      <c r="Q315" s="1">
        <v>46218</v>
      </c>
      <c r="R315" s="2">
        <v>18.2</v>
      </c>
      <c r="S315">
        <v>1</v>
      </c>
      <c r="T315" t="s">
        <v>58</v>
      </c>
      <c r="U315" t="s">
        <v>59</v>
      </c>
      <c r="V315" s="3">
        <v>0.7</v>
      </c>
      <c r="W315" s="2">
        <v>0</v>
      </c>
      <c r="X315">
        <v>0</v>
      </c>
      <c r="Y315" t="s">
        <v>60</v>
      </c>
      <c r="Z315" t="s">
        <v>239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12.74</v>
      </c>
      <c r="AN315" s="2">
        <v>12.74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46188</v>
      </c>
      <c r="B316" t="s">
        <v>48</v>
      </c>
      <c r="C316">
        <v>649163</v>
      </c>
      <c r="D316">
        <v>2032645668</v>
      </c>
      <c r="E316" t="s">
        <v>591</v>
      </c>
      <c r="F316" t="s">
        <v>592</v>
      </c>
      <c r="G316" t="s">
        <v>51</v>
      </c>
      <c r="H316" t="s">
        <v>186</v>
      </c>
      <c r="I316" t="s">
        <v>182</v>
      </c>
      <c r="J316" t="s">
        <v>183</v>
      </c>
      <c r="K316">
        <v>813184</v>
      </c>
      <c r="L316" t="s">
        <v>328</v>
      </c>
      <c r="M316" t="s">
        <v>329</v>
      </c>
      <c r="N316" t="s">
        <v>57</v>
      </c>
      <c r="O316" s="1">
        <v>46004</v>
      </c>
      <c r="Q316" s="1">
        <v>46216</v>
      </c>
      <c r="R316" s="2">
        <v>27.18</v>
      </c>
      <c r="S316">
        <v>1</v>
      </c>
      <c r="T316" t="s">
        <v>58</v>
      </c>
      <c r="U316" t="s">
        <v>59</v>
      </c>
      <c r="V316" s="3">
        <v>0.7</v>
      </c>
      <c r="W316" s="2">
        <v>0</v>
      </c>
      <c r="X316">
        <v>0</v>
      </c>
      <c r="Y316" t="s">
        <v>60</v>
      </c>
      <c r="Z316" t="s">
        <v>239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19.03</v>
      </c>
      <c r="AN316" s="2">
        <v>19.03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46188</v>
      </c>
      <c r="B317" t="s">
        <v>48</v>
      </c>
      <c r="C317">
        <v>649163</v>
      </c>
      <c r="D317">
        <v>2032647790</v>
      </c>
      <c r="E317" t="s">
        <v>593</v>
      </c>
      <c r="F317" t="s">
        <v>594</v>
      </c>
      <c r="G317" t="s">
        <v>51</v>
      </c>
      <c r="H317" t="s">
        <v>70</v>
      </c>
      <c r="I317" t="s">
        <v>182</v>
      </c>
      <c r="J317" t="s">
        <v>183</v>
      </c>
      <c r="K317">
        <v>893408</v>
      </c>
      <c r="L317" t="s">
        <v>595</v>
      </c>
      <c r="M317" t="s">
        <v>596</v>
      </c>
      <c r="N317" t="s">
        <v>57</v>
      </c>
      <c r="O317" s="1">
        <v>46004</v>
      </c>
      <c r="Q317" s="1">
        <v>46216</v>
      </c>
      <c r="R317" s="2">
        <v>79.17</v>
      </c>
      <c r="S317">
        <v>1</v>
      </c>
      <c r="T317" t="s">
        <v>58</v>
      </c>
      <c r="U317" t="s">
        <v>59</v>
      </c>
      <c r="V317" s="3">
        <v>0.7</v>
      </c>
      <c r="W317" s="2">
        <v>0</v>
      </c>
      <c r="X317">
        <v>0</v>
      </c>
      <c r="Y317" t="s">
        <v>60</v>
      </c>
      <c r="Z317" t="s">
        <v>239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55.42</v>
      </c>
      <c r="AN317" s="2">
        <v>55.42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46188</v>
      </c>
      <c r="B318" t="s">
        <v>48</v>
      </c>
      <c r="C318">
        <v>649163</v>
      </c>
      <c r="D318">
        <v>2032650556</v>
      </c>
      <c r="E318" t="s">
        <v>597</v>
      </c>
      <c r="F318" t="s">
        <v>598</v>
      </c>
      <c r="G318" t="s">
        <v>51</v>
      </c>
      <c r="H318" t="s">
        <v>95</v>
      </c>
      <c r="I318" t="s">
        <v>182</v>
      </c>
      <c r="J318" t="s">
        <v>183</v>
      </c>
      <c r="K318">
        <v>806645</v>
      </c>
      <c r="L318" t="s">
        <v>406</v>
      </c>
      <c r="M318" t="s">
        <v>407</v>
      </c>
      <c r="N318" t="s">
        <v>57</v>
      </c>
      <c r="O318" s="1">
        <v>46004</v>
      </c>
      <c r="Q318" s="1">
        <v>46216</v>
      </c>
      <c r="R318" s="2">
        <v>33.979999999999997</v>
      </c>
      <c r="S318">
        <v>1</v>
      </c>
      <c r="T318" t="s">
        <v>58</v>
      </c>
      <c r="U318" t="s">
        <v>59</v>
      </c>
      <c r="V318" s="3">
        <v>0.7</v>
      </c>
      <c r="W318" s="2">
        <v>0</v>
      </c>
      <c r="X318">
        <v>0</v>
      </c>
      <c r="Y318" t="s">
        <v>60</v>
      </c>
      <c r="Z318" t="s">
        <v>239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23.79</v>
      </c>
      <c r="AN318" s="2">
        <v>23.79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46188</v>
      </c>
      <c r="B319" t="s">
        <v>48</v>
      </c>
      <c r="C319">
        <v>649163</v>
      </c>
      <c r="D319">
        <v>2032652629</v>
      </c>
      <c r="E319" t="s">
        <v>391</v>
      </c>
      <c r="F319" t="s">
        <v>392</v>
      </c>
      <c r="G319" t="s">
        <v>51</v>
      </c>
      <c r="H319" t="s">
        <v>186</v>
      </c>
      <c r="I319" t="s">
        <v>182</v>
      </c>
      <c r="J319" t="s">
        <v>183</v>
      </c>
      <c r="K319">
        <v>813184</v>
      </c>
      <c r="L319" t="s">
        <v>328</v>
      </c>
      <c r="M319" t="s">
        <v>329</v>
      </c>
      <c r="N319" t="s">
        <v>57</v>
      </c>
      <c r="O319" s="1">
        <v>46004</v>
      </c>
      <c r="Q319" s="1">
        <v>46216</v>
      </c>
      <c r="R319" s="2">
        <v>89.8</v>
      </c>
      <c r="S319">
        <v>1</v>
      </c>
      <c r="T319" t="s">
        <v>58</v>
      </c>
      <c r="U319" t="s">
        <v>59</v>
      </c>
      <c r="V319" s="3">
        <v>0.7</v>
      </c>
      <c r="W319" s="2">
        <v>0</v>
      </c>
      <c r="X319">
        <v>0</v>
      </c>
      <c r="Y319" t="s">
        <v>60</v>
      </c>
      <c r="Z319" t="s">
        <v>239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62.86</v>
      </c>
      <c r="AN319" s="2">
        <v>62.86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46188</v>
      </c>
      <c r="B320" t="s">
        <v>48</v>
      </c>
      <c r="C320">
        <v>649163</v>
      </c>
      <c r="D320">
        <v>2032657543</v>
      </c>
      <c r="E320" t="s">
        <v>599</v>
      </c>
      <c r="F320" t="s">
        <v>600</v>
      </c>
      <c r="G320" t="s">
        <v>51</v>
      </c>
      <c r="H320" t="s">
        <v>119</v>
      </c>
      <c r="I320" t="s">
        <v>182</v>
      </c>
      <c r="J320" t="s">
        <v>183</v>
      </c>
      <c r="K320">
        <v>806645</v>
      </c>
      <c r="L320" t="s">
        <v>406</v>
      </c>
      <c r="M320" t="s">
        <v>407</v>
      </c>
      <c r="N320" t="s">
        <v>57</v>
      </c>
      <c r="O320" s="1">
        <v>46004</v>
      </c>
      <c r="Q320" s="1">
        <v>46216</v>
      </c>
      <c r="R320" s="2">
        <v>58.24</v>
      </c>
      <c r="S320">
        <v>1</v>
      </c>
      <c r="T320" t="s">
        <v>58</v>
      </c>
      <c r="U320" t="s">
        <v>59</v>
      </c>
      <c r="V320" s="3">
        <v>0.7</v>
      </c>
      <c r="W320" s="2">
        <v>0</v>
      </c>
      <c r="X320">
        <v>0</v>
      </c>
      <c r="Y320" t="s">
        <v>60</v>
      </c>
      <c r="Z320" t="s">
        <v>239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40.770000000000003</v>
      </c>
      <c r="AN320" s="2">
        <v>40.770000000000003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46188</v>
      </c>
      <c r="B321" t="s">
        <v>48</v>
      </c>
      <c r="C321">
        <v>649163</v>
      </c>
      <c r="D321">
        <v>2032657984</v>
      </c>
      <c r="E321" t="s">
        <v>393</v>
      </c>
      <c r="F321" t="s">
        <v>264</v>
      </c>
      <c r="G321" t="s">
        <v>51</v>
      </c>
      <c r="H321" t="s">
        <v>95</v>
      </c>
      <c r="I321" t="s">
        <v>182</v>
      </c>
      <c r="J321" t="s">
        <v>183</v>
      </c>
      <c r="K321">
        <v>768887</v>
      </c>
      <c r="L321" t="s">
        <v>321</v>
      </c>
      <c r="M321" t="s">
        <v>94</v>
      </c>
      <c r="N321" t="s">
        <v>57</v>
      </c>
      <c r="O321" s="1">
        <v>46023</v>
      </c>
      <c r="Q321" s="1">
        <v>46235</v>
      </c>
      <c r="R321" s="2">
        <v>29.79</v>
      </c>
      <c r="S321">
        <v>1</v>
      </c>
      <c r="T321" t="s">
        <v>58</v>
      </c>
      <c r="U321" t="s">
        <v>59</v>
      </c>
      <c r="V321" s="3">
        <v>0.7</v>
      </c>
      <c r="W321" s="2">
        <v>0</v>
      </c>
      <c r="X321">
        <v>0</v>
      </c>
      <c r="Y321" t="s">
        <v>60</v>
      </c>
      <c r="Z321" t="s">
        <v>239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20.85</v>
      </c>
      <c r="AN321" s="2">
        <v>20.85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46188</v>
      </c>
      <c r="B322" t="s">
        <v>48</v>
      </c>
      <c r="C322">
        <v>649163</v>
      </c>
      <c r="D322">
        <v>2032667004</v>
      </c>
      <c r="E322" t="s">
        <v>601</v>
      </c>
      <c r="F322" t="s">
        <v>602</v>
      </c>
      <c r="G322" t="s">
        <v>51</v>
      </c>
      <c r="H322" t="s">
        <v>70</v>
      </c>
      <c r="I322" t="s">
        <v>71</v>
      </c>
      <c r="J322" t="s">
        <v>72</v>
      </c>
      <c r="K322">
        <v>856824</v>
      </c>
      <c r="L322" t="s">
        <v>205</v>
      </c>
      <c r="M322" t="s">
        <v>206</v>
      </c>
      <c r="N322" t="s">
        <v>57</v>
      </c>
      <c r="O322" s="1">
        <v>46004</v>
      </c>
      <c r="Q322" s="1">
        <v>46216</v>
      </c>
      <c r="R322" s="2">
        <v>66.52</v>
      </c>
      <c r="S322">
        <v>1</v>
      </c>
      <c r="T322" t="s">
        <v>58</v>
      </c>
      <c r="U322" t="s">
        <v>59</v>
      </c>
      <c r="V322" s="3">
        <v>0.75</v>
      </c>
      <c r="W322" s="2">
        <v>0</v>
      </c>
      <c r="X322">
        <v>0</v>
      </c>
      <c r="Y322" t="s">
        <v>60</v>
      </c>
      <c r="Z322" t="s">
        <v>239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49.89</v>
      </c>
      <c r="AN322" s="2">
        <v>49.89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46188</v>
      </c>
      <c r="B323" t="s">
        <v>48</v>
      </c>
      <c r="C323">
        <v>649163</v>
      </c>
      <c r="D323">
        <v>2032687360</v>
      </c>
      <c r="E323" t="s">
        <v>603</v>
      </c>
      <c r="F323" t="s">
        <v>175</v>
      </c>
      <c r="G323" t="s">
        <v>51</v>
      </c>
      <c r="H323" t="s">
        <v>119</v>
      </c>
      <c r="I323" t="s">
        <v>71</v>
      </c>
      <c r="J323" t="s">
        <v>72</v>
      </c>
      <c r="K323">
        <v>823350</v>
      </c>
      <c r="L323" t="s">
        <v>73</v>
      </c>
      <c r="M323" t="s">
        <v>116</v>
      </c>
      <c r="N323" t="s">
        <v>57</v>
      </c>
      <c r="O323" s="1">
        <v>46010</v>
      </c>
      <c r="Q323" s="1">
        <v>46222</v>
      </c>
      <c r="R323" s="2">
        <v>146.08000000000001</v>
      </c>
      <c r="S323">
        <v>1</v>
      </c>
      <c r="T323" t="s">
        <v>58</v>
      </c>
      <c r="U323" t="s">
        <v>59</v>
      </c>
      <c r="V323" s="3">
        <v>0.75</v>
      </c>
      <c r="W323" s="2">
        <v>0</v>
      </c>
      <c r="X323">
        <v>0</v>
      </c>
      <c r="Y323" t="s">
        <v>60</v>
      </c>
      <c r="Z323" t="s">
        <v>239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109.56</v>
      </c>
      <c r="AN323" s="2">
        <v>109.56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46188</v>
      </c>
      <c r="B324" t="s">
        <v>48</v>
      </c>
      <c r="C324">
        <v>649163</v>
      </c>
      <c r="D324">
        <v>2032692415</v>
      </c>
      <c r="E324" t="s">
        <v>604</v>
      </c>
      <c r="F324" t="s">
        <v>605</v>
      </c>
      <c r="G324" t="s">
        <v>51</v>
      </c>
      <c r="H324" t="s">
        <v>193</v>
      </c>
      <c r="I324" t="s">
        <v>71</v>
      </c>
      <c r="J324" t="s">
        <v>78</v>
      </c>
      <c r="K324">
        <v>823068</v>
      </c>
      <c r="L324" t="s">
        <v>195</v>
      </c>
      <c r="M324" t="s">
        <v>196</v>
      </c>
      <c r="N324" t="s">
        <v>57</v>
      </c>
      <c r="O324" s="1">
        <v>46007</v>
      </c>
      <c r="Q324" s="1">
        <v>46219</v>
      </c>
      <c r="R324" s="2">
        <v>98.92</v>
      </c>
      <c r="S324">
        <v>1</v>
      </c>
      <c r="T324" t="s">
        <v>58</v>
      </c>
      <c r="U324" t="s">
        <v>59</v>
      </c>
      <c r="V324" s="3">
        <v>0.9</v>
      </c>
      <c r="W324" s="2">
        <v>0</v>
      </c>
      <c r="X324">
        <v>0</v>
      </c>
      <c r="Y324" t="s">
        <v>60</v>
      </c>
      <c r="Z324" t="s">
        <v>239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89.03</v>
      </c>
      <c r="AN324" s="2">
        <v>89.03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46188</v>
      </c>
      <c r="B325" t="s">
        <v>48</v>
      </c>
      <c r="C325">
        <v>649163</v>
      </c>
      <c r="D325">
        <v>2032693410</v>
      </c>
      <c r="E325" t="s">
        <v>606</v>
      </c>
      <c r="F325" t="s">
        <v>607</v>
      </c>
      <c r="G325" t="s">
        <v>51</v>
      </c>
      <c r="H325" t="s">
        <v>305</v>
      </c>
      <c r="I325" t="s">
        <v>71</v>
      </c>
      <c r="J325" t="s">
        <v>309</v>
      </c>
      <c r="K325">
        <v>816021</v>
      </c>
      <c r="L325" t="s">
        <v>312</v>
      </c>
      <c r="M325" t="s">
        <v>313</v>
      </c>
      <c r="N325" t="s">
        <v>57</v>
      </c>
      <c r="O325" s="1">
        <v>46007</v>
      </c>
      <c r="Q325" s="1">
        <v>46219</v>
      </c>
      <c r="R325" s="2">
        <v>50.78</v>
      </c>
      <c r="S325">
        <v>1</v>
      </c>
      <c r="T325" t="s">
        <v>58</v>
      </c>
      <c r="U325" t="s">
        <v>59</v>
      </c>
      <c r="V325" s="3">
        <v>0.65</v>
      </c>
      <c r="W325" s="2">
        <v>0</v>
      </c>
      <c r="X325">
        <v>0</v>
      </c>
      <c r="Y325" t="s">
        <v>60</v>
      </c>
      <c r="Z325" t="s">
        <v>239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33.01</v>
      </c>
      <c r="AN325" s="2">
        <v>33.01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46188</v>
      </c>
      <c r="B326" t="s">
        <v>48</v>
      </c>
      <c r="C326">
        <v>649163</v>
      </c>
      <c r="D326">
        <v>2032702301</v>
      </c>
      <c r="E326" t="s">
        <v>608</v>
      </c>
      <c r="F326" t="s">
        <v>609</v>
      </c>
      <c r="G326" t="s">
        <v>51</v>
      </c>
      <c r="H326" t="s">
        <v>209</v>
      </c>
      <c r="I326" t="s">
        <v>71</v>
      </c>
      <c r="J326" t="s">
        <v>72</v>
      </c>
      <c r="K326">
        <v>823350</v>
      </c>
      <c r="L326" t="s">
        <v>73</v>
      </c>
      <c r="M326" t="s">
        <v>116</v>
      </c>
      <c r="N326" t="s">
        <v>57</v>
      </c>
      <c r="O326" s="1">
        <v>46010</v>
      </c>
      <c r="Q326" s="1">
        <v>46222</v>
      </c>
      <c r="R326" s="2">
        <v>6.44</v>
      </c>
      <c r="S326">
        <v>1</v>
      </c>
      <c r="T326" t="s">
        <v>58</v>
      </c>
      <c r="U326" t="s">
        <v>59</v>
      </c>
      <c r="V326" s="3">
        <v>0.75</v>
      </c>
      <c r="W326" s="2">
        <v>0</v>
      </c>
      <c r="X326">
        <v>0</v>
      </c>
      <c r="Y326" t="s">
        <v>60</v>
      </c>
      <c r="Z326" t="s">
        <v>239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4.83</v>
      </c>
      <c r="AN326" s="2">
        <v>4.83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46188</v>
      </c>
      <c r="B327" t="s">
        <v>48</v>
      </c>
      <c r="C327">
        <v>649163</v>
      </c>
      <c r="D327">
        <v>2032774964</v>
      </c>
      <c r="E327" t="s">
        <v>610</v>
      </c>
      <c r="F327" t="s">
        <v>611</v>
      </c>
      <c r="G327" t="s">
        <v>51</v>
      </c>
      <c r="H327" t="s">
        <v>305</v>
      </c>
      <c r="I327" t="s">
        <v>71</v>
      </c>
      <c r="J327" t="s">
        <v>309</v>
      </c>
      <c r="K327">
        <v>816021</v>
      </c>
      <c r="L327" t="s">
        <v>312</v>
      </c>
      <c r="M327" t="s">
        <v>313</v>
      </c>
      <c r="N327" t="s">
        <v>57</v>
      </c>
      <c r="O327" s="1">
        <v>46006</v>
      </c>
      <c r="Q327" s="1">
        <v>46218</v>
      </c>
      <c r="R327" s="2">
        <v>28.03</v>
      </c>
      <c r="S327">
        <v>1</v>
      </c>
      <c r="T327" t="s">
        <v>58</v>
      </c>
      <c r="U327" t="s">
        <v>59</v>
      </c>
      <c r="V327" s="3">
        <v>0.65</v>
      </c>
      <c r="W327" s="2">
        <v>0</v>
      </c>
      <c r="X327">
        <v>0</v>
      </c>
      <c r="Y327" t="s">
        <v>60</v>
      </c>
      <c r="Z327" t="s">
        <v>239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18.22</v>
      </c>
      <c r="AN327" s="2">
        <v>18.22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46188</v>
      </c>
      <c r="B328" t="s">
        <v>48</v>
      </c>
      <c r="C328">
        <v>649163</v>
      </c>
      <c r="D328">
        <v>2033054176</v>
      </c>
      <c r="E328" t="s">
        <v>612</v>
      </c>
      <c r="F328" t="s">
        <v>613</v>
      </c>
      <c r="G328" t="s">
        <v>51</v>
      </c>
      <c r="H328" t="s">
        <v>292</v>
      </c>
      <c r="I328" t="s">
        <v>71</v>
      </c>
      <c r="J328" t="s">
        <v>72</v>
      </c>
      <c r="K328">
        <v>651818</v>
      </c>
      <c r="L328" t="s">
        <v>79</v>
      </c>
      <c r="M328" t="s">
        <v>80</v>
      </c>
      <c r="N328" t="s">
        <v>57</v>
      </c>
      <c r="O328" s="1">
        <v>46038</v>
      </c>
      <c r="Q328" s="1">
        <v>46219</v>
      </c>
      <c r="R328" s="2">
        <v>48.58</v>
      </c>
      <c r="S328">
        <v>1</v>
      </c>
      <c r="T328" t="s">
        <v>58</v>
      </c>
      <c r="U328" t="s">
        <v>59</v>
      </c>
      <c r="V328" s="3">
        <v>0.75</v>
      </c>
      <c r="W328" s="2">
        <v>0</v>
      </c>
      <c r="X328">
        <v>0</v>
      </c>
      <c r="Y328" t="s">
        <v>60</v>
      </c>
      <c r="Z328" t="s">
        <v>239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36.44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46188</v>
      </c>
      <c r="B329" t="s">
        <v>48</v>
      </c>
      <c r="C329">
        <v>649163</v>
      </c>
      <c r="D329">
        <v>2033088374</v>
      </c>
      <c r="E329" t="s">
        <v>614</v>
      </c>
      <c r="F329" t="s">
        <v>615</v>
      </c>
      <c r="G329" t="s">
        <v>51</v>
      </c>
      <c r="H329" t="s">
        <v>193</v>
      </c>
      <c r="I329" t="s">
        <v>71</v>
      </c>
      <c r="J329" t="s">
        <v>78</v>
      </c>
      <c r="K329">
        <v>823068</v>
      </c>
      <c r="L329" t="s">
        <v>195</v>
      </c>
      <c r="M329" t="s">
        <v>196</v>
      </c>
      <c r="N329" t="s">
        <v>57</v>
      </c>
      <c r="O329" s="1">
        <v>46038</v>
      </c>
      <c r="Q329" s="1">
        <v>46219</v>
      </c>
      <c r="R329" s="2">
        <v>27.5</v>
      </c>
      <c r="S329">
        <v>1</v>
      </c>
      <c r="T329" t="s">
        <v>58</v>
      </c>
      <c r="U329" t="s">
        <v>59</v>
      </c>
      <c r="V329" s="3">
        <v>0.9</v>
      </c>
      <c r="W329" s="2">
        <v>0</v>
      </c>
      <c r="X329">
        <v>0</v>
      </c>
      <c r="Y329" t="s">
        <v>60</v>
      </c>
      <c r="Z329" t="s">
        <v>239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24.75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46188</v>
      </c>
      <c r="B330" t="s">
        <v>48</v>
      </c>
      <c r="C330">
        <v>649163</v>
      </c>
      <c r="D330">
        <v>2033089936</v>
      </c>
      <c r="E330" t="s">
        <v>616</v>
      </c>
      <c r="F330" t="s">
        <v>56</v>
      </c>
      <c r="G330" t="s">
        <v>51</v>
      </c>
      <c r="H330" t="s">
        <v>193</v>
      </c>
      <c r="I330" t="s">
        <v>71</v>
      </c>
      <c r="J330" t="s">
        <v>78</v>
      </c>
      <c r="K330">
        <v>823068</v>
      </c>
      <c r="L330" t="s">
        <v>195</v>
      </c>
      <c r="M330" t="s">
        <v>196</v>
      </c>
      <c r="N330" t="s">
        <v>57</v>
      </c>
      <c r="O330" s="1">
        <v>46035</v>
      </c>
      <c r="Q330" s="1">
        <v>46216</v>
      </c>
      <c r="R330" s="2">
        <v>165.12</v>
      </c>
      <c r="S330">
        <v>1</v>
      </c>
      <c r="T330" t="s">
        <v>58</v>
      </c>
      <c r="U330" t="s">
        <v>59</v>
      </c>
      <c r="V330" s="3">
        <v>0.9</v>
      </c>
      <c r="W330" s="2">
        <v>0</v>
      </c>
      <c r="X330">
        <v>0</v>
      </c>
      <c r="Y330" t="s">
        <v>60</v>
      </c>
      <c r="Z330" t="s">
        <v>239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148.61000000000001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46188</v>
      </c>
      <c r="B331" t="s">
        <v>48</v>
      </c>
      <c r="C331">
        <v>649163</v>
      </c>
      <c r="D331">
        <v>2033106166</v>
      </c>
      <c r="E331" t="s">
        <v>617</v>
      </c>
      <c r="F331" t="s">
        <v>618</v>
      </c>
      <c r="G331" t="s">
        <v>51</v>
      </c>
      <c r="H331" t="s">
        <v>70</v>
      </c>
      <c r="I331" t="s">
        <v>71</v>
      </c>
      <c r="J331" t="s">
        <v>78</v>
      </c>
      <c r="K331">
        <v>753748</v>
      </c>
      <c r="L331" t="s">
        <v>619</v>
      </c>
      <c r="M331" t="s">
        <v>256</v>
      </c>
      <c r="N331" t="s">
        <v>57</v>
      </c>
      <c r="O331" s="1">
        <v>46035</v>
      </c>
      <c r="Q331" s="1">
        <v>46216</v>
      </c>
      <c r="R331" s="2">
        <v>152.33000000000001</v>
      </c>
      <c r="S331">
        <v>1</v>
      </c>
      <c r="T331" t="s">
        <v>58</v>
      </c>
      <c r="U331" t="s">
        <v>59</v>
      </c>
      <c r="V331" s="3">
        <v>0.9</v>
      </c>
      <c r="W331" s="2">
        <v>0</v>
      </c>
      <c r="X331">
        <v>0</v>
      </c>
      <c r="Y331" t="s">
        <v>60</v>
      </c>
      <c r="Z331" t="s">
        <v>239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137.1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46188</v>
      </c>
      <c r="B332" t="s">
        <v>48</v>
      </c>
      <c r="C332">
        <v>649163</v>
      </c>
      <c r="D332">
        <v>2033115853</v>
      </c>
      <c r="E332" t="s">
        <v>620</v>
      </c>
      <c r="F332" t="s">
        <v>621</v>
      </c>
      <c r="G332" t="s">
        <v>51</v>
      </c>
      <c r="H332" t="s">
        <v>339</v>
      </c>
      <c r="I332" t="s">
        <v>71</v>
      </c>
      <c r="J332" t="s">
        <v>72</v>
      </c>
      <c r="K332">
        <v>753748</v>
      </c>
      <c r="L332" t="s">
        <v>619</v>
      </c>
      <c r="M332" t="s">
        <v>256</v>
      </c>
      <c r="N332" t="s">
        <v>57</v>
      </c>
      <c r="O332" s="1">
        <v>46035</v>
      </c>
      <c r="Q332" s="1">
        <v>46216</v>
      </c>
      <c r="R332" s="2">
        <v>58.93</v>
      </c>
      <c r="S332">
        <v>1</v>
      </c>
      <c r="T332" t="s">
        <v>58</v>
      </c>
      <c r="U332" t="s">
        <v>59</v>
      </c>
      <c r="V332" s="3">
        <v>0.75</v>
      </c>
      <c r="W332" s="2">
        <v>0</v>
      </c>
      <c r="X332">
        <v>0</v>
      </c>
      <c r="Y332" t="s">
        <v>60</v>
      </c>
      <c r="Z332" t="s">
        <v>239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44.2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46188</v>
      </c>
      <c r="B333" t="s">
        <v>48</v>
      </c>
      <c r="C333">
        <v>649163</v>
      </c>
      <c r="D333">
        <v>2033117677</v>
      </c>
      <c r="E333" t="s">
        <v>622</v>
      </c>
      <c r="F333" t="s">
        <v>623</v>
      </c>
      <c r="G333" t="s">
        <v>51</v>
      </c>
      <c r="H333" t="s">
        <v>624</v>
      </c>
      <c r="I333" t="s">
        <v>71</v>
      </c>
      <c r="J333" t="s">
        <v>84</v>
      </c>
      <c r="K333">
        <v>651818</v>
      </c>
      <c r="L333" t="s">
        <v>79</v>
      </c>
      <c r="M333" t="s">
        <v>80</v>
      </c>
      <c r="N333" t="s">
        <v>57</v>
      </c>
      <c r="O333" s="1">
        <v>46059</v>
      </c>
      <c r="Q333" s="1">
        <v>46209</v>
      </c>
      <c r="R333" s="2">
        <v>25.98</v>
      </c>
      <c r="S333">
        <v>1</v>
      </c>
      <c r="T333" t="s">
        <v>58</v>
      </c>
      <c r="U333" t="s">
        <v>59</v>
      </c>
      <c r="V333" s="3">
        <v>0.75</v>
      </c>
      <c r="W333" s="2">
        <v>0</v>
      </c>
      <c r="X333">
        <v>0</v>
      </c>
      <c r="Y333" t="s">
        <v>60</v>
      </c>
      <c r="Z333" t="s">
        <v>239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19.48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46188</v>
      </c>
      <c r="B334" t="s">
        <v>48</v>
      </c>
      <c r="C334">
        <v>649163</v>
      </c>
      <c r="D334">
        <v>2033126149</v>
      </c>
      <c r="E334" t="s">
        <v>625</v>
      </c>
      <c r="F334" t="s">
        <v>626</v>
      </c>
      <c r="G334" t="s">
        <v>51</v>
      </c>
      <c r="H334" t="s">
        <v>95</v>
      </c>
      <c r="I334" t="s">
        <v>71</v>
      </c>
      <c r="J334" t="s">
        <v>72</v>
      </c>
      <c r="K334">
        <v>878036</v>
      </c>
      <c r="L334" t="s">
        <v>514</v>
      </c>
      <c r="M334" t="s">
        <v>515</v>
      </c>
      <c r="N334" t="s">
        <v>57</v>
      </c>
      <c r="O334" s="1">
        <v>46036</v>
      </c>
      <c r="Q334" s="1">
        <v>46217</v>
      </c>
      <c r="R334" s="2">
        <v>48.55</v>
      </c>
      <c r="S334">
        <v>1</v>
      </c>
      <c r="T334" t="s">
        <v>58</v>
      </c>
      <c r="U334" t="s">
        <v>59</v>
      </c>
      <c r="V334" s="3">
        <v>0.75</v>
      </c>
      <c r="W334" s="2">
        <v>0</v>
      </c>
      <c r="X334">
        <v>0</v>
      </c>
      <c r="Y334" t="s">
        <v>60</v>
      </c>
      <c r="Z334" t="s">
        <v>239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36.409999999999997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46188</v>
      </c>
      <c r="B335" t="s">
        <v>48</v>
      </c>
      <c r="C335">
        <v>649163</v>
      </c>
      <c r="D335">
        <v>2033128048</v>
      </c>
      <c r="E335" t="s">
        <v>627</v>
      </c>
      <c r="F335" t="s">
        <v>628</v>
      </c>
      <c r="G335" t="s">
        <v>51</v>
      </c>
      <c r="H335" t="s">
        <v>70</v>
      </c>
      <c r="I335" t="s">
        <v>71</v>
      </c>
      <c r="J335" t="s">
        <v>72</v>
      </c>
      <c r="K335">
        <v>823350</v>
      </c>
      <c r="L335" t="s">
        <v>73</v>
      </c>
      <c r="M335" t="s">
        <v>116</v>
      </c>
      <c r="N335" t="s">
        <v>57</v>
      </c>
      <c r="O335" s="1">
        <v>46038</v>
      </c>
      <c r="Q335" s="1">
        <v>46219</v>
      </c>
      <c r="R335" s="2">
        <v>122.44</v>
      </c>
      <c r="S335">
        <v>1</v>
      </c>
      <c r="T335" t="s">
        <v>58</v>
      </c>
      <c r="U335" t="s">
        <v>59</v>
      </c>
      <c r="V335" s="3">
        <v>0.75</v>
      </c>
      <c r="W335" s="2">
        <v>0</v>
      </c>
      <c r="X335">
        <v>0</v>
      </c>
      <c r="Y335" t="s">
        <v>60</v>
      </c>
      <c r="Z335" t="s">
        <v>239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91.83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46188</v>
      </c>
      <c r="B336" t="s">
        <v>48</v>
      </c>
      <c r="C336">
        <v>649163</v>
      </c>
      <c r="D336">
        <v>2033132189</v>
      </c>
      <c r="E336" t="s">
        <v>629</v>
      </c>
      <c r="F336" t="s">
        <v>630</v>
      </c>
      <c r="G336" t="s">
        <v>51</v>
      </c>
      <c r="H336" t="s">
        <v>209</v>
      </c>
      <c r="I336" t="s">
        <v>71</v>
      </c>
      <c r="J336" t="s">
        <v>78</v>
      </c>
      <c r="K336">
        <v>877790</v>
      </c>
      <c r="L336" t="s">
        <v>229</v>
      </c>
      <c r="M336" t="s">
        <v>230</v>
      </c>
      <c r="N336" t="s">
        <v>57</v>
      </c>
      <c r="O336" s="1">
        <v>46037</v>
      </c>
      <c r="Q336" s="1">
        <v>46218</v>
      </c>
      <c r="R336" s="2">
        <v>33.590000000000003</v>
      </c>
      <c r="S336">
        <v>1</v>
      </c>
      <c r="T336" t="s">
        <v>58</v>
      </c>
      <c r="U336" t="s">
        <v>59</v>
      </c>
      <c r="V336" s="3">
        <v>0.9</v>
      </c>
      <c r="W336" s="2">
        <v>0</v>
      </c>
      <c r="X336">
        <v>0</v>
      </c>
      <c r="Y336" t="s">
        <v>60</v>
      </c>
      <c r="Z336" t="s">
        <v>239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30.23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46188</v>
      </c>
      <c r="B337" t="s">
        <v>48</v>
      </c>
      <c r="C337">
        <v>649163</v>
      </c>
      <c r="D337">
        <v>2033144397</v>
      </c>
      <c r="E337" t="s">
        <v>631</v>
      </c>
      <c r="F337" t="s">
        <v>632</v>
      </c>
      <c r="G337" t="s">
        <v>51</v>
      </c>
      <c r="H337" t="s">
        <v>100</v>
      </c>
      <c r="I337" t="s">
        <v>71</v>
      </c>
      <c r="J337" t="s">
        <v>84</v>
      </c>
      <c r="K337">
        <v>651818</v>
      </c>
      <c r="L337" t="s">
        <v>79</v>
      </c>
      <c r="M337" t="s">
        <v>80</v>
      </c>
      <c r="N337" t="s">
        <v>57</v>
      </c>
      <c r="O337" s="1">
        <v>46059</v>
      </c>
      <c r="Q337" s="1">
        <v>46209</v>
      </c>
      <c r="R337" s="2">
        <v>24.4</v>
      </c>
      <c r="S337">
        <v>1</v>
      </c>
      <c r="T337" t="s">
        <v>58</v>
      </c>
      <c r="U337" t="s">
        <v>59</v>
      </c>
      <c r="V337" s="3">
        <v>0.75</v>
      </c>
      <c r="W337" s="2">
        <v>0</v>
      </c>
      <c r="X337">
        <v>0</v>
      </c>
      <c r="Y337" t="s">
        <v>60</v>
      </c>
      <c r="Z337" t="s">
        <v>239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18.3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46188</v>
      </c>
      <c r="B338" t="s">
        <v>48</v>
      </c>
      <c r="C338">
        <v>649163</v>
      </c>
      <c r="D338">
        <v>2033155463</v>
      </c>
      <c r="E338" t="s">
        <v>633</v>
      </c>
      <c r="F338" t="s">
        <v>634</v>
      </c>
      <c r="G338" t="s">
        <v>51</v>
      </c>
      <c r="H338" t="s">
        <v>119</v>
      </c>
      <c r="I338" t="s">
        <v>71</v>
      </c>
      <c r="J338" t="s">
        <v>72</v>
      </c>
      <c r="K338">
        <v>821015</v>
      </c>
      <c r="L338" t="s">
        <v>332</v>
      </c>
      <c r="M338" t="s">
        <v>333</v>
      </c>
      <c r="N338" t="s">
        <v>57</v>
      </c>
      <c r="O338" s="1">
        <v>46037</v>
      </c>
      <c r="Q338" s="1">
        <v>46218</v>
      </c>
      <c r="R338" s="2">
        <v>29.17</v>
      </c>
      <c r="S338">
        <v>1</v>
      </c>
      <c r="T338" t="s">
        <v>58</v>
      </c>
      <c r="U338" t="s">
        <v>59</v>
      </c>
      <c r="V338" s="3">
        <v>0.75</v>
      </c>
      <c r="W338" s="2">
        <v>0</v>
      </c>
      <c r="X338">
        <v>0</v>
      </c>
      <c r="Y338" t="s">
        <v>60</v>
      </c>
      <c r="Z338" t="s">
        <v>239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21.88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46188</v>
      </c>
      <c r="B339" t="s">
        <v>48</v>
      </c>
      <c r="C339">
        <v>649163</v>
      </c>
      <c r="D339">
        <v>2033164609</v>
      </c>
      <c r="E339" t="s">
        <v>635</v>
      </c>
      <c r="F339" t="s">
        <v>424</v>
      </c>
      <c r="G339" t="s">
        <v>51</v>
      </c>
      <c r="H339" t="s">
        <v>305</v>
      </c>
      <c r="I339" t="s">
        <v>71</v>
      </c>
      <c r="J339" t="s">
        <v>309</v>
      </c>
      <c r="K339">
        <v>816021</v>
      </c>
      <c r="L339" t="s">
        <v>312</v>
      </c>
      <c r="M339" t="s">
        <v>313</v>
      </c>
      <c r="N339" t="s">
        <v>57</v>
      </c>
      <c r="O339" s="1">
        <v>46038</v>
      </c>
      <c r="Q339" s="1">
        <v>46219</v>
      </c>
      <c r="R339" s="2">
        <v>11.18</v>
      </c>
      <c r="S339">
        <v>1</v>
      </c>
      <c r="T339" t="s">
        <v>58</v>
      </c>
      <c r="U339" t="s">
        <v>59</v>
      </c>
      <c r="V339" s="3">
        <v>0.65</v>
      </c>
      <c r="W339" s="2">
        <v>0</v>
      </c>
      <c r="X339">
        <v>0</v>
      </c>
      <c r="Y339" t="s">
        <v>60</v>
      </c>
      <c r="Z339" t="s">
        <v>239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7.27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46188</v>
      </c>
      <c r="B340" t="s">
        <v>48</v>
      </c>
      <c r="C340">
        <v>649163</v>
      </c>
      <c r="D340">
        <v>2033170077</v>
      </c>
      <c r="E340" t="s">
        <v>636</v>
      </c>
      <c r="F340" t="s">
        <v>477</v>
      </c>
      <c r="G340" t="s">
        <v>51</v>
      </c>
      <c r="H340" t="s">
        <v>193</v>
      </c>
      <c r="I340" t="s">
        <v>71</v>
      </c>
      <c r="J340" t="s">
        <v>78</v>
      </c>
      <c r="K340">
        <v>652037</v>
      </c>
      <c r="L340" t="s">
        <v>64</v>
      </c>
      <c r="M340" t="s">
        <v>236</v>
      </c>
      <c r="N340" t="s">
        <v>57</v>
      </c>
      <c r="O340" s="1">
        <v>46038</v>
      </c>
      <c r="Q340" s="1">
        <v>46219</v>
      </c>
      <c r="R340" s="2">
        <v>26.54</v>
      </c>
      <c r="S340">
        <v>1</v>
      </c>
      <c r="T340" t="s">
        <v>58</v>
      </c>
      <c r="U340" t="s">
        <v>59</v>
      </c>
      <c r="V340" s="3">
        <v>0.9</v>
      </c>
      <c r="W340" s="2">
        <v>0</v>
      </c>
      <c r="X340">
        <v>0</v>
      </c>
      <c r="Y340" t="s">
        <v>60</v>
      </c>
      <c r="Z340" t="s">
        <v>239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23.89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46188</v>
      </c>
      <c r="B341" t="s">
        <v>48</v>
      </c>
      <c r="C341">
        <v>649163</v>
      </c>
      <c r="D341">
        <v>2033177180</v>
      </c>
      <c r="E341" t="s">
        <v>637</v>
      </c>
      <c r="F341" t="s">
        <v>638</v>
      </c>
      <c r="G341" t="s">
        <v>51</v>
      </c>
      <c r="H341" t="s">
        <v>119</v>
      </c>
      <c r="I341" t="s">
        <v>182</v>
      </c>
      <c r="J341" t="s">
        <v>183</v>
      </c>
      <c r="K341">
        <v>823350</v>
      </c>
      <c r="L341" t="s">
        <v>73</v>
      </c>
      <c r="M341" t="s">
        <v>116</v>
      </c>
      <c r="N341" t="s">
        <v>57</v>
      </c>
      <c r="O341" s="1">
        <v>46040</v>
      </c>
      <c r="Q341" s="1">
        <v>46221</v>
      </c>
      <c r="R341" s="2">
        <v>58.24</v>
      </c>
      <c r="S341">
        <v>1</v>
      </c>
      <c r="T341" t="s">
        <v>58</v>
      </c>
      <c r="U341" t="s">
        <v>59</v>
      </c>
      <c r="V341" s="3">
        <v>0.7</v>
      </c>
      <c r="W341" s="2">
        <v>0</v>
      </c>
      <c r="X341">
        <v>0</v>
      </c>
      <c r="Y341" t="s">
        <v>60</v>
      </c>
      <c r="Z341" t="s">
        <v>239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40.770000000000003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46188</v>
      </c>
      <c r="B342" t="s">
        <v>48</v>
      </c>
      <c r="C342">
        <v>649163</v>
      </c>
      <c r="D342">
        <v>2033177917</v>
      </c>
      <c r="E342" t="s">
        <v>639</v>
      </c>
      <c r="F342" t="s">
        <v>640</v>
      </c>
      <c r="G342" t="s">
        <v>51</v>
      </c>
      <c r="H342" t="s">
        <v>119</v>
      </c>
      <c r="I342" t="s">
        <v>182</v>
      </c>
      <c r="J342" t="s">
        <v>183</v>
      </c>
      <c r="K342">
        <v>768887</v>
      </c>
      <c r="L342" t="s">
        <v>321</v>
      </c>
      <c r="M342" t="s">
        <v>94</v>
      </c>
      <c r="N342" t="s">
        <v>57</v>
      </c>
      <c r="O342" s="1">
        <v>46038</v>
      </c>
      <c r="Q342" s="1">
        <v>46219</v>
      </c>
      <c r="R342" s="2">
        <v>52.31</v>
      </c>
      <c r="S342">
        <v>1</v>
      </c>
      <c r="T342" t="s">
        <v>58</v>
      </c>
      <c r="U342" t="s">
        <v>59</v>
      </c>
      <c r="V342" s="3">
        <v>0.7</v>
      </c>
      <c r="W342" s="2">
        <v>0</v>
      </c>
      <c r="X342">
        <v>0</v>
      </c>
      <c r="Y342" t="s">
        <v>60</v>
      </c>
      <c r="Z342" t="s">
        <v>239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36.619999999999997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46188</v>
      </c>
      <c r="B343" t="s">
        <v>48</v>
      </c>
      <c r="C343">
        <v>649163</v>
      </c>
      <c r="D343">
        <v>2033187706</v>
      </c>
      <c r="E343" t="s">
        <v>641</v>
      </c>
      <c r="F343" t="s">
        <v>642</v>
      </c>
      <c r="G343" t="s">
        <v>51</v>
      </c>
      <c r="H343" t="s">
        <v>193</v>
      </c>
      <c r="I343" t="s">
        <v>182</v>
      </c>
      <c r="J343" t="s">
        <v>194</v>
      </c>
      <c r="K343">
        <v>902625</v>
      </c>
      <c r="L343" t="s">
        <v>137</v>
      </c>
      <c r="M343" t="s">
        <v>138</v>
      </c>
      <c r="N343" t="s">
        <v>57</v>
      </c>
      <c r="O343" s="1">
        <v>46039</v>
      </c>
      <c r="Q343" s="1">
        <v>46220</v>
      </c>
      <c r="R343" s="2">
        <v>39</v>
      </c>
      <c r="S343">
        <v>1</v>
      </c>
      <c r="T343" t="s">
        <v>58</v>
      </c>
      <c r="U343" t="s">
        <v>59</v>
      </c>
      <c r="V343" s="3">
        <v>0.9</v>
      </c>
      <c r="W343" s="2">
        <v>0</v>
      </c>
      <c r="X343">
        <v>0</v>
      </c>
      <c r="Y343" t="s">
        <v>60</v>
      </c>
      <c r="Z343" t="s">
        <v>239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35.1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46188</v>
      </c>
      <c r="B344" t="s">
        <v>48</v>
      </c>
      <c r="C344">
        <v>649163</v>
      </c>
      <c r="D344">
        <v>2033190697</v>
      </c>
      <c r="E344" t="s">
        <v>643</v>
      </c>
      <c r="F344" t="s">
        <v>644</v>
      </c>
      <c r="G344" t="s">
        <v>51</v>
      </c>
      <c r="H344" t="s">
        <v>95</v>
      </c>
      <c r="I344" t="s">
        <v>182</v>
      </c>
      <c r="J344" t="s">
        <v>183</v>
      </c>
      <c r="K344">
        <v>878036</v>
      </c>
      <c r="L344" t="s">
        <v>514</v>
      </c>
      <c r="M344" t="s">
        <v>515</v>
      </c>
      <c r="N344" t="s">
        <v>57</v>
      </c>
      <c r="O344" s="1">
        <v>46039</v>
      </c>
      <c r="Q344" s="1">
        <v>46220</v>
      </c>
      <c r="R344" s="2">
        <v>49.46</v>
      </c>
      <c r="S344">
        <v>1</v>
      </c>
      <c r="T344" t="s">
        <v>58</v>
      </c>
      <c r="U344" t="s">
        <v>59</v>
      </c>
      <c r="V344" s="3">
        <v>0.7</v>
      </c>
      <c r="W344" s="2">
        <v>0</v>
      </c>
      <c r="X344">
        <v>0</v>
      </c>
      <c r="Y344" t="s">
        <v>60</v>
      </c>
      <c r="Z344" t="s">
        <v>239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34.619999999999997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46188</v>
      </c>
      <c r="B345" t="s">
        <v>48</v>
      </c>
      <c r="C345">
        <v>649163</v>
      </c>
      <c r="D345">
        <v>2033195124</v>
      </c>
      <c r="E345" t="s">
        <v>645</v>
      </c>
      <c r="F345" t="s">
        <v>646</v>
      </c>
      <c r="G345" t="s">
        <v>51</v>
      </c>
      <c r="H345" t="s">
        <v>119</v>
      </c>
      <c r="I345" t="s">
        <v>182</v>
      </c>
      <c r="J345" t="s">
        <v>183</v>
      </c>
      <c r="K345">
        <v>813184</v>
      </c>
      <c r="L345" t="s">
        <v>328</v>
      </c>
      <c r="M345" t="s">
        <v>329</v>
      </c>
      <c r="N345" t="s">
        <v>57</v>
      </c>
      <c r="O345" s="1">
        <v>46039</v>
      </c>
      <c r="Q345" s="1">
        <v>46220</v>
      </c>
      <c r="R345" s="2">
        <v>204.04</v>
      </c>
      <c r="S345">
        <v>1</v>
      </c>
      <c r="T345" t="s">
        <v>58</v>
      </c>
      <c r="U345" t="s">
        <v>59</v>
      </c>
      <c r="V345" s="3">
        <v>0.7</v>
      </c>
      <c r="W345" s="2">
        <v>0</v>
      </c>
      <c r="X345">
        <v>0</v>
      </c>
      <c r="Y345" t="s">
        <v>60</v>
      </c>
      <c r="Z345" t="s">
        <v>239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142.83000000000001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46188</v>
      </c>
      <c r="B346" t="s">
        <v>48</v>
      </c>
      <c r="C346">
        <v>649163</v>
      </c>
      <c r="D346">
        <v>2033401871</v>
      </c>
      <c r="E346" t="s">
        <v>647</v>
      </c>
      <c r="F346" t="s">
        <v>513</v>
      </c>
      <c r="G346" t="s">
        <v>51</v>
      </c>
      <c r="H346" t="s">
        <v>95</v>
      </c>
      <c r="I346" t="s">
        <v>182</v>
      </c>
      <c r="J346" t="s">
        <v>183</v>
      </c>
      <c r="K346">
        <v>878036</v>
      </c>
      <c r="L346" t="s">
        <v>514</v>
      </c>
      <c r="M346" t="s">
        <v>515</v>
      </c>
      <c r="N346" t="s">
        <v>57</v>
      </c>
      <c r="O346" s="1">
        <v>46054</v>
      </c>
      <c r="Q346" s="1">
        <v>46174</v>
      </c>
      <c r="R346" s="2">
        <v>-19.100000000000001</v>
      </c>
      <c r="S346">
        <v>1</v>
      </c>
      <c r="T346" t="s">
        <v>58</v>
      </c>
      <c r="U346" t="s">
        <v>59</v>
      </c>
      <c r="V346" s="3">
        <v>0.7</v>
      </c>
      <c r="W346" s="2">
        <v>0</v>
      </c>
      <c r="X346">
        <v>-1</v>
      </c>
      <c r="Y346" t="s">
        <v>60</v>
      </c>
      <c r="Z346" t="s">
        <v>239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-13.37</v>
      </c>
      <c r="AN346" s="2">
        <v>-13.37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46188</v>
      </c>
      <c r="B347" t="s">
        <v>48</v>
      </c>
      <c r="C347">
        <v>649163</v>
      </c>
      <c r="D347">
        <v>2033404742</v>
      </c>
      <c r="E347" t="s">
        <v>647</v>
      </c>
      <c r="F347" t="s">
        <v>607</v>
      </c>
      <c r="G347" t="s">
        <v>51</v>
      </c>
      <c r="H347" t="s">
        <v>95</v>
      </c>
      <c r="I347" t="s">
        <v>182</v>
      </c>
      <c r="J347" t="s">
        <v>183</v>
      </c>
      <c r="K347">
        <v>878036</v>
      </c>
      <c r="L347" t="s">
        <v>514</v>
      </c>
      <c r="M347" t="s">
        <v>515</v>
      </c>
      <c r="N347" t="s">
        <v>57</v>
      </c>
      <c r="O347" s="1">
        <v>46054</v>
      </c>
      <c r="Q347" s="1">
        <v>46174</v>
      </c>
      <c r="R347" s="2">
        <v>-19.100000000000001</v>
      </c>
      <c r="S347">
        <v>1</v>
      </c>
      <c r="T347" t="s">
        <v>58</v>
      </c>
      <c r="U347" t="s">
        <v>59</v>
      </c>
      <c r="V347" s="3">
        <v>0.7</v>
      </c>
      <c r="W347" s="2">
        <v>0</v>
      </c>
      <c r="X347">
        <v>-1</v>
      </c>
      <c r="Y347" t="s">
        <v>60</v>
      </c>
      <c r="Z347" t="s">
        <v>239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-13.37</v>
      </c>
      <c r="AN347" s="2">
        <v>-13.37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46188</v>
      </c>
      <c r="B348" t="s">
        <v>48</v>
      </c>
      <c r="C348">
        <v>649163</v>
      </c>
      <c r="D348">
        <v>2033406248</v>
      </c>
      <c r="E348" t="s">
        <v>648</v>
      </c>
      <c r="F348" t="s">
        <v>649</v>
      </c>
      <c r="G348" t="s">
        <v>51</v>
      </c>
      <c r="H348" t="s">
        <v>95</v>
      </c>
      <c r="I348" t="s">
        <v>182</v>
      </c>
      <c r="J348" t="s">
        <v>183</v>
      </c>
      <c r="K348">
        <v>878036</v>
      </c>
      <c r="L348" t="s">
        <v>514</v>
      </c>
      <c r="M348" t="s">
        <v>515</v>
      </c>
      <c r="N348" t="s">
        <v>57</v>
      </c>
      <c r="O348" s="1">
        <v>46054</v>
      </c>
      <c r="Q348" s="1">
        <v>46174</v>
      </c>
      <c r="R348" s="2">
        <v>-11.74</v>
      </c>
      <c r="S348">
        <v>1</v>
      </c>
      <c r="T348" t="s">
        <v>58</v>
      </c>
      <c r="U348" t="s">
        <v>59</v>
      </c>
      <c r="V348" s="3">
        <v>0.7</v>
      </c>
      <c r="W348" s="2">
        <v>0</v>
      </c>
      <c r="X348">
        <v>-1</v>
      </c>
      <c r="Y348" t="s">
        <v>60</v>
      </c>
      <c r="Z348" t="s">
        <v>239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-8.2200000000000006</v>
      </c>
      <c r="AN348" s="2">
        <v>-8.2200000000000006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46188</v>
      </c>
      <c r="B349" t="s">
        <v>48</v>
      </c>
      <c r="C349">
        <v>649163</v>
      </c>
      <c r="D349">
        <v>2033621991</v>
      </c>
      <c r="E349" t="s">
        <v>187</v>
      </c>
      <c r="F349" t="s">
        <v>650</v>
      </c>
      <c r="G349" t="s">
        <v>51</v>
      </c>
      <c r="H349" t="s">
        <v>209</v>
      </c>
      <c r="I349" t="s">
        <v>182</v>
      </c>
      <c r="J349" t="s">
        <v>183</v>
      </c>
      <c r="K349">
        <v>942810</v>
      </c>
      <c r="L349" t="s">
        <v>651</v>
      </c>
      <c r="M349" t="s">
        <v>652</v>
      </c>
      <c r="N349" t="s">
        <v>57</v>
      </c>
      <c r="O349" s="1">
        <v>46066</v>
      </c>
      <c r="Q349" s="1">
        <v>46216</v>
      </c>
      <c r="R349" s="2">
        <v>15.18</v>
      </c>
      <c r="S349">
        <v>1</v>
      </c>
      <c r="T349" t="s">
        <v>58</v>
      </c>
      <c r="U349" t="s">
        <v>59</v>
      </c>
      <c r="V349" s="3">
        <v>0.7</v>
      </c>
      <c r="W349" s="2">
        <v>0</v>
      </c>
      <c r="X349">
        <v>0</v>
      </c>
      <c r="Y349" t="s">
        <v>60</v>
      </c>
      <c r="Z349" t="s">
        <v>239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10.63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46188</v>
      </c>
      <c r="B350" t="s">
        <v>48</v>
      </c>
      <c r="C350">
        <v>649163</v>
      </c>
      <c r="D350">
        <v>2033682254</v>
      </c>
      <c r="E350" t="s">
        <v>653</v>
      </c>
      <c r="F350" t="s">
        <v>654</v>
      </c>
      <c r="G350" t="s">
        <v>51</v>
      </c>
      <c r="H350" t="s">
        <v>95</v>
      </c>
      <c r="I350" t="s">
        <v>182</v>
      </c>
      <c r="J350" t="s">
        <v>183</v>
      </c>
      <c r="K350">
        <v>948357</v>
      </c>
      <c r="L350" t="s">
        <v>655</v>
      </c>
      <c r="M350" t="s">
        <v>656</v>
      </c>
      <c r="N350" t="s">
        <v>57</v>
      </c>
      <c r="O350" s="1">
        <v>46070</v>
      </c>
      <c r="Q350" s="1">
        <v>46220</v>
      </c>
      <c r="R350" s="2">
        <v>22.83</v>
      </c>
      <c r="S350">
        <v>1</v>
      </c>
      <c r="T350" t="s">
        <v>58</v>
      </c>
      <c r="U350" t="s">
        <v>59</v>
      </c>
      <c r="V350" s="3">
        <v>0.7</v>
      </c>
      <c r="W350" s="2">
        <v>0</v>
      </c>
      <c r="X350">
        <v>0</v>
      </c>
      <c r="Y350" t="s">
        <v>60</v>
      </c>
      <c r="Z350" t="s">
        <v>239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15.98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46188</v>
      </c>
      <c r="B351" t="s">
        <v>48</v>
      </c>
      <c r="C351">
        <v>649163</v>
      </c>
      <c r="D351">
        <v>2033684745</v>
      </c>
      <c r="E351" t="s">
        <v>657</v>
      </c>
      <c r="F351" t="s">
        <v>446</v>
      </c>
      <c r="G351" t="s">
        <v>51</v>
      </c>
      <c r="H351" t="s">
        <v>305</v>
      </c>
      <c r="I351" t="s">
        <v>182</v>
      </c>
      <c r="J351" t="s">
        <v>183</v>
      </c>
      <c r="K351">
        <v>816021</v>
      </c>
      <c r="L351" t="s">
        <v>312</v>
      </c>
      <c r="M351" t="s">
        <v>313</v>
      </c>
      <c r="N351" t="s">
        <v>57</v>
      </c>
      <c r="O351" s="1">
        <v>46070</v>
      </c>
      <c r="Q351" s="1">
        <v>46220</v>
      </c>
      <c r="R351" s="2">
        <v>9.1</v>
      </c>
      <c r="S351">
        <v>1</v>
      </c>
      <c r="T351" t="s">
        <v>58</v>
      </c>
      <c r="U351" t="s">
        <v>59</v>
      </c>
      <c r="V351" s="3">
        <v>0.7</v>
      </c>
      <c r="W351" s="2">
        <v>0</v>
      </c>
      <c r="X351">
        <v>0</v>
      </c>
      <c r="Y351" t="s">
        <v>60</v>
      </c>
      <c r="Z351" t="s">
        <v>239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6.37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46188</v>
      </c>
      <c r="B352" t="s">
        <v>48</v>
      </c>
      <c r="C352">
        <v>649163</v>
      </c>
      <c r="D352">
        <v>2033719312</v>
      </c>
      <c r="E352" t="s">
        <v>658</v>
      </c>
      <c r="F352" t="s">
        <v>659</v>
      </c>
      <c r="G352" t="s">
        <v>51</v>
      </c>
      <c r="H352" t="s">
        <v>193</v>
      </c>
      <c r="I352" t="s">
        <v>182</v>
      </c>
      <c r="J352" t="s">
        <v>202</v>
      </c>
      <c r="K352">
        <v>902625</v>
      </c>
      <c r="L352" t="s">
        <v>137</v>
      </c>
      <c r="M352" t="s">
        <v>138</v>
      </c>
      <c r="N352" t="s">
        <v>57</v>
      </c>
      <c r="O352" s="1">
        <v>46072</v>
      </c>
      <c r="Q352" s="1">
        <v>46222</v>
      </c>
      <c r="R352" s="2">
        <v>24.61</v>
      </c>
      <c r="S352">
        <v>1</v>
      </c>
      <c r="T352" t="s">
        <v>58</v>
      </c>
      <c r="U352" t="s">
        <v>59</v>
      </c>
      <c r="V352" s="3">
        <v>0.7</v>
      </c>
      <c r="W352" s="2">
        <v>0</v>
      </c>
      <c r="X352">
        <v>0</v>
      </c>
      <c r="Y352" t="s">
        <v>60</v>
      </c>
      <c r="Z352" t="s">
        <v>239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17.23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46188</v>
      </c>
      <c r="B353" t="s">
        <v>48</v>
      </c>
      <c r="C353">
        <v>649163</v>
      </c>
      <c r="D353">
        <v>2033723210</v>
      </c>
      <c r="E353" t="s">
        <v>660</v>
      </c>
      <c r="F353" t="s">
        <v>661</v>
      </c>
      <c r="G353" t="s">
        <v>51</v>
      </c>
      <c r="H353" t="s">
        <v>193</v>
      </c>
      <c r="I353" t="s">
        <v>182</v>
      </c>
      <c r="J353" t="s">
        <v>197</v>
      </c>
      <c r="K353">
        <v>902625</v>
      </c>
      <c r="L353" t="s">
        <v>137</v>
      </c>
      <c r="M353" t="s">
        <v>138</v>
      </c>
      <c r="N353" t="s">
        <v>57</v>
      </c>
      <c r="O353" s="1">
        <v>46072</v>
      </c>
      <c r="Q353" s="1">
        <v>46222</v>
      </c>
      <c r="R353" s="2">
        <v>41.31</v>
      </c>
      <c r="S353">
        <v>1</v>
      </c>
      <c r="T353" t="s">
        <v>58</v>
      </c>
      <c r="U353" t="s">
        <v>59</v>
      </c>
      <c r="V353" s="3">
        <v>0.42</v>
      </c>
      <c r="W353" s="2">
        <v>0</v>
      </c>
      <c r="X353">
        <v>0</v>
      </c>
      <c r="Y353" t="s">
        <v>60</v>
      </c>
      <c r="Z353" t="s">
        <v>239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17.350000000000001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46188</v>
      </c>
      <c r="B354" t="s">
        <v>48</v>
      </c>
      <c r="C354">
        <v>649163</v>
      </c>
      <c r="D354">
        <v>2033723211</v>
      </c>
      <c r="E354" t="s">
        <v>660</v>
      </c>
      <c r="F354" t="s">
        <v>661</v>
      </c>
      <c r="G354" t="s">
        <v>51</v>
      </c>
      <c r="H354" t="s">
        <v>193</v>
      </c>
      <c r="I354" t="s">
        <v>182</v>
      </c>
      <c r="J354" t="s">
        <v>202</v>
      </c>
      <c r="K354">
        <v>902625</v>
      </c>
      <c r="L354" t="s">
        <v>137</v>
      </c>
      <c r="M354" t="s">
        <v>138</v>
      </c>
      <c r="N354" t="s">
        <v>57</v>
      </c>
      <c r="O354" s="1">
        <v>46072</v>
      </c>
      <c r="Q354" s="1">
        <v>46222</v>
      </c>
      <c r="R354" s="2">
        <v>24.61</v>
      </c>
      <c r="S354">
        <v>1</v>
      </c>
      <c r="T354" t="s">
        <v>58</v>
      </c>
      <c r="U354" t="s">
        <v>59</v>
      </c>
      <c r="V354" s="3">
        <v>0.7</v>
      </c>
      <c r="W354" s="2">
        <v>0</v>
      </c>
      <c r="X354">
        <v>0</v>
      </c>
      <c r="Y354" t="s">
        <v>60</v>
      </c>
      <c r="Z354" t="s">
        <v>239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17.23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46188</v>
      </c>
      <c r="B355" t="s">
        <v>48</v>
      </c>
      <c r="C355">
        <v>649163</v>
      </c>
      <c r="D355">
        <v>2033723212</v>
      </c>
      <c r="E355" t="s">
        <v>660</v>
      </c>
      <c r="F355" t="s">
        <v>661</v>
      </c>
      <c r="G355" t="s">
        <v>51</v>
      </c>
      <c r="H355" t="s">
        <v>193</v>
      </c>
      <c r="I355" t="s">
        <v>182</v>
      </c>
      <c r="J355" t="s">
        <v>194</v>
      </c>
      <c r="K355">
        <v>902625</v>
      </c>
      <c r="L355" t="s">
        <v>137</v>
      </c>
      <c r="M355" t="s">
        <v>138</v>
      </c>
      <c r="N355" t="s">
        <v>57</v>
      </c>
      <c r="O355" s="1">
        <v>46072</v>
      </c>
      <c r="Q355" s="1">
        <v>46222</v>
      </c>
      <c r="R355" s="2">
        <v>51.63</v>
      </c>
      <c r="S355">
        <v>1</v>
      </c>
      <c r="T355" t="s">
        <v>58</v>
      </c>
      <c r="U355" t="s">
        <v>59</v>
      </c>
      <c r="V355" s="3">
        <v>0.9</v>
      </c>
      <c r="W355" s="2">
        <v>0</v>
      </c>
      <c r="X355">
        <v>0</v>
      </c>
      <c r="Y355" t="s">
        <v>60</v>
      </c>
      <c r="Z355" t="s">
        <v>239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46.47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46188</v>
      </c>
      <c r="B356" t="s">
        <v>48</v>
      </c>
      <c r="C356">
        <v>649163</v>
      </c>
      <c r="D356">
        <v>2033726189</v>
      </c>
      <c r="E356" t="s">
        <v>662</v>
      </c>
      <c r="F356" t="s">
        <v>663</v>
      </c>
      <c r="G356" t="s">
        <v>51</v>
      </c>
      <c r="H356" t="s">
        <v>170</v>
      </c>
      <c r="I356" t="s">
        <v>182</v>
      </c>
      <c r="J356" t="s">
        <v>183</v>
      </c>
      <c r="K356">
        <v>820140</v>
      </c>
      <c r="L356" t="s">
        <v>457</v>
      </c>
      <c r="M356" t="s">
        <v>190</v>
      </c>
      <c r="N356" t="s">
        <v>57</v>
      </c>
      <c r="O356" s="1">
        <v>46072</v>
      </c>
      <c r="Q356" s="1">
        <v>46222</v>
      </c>
      <c r="R356" s="2">
        <v>11.5</v>
      </c>
      <c r="S356">
        <v>1</v>
      </c>
      <c r="T356" t="s">
        <v>58</v>
      </c>
      <c r="U356" t="s">
        <v>59</v>
      </c>
      <c r="V356" s="3">
        <v>0.3</v>
      </c>
      <c r="W356" s="2">
        <v>0</v>
      </c>
      <c r="X356">
        <v>0</v>
      </c>
      <c r="Y356" t="s">
        <v>60</v>
      </c>
      <c r="Z356" t="s">
        <v>239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3.45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46188</v>
      </c>
      <c r="B357" t="s">
        <v>48</v>
      </c>
      <c r="C357">
        <v>649163</v>
      </c>
      <c r="D357">
        <v>2034097752</v>
      </c>
      <c r="E357" t="s">
        <v>281</v>
      </c>
      <c r="F357" t="s">
        <v>282</v>
      </c>
      <c r="G357" t="s">
        <v>51</v>
      </c>
      <c r="H357" t="s">
        <v>145</v>
      </c>
      <c r="I357" t="s">
        <v>182</v>
      </c>
      <c r="J357" t="s">
        <v>202</v>
      </c>
      <c r="K357">
        <v>673059</v>
      </c>
      <c r="L357" t="s">
        <v>85</v>
      </c>
      <c r="M357" t="s">
        <v>86</v>
      </c>
      <c r="N357" t="s">
        <v>57</v>
      </c>
      <c r="O357" s="1">
        <v>46127</v>
      </c>
      <c r="Q357" s="1">
        <v>46218</v>
      </c>
      <c r="R357" s="2">
        <v>42.88</v>
      </c>
      <c r="S357">
        <v>1</v>
      </c>
      <c r="T357" t="s">
        <v>58</v>
      </c>
      <c r="U357" t="s">
        <v>59</v>
      </c>
      <c r="V357" s="3">
        <v>0.7</v>
      </c>
      <c r="W357" s="2">
        <v>0</v>
      </c>
      <c r="X357">
        <v>0</v>
      </c>
      <c r="Y357" t="s">
        <v>60</v>
      </c>
      <c r="Z357" t="s">
        <v>239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30.02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46188</v>
      </c>
      <c r="B358" t="s">
        <v>48</v>
      </c>
      <c r="C358">
        <v>649163</v>
      </c>
      <c r="D358">
        <v>2034113722</v>
      </c>
      <c r="E358" t="s">
        <v>664</v>
      </c>
      <c r="F358" t="s">
        <v>349</v>
      </c>
      <c r="G358" t="s">
        <v>51</v>
      </c>
      <c r="H358" t="s">
        <v>119</v>
      </c>
      <c r="I358" t="s">
        <v>182</v>
      </c>
      <c r="J358" t="s">
        <v>183</v>
      </c>
      <c r="K358">
        <v>824062</v>
      </c>
      <c r="L358" t="s">
        <v>385</v>
      </c>
      <c r="M358" t="s">
        <v>386</v>
      </c>
      <c r="N358" t="s">
        <v>57</v>
      </c>
      <c r="O358" s="1">
        <v>46130</v>
      </c>
      <c r="Q358" s="1">
        <v>46221</v>
      </c>
      <c r="R358" s="2">
        <v>51</v>
      </c>
      <c r="S358">
        <v>1</v>
      </c>
      <c r="T358" t="s">
        <v>58</v>
      </c>
      <c r="U358" t="s">
        <v>59</v>
      </c>
      <c r="V358" s="3">
        <v>0.7</v>
      </c>
      <c r="W358" s="2">
        <v>0</v>
      </c>
      <c r="X358">
        <v>0</v>
      </c>
      <c r="Y358" t="s">
        <v>60</v>
      </c>
      <c r="Z358" t="s">
        <v>239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35.700000000000003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46188</v>
      </c>
      <c r="B359" t="s">
        <v>48</v>
      </c>
      <c r="C359">
        <v>649163</v>
      </c>
      <c r="D359">
        <v>2034234841</v>
      </c>
      <c r="E359" t="s">
        <v>665</v>
      </c>
      <c r="F359" t="s">
        <v>287</v>
      </c>
      <c r="G359" t="s">
        <v>51</v>
      </c>
      <c r="H359" t="s">
        <v>305</v>
      </c>
      <c r="I359" t="s">
        <v>182</v>
      </c>
      <c r="J359" t="s">
        <v>183</v>
      </c>
      <c r="K359">
        <v>816021</v>
      </c>
      <c r="L359" t="s">
        <v>312</v>
      </c>
      <c r="M359" t="s">
        <v>313</v>
      </c>
      <c r="N359" t="s">
        <v>57</v>
      </c>
      <c r="O359" s="1">
        <v>46096</v>
      </c>
      <c r="Q359" s="1">
        <v>46218</v>
      </c>
      <c r="R359" s="2">
        <v>9.6999999999999993</v>
      </c>
      <c r="S359">
        <v>1</v>
      </c>
      <c r="T359" t="s">
        <v>58</v>
      </c>
      <c r="U359" t="s">
        <v>59</v>
      </c>
      <c r="V359" s="3">
        <v>0.7</v>
      </c>
      <c r="W359" s="2">
        <v>0</v>
      </c>
      <c r="X359">
        <v>0</v>
      </c>
      <c r="Y359" t="s">
        <v>60</v>
      </c>
      <c r="Z359" t="s">
        <v>239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6.79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46188</v>
      </c>
      <c r="B360" t="s">
        <v>48</v>
      </c>
      <c r="C360">
        <v>649163</v>
      </c>
      <c r="D360">
        <v>2034256766</v>
      </c>
      <c r="E360" t="s">
        <v>232</v>
      </c>
      <c r="F360" t="s">
        <v>666</v>
      </c>
      <c r="G360" t="s">
        <v>51</v>
      </c>
      <c r="H360" t="s">
        <v>523</v>
      </c>
      <c r="I360" t="s">
        <v>182</v>
      </c>
      <c r="J360" t="s">
        <v>183</v>
      </c>
      <c r="K360">
        <v>651818</v>
      </c>
      <c r="L360" t="s">
        <v>79</v>
      </c>
      <c r="M360" t="s">
        <v>80</v>
      </c>
      <c r="N360" t="s">
        <v>57</v>
      </c>
      <c r="O360" s="1">
        <v>46096</v>
      </c>
      <c r="Q360" s="1">
        <v>46218</v>
      </c>
      <c r="R360" s="2">
        <v>30.68</v>
      </c>
      <c r="S360">
        <v>1</v>
      </c>
      <c r="T360" t="s">
        <v>58</v>
      </c>
      <c r="U360" t="s">
        <v>59</v>
      </c>
      <c r="V360" s="3">
        <v>0.7</v>
      </c>
      <c r="W360" s="2">
        <v>0</v>
      </c>
      <c r="X360">
        <v>0</v>
      </c>
      <c r="Y360" t="s">
        <v>60</v>
      </c>
      <c r="Z360" t="s">
        <v>239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21.48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46188</v>
      </c>
      <c r="B361" t="s">
        <v>48</v>
      </c>
      <c r="C361">
        <v>649163</v>
      </c>
      <c r="D361">
        <v>2034256768</v>
      </c>
      <c r="E361" t="s">
        <v>232</v>
      </c>
      <c r="F361" t="s">
        <v>666</v>
      </c>
      <c r="G361" t="s">
        <v>51</v>
      </c>
      <c r="H361" t="s">
        <v>523</v>
      </c>
      <c r="I361" t="s">
        <v>182</v>
      </c>
      <c r="J361" t="s">
        <v>194</v>
      </c>
      <c r="K361">
        <v>651818</v>
      </c>
      <c r="L361" t="s">
        <v>79</v>
      </c>
      <c r="M361" t="s">
        <v>80</v>
      </c>
      <c r="N361" t="s">
        <v>57</v>
      </c>
      <c r="O361" s="1">
        <v>46096</v>
      </c>
      <c r="Q361" s="1">
        <v>46218</v>
      </c>
      <c r="R361" s="2">
        <v>32.25</v>
      </c>
      <c r="S361">
        <v>1</v>
      </c>
      <c r="T361" t="s">
        <v>58</v>
      </c>
      <c r="U361" t="s">
        <v>59</v>
      </c>
      <c r="V361" s="3">
        <v>0.9</v>
      </c>
      <c r="W361" s="2">
        <v>0</v>
      </c>
      <c r="X361">
        <v>0</v>
      </c>
      <c r="Y361" t="s">
        <v>60</v>
      </c>
      <c r="Z361" t="s">
        <v>239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29.02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46188</v>
      </c>
      <c r="B362" t="s">
        <v>48</v>
      </c>
      <c r="C362">
        <v>649163</v>
      </c>
      <c r="D362">
        <v>2034260110</v>
      </c>
      <c r="E362" t="s">
        <v>667</v>
      </c>
      <c r="F362" t="s">
        <v>668</v>
      </c>
      <c r="G362" t="s">
        <v>51</v>
      </c>
      <c r="H362" t="s">
        <v>305</v>
      </c>
      <c r="I362" t="s">
        <v>182</v>
      </c>
      <c r="J362" t="s">
        <v>183</v>
      </c>
      <c r="K362">
        <v>824082</v>
      </c>
      <c r="L362" t="s">
        <v>510</v>
      </c>
      <c r="M362" t="s">
        <v>511</v>
      </c>
      <c r="N362" t="s">
        <v>57</v>
      </c>
      <c r="O362" s="1">
        <v>46096</v>
      </c>
      <c r="Q362" s="1">
        <v>46218</v>
      </c>
      <c r="R362" s="2">
        <v>9.6999999999999993</v>
      </c>
      <c r="S362">
        <v>1</v>
      </c>
      <c r="T362" t="s">
        <v>58</v>
      </c>
      <c r="U362" t="s">
        <v>59</v>
      </c>
      <c r="V362" s="3">
        <v>0.7</v>
      </c>
      <c r="W362" s="2">
        <v>0</v>
      </c>
      <c r="X362">
        <v>0</v>
      </c>
      <c r="Y362" t="s">
        <v>60</v>
      </c>
      <c r="Z362" t="s">
        <v>239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6.79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46188</v>
      </c>
      <c r="B363" t="s">
        <v>48</v>
      </c>
      <c r="C363">
        <v>649163</v>
      </c>
      <c r="D363">
        <v>2034284252</v>
      </c>
      <c r="E363" t="s">
        <v>669</v>
      </c>
      <c r="F363" t="s">
        <v>670</v>
      </c>
      <c r="G363" t="s">
        <v>51</v>
      </c>
      <c r="H363" t="s">
        <v>339</v>
      </c>
      <c r="I363" t="s">
        <v>182</v>
      </c>
      <c r="J363" t="s">
        <v>183</v>
      </c>
      <c r="K363">
        <v>812994</v>
      </c>
      <c r="L363" t="s">
        <v>495</v>
      </c>
      <c r="M363" t="s">
        <v>496</v>
      </c>
      <c r="N363" t="s">
        <v>57</v>
      </c>
      <c r="O363" s="1">
        <v>46097</v>
      </c>
      <c r="Q363" s="1">
        <v>46219</v>
      </c>
      <c r="R363" s="2">
        <v>122.32</v>
      </c>
      <c r="S363">
        <v>1</v>
      </c>
      <c r="T363" t="s">
        <v>58</v>
      </c>
      <c r="U363" t="s">
        <v>59</v>
      </c>
      <c r="V363" s="3">
        <v>0.7</v>
      </c>
      <c r="W363" s="2">
        <v>0</v>
      </c>
      <c r="X363">
        <v>0</v>
      </c>
      <c r="Y363" t="s">
        <v>60</v>
      </c>
      <c r="Z363" t="s">
        <v>239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85.62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46188</v>
      </c>
      <c r="B364" t="s">
        <v>48</v>
      </c>
      <c r="C364">
        <v>649163</v>
      </c>
      <c r="D364">
        <v>2034301217</v>
      </c>
      <c r="E364" t="s">
        <v>671</v>
      </c>
      <c r="F364" t="s">
        <v>672</v>
      </c>
      <c r="G364" t="s">
        <v>51</v>
      </c>
      <c r="H364" t="s">
        <v>170</v>
      </c>
      <c r="I364" t="s">
        <v>182</v>
      </c>
      <c r="J364" t="s">
        <v>183</v>
      </c>
      <c r="K364">
        <v>820140</v>
      </c>
      <c r="L364" t="s">
        <v>457</v>
      </c>
      <c r="M364" t="s">
        <v>190</v>
      </c>
      <c r="N364" t="s">
        <v>57</v>
      </c>
      <c r="O364" s="1">
        <v>46094</v>
      </c>
      <c r="Q364" s="1">
        <v>46216</v>
      </c>
      <c r="R364" s="2">
        <v>86.25</v>
      </c>
      <c r="S364">
        <v>1</v>
      </c>
      <c r="T364" t="s">
        <v>58</v>
      </c>
      <c r="U364" t="s">
        <v>59</v>
      </c>
      <c r="V364" s="3">
        <v>0.3</v>
      </c>
      <c r="W364" s="2">
        <v>0</v>
      </c>
      <c r="X364">
        <v>0</v>
      </c>
      <c r="Y364" t="s">
        <v>60</v>
      </c>
      <c r="Z364" t="s">
        <v>239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25.88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46188</v>
      </c>
      <c r="B365" t="s">
        <v>48</v>
      </c>
      <c r="C365">
        <v>649163</v>
      </c>
      <c r="D365">
        <v>2034302043</v>
      </c>
      <c r="E365" t="s">
        <v>673</v>
      </c>
      <c r="F365" t="s">
        <v>86</v>
      </c>
      <c r="G365" t="s">
        <v>51</v>
      </c>
      <c r="H365" t="s">
        <v>95</v>
      </c>
      <c r="I365" t="s">
        <v>182</v>
      </c>
      <c r="J365" t="s">
        <v>183</v>
      </c>
      <c r="K365">
        <v>878036</v>
      </c>
      <c r="L365" t="s">
        <v>514</v>
      </c>
      <c r="M365" t="s">
        <v>515</v>
      </c>
      <c r="N365" t="s">
        <v>57</v>
      </c>
      <c r="O365" s="1">
        <v>46094</v>
      </c>
      <c r="Q365" s="1">
        <v>46216</v>
      </c>
      <c r="R365" s="2">
        <v>57.38</v>
      </c>
      <c r="S365">
        <v>1</v>
      </c>
      <c r="T365" t="s">
        <v>58</v>
      </c>
      <c r="U365" t="s">
        <v>59</v>
      </c>
      <c r="V365" s="3">
        <v>0.7</v>
      </c>
      <c r="W365" s="2">
        <v>0</v>
      </c>
      <c r="X365">
        <v>0</v>
      </c>
      <c r="Y365" t="s">
        <v>60</v>
      </c>
      <c r="Z365" t="s">
        <v>239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40.17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46188</v>
      </c>
      <c r="B366" t="s">
        <v>48</v>
      </c>
      <c r="C366">
        <v>649163</v>
      </c>
      <c r="D366">
        <v>2034304901</v>
      </c>
      <c r="E366" t="s">
        <v>674</v>
      </c>
      <c r="F366" t="s">
        <v>256</v>
      </c>
      <c r="G366" t="s">
        <v>51</v>
      </c>
      <c r="H366" t="s">
        <v>292</v>
      </c>
      <c r="I366" t="s">
        <v>182</v>
      </c>
      <c r="J366" t="s">
        <v>183</v>
      </c>
      <c r="K366">
        <v>875334</v>
      </c>
      <c r="L366" t="s">
        <v>531</v>
      </c>
      <c r="M366" t="s">
        <v>532</v>
      </c>
      <c r="N366" t="s">
        <v>57</v>
      </c>
      <c r="O366" s="1">
        <v>46094</v>
      </c>
      <c r="Q366" s="1">
        <v>46216</v>
      </c>
      <c r="R366" s="2">
        <v>32.200000000000003</v>
      </c>
      <c r="S366">
        <v>1</v>
      </c>
      <c r="T366" t="s">
        <v>58</v>
      </c>
      <c r="U366" t="s">
        <v>59</v>
      </c>
      <c r="V366" s="3">
        <v>0.7</v>
      </c>
      <c r="W366" s="2">
        <v>0</v>
      </c>
      <c r="X366">
        <v>0</v>
      </c>
      <c r="Y366" t="s">
        <v>60</v>
      </c>
      <c r="Z366" t="s">
        <v>239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22.54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46188</v>
      </c>
      <c r="B367" t="s">
        <v>48</v>
      </c>
      <c r="C367">
        <v>649163</v>
      </c>
      <c r="D367">
        <v>2034306131</v>
      </c>
      <c r="E367" t="s">
        <v>675</v>
      </c>
      <c r="F367" t="s">
        <v>227</v>
      </c>
      <c r="G367" t="s">
        <v>51</v>
      </c>
      <c r="H367" t="s">
        <v>209</v>
      </c>
      <c r="I367" t="s">
        <v>182</v>
      </c>
      <c r="J367" t="s">
        <v>183</v>
      </c>
      <c r="K367">
        <v>651818</v>
      </c>
      <c r="L367" t="s">
        <v>79</v>
      </c>
      <c r="M367" t="s">
        <v>80</v>
      </c>
      <c r="N367" t="s">
        <v>57</v>
      </c>
      <c r="O367" s="1">
        <v>46094</v>
      </c>
      <c r="Q367" s="1">
        <v>46216</v>
      </c>
      <c r="R367" s="2">
        <v>36.76</v>
      </c>
      <c r="S367">
        <v>1</v>
      </c>
      <c r="T367" t="s">
        <v>58</v>
      </c>
      <c r="U367" t="s">
        <v>59</v>
      </c>
      <c r="V367" s="3">
        <v>0.7</v>
      </c>
      <c r="W367" s="2">
        <v>0</v>
      </c>
      <c r="X367">
        <v>0</v>
      </c>
      <c r="Y367" t="s">
        <v>60</v>
      </c>
      <c r="Z367" t="s">
        <v>239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25.73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46188</v>
      </c>
      <c r="B368" t="s">
        <v>48</v>
      </c>
      <c r="C368">
        <v>649163</v>
      </c>
      <c r="D368">
        <v>2034310022</v>
      </c>
      <c r="E368" t="s">
        <v>676</v>
      </c>
      <c r="F368" t="s">
        <v>677</v>
      </c>
      <c r="G368" t="s">
        <v>51</v>
      </c>
      <c r="H368" t="s">
        <v>119</v>
      </c>
      <c r="I368" t="s">
        <v>182</v>
      </c>
      <c r="J368" t="s">
        <v>194</v>
      </c>
      <c r="K368">
        <v>812994</v>
      </c>
      <c r="L368" t="s">
        <v>495</v>
      </c>
      <c r="M368" t="s">
        <v>496</v>
      </c>
      <c r="N368" t="s">
        <v>57</v>
      </c>
      <c r="O368" s="1">
        <v>46094</v>
      </c>
      <c r="Q368" s="1">
        <v>46216</v>
      </c>
      <c r="R368" s="2">
        <v>142.08000000000001</v>
      </c>
      <c r="S368">
        <v>1</v>
      </c>
      <c r="T368" t="s">
        <v>58</v>
      </c>
      <c r="U368" t="s">
        <v>59</v>
      </c>
      <c r="V368" s="3">
        <v>0.9</v>
      </c>
      <c r="W368" s="2">
        <v>0</v>
      </c>
      <c r="X368">
        <v>0</v>
      </c>
      <c r="Y368" t="s">
        <v>60</v>
      </c>
      <c r="Z368" t="s">
        <v>239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127.87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46188</v>
      </c>
      <c r="B369" t="s">
        <v>48</v>
      </c>
      <c r="C369">
        <v>649163</v>
      </c>
      <c r="D369">
        <v>2034315973</v>
      </c>
      <c r="E369" t="s">
        <v>620</v>
      </c>
      <c r="F369" t="s">
        <v>678</v>
      </c>
      <c r="G369" t="s">
        <v>51</v>
      </c>
      <c r="H369" t="s">
        <v>170</v>
      </c>
      <c r="I369" t="s">
        <v>182</v>
      </c>
      <c r="J369" t="s">
        <v>194</v>
      </c>
      <c r="K369">
        <v>767312</v>
      </c>
      <c r="L369" t="s">
        <v>171</v>
      </c>
      <c r="M369" t="s">
        <v>172</v>
      </c>
      <c r="N369" t="s">
        <v>57</v>
      </c>
      <c r="O369" s="1">
        <v>46094</v>
      </c>
      <c r="Q369" s="1">
        <v>46216</v>
      </c>
      <c r="R369" s="2">
        <v>51.63</v>
      </c>
      <c r="S369">
        <v>1</v>
      </c>
      <c r="T369" t="s">
        <v>58</v>
      </c>
      <c r="U369" t="s">
        <v>59</v>
      </c>
      <c r="V369" s="3">
        <v>0.9</v>
      </c>
      <c r="W369" s="2">
        <v>0</v>
      </c>
      <c r="X369">
        <v>0</v>
      </c>
      <c r="Y369" t="s">
        <v>60</v>
      </c>
      <c r="Z369" t="s">
        <v>239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46.47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46188</v>
      </c>
      <c r="B370" t="s">
        <v>48</v>
      </c>
      <c r="C370">
        <v>649163</v>
      </c>
      <c r="D370">
        <v>2034374842</v>
      </c>
      <c r="E370" t="s">
        <v>679</v>
      </c>
      <c r="F370" t="s">
        <v>680</v>
      </c>
      <c r="G370" t="s">
        <v>51</v>
      </c>
      <c r="H370" t="s">
        <v>681</v>
      </c>
      <c r="I370" t="s">
        <v>182</v>
      </c>
      <c r="J370" t="s">
        <v>183</v>
      </c>
      <c r="K370">
        <v>651818</v>
      </c>
      <c r="L370" t="s">
        <v>79</v>
      </c>
      <c r="M370" t="s">
        <v>80</v>
      </c>
      <c r="N370" t="s">
        <v>57</v>
      </c>
      <c r="O370" s="1">
        <v>46099</v>
      </c>
      <c r="Q370" s="1">
        <v>46221</v>
      </c>
      <c r="R370" s="2">
        <v>23.09</v>
      </c>
      <c r="S370">
        <v>1</v>
      </c>
      <c r="T370" t="s">
        <v>58</v>
      </c>
      <c r="U370" t="s">
        <v>59</v>
      </c>
      <c r="V370" s="3">
        <v>0.7</v>
      </c>
      <c r="W370" s="2">
        <v>0</v>
      </c>
      <c r="X370">
        <v>0</v>
      </c>
      <c r="Y370" t="s">
        <v>60</v>
      </c>
      <c r="Z370" t="s">
        <v>239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16.16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46188</v>
      </c>
      <c r="B371" t="s">
        <v>48</v>
      </c>
      <c r="C371">
        <v>649163</v>
      </c>
      <c r="D371">
        <v>2034375764</v>
      </c>
      <c r="E371" t="s">
        <v>682</v>
      </c>
      <c r="F371" t="s">
        <v>335</v>
      </c>
      <c r="G371" t="s">
        <v>51</v>
      </c>
      <c r="H371" t="s">
        <v>77</v>
      </c>
      <c r="I371" t="s">
        <v>182</v>
      </c>
      <c r="J371" t="s">
        <v>183</v>
      </c>
      <c r="K371">
        <v>673059</v>
      </c>
      <c r="L371" t="s">
        <v>85</v>
      </c>
      <c r="M371" t="s">
        <v>86</v>
      </c>
      <c r="N371" t="s">
        <v>57</v>
      </c>
      <c r="O371" s="1">
        <v>46098</v>
      </c>
      <c r="Q371" s="1">
        <v>46220</v>
      </c>
      <c r="R371" s="2">
        <v>24.78</v>
      </c>
      <c r="S371">
        <v>1</v>
      </c>
      <c r="T371" t="s">
        <v>58</v>
      </c>
      <c r="U371" t="s">
        <v>59</v>
      </c>
      <c r="V371" s="3">
        <v>0.7</v>
      </c>
      <c r="W371" s="2">
        <v>0</v>
      </c>
      <c r="X371">
        <v>0</v>
      </c>
      <c r="Y371" t="s">
        <v>60</v>
      </c>
      <c r="Z371" t="s">
        <v>239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17.350000000000001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46188</v>
      </c>
      <c r="B372" t="s">
        <v>48</v>
      </c>
      <c r="C372">
        <v>649163</v>
      </c>
      <c r="D372">
        <v>2034375765</v>
      </c>
      <c r="E372" t="s">
        <v>682</v>
      </c>
      <c r="F372" t="s">
        <v>335</v>
      </c>
      <c r="G372" t="s">
        <v>51</v>
      </c>
      <c r="H372" t="s">
        <v>77</v>
      </c>
      <c r="I372" t="s">
        <v>182</v>
      </c>
      <c r="J372" t="s">
        <v>202</v>
      </c>
      <c r="K372">
        <v>673059</v>
      </c>
      <c r="L372" t="s">
        <v>85</v>
      </c>
      <c r="M372" t="s">
        <v>86</v>
      </c>
      <c r="N372" t="s">
        <v>57</v>
      </c>
      <c r="O372" s="1">
        <v>46098</v>
      </c>
      <c r="Q372" s="1">
        <v>46220</v>
      </c>
      <c r="R372" s="2">
        <v>25.73</v>
      </c>
      <c r="S372">
        <v>1</v>
      </c>
      <c r="T372" t="s">
        <v>58</v>
      </c>
      <c r="U372" t="s">
        <v>59</v>
      </c>
      <c r="V372" s="3">
        <v>0.7</v>
      </c>
      <c r="W372" s="2">
        <v>0</v>
      </c>
      <c r="X372">
        <v>0</v>
      </c>
      <c r="Y372" t="s">
        <v>60</v>
      </c>
      <c r="Z372" t="s">
        <v>239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18.010000000000002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46188</v>
      </c>
      <c r="B373" t="s">
        <v>48</v>
      </c>
      <c r="C373">
        <v>649163</v>
      </c>
      <c r="D373">
        <v>2034384322</v>
      </c>
      <c r="E373" t="s">
        <v>683</v>
      </c>
      <c r="F373" t="s">
        <v>256</v>
      </c>
      <c r="G373" t="s">
        <v>51</v>
      </c>
      <c r="H373" t="s">
        <v>245</v>
      </c>
      <c r="I373" t="s">
        <v>182</v>
      </c>
      <c r="J373" t="s">
        <v>183</v>
      </c>
      <c r="K373">
        <v>822733</v>
      </c>
      <c r="L373" t="s">
        <v>444</v>
      </c>
      <c r="M373" t="s">
        <v>445</v>
      </c>
      <c r="N373" t="s">
        <v>57</v>
      </c>
      <c r="O373" s="1">
        <v>46098</v>
      </c>
      <c r="Q373" s="1">
        <v>46220</v>
      </c>
      <c r="R373" s="2">
        <v>59.04</v>
      </c>
      <c r="S373">
        <v>1</v>
      </c>
      <c r="T373" t="s">
        <v>58</v>
      </c>
      <c r="U373" t="s">
        <v>59</v>
      </c>
      <c r="V373" s="3">
        <v>0.7</v>
      </c>
      <c r="W373" s="2">
        <v>0</v>
      </c>
      <c r="X373">
        <v>0</v>
      </c>
      <c r="Y373" t="s">
        <v>60</v>
      </c>
      <c r="Z373" t="s">
        <v>239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41.33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46188</v>
      </c>
      <c r="B374" t="s">
        <v>48</v>
      </c>
      <c r="C374">
        <v>649163</v>
      </c>
      <c r="D374">
        <v>2034385369</v>
      </c>
      <c r="E374" t="s">
        <v>684</v>
      </c>
      <c r="F374" t="s">
        <v>685</v>
      </c>
      <c r="G374" t="s">
        <v>51</v>
      </c>
      <c r="H374" t="s">
        <v>119</v>
      </c>
      <c r="I374" t="s">
        <v>182</v>
      </c>
      <c r="J374" t="s">
        <v>183</v>
      </c>
      <c r="K374">
        <v>756803</v>
      </c>
      <c r="L374" t="s">
        <v>521</v>
      </c>
      <c r="M374" t="s">
        <v>370</v>
      </c>
      <c r="N374" t="s">
        <v>57</v>
      </c>
      <c r="O374" s="1">
        <v>46098</v>
      </c>
      <c r="Q374" s="1">
        <v>46220</v>
      </c>
      <c r="R374" s="2">
        <v>19</v>
      </c>
      <c r="S374">
        <v>1</v>
      </c>
      <c r="T374" t="s">
        <v>58</v>
      </c>
      <c r="U374" t="s">
        <v>59</v>
      </c>
      <c r="V374" s="3">
        <v>0.7</v>
      </c>
      <c r="W374" s="2">
        <v>0</v>
      </c>
      <c r="X374">
        <v>0</v>
      </c>
      <c r="Y374" t="s">
        <v>60</v>
      </c>
      <c r="Z374" t="s">
        <v>239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13.3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46188</v>
      </c>
      <c r="B375" t="s">
        <v>48</v>
      </c>
      <c r="C375">
        <v>649163</v>
      </c>
      <c r="D375">
        <v>2034413970</v>
      </c>
      <c r="E375" t="s">
        <v>686</v>
      </c>
      <c r="F375" t="s">
        <v>687</v>
      </c>
      <c r="G375" t="s">
        <v>51</v>
      </c>
      <c r="H375" t="s">
        <v>83</v>
      </c>
      <c r="I375" t="s">
        <v>182</v>
      </c>
      <c r="J375" t="s">
        <v>183</v>
      </c>
      <c r="K375">
        <v>956422</v>
      </c>
      <c r="L375" t="s">
        <v>91</v>
      </c>
      <c r="M375" t="s">
        <v>92</v>
      </c>
      <c r="N375" t="s">
        <v>57</v>
      </c>
      <c r="O375" s="1">
        <v>46100</v>
      </c>
      <c r="Q375" s="1">
        <v>46222</v>
      </c>
      <c r="R375" s="2">
        <v>44</v>
      </c>
      <c r="S375">
        <v>1</v>
      </c>
      <c r="T375" t="s">
        <v>58</v>
      </c>
      <c r="U375" t="s">
        <v>59</v>
      </c>
      <c r="V375" s="3">
        <v>0.7</v>
      </c>
      <c r="W375" s="2">
        <v>0</v>
      </c>
      <c r="X375">
        <v>0</v>
      </c>
      <c r="Y375" t="s">
        <v>60</v>
      </c>
      <c r="Z375" t="s">
        <v>239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30.8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46188</v>
      </c>
      <c r="B376" t="s">
        <v>48</v>
      </c>
      <c r="C376">
        <v>649163</v>
      </c>
      <c r="D376">
        <v>2034483030</v>
      </c>
      <c r="E376" t="s">
        <v>688</v>
      </c>
      <c r="F376" t="s">
        <v>689</v>
      </c>
      <c r="G376" t="s">
        <v>51</v>
      </c>
      <c r="H376" t="s">
        <v>212</v>
      </c>
      <c r="I376" t="s">
        <v>182</v>
      </c>
      <c r="J376" t="s">
        <v>197</v>
      </c>
      <c r="K376">
        <v>768887</v>
      </c>
      <c r="L376" t="s">
        <v>321</v>
      </c>
      <c r="M376" t="s">
        <v>94</v>
      </c>
      <c r="N376" t="s">
        <v>242</v>
      </c>
      <c r="O376" s="1">
        <v>46102</v>
      </c>
      <c r="P376" s="1">
        <v>46188</v>
      </c>
      <c r="Q376" s="1">
        <v>46194</v>
      </c>
      <c r="R376" s="2">
        <v>-39.14</v>
      </c>
      <c r="S376">
        <v>1</v>
      </c>
      <c r="T376" t="s">
        <v>58</v>
      </c>
      <c r="U376" t="s">
        <v>59</v>
      </c>
      <c r="V376" s="3">
        <v>0.42</v>
      </c>
      <c r="W376" s="2">
        <v>0</v>
      </c>
      <c r="X376">
        <v>-1</v>
      </c>
      <c r="Y376" t="s">
        <v>60</v>
      </c>
      <c r="Z376" t="s">
        <v>239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-16.440000000000001</v>
      </c>
      <c r="AN376" s="2">
        <v>-16.440000000000001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46188</v>
      </c>
      <c r="B377" t="s">
        <v>48</v>
      </c>
      <c r="C377">
        <v>649163</v>
      </c>
      <c r="D377">
        <v>2034507831</v>
      </c>
      <c r="E377" t="s">
        <v>533</v>
      </c>
      <c r="F377" t="s">
        <v>690</v>
      </c>
      <c r="G377" t="s">
        <v>51</v>
      </c>
      <c r="H377" t="s">
        <v>193</v>
      </c>
      <c r="I377" t="s">
        <v>182</v>
      </c>
      <c r="J377" t="s">
        <v>197</v>
      </c>
      <c r="K377">
        <v>902625</v>
      </c>
      <c r="L377" t="s">
        <v>137</v>
      </c>
      <c r="M377" t="s">
        <v>138</v>
      </c>
      <c r="N377" t="s">
        <v>57</v>
      </c>
      <c r="O377" s="1">
        <v>46105</v>
      </c>
      <c r="Q377" s="1">
        <v>46197</v>
      </c>
      <c r="R377" s="2">
        <v>16.7</v>
      </c>
      <c r="S377">
        <v>1</v>
      </c>
      <c r="T377" t="s">
        <v>58</v>
      </c>
      <c r="U377" t="s">
        <v>59</v>
      </c>
      <c r="V377" s="3">
        <v>0.42</v>
      </c>
      <c r="W377" s="2">
        <v>0</v>
      </c>
      <c r="X377">
        <v>0</v>
      </c>
      <c r="Y377" t="s">
        <v>60</v>
      </c>
      <c r="Z377" t="s">
        <v>239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7.01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46188</v>
      </c>
      <c r="B378" t="s">
        <v>48</v>
      </c>
      <c r="C378">
        <v>649163</v>
      </c>
      <c r="D378">
        <v>2034542882</v>
      </c>
      <c r="E378" t="s">
        <v>691</v>
      </c>
      <c r="F378" t="s">
        <v>692</v>
      </c>
      <c r="G378" t="s">
        <v>51</v>
      </c>
      <c r="H378" t="s">
        <v>245</v>
      </c>
      <c r="I378" t="s">
        <v>182</v>
      </c>
      <c r="J378" t="s">
        <v>183</v>
      </c>
      <c r="K378">
        <v>753748</v>
      </c>
      <c r="L378" t="s">
        <v>619</v>
      </c>
      <c r="M378" t="s">
        <v>256</v>
      </c>
      <c r="N378" t="s">
        <v>57</v>
      </c>
      <c r="O378" s="1">
        <v>46118</v>
      </c>
      <c r="Q378" s="1">
        <v>46209</v>
      </c>
      <c r="R378" s="2">
        <v>18.37</v>
      </c>
      <c r="S378">
        <v>1</v>
      </c>
      <c r="T378" t="s">
        <v>58</v>
      </c>
      <c r="U378" t="s">
        <v>59</v>
      </c>
      <c r="V378" s="3">
        <v>0.7</v>
      </c>
      <c r="W378" s="2">
        <v>0</v>
      </c>
      <c r="X378">
        <v>0</v>
      </c>
      <c r="Y378" t="s">
        <v>60</v>
      </c>
      <c r="Z378" t="s">
        <v>239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12.86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46188</v>
      </c>
      <c r="B379" t="s">
        <v>48</v>
      </c>
      <c r="C379">
        <v>649163</v>
      </c>
      <c r="D379">
        <v>2034695179</v>
      </c>
      <c r="E379" t="s">
        <v>693</v>
      </c>
      <c r="F379" t="s">
        <v>694</v>
      </c>
      <c r="G379" t="s">
        <v>51</v>
      </c>
      <c r="H379" t="s">
        <v>165</v>
      </c>
      <c r="I379" t="s">
        <v>182</v>
      </c>
      <c r="J379" t="s">
        <v>183</v>
      </c>
      <c r="K379">
        <v>651818</v>
      </c>
      <c r="L379" t="s">
        <v>79</v>
      </c>
      <c r="M379" t="s">
        <v>80</v>
      </c>
      <c r="N379" t="s">
        <v>57</v>
      </c>
      <c r="O379" s="1">
        <v>46127</v>
      </c>
      <c r="Q379" s="1">
        <v>46218</v>
      </c>
      <c r="R379" s="2">
        <v>66.86</v>
      </c>
      <c r="S379">
        <v>1</v>
      </c>
      <c r="T379" t="s">
        <v>58</v>
      </c>
      <c r="U379" t="s">
        <v>59</v>
      </c>
      <c r="V379" s="3">
        <v>0.7</v>
      </c>
      <c r="W379" s="2">
        <v>0</v>
      </c>
      <c r="X379">
        <v>0</v>
      </c>
      <c r="Y379" t="s">
        <v>60</v>
      </c>
      <c r="Z379" t="s">
        <v>239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46.8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46188</v>
      </c>
      <c r="B380" t="s">
        <v>48</v>
      </c>
      <c r="C380">
        <v>649163</v>
      </c>
      <c r="D380">
        <v>2034703500</v>
      </c>
      <c r="E380" t="s">
        <v>695</v>
      </c>
      <c r="F380" t="s">
        <v>630</v>
      </c>
      <c r="G380" t="s">
        <v>51</v>
      </c>
      <c r="H380" t="s">
        <v>696</v>
      </c>
      <c r="I380" t="s">
        <v>182</v>
      </c>
      <c r="J380" t="s">
        <v>183</v>
      </c>
      <c r="K380">
        <v>897073</v>
      </c>
      <c r="L380" t="s">
        <v>112</v>
      </c>
      <c r="M380" t="s">
        <v>113</v>
      </c>
      <c r="N380" t="s">
        <v>242</v>
      </c>
      <c r="O380" s="1">
        <v>46118</v>
      </c>
      <c r="P380" s="1">
        <v>46188</v>
      </c>
      <c r="Q380" s="1">
        <v>46209</v>
      </c>
      <c r="R380" s="2">
        <v>-11.72</v>
      </c>
      <c r="S380">
        <v>1</v>
      </c>
      <c r="T380" t="s">
        <v>58</v>
      </c>
      <c r="U380" t="s">
        <v>59</v>
      </c>
      <c r="V380" s="3">
        <v>0.7</v>
      </c>
      <c r="W380" s="2">
        <v>0</v>
      </c>
      <c r="X380">
        <v>-1</v>
      </c>
      <c r="Y380" t="s">
        <v>60</v>
      </c>
      <c r="Z380" t="s">
        <v>239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-8.1999999999999993</v>
      </c>
      <c r="AN380" s="2">
        <v>-8.1999999999999993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46188</v>
      </c>
      <c r="B381" t="s">
        <v>48</v>
      </c>
      <c r="C381">
        <v>649163</v>
      </c>
      <c r="D381">
        <v>2034740923</v>
      </c>
      <c r="E381" t="s">
        <v>697</v>
      </c>
      <c r="F381" t="s">
        <v>698</v>
      </c>
      <c r="G381" t="s">
        <v>51</v>
      </c>
      <c r="H381" t="s">
        <v>342</v>
      </c>
      <c r="I381" t="s">
        <v>182</v>
      </c>
      <c r="J381" t="s">
        <v>183</v>
      </c>
      <c r="K381">
        <v>816021</v>
      </c>
      <c r="L381" t="s">
        <v>312</v>
      </c>
      <c r="M381" t="s">
        <v>313</v>
      </c>
      <c r="N381" t="s">
        <v>57</v>
      </c>
      <c r="O381" s="1">
        <v>46127</v>
      </c>
      <c r="Q381" s="1">
        <v>46218</v>
      </c>
      <c r="R381" s="2">
        <v>31.28</v>
      </c>
      <c r="S381">
        <v>1</v>
      </c>
      <c r="T381" t="s">
        <v>58</v>
      </c>
      <c r="U381" t="s">
        <v>59</v>
      </c>
      <c r="V381" s="3">
        <v>0.7</v>
      </c>
      <c r="W381" s="2">
        <v>0</v>
      </c>
      <c r="X381">
        <v>0</v>
      </c>
      <c r="Y381" t="s">
        <v>60</v>
      </c>
      <c r="Z381" t="s">
        <v>239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21.9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46188</v>
      </c>
      <c r="B382" t="s">
        <v>48</v>
      </c>
      <c r="C382">
        <v>649163</v>
      </c>
      <c r="D382">
        <v>2034839068</v>
      </c>
      <c r="E382" t="s">
        <v>699</v>
      </c>
      <c r="F382" t="s">
        <v>549</v>
      </c>
      <c r="G382" t="s">
        <v>51</v>
      </c>
      <c r="H382" t="s">
        <v>162</v>
      </c>
      <c r="I382" t="s">
        <v>182</v>
      </c>
      <c r="J382" t="s">
        <v>183</v>
      </c>
      <c r="K382">
        <v>862109</v>
      </c>
      <c r="L382" t="s">
        <v>101</v>
      </c>
      <c r="M382" t="s">
        <v>700</v>
      </c>
      <c r="N382" t="s">
        <v>57</v>
      </c>
      <c r="O382" s="1">
        <v>46125</v>
      </c>
      <c r="Q382" s="1">
        <v>46216</v>
      </c>
      <c r="R382" s="2">
        <v>216.13</v>
      </c>
      <c r="S382">
        <v>1</v>
      </c>
      <c r="T382" t="s">
        <v>58</v>
      </c>
      <c r="U382" t="s">
        <v>59</v>
      </c>
      <c r="V382" s="3">
        <v>0.7</v>
      </c>
      <c r="W382" s="2">
        <v>0</v>
      </c>
      <c r="X382">
        <v>0</v>
      </c>
      <c r="Y382" t="s">
        <v>60</v>
      </c>
      <c r="Z382" t="s">
        <v>239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151.29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46188</v>
      </c>
      <c r="B383" t="s">
        <v>48</v>
      </c>
      <c r="C383">
        <v>649163</v>
      </c>
      <c r="D383">
        <v>2034845877</v>
      </c>
      <c r="E383" t="s">
        <v>701</v>
      </c>
      <c r="F383" t="s">
        <v>287</v>
      </c>
      <c r="G383" t="s">
        <v>51</v>
      </c>
      <c r="H383" t="s">
        <v>305</v>
      </c>
      <c r="I383" t="s">
        <v>182</v>
      </c>
      <c r="J383" t="s">
        <v>183</v>
      </c>
      <c r="K383">
        <v>816021</v>
      </c>
      <c r="L383" t="s">
        <v>312</v>
      </c>
      <c r="M383" t="s">
        <v>313</v>
      </c>
      <c r="N383" t="s">
        <v>57</v>
      </c>
      <c r="O383" s="1">
        <v>46127</v>
      </c>
      <c r="Q383" s="1">
        <v>46218</v>
      </c>
      <c r="R383" s="2">
        <v>18.2</v>
      </c>
      <c r="S383">
        <v>1</v>
      </c>
      <c r="T383" t="s">
        <v>58</v>
      </c>
      <c r="U383" t="s">
        <v>59</v>
      </c>
      <c r="V383" s="3">
        <v>0.7</v>
      </c>
      <c r="W383" s="2">
        <v>0</v>
      </c>
      <c r="X383">
        <v>0</v>
      </c>
      <c r="Y383" t="s">
        <v>60</v>
      </c>
      <c r="Z383" t="s">
        <v>239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12.74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46188</v>
      </c>
      <c r="B384" t="s">
        <v>48</v>
      </c>
      <c r="C384">
        <v>649163</v>
      </c>
      <c r="D384">
        <v>2034867127</v>
      </c>
      <c r="E384" t="s">
        <v>702</v>
      </c>
      <c r="F384" t="s">
        <v>703</v>
      </c>
      <c r="G384" t="s">
        <v>51</v>
      </c>
      <c r="H384" t="s">
        <v>209</v>
      </c>
      <c r="I384" t="s">
        <v>182</v>
      </c>
      <c r="J384" t="s">
        <v>183</v>
      </c>
      <c r="K384">
        <v>942810</v>
      </c>
      <c r="L384" t="s">
        <v>651</v>
      </c>
      <c r="M384" t="s">
        <v>652</v>
      </c>
      <c r="N384" t="s">
        <v>57</v>
      </c>
      <c r="O384" s="1">
        <v>46129</v>
      </c>
      <c r="Q384" s="1">
        <v>46220</v>
      </c>
      <c r="R384" s="2">
        <v>37.700000000000003</v>
      </c>
      <c r="S384">
        <v>1</v>
      </c>
      <c r="T384" t="s">
        <v>58</v>
      </c>
      <c r="U384" t="s">
        <v>59</v>
      </c>
      <c r="V384" s="3">
        <v>0.7</v>
      </c>
      <c r="W384" s="2">
        <v>0</v>
      </c>
      <c r="X384">
        <v>0</v>
      </c>
      <c r="Y384" t="s">
        <v>60</v>
      </c>
      <c r="Z384" t="s">
        <v>239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26.39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46188</v>
      </c>
      <c r="B385" t="s">
        <v>48</v>
      </c>
      <c r="C385">
        <v>649163</v>
      </c>
      <c r="D385">
        <v>2034917050</v>
      </c>
      <c r="E385" t="s">
        <v>704</v>
      </c>
      <c r="F385" t="s">
        <v>483</v>
      </c>
      <c r="G385" t="s">
        <v>51</v>
      </c>
      <c r="H385" t="s">
        <v>305</v>
      </c>
      <c r="I385" t="s">
        <v>182</v>
      </c>
      <c r="J385" t="s">
        <v>194</v>
      </c>
      <c r="K385">
        <v>816021</v>
      </c>
      <c r="L385" t="s">
        <v>312</v>
      </c>
      <c r="M385" t="s">
        <v>313</v>
      </c>
      <c r="N385" t="s">
        <v>57</v>
      </c>
      <c r="O385" s="1">
        <v>46127</v>
      </c>
      <c r="Q385" s="1">
        <v>46218</v>
      </c>
      <c r="R385" s="2">
        <v>40.08</v>
      </c>
      <c r="S385">
        <v>1</v>
      </c>
      <c r="T385" t="s">
        <v>58</v>
      </c>
      <c r="U385" t="s">
        <v>59</v>
      </c>
      <c r="V385" s="3">
        <v>0.9</v>
      </c>
      <c r="W385" s="2">
        <v>0</v>
      </c>
      <c r="X385">
        <v>0</v>
      </c>
      <c r="Y385" t="s">
        <v>60</v>
      </c>
      <c r="Z385" t="s">
        <v>239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36.07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46188</v>
      </c>
      <c r="B386" t="s">
        <v>48</v>
      </c>
      <c r="C386">
        <v>649163</v>
      </c>
      <c r="D386">
        <v>2034917052</v>
      </c>
      <c r="E386" t="s">
        <v>704</v>
      </c>
      <c r="F386" t="s">
        <v>483</v>
      </c>
      <c r="G386" t="s">
        <v>51</v>
      </c>
      <c r="H386" t="s">
        <v>305</v>
      </c>
      <c r="I386" t="s">
        <v>182</v>
      </c>
      <c r="J386" t="s">
        <v>183</v>
      </c>
      <c r="K386">
        <v>816021</v>
      </c>
      <c r="L386" t="s">
        <v>312</v>
      </c>
      <c r="M386" t="s">
        <v>313</v>
      </c>
      <c r="N386" t="s">
        <v>57</v>
      </c>
      <c r="O386" s="1">
        <v>46127</v>
      </c>
      <c r="Q386" s="1">
        <v>46218</v>
      </c>
      <c r="R386" s="2">
        <v>9.1</v>
      </c>
      <c r="S386">
        <v>1</v>
      </c>
      <c r="T386" t="s">
        <v>58</v>
      </c>
      <c r="U386" t="s">
        <v>59</v>
      </c>
      <c r="V386" s="3">
        <v>0.7</v>
      </c>
      <c r="W386" s="2">
        <v>0</v>
      </c>
      <c r="X386">
        <v>0</v>
      </c>
      <c r="Y386" t="s">
        <v>60</v>
      </c>
      <c r="Z386" t="s">
        <v>239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6.37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46188</v>
      </c>
      <c r="B387" t="s">
        <v>48</v>
      </c>
      <c r="C387">
        <v>649163</v>
      </c>
      <c r="D387">
        <v>2034918143</v>
      </c>
      <c r="E387" t="s">
        <v>705</v>
      </c>
      <c r="F387" t="s">
        <v>706</v>
      </c>
      <c r="G387" t="s">
        <v>51</v>
      </c>
      <c r="H387" t="s">
        <v>209</v>
      </c>
      <c r="I387" t="s">
        <v>182</v>
      </c>
      <c r="J387" t="s">
        <v>183</v>
      </c>
      <c r="K387">
        <v>673059</v>
      </c>
      <c r="L387" t="s">
        <v>85</v>
      </c>
      <c r="M387" t="s">
        <v>86</v>
      </c>
      <c r="N387" t="s">
        <v>57</v>
      </c>
      <c r="O387" s="1">
        <v>46127</v>
      </c>
      <c r="Q387" s="1">
        <v>46218</v>
      </c>
      <c r="R387" s="2">
        <v>47.72</v>
      </c>
      <c r="S387">
        <v>1</v>
      </c>
      <c r="T387" t="s">
        <v>58</v>
      </c>
      <c r="U387" t="s">
        <v>59</v>
      </c>
      <c r="V387" s="3">
        <v>0.7</v>
      </c>
      <c r="W387" s="2">
        <v>0</v>
      </c>
      <c r="X387">
        <v>0</v>
      </c>
      <c r="Y387" t="s">
        <v>60</v>
      </c>
      <c r="Z387" t="s">
        <v>239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33.4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46188</v>
      </c>
      <c r="B388" t="s">
        <v>48</v>
      </c>
      <c r="C388">
        <v>649163</v>
      </c>
      <c r="D388">
        <v>2034928887</v>
      </c>
      <c r="E388" t="s">
        <v>707</v>
      </c>
      <c r="F388" t="s">
        <v>708</v>
      </c>
      <c r="G388" t="s">
        <v>51</v>
      </c>
      <c r="H388" t="s">
        <v>119</v>
      </c>
      <c r="I388" t="s">
        <v>182</v>
      </c>
      <c r="J388" t="s">
        <v>183</v>
      </c>
      <c r="K388">
        <v>812994</v>
      </c>
      <c r="L388" t="s">
        <v>495</v>
      </c>
      <c r="M388" t="s">
        <v>496</v>
      </c>
      <c r="N388" t="s">
        <v>57</v>
      </c>
      <c r="O388" s="1">
        <v>46127</v>
      </c>
      <c r="Q388" s="1">
        <v>46218</v>
      </c>
      <c r="R388" s="2">
        <v>59.4</v>
      </c>
      <c r="S388">
        <v>1</v>
      </c>
      <c r="T388" t="s">
        <v>58</v>
      </c>
      <c r="U388" t="s">
        <v>59</v>
      </c>
      <c r="V388" s="3">
        <v>0.7</v>
      </c>
      <c r="W388" s="2">
        <v>0</v>
      </c>
      <c r="X388">
        <v>0</v>
      </c>
      <c r="Y388" t="s">
        <v>60</v>
      </c>
      <c r="Z388" t="s">
        <v>239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41.58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46188</v>
      </c>
      <c r="B389" t="s">
        <v>48</v>
      </c>
      <c r="C389">
        <v>649163</v>
      </c>
      <c r="D389">
        <v>2034949006</v>
      </c>
      <c r="E389" t="s">
        <v>709</v>
      </c>
      <c r="F389" t="s">
        <v>710</v>
      </c>
      <c r="G389" t="s">
        <v>51</v>
      </c>
      <c r="H389" t="s">
        <v>70</v>
      </c>
      <c r="I389" t="s">
        <v>182</v>
      </c>
      <c r="J389" t="s">
        <v>194</v>
      </c>
      <c r="K389">
        <v>893408</v>
      </c>
      <c r="L389" t="s">
        <v>595</v>
      </c>
      <c r="M389" t="s">
        <v>596</v>
      </c>
      <c r="N389" t="s">
        <v>57</v>
      </c>
      <c r="O389" s="1">
        <v>46128</v>
      </c>
      <c r="Q389" s="1">
        <v>46219</v>
      </c>
      <c r="R389" s="2">
        <v>38.380000000000003</v>
      </c>
      <c r="S389">
        <v>1</v>
      </c>
      <c r="T389" t="s">
        <v>58</v>
      </c>
      <c r="U389" t="s">
        <v>59</v>
      </c>
      <c r="V389" s="3">
        <v>0.9</v>
      </c>
      <c r="W389" s="2">
        <v>0</v>
      </c>
      <c r="X389">
        <v>0</v>
      </c>
      <c r="Y389" t="s">
        <v>60</v>
      </c>
      <c r="Z389" t="s">
        <v>239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34.54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46188</v>
      </c>
      <c r="B390" t="s">
        <v>48</v>
      </c>
      <c r="C390">
        <v>649163</v>
      </c>
      <c r="D390">
        <v>2034949793</v>
      </c>
      <c r="E390" t="s">
        <v>709</v>
      </c>
      <c r="F390" t="s">
        <v>710</v>
      </c>
      <c r="G390" t="s">
        <v>51</v>
      </c>
      <c r="H390" t="s">
        <v>70</v>
      </c>
      <c r="I390" t="s">
        <v>182</v>
      </c>
      <c r="J390" t="s">
        <v>183</v>
      </c>
      <c r="K390">
        <v>893408</v>
      </c>
      <c r="L390" t="s">
        <v>595</v>
      </c>
      <c r="M390" t="s">
        <v>596</v>
      </c>
      <c r="N390" t="s">
        <v>57</v>
      </c>
      <c r="O390" s="1">
        <v>46128</v>
      </c>
      <c r="Q390" s="1">
        <v>46219</v>
      </c>
      <c r="R390" s="2">
        <v>62.15</v>
      </c>
      <c r="S390">
        <v>1</v>
      </c>
      <c r="T390" t="s">
        <v>58</v>
      </c>
      <c r="U390" t="s">
        <v>59</v>
      </c>
      <c r="V390" s="3">
        <v>0.7</v>
      </c>
      <c r="W390" s="2">
        <v>0</v>
      </c>
      <c r="X390">
        <v>0</v>
      </c>
      <c r="Y390" t="s">
        <v>60</v>
      </c>
      <c r="Z390" t="s">
        <v>239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43.5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46188</v>
      </c>
      <c r="B391" t="s">
        <v>48</v>
      </c>
      <c r="C391">
        <v>649163</v>
      </c>
      <c r="D391">
        <v>2034959529</v>
      </c>
      <c r="E391" t="s">
        <v>711</v>
      </c>
      <c r="F391" t="s">
        <v>712</v>
      </c>
      <c r="G391" t="s">
        <v>51</v>
      </c>
      <c r="H391" t="s">
        <v>95</v>
      </c>
      <c r="I391" t="s">
        <v>182</v>
      </c>
      <c r="J391" t="s">
        <v>183</v>
      </c>
      <c r="K391">
        <v>878036</v>
      </c>
      <c r="L391" t="s">
        <v>514</v>
      </c>
      <c r="M391" t="s">
        <v>515</v>
      </c>
      <c r="N391" t="s">
        <v>57</v>
      </c>
      <c r="O391" s="1">
        <v>46129</v>
      </c>
      <c r="Q391" s="1">
        <v>46220</v>
      </c>
      <c r="R391" s="2">
        <v>29.58</v>
      </c>
      <c r="S391">
        <v>1</v>
      </c>
      <c r="T391" t="s">
        <v>58</v>
      </c>
      <c r="U391" t="s">
        <v>59</v>
      </c>
      <c r="V391" s="3">
        <v>0.7</v>
      </c>
      <c r="W391" s="2">
        <v>0</v>
      </c>
      <c r="X391">
        <v>0</v>
      </c>
      <c r="Y391" t="s">
        <v>60</v>
      </c>
      <c r="Z391" t="s">
        <v>239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20.71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46188</v>
      </c>
      <c r="B392" t="s">
        <v>48</v>
      </c>
      <c r="C392">
        <v>649163</v>
      </c>
      <c r="D392">
        <v>2034966127</v>
      </c>
      <c r="E392" t="s">
        <v>713</v>
      </c>
      <c r="F392" t="s">
        <v>260</v>
      </c>
      <c r="G392" t="s">
        <v>51</v>
      </c>
      <c r="H392" t="s">
        <v>714</v>
      </c>
      <c r="I392" t="s">
        <v>182</v>
      </c>
      <c r="J392" t="s">
        <v>183</v>
      </c>
      <c r="K392">
        <v>673059</v>
      </c>
      <c r="L392" t="s">
        <v>85</v>
      </c>
      <c r="M392" t="s">
        <v>86</v>
      </c>
      <c r="N392" t="s">
        <v>57</v>
      </c>
      <c r="O392" s="1">
        <v>46129</v>
      </c>
      <c r="Q392" s="1">
        <v>46220</v>
      </c>
      <c r="R392" s="2">
        <v>216.13</v>
      </c>
      <c r="S392">
        <v>1</v>
      </c>
      <c r="T392" t="s">
        <v>58</v>
      </c>
      <c r="U392" t="s">
        <v>59</v>
      </c>
      <c r="V392" s="3">
        <v>0.7</v>
      </c>
      <c r="W392" s="2">
        <v>0</v>
      </c>
      <c r="X392">
        <v>0</v>
      </c>
      <c r="Y392" t="s">
        <v>60</v>
      </c>
      <c r="Z392" t="s">
        <v>239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151.29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46188</v>
      </c>
      <c r="B393" t="s">
        <v>48</v>
      </c>
      <c r="C393">
        <v>649163</v>
      </c>
      <c r="D393">
        <v>2034985517</v>
      </c>
      <c r="E393" t="s">
        <v>715</v>
      </c>
      <c r="F393" t="s">
        <v>716</v>
      </c>
      <c r="G393" t="s">
        <v>51</v>
      </c>
      <c r="H393" t="s">
        <v>70</v>
      </c>
      <c r="I393" t="s">
        <v>182</v>
      </c>
      <c r="J393" t="s">
        <v>183</v>
      </c>
      <c r="K393">
        <v>893408</v>
      </c>
      <c r="L393" t="s">
        <v>595</v>
      </c>
      <c r="M393" t="s">
        <v>596</v>
      </c>
      <c r="N393" t="s">
        <v>57</v>
      </c>
      <c r="O393" s="1">
        <v>46130</v>
      </c>
      <c r="Q393" s="1">
        <v>46221</v>
      </c>
      <c r="R393" s="2">
        <v>85.36</v>
      </c>
      <c r="S393">
        <v>1</v>
      </c>
      <c r="T393" t="s">
        <v>58</v>
      </c>
      <c r="U393" t="s">
        <v>59</v>
      </c>
      <c r="V393" s="3">
        <v>0.7</v>
      </c>
      <c r="W393" s="2">
        <v>0</v>
      </c>
      <c r="X393">
        <v>0</v>
      </c>
      <c r="Y393" t="s">
        <v>60</v>
      </c>
      <c r="Z393" t="s">
        <v>239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59.75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46188</v>
      </c>
      <c r="B394" t="s">
        <v>48</v>
      </c>
      <c r="C394">
        <v>649163</v>
      </c>
      <c r="D394">
        <v>2034986811</v>
      </c>
      <c r="E394" t="s">
        <v>717</v>
      </c>
      <c r="F394" t="s">
        <v>349</v>
      </c>
      <c r="G394" t="s">
        <v>51</v>
      </c>
      <c r="H394" t="s">
        <v>305</v>
      </c>
      <c r="I394" t="s">
        <v>182</v>
      </c>
      <c r="J394" t="s">
        <v>183</v>
      </c>
      <c r="K394">
        <v>796984</v>
      </c>
      <c r="L394" t="s">
        <v>306</v>
      </c>
      <c r="M394" t="s">
        <v>307</v>
      </c>
      <c r="N394" t="s">
        <v>57</v>
      </c>
      <c r="O394" s="1">
        <v>46130</v>
      </c>
      <c r="Q394" s="1">
        <v>46221</v>
      </c>
      <c r="R394" s="2">
        <v>9.1</v>
      </c>
      <c r="S394">
        <v>1</v>
      </c>
      <c r="T394" t="s">
        <v>58</v>
      </c>
      <c r="U394" t="s">
        <v>59</v>
      </c>
      <c r="V394" s="3">
        <v>0.7</v>
      </c>
      <c r="W394" s="2">
        <v>0</v>
      </c>
      <c r="X394">
        <v>0</v>
      </c>
      <c r="Y394" t="s">
        <v>60</v>
      </c>
      <c r="Z394" t="s">
        <v>239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6.37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46188</v>
      </c>
      <c r="B395" t="s">
        <v>48</v>
      </c>
      <c r="C395">
        <v>649163</v>
      </c>
      <c r="D395">
        <v>2034996462</v>
      </c>
      <c r="E395" t="s">
        <v>718</v>
      </c>
      <c r="F395" t="s">
        <v>483</v>
      </c>
      <c r="G395" t="s">
        <v>51</v>
      </c>
      <c r="H395" t="s">
        <v>95</v>
      </c>
      <c r="I395" t="s">
        <v>182</v>
      </c>
      <c r="J395" t="s">
        <v>183</v>
      </c>
      <c r="K395">
        <v>960993</v>
      </c>
      <c r="L395" t="s">
        <v>719</v>
      </c>
      <c r="M395" t="s">
        <v>134</v>
      </c>
      <c r="N395" t="s">
        <v>57</v>
      </c>
      <c r="O395" s="1">
        <v>46130</v>
      </c>
      <c r="Q395" s="1">
        <v>46221</v>
      </c>
      <c r="R395" s="2">
        <v>60.55</v>
      </c>
      <c r="S395">
        <v>1</v>
      </c>
      <c r="T395" t="s">
        <v>58</v>
      </c>
      <c r="U395" t="s">
        <v>59</v>
      </c>
      <c r="V395" s="3">
        <v>0.7</v>
      </c>
      <c r="W395" s="2">
        <v>0</v>
      </c>
      <c r="X395">
        <v>0</v>
      </c>
      <c r="Y395" t="s">
        <v>60</v>
      </c>
      <c r="Z395" t="s">
        <v>239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42.38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46188</v>
      </c>
      <c r="B396" t="s">
        <v>48</v>
      </c>
      <c r="C396">
        <v>649163</v>
      </c>
      <c r="D396">
        <v>2035007569</v>
      </c>
      <c r="E396" t="s">
        <v>720</v>
      </c>
      <c r="F396" t="s">
        <v>721</v>
      </c>
      <c r="G396" t="s">
        <v>51</v>
      </c>
      <c r="H396" t="s">
        <v>305</v>
      </c>
      <c r="I396" t="s">
        <v>182</v>
      </c>
      <c r="J396" t="s">
        <v>202</v>
      </c>
      <c r="K396">
        <v>959267</v>
      </c>
      <c r="L396" t="s">
        <v>722</v>
      </c>
      <c r="M396" t="s">
        <v>723</v>
      </c>
      <c r="N396" t="s">
        <v>57</v>
      </c>
      <c r="O396" s="1">
        <v>46131</v>
      </c>
      <c r="Q396" s="1">
        <v>46222</v>
      </c>
      <c r="R396" s="2">
        <v>14.65</v>
      </c>
      <c r="S396">
        <v>1</v>
      </c>
      <c r="T396" t="s">
        <v>58</v>
      </c>
      <c r="U396" t="s">
        <v>59</v>
      </c>
      <c r="V396" s="3">
        <v>0.7</v>
      </c>
      <c r="W396" s="2">
        <v>0</v>
      </c>
      <c r="X396">
        <v>0</v>
      </c>
      <c r="Y396" t="s">
        <v>60</v>
      </c>
      <c r="Z396" t="s">
        <v>239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10.26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46188</v>
      </c>
      <c r="B397" t="s">
        <v>48</v>
      </c>
      <c r="C397">
        <v>649163</v>
      </c>
      <c r="D397">
        <v>2035222292</v>
      </c>
      <c r="E397" t="s">
        <v>724</v>
      </c>
      <c r="F397" t="s">
        <v>307</v>
      </c>
      <c r="G397" t="s">
        <v>51</v>
      </c>
      <c r="H397" t="s">
        <v>83</v>
      </c>
      <c r="I397" t="s">
        <v>182</v>
      </c>
      <c r="J397" t="s">
        <v>183</v>
      </c>
      <c r="K397">
        <v>673059</v>
      </c>
      <c r="L397" t="s">
        <v>85</v>
      </c>
      <c r="M397" t="s">
        <v>86</v>
      </c>
      <c r="N397" t="s">
        <v>57</v>
      </c>
      <c r="O397" s="1">
        <v>46157</v>
      </c>
      <c r="Q397" s="1">
        <v>46218</v>
      </c>
      <c r="R397" s="2">
        <v>187</v>
      </c>
      <c r="S397">
        <v>1</v>
      </c>
      <c r="T397" t="s">
        <v>58</v>
      </c>
      <c r="U397" t="s">
        <v>59</v>
      </c>
      <c r="V397" s="3">
        <v>0.7</v>
      </c>
      <c r="W397" s="2">
        <v>0</v>
      </c>
      <c r="X397">
        <v>0</v>
      </c>
      <c r="Y397" t="s">
        <v>60</v>
      </c>
      <c r="Z397" t="s">
        <v>239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130.9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46188</v>
      </c>
      <c r="B398" t="s">
        <v>48</v>
      </c>
      <c r="C398">
        <v>649163</v>
      </c>
      <c r="D398">
        <v>2035393882</v>
      </c>
      <c r="E398" t="s">
        <v>725</v>
      </c>
      <c r="F398" t="s">
        <v>241</v>
      </c>
      <c r="G398" t="s">
        <v>51</v>
      </c>
      <c r="H398" t="s">
        <v>305</v>
      </c>
      <c r="I398" t="s">
        <v>182</v>
      </c>
      <c r="J398" t="s">
        <v>183</v>
      </c>
      <c r="K398">
        <v>816021</v>
      </c>
      <c r="L398" t="s">
        <v>312</v>
      </c>
      <c r="M398" t="s">
        <v>313</v>
      </c>
      <c r="N398" t="s">
        <v>57</v>
      </c>
      <c r="O398" s="1">
        <v>46157</v>
      </c>
      <c r="Q398" s="1">
        <v>46218</v>
      </c>
      <c r="R398" s="2">
        <v>8.49</v>
      </c>
      <c r="S398">
        <v>1</v>
      </c>
      <c r="T398" t="s">
        <v>58</v>
      </c>
      <c r="U398" t="s">
        <v>59</v>
      </c>
      <c r="V398" s="3">
        <v>0.7</v>
      </c>
      <c r="W398" s="2">
        <v>0</v>
      </c>
      <c r="X398">
        <v>0</v>
      </c>
      <c r="Y398" t="s">
        <v>60</v>
      </c>
      <c r="Z398" t="s">
        <v>239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5.94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46188</v>
      </c>
      <c r="B399" t="s">
        <v>48</v>
      </c>
      <c r="C399">
        <v>649163</v>
      </c>
      <c r="D399">
        <v>2035401322</v>
      </c>
      <c r="E399" t="s">
        <v>726</v>
      </c>
      <c r="F399" t="s">
        <v>727</v>
      </c>
      <c r="G399" t="s">
        <v>51</v>
      </c>
      <c r="H399" t="s">
        <v>696</v>
      </c>
      <c r="I399" t="s">
        <v>182</v>
      </c>
      <c r="J399" t="s">
        <v>183</v>
      </c>
      <c r="K399">
        <v>962427</v>
      </c>
      <c r="L399" t="s">
        <v>728</v>
      </c>
      <c r="M399" t="s">
        <v>729</v>
      </c>
      <c r="N399" t="s">
        <v>57</v>
      </c>
      <c r="O399" s="1">
        <v>46158</v>
      </c>
      <c r="Q399" s="1">
        <v>46219</v>
      </c>
      <c r="R399" s="2">
        <v>15.29</v>
      </c>
      <c r="S399">
        <v>1</v>
      </c>
      <c r="T399" t="s">
        <v>58</v>
      </c>
      <c r="U399" t="s">
        <v>59</v>
      </c>
      <c r="V399" s="3">
        <v>0.7</v>
      </c>
      <c r="W399" s="2">
        <v>0</v>
      </c>
      <c r="X399">
        <v>0</v>
      </c>
      <c r="Y399" t="s">
        <v>60</v>
      </c>
      <c r="Z399" t="s">
        <v>239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10.7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46188</v>
      </c>
      <c r="B400" t="s">
        <v>48</v>
      </c>
      <c r="C400">
        <v>649163</v>
      </c>
      <c r="D400">
        <v>2035420490</v>
      </c>
      <c r="E400" t="s">
        <v>730</v>
      </c>
      <c r="F400" t="s">
        <v>731</v>
      </c>
      <c r="G400" t="s">
        <v>51</v>
      </c>
      <c r="H400" t="s">
        <v>624</v>
      </c>
      <c r="I400" t="s">
        <v>182</v>
      </c>
      <c r="J400" t="s">
        <v>183</v>
      </c>
      <c r="K400">
        <v>651818</v>
      </c>
      <c r="L400" t="s">
        <v>79</v>
      </c>
      <c r="M400" t="s">
        <v>80</v>
      </c>
      <c r="N400" t="s">
        <v>57</v>
      </c>
      <c r="O400" s="1">
        <v>46158</v>
      </c>
      <c r="Q400" s="1">
        <v>46219</v>
      </c>
      <c r="R400" s="2">
        <v>94.38</v>
      </c>
      <c r="S400">
        <v>1</v>
      </c>
      <c r="T400" t="s">
        <v>58</v>
      </c>
      <c r="U400" t="s">
        <v>59</v>
      </c>
      <c r="V400" s="3">
        <v>0.7</v>
      </c>
      <c r="W400" s="2">
        <v>0</v>
      </c>
      <c r="X400">
        <v>0</v>
      </c>
      <c r="Y400" t="s">
        <v>60</v>
      </c>
      <c r="Z400" t="s">
        <v>239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66.069999999999993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46188</v>
      </c>
      <c r="B401" t="s">
        <v>48</v>
      </c>
      <c r="C401">
        <v>649163</v>
      </c>
      <c r="D401">
        <v>2035431265</v>
      </c>
      <c r="E401" t="s">
        <v>732</v>
      </c>
      <c r="F401" t="s">
        <v>598</v>
      </c>
      <c r="G401" t="s">
        <v>51</v>
      </c>
      <c r="H401" t="s">
        <v>119</v>
      </c>
      <c r="I401" t="s">
        <v>182</v>
      </c>
      <c r="J401" t="s">
        <v>183</v>
      </c>
      <c r="K401">
        <v>768271</v>
      </c>
      <c r="L401" t="s">
        <v>733</v>
      </c>
      <c r="M401" t="s">
        <v>734</v>
      </c>
      <c r="N401" t="s">
        <v>57</v>
      </c>
      <c r="O401" s="1">
        <v>46155</v>
      </c>
      <c r="Q401" s="1">
        <v>46216</v>
      </c>
      <c r="R401" s="2">
        <v>124.72</v>
      </c>
      <c r="S401">
        <v>1</v>
      </c>
      <c r="T401" t="s">
        <v>58</v>
      </c>
      <c r="U401" t="s">
        <v>59</v>
      </c>
      <c r="V401" s="3">
        <v>0.7</v>
      </c>
      <c r="W401" s="2">
        <v>0</v>
      </c>
      <c r="X401">
        <v>0</v>
      </c>
      <c r="Y401" t="s">
        <v>60</v>
      </c>
      <c r="Z401" t="s">
        <v>239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87.3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46188</v>
      </c>
      <c r="B402" t="s">
        <v>48</v>
      </c>
      <c r="C402">
        <v>649163</v>
      </c>
      <c r="D402">
        <v>2035431266</v>
      </c>
      <c r="E402" t="s">
        <v>732</v>
      </c>
      <c r="F402" t="s">
        <v>598</v>
      </c>
      <c r="G402" t="s">
        <v>51</v>
      </c>
      <c r="H402" t="s">
        <v>119</v>
      </c>
      <c r="I402" t="s">
        <v>182</v>
      </c>
      <c r="J402" t="s">
        <v>194</v>
      </c>
      <c r="K402">
        <v>768271</v>
      </c>
      <c r="L402" t="s">
        <v>733</v>
      </c>
      <c r="M402" t="s">
        <v>734</v>
      </c>
      <c r="N402" t="s">
        <v>57</v>
      </c>
      <c r="O402" s="1">
        <v>46155</v>
      </c>
      <c r="Q402" s="1">
        <v>46216</v>
      </c>
      <c r="R402" s="2">
        <v>23.05</v>
      </c>
      <c r="S402">
        <v>1</v>
      </c>
      <c r="T402" t="s">
        <v>58</v>
      </c>
      <c r="U402" t="s">
        <v>59</v>
      </c>
      <c r="V402" s="3">
        <v>0.9</v>
      </c>
      <c r="W402" s="2">
        <v>0</v>
      </c>
      <c r="X402">
        <v>0</v>
      </c>
      <c r="Y402" t="s">
        <v>60</v>
      </c>
      <c r="Z402" t="s">
        <v>239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20.74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46188</v>
      </c>
      <c r="B403" t="s">
        <v>48</v>
      </c>
      <c r="C403">
        <v>649163</v>
      </c>
      <c r="D403">
        <v>2035431362</v>
      </c>
      <c r="E403" t="s">
        <v>735</v>
      </c>
      <c r="F403" t="s">
        <v>736</v>
      </c>
      <c r="G403" t="s">
        <v>51</v>
      </c>
      <c r="H403" t="s">
        <v>119</v>
      </c>
      <c r="I403" t="s">
        <v>182</v>
      </c>
      <c r="J403" t="s">
        <v>183</v>
      </c>
      <c r="K403">
        <v>813184</v>
      </c>
      <c r="L403" t="s">
        <v>328</v>
      </c>
      <c r="M403" t="s">
        <v>329</v>
      </c>
      <c r="N403" t="s">
        <v>57</v>
      </c>
      <c r="O403" s="1">
        <v>46155</v>
      </c>
      <c r="Q403" s="1">
        <v>46216</v>
      </c>
      <c r="R403" s="2">
        <v>15.75</v>
      </c>
      <c r="S403">
        <v>1</v>
      </c>
      <c r="T403" t="s">
        <v>58</v>
      </c>
      <c r="U403" t="s">
        <v>59</v>
      </c>
      <c r="V403" s="3">
        <v>0.7</v>
      </c>
      <c r="W403" s="2">
        <v>0</v>
      </c>
      <c r="X403">
        <v>0</v>
      </c>
      <c r="Y403" t="s">
        <v>60</v>
      </c>
      <c r="Z403" t="s">
        <v>239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11.02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46188</v>
      </c>
      <c r="B404" t="s">
        <v>48</v>
      </c>
      <c r="C404">
        <v>649163</v>
      </c>
      <c r="D404">
        <v>2035437448</v>
      </c>
      <c r="E404" t="s">
        <v>737</v>
      </c>
      <c r="F404" t="s">
        <v>738</v>
      </c>
      <c r="G404" t="s">
        <v>51</v>
      </c>
      <c r="H404" t="s">
        <v>77</v>
      </c>
      <c r="I404" t="s">
        <v>182</v>
      </c>
      <c r="J404" t="s">
        <v>183</v>
      </c>
      <c r="K404">
        <v>812782</v>
      </c>
      <c r="L404" t="s">
        <v>105</v>
      </c>
      <c r="M404" t="s">
        <v>106</v>
      </c>
      <c r="N404" t="s">
        <v>57</v>
      </c>
      <c r="O404" s="1">
        <v>46155</v>
      </c>
      <c r="Q404" s="1">
        <v>46216</v>
      </c>
      <c r="R404" s="2">
        <v>38.85</v>
      </c>
      <c r="S404">
        <v>1</v>
      </c>
      <c r="T404" t="s">
        <v>58</v>
      </c>
      <c r="U404" t="s">
        <v>59</v>
      </c>
      <c r="V404" s="3">
        <v>0.7</v>
      </c>
      <c r="W404" s="2">
        <v>0</v>
      </c>
      <c r="X404">
        <v>0</v>
      </c>
      <c r="Y404" t="s">
        <v>60</v>
      </c>
      <c r="Z404" t="s">
        <v>239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27.2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46188</v>
      </c>
      <c r="B405" t="s">
        <v>48</v>
      </c>
      <c r="C405">
        <v>649163</v>
      </c>
      <c r="D405">
        <v>2035438823</v>
      </c>
      <c r="E405" t="s">
        <v>739</v>
      </c>
      <c r="F405" t="s">
        <v>740</v>
      </c>
      <c r="G405" t="s">
        <v>51</v>
      </c>
      <c r="H405" t="s">
        <v>245</v>
      </c>
      <c r="I405" t="s">
        <v>182</v>
      </c>
      <c r="J405" t="s">
        <v>183</v>
      </c>
      <c r="K405">
        <v>651818</v>
      </c>
      <c r="L405" t="s">
        <v>79</v>
      </c>
      <c r="M405" t="s">
        <v>80</v>
      </c>
      <c r="N405" t="s">
        <v>57</v>
      </c>
      <c r="O405" s="1">
        <v>46159</v>
      </c>
      <c r="Q405" s="1">
        <v>46220</v>
      </c>
      <c r="R405" s="2">
        <v>51.19</v>
      </c>
      <c r="S405">
        <v>1</v>
      </c>
      <c r="T405" t="s">
        <v>58</v>
      </c>
      <c r="U405" t="s">
        <v>59</v>
      </c>
      <c r="V405" s="3">
        <v>0.7</v>
      </c>
      <c r="W405" s="2">
        <v>0</v>
      </c>
      <c r="X405">
        <v>0</v>
      </c>
      <c r="Y405" t="s">
        <v>60</v>
      </c>
      <c r="Z405" t="s">
        <v>239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35.83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46188</v>
      </c>
      <c r="B406" t="s">
        <v>48</v>
      </c>
      <c r="C406">
        <v>649163</v>
      </c>
      <c r="D406">
        <v>2035442204</v>
      </c>
      <c r="E406" t="s">
        <v>741</v>
      </c>
      <c r="F406" t="s">
        <v>94</v>
      </c>
      <c r="G406" t="s">
        <v>51</v>
      </c>
      <c r="H406" t="s">
        <v>162</v>
      </c>
      <c r="I406" t="s">
        <v>182</v>
      </c>
      <c r="J406" t="s">
        <v>197</v>
      </c>
      <c r="K406">
        <v>862109</v>
      </c>
      <c r="L406" t="s">
        <v>101</v>
      </c>
      <c r="M406" t="s">
        <v>700</v>
      </c>
      <c r="N406" t="s">
        <v>57</v>
      </c>
      <c r="O406" s="1">
        <v>46155</v>
      </c>
      <c r="Q406" s="1">
        <v>46216</v>
      </c>
      <c r="R406" s="2">
        <v>14.1</v>
      </c>
      <c r="S406">
        <v>1</v>
      </c>
      <c r="T406" t="s">
        <v>58</v>
      </c>
      <c r="U406" t="s">
        <v>59</v>
      </c>
      <c r="V406" s="3">
        <v>0.42</v>
      </c>
      <c r="W406" s="2">
        <v>0</v>
      </c>
      <c r="X406">
        <v>0</v>
      </c>
      <c r="Y406" t="s">
        <v>60</v>
      </c>
      <c r="Z406" t="s">
        <v>239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5.92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46188</v>
      </c>
      <c r="B407" t="s">
        <v>48</v>
      </c>
      <c r="C407">
        <v>649163</v>
      </c>
      <c r="D407">
        <v>2035450009</v>
      </c>
      <c r="E407" t="s">
        <v>742</v>
      </c>
      <c r="F407" t="s">
        <v>743</v>
      </c>
      <c r="G407" t="s">
        <v>51</v>
      </c>
      <c r="H407" t="s">
        <v>119</v>
      </c>
      <c r="I407" t="s">
        <v>182</v>
      </c>
      <c r="J407" t="s">
        <v>183</v>
      </c>
      <c r="K407">
        <v>843573</v>
      </c>
      <c r="L407" t="s">
        <v>473</v>
      </c>
      <c r="M407" t="s">
        <v>474</v>
      </c>
      <c r="N407" t="s">
        <v>57</v>
      </c>
      <c r="O407" s="1">
        <v>46156</v>
      </c>
      <c r="Q407" s="1">
        <v>46217</v>
      </c>
      <c r="R407" s="2">
        <v>95.54</v>
      </c>
      <c r="S407">
        <v>1</v>
      </c>
      <c r="T407" t="s">
        <v>58</v>
      </c>
      <c r="U407" t="s">
        <v>59</v>
      </c>
      <c r="V407" s="3">
        <v>0.7</v>
      </c>
      <c r="W407" s="2">
        <v>0</v>
      </c>
      <c r="X407">
        <v>0</v>
      </c>
      <c r="Y407" t="s">
        <v>60</v>
      </c>
      <c r="Z407" t="s">
        <v>239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66.88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46188</v>
      </c>
      <c r="B408" t="s">
        <v>48</v>
      </c>
      <c r="C408">
        <v>649163</v>
      </c>
      <c r="D408">
        <v>2035461517</v>
      </c>
      <c r="E408" t="s">
        <v>744</v>
      </c>
      <c r="F408" t="s">
        <v>745</v>
      </c>
      <c r="G408" t="s">
        <v>51</v>
      </c>
      <c r="H408" t="s">
        <v>193</v>
      </c>
      <c r="I408" t="s">
        <v>182</v>
      </c>
      <c r="J408" t="s">
        <v>194</v>
      </c>
      <c r="K408">
        <v>652037</v>
      </c>
      <c r="L408" t="s">
        <v>64</v>
      </c>
      <c r="M408" t="s">
        <v>236</v>
      </c>
      <c r="N408" t="s">
        <v>57</v>
      </c>
      <c r="O408" s="1">
        <v>46156</v>
      </c>
      <c r="Q408" s="1">
        <v>46217</v>
      </c>
      <c r="R408" s="2">
        <v>41.88</v>
      </c>
      <c r="S408">
        <v>1</v>
      </c>
      <c r="T408" t="s">
        <v>58</v>
      </c>
      <c r="U408" t="s">
        <v>59</v>
      </c>
      <c r="V408" s="3">
        <v>0.9</v>
      </c>
      <c r="W408" s="2">
        <v>0</v>
      </c>
      <c r="X408">
        <v>0</v>
      </c>
      <c r="Y408" t="s">
        <v>60</v>
      </c>
      <c r="Z408" t="s">
        <v>239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37.69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46188</v>
      </c>
      <c r="B409" t="s">
        <v>48</v>
      </c>
      <c r="C409">
        <v>649163</v>
      </c>
      <c r="D409">
        <v>2035462809</v>
      </c>
      <c r="E409" t="s">
        <v>538</v>
      </c>
      <c r="F409" t="s">
        <v>746</v>
      </c>
      <c r="G409" t="s">
        <v>51</v>
      </c>
      <c r="H409" t="s">
        <v>696</v>
      </c>
      <c r="I409" t="s">
        <v>182</v>
      </c>
      <c r="J409" t="s">
        <v>183</v>
      </c>
      <c r="K409">
        <v>962427</v>
      </c>
      <c r="L409" t="s">
        <v>728</v>
      </c>
      <c r="M409" t="s">
        <v>729</v>
      </c>
      <c r="N409" t="s">
        <v>57</v>
      </c>
      <c r="O409" s="1">
        <v>46156</v>
      </c>
      <c r="Q409" s="1">
        <v>46217</v>
      </c>
      <c r="R409" s="2">
        <v>30.88</v>
      </c>
      <c r="S409">
        <v>1</v>
      </c>
      <c r="T409" t="s">
        <v>58</v>
      </c>
      <c r="U409" t="s">
        <v>59</v>
      </c>
      <c r="V409" s="3">
        <v>0.7</v>
      </c>
      <c r="W409" s="2">
        <v>0</v>
      </c>
      <c r="X409">
        <v>0</v>
      </c>
      <c r="Y409" t="s">
        <v>60</v>
      </c>
      <c r="Z409" t="s">
        <v>239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21.62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46188</v>
      </c>
      <c r="B410" t="s">
        <v>48</v>
      </c>
      <c r="C410">
        <v>649163</v>
      </c>
      <c r="D410">
        <v>2035462810</v>
      </c>
      <c r="E410" t="s">
        <v>538</v>
      </c>
      <c r="F410" t="s">
        <v>746</v>
      </c>
      <c r="G410" t="s">
        <v>51</v>
      </c>
      <c r="H410" t="s">
        <v>696</v>
      </c>
      <c r="I410" t="s">
        <v>182</v>
      </c>
      <c r="J410" t="s">
        <v>194</v>
      </c>
      <c r="K410">
        <v>962427</v>
      </c>
      <c r="L410" t="s">
        <v>728</v>
      </c>
      <c r="M410" t="s">
        <v>729</v>
      </c>
      <c r="N410" t="s">
        <v>57</v>
      </c>
      <c r="O410" s="1">
        <v>46156</v>
      </c>
      <c r="Q410" s="1">
        <v>46217</v>
      </c>
      <c r="R410" s="2">
        <v>22.88</v>
      </c>
      <c r="S410">
        <v>1</v>
      </c>
      <c r="T410" t="s">
        <v>58</v>
      </c>
      <c r="U410" t="s">
        <v>59</v>
      </c>
      <c r="V410" s="3">
        <v>0.9</v>
      </c>
      <c r="W410" s="2">
        <v>0</v>
      </c>
      <c r="X410">
        <v>0</v>
      </c>
      <c r="Y410" t="s">
        <v>60</v>
      </c>
      <c r="Z410" t="s">
        <v>239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20.59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46188</v>
      </c>
      <c r="B411" t="s">
        <v>48</v>
      </c>
      <c r="C411">
        <v>649163</v>
      </c>
      <c r="D411">
        <v>2035464772</v>
      </c>
      <c r="E411" t="s">
        <v>747</v>
      </c>
      <c r="F411" t="s">
        <v>110</v>
      </c>
      <c r="G411" t="s">
        <v>51</v>
      </c>
      <c r="H411" t="s">
        <v>305</v>
      </c>
      <c r="I411" t="s">
        <v>182</v>
      </c>
      <c r="J411" t="s">
        <v>183</v>
      </c>
      <c r="K411">
        <v>796984</v>
      </c>
      <c r="L411" t="s">
        <v>306</v>
      </c>
      <c r="M411" t="s">
        <v>307</v>
      </c>
      <c r="N411" t="s">
        <v>57</v>
      </c>
      <c r="O411" s="1">
        <v>46156</v>
      </c>
      <c r="Q411" s="1">
        <v>46217</v>
      </c>
      <c r="R411" s="2">
        <v>9.6999999999999993</v>
      </c>
      <c r="S411">
        <v>1</v>
      </c>
      <c r="T411" t="s">
        <v>58</v>
      </c>
      <c r="U411" t="s">
        <v>59</v>
      </c>
      <c r="V411" s="3">
        <v>0.7</v>
      </c>
      <c r="W411" s="2">
        <v>0</v>
      </c>
      <c r="X411">
        <v>0</v>
      </c>
      <c r="Y411" t="s">
        <v>60</v>
      </c>
      <c r="Z411" t="s">
        <v>239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6.79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46188</v>
      </c>
      <c r="B412" t="s">
        <v>48</v>
      </c>
      <c r="C412">
        <v>649163</v>
      </c>
      <c r="D412">
        <v>2035473797</v>
      </c>
      <c r="E412" t="s">
        <v>748</v>
      </c>
      <c r="F412" t="s">
        <v>256</v>
      </c>
      <c r="G412" t="s">
        <v>51</v>
      </c>
      <c r="H412" t="s">
        <v>83</v>
      </c>
      <c r="I412" t="s">
        <v>182</v>
      </c>
      <c r="J412" t="s">
        <v>183</v>
      </c>
      <c r="K412">
        <v>946134</v>
      </c>
      <c r="L412" t="s">
        <v>133</v>
      </c>
      <c r="M412" t="s">
        <v>134</v>
      </c>
      <c r="N412" t="s">
        <v>57</v>
      </c>
      <c r="O412" s="1">
        <v>46157</v>
      </c>
      <c r="Q412" s="1">
        <v>46218</v>
      </c>
      <c r="R412" s="2">
        <v>58.18</v>
      </c>
      <c r="S412">
        <v>1</v>
      </c>
      <c r="T412" t="s">
        <v>58</v>
      </c>
      <c r="U412" t="s">
        <v>59</v>
      </c>
      <c r="V412" s="3">
        <v>0.7</v>
      </c>
      <c r="W412" s="2">
        <v>0</v>
      </c>
      <c r="X412">
        <v>0</v>
      </c>
      <c r="Y412" t="s">
        <v>60</v>
      </c>
      <c r="Z412" t="s">
        <v>239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40.729999999999997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46188</v>
      </c>
      <c r="B413" t="s">
        <v>48</v>
      </c>
      <c r="C413">
        <v>649163</v>
      </c>
      <c r="D413">
        <v>2035473798</v>
      </c>
      <c r="E413" t="s">
        <v>748</v>
      </c>
      <c r="F413" t="s">
        <v>256</v>
      </c>
      <c r="G413" t="s">
        <v>51</v>
      </c>
      <c r="H413" t="s">
        <v>83</v>
      </c>
      <c r="I413" t="s">
        <v>182</v>
      </c>
      <c r="J413" t="s">
        <v>194</v>
      </c>
      <c r="K413">
        <v>946134</v>
      </c>
      <c r="L413" t="s">
        <v>133</v>
      </c>
      <c r="M413" t="s">
        <v>134</v>
      </c>
      <c r="N413" t="s">
        <v>57</v>
      </c>
      <c r="O413" s="1">
        <v>46157</v>
      </c>
      <c r="Q413" s="1">
        <v>46218</v>
      </c>
      <c r="R413" s="2">
        <v>16.63</v>
      </c>
      <c r="S413">
        <v>1</v>
      </c>
      <c r="T413" t="s">
        <v>58</v>
      </c>
      <c r="U413" t="s">
        <v>59</v>
      </c>
      <c r="V413" s="3">
        <v>0.9</v>
      </c>
      <c r="W413" s="2">
        <v>0</v>
      </c>
      <c r="X413">
        <v>0</v>
      </c>
      <c r="Y413" t="s">
        <v>60</v>
      </c>
      <c r="Z413" t="s">
        <v>239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14.97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46188</v>
      </c>
      <c r="B414" t="s">
        <v>48</v>
      </c>
      <c r="C414">
        <v>649163</v>
      </c>
      <c r="D414">
        <v>2035480813</v>
      </c>
      <c r="E414" t="s">
        <v>749</v>
      </c>
      <c r="F414" t="s">
        <v>607</v>
      </c>
      <c r="G414" t="s">
        <v>51</v>
      </c>
      <c r="H414" t="s">
        <v>100</v>
      </c>
      <c r="I414" t="s">
        <v>182</v>
      </c>
      <c r="J414" t="s">
        <v>183</v>
      </c>
      <c r="K414">
        <v>822733</v>
      </c>
      <c r="L414" t="s">
        <v>444</v>
      </c>
      <c r="M414" t="s">
        <v>445</v>
      </c>
      <c r="N414" t="s">
        <v>57</v>
      </c>
      <c r="O414" s="1">
        <v>46158</v>
      </c>
      <c r="Q414" s="1">
        <v>46219</v>
      </c>
      <c r="R414" s="2">
        <v>46.72</v>
      </c>
      <c r="S414">
        <v>1</v>
      </c>
      <c r="T414" t="s">
        <v>58</v>
      </c>
      <c r="U414" t="s">
        <v>59</v>
      </c>
      <c r="V414" s="3">
        <v>0.7</v>
      </c>
      <c r="W414" s="2">
        <v>0</v>
      </c>
      <c r="X414">
        <v>0</v>
      </c>
      <c r="Y414" t="s">
        <v>60</v>
      </c>
      <c r="Z414" t="s">
        <v>239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32.700000000000003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46188</v>
      </c>
      <c r="B415" t="s">
        <v>48</v>
      </c>
      <c r="C415">
        <v>649163</v>
      </c>
      <c r="D415">
        <v>2035486372</v>
      </c>
      <c r="E415" t="s">
        <v>750</v>
      </c>
      <c r="F415" t="s">
        <v>751</v>
      </c>
      <c r="G415" t="s">
        <v>51</v>
      </c>
      <c r="H415" t="s">
        <v>305</v>
      </c>
      <c r="I415" t="s">
        <v>182</v>
      </c>
      <c r="J415" t="s">
        <v>183</v>
      </c>
      <c r="K415">
        <v>824082</v>
      </c>
      <c r="L415" t="s">
        <v>510</v>
      </c>
      <c r="M415" t="s">
        <v>511</v>
      </c>
      <c r="N415" t="s">
        <v>57</v>
      </c>
      <c r="O415" s="1">
        <v>46157</v>
      </c>
      <c r="Q415" s="1">
        <v>46218</v>
      </c>
      <c r="R415" s="2">
        <v>19.41</v>
      </c>
      <c r="S415">
        <v>1</v>
      </c>
      <c r="T415" t="s">
        <v>58</v>
      </c>
      <c r="U415" t="s">
        <v>59</v>
      </c>
      <c r="V415" s="3">
        <v>0.7</v>
      </c>
      <c r="W415" s="2">
        <v>0</v>
      </c>
      <c r="X415">
        <v>0</v>
      </c>
      <c r="Y415" t="s">
        <v>60</v>
      </c>
      <c r="Z415" t="s">
        <v>239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13.59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46188</v>
      </c>
      <c r="B416" t="s">
        <v>48</v>
      </c>
      <c r="C416">
        <v>649163</v>
      </c>
      <c r="D416">
        <v>2035501771</v>
      </c>
      <c r="E416" t="s">
        <v>752</v>
      </c>
      <c r="F416" t="s">
        <v>307</v>
      </c>
      <c r="G416" t="s">
        <v>51</v>
      </c>
      <c r="H416" t="s">
        <v>696</v>
      </c>
      <c r="I416" t="s">
        <v>182</v>
      </c>
      <c r="J416" t="s">
        <v>183</v>
      </c>
      <c r="K416">
        <v>962427</v>
      </c>
      <c r="L416" t="s">
        <v>728</v>
      </c>
      <c r="M416" t="s">
        <v>729</v>
      </c>
      <c r="N416" t="s">
        <v>242</v>
      </c>
      <c r="O416" s="1">
        <v>46174</v>
      </c>
      <c r="P416" s="1">
        <v>46188</v>
      </c>
      <c r="Q416" s="1">
        <v>46204</v>
      </c>
      <c r="R416" s="2">
        <v>-15.29</v>
      </c>
      <c r="S416">
        <v>1</v>
      </c>
      <c r="T416" t="s">
        <v>58</v>
      </c>
      <c r="U416" t="s">
        <v>59</v>
      </c>
      <c r="V416" s="3">
        <v>0.7</v>
      </c>
      <c r="W416" s="2">
        <v>0</v>
      </c>
      <c r="X416">
        <v>-1</v>
      </c>
      <c r="Y416" t="s">
        <v>60</v>
      </c>
      <c r="Z416" t="s">
        <v>239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-10.7</v>
      </c>
      <c r="AN416" s="2">
        <v>-10.7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46188</v>
      </c>
      <c r="B417" t="s">
        <v>48</v>
      </c>
      <c r="C417">
        <v>649163</v>
      </c>
      <c r="D417">
        <v>2035502623</v>
      </c>
      <c r="E417" t="s">
        <v>357</v>
      </c>
      <c r="F417" t="s">
        <v>753</v>
      </c>
      <c r="G417" t="s">
        <v>51</v>
      </c>
      <c r="H417" t="s">
        <v>305</v>
      </c>
      <c r="I417" t="s">
        <v>182</v>
      </c>
      <c r="J417" t="s">
        <v>183</v>
      </c>
      <c r="K417">
        <v>796984</v>
      </c>
      <c r="L417" t="s">
        <v>306</v>
      </c>
      <c r="M417" t="s">
        <v>307</v>
      </c>
      <c r="N417" t="s">
        <v>57</v>
      </c>
      <c r="O417" s="1">
        <v>46158</v>
      </c>
      <c r="Q417" s="1">
        <v>46219</v>
      </c>
      <c r="R417" s="2">
        <v>9.1</v>
      </c>
      <c r="S417">
        <v>1</v>
      </c>
      <c r="T417" t="s">
        <v>58</v>
      </c>
      <c r="U417" t="s">
        <v>59</v>
      </c>
      <c r="V417" s="3">
        <v>0.7</v>
      </c>
      <c r="W417" s="2">
        <v>0</v>
      </c>
      <c r="X417">
        <v>0</v>
      </c>
      <c r="Y417" t="s">
        <v>60</v>
      </c>
      <c r="Z417" t="s">
        <v>239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6.37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46188</v>
      </c>
      <c r="B418" t="s">
        <v>48</v>
      </c>
      <c r="C418">
        <v>649163</v>
      </c>
      <c r="D418">
        <v>2035537660</v>
      </c>
      <c r="E418" t="s">
        <v>754</v>
      </c>
      <c r="F418" t="s">
        <v>755</v>
      </c>
      <c r="G418" t="s">
        <v>51</v>
      </c>
      <c r="H418" t="s">
        <v>165</v>
      </c>
      <c r="I418" t="s">
        <v>182</v>
      </c>
      <c r="J418" t="s">
        <v>183</v>
      </c>
      <c r="K418">
        <v>962427</v>
      </c>
      <c r="L418" t="s">
        <v>728</v>
      </c>
      <c r="M418" t="s">
        <v>729</v>
      </c>
      <c r="N418" t="s">
        <v>57</v>
      </c>
      <c r="O418" s="1">
        <v>46161</v>
      </c>
      <c r="Q418" s="1">
        <v>46222</v>
      </c>
      <c r="R418" s="2">
        <v>10.82</v>
      </c>
      <c r="S418">
        <v>1</v>
      </c>
      <c r="T418" t="s">
        <v>58</v>
      </c>
      <c r="U418" t="s">
        <v>59</v>
      </c>
      <c r="V418" s="3">
        <v>0.7</v>
      </c>
      <c r="W418" s="2">
        <v>0</v>
      </c>
      <c r="X418">
        <v>0</v>
      </c>
      <c r="Y418" t="s">
        <v>60</v>
      </c>
      <c r="Z418" t="s">
        <v>239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7.57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46188</v>
      </c>
      <c r="B419" t="s">
        <v>48</v>
      </c>
      <c r="C419">
        <v>649163</v>
      </c>
      <c r="D419">
        <v>2035770729</v>
      </c>
      <c r="E419" t="s">
        <v>756</v>
      </c>
      <c r="F419" t="s">
        <v>757</v>
      </c>
      <c r="G419" t="s">
        <v>51</v>
      </c>
      <c r="H419" t="s">
        <v>52</v>
      </c>
      <c r="I419" t="s">
        <v>182</v>
      </c>
      <c r="J419" t="s">
        <v>194</v>
      </c>
      <c r="K419">
        <v>929503</v>
      </c>
      <c r="L419" t="s">
        <v>179</v>
      </c>
      <c r="M419" t="s">
        <v>180</v>
      </c>
      <c r="N419" t="s">
        <v>242</v>
      </c>
      <c r="O419" s="1">
        <v>46175</v>
      </c>
      <c r="P419" s="1">
        <v>46188</v>
      </c>
      <c r="Q419" s="1">
        <v>46205</v>
      </c>
      <c r="R419" s="2">
        <v>-43.81</v>
      </c>
      <c r="S419">
        <v>1</v>
      </c>
      <c r="T419" t="s">
        <v>58</v>
      </c>
      <c r="U419" t="s">
        <v>59</v>
      </c>
      <c r="V419" s="3">
        <v>0.9</v>
      </c>
      <c r="W419" s="2">
        <v>0</v>
      </c>
      <c r="X419">
        <v>-1</v>
      </c>
      <c r="Y419" t="s">
        <v>60</v>
      </c>
      <c r="Z419" t="s">
        <v>239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-39.43</v>
      </c>
      <c r="AN419" s="2">
        <v>-39.43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46188</v>
      </c>
      <c r="B420" t="s">
        <v>48</v>
      </c>
      <c r="C420">
        <v>649163</v>
      </c>
      <c r="D420">
        <v>2035865269</v>
      </c>
      <c r="E420" t="s">
        <v>758</v>
      </c>
      <c r="F420" t="s">
        <v>123</v>
      </c>
      <c r="G420" t="s">
        <v>51</v>
      </c>
      <c r="H420" t="s">
        <v>70</v>
      </c>
      <c r="I420" t="s">
        <v>182</v>
      </c>
      <c r="J420" t="s">
        <v>183</v>
      </c>
      <c r="K420">
        <v>856163</v>
      </c>
      <c r="L420" t="s">
        <v>73</v>
      </c>
      <c r="M420" t="s">
        <v>74</v>
      </c>
      <c r="N420" t="s">
        <v>57</v>
      </c>
      <c r="O420" s="1">
        <v>46204</v>
      </c>
      <c r="Q420" s="1">
        <v>46235</v>
      </c>
      <c r="R420" s="2">
        <v>-66.02</v>
      </c>
      <c r="S420">
        <v>1</v>
      </c>
      <c r="T420" t="s">
        <v>58</v>
      </c>
      <c r="U420" t="s">
        <v>759</v>
      </c>
      <c r="V420" s="3">
        <v>0.7</v>
      </c>
      <c r="W420" s="2">
        <v>0</v>
      </c>
      <c r="X420">
        <v>-1</v>
      </c>
      <c r="Y420" t="s">
        <v>60</v>
      </c>
      <c r="Z420" t="s">
        <v>239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-46.21</v>
      </c>
      <c r="AN420" s="2">
        <v>-46.21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46188</v>
      </c>
      <c r="B421" t="s">
        <v>48</v>
      </c>
      <c r="C421">
        <v>649163</v>
      </c>
      <c r="D421">
        <v>2024372431</v>
      </c>
      <c r="E421" t="s">
        <v>760</v>
      </c>
      <c r="F421" t="s">
        <v>761</v>
      </c>
      <c r="G421" t="s">
        <v>51</v>
      </c>
      <c r="H421" t="s">
        <v>681</v>
      </c>
      <c r="I421" t="s">
        <v>220</v>
      </c>
      <c r="J421" t="s">
        <v>221</v>
      </c>
      <c r="K421">
        <v>669316</v>
      </c>
      <c r="L421" t="s">
        <v>762</v>
      </c>
      <c r="M421" t="s">
        <v>763</v>
      </c>
      <c r="N421" t="s">
        <v>57</v>
      </c>
      <c r="O421" s="1">
        <v>45882</v>
      </c>
      <c r="Q421" s="1">
        <v>46216</v>
      </c>
      <c r="R421" s="2">
        <v>315.83999999999997</v>
      </c>
      <c r="S421">
        <v>1</v>
      </c>
      <c r="T421" t="s">
        <v>58</v>
      </c>
      <c r="U421" t="s">
        <v>237</v>
      </c>
      <c r="V421" s="3">
        <v>0.28999999999999998</v>
      </c>
      <c r="W421" s="2">
        <v>0</v>
      </c>
      <c r="X421">
        <v>0</v>
      </c>
      <c r="Y421" t="s">
        <v>60</v>
      </c>
      <c r="Z421" t="s">
        <v>239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91.59</v>
      </c>
      <c r="AN421" s="2">
        <v>91.59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46188</v>
      </c>
      <c r="B422" t="s">
        <v>48</v>
      </c>
      <c r="C422">
        <v>649163</v>
      </c>
      <c r="D422">
        <v>2031017070</v>
      </c>
      <c r="E422" t="s">
        <v>365</v>
      </c>
      <c r="F422" t="s">
        <v>227</v>
      </c>
      <c r="G422" t="s">
        <v>51</v>
      </c>
      <c r="H422" t="s">
        <v>209</v>
      </c>
      <c r="I422" t="s">
        <v>220</v>
      </c>
      <c r="J422" t="s">
        <v>764</v>
      </c>
      <c r="K422">
        <v>877790</v>
      </c>
      <c r="L422" t="s">
        <v>229</v>
      </c>
      <c r="M422" t="s">
        <v>230</v>
      </c>
      <c r="N422" t="s">
        <v>57</v>
      </c>
      <c r="O422" s="1">
        <v>45913</v>
      </c>
      <c r="Q422" s="1">
        <v>46216</v>
      </c>
      <c r="R422" s="2">
        <v>262.94</v>
      </c>
      <c r="S422">
        <v>1</v>
      </c>
      <c r="T422" t="s">
        <v>58</v>
      </c>
      <c r="U422" t="s">
        <v>225</v>
      </c>
      <c r="V422" s="3">
        <v>0.19</v>
      </c>
      <c r="W422" s="2">
        <v>0</v>
      </c>
      <c r="X422">
        <v>0</v>
      </c>
      <c r="Y422" t="s">
        <v>60</v>
      </c>
      <c r="Z422" t="s">
        <v>239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49.96</v>
      </c>
      <c r="AN422" s="2">
        <v>49.96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46188</v>
      </c>
      <c r="B423" t="s">
        <v>48</v>
      </c>
      <c r="C423">
        <v>649163</v>
      </c>
      <c r="D423">
        <v>2031110932</v>
      </c>
      <c r="E423" t="s">
        <v>765</v>
      </c>
      <c r="F423" t="s">
        <v>766</v>
      </c>
      <c r="G423" t="s">
        <v>51</v>
      </c>
      <c r="H423" t="s">
        <v>209</v>
      </c>
      <c r="I423" t="s">
        <v>220</v>
      </c>
      <c r="J423" t="s">
        <v>764</v>
      </c>
      <c r="K423">
        <v>877790</v>
      </c>
      <c r="L423" t="s">
        <v>229</v>
      </c>
      <c r="M423" t="s">
        <v>230</v>
      </c>
      <c r="N423" t="s">
        <v>57</v>
      </c>
      <c r="O423" s="1">
        <v>45918</v>
      </c>
      <c r="Q423" s="1">
        <v>46221</v>
      </c>
      <c r="R423" s="2">
        <v>271.95999999999998</v>
      </c>
      <c r="S423">
        <v>1</v>
      </c>
      <c r="T423" t="s">
        <v>58</v>
      </c>
      <c r="U423" t="s">
        <v>225</v>
      </c>
      <c r="V423" s="3">
        <v>0.19</v>
      </c>
      <c r="W423" s="2">
        <v>0</v>
      </c>
      <c r="X423">
        <v>0</v>
      </c>
      <c r="Y423" t="s">
        <v>60</v>
      </c>
      <c r="Z423" t="s">
        <v>239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51.67</v>
      </c>
      <c r="AN423" s="2">
        <v>51.67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46188</v>
      </c>
      <c r="B424" t="s">
        <v>48</v>
      </c>
      <c r="C424">
        <v>649163</v>
      </c>
      <c r="D424">
        <v>2031818851</v>
      </c>
      <c r="E424" t="s">
        <v>227</v>
      </c>
      <c r="F424" t="s">
        <v>767</v>
      </c>
      <c r="G424" t="s">
        <v>51</v>
      </c>
      <c r="H424" t="s">
        <v>209</v>
      </c>
      <c r="I424" t="s">
        <v>220</v>
      </c>
      <c r="J424" t="s">
        <v>764</v>
      </c>
      <c r="K424">
        <v>877790</v>
      </c>
      <c r="L424" t="s">
        <v>229</v>
      </c>
      <c r="M424" t="s">
        <v>230</v>
      </c>
      <c r="N424" t="s">
        <v>242</v>
      </c>
      <c r="O424" s="1">
        <v>45962</v>
      </c>
      <c r="P424" s="1">
        <v>46188</v>
      </c>
      <c r="Q424" s="1">
        <v>46204</v>
      </c>
      <c r="R424" s="2">
        <v>-4455.12</v>
      </c>
      <c r="S424">
        <v>1</v>
      </c>
      <c r="T424" t="s">
        <v>58</v>
      </c>
      <c r="U424" t="s">
        <v>225</v>
      </c>
      <c r="V424" s="3">
        <v>0.19</v>
      </c>
      <c r="W424" s="2">
        <v>0</v>
      </c>
      <c r="X424">
        <v>-1</v>
      </c>
      <c r="Y424" t="s">
        <v>60</v>
      </c>
      <c r="Z424" t="s">
        <v>239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-846.47</v>
      </c>
      <c r="AN424" s="2">
        <v>-846.47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46188</v>
      </c>
      <c r="B425" t="s">
        <v>48</v>
      </c>
      <c r="C425">
        <v>649163</v>
      </c>
      <c r="D425">
        <v>2031818851</v>
      </c>
      <c r="E425" t="s">
        <v>227</v>
      </c>
      <c r="F425" t="s">
        <v>767</v>
      </c>
      <c r="G425" t="s">
        <v>51</v>
      </c>
      <c r="H425" t="s">
        <v>209</v>
      </c>
      <c r="I425" t="s">
        <v>220</v>
      </c>
      <c r="J425" t="s">
        <v>764</v>
      </c>
      <c r="K425">
        <v>877790</v>
      </c>
      <c r="L425" t="s">
        <v>229</v>
      </c>
      <c r="M425" t="s">
        <v>230</v>
      </c>
      <c r="N425" t="s">
        <v>242</v>
      </c>
      <c r="O425" s="1">
        <v>45962</v>
      </c>
      <c r="P425" s="1">
        <v>46188</v>
      </c>
      <c r="Q425" s="1">
        <v>46204</v>
      </c>
      <c r="R425" s="2">
        <v>-3728.64</v>
      </c>
      <c r="S425">
        <v>1</v>
      </c>
      <c r="T425" t="s">
        <v>58</v>
      </c>
      <c r="U425" t="s">
        <v>225</v>
      </c>
      <c r="V425" s="3">
        <v>0.19</v>
      </c>
      <c r="W425" s="2">
        <v>0</v>
      </c>
      <c r="X425">
        <v>-1</v>
      </c>
      <c r="Y425" t="s">
        <v>60</v>
      </c>
      <c r="Z425" t="s">
        <v>239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-708.44</v>
      </c>
      <c r="AN425" s="2">
        <v>-708.44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46188</v>
      </c>
      <c r="B426" t="s">
        <v>48</v>
      </c>
      <c r="C426">
        <v>649163</v>
      </c>
      <c r="D426">
        <v>2032175762</v>
      </c>
      <c r="E426" t="s">
        <v>768</v>
      </c>
      <c r="F426" t="s">
        <v>666</v>
      </c>
      <c r="G426" t="s">
        <v>51</v>
      </c>
      <c r="H426" t="s">
        <v>209</v>
      </c>
      <c r="I426" t="s">
        <v>220</v>
      </c>
      <c r="J426" t="s">
        <v>764</v>
      </c>
      <c r="K426">
        <v>898497</v>
      </c>
      <c r="L426" t="s">
        <v>769</v>
      </c>
      <c r="M426" t="s">
        <v>770</v>
      </c>
      <c r="N426" t="s">
        <v>57</v>
      </c>
      <c r="O426" s="1">
        <v>45976</v>
      </c>
      <c r="Q426" s="1">
        <v>46218</v>
      </c>
      <c r="R426" s="2">
        <v>164.39</v>
      </c>
      <c r="S426">
        <v>1</v>
      </c>
      <c r="T426" t="s">
        <v>58</v>
      </c>
      <c r="U426" t="s">
        <v>225</v>
      </c>
      <c r="V426" s="3">
        <v>0.19</v>
      </c>
      <c r="W426" s="2">
        <v>0</v>
      </c>
      <c r="X426">
        <v>0</v>
      </c>
      <c r="Y426" t="s">
        <v>60</v>
      </c>
      <c r="Z426" t="s">
        <v>239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31.23</v>
      </c>
      <c r="AN426" s="2">
        <v>31.23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46188</v>
      </c>
      <c r="B427" t="s">
        <v>48</v>
      </c>
      <c r="C427">
        <v>649163</v>
      </c>
      <c r="D427">
        <v>2032192508</v>
      </c>
      <c r="E427" t="s">
        <v>573</v>
      </c>
      <c r="F427" t="s">
        <v>574</v>
      </c>
      <c r="G427" t="s">
        <v>51</v>
      </c>
      <c r="H427" t="s">
        <v>193</v>
      </c>
      <c r="I427" t="s">
        <v>220</v>
      </c>
      <c r="J427" t="s">
        <v>771</v>
      </c>
      <c r="K427">
        <v>902625</v>
      </c>
      <c r="L427" t="s">
        <v>137</v>
      </c>
      <c r="M427" t="s">
        <v>138</v>
      </c>
      <c r="N427" t="s">
        <v>57</v>
      </c>
      <c r="O427" s="1">
        <v>45977</v>
      </c>
      <c r="Q427" s="1">
        <v>46219</v>
      </c>
      <c r="R427" s="2">
        <v>9.9499999999999993</v>
      </c>
      <c r="S427">
        <v>1</v>
      </c>
      <c r="T427" t="s">
        <v>58</v>
      </c>
      <c r="U427" t="s">
        <v>772</v>
      </c>
      <c r="V427" s="3">
        <v>0.27</v>
      </c>
      <c r="W427" s="2">
        <v>0</v>
      </c>
      <c r="X427">
        <v>0</v>
      </c>
      <c r="Y427" t="s">
        <v>60</v>
      </c>
      <c r="Z427" t="s">
        <v>239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2.69</v>
      </c>
      <c r="AN427" s="2">
        <v>2.69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46188</v>
      </c>
      <c r="B428" t="s">
        <v>48</v>
      </c>
      <c r="C428">
        <v>649163</v>
      </c>
      <c r="D428">
        <v>2032192509</v>
      </c>
      <c r="E428" t="s">
        <v>573</v>
      </c>
      <c r="F428" t="s">
        <v>574</v>
      </c>
      <c r="G428" t="s">
        <v>51</v>
      </c>
      <c r="H428" t="s">
        <v>193</v>
      </c>
      <c r="I428" t="s">
        <v>220</v>
      </c>
      <c r="J428" t="s">
        <v>771</v>
      </c>
      <c r="K428">
        <v>902625</v>
      </c>
      <c r="L428" t="s">
        <v>137</v>
      </c>
      <c r="M428" t="s">
        <v>138</v>
      </c>
      <c r="N428" t="s">
        <v>57</v>
      </c>
      <c r="O428" s="1">
        <v>45977</v>
      </c>
      <c r="Q428" s="1">
        <v>46219</v>
      </c>
      <c r="R428" s="2">
        <v>5</v>
      </c>
      <c r="S428">
        <v>1</v>
      </c>
      <c r="T428" t="s">
        <v>58</v>
      </c>
      <c r="U428" t="s">
        <v>772</v>
      </c>
      <c r="V428" s="3">
        <v>0.27</v>
      </c>
      <c r="W428" s="2">
        <v>0</v>
      </c>
      <c r="X428">
        <v>0</v>
      </c>
      <c r="Y428" t="s">
        <v>60</v>
      </c>
      <c r="Z428" t="s">
        <v>239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1.35</v>
      </c>
      <c r="AN428" s="2">
        <v>1.35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46188</v>
      </c>
      <c r="B429" t="s">
        <v>48</v>
      </c>
      <c r="C429">
        <v>649163</v>
      </c>
      <c r="D429">
        <v>2032729941</v>
      </c>
      <c r="E429" t="s">
        <v>773</v>
      </c>
      <c r="F429" t="s">
        <v>774</v>
      </c>
      <c r="G429" t="s">
        <v>51</v>
      </c>
      <c r="H429" t="s">
        <v>83</v>
      </c>
      <c r="I429" t="s">
        <v>220</v>
      </c>
      <c r="J429" t="s">
        <v>223</v>
      </c>
      <c r="K429">
        <v>728134</v>
      </c>
      <c r="L429" t="s">
        <v>775</v>
      </c>
      <c r="M429" t="s">
        <v>776</v>
      </c>
      <c r="N429" t="s">
        <v>242</v>
      </c>
      <c r="O429" s="1">
        <v>46022</v>
      </c>
      <c r="P429" s="1">
        <v>46188</v>
      </c>
      <c r="Q429" s="1">
        <v>46203</v>
      </c>
      <c r="R429" s="2">
        <v>-620.72</v>
      </c>
      <c r="S429">
        <v>1</v>
      </c>
      <c r="T429" t="s">
        <v>58</v>
      </c>
      <c r="U429" t="s">
        <v>772</v>
      </c>
      <c r="V429" s="3">
        <v>0.19</v>
      </c>
      <c r="W429" s="2">
        <v>0</v>
      </c>
      <c r="X429">
        <v>-1</v>
      </c>
      <c r="Y429" t="s">
        <v>60</v>
      </c>
      <c r="Z429" t="s">
        <v>239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-117.94</v>
      </c>
      <c r="AN429" s="2">
        <v>-117.94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46188</v>
      </c>
      <c r="B430" t="s">
        <v>48</v>
      </c>
      <c r="C430">
        <v>649163</v>
      </c>
      <c r="D430">
        <v>2032729942</v>
      </c>
      <c r="E430" t="s">
        <v>773</v>
      </c>
      <c r="F430" t="s">
        <v>774</v>
      </c>
      <c r="G430" t="s">
        <v>51</v>
      </c>
      <c r="H430" t="s">
        <v>83</v>
      </c>
      <c r="I430" t="s">
        <v>220</v>
      </c>
      <c r="J430" t="s">
        <v>222</v>
      </c>
      <c r="K430">
        <v>728134</v>
      </c>
      <c r="L430" t="s">
        <v>775</v>
      </c>
      <c r="M430" t="s">
        <v>776</v>
      </c>
      <c r="N430" t="s">
        <v>242</v>
      </c>
      <c r="O430" s="1">
        <v>46022</v>
      </c>
      <c r="P430" s="1">
        <v>46188</v>
      </c>
      <c r="Q430" s="1">
        <v>46203</v>
      </c>
      <c r="R430" s="2">
        <v>-9.9499999999999993</v>
      </c>
      <c r="S430">
        <v>1</v>
      </c>
      <c r="T430" t="s">
        <v>58</v>
      </c>
      <c r="U430" t="s">
        <v>772</v>
      </c>
      <c r="V430" s="3">
        <v>0.19</v>
      </c>
      <c r="W430" s="2">
        <v>0</v>
      </c>
      <c r="X430">
        <v>-1</v>
      </c>
      <c r="Y430" t="s">
        <v>60</v>
      </c>
      <c r="Z430" t="s">
        <v>239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-1.89</v>
      </c>
      <c r="AN430" s="2">
        <v>-1.89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46188</v>
      </c>
      <c r="B431" t="s">
        <v>48</v>
      </c>
      <c r="C431">
        <v>649163</v>
      </c>
      <c r="D431">
        <v>2032729943</v>
      </c>
      <c r="E431" t="s">
        <v>773</v>
      </c>
      <c r="F431" t="s">
        <v>774</v>
      </c>
      <c r="G431" t="s">
        <v>51</v>
      </c>
      <c r="H431" t="s">
        <v>83</v>
      </c>
      <c r="I431" t="s">
        <v>220</v>
      </c>
      <c r="J431" t="s">
        <v>222</v>
      </c>
      <c r="K431">
        <v>728134</v>
      </c>
      <c r="L431" t="s">
        <v>775</v>
      </c>
      <c r="M431" t="s">
        <v>776</v>
      </c>
      <c r="N431" t="s">
        <v>242</v>
      </c>
      <c r="O431" s="1">
        <v>46022</v>
      </c>
      <c r="P431" s="1">
        <v>46188</v>
      </c>
      <c r="Q431" s="1">
        <v>46203</v>
      </c>
      <c r="R431" s="2">
        <v>-5</v>
      </c>
      <c r="S431">
        <v>1</v>
      </c>
      <c r="T431" t="s">
        <v>58</v>
      </c>
      <c r="U431" t="s">
        <v>772</v>
      </c>
      <c r="V431" s="3">
        <v>0.19</v>
      </c>
      <c r="W431" s="2">
        <v>0</v>
      </c>
      <c r="X431">
        <v>-1</v>
      </c>
      <c r="Y431" t="s">
        <v>60</v>
      </c>
      <c r="Z431" t="s">
        <v>239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-0.95</v>
      </c>
      <c r="AN431" s="2">
        <v>-0.95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46188</v>
      </c>
      <c r="B432" t="s">
        <v>48</v>
      </c>
      <c r="C432">
        <v>649163</v>
      </c>
      <c r="D432">
        <v>2033115852</v>
      </c>
      <c r="E432" t="s">
        <v>620</v>
      </c>
      <c r="F432" t="s">
        <v>621</v>
      </c>
      <c r="G432" t="s">
        <v>51</v>
      </c>
      <c r="H432" t="s">
        <v>339</v>
      </c>
      <c r="I432" t="s">
        <v>220</v>
      </c>
      <c r="J432" t="s">
        <v>221</v>
      </c>
      <c r="K432">
        <v>753748</v>
      </c>
      <c r="L432" t="s">
        <v>619</v>
      </c>
      <c r="M432" t="s">
        <v>256</v>
      </c>
      <c r="N432" t="s">
        <v>57</v>
      </c>
      <c r="O432" s="1">
        <v>46035</v>
      </c>
      <c r="Q432" s="1">
        <v>46216</v>
      </c>
      <c r="R432" s="2">
        <v>422.96</v>
      </c>
      <c r="S432">
        <v>1</v>
      </c>
      <c r="T432" t="s">
        <v>58</v>
      </c>
      <c r="U432" t="s">
        <v>124</v>
      </c>
      <c r="V432" s="3">
        <v>0.28999999999999998</v>
      </c>
      <c r="W432" s="2">
        <v>0</v>
      </c>
      <c r="X432">
        <v>0</v>
      </c>
      <c r="Y432" t="s">
        <v>60</v>
      </c>
      <c r="Z432" t="s">
        <v>239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122.66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46188</v>
      </c>
      <c r="B433" t="s">
        <v>48</v>
      </c>
      <c r="C433">
        <v>649163</v>
      </c>
      <c r="D433">
        <v>2033132188</v>
      </c>
      <c r="E433" t="s">
        <v>629</v>
      </c>
      <c r="F433" t="s">
        <v>630</v>
      </c>
      <c r="G433" t="s">
        <v>51</v>
      </c>
      <c r="H433" t="s">
        <v>209</v>
      </c>
      <c r="I433" t="s">
        <v>220</v>
      </c>
      <c r="J433" t="s">
        <v>228</v>
      </c>
      <c r="K433">
        <v>877790</v>
      </c>
      <c r="L433" t="s">
        <v>229</v>
      </c>
      <c r="M433" t="s">
        <v>230</v>
      </c>
      <c r="N433" t="s">
        <v>57</v>
      </c>
      <c r="O433" s="1">
        <v>46037</v>
      </c>
      <c r="Q433" s="1">
        <v>46218</v>
      </c>
      <c r="R433" s="2">
        <v>210.54</v>
      </c>
      <c r="S433">
        <v>1</v>
      </c>
      <c r="T433" t="s">
        <v>58</v>
      </c>
      <c r="U433" t="s">
        <v>225</v>
      </c>
      <c r="V433" s="3">
        <v>0.19</v>
      </c>
      <c r="W433" s="2">
        <v>0</v>
      </c>
      <c r="X433">
        <v>0</v>
      </c>
      <c r="Y433" t="s">
        <v>60</v>
      </c>
      <c r="Z433" t="s">
        <v>239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40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46188</v>
      </c>
      <c r="B434" t="s">
        <v>48</v>
      </c>
      <c r="C434">
        <v>649163</v>
      </c>
      <c r="D434">
        <v>2033621990</v>
      </c>
      <c r="E434" t="s">
        <v>187</v>
      </c>
      <c r="F434" t="s">
        <v>650</v>
      </c>
      <c r="G434" t="s">
        <v>51</v>
      </c>
      <c r="H434" t="s">
        <v>209</v>
      </c>
      <c r="I434" t="s">
        <v>220</v>
      </c>
      <c r="J434" t="s">
        <v>777</v>
      </c>
      <c r="K434">
        <v>942810</v>
      </c>
      <c r="L434" t="s">
        <v>651</v>
      </c>
      <c r="M434" t="s">
        <v>652</v>
      </c>
      <c r="N434" t="s">
        <v>57</v>
      </c>
      <c r="O434" s="1">
        <v>46066</v>
      </c>
      <c r="Q434" s="1">
        <v>46216</v>
      </c>
      <c r="R434" s="2">
        <v>153.04</v>
      </c>
      <c r="S434">
        <v>1</v>
      </c>
      <c r="T434" t="s">
        <v>58</v>
      </c>
      <c r="U434" t="s">
        <v>124</v>
      </c>
      <c r="V434" s="3">
        <v>0.19</v>
      </c>
      <c r="W434" s="2">
        <v>0</v>
      </c>
      <c r="X434">
        <v>0</v>
      </c>
      <c r="Y434" t="s">
        <v>60</v>
      </c>
      <c r="Z434" t="s">
        <v>239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29.08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46188</v>
      </c>
      <c r="B435" t="s">
        <v>48</v>
      </c>
      <c r="C435">
        <v>649163</v>
      </c>
      <c r="D435">
        <v>2034097889</v>
      </c>
      <c r="E435" t="s">
        <v>281</v>
      </c>
      <c r="F435" t="s">
        <v>76</v>
      </c>
      <c r="G435" t="s">
        <v>51</v>
      </c>
      <c r="H435" t="s">
        <v>145</v>
      </c>
      <c r="I435" t="s">
        <v>220</v>
      </c>
      <c r="J435" t="s">
        <v>221</v>
      </c>
      <c r="K435">
        <v>673059</v>
      </c>
      <c r="L435" t="s">
        <v>85</v>
      </c>
      <c r="M435" t="s">
        <v>86</v>
      </c>
      <c r="N435" t="s">
        <v>57</v>
      </c>
      <c r="O435" s="1">
        <v>46127</v>
      </c>
      <c r="Q435" s="1">
        <v>46218</v>
      </c>
      <c r="R435" s="2">
        <v>539.32000000000005</v>
      </c>
      <c r="S435">
        <v>1</v>
      </c>
      <c r="T435" t="s">
        <v>58</v>
      </c>
      <c r="U435" t="s">
        <v>124</v>
      </c>
      <c r="V435" s="3">
        <v>0.28999999999999998</v>
      </c>
      <c r="W435" s="2">
        <v>0</v>
      </c>
      <c r="X435">
        <v>0</v>
      </c>
      <c r="Y435" t="s">
        <v>60</v>
      </c>
      <c r="Z435" t="s">
        <v>239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156.4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46188</v>
      </c>
      <c r="B436" t="s">
        <v>48</v>
      </c>
      <c r="C436">
        <v>649163</v>
      </c>
      <c r="D436">
        <v>2034097890</v>
      </c>
      <c r="E436" t="s">
        <v>281</v>
      </c>
      <c r="F436" t="s">
        <v>76</v>
      </c>
      <c r="G436" t="s">
        <v>51</v>
      </c>
      <c r="H436" t="s">
        <v>145</v>
      </c>
      <c r="I436" t="s">
        <v>220</v>
      </c>
      <c r="J436" t="s">
        <v>778</v>
      </c>
      <c r="K436">
        <v>673059</v>
      </c>
      <c r="L436" t="s">
        <v>85</v>
      </c>
      <c r="M436" t="s">
        <v>86</v>
      </c>
      <c r="N436" t="s">
        <v>57</v>
      </c>
      <c r="O436" s="1">
        <v>46127</v>
      </c>
      <c r="Q436" s="1">
        <v>46218</v>
      </c>
      <c r="R436" s="2">
        <v>9.9499999999999993</v>
      </c>
      <c r="S436">
        <v>1</v>
      </c>
      <c r="T436" t="s">
        <v>58</v>
      </c>
      <c r="U436" t="s">
        <v>124</v>
      </c>
      <c r="V436" s="3">
        <v>0.28999999999999998</v>
      </c>
      <c r="W436" s="2">
        <v>0</v>
      </c>
      <c r="X436">
        <v>0</v>
      </c>
      <c r="Y436" t="s">
        <v>60</v>
      </c>
      <c r="Z436" t="s">
        <v>239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2.89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46188</v>
      </c>
      <c r="B437" t="s">
        <v>48</v>
      </c>
      <c r="C437">
        <v>649163</v>
      </c>
      <c r="D437">
        <v>2034306134</v>
      </c>
      <c r="E437" t="s">
        <v>675</v>
      </c>
      <c r="F437" t="s">
        <v>227</v>
      </c>
      <c r="G437" t="s">
        <v>51</v>
      </c>
      <c r="H437" t="s">
        <v>209</v>
      </c>
      <c r="I437" t="s">
        <v>220</v>
      </c>
      <c r="J437" t="s">
        <v>228</v>
      </c>
      <c r="K437">
        <v>651818</v>
      </c>
      <c r="L437" t="s">
        <v>79</v>
      </c>
      <c r="M437" t="s">
        <v>80</v>
      </c>
      <c r="N437" t="s">
        <v>57</v>
      </c>
      <c r="O437" s="1">
        <v>46094</v>
      </c>
      <c r="Q437" s="1">
        <v>46216</v>
      </c>
      <c r="R437" s="2">
        <v>479.14</v>
      </c>
      <c r="S437">
        <v>1</v>
      </c>
      <c r="T437" t="s">
        <v>58</v>
      </c>
      <c r="U437" t="s">
        <v>225</v>
      </c>
      <c r="V437" s="3">
        <v>0.19</v>
      </c>
      <c r="W437" s="2">
        <v>0</v>
      </c>
      <c r="X437">
        <v>0</v>
      </c>
      <c r="Y437" t="s">
        <v>60</v>
      </c>
      <c r="Z437" t="s">
        <v>239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91.04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46188</v>
      </c>
      <c r="B438" t="s">
        <v>48</v>
      </c>
      <c r="C438">
        <v>649163</v>
      </c>
      <c r="D438">
        <v>2034695178</v>
      </c>
      <c r="E438" t="s">
        <v>693</v>
      </c>
      <c r="F438" t="s">
        <v>694</v>
      </c>
      <c r="G438" t="s">
        <v>51</v>
      </c>
      <c r="H438" t="s">
        <v>165</v>
      </c>
      <c r="I438" t="s">
        <v>220</v>
      </c>
      <c r="J438" t="s">
        <v>221</v>
      </c>
      <c r="K438">
        <v>651818</v>
      </c>
      <c r="L438" t="s">
        <v>79</v>
      </c>
      <c r="M438" t="s">
        <v>80</v>
      </c>
      <c r="N438" t="s">
        <v>57</v>
      </c>
      <c r="O438" s="1">
        <v>46127</v>
      </c>
      <c r="Q438" s="1">
        <v>46218</v>
      </c>
      <c r="R438" s="2">
        <v>259.60000000000002</v>
      </c>
      <c r="S438">
        <v>1</v>
      </c>
      <c r="T438" t="s">
        <v>58</v>
      </c>
      <c r="U438" t="s">
        <v>124</v>
      </c>
      <c r="V438" s="3">
        <v>0.28999999999999998</v>
      </c>
      <c r="W438" s="2">
        <v>0</v>
      </c>
      <c r="X438">
        <v>0</v>
      </c>
      <c r="Y438" t="s">
        <v>60</v>
      </c>
      <c r="Z438" t="s">
        <v>239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75.28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46188</v>
      </c>
      <c r="B439" t="s">
        <v>48</v>
      </c>
      <c r="C439">
        <v>649163</v>
      </c>
      <c r="D439">
        <v>2034867129</v>
      </c>
      <c r="E439" t="s">
        <v>702</v>
      </c>
      <c r="F439" t="s">
        <v>703</v>
      </c>
      <c r="G439" t="s">
        <v>51</v>
      </c>
      <c r="H439" t="s">
        <v>209</v>
      </c>
      <c r="I439" t="s">
        <v>220</v>
      </c>
      <c r="J439" t="s">
        <v>228</v>
      </c>
      <c r="K439">
        <v>942810</v>
      </c>
      <c r="L439" t="s">
        <v>651</v>
      </c>
      <c r="M439" t="s">
        <v>652</v>
      </c>
      <c r="N439" t="s">
        <v>57</v>
      </c>
      <c r="O439" s="1">
        <v>46129</v>
      </c>
      <c r="Q439" s="1">
        <v>46220</v>
      </c>
      <c r="R439" s="2">
        <v>730.31</v>
      </c>
      <c r="S439">
        <v>1</v>
      </c>
      <c r="T439" t="s">
        <v>58</v>
      </c>
      <c r="U439" t="s">
        <v>225</v>
      </c>
      <c r="V439" s="3">
        <v>0.19</v>
      </c>
      <c r="W439" s="2">
        <v>0</v>
      </c>
      <c r="X439">
        <v>0</v>
      </c>
      <c r="Y439" t="s">
        <v>60</v>
      </c>
      <c r="Z439" t="s">
        <v>239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138.76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46188</v>
      </c>
      <c r="B440" t="s">
        <v>48</v>
      </c>
      <c r="C440">
        <v>649163</v>
      </c>
      <c r="D440">
        <v>2034920732</v>
      </c>
      <c r="E440" t="s">
        <v>660</v>
      </c>
      <c r="F440" t="s">
        <v>779</v>
      </c>
      <c r="G440" t="s">
        <v>51</v>
      </c>
      <c r="H440" t="s">
        <v>193</v>
      </c>
      <c r="I440" t="s">
        <v>220</v>
      </c>
      <c r="J440" t="s">
        <v>780</v>
      </c>
      <c r="K440">
        <v>902625</v>
      </c>
      <c r="L440" t="s">
        <v>137</v>
      </c>
      <c r="M440" t="s">
        <v>138</v>
      </c>
      <c r="N440" t="s">
        <v>57</v>
      </c>
      <c r="O440" s="1">
        <v>46127</v>
      </c>
      <c r="Q440" s="1">
        <v>46218</v>
      </c>
      <c r="R440" s="2">
        <v>602.16</v>
      </c>
      <c r="S440">
        <v>1</v>
      </c>
      <c r="T440" t="s">
        <v>58</v>
      </c>
      <c r="U440" t="s">
        <v>772</v>
      </c>
      <c r="V440" s="3">
        <v>0.27</v>
      </c>
      <c r="W440" s="2">
        <v>0</v>
      </c>
      <c r="X440">
        <v>0</v>
      </c>
      <c r="Y440" t="s">
        <v>60</v>
      </c>
      <c r="Z440" t="s">
        <v>239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162.58000000000001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46188</v>
      </c>
      <c r="B441" t="s">
        <v>48</v>
      </c>
      <c r="C441">
        <v>649163</v>
      </c>
      <c r="D441">
        <v>2034920733</v>
      </c>
      <c r="E441" t="s">
        <v>660</v>
      </c>
      <c r="F441" t="s">
        <v>779</v>
      </c>
      <c r="G441" t="s">
        <v>51</v>
      </c>
      <c r="H441" t="s">
        <v>193</v>
      </c>
      <c r="I441" t="s">
        <v>220</v>
      </c>
      <c r="J441" t="s">
        <v>771</v>
      </c>
      <c r="K441">
        <v>902625</v>
      </c>
      <c r="L441" t="s">
        <v>137</v>
      </c>
      <c r="M441" t="s">
        <v>138</v>
      </c>
      <c r="N441" t="s">
        <v>57</v>
      </c>
      <c r="O441" s="1">
        <v>46127</v>
      </c>
      <c r="Q441" s="1">
        <v>46218</v>
      </c>
      <c r="R441" s="2">
        <v>9.9499999999999993</v>
      </c>
      <c r="S441">
        <v>1</v>
      </c>
      <c r="T441" t="s">
        <v>58</v>
      </c>
      <c r="U441" t="s">
        <v>772</v>
      </c>
      <c r="V441" s="3">
        <v>0.27</v>
      </c>
      <c r="W441" s="2">
        <v>0</v>
      </c>
      <c r="X441">
        <v>0</v>
      </c>
      <c r="Y441" t="s">
        <v>60</v>
      </c>
      <c r="Z441" t="s">
        <v>239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2.69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46188</v>
      </c>
      <c r="B442" t="s">
        <v>48</v>
      </c>
      <c r="C442">
        <v>649163</v>
      </c>
      <c r="D442">
        <v>2034920734</v>
      </c>
      <c r="E442" t="s">
        <v>660</v>
      </c>
      <c r="F442" t="s">
        <v>779</v>
      </c>
      <c r="G442" t="s">
        <v>51</v>
      </c>
      <c r="H442" t="s">
        <v>193</v>
      </c>
      <c r="I442" t="s">
        <v>220</v>
      </c>
      <c r="J442" t="s">
        <v>771</v>
      </c>
      <c r="K442">
        <v>902625</v>
      </c>
      <c r="L442" t="s">
        <v>137</v>
      </c>
      <c r="M442" t="s">
        <v>138</v>
      </c>
      <c r="N442" t="s">
        <v>57</v>
      </c>
      <c r="O442" s="1">
        <v>46127</v>
      </c>
      <c r="Q442" s="1">
        <v>46218</v>
      </c>
      <c r="R442" s="2">
        <v>5</v>
      </c>
      <c r="S442">
        <v>1</v>
      </c>
      <c r="T442" t="s">
        <v>58</v>
      </c>
      <c r="U442" t="s">
        <v>772</v>
      </c>
      <c r="V442" s="3">
        <v>0.27</v>
      </c>
      <c r="W442" s="2">
        <v>0</v>
      </c>
      <c r="X442">
        <v>0</v>
      </c>
      <c r="Y442" t="s">
        <v>60</v>
      </c>
      <c r="Z442" t="s">
        <v>239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1.35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46188</v>
      </c>
      <c r="B443" t="s">
        <v>48</v>
      </c>
      <c r="C443">
        <v>649163</v>
      </c>
      <c r="D443">
        <v>2034966124</v>
      </c>
      <c r="E443" t="s">
        <v>713</v>
      </c>
      <c r="F443" t="s">
        <v>260</v>
      </c>
      <c r="G443" t="s">
        <v>51</v>
      </c>
      <c r="H443" t="s">
        <v>714</v>
      </c>
      <c r="I443" t="s">
        <v>220</v>
      </c>
      <c r="J443" t="s">
        <v>777</v>
      </c>
      <c r="K443">
        <v>673059</v>
      </c>
      <c r="L443" t="s">
        <v>85</v>
      </c>
      <c r="M443" t="s">
        <v>86</v>
      </c>
      <c r="N443" t="s">
        <v>57</v>
      </c>
      <c r="O443" s="1">
        <v>46129</v>
      </c>
      <c r="Q443" s="1">
        <v>46220</v>
      </c>
      <c r="R443" s="2">
        <v>602.72</v>
      </c>
      <c r="S443">
        <v>1</v>
      </c>
      <c r="T443" t="s">
        <v>58</v>
      </c>
      <c r="U443" t="s">
        <v>124</v>
      </c>
      <c r="V443" s="3">
        <v>0.19</v>
      </c>
      <c r="W443" s="2">
        <v>0</v>
      </c>
      <c r="X443">
        <v>0</v>
      </c>
      <c r="Y443" t="s">
        <v>60</v>
      </c>
      <c r="Z443" t="s">
        <v>239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114.52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46188</v>
      </c>
      <c r="B444" t="s">
        <v>48</v>
      </c>
      <c r="C444">
        <v>649163</v>
      </c>
      <c r="D444">
        <v>2034966125</v>
      </c>
      <c r="E444" t="s">
        <v>713</v>
      </c>
      <c r="F444" t="s">
        <v>260</v>
      </c>
      <c r="G444" t="s">
        <v>51</v>
      </c>
      <c r="H444" t="s">
        <v>714</v>
      </c>
      <c r="I444" t="s">
        <v>220</v>
      </c>
      <c r="J444" t="s">
        <v>781</v>
      </c>
      <c r="K444">
        <v>673059</v>
      </c>
      <c r="L444" t="s">
        <v>85</v>
      </c>
      <c r="M444" t="s">
        <v>86</v>
      </c>
      <c r="N444" t="s">
        <v>57</v>
      </c>
      <c r="O444" s="1">
        <v>46129</v>
      </c>
      <c r="Q444" s="1">
        <v>46220</v>
      </c>
      <c r="R444" s="2">
        <v>9.9499999999999993</v>
      </c>
      <c r="S444">
        <v>1</v>
      </c>
      <c r="T444" t="s">
        <v>58</v>
      </c>
      <c r="U444" t="s">
        <v>124</v>
      </c>
      <c r="V444" s="3">
        <v>0.19</v>
      </c>
      <c r="W444" s="2">
        <v>0</v>
      </c>
      <c r="X444">
        <v>0</v>
      </c>
      <c r="Y444" t="s">
        <v>60</v>
      </c>
      <c r="Z444" t="s">
        <v>239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1.89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46188</v>
      </c>
      <c r="B445" t="s">
        <v>48</v>
      </c>
      <c r="C445">
        <v>649163</v>
      </c>
      <c r="D445">
        <v>2035383814</v>
      </c>
      <c r="E445" t="s">
        <v>538</v>
      </c>
      <c r="F445" t="s">
        <v>782</v>
      </c>
      <c r="G445" t="s">
        <v>51</v>
      </c>
      <c r="H445" t="s">
        <v>77</v>
      </c>
      <c r="I445" t="s">
        <v>220</v>
      </c>
      <c r="J445" t="s">
        <v>778</v>
      </c>
      <c r="K445">
        <v>756418</v>
      </c>
      <c r="L445" t="s">
        <v>419</v>
      </c>
      <c r="M445" t="s">
        <v>420</v>
      </c>
      <c r="N445" t="s">
        <v>242</v>
      </c>
      <c r="O445" s="1">
        <v>46151</v>
      </c>
      <c r="P445" s="1">
        <v>46188</v>
      </c>
      <c r="Q445" s="1">
        <v>46212</v>
      </c>
      <c r="R445" s="2">
        <v>-9.9499999999999993</v>
      </c>
      <c r="S445">
        <v>1</v>
      </c>
      <c r="T445" t="s">
        <v>58</v>
      </c>
      <c r="U445" t="s">
        <v>772</v>
      </c>
      <c r="V445" s="3">
        <v>0.28999999999999998</v>
      </c>
      <c r="W445" s="2">
        <v>0</v>
      </c>
      <c r="X445">
        <v>-1</v>
      </c>
      <c r="Y445" t="s">
        <v>60</v>
      </c>
      <c r="Z445" t="s">
        <v>239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-2.89</v>
      </c>
      <c r="AN445" s="2">
        <v>-2.89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46188</v>
      </c>
      <c r="B446" t="s">
        <v>48</v>
      </c>
      <c r="C446">
        <v>649163</v>
      </c>
      <c r="D446">
        <v>2035383815</v>
      </c>
      <c r="E446" t="s">
        <v>538</v>
      </c>
      <c r="F446" t="s">
        <v>782</v>
      </c>
      <c r="G446" t="s">
        <v>51</v>
      </c>
      <c r="H446" t="s">
        <v>77</v>
      </c>
      <c r="I446" t="s">
        <v>220</v>
      </c>
      <c r="J446" t="s">
        <v>221</v>
      </c>
      <c r="K446">
        <v>756418</v>
      </c>
      <c r="L446" t="s">
        <v>419</v>
      </c>
      <c r="M446" t="s">
        <v>420</v>
      </c>
      <c r="N446" t="s">
        <v>242</v>
      </c>
      <c r="O446" s="1">
        <v>46151</v>
      </c>
      <c r="P446" s="1">
        <v>46188</v>
      </c>
      <c r="Q446" s="1">
        <v>46212</v>
      </c>
      <c r="R446" s="2">
        <v>-115.72</v>
      </c>
      <c r="S446">
        <v>1</v>
      </c>
      <c r="T446" t="s">
        <v>58</v>
      </c>
      <c r="U446" t="s">
        <v>772</v>
      </c>
      <c r="V446" s="3">
        <v>0.28999999999999998</v>
      </c>
      <c r="W446" s="2">
        <v>0</v>
      </c>
      <c r="X446">
        <v>-1</v>
      </c>
      <c r="Y446" t="s">
        <v>60</v>
      </c>
      <c r="Z446" t="s">
        <v>239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-33.56</v>
      </c>
      <c r="AN446" s="2">
        <v>-33.56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46188</v>
      </c>
      <c r="B447" t="s">
        <v>48</v>
      </c>
      <c r="C447">
        <v>649163</v>
      </c>
      <c r="D447">
        <v>2035473796</v>
      </c>
      <c r="E447" t="s">
        <v>748</v>
      </c>
      <c r="F447" t="s">
        <v>256</v>
      </c>
      <c r="G447" t="s">
        <v>51</v>
      </c>
      <c r="H447" t="s">
        <v>83</v>
      </c>
      <c r="I447" t="s">
        <v>220</v>
      </c>
      <c r="J447" t="s">
        <v>223</v>
      </c>
      <c r="K447">
        <v>946134</v>
      </c>
      <c r="L447" t="s">
        <v>133</v>
      </c>
      <c r="M447" t="s">
        <v>134</v>
      </c>
      <c r="N447" t="s">
        <v>57</v>
      </c>
      <c r="O447" s="1">
        <v>46157</v>
      </c>
      <c r="Q447" s="1">
        <v>46218</v>
      </c>
      <c r="R447" s="2">
        <v>80.569999999999993</v>
      </c>
      <c r="S447">
        <v>1</v>
      </c>
      <c r="T447" t="s">
        <v>58</v>
      </c>
      <c r="U447" t="s">
        <v>124</v>
      </c>
      <c r="V447" s="3">
        <v>0.19</v>
      </c>
      <c r="W447" s="2">
        <v>0</v>
      </c>
      <c r="X447">
        <v>0</v>
      </c>
      <c r="Y447" t="s">
        <v>60</v>
      </c>
      <c r="Z447" t="s">
        <v>239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15.31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46188</v>
      </c>
      <c r="B448" t="s">
        <v>48</v>
      </c>
      <c r="C448">
        <v>649163</v>
      </c>
      <c r="D448">
        <v>2035473800</v>
      </c>
      <c r="E448" t="s">
        <v>748</v>
      </c>
      <c r="F448" t="s">
        <v>256</v>
      </c>
      <c r="G448" t="s">
        <v>51</v>
      </c>
      <c r="H448" t="s">
        <v>83</v>
      </c>
      <c r="I448" t="s">
        <v>220</v>
      </c>
      <c r="J448" t="s">
        <v>222</v>
      </c>
      <c r="K448">
        <v>946134</v>
      </c>
      <c r="L448" t="s">
        <v>133</v>
      </c>
      <c r="M448" t="s">
        <v>134</v>
      </c>
      <c r="N448" t="s">
        <v>57</v>
      </c>
      <c r="O448" s="1">
        <v>46157</v>
      </c>
      <c r="Q448" s="1">
        <v>46218</v>
      </c>
      <c r="R448" s="2">
        <v>9.9499999999999993</v>
      </c>
      <c r="S448">
        <v>1</v>
      </c>
      <c r="T448" t="s">
        <v>58</v>
      </c>
      <c r="U448" t="s">
        <v>124</v>
      </c>
      <c r="V448" s="3">
        <v>0.19</v>
      </c>
      <c r="W448" s="2">
        <v>0</v>
      </c>
      <c r="X448">
        <v>0</v>
      </c>
      <c r="Y448" t="s">
        <v>60</v>
      </c>
      <c r="Z448" t="s">
        <v>239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1.89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46188</v>
      </c>
      <c r="B449" t="s">
        <v>48</v>
      </c>
      <c r="C449">
        <v>649163</v>
      </c>
      <c r="D449">
        <v>2019687400</v>
      </c>
      <c r="E449" t="s">
        <v>783</v>
      </c>
      <c r="F449" t="s">
        <v>784</v>
      </c>
      <c r="G449" t="s">
        <v>51</v>
      </c>
      <c r="H449" t="s">
        <v>52</v>
      </c>
      <c r="I449" t="s">
        <v>785</v>
      </c>
      <c r="J449" t="s">
        <v>786</v>
      </c>
      <c r="K449">
        <v>678320</v>
      </c>
      <c r="L449" t="s">
        <v>787</v>
      </c>
      <c r="M449" t="s">
        <v>704</v>
      </c>
      <c r="N449" t="s">
        <v>57</v>
      </c>
      <c r="O449" s="1">
        <v>45150</v>
      </c>
      <c r="Q449" s="1">
        <v>46215</v>
      </c>
      <c r="R449" s="2">
        <v>64.540000000000006</v>
      </c>
      <c r="S449">
        <v>1</v>
      </c>
      <c r="T449" t="s">
        <v>58</v>
      </c>
      <c r="U449" t="s">
        <v>237</v>
      </c>
      <c r="V449" s="4">
        <v>5.2499999999999998E-2</v>
      </c>
      <c r="W449" s="2">
        <v>0</v>
      </c>
      <c r="X449">
        <v>0</v>
      </c>
      <c r="Y449" t="s">
        <v>238</v>
      </c>
      <c r="Z449" t="s">
        <v>239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3.39</v>
      </c>
      <c r="AN449" s="2">
        <v>3.39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46188</v>
      </c>
      <c r="B450" t="s">
        <v>48</v>
      </c>
      <c r="C450">
        <v>649163</v>
      </c>
      <c r="D450">
        <v>2021761961</v>
      </c>
      <c r="E450" t="s">
        <v>788</v>
      </c>
      <c r="F450" t="s">
        <v>307</v>
      </c>
      <c r="G450" t="s">
        <v>51</v>
      </c>
      <c r="H450" t="s">
        <v>52</v>
      </c>
      <c r="I450" t="s">
        <v>785</v>
      </c>
      <c r="J450" t="s">
        <v>786</v>
      </c>
      <c r="K450">
        <v>728134</v>
      </c>
      <c r="L450" t="s">
        <v>775</v>
      </c>
      <c r="M450" t="s">
        <v>776</v>
      </c>
      <c r="N450" t="s">
        <v>57</v>
      </c>
      <c r="O450" s="1">
        <v>45335</v>
      </c>
      <c r="Q450" s="1">
        <v>46216</v>
      </c>
      <c r="R450" s="2">
        <v>43.59</v>
      </c>
      <c r="S450">
        <v>1</v>
      </c>
      <c r="T450" t="s">
        <v>58</v>
      </c>
      <c r="U450" t="s">
        <v>237</v>
      </c>
      <c r="V450" s="4">
        <v>5.2499999999999998E-2</v>
      </c>
      <c r="W450" s="2">
        <v>0</v>
      </c>
      <c r="X450">
        <v>0</v>
      </c>
      <c r="Y450" t="s">
        <v>238</v>
      </c>
      <c r="Z450" t="s">
        <v>239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2.29</v>
      </c>
      <c r="AN450" s="2">
        <v>2.29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46188</v>
      </c>
      <c r="B451" t="s">
        <v>48</v>
      </c>
      <c r="C451">
        <v>649163</v>
      </c>
      <c r="D451">
        <v>2026164939</v>
      </c>
      <c r="E451" t="s">
        <v>789</v>
      </c>
      <c r="F451" t="s">
        <v>483</v>
      </c>
      <c r="G451" t="s">
        <v>51</v>
      </c>
      <c r="H451" t="s">
        <v>52</v>
      </c>
      <c r="I451" t="s">
        <v>785</v>
      </c>
      <c r="J451" t="s">
        <v>786</v>
      </c>
      <c r="K451">
        <v>728134</v>
      </c>
      <c r="L451" t="s">
        <v>775</v>
      </c>
      <c r="M451" t="s">
        <v>776</v>
      </c>
      <c r="N451" t="s">
        <v>57</v>
      </c>
      <c r="O451" s="1">
        <v>45640</v>
      </c>
      <c r="Q451" s="1">
        <v>46217</v>
      </c>
      <c r="R451" s="2">
        <v>122.9</v>
      </c>
      <c r="S451">
        <v>1</v>
      </c>
      <c r="T451" t="s">
        <v>58</v>
      </c>
      <c r="U451" t="s">
        <v>237</v>
      </c>
      <c r="V451" s="4">
        <v>5.2499999999999998E-2</v>
      </c>
      <c r="W451" s="2">
        <v>0</v>
      </c>
      <c r="X451">
        <v>0</v>
      </c>
      <c r="Y451" t="s">
        <v>238</v>
      </c>
      <c r="Z451" t="s">
        <v>239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6.45</v>
      </c>
      <c r="AN451" s="2">
        <v>6.45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46188</v>
      </c>
      <c r="B452" t="s">
        <v>48</v>
      </c>
      <c r="C452">
        <v>649163</v>
      </c>
      <c r="D452">
        <v>2026572544</v>
      </c>
      <c r="E452" t="s">
        <v>421</v>
      </c>
      <c r="F452" t="s">
        <v>422</v>
      </c>
      <c r="G452" t="s">
        <v>51</v>
      </c>
      <c r="H452" t="s">
        <v>119</v>
      </c>
      <c r="I452" t="s">
        <v>785</v>
      </c>
      <c r="J452" t="s">
        <v>786</v>
      </c>
      <c r="K452">
        <v>764123</v>
      </c>
      <c r="L452" t="s">
        <v>421</v>
      </c>
      <c r="M452" t="s">
        <v>422</v>
      </c>
      <c r="N452" t="s">
        <v>57</v>
      </c>
      <c r="O452" s="1">
        <v>45671</v>
      </c>
      <c r="Q452" s="1">
        <v>46217</v>
      </c>
      <c r="R452" s="2">
        <v>55.04</v>
      </c>
      <c r="S452">
        <v>1</v>
      </c>
      <c r="T452" t="s">
        <v>58</v>
      </c>
      <c r="U452" t="s">
        <v>237</v>
      </c>
      <c r="V452" s="4">
        <v>5.2499999999999998E-2</v>
      </c>
      <c r="W452" s="2">
        <v>0</v>
      </c>
      <c r="X452">
        <v>0</v>
      </c>
      <c r="Y452" t="s">
        <v>238</v>
      </c>
      <c r="Z452" t="s">
        <v>239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2.89</v>
      </c>
      <c r="AN452" s="2">
        <v>2.89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46188</v>
      </c>
      <c r="B453" t="s">
        <v>48</v>
      </c>
      <c r="C453">
        <v>649163</v>
      </c>
      <c r="D453">
        <v>2029358060</v>
      </c>
      <c r="E453" t="s">
        <v>790</v>
      </c>
      <c r="F453" t="s">
        <v>69</v>
      </c>
      <c r="G453" t="s">
        <v>51</v>
      </c>
      <c r="H453" t="s">
        <v>52</v>
      </c>
      <c r="I453" t="s">
        <v>785</v>
      </c>
      <c r="J453" t="s">
        <v>786</v>
      </c>
      <c r="K453">
        <v>649247</v>
      </c>
      <c r="L453" t="s">
        <v>791</v>
      </c>
      <c r="M453" t="s">
        <v>792</v>
      </c>
      <c r="N453" t="s">
        <v>57</v>
      </c>
      <c r="O453" s="1">
        <v>45817</v>
      </c>
      <c r="Q453" s="1">
        <v>46212</v>
      </c>
      <c r="R453" s="2">
        <v>60.6</v>
      </c>
      <c r="S453">
        <v>1</v>
      </c>
      <c r="T453" t="s">
        <v>58</v>
      </c>
      <c r="U453" t="s">
        <v>237</v>
      </c>
      <c r="V453" s="4">
        <v>5.2499999999999998E-2</v>
      </c>
      <c r="W453" s="2">
        <v>0</v>
      </c>
      <c r="X453">
        <v>0</v>
      </c>
      <c r="Y453" t="s">
        <v>238</v>
      </c>
      <c r="Z453" t="s">
        <v>239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3.18</v>
      </c>
      <c r="AN453" s="2">
        <v>3.18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46188</v>
      </c>
      <c r="B454" t="s">
        <v>48</v>
      </c>
      <c r="C454">
        <v>649163</v>
      </c>
      <c r="D454">
        <v>2033064593</v>
      </c>
      <c r="E454" t="s">
        <v>793</v>
      </c>
      <c r="F454" t="s">
        <v>794</v>
      </c>
      <c r="G454" t="s">
        <v>51</v>
      </c>
      <c r="H454" t="s">
        <v>83</v>
      </c>
      <c r="I454" t="s">
        <v>785</v>
      </c>
      <c r="J454" t="s">
        <v>786</v>
      </c>
      <c r="K454">
        <v>888536</v>
      </c>
      <c r="L454" t="s">
        <v>91</v>
      </c>
      <c r="M454" t="s">
        <v>795</v>
      </c>
      <c r="N454" t="s">
        <v>57</v>
      </c>
      <c r="O454" s="1">
        <v>46032</v>
      </c>
      <c r="Q454" s="1">
        <v>46213</v>
      </c>
      <c r="R454" s="2">
        <v>76.209999999999994</v>
      </c>
      <c r="S454">
        <v>1</v>
      </c>
      <c r="T454" t="s">
        <v>58</v>
      </c>
      <c r="U454" t="s">
        <v>59</v>
      </c>
      <c r="V454" s="3">
        <v>0.47</v>
      </c>
      <c r="W454" s="2">
        <v>0</v>
      </c>
      <c r="X454">
        <v>0</v>
      </c>
      <c r="Y454" t="s">
        <v>60</v>
      </c>
      <c r="Z454" t="s">
        <v>239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35.82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46188</v>
      </c>
      <c r="B455" t="s">
        <v>48</v>
      </c>
      <c r="C455">
        <v>649163</v>
      </c>
      <c r="D455">
        <v>2034110227</v>
      </c>
      <c r="E455" t="s">
        <v>796</v>
      </c>
      <c r="F455" t="s">
        <v>326</v>
      </c>
      <c r="G455" t="s">
        <v>51</v>
      </c>
      <c r="H455" t="s">
        <v>52</v>
      </c>
      <c r="I455" t="s">
        <v>785</v>
      </c>
      <c r="J455" t="s">
        <v>786</v>
      </c>
      <c r="K455">
        <v>728134</v>
      </c>
      <c r="L455" t="s">
        <v>775</v>
      </c>
      <c r="M455" t="s">
        <v>776</v>
      </c>
      <c r="N455" t="s">
        <v>57</v>
      </c>
      <c r="O455" s="1">
        <v>46065</v>
      </c>
      <c r="Q455" s="1">
        <v>46215</v>
      </c>
      <c r="R455" s="2">
        <v>54.37</v>
      </c>
      <c r="S455">
        <v>1</v>
      </c>
      <c r="T455" t="s">
        <v>58</v>
      </c>
      <c r="U455" t="s">
        <v>231</v>
      </c>
      <c r="V455" s="3">
        <v>0.47</v>
      </c>
      <c r="W455" s="2">
        <v>0</v>
      </c>
      <c r="X455">
        <v>0</v>
      </c>
      <c r="Y455" t="s">
        <v>60</v>
      </c>
      <c r="Z455" t="s">
        <v>239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25.55</v>
      </c>
      <c r="AN455" s="2">
        <v>25.55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46188</v>
      </c>
      <c r="B456" t="s">
        <v>797</v>
      </c>
      <c r="C456">
        <v>649163</v>
      </c>
      <c r="D456">
        <v>2016762022</v>
      </c>
      <c r="E456" t="s">
        <v>295</v>
      </c>
      <c r="F456" t="s">
        <v>296</v>
      </c>
      <c r="G456" t="s">
        <v>51</v>
      </c>
      <c r="I456" t="s">
        <v>71</v>
      </c>
      <c r="J456" t="s">
        <v>84</v>
      </c>
      <c r="K456">
        <v>649163</v>
      </c>
      <c r="L456" t="s">
        <v>79</v>
      </c>
      <c r="M456" t="s">
        <v>80</v>
      </c>
      <c r="N456" t="s">
        <v>242</v>
      </c>
      <c r="O456" s="1">
        <v>44927</v>
      </c>
      <c r="P456" s="1">
        <v>46188</v>
      </c>
      <c r="R456" s="2">
        <v>0</v>
      </c>
      <c r="AB456" s="2">
        <v>0</v>
      </c>
      <c r="AC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46188</v>
      </c>
      <c r="B457" t="s">
        <v>797</v>
      </c>
      <c r="C457">
        <v>649163</v>
      </c>
      <c r="D457">
        <v>2016762024</v>
      </c>
      <c r="E457" t="s">
        <v>295</v>
      </c>
      <c r="F457" t="s">
        <v>296</v>
      </c>
      <c r="G457" t="s">
        <v>51</v>
      </c>
      <c r="I457" t="s">
        <v>182</v>
      </c>
      <c r="J457" t="s">
        <v>497</v>
      </c>
      <c r="K457">
        <v>649163</v>
      </c>
      <c r="L457" t="s">
        <v>79</v>
      </c>
      <c r="M457" t="s">
        <v>80</v>
      </c>
      <c r="N457" t="s">
        <v>242</v>
      </c>
      <c r="O457" s="1">
        <v>44927</v>
      </c>
      <c r="P457" s="1">
        <v>46188</v>
      </c>
      <c r="R457" s="2">
        <v>0</v>
      </c>
      <c r="AB457" s="2">
        <v>0</v>
      </c>
      <c r="AC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46188</v>
      </c>
      <c r="B458" t="s">
        <v>797</v>
      </c>
      <c r="C458">
        <v>649163</v>
      </c>
      <c r="D458">
        <v>2023252075</v>
      </c>
      <c r="E458" t="s">
        <v>240</v>
      </c>
      <c r="F458" t="s">
        <v>241</v>
      </c>
      <c r="G458" t="s">
        <v>51</v>
      </c>
      <c r="I458" t="s">
        <v>53</v>
      </c>
      <c r="J458" t="s">
        <v>54</v>
      </c>
      <c r="K458">
        <v>649163</v>
      </c>
      <c r="L458" t="s">
        <v>158</v>
      </c>
      <c r="M458" t="s">
        <v>159</v>
      </c>
      <c r="N458" t="s">
        <v>242</v>
      </c>
      <c r="O458" s="1">
        <v>45444</v>
      </c>
      <c r="P458" s="1">
        <v>46188</v>
      </c>
      <c r="R458" s="2">
        <v>0</v>
      </c>
      <c r="AB458" s="2">
        <v>0</v>
      </c>
      <c r="AC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46188</v>
      </c>
      <c r="B459" t="s">
        <v>797</v>
      </c>
      <c r="C459">
        <v>649163</v>
      </c>
      <c r="D459">
        <v>2016762023</v>
      </c>
      <c r="E459" t="s">
        <v>295</v>
      </c>
      <c r="F459" t="s">
        <v>296</v>
      </c>
      <c r="G459" t="s">
        <v>51</v>
      </c>
      <c r="I459" t="s">
        <v>71</v>
      </c>
      <c r="J459" t="s">
        <v>78</v>
      </c>
      <c r="K459">
        <v>649163</v>
      </c>
      <c r="L459" t="s">
        <v>79</v>
      </c>
      <c r="M459" t="s">
        <v>80</v>
      </c>
      <c r="N459" t="s">
        <v>242</v>
      </c>
      <c r="O459" s="1">
        <v>44927</v>
      </c>
      <c r="P459" s="1">
        <v>46188</v>
      </c>
      <c r="R459" s="2">
        <v>0</v>
      </c>
      <c r="AB459" s="2">
        <v>0</v>
      </c>
      <c r="AC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46188</v>
      </c>
      <c r="B460" t="s">
        <v>797</v>
      </c>
      <c r="C460">
        <v>649163</v>
      </c>
      <c r="D460">
        <v>2026189739</v>
      </c>
      <c r="E460" t="s">
        <v>798</v>
      </c>
      <c r="F460" t="s">
        <v>519</v>
      </c>
      <c r="G460" t="s">
        <v>51</v>
      </c>
      <c r="I460" t="s">
        <v>146</v>
      </c>
      <c r="J460" t="s">
        <v>147</v>
      </c>
      <c r="K460">
        <v>649163</v>
      </c>
      <c r="L460" t="s">
        <v>762</v>
      </c>
      <c r="M460" t="s">
        <v>763</v>
      </c>
      <c r="N460" t="s">
        <v>242</v>
      </c>
      <c r="O460" s="1">
        <v>45658</v>
      </c>
      <c r="P460" s="1">
        <v>46188</v>
      </c>
      <c r="R460" s="2">
        <v>0</v>
      </c>
      <c r="AB460" s="2">
        <v>0</v>
      </c>
      <c r="AC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46188</v>
      </c>
      <c r="B461" t="s">
        <v>797</v>
      </c>
      <c r="C461">
        <v>824082</v>
      </c>
      <c r="D461">
        <v>2027025171</v>
      </c>
      <c r="E461" t="s">
        <v>799</v>
      </c>
      <c r="F461" t="s">
        <v>800</v>
      </c>
      <c r="G461" t="s">
        <v>51</v>
      </c>
      <c r="I461" t="s">
        <v>182</v>
      </c>
      <c r="J461" t="s">
        <v>183</v>
      </c>
      <c r="K461">
        <v>824082</v>
      </c>
      <c r="L461" t="s">
        <v>510</v>
      </c>
      <c r="M461" t="s">
        <v>511</v>
      </c>
      <c r="N461" t="s">
        <v>242</v>
      </c>
      <c r="O461" s="1">
        <v>45697</v>
      </c>
      <c r="P461" s="1">
        <v>46188</v>
      </c>
      <c r="R461" s="2">
        <v>0</v>
      </c>
      <c r="AB461" s="2">
        <v>0</v>
      </c>
      <c r="AC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46188</v>
      </c>
      <c r="B462" t="s">
        <v>797</v>
      </c>
      <c r="C462">
        <v>824082</v>
      </c>
      <c r="D462">
        <v>2027025172</v>
      </c>
      <c r="E462" t="s">
        <v>799</v>
      </c>
      <c r="F462" t="s">
        <v>800</v>
      </c>
      <c r="G462" t="s">
        <v>51</v>
      </c>
      <c r="I462" t="s">
        <v>71</v>
      </c>
      <c r="J462" t="s">
        <v>309</v>
      </c>
      <c r="K462">
        <v>824082</v>
      </c>
      <c r="L462" t="s">
        <v>510</v>
      </c>
      <c r="M462" t="s">
        <v>511</v>
      </c>
      <c r="N462" t="s">
        <v>242</v>
      </c>
      <c r="O462" s="1">
        <v>45697</v>
      </c>
      <c r="P462" s="1">
        <v>46188</v>
      </c>
      <c r="R462" s="2">
        <v>0</v>
      </c>
      <c r="AB462" s="2">
        <v>0</v>
      </c>
      <c r="AC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46188</v>
      </c>
      <c r="B463" t="s">
        <v>797</v>
      </c>
      <c r="C463">
        <v>673059</v>
      </c>
      <c r="D463">
        <v>2027064140</v>
      </c>
      <c r="E463" t="s">
        <v>801</v>
      </c>
      <c r="F463" t="s">
        <v>86</v>
      </c>
      <c r="G463" t="s">
        <v>51</v>
      </c>
      <c r="I463" t="s">
        <v>182</v>
      </c>
      <c r="J463" t="s">
        <v>497</v>
      </c>
      <c r="K463">
        <v>673059</v>
      </c>
      <c r="L463" t="s">
        <v>85</v>
      </c>
      <c r="M463" t="s">
        <v>86</v>
      </c>
      <c r="N463" t="s">
        <v>242</v>
      </c>
      <c r="O463" s="1">
        <v>45700</v>
      </c>
      <c r="P463" s="1">
        <v>46188</v>
      </c>
      <c r="R463" s="2">
        <v>0</v>
      </c>
      <c r="AB463" s="2">
        <v>0</v>
      </c>
      <c r="AC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46188</v>
      </c>
      <c r="B464" t="s">
        <v>797</v>
      </c>
      <c r="C464">
        <v>792847</v>
      </c>
      <c r="D464">
        <v>2026561983</v>
      </c>
      <c r="E464" t="s">
        <v>802</v>
      </c>
      <c r="F464" t="s">
        <v>803</v>
      </c>
      <c r="G464" t="s">
        <v>51</v>
      </c>
      <c r="I464" t="s">
        <v>182</v>
      </c>
      <c r="J464" t="s">
        <v>183</v>
      </c>
      <c r="K464">
        <v>792847</v>
      </c>
      <c r="L464" t="s">
        <v>336</v>
      </c>
      <c r="M464" t="s">
        <v>337</v>
      </c>
      <c r="N464" t="s">
        <v>242</v>
      </c>
      <c r="O464" s="1">
        <v>45672</v>
      </c>
      <c r="P464" s="1">
        <v>46188</v>
      </c>
      <c r="R464" s="2">
        <v>0</v>
      </c>
      <c r="AB464" s="2">
        <v>0</v>
      </c>
      <c r="AC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46188</v>
      </c>
      <c r="B465" t="s">
        <v>797</v>
      </c>
      <c r="C465">
        <v>649163</v>
      </c>
      <c r="D465">
        <v>2028020256</v>
      </c>
      <c r="E465" t="s">
        <v>804</v>
      </c>
      <c r="F465" t="s">
        <v>776</v>
      </c>
      <c r="G465" t="s">
        <v>51</v>
      </c>
      <c r="I465" t="s">
        <v>146</v>
      </c>
      <c r="J465" t="s">
        <v>147</v>
      </c>
      <c r="K465">
        <v>649163</v>
      </c>
      <c r="L465" t="s">
        <v>775</v>
      </c>
      <c r="M465" t="s">
        <v>776</v>
      </c>
      <c r="N465" t="s">
        <v>242</v>
      </c>
      <c r="O465" s="1">
        <v>45748</v>
      </c>
      <c r="P465" s="1">
        <v>46188</v>
      </c>
      <c r="R465" s="2">
        <v>0</v>
      </c>
      <c r="AB465" s="2">
        <v>0</v>
      </c>
      <c r="AC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46188</v>
      </c>
      <c r="B466" t="s">
        <v>797</v>
      </c>
      <c r="C466">
        <v>822865</v>
      </c>
      <c r="D466">
        <v>2028379892</v>
      </c>
      <c r="E466" t="s">
        <v>805</v>
      </c>
      <c r="F466" t="s">
        <v>806</v>
      </c>
      <c r="G466" t="s">
        <v>51</v>
      </c>
      <c r="I466" t="s">
        <v>182</v>
      </c>
      <c r="J466" t="s">
        <v>183</v>
      </c>
      <c r="K466">
        <v>822865</v>
      </c>
      <c r="L466" t="s">
        <v>465</v>
      </c>
      <c r="M466" t="s">
        <v>466</v>
      </c>
      <c r="N466" t="s">
        <v>242</v>
      </c>
      <c r="O466" s="1">
        <v>45760</v>
      </c>
      <c r="P466" s="1">
        <v>46188</v>
      </c>
      <c r="R466" s="2">
        <v>0</v>
      </c>
      <c r="AB466" s="2">
        <v>0</v>
      </c>
      <c r="AC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46188</v>
      </c>
      <c r="B467" t="s">
        <v>797</v>
      </c>
      <c r="C467">
        <v>822723</v>
      </c>
      <c r="D467">
        <v>2028941657</v>
      </c>
      <c r="E467" t="s">
        <v>750</v>
      </c>
      <c r="F467" t="s">
        <v>807</v>
      </c>
      <c r="G467" t="s">
        <v>51</v>
      </c>
      <c r="I467" t="s">
        <v>182</v>
      </c>
      <c r="J467" t="s">
        <v>183</v>
      </c>
      <c r="K467">
        <v>822723</v>
      </c>
      <c r="L467" t="s">
        <v>486</v>
      </c>
      <c r="M467" t="s">
        <v>487</v>
      </c>
      <c r="N467" t="s">
        <v>242</v>
      </c>
      <c r="O467" s="1">
        <v>45792</v>
      </c>
      <c r="P467" s="1">
        <v>46188</v>
      </c>
      <c r="R467" s="2">
        <v>0</v>
      </c>
      <c r="AB467" s="2">
        <v>0</v>
      </c>
      <c r="AC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46188</v>
      </c>
      <c r="B468" t="s">
        <v>797</v>
      </c>
      <c r="C468">
        <v>649163</v>
      </c>
      <c r="D468">
        <v>2029034138</v>
      </c>
      <c r="E468" t="s">
        <v>469</v>
      </c>
      <c r="F468" t="s">
        <v>470</v>
      </c>
      <c r="G468" t="s">
        <v>51</v>
      </c>
      <c r="I468" t="s">
        <v>146</v>
      </c>
      <c r="J468" t="s">
        <v>147</v>
      </c>
      <c r="K468">
        <v>649163</v>
      </c>
      <c r="L468" t="s">
        <v>385</v>
      </c>
      <c r="M468" t="s">
        <v>386</v>
      </c>
      <c r="N468" t="s">
        <v>242</v>
      </c>
      <c r="O468" s="1">
        <v>45809</v>
      </c>
      <c r="P468" s="1">
        <v>46188</v>
      </c>
      <c r="R468" s="2">
        <v>0</v>
      </c>
      <c r="AB468" s="2">
        <v>488.84</v>
      </c>
      <c r="AC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488.84</v>
      </c>
      <c r="AN468" s="2">
        <v>0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46188</v>
      </c>
      <c r="B469" t="s">
        <v>797</v>
      </c>
      <c r="C469">
        <v>649163</v>
      </c>
      <c r="D469">
        <v>2029034139</v>
      </c>
      <c r="E469" t="s">
        <v>469</v>
      </c>
      <c r="F469" t="s">
        <v>470</v>
      </c>
      <c r="G469" t="s">
        <v>51</v>
      </c>
      <c r="I469" t="s">
        <v>182</v>
      </c>
      <c r="J469" t="s">
        <v>183</v>
      </c>
      <c r="K469">
        <v>649163</v>
      </c>
      <c r="L469" t="s">
        <v>385</v>
      </c>
      <c r="M469" t="s">
        <v>386</v>
      </c>
      <c r="N469" t="s">
        <v>242</v>
      </c>
      <c r="O469" s="1">
        <v>45809</v>
      </c>
      <c r="P469" s="1">
        <v>46188</v>
      </c>
      <c r="R469" s="2">
        <v>0</v>
      </c>
      <c r="AB469" s="2">
        <v>66.150000000000006</v>
      </c>
      <c r="AC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66.150000000000006</v>
      </c>
      <c r="AN469" s="2">
        <v>0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46188</v>
      </c>
      <c r="B470" t="s">
        <v>797</v>
      </c>
      <c r="C470">
        <v>824062</v>
      </c>
      <c r="D470">
        <v>2030519283</v>
      </c>
      <c r="E470" t="s">
        <v>808</v>
      </c>
      <c r="F470" t="s">
        <v>80</v>
      </c>
      <c r="G470" t="s">
        <v>51</v>
      </c>
      <c r="I470" t="s">
        <v>182</v>
      </c>
      <c r="J470" t="s">
        <v>194</v>
      </c>
      <c r="K470">
        <v>824062</v>
      </c>
      <c r="L470" t="s">
        <v>385</v>
      </c>
      <c r="M470" t="s">
        <v>386</v>
      </c>
      <c r="N470" t="s">
        <v>242</v>
      </c>
      <c r="O470" s="1">
        <v>45885</v>
      </c>
      <c r="P470" s="1">
        <v>46188</v>
      </c>
      <c r="R470" s="2">
        <v>0</v>
      </c>
      <c r="AB470" s="2">
        <v>1311.55</v>
      </c>
      <c r="AC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1311.55</v>
      </c>
      <c r="AN470" s="2">
        <v>0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46188</v>
      </c>
      <c r="B471" t="s">
        <v>797</v>
      </c>
      <c r="C471">
        <v>649163</v>
      </c>
      <c r="D471">
        <v>2031818851</v>
      </c>
      <c r="E471" t="s">
        <v>227</v>
      </c>
      <c r="F471" t="s">
        <v>767</v>
      </c>
      <c r="G471" t="s">
        <v>51</v>
      </c>
      <c r="I471" t="s">
        <v>220</v>
      </c>
      <c r="J471" t="s">
        <v>764</v>
      </c>
      <c r="K471">
        <v>649163</v>
      </c>
      <c r="L471" t="s">
        <v>229</v>
      </c>
      <c r="M471" t="s">
        <v>230</v>
      </c>
      <c r="N471" t="s">
        <v>242</v>
      </c>
      <c r="O471" s="1">
        <v>45962</v>
      </c>
      <c r="P471" s="1">
        <v>46188</v>
      </c>
      <c r="R471" s="2">
        <v>0</v>
      </c>
      <c r="AB471" s="2">
        <v>1166.1600000000001</v>
      </c>
      <c r="AC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1166.1600000000001</v>
      </c>
      <c r="AN471" s="2">
        <v>0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46188</v>
      </c>
      <c r="B472" t="s">
        <v>797</v>
      </c>
      <c r="C472">
        <v>649163</v>
      </c>
      <c r="D472">
        <v>2032669854</v>
      </c>
      <c r="E472" t="s">
        <v>330</v>
      </c>
      <c r="F472" t="s">
        <v>383</v>
      </c>
      <c r="G472" t="s">
        <v>51</v>
      </c>
      <c r="I472" t="s">
        <v>146</v>
      </c>
      <c r="J472" t="s">
        <v>147</v>
      </c>
      <c r="K472">
        <v>649163</v>
      </c>
      <c r="L472" t="s">
        <v>321</v>
      </c>
      <c r="M472" t="s">
        <v>94</v>
      </c>
      <c r="N472" t="s">
        <v>242</v>
      </c>
      <c r="O472" s="1">
        <v>46006</v>
      </c>
      <c r="P472" s="1">
        <v>46188</v>
      </c>
      <c r="R472" s="2">
        <v>0</v>
      </c>
      <c r="AB472" s="2">
        <v>123.66</v>
      </c>
      <c r="AC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123.66</v>
      </c>
      <c r="AN472" s="2">
        <v>0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46188</v>
      </c>
      <c r="B473" t="s">
        <v>797</v>
      </c>
      <c r="C473">
        <v>751867</v>
      </c>
      <c r="D473">
        <v>2032657323</v>
      </c>
      <c r="E473" t="s">
        <v>809</v>
      </c>
      <c r="F473" t="s">
        <v>810</v>
      </c>
      <c r="G473" t="s">
        <v>51</v>
      </c>
      <c r="I473" t="s">
        <v>146</v>
      </c>
      <c r="J473" t="s">
        <v>147</v>
      </c>
      <c r="K473">
        <v>751867</v>
      </c>
      <c r="L473" t="s">
        <v>55</v>
      </c>
      <c r="M473" t="s">
        <v>56</v>
      </c>
      <c r="N473" t="s">
        <v>242</v>
      </c>
      <c r="O473" s="1">
        <v>46007</v>
      </c>
      <c r="P473" s="1">
        <v>46188</v>
      </c>
      <c r="R473" s="2">
        <v>0</v>
      </c>
      <c r="AB473" s="2">
        <v>108.54</v>
      </c>
      <c r="AC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90.45</v>
      </c>
      <c r="AN473" s="2">
        <v>-18.09</v>
      </c>
      <c r="AO473" s="2">
        <v>-18.09</v>
      </c>
      <c r="AP473" s="2">
        <v>0</v>
      </c>
      <c r="AQ473" s="2">
        <v>0</v>
      </c>
    </row>
    <row r="474" spans="1:43" x14ac:dyDescent="0.25">
      <c r="A474" s="1">
        <v>46188</v>
      </c>
      <c r="B474" t="s">
        <v>797</v>
      </c>
      <c r="C474">
        <v>751867</v>
      </c>
      <c r="D474">
        <v>2032657324</v>
      </c>
      <c r="E474" t="s">
        <v>809</v>
      </c>
      <c r="F474" t="s">
        <v>810</v>
      </c>
      <c r="G474" t="s">
        <v>51</v>
      </c>
      <c r="I474" t="s">
        <v>173</v>
      </c>
      <c r="J474" t="s">
        <v>176</v>
      </c>
      <c r="K474">
        <v>751867</v>
      </c>
      <c r="L474" t="s">
        <v>55</v>
      </c>
      <c r="M474" t="s">
        <v>56</v>
      </c>
      <c r="N474" t="s">
        <v>242</v>
      </c>
      <c r="O474" s="1">
        <v>46007</v>
      </c>
      <c r="P474" s="1">
        <v>46188</v>
      </c>
      <c r="R474" s="2">
        <v>0</v>
      </c>
      <c r="AB474" s="2">
        <v>34.32</v>
      </c>
      <c r="AC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28.6</v>
      </c>
      <c r="AN474" s="2">
        <v>-5.72</v>
      </c>
      <c r="AO474" s="2">
        <v>-5.72</v>
      </c>
      <c r="AP474" s="2">
        <v>0</v>
      </c>
      <c r="AQ474" s="2">
        <v>0</v>
      </c>
    </row>
    <row r="475" spans="1:43" x14ac:dyDescent="0.25">
      <c r="A475" s="1">
        <v>46188</v>
      </c>
      <c r="B475" t="s">
        <v>797</v>
      </c>
      <c r="C475">
        <v>751867</v>
      </c>
      <c r="D475">
        <v>2032657325</v>
      </c>
      <c r="E475" t="s">
        <v>809</v>
      </c>
      <c r="F475" t="s">
        <v>810</v>
      </c>
      <c r="G475" t="s">
        <v>51</v>
      </c>
      <c r="I475" t="s">
        <v>120</v>
      </c>
      <c r="J475" t="s">
        <v>811</v>
      </c>
      <c r="K475">
        <v>751867</v>
      </c>
      <c r="L475" t="s">
        <v>55</v>
      </c>
      <c r="M475" t="s">
        <v>56</v>
      </c>
      <c r="N475" t="s">
        <v>242</v>
      </c>
      <c r="O475" s="1">
        <v>46007</v>
      </c>
      <c r="P475" s="1">
        <v>46188</v>
      </c>
      <c r="R475" s="2">
        <v>0</v>
      </c>
      <c r="AB475" s="2">
        <v>34.200000000000003</v>
      </c>
      <c r="AC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28.5</v>
      </c>
      <c r="AN475" s="2">
        <v>-5.7</v>
      </c>
      <c r="AO475" s="2">
        <v>-5.7</v>
      </c>
      <c r="AP475" s="2">
        <v>0</v>
      </c>
      <c r="AQ475" s="2">
        <v>0</v>
      </c>
    </row>
    <row r="476" spans="1:43" x14ac:dyDescent="0.25">
      <c r="A476" s="1">
        <v>46188</v>
      </c>
      <c r="B476" t="s">
        <v>797</v>
      </c>
      <c r="C476">
        <v>649163</v>
      </c>
      <c r="D476">
        <v>2032307207</v>
      </c>
      <c r="E476" t="s">
        <v>382</v>
      </c>
      <c r="F476" t="s">
        <v>383</v>
      </c>
      <c r="G476" t="s">
        <v>51</v>
      </c>
      <c r="I476" t="s">
        <v>173</v>
      </c>
      <c r="J476" t="s">
        <v>174</v>
      </c>
      <c r="K476">
        <v>649163</v>
      </c>
      <c r="L476" t="s">
        <v>73</v>
      </c>
      <c r="M476" t="s">
        <v>116</v>
      </c>
      <c r="N476" t="s">
        <v>242</v>
      </c>
      <c r="O476" s="1">
        <v>46023</v>
      </c>
      <c r="P476" s="1">
        <v>46188</v>
      </c>
      <c r="R476" s="2">
        <v>0</v>
      </c>
      <c r="AB476" s="2">
        <v>859.14</v>
      </c>
      <c r="AC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859.14</v>
      </c>
      <c r="AN476" s="2">
        <v>0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46188</v>
      </c>
      <c r="B477" t="s">
        <v>797</v>
      </c>
      <c r="C477">
        <v>649163</v>
      </c>
      <c r="D477">
        <v>2032307208</v>
      </c>
      <c r="E477" t="s">
        <v>382</v>
      </c>
      <c r="F477" t="s">
        <v>383</v>
      </c>
      <c r="G477" t="s">
        <v>51</v>
      </c>
      <c r="I477" t="s">
        <v>182</v>
      </c>
      <c r="J477" t="s">
        <v>183</v>
      </c>
      <c r="K477">
        <v>649163</v>
      </c>
      <c r="L477" t="s">
        <v>73</v>
      </c>
      <c r="M477" t="s">
        <v>116</v>
      </c>
      <c r="N477" t="s">
        <v>242</v>
      </c>
      <c r="O477" s="1">
        <v>46023</v>
      </c>
      <c r="P477" s="1">
        <v>46188</v>
      </c>
      <c r="R477" s="2">
        <v>0</v>
      </c>
      <c r="AB477" s="2">
        <v>296.94</v>
      </c>
      <c r="AC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296.94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46188</v>
      </c>
      <c r="B478" t="s">
        <v>797</v>
      </c>
      <c r="C478">
        <v>649163</v>
      </c>
      <c r="D478">
        <v>2032307209</v>
      </c>
      <c r="E478" t="s">
        <v>382</v>
      </c>
      <c r="F478" t="s">
        <v>383</v>
      </c>
      <c r="G478" t="s">
        <v>51</v>
      </c>
      <c r="I478" t="s">
        <v>71</v>
      </c>
      <c r="J478" t="s">
        <v>72</v>
      </c>
      <c r="K478">
        <v>649163</v>
      </c>
      <c r="L478" t="s">
        <v>73</v>
      </c>
      <c r="M478" t="s">
        <v>116</v>
      </c>
      <c r="N478" t="s">
        <v>242</v>
      </c>
      <c r="O478" s="1">
        <v>46023</v>
      </c>
      <c r="P478" s="1">
        <v>46188</v>
      </c>
      <c r="R478" s="2">
        <v>0</v>
      </c>
      <c r="AB478" s="2">
        <v>149.1</v>
      </c>
      <c r="AC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149.1</v>
      </c>
      <c r="AN478" s="2">
        <v>0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46188</v>
      </c>
      <c r="B479" t="s">
        <v>797</v>
      </c>
      <c r="C479">
        <v>649163</v>
      </c>
      <c r="D479">
        <v>2032307210</v>
      </c>
      <c r="E479" t="s">
        <v>382</v>
      </c>
      <c r="F479" t="s">
        <v>383</v>
      </c>
      <c r="G479" t="s">
        <v>51</v>
      </c>
      <c r="I479" t="s">
        <v>173</v>
      </c>
      <c r="J479" t="s">
        <v>177</v>
      </c>
      <c r="K479">
        <v>649163</v>
      </c>
      <c r="L479" t="s">
        <v>73</v>
      </c>
      <c r="M479" t="s">
        <v>116</v>
      </c>
      <c r="N479" t="s">
        <v>242</v>
      </c>
      <c r="O479" s="1">
        <v>46023</v>
      </c>
      <c r="P479" s="1">
        <v>46188</v>
      </c>
      <c r="R479" s="2">
        <v>0</v>
      </c>
      <c r="AB479" s="2">
        <v>16.14</v>
      </c>
      <c r="AC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16.14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46188</v>
      </c>
      <c r="B480" t="s">
        <v>797</v>
      </c>
      <c r="C480">
        <v>649163</v>
      </c>
      <c r="D480">
        <v>2032307211</v>
      </c>
      <c r="E480" t="s">
        <v>382</v>
      </c>
      <c r="F480" t="s">
        <v>383</v>
      </c>
      <c r="G480" t="s">
        <v>51</v>
      </c>
      <c r="I480" t="s">
        <v>120</v>
      </c>
      <c r="J480" t="s">
        <v>121</v>
      </c>
      <c r="K480">
        <v>649163</v>
      </c>
      <c r="L480" t="s">
        <v>73</v>
      </c>
      <c r="M480" t="s">
        <v>116</v>
      </c>
      <c r="N480" t="s">
        <v>242</v>
      </c>
      <c r="O480" s="1">
        <v>46023</v>
      </c>
      <c r="P480" s="1">
        <v>46188</v>
      </c>
      <c r="R480" s="2">
        <v>0</v>
      </c>
      <c r="AB480" s="2">
        <v>34.200000000000003</v>
      </c>
      <c r="AC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34.200000000000003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46188</v>
      </c>
      <c r="B481" t="s">
        <v>797</v>
      </c>
      <c r="C481">
        <v>888536</v>
      </c>
      <c r="D481">
        <v>2032687969</v>
      </c>
      <c r="E481" t="s">
        <v>750</v>
      </c>
      <c r="F481" t="s">
        <v>812</v>
      </c>
      <c r="G481" t="s">
        <v>51</v>
      </c>
      <c r="I481" t="s">
        <v>182</v>
      </c>
      <c r="J481" t="s">
        <v>183</v>
      </c>
      <c r="K481">
        <v>888536</v>
      </c>
      <c r="L481" t="s">
        <v>91</v>
      </c>
      <c r="M481" t="s">
        <v>795</v>
      </c>
      <c r="N481" t="s">
        <v>242</v>
      </c>
      <c r="O481" s="1">
        <v>46023</v>
      </c>
      <c r="P481" s="1">
        <v>46188</v>
      </c>
      <c r="R481" s="2">
        <v>0</v>
      </c>
      <c r="AB481" s="2">
        <v>621.17999999999995</v>
      </c>
      <c r="AC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621.17999999999995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46188</v>
      </c>
      <c r="B482" t="s">
        <v>797</v>
      </c>
      <c r="C482">
        <v>888536</v>
      </c>
      <c r="D482">
        <v>2032687970</v>
      </c>
      <c r="E482" t="s">
        <v>750</v>
      </c>
      <c r="F482" t="s">
        <v>812</v>
      </c>
      <c r="G482" t="s">
        <v>51</v>
      </c>
      <c r="I482" t="s">
        <v>146</v>
      </c>
      <c r="J482" t="s">
        <v>147</v>
      </c>
      <c r="K482">
        <v>888536</v>
      </c>
      <c r="L482" t="s">
        <v>91</v>
      </c>
      <c r="M482" t="s">
        <v>795</v>
      </c>
      <c r="N482" t="s">
        <v>242</v>
      </c>
      <c r="O482" s="1">
        <v>46023</v>
      </c>
      <c r="P482" s="1">
        <v>46188</v>
      </c>
      <c r="R482" s="2">
        <v>0</v>
      </c>
      <c r="AB482" s="2">
        <v>367.26</v>
      </c>
      <c r="AC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367.26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46188</v>
      </c>
      <c r="B483" t="s">
        <v>797</v>
      </c>
      <c r="C483">
        <v>649163</v>
      </c>
      <c r="D483">
        <v>2032729941</v>
      </c>
      <c r="E483" t="s">
        <v>773</v>
      </c>
      <c r="F483" t="s">
        <v>774</v>
      </c>
      <c r="G483" t="s">
        <v>51</v>
      </c>
      <c r="I483" t="s">
        <v>220</v>
      </c>
      <c r="J483" t="s">
        <v>223</v>
      </c>
      <c r="K483">
        <v>649163</v>
      </c>
      <c r="L483" t="s">
        <v>775</v>
      </c>
      <c r="M483" t="s">
        <v>776</v>
      </c>
      <c r="N483" t="s">
        <v>242</v>
      </c>
      <c r="O483" s="1">
        <v>46022</v>
      </c>
      <c r="P483" s="1">
        <v>46188</v>
      </c>
      <c r="R483" s="2">
        <v>0</v>
      </c>
      <c r="AB483" s="2">
        <v>353.82</v>
      </c>
      <c r="AC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353.82</v>
      </c>
      <c r="AN483" s="2">
        <v>0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46188</v>
      </c>
      <c r="B484" t="s">
        <v>797</v>
      </c>
      <c r="C484">
        <v>649163</v>
      </c>
      <c r="D484">
        <v>2032729942</v>
      </c>
      <c r="E484" t="s">
        <v>773</v>
      </c>
      <c r="F484" t="s">
        <v>774</v>
      </c>
      <c r="G484" t="s">
        <v>51</v>
      </c>
      <c r="I484" t="s">
        <v>220</v>
      </c>
      <c r="J484" t="s">
        <v>222</v>
      </c>
      <c r="K484">
        <v>649163</v>
      </c>
      <c r="L484" t="s">
        <v>775</v>
      </c>
      <c r="M484" t="s">
        <v>776</v>
      </c>
      <c r="N484" t="s">
        <v>242</v>
      </c>
      <c r="O484" s="1">
        <v>46022</v>
      </c>
      <c r="P484" s="1">
        <v>46188</v>
      </c>
      <c r="R484" s="2">
        <v>0</v>
      </c>
      <c r="AB484" s="2">
        <v>5.67</v>
      </c>
      <c r="AC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5.67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46188</v>
      </c>
      <c r="B485" t="s">
        <v>797</v>
      </c>
      <c r="C485">
        <v>649163</v>
      </c>
      <c r="D485">
        <v>2032729943</v>
      </c>
      <c r="E485" t="s">
        <v>773</v>
      </c>
      <c r="F485" t="s">
        <v>774</v>
      </c>
      <c r="G485" t="s">
        <v>51</v>
      </c>
      <c r="I485" t="s">
        <v>220</v>
      </c>
      <c r="J485" t="s">
        <v>222</v>
      </c>
      <c r="K485">
        <v>649163</v>
      </c>
      <c r="L485" t="s">
        <v>775</v>
      </c>
      <c r="M485" t="s">
        <v>776</v>
      </c>
      <c r="N485" t="s">
        <v>242</v>
      </c>
      <c r="O485" s="1">
        <v>46022</v>
      </c>
      <c r="P485" s="1">
        <v>46188</v>
      </c>
      <c r="R485" s="2">
        <v>0</v>
      </c>
      <c r="AB485" s="2">
        <v>2.85</v>
      </c>
      <c r="AC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2.85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46188</v>
      </c>
      <c r="B486" t="s">
        <v>797</v>
      </c>
      <c r="C486">
        <v>649163</v>
      </c>
      <c r="D486">
        <v>2032729944</v>
      </c>
      <c r="E486" t="s">
        <v>773</v>
      </c>
      <c r="F486" t="s">
        <v>774</v>
      </c>
      <c r="G486" t="s">
        <v>51</v>
      </c>
      <c r="I486" t="s">
        <v>120</v>
      </c>
      <c r="J486" t="s">
        <v>132</v>
      </c>
      <c r="K486">
        <v>649163</v>
      </c>
      <c r="L486" t="s">
        <v>775</v>
      </c>
      <c r="M486" t="s">
        <v>776</v>
      </c>
      <c r="N486" t="s">
        <v>242</v>
      </c>
      <c r="O486" s="1">
        <v>46022</v>
      </c>
      <c r="P486" s="1">
        <v>46188</v>
      </c>
      <c r="R486" s="2">
        <v>0</v>
      </c>
      <c r="AB486" s="2">
        <v>8.5500000000000007</v>
      </c>
      <c r="AC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8.5500000000000007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46188</v>
      </c>
      <c r="B487" t="s">
        <v>797</v>
      </c>
      <c r="C487">
        <v>649163</v>
      </c>
      <c r="D487">
        <v>2033273724</v>
      </c>
      <c r="E487" t="s">
        <v>277</v>
      </c>
      <c r="F487" t="s">
        <v>278</v>
      </c>
      <c r="G487" t="s">
        <v>51</v>
      </c>
      <c r="I487" t="s">
        <v>53</v>
      </c>
      <c r="J487" t="s">
        <v>54</v>
      </c>
      <c r="K487">
        <v>649163</v>
      </c>
      <c r="L487" t="s">
        <v>179</v>
      </c>
      <c r="M487" t="s">
        <v>180</v>
      </c>
      <c r="N487" t="s">
        <v>242</v>
      </c>
      <c r="O487" s="1">
        <v>46054</v>
      </c>
      <c r="P487" s="1">
        <v>46188</v>
      </c>
      <c r="R487" s="2">
        <v>0</v>
      </c>
      <c r="AB487" s="2">
        <v>204.06</v>
      </c>
      <c r="AC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170.05</v>
      </c>
      <c r="AN487" s="2">
        <v>-34.01</v>
      </c>
      <c r="AO487" s="2">
        <v>-34.01</v>
      </c>
      <c r="AP487" s="2">
        <v>0</v>
      </c>
      <c r="AQ487" s="2">
        <v>0</v>
      </c>
    </row>
    <row r="488" spans="1:43" x14ac:dyDescent="0.25">
      <c r="A488" s="1">
        <v>46188</v>
      </c>
      <c r="B488" t="s">
        <v>797</v>
      </c>
      <c r="C488">
        <v>649163</v>
      </c>
      <c r="D488">
        <v>2033273723</v>
      </c>
      <c r="E488" t="s">
        <v>277</v>
      </c>
      <c r="F488" t="s">
        <v>278</v>
      </c>
      <c r="G488" t="s">
        <v>51</v>
      </c>
      <c r="I488" t="s">
        <v>173</v>
      </c>
      <c r="J488" t="s">
        <v>176</v>
      </c>
      <c r="K488">
        <v>649163</v>
      </c>
      <c r="L488" t="s">
        <v>179</v>
      </c>
      <c r="M488" t="s">
        <v>180</v>
      </c>
      <c r="N488" t="s">
        <v>242</v>
      </c>
      <c r="O488" s="1">
        <v>46054</v>
      </c>
      <c r="P488" s="1">
        <v>46188</v>
      </c>
      <c r="R488" s="2">
        <v>0</v>
      </c>
      <c r="AB488" s="2">
        <v>69</v>
      </c>
      <c r="AC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57.5</v>
      </c>
      <c r="AN488" s="2">
        <v>-11.5</v>
      </c>
      <c r="AO488" s="2">
        <v>-11.5</v>
      </c>
      <c r="AP488" s="2">
        <v>0</v>
      </c>
      <c r="AQ488" s="2">
        <v>0</v>
      </c>
    </row>
    <row r="489" spans="1:43" x14ac:dyDescent="0.25">
      <c r="A489" s="1">
        <v>46188</v>
      </c>
      <c r="B489" t="s">
        <v>797</v>
      </c>
      <c r="C489">
        <v>767312</v>
      </c>
      <c r="D489">
        <v>2033592051</v>
      </c>
      <c r="E489" t="s">
        <v>813</v>
      </c>
      <c r="F489" t="s">
        <v>814</v>
      </c>
      <c r="G489" t="s">
        <v>51</v>
      </c>
      <c r="I489" t="s">
        <v>182</v>
      </c>
      <c r="J489" t="s">
        <v>183</v>
      </c>
      <c r="K489">
        <v>767312</v>
      </c>
      <c r="L489" t="s">
        <v>171</v>
      </c>
      <c r="M489" t="s">
        <v>172</v>
      </c>
      <c r="N489" t="s">
        <v>242</v>
      </c>
      <c r="O489" s="1">
        <v>46068</v>
      </c>
      <c r="P489" s="1">
        <v>46188</v>
      </c>
      <c r="R489" s="2">
        <v>0</v>
      </c>
      <c r="AB489" s="2">
        <v>237.48</v>
      </c>
      <c r="AC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118.74</v>
      </c>
      <c r="AN489" s="2">
        <v>-118.74</v>
      </c>
      <c r="AO489" s="2">
        <v>-118.74</v>
      </c>
      <c r="AP489" s="2">
        <v>0</v>
      </c>
      <c r="AQ489" s="2">
        <v>0</v>
      </c>
    </row>
    <row r="490" spans="1:43" x14ac:dyDescent="0.25">
      <c r="A490" s="1">
        <v>46188</v>
      </c>
      <c r="B490" t="s">
        <v>797</v>
      </c>
      <c r="C490">
        <v>649163</v>
      </c>
      <c r="D490">
        <v>2034483030</v>
      </c>
      <c r="E490" t="s">
        <v>688</v>
      </c>
      <c r="F490" t="s">
        <v>689</v>
      </c>
      <c r="G490" t="s">
        <v>51</v>
      </c>
      <c r="I490" t="s">
        <v>182</v>
      </c>
      <c r="J490" t="s">
        <v>197</v>
      </c>
      <c r="K490">
        <v>649163</v>
      </c>
      <c r="L490" t="s">
        <v>321</v>
      </c>
      <c r="M490" t="s">
        <v>94</v>
      </c>
      <c r="N490" t="s">
        <v>242</v>
      </c>
      <c r="O490" s="1">
        <v>46102</v>
      </c>
      <c r="P490" s="1">
        <v>46188</v>
      </c>
      <c r="R490" s="2">
        <v>0</v>
      </c>
      <c r="AB490" s="2">
        <v>218.4</v>
      </c>
      <c r="AC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109.2</v>
      </c>
      <c r="AN490" s="2">
        <v>-109.2</v>
      </c>
      <c r="AO490" s="2">
        <v>-109.2</v>
      </c>
      <c r="AP490" s="2">
        <v>0</v>
      </c>
      <c r="AQ490" s="2">
        <v>0</v>
      </c>
    </row>
    <row r="491" spans="1:43" x14ac:dyDescent="0.25">
      <c r="A491" s="1">
        <v>46188</v>
      </c>
      <c r="B491" t="s">
        <v>797</v>
      </c>
      <c r="C491">
        <v>649163</v>
      </c>
      <c r="D491">
        <v>2034703500</v>
      </c>
      <c r="E491" t="s">
        <v>695</v>
      </c>
      <c r="F491" t="s">
        <v>630</v>
      </c>
      <c r="G491" t="s">
        <v>51</v>
      </c>
      <c r="I491" t="s">
        <v>182</v>
      </c>
      <c r="J491" t="s">
        <v>183</v>
      </c>
      <c r="K491">
        <v>649163</v>
      </c>
      <c r="L491" t="s">
        <v>112</v>
      </c>
      <c r="M491" t="s">
        <v>113</v>
      </c>
      <c r="N491" t="s">
        <v>242</v>
      </c>
      <c r="O491" s="1">
        <v>46118</v>
      </c>
      <c r="P491" s="1">
        <v>46188</v>
      </c>
      <c r="R491" s="2">
        <v>0</v>
      </c>
      <c r="AB491" s="2">
        <v>64.2</v>
      </c>
      <c r="AC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32.1</v>
      </c>
      <c r="AN491" s="2">
        <v>-32.1</v>
      </c>
      <c r="AO491" s="2">
        <v>-32.1</v>
      </c>
      <c r="AP491" s="2">
        <v>0</v>
      </c>
      <c r="AQ491" s="2">
        <v>0</v>
      </c>
    </row>
    <row r="492" spans="1:43" x14ac:dyDescent="0.25">
      <c r="A492" s="1">
        <v>46188</v>
      </c>
      <c r="B492" t="s">
        <v>797</v>
      </c>
      <c r="C492">
        <v>649163</v>
      </c>
      <c r="D492">
        <v>2035383814</v>
      </c>
      <c r="E492" t="s">
        <v>538</v>
      </c>
      <c r="F492" t="s">
        <v>782</v>
      </c>
      <c r="G492" t="s">
        <v>51</v>
      </c>
      <c r="I492" t="s">
        <v>220</v>
      </c>
      <c r="J492" t="s">
        <v>778</v>
      </c>
      <c r="K492">
        <v>649163</v>
      </c>
      <c r="L492" t="s">
        <v>419</v>
      </c>
      <c r="M492" t="s">
        <v>420</v>
      </c>
      <c r="N492" t="s">
        <v>242</v>
      </c>
      <c r="O492" s="1">
        <v>46151</v>
      </c>
      <c r="P492" s="1">
        <v>46188</v>
      </c>
      <c r="R492" s="2">
        <v>0</v>
      </c>
      <c r="AB492" s="2">
        <v>8.67</v>
      </c>
      <c r="AC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5.78</v>
      </c>
      <c r="AN492" s="2">
        <v>-2.89</v>
      </c>
      <c r="AO492" s="2">
        <v>-2.89</v>
      </c>
      <c r="AP492" s="2">
        <v>0</v>
      </c>
      <c r="AQ492" s="2">
        <v>0</v>
      </c>
    </row>
    <row r="493" spans="1:43" x14ac:dyDescent="0.25">
      <c r="A493" s="1">
        <v>46188</v>
      </c>
      <c r="B493" t="s">
        <v>797</v>
      </c>
      <c r="C493">
        <v>649163</v>
      </c>
      <c r="D493">
        <v>2035383815</v>
      </c>
      <c r="E493" t="s">
        <v>538</v>
      </c>
      <c r="F493" t="s">
        <v>782</v>
      </c>
      <c r="G493" t="s">
        <v>51</v>
      </c>
      <c r="I493" t="s">
        <v>220</v>
      </c>
      <c r="J493" t="s">
        <v>221</v>
      </c>
      <c r="K493">
        <v>649163</v>
      </c>
      <c r="L493" t="s">
        <v>419</v>
      </c>
      <c r="M493" t="s">
        <v>420</v>
      </c>
      <c r="N493" t="s">
        <v>242</v>
      </c>
      <c r="O493" s="1">
        <v>46151</v>
      </c>
      <c r="P493" s="1">
        <v>46188</v>
      </c>
      <c r="R493" s="2">
        <v>0</v>
      </c>
      <c r="AB493" s="2">
        <v>100.68</v>
      </c>
      <c r="AC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67.12</v>
      </c>
      <c r="AN493" s="2">
        <v>-33.56</v>
      </c>
      <c r="AO493" s="2">
        <v>-33.56</v>
      </c>
      <c r="AP493" s="2">
        <v>0</v>
      </c>
      <c r="AQ493" s="2">
        <v>0</v>
      </c>
    </row>
    <row r="494" spans="1:43" x14ac:dyDescent="0.25">
      <c r="A494" s="1">
        <v>46188</v>
      </c>
      <c r="B494" t="s">
        <v>797</v>
      </c>
      <c r="C494">
        <v>649163</v>
      </c>
      <c r="D494">
        <v>2035383816</v>
      </c>
      <c r="E494" t="s">
        <v>538</v>
      </c>
      <c r="F494" t="s">
        <v>782</v>
      </c>
      <c r="G494" t="s">
        <v>51</v>
      </c>
      <c r="I494" t="s">
        <v>120</v>
      </c>
      <c r="J494" t="s">
        <v>125</v>
      </c>
      <c r="K494">
        <v>649163</v>
      </c>
      <c r="L494" t="s">
        <v>419</v>
      </c>
      <c r="M494" t="s">
        <v>420</v>
      </c>
      <c r="N494" t="s">
        <v>242</v>
      </c>
      <c r="O494" s="1">
        <v>46151</v>
      </c>
      <c r="P494" s="1">
        <v>46188</v>
      </c>
      <c r="R494" s="2">
        <v>0</v>
      </c>
      <c r="AB494" s="2">
        <v>13.05</v>
      </c>
      <c r="AC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8.6999999999999993</v>
      </c>
      <c r="AN494" s="2">
        <v>-4.3499999999999996</v>
      </c>
      <c r="AO494" s="2">
        <v>-4.3499999999999996</v>
      </c>
      <c r="AP494" s="2">
        <v>0</v>
      </c>
      <c r="AQ494" s="2">
        <v>0</v>
      </c>
    </row>
    <row r="495" spans="1:43" x14ac:dyDescent="0.25">
      <c r="A495" s="1">
        <v>46188</v>
      </c>
      <c r="B495" t="s">
        <v>797</v>
      </c>
      <c r="C495">
        <v>649163</v>
      </c>
      <c r="D495">
        <v>2035501770</v>
      </c>
      <c r="E495" t="s">
        <v>752</v>
      </c>
      <c r="F495" t="s">
        <v>307</v>
      </c>
      <c r="G495" t="s">
        <v>51</v>
      </c>
      <c r="I495" t="s">
        <v>146</v>
      </c>
      <c r="J495" t="s">
        <v>147</v>
      </c>
      <c r="K495">
        <v>649163</v>
      </c>
      <c r="L495" t="s">
        <v>728</v>
      </c>
      <c r="M495" t="s">
        <v>729</v>
      </c>
      <c r="N495" t="s">
        <v>242</v>
      </c>
      <c r="O495" s="1">
        <v>46174</v>
      </c>
      <c r="P495" s="1">
        <v>46188</v>
      </c>
      <c r="R495" s="2">
        <v>0</v>
      </c>
      <c r="AB495" s="2">
        <v>166.38</v>
      </c>
      <c r="AC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27.73</v>
      </c>
      <c r="AN495" s="2">
        <v>-138.65</v>
      </c>
      <c r="AO495" s="2">
        <v>-138.65</v>
      </c>
      <c r="AP495" s="2">
        <v>0</v>
      </c>
      <c r="AQ495" s="2">
        <v>0</v>
      </c>
    </row>
    <row r="496" spans="1:43" x14ac:dyDescent="0.25">
      <c r="A496" s="1">
        <v>46188</v>
      </c>
      <c r="B496" t="s">
        <v>797</v>
      </c>
      <c r="C496">
        <v>649163</v>
      </c>
      <c r="D496">
        <v>2035501771</v>
      </c>
      <c r="E496" t="s">
        <v>752</v>
      </c>
      <c r="F496" t="s">
        <v>307</v>
      </c>
      <c r="G496" t="s">
        <v>51</v>
      </c>
      <c r="I496" t="s">
        <v>182</v>
      </c>
      <c r="J496" t="s">
        <v>183</v>
      </c>
      <c r="K496">
        <v>649163</v>
      </c>
      <c r="L496" t="s">
        <v>728</v>
      </c>
      <c r="M496" t="s">
        <v>729</v>
      </c>
      <c r="N496" t="s">
        <v>242</v>
      </c>
      <c r="O496" s="1">
        <v>46174</v>
      </c>
      <c r="P496" s="1">
        <v>46188</v>
      </c>
      <c r="R496" s="2">
        <v>0</v>
      </c>
      <c r="AB496" s="2">
        <v>64.2</v>
      </c>
      <c r="AC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10.7</v>
      </c>
      <c r="AN496" s="2">
        <v>-53.5</v>
      </c>
      <c r="AO496" s="2">
        <v>-53.5</v>
      </c>
      <c r="AP496" s="2">
        <v>0</v>
      </c>
      <c r="AQ496" s="2">
        <v>0</v>
      </c>
    </row>
    <row r="497" spans="1:43" x14ac:dyDescent="0.25">
      <c r="A497" s="1">
        <v>46188</v>
      </c>
      <c r="B497" t="s">
        <v>797</v>
      </c>
      <c r="C497">
        <v>649163</v>
      </c>
      <c r="D497">
        <v>2035770729</v>
      </c>
      <c r="E497" t="s">
        <v>756</v>
      </c>
      <c r="F497" t="s">
        <v>757</v>
      </c>
      <c r="G497" t="s">
        <v>51</v>
      </c>
      <c r="I497" t="s">
        <v>182</v>
      </c>
      <c r="J497" t="s">
        <v>194</v>
      </c>
      <c r="K497">
        <v>649163</v>
      </c>
      <c r="L497" t="s">
        <v>179</v>
      </c>
      <c r="M497" t="s">
        <v>180</v>
      </c>
      <c r="N497" t="s">
        <v>242</v>
      </c>
      <c r="O497" s="1">
        <v>46175</v>
      </c>
      <c r="P497" s="1">
        <v>46188</v>
      </c>
      <c r="R497" s="2">
        <v>0</v>
      </c>
      <c r="AB497" s="2">
        <v>236.58</v>
      </c>
      <c r="AC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39.43</v>
      </c>
      <c r="AN497" s="2">
        <v>-197.15</v>
      </c>
      <c r="AO497" s="2">
        <v>-197.15</v>
      </c>
      <c r="AP497" s="2">
        <v>0</v>
      </c>
      <c r="AQ497" s="2">
        <v>0</v>
      </c>
    </row>
    <row r="498" spans="1:43" x14ac:dyDescent="0.25">
      <c r="A498" s="1">
        <v>46188</v>
      </c>
      <c r="B498" t="s">
        <v>797</v>
      </c>
      <c r="C498">
        <v>649163</v>
      </c>
      <c r="D498">
        <v>2035786172</v>
      </c>
      <c r="E498" t="s">
        <v>815</v>
      </c>
      <c r="F498" t="s">
        <v>816</v>
      </c>
      <c r="G498" t="s">
        <v>51</v>
      </c>
      <c r="I498" t="s">
        <v>146</v>
      </c>
      <c r="J498" t="s">
        <v>147</v>
      </c>
      <c r="K498">
        <v>649163</v>
      </c>
      <c r="L498" t="s">
        <v>105</v>
      </c>
      <c r="M498" t="s">
        <v>106</v>
      </c>
      <c r="N498" t="s">
        <v>242</v>
      </c>
      <c r="O498" s="1">
        <v>46175</v>
      </c>
      <c r="P498" s="1">
        <v>46188</v>
      </c>
      <c r="R498" s="2">
        <v>0</v>
      </c>
      <c r="AB498" s="2">
        <v>40.14</v>
      </c>
      <c r="AC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6.69</v>
      </c>
      <c r="AN498" s="2">
        <v>-33.450000000000003</v>
      </c>
      <c r="AO498" s="2">
        <v>-33.450000000000003</v>
      </c>
      <c r="AP498" s="2">
        <v>0</v>
      </c>
      <c r="AQ498" s="2">
        <v>0</v>
      </c>
    </row>
    <row r="499" spans="1:43" x14ac:dyDescent="0.25">
      <c r="A499" s="1">
        <v>46188</v>
      </c>
      <c r="B499" t="s">
        <v>48</v>
      </c>
      <c r="C499">
        <v>649163</v>
      </c>
      <c r="D499">
        <v>2031017071</v>
      </c>
      <c r="E499" t="s">
        <v>365</v>
      </c>
      <c r="F499" t="s">
        <v>227</v>
      </c>
      <c r="G499" t="s">
        <v>51</v>
      </c>
      <c r="H499" t="s">
        <v>209</v>
      </c>
      <c r="I499" t="s">
        <v>120</v>
      </c>
      <c r="J499" t="s">
        <v>817</v>
      </c>
      <c r="K499">
        <v>877790</v>
      </c>
      <c r="L499" t="s">
        <v>229</v>
      </c>
      <c r="M499" t="s">
        <v>230</v>
      </c>
      <c r="N499" t="s">
        <v>57</v>
      </c>
      <c r="O499" s="1">
        <v>45913</v>
      </c>
      <c r="Q499" s="1">
        <v>46216</v>
      </c>
      <c r="R499" s="2">
        <v>15</v>
      </c>
      <c r="S499">
        <v>1</v>
      </c>
      <c r="T499" t="s">
        <v>58</v>
      </c>
      <c r="U499" t="s">
        <v>225</v>
      </c>
      <c r="V499" s="3">
        <v>0.19</v>
      </c>
      <c r="W499" s="2">
        <v>0</v>
      </c>
      <c r="X499">
        <v>0</v>
      </c>
      <c r="Y499" t="s">
        <v>60</v>
      </c>
      <c r="Z499" t="s">
        <v>239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2.85</v>
      </c>
      <c r="AN499" s="2">
        <v>2.85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46188</v>
      </c>
      <c r="B500" t="s">
        <v>48</v>
      </c>
      <c r="C500">
        <v>649163</v>
      </c>
      <c r="D500">
        <v>2033174369</v>
      </c>
      <c r="E500" t="s">
        <v>818</v>
      </c>
      <c r="F500" t="s">
        <v>250</v>
      </c>
      <c r="G500" t="s">
        <v>51</v>
      </c>
      <c r="H500" t="s">
        <v>681</v>
      </c>
      <c r="I500" t="s">
        <v>71</v>
      </c>
      <c r="J500" t="s">
        <v>72</v>
      </c>
      <c r="K500">
        <v>816021</v>
      </c>
      <c r="L500" t="s">
        <v>312</v>
      </c>
      <c r="M500" t="s">
        <v>313</v>
      </c>
      <c r="N500" t="s">
        <v>57</v>
      </c>
      <c r="O500" s="1">
        <v>46038</v>
      </c>
      <c r="Q500" s="1">
        <v>46219</v>
      </c>
      <c r="R500" s="2">
        <v>115.18</v>
      </c>
      <c r="S500">
        <v>1</v>
      </c>
      <c r="T500" t="s">
        <v>58</v>
      </c>
      <c r="U500" t="s">
        <v>59</v>
      </c>
      <c r="V500" s="3">
        <v>0.75</v>
      </c>
      <c r="W500" s="2">
        <v>0</v>
      </c>
      <c r="X500">
        <v>0</v>
      </c>
      <c r="Y500" t="s">
        <v>60</v>
      </c>
      <c r="Z500" t="s">
        <v>239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86.38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46188</v>
      </c>
      <c r="B501" t="s">
        <v>48</v>
      </c>
      <c r="C501">
        <v>649163</v>
      </c>
      <c r="D501">
        <v>2033176986</v>
      </c>
      <c r="E501" t="s">
        <v>819</v>
      </c>
      <c r="F501" t="s">
        <v>820</v>
      </c>
      <c r="G501" t="s">
        <v>51</v>
      </c>
      <c r="H501" t="s">
        <v>305</v>
      </c>
      <c r="I501" t="s">
        <v>71</v>
      </c>
      <c r="J501" t="s">
        <v>309</v>
      </c>
      <c r="K501">
        <v>816021</v>
      </c>
      <c r="L501" t="s">
        <v>312</v>
      </c>
      <c r="M501" t="s">
        <v>313</v>
      </c>
      <c r="N501" t="s">
        <v>57</v>
      </c>
      <c r="O501" s="1">
        <v>46038</v>
      </c>
      <c r="Q501" s="1">
        <v>46219</v>
      </c>
      <c r="R501" s="2">
        <v>33.33</v>
      </c>
      <c r="S501">
        <v>1</v>
      </c>
      <c r="T501" t="s">
        <v>58</v>
      </c>
      <c r="U501" t="s">
        <v>59</v>
      </c>
      <c r="V501" s="3">
        <v>0.65</v>
      </c>
      <c r="W501" s="2">
        <v>0</v>
      </c>
      <c r="X501">
        <v>0</v>
      </c>
      <c r="Y501" t="s">
        <v>60</v>
      </c>
      <c r="Z501" t="s">
        <v>239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21.66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46188</v>
      </c>
      <c r="B502" t="s">
        <v>48</v>
      </c>
      <c r="C502">
        <v>649163</v>
      </c>
      <c r="D502">
        <v>2033177181</v>
      </c>
      <c r="E502" t="s">
        <v>637</v>
      </c>
      <c r="F502" t="s">
        <v>638</v>
      </c>
      <c r="G502" t="s">
        <v>51</v>
      </c>
      <c r="H502" t="s">
        <v>119</v>
      </c>
      <c r="I502" t="s">
        <v>71</v>
      </c>
      <c r="J502" t="s">
        <v>72</v>
      </c>
      <c r="K502">
        <v>823350</v>
      </c>
      <c r="L502" t="s">
        <v>73</v>
      </c>
      <c r="M502" t="s">
        <v>116</v>
      </c>
      <c r="N502" t="s">
        <v>57</v>
      </c>
      <c r="O502" s="1">
        <v>46040</v>
      </c>
      <c r="Q502" s="1">
        <v>46221</v>
      </c>
      <c r="R502" s="2">
        <v>18.34</v>
      </c>
      <c r="S502">
        <v>1</v>
      </c>
      <c r="T502" t="s">
        <v>58</v>
      </c>
      <c r="U502" t="s">
        <v>59</v>
      </c>
      <c r="V502" s="3">
        <v>0.75</v>
      </c>
      <c r="W502" s="2">
        <v>0</v>
      </c>
      <c r="X502">
        <v>0</v>
      </c>
      <c r="Y502" t="s">
        <v>60</v>
      </c>
      <c r="Z502" t="s">
        <v>239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13.76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46188</v>
      </c>
      <c r="B503" t="s">
        <v>48</v>
      </c>
      <c r="C503">
        <v>649163</v>
      </c>
      <c r="D503">
        <v>2033177918</v>
      </c>
      <c r="E503" t="s">
        <v>639</v>
      </c>
      <c r="F503" t="s">
        <v>640</v>
      </c>
      <c r="G503" t="s">
        <v>51</v>
      </c>
      <c r="H503" t="s">
        <v>119</v>
      </c>
      <c r="I503" t="s">
        <v>71</v>
      </c>
      <c r="J503" t="s">
        <v>84</v>
      </c>
      <c r="K503">
        <v>768887</v>
      </c>
      <c r="L503" t="s">
        <v>321</v>
      </c>
      <c r="M503" t="s">
        <v>94</v>
      </c>
      <c r="N503" t="s">
        <v>57</v>
      </c>
      <c r="O503" s="1">
        <v>46038</v>
      </c>
      <c r="Q503" s="1">
        <v>46219</v>
      </c>
      <c r="R503" s="2">
        <v>25.75</v>
      </c>
      <c r="S503">
        <v>1</v>
      </c>
      <c r="T503" t="s">
        <v>58</v>
      </c>
      <c r="U503" t="s">
        <v>59</v>
      </c>
      <c r="V503" s="3">
        <v>0.75</v>
      </c>
      <c r="W503" s="2">
        <v>0</v>
      </c>
      <c r="X503">
        <v>0</v>
      </c>
      <c r="Y503" t="s">
        <v>60</v>
      </c>
      <c r="Z503" t="s">
        <v>239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19.309999999999999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46188</v>
      </c>
      <c r="B504" t="s">
        <v>48</v>
      </c>
      <c r="C504">
        <v>649163</v>
      </c>
      <c r="D504">
        <v>2033578547</v>
      </c>
      <c r="E504" t="s">
        <v>821</v>
      </c>
      <c r="F504" t="s">
        <v>822</v>
      </c>
      <c r="G504" t="s">
        <v>51</v>
      </c>
      <c r="H504" t="s">
        <v>193</v>
      </c>
      <c r="I504" t="s">
        <v>71</v>
      </c>
      <c r="J504" t="s">
        <v>78</v>
      </c>
      <c r="K504">
        <v>861933</v>
      </c>
      <c r="L504" t="s">
        <v>544</v>
      </c>
      <c r="M504" t="s">
        <v>545</v>
      </c>
      <c r="N504" t="s">
        <v>57</v>
      </c>
      <c r="O504" s="1">
        <v>46066</v>
      </c>
      <c r="Q504" s="1">
        <v>46216</v>
      </c>
      <c r="R504" s="2">
        <v>138</v>
      </c>
      <c r="S504">
        <v>1</v>
      </c>
      <c r="T504" t="s">
        <v>58</v>
      </c>
      <c r="U504" t="s">
        <v>59</v>
      </c>
      <c r="V504" s="3">
        <v>0.9</v>
      </c>
      <c r="W504" s="2">
        <v>0</v>
      </c>
      <c r="X504">
        <v>0</v>
      </c>
      <c r="Y504" t="s">
        <v>60</v>
      </c>
      <c r="Z504" t="s">
        <v>239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124.2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46188</v>
      </c>
      <c r="B505" t="s">
        <v>48</v>
      </c>
      <c r="C505">
        <v>649163</v>
      </c>
      <c r="D505">
        <v>2033621992</v>
      </c>
      <c r="E505" t="s">
        <v>187</v>
      </c>
      <c r="F505" t="s">
        <v>650</v>
      </c>
      <c r="G505" t="s">
        <v>51</v>
      </c>
      <c r="H505" t="s">
        <v>209</v>
      </c>
      <c r="I505" t="s">
        <v>71</v>
      </c>
      <c r="J505" t="s">
        <v>78</v>
      </c>
      <c r="K505">
        <v>942810</v>
      </c>
      <c r="L505" t="s">
        <v>651</v>
      </c>
      <c r="M505" t="s">
        <v>652</v>
      </c>
      <c r="N505" t="s">
        <v>57</v>
      </c>
      <c r="O505" s="1">
        <v>46066</v>
      </c>
      <c r="Q505" s="1">
        <v>46216</v>
      </c>
      <c r="R505" s="2">
        <v>16.600000000000001</v>
      </c>
      <c r="S505">
        <v>1</v>
      </c>
      <c r="T505" t="s">
        <v>58</v>
      </c>
      <c r="U505" t="s">
        <v>59</v>
      </c>
      <c r="V505" s="3">
        <v>0.9</v>
      </c>
      <c r="W505" s="2">
        <v>0</v>
      </c>
      <c r="X505">
        <v>0</v>
      </c>
      <c r="Y505" t="s">
        <v>60</v>
      </c>
      <c r="Z505" t="s">
        <v>239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14.94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46188</v>
      </c>
      <c r="B506" t="s">
        <v>48</v>
      </c>
      <c r="C506">
        <v>649163</v>
      </c>
      <c r="D506">
        <v>2033671194</v>
      </c>
      <c r="E506" t="s">
        <v>823</v>
      </c>
      <c r="F506" t="s">
        <v>262</v>
      </c>
      <c r="G506" t="s">
        <v>51</v>
      </c>
      <c r="H506" t="s">
        <v>212</v>
      </c>
      <c r="I506" t="s">
        <v>71</v>
      </c>
      <c r="J506" t="s">
        <v>84</v>
      </c>
      <c r="K506">
        <v>856824</v>
      </c>
      <c r="L506" t="s">
        <v>205</v>
      </c>
      <c r="M506" t="s">
        <v>206</v>
      </c>
      <c r="N506" t="s">
        <v>57</v>
      </c>
      <c r="O506" s="1">
        <v>46068</v>
      </c>
      <c r="Q506" s="1">
        <v>46218</v>
      </c>
      <c r="R506" s="2">
        <v>23.05</v>
      </c>
      <c r="S506">
        <v>1</v>
      </c>
      <c r="T506" t="s">
        <v>58</v>
      </c>
      <c r="U506" t="s">
        <v>59</v>
      </c>
      <c r="V506" s="3">
        <v>0.75</v>
      </c>
      <c r="W506" s="2">
        <v>0</v>
      </c>
      <c r="X506">
        <v>0</v>
      </c>
      <c r="Y506" t="s">
        <v>60</v>
      </c>
      <c r="Z506" t="s">
        <v>239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17.29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46188</v>
      </c>
      <c r="B507" t="s">
        <v>48</v>
      </c>
      <c r="C507">
        <v>649163</v>
      </c>
      <c r="D507">
        <v>2033684746</v>
      </c>
      <c r="E507" t="s">
        <v>657</v>
      </c>
      <c r="F507" t="s">
        <v>446</v>
      </c>
      <c r="G507" t="s">
        <v>51</v>
      </c>
      <c r="H507" t="s">
        <v>305</v>
      </c>
      <c r="I507" t="s">
        <v>71</v>
      </c>
      <c r="J507" t="s">
        <v>78</v>
      </c>
      <c r="K507">
        <v>816021</v>
      </c>
      <c r="L507" t="s">
        <v>312</v>
      </c>
      <c r="M507" t="s">
        <v>313</v>
      </c>
      <c r="N507" t="s">
        <v>57</v>
      </c>
      <c r="O507" s="1">
        <v>46070</v>
      </c>
      <c r="Q507" s="1">
        <v>46220</v>
      </c>
      <c r="R507" s="2">
        <v>32.630000000000003</v>
      </c>
      <c r="S507">
        <v>1</v>
      </c>
      <c r="T507" t="s">
        <v>58</v>
      </c>
      <c r="U507" t="s">
        <v>59</v>
      </c>
      <c r="V507" s="3">
        <v>0.9</v>
      </c>
      <c r="W507" s="2">
        <v>0</v>
      </c>
      <c r="X507">
        <v>0</v>
      </c>
      <c r="Y507" t="s">
        <v>60</v>
      </c>
      <c r="Z507" t="s">
        <v>239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29.37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46188</v>
      </c>
      <c r="B508" t="s">
        <v>48</v>
      </c>
      <c r="C508">
        <v>649163</v>
      </c>
      <c r="D508">
        <v>2033719311</v>
      </c>
      <c r="E508" t="s">
        <v>658</v>
      </c>
      <c r="F508" t="s">
        <v>659</v>
      </c>
      <c r="G508" t="s">
        <v>51</v>
      </c>
      <c r="H508" t="s">
        <v>193</v>
      </c>
      <c r="I508" t="s">
        <v>71</v>
      </c>
      <c r="J508" t="s">
        <v>78</v>
      </c>
      <c r="K508">
        <v>902625</v>
      </c>
      <c r="L508" t="s">
        <v>137</v>
      </c>
      <c r="M508" t="s">
        <v>138</v>
      </c>
      <c r="N508" t="s">
        <v>57</v>
      </c>
      <c r="O508" s="1">
        <v>46072</v>
      </c>
      <c r="Q508" s="1">
        <v>46222</v>
      </c>
      <c r="R508" s="2">
        <v>58.58</v>
      </c>
      <c r="S508">
        <v>1</v>
      </c>
      <c r="T508" t="s">
        <v>58</v>
      </c>
      <c r="U508" t="s">
        <v>59</v>
      </c>
      <c r="V508" s="3">
        <v>0.9</v>
      </c>
      <c r="W508" s="2">
        <v>0</v>
      </c>
      <c r="X508">
        <v>0</v>
      </c>
      <c r="Y508" t="s">
        <v>60</v>
      </c>
      <c r="Z508" t="s">
        <v>239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52.72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46188</v>
      </c>
      <c r="B509" t="s">
        <v>48</v>
      </c>
      <c r="C509">
        <v>649163</v>
      </c>
      <c r="D509">
        <v>2034097891</v>
      </c>
      <c r="E509" t="s">
        <v>281</v>
      </c>
      <c r="F509" t="s">
        <v>76</v>
      </c>
      <c r="G509" t="s">
        <v>51</v>
      </c>
      <c r="H509" t="s">
        <v>145</v>
      </c>
      <c r="I509" t="s">
        <v>71</v>
      </c>
      <c r="J509" t="s">
        <v>78</v>
      </c>
      <c r="K509">
        <v>673059</v>
      </c>
      <c r="L509" t="s">
        <v>85</v>
      </c>
      <c r="M509" t="s">
        <v>86</v>
      </c>
      <c r="N509" t="s">
        <v>57</v>
      </c>
      <c r="O509" s="1">
        <v>46127</v>
      </c>
      <c r="Q509" s="1">
        <v>46218</v>
      </c>
      <c r="R509" s="2">
        <v>68.53</v>
      </c>
      <c r="S509">
        <v>1</v>
      </c>
      <c r="T509" t="s">
        <v>58</v>
      </c>
      <c r="U509" t="s">
        <v>59</v>
      </c>
      <c r="V509" s="3">
        <v>0.9</v>
      </c>
      <c r="W509" s="2">
        <v>0</v>
      </c>
      <c r="X509">
        <v>0</v>
      </c>
      <c r="Y509" t="s">
        <v>60</v>
      </c>
      <c r="Z509" t="s">
        <v>239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61.68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46188</v>
      </c>
      <c r="B510" t="s">
        <v>48</v>
      </c>
      <c r="C510">
        <v>649163</v>
      </c>
      <c r="D510">
        <v>2034113723</v>
      </c>
      <c r="E510" t="s">
        <v>664</v>
      </c>
      <c r="F510" t="s">
        <v>349</v>
      </c>
      <c r="G510" t="s">
        <v>51</v>
      </c>
      <c r="H510" t="s">
        <v>119</v>
      </c>
      <c r="I510" t="s">
        <v>71</v>
      </c>
      <c r="J510" t="s">
        <v>78</v>
      </c>
      <c r="K510">
        <v>824062</v>
      </c>
      <c r="L510" t="s">
        <v>385</v>
      </c>
      <c r="M510" t="s">
        <v>386</v>
      </c>
      <c r="N510" t="s">
        <v>57</v>
      </c>
      <c r="O510" s="1">
        <v>46130</v>
      </c>
      <c r="Q510" s="1">
        <v>46221</v>
      </c>
      <c r="R510" s="2">
        <v>538.51</v>
      </c>
      <c r="S510">
        <v>1</v>
      </c>
      <c r="T510" t="s">
        <v>58</v>
      </c>
      <c r="U510" t="s">
        <v>59</v>
      </c>
      <c r="V510" s="3">
        <v>0.9</v>
      </c>
      <c r="W510" s="2">
        <v>0</v>
      </c>
      <c r="X510">
        <v>0</v>
      </c>
      <c r="Y510" t="s">
        <v>60</v>
      </c>
      <c r="Z510" t="s">
        <v>239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484.66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46188</v>
      </c>
      <c r="B511" t="s">
        <v>48</v>
      </c>
      <c r="C511">
        <v>649163</v>
      </c>
      <c r="D511">
        <v>2034115985</v>
      </c>
      <c r="E511" t="s">
        <v>824</v>
      </c>
      <c r="F511" t="s">
        <v>489</v>
      </c>
      <c r="G511" t="s">
        <v>51</v>
      </c>
      <c r="H511" t="s">
        <v>209</v>
      </c>
      <c r="I511" t="s">
        <v>71</v>
      </c>
      <c r="J511" t="s">
        <v>825</v>
      </c>
      <c r="K511">
        <v>942810</v>
      </c>
      <c r="L511" t="s">
        <v>651</v>
      </c>
      <c r="M511" t="s">
        <v>652</v>
      </c>
      <c r="N511" t="s">
        <v>57</v>
      </c>
      <c r="O511" s="1">
        <v>46127</v>
      </c>
      <c r="Q511" s="1">
        <v>46218</v>
      </c>
      <c r="R511" s="2">
        <v>20.9</v>
      </c>
      <c r="S511">
        <v>1</v>
      </c>
      <c r="T511" t="s">
        <v>58</v>
      </c>
      <c r="U511" t="s">
        <v>59</v>
      </c>
      <c r="V511" s="3">
        <v>0.75</v>
      </c>
      <c r="W511" s="2">
        <v>0</v>
      </c>
      <c r="X511">
        <v>0</v>
      </c>
      <c r="Y511" t="s">
        <v>60</v>
      </c>
      <c r="Z511" t="s">
        <v>239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15.68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46188</v>
      </c>
      <c r="B512" t="s">
        <v>48</v>
      </c>
      <c r="C512">
        <v>649163</v>
      </c>
      <c r="D512">
        <v>2034234839</v>
      </c>
      <c r="E512" t="s">
        <v>665</v>
      </c>
      <c r="F512" t="s">
        <v>287</v>
      </c>
      <c r="G512" t="s">
        <v>51</v>
      </c>
      <c r="H512" t="s">
        <v>305</v>
      </c>
      <c r="I512" t="s">
        <v>71</v>
      </c>
      <c r="J512" t="s">
        <v>72</v>
      </c>
      <c r="K512">
        <v>816021</v>
      </c>
      <c r="L512" t="s">
        <v>312</v>
      </c>
      <c r="M512" t="s">
        <v>313</v>
      </c>
      <c r="N512" t="s">
        <v>57</v>
      </c>
      <c r="O512" s="1">
        <v>46096</v>
      </c>
      <c r="Q512" s="1">
        <v>46218</v>
      </c>
      <c r="R512" s="2">
        <v>44.17</v>
      </c>
      <c r="S512">
        <v>1</v>
      </c>
      <c r="T512" t="s">
        <v>58</v>
      </c>
      <c r="U512" t="s">
        <v>59</v>
      </c>
      <c r="V512" s="3">
        <v>0.75</v>
      </c>
      <c r="W512" s="2">
        <v>0</v>
      </c>
      <c r="X512">
        <v>0</v>
      </c>
      <c r="Y512" t="s">
        <v>60</v>
      </c>
      <c r="Z512" t="s">
        <v>239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33.130000000000003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46188</v>
      </c>
      <c r="B513" t="s">
        <v>48</v>
      </c>
      <c r="C513">
        <v>649163</v>
      </c>
      <c r="D513">
        <v>2034256767</v>
      </c>
      <c r="E513" t="s">
        <v>232</v>
      </c>
      <c r="F513" t="s">
        <v>666</v>
      </c>
      <c r="G513" t="s">
        <v>51</v>
      </c>
      <c r="H513" t="s">
        <v>523</v>
      </c>
      <c r="I513" t="s">
        <v>71</v>
      </c>
      <c r="J513" t="s">
        <v>84</v>
      </c>
      <c r="K513">
        <v>651818</v>
      </c>
      <c r="L513" t="s">
        <v>79</v>
      </c>
      <c r="M513" t="s">
        <v>80</v>
      </c>
      <c r="N513" t="s">
        <v>57</v>
      </c>
      <c r="O513" s="1">
        <v>46096</v>
      </c>
      <c r="Q513" s="1">
        <v>46218</v>
      </c>
      <c r="R513" s="2">
        <v>20.67</v>
      </c>
      <c r="S513">
        <v>1</v>
      </c>
      <c r="T513" t="s">
        <v>58</v>
      </c>
      <c r="U513" t="s">
        <v>59</v>
      </c>
      <c r="V513" s="3">
        <v>0.75</v>
      </c>
      <c r="W513" s="2">
        <v>0</v>
      </c>
      <c r="X513">
        <v>0</v>
      </c>
      <c r="Y513" t="s">
        <v>60</v>
      </c>
      <c r="Z513" t="s">
        <v>239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15.5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46188</v>
      </c>
      <c r="B514" t="s">
        <v>48</v>
      </c>
      <c r="C514">
        <v>649163</v>
      </c>
      <c r="D514">
        <v>2034260111</v>
      </c>
      <c r="E514" t="s">
        <v>667</v>
      </c>
      <c r="F514" t="s">
        <v>668</v>
      </c>
      <c r="G514" t="s">
        <v>51</v>
      </c>
      <c r="H514" t="s">
        <v>305</v>
      </c>
      <c r="I514" t="s">
        <v>71</v>
      </c>
      <c r="J514" t="s">
        <v>309</v>
      </c>
      <c r="K514">
        <v>824082</v>
      </c>
      <c r="L514" t="s">
        <v>510</v>
      </c>
      <c r="M514" t="s">
        <v>511</v>
      </c>
      <c r="N514" t="s">
        <v>57</v>
      </c>
      <c r="O514" s="1">
        <v>46096</v>
      </c>
      <c r="Q514" s="1">
        <v>46218</v>
      </c>
      <c r="R514" s="2">
        <v>37.18</v>
      </c>
      <c r="S514">
        <v>1</v>
      </c>
      <c r="T514" t="s">
        <v>58</v>
      </c>
      <c r="U514" t="s">
        <v>59</v>
      </c>
      <c r="V514" s="3">
        <v>0.65</v>
      </c>
      <c r="W514" s="2">
        <v>0</v>
      </c>
      <c r="X514">
        <v>0</v>
      </c>
      <c r="Y514" t="s">
        <v>60</v>
      </c>
      <c r="Z514" t="s">
        <v>239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24.17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46188</v>
      </c>
      <c r="B515" t="s">
        <v>48</v>
      </c>
      <c r="C515">
        <v>649163</v>
      </c>
      <c r="D515">
        <v>2034306132</v>
      </c>
      <c r="E515" t="s">
        <v>675</v>
      </c>
      <c r="F515" t="s">
        <v>227</v>
      </c>
      <c r="G515" t="s">
        <v>51</v>
      </c>
      <c r="H515" t="s">
        <v>209</v>
      </c>
      <c r="I515" t="s">
        <v>71</v>
      </c>
      <c r="J515" t="s">
        <v>84</v>
      </c>
      <c r="K515">
        <v>651818</v>
      </c>
      <c r="L515" t="s">
        <v>79</v>
      </c>
      <c r="M515" t="s">
        <v>80</v>
      </c>
      <c r="N515" t="s">
        <v>57</v>
      </c>
      <c r="O515" s="1">
        <v>46094</v>
      </c>
      <c r="Q515" s="1">
        <v>46216</v>
      </c>
      <c r="R515" s="2">
        <v>76.05</v>
      </c>
      <c r="S515">
        <v>1</v>
      </c>
      <c r="T515" t="s">
        <v>58</v>
      </c>
      <c r="U515" t="s">
        <v>59</v>
      </c>
      <c r="V515" s="3">
        <v>0.75</v>
      </c>
      <c r="W515" s="2">
        <v>0</v>
      </c>
      <c r="X515">
        <v>0</v>
      </c>
      <c r="Y515" t="s">
        <v>60</v>
      </c>
      <c r="Z515" t="s">
        <v>239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57.04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46188</v>
      </c>
      <c r="B516" t="s">
        <v>48</v>
      </c>
      <c r="C516">
        <v>649163</v>
      </c>
      <c r="D516">
        <v>2034368684</v>
      </c>
      <c r="E516" t="s">
        <v>826</v>
      </c>
      <c r="F516" t="s">
        <v>827</v>
      </c>
      <c r="G516" t="s">
        <v>51</v>
      </c>
      <c r="H516" t="s">
        <v>95</v>
      </c>
      <c r="I516" t="s">
        <v>71</v>
      </c>
      <c r="J516" t="s">
        <v>825</v>
      </c>
      <c r="K516">
        <v>650218</v>
      </c>
      <c r="L516" t="s">
        <v>158</v>
      </c>
      <c r="M516" t="s">
        <v>159</v>
      </c>
      <c r="N516" t="s">
        <v>57</v>
      </c>
      <c r="O516" s="1">
        <v>46100</v>
      </c>
      <c r="Q516" s="1">
        <v>46222</v>
      </c>
      <c r="R516" s="2">
        <v>23.55</v>
      </c>
      <c r="S516">
        <v>1</v>
      </c>
      <c r="T516" t="s">
        <v>58</v>
      </c>
      <c r="U516" t="s">
        <v>59</v>
      </c>
      <c r="V516" s="3">
        <v>0.75</v>
      </c>
      <c r="W516" s="2">
        <v>0</v>
      </c>
      <c r="X516">
        <v>0</v>
      </c>
      <c r="Y516" t="s">
        <v>60</v>
      </c>
      <c r="Z516" t="s">
        <v>239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17.66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46188</v>
      </c>
      <c r="B517" t="s">
        <v>48</v>
      </c>
      <c r="C517">
        <v>649163</v>
      </c>
      <c r="D517">
        <v>2034374843</v>
      </c>
      <c r="E517" t="s">
        <v>679</v>
      </c>
      <c r="F517" t="s">
        <v>680</v>
      </c>
      <c r="G517" t="s">
        <v>51</v>
      </c>
      <c r="H517" t="s">
        <v>681</v>
      </c>
      <c r="I517" t="s">
        <v>71</v>
      </c>
      <c r="J517" t="s">
        <v>78</v>
      </c>
      <c r="K517">
        <v>651818</v>
      </c>
      <c r="L517" t="s">
        <v>79</v>
      </c>
      <c r="M517" t="s">
        <v>80</v>
      </c>
      <c r="N517" t="s">
        <v>57</v>
      </c>
      <c r="O517" s="1">
        <v>46099</v>
      </c>
      <c r="Q517" s="1">
        <v>46221</v>
      </c>
      <c r="R517" s="2">
        <v>95.88</v>
      </c>
      <c r="S517">
        <v>1</v>
      </c>
      <c r="T517" t="s">
        <v>58</v>
      </c>
      <c r="U517" t="s">
        <v>59</v>
      </c>
      <c r="V517" s="3">
        <v>0.9</v>
      </c>
      <c r="W517" s="2">
        <v>0</v>
      </c>
      <c r="X517">
        <v>0</v>
      </c>
      <c r="Y517" t="s">
        <v>60</v>
      </c>
      <c r="Z517" t="s">
        <v>239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86.29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46188</v>
      </c>
      <c r="B518" t="s">
        <v>48</v>
      </c>
      <c r="C518">
        <v>649163</v>
      </c>
      <c r="D518">
        <v>2034375763</v>
      </c>
      <c r="E518" t="s">
        <v>682</v>
      </c>
      <c r="F518" t="s">
        <v>335</v>
      </c>
      <c r="G518" t="s">
        <v>51</v>
      </c>
      <c r="H518" t="s">
        <v>77</v>
      </c>
      <c r="I518" t="s">
        <v>71</v>
      </c>
      <c r="J518" t="s">
        <v>78</v>
      </c>
      <c r="K518">
        <v>673059</v>
      </c>
      <c r="L518" t="s">
        <v>85</v>
      </c>
      <c r="M518" t="s">
        <v>86</v>
      </c>
      <c r="N518" t="s">
        <v>57</v>
      </c>
      <c r="O518" s="1">
        <v>46098</v>
      </c>
      <c r="Q518" s="1">
        <v>46220</v>
      </c>
      <c r="R518" s="2">
        <v>132</v>
      </c>
      <c r="S518">
        <v>1</v>
      </c>
      <c r="T518" t="s">
        <v>58</v>
      </c>
      <c r="U518" t="s">
        <v>59</v>
      </c>
      <c r="V518" s="3">
        <v>0.9</v>
      </c>
      <c r="W518" s="2">
        <v>0</v>
      </c>
      <c r="X518">
        <v>0</v>
      </c>
      <c r="Y518" t="s">
        <v>60</v>
      </c>
      <c r="Z518" t="s">
        <v>239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118.8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46188</v>
      </c>
      <c r="B519" t="s">
        <v>48</v>
      </c>
      <c r="C519">
        <v>649163</v>
      </c>
      <c r="D519">
        <v>2034384323</v>
      </c>
      <c r="E519" t="s">
        <v>683</v>
      </c>
      <c r="F519" t="s">
        <v>256</v>
      </c>
      <c r="G519" t="s">
        <v>51</v>
      </c>
      <c r="H519" t="s">
        <v>245</v>
      </c>
      <c r="I519" t="s">
        <v>71</v>
      </c>
      <c r="J519" t="s">
        <v>78</v>
      </c>
      <c r="K519">
        <v>822733</v>
      </c>
      <c r="L519" t="s">
        <v>444</v>
      </c>
      <c r="M519" t="s">
        <v>445</v>
      </c>
      <c r="N519" t="s">
        <v>57</v>
      </c>
      <c r="O519" s="1">
        <v>46098</v>
      </c>
      <c r="Q519" s="1">
        <v>46220</v>
      </c>
      <c r="R519" s="2">
        <v>16.940000000000001</v>
      </c>
      <c r="S519">
        <v>1</v>
      </c>
      <c r="T519" t="s">
        <v>58</v>
      </c>
      <c r="U519" t="s">
        <v>59</v>
      </c>
      <c r="V519" s="3">
        <v>0.9</v>
      </c>
      <c r="W519" s="2">
        <v>0</v>
      </c>
      <c r="X519">
        <v>0</v>
      </c>
      <c r="Y519" t="s">
        <v>60</v>
      </c>
      <c r="Z519" t="s">
        <v>239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15.25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46188</v>
      </c>
      <c r="B520" t="s">
        <v>48</v>
      </c>
      <c r="C520">
        <v>649163</v>
      </c>
      <c r="D520">
        <v>2034413971</v>
      </c>
      <c r="E520" t="s">
        <v>686</v>
      </c>
      <c r="F520" t="s">
        <v>687</v>
      </c>
      <c r="G520" t="s">
        <v>51</v>
      </c>
      <c r="H520" t="s">
        <v>83</v>
      </c>
      <c r="I520" t="s">
        <v>71</v>
      </c>
      <c r="J520" t="s">
        <v>72</v>
      </c>
      <c r="K520">
        <v>956422</v>
      </c>
      <c r="L520" t="s">
        <v>91</v>
      </c>
      <c r="M520" t="s">
        <v>92</v>
      </c>
      <c r="N520" t="s">
        <v>57</v>
      </c>
      <c r="O520" s="1">
        <v>46100</v>
      </c>
      <c r="Q520" s="1">
        <v>46222</v>
      </c>
      <c r="R520" s="2">
        <v>34.090000000000003</v>
      </c>
      <c r="S520">
        <v>1</v>
      </c>
      <c r="T520" t="s">
        <v>58</v>
      </c>
      <c r="U520" t="s">
        <v>59</v>
      </c>
      <c r="V520" s="3">
        <v>0.75</v>
      </c>
      <c r="W520" s="2">
        <v>0</v>
      </c>
      <c r="X520">
        <v>0</v>
      </c>
      <c r="Y520" t="s">
        <v>60</v>
      </c>
      <c r="Z520" t="s">
        <v>239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25.57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46188</v>
      </c>
      <c r="B521" t="s">
        <v>48</v>
      </c>
      <c r="C521">
        <v>649163</v>
      </c>
      <c r="D521">
        <v>2034425272</v>
      </c>
      <c r="E521" t="s">
        <v>828</v>
      </c>
      <c r="F521" t="s">
        <v>829</v>
      </c>
      <c r="G521" t="s">
        <v>51</v>
      </c>
      <c r="H521" t="s">
        <v>212</v>
      </c>
      <c r="I521" t="s">
        <v>71</v>
      </c>
      <c r="J521" t="s">
        <v>84</v>
      </c>
      <c r="K521">
        <v>856824</v>
      </c>
      <c r="L521" t="s">
        <v>205</v>
      </c>
      <c r="M521" t="s">
        <v>206</v>
      </c>
      <c r="N521" t="s">
        <v>57</v>
      </c>
      <c r="O521" s="1">
        <v>46100</v>
      </c>
      <c r="Q521" s="1">
        <v>46222</v>
      </c>
      <c r="R521" s="2">
        <v>22.68</v>
      </c>
      <c r="S521">
        <v>1</v>
      </c>
      <c r="T521" t="s">
        <v>58</v>
      </c>
      <c r="U521" t="s">
        <v>59</v>
      </c>
      <c r="V521" s="3">
        <v>0.75</v>
      </c>
      <c r="W521" s="2">
        <v>0</v>
      </c>
      <c r="X521">
        <v>0</v>
      </c>
      <c r="Y521" t="s">
        <v>60</v>
      </c>
      <c r="Z521" t="s">
        <v>239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17.010000000000002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46188</v>
      </c>
      <c r="B522" t="s">
        <v>48</v>
      </c>
      <c r="C522">
        <v>649163</v>
      </c>
      <c r="D522">
        <v>2034426699</v>
      </c>
      <c r="E522" t="s">
        <v>830</v>
      </c>
      <c r="F522" t="s">
        <v>307</v>
      </c>
      <c r="G522" t="s">
        <v>51</v>
      </c>
      <c r="H522" t="s">
        <v>212</v>
      </c>
      <c r="I522" t="s">
        <v>71</v>
      </c>
      <c r="J522" t="s">
        <v>72</v>
      </c>
      <c r="K522">
        <v>856824</v>
      </c>
      <c r="L522" t="s">
        <v>205</v>
      </c>
      <c r="M522" t="s">
        <v>206</v>
      </c>
      <c r="N522" t="s">
        <v>57</v>
      </c>
      <c r="O522" s="1">
        <v>46100</v>
      </c>
      <c r="Q522" s="1">
        <v>46222</v>
      </c>
      <c r="R522" s="2">
        <v>88.75</v>
      </c>
      <c r="S522">
        <v>1</v>
      </c>
      <c r="T522" t="s">
        <v>58</v>
      </c>
      <c r="U522" t="s">
        <v>59</v>
      </c>
      <c r="V522" s="3">
        <v>0.75</v>
      </c>
      <c r="W522" s="2">
        <v>0</v>
      </c>
      <c r="X522">
        <v>0</v>
      </c>
      <c r="Y522" t="s">
        <v>60</v>
      </c>
      <c r="Z522" t="s">
        <v>239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66.56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46188</v>
      </c>
      <c r="B523" t="s">
        <v>48</v>
      </c>
      <c r="C523">
        <v>649163</v>
      </c>
      <c r="D523">
        <v>2034542883</v>
      </c>
      <c r="E523" t="s">
        <v>691</v>
      </c>
      <c r="F523" t="s">
        <v>692</v>
      </c>
      <c r="G523" t="s">
        <v>51</v>
      </c>
      <c r="H523" t="s">
        <v>245</v>
      </c>
      <c r="I523" t="s">
        <v>71</v>
      </c>
      <c r="J523" t="s">
        <v>78</v>
      </c>
      <c r="K523">
        <v>753748</v>
      </c>
      <c r="L523" t="s">
        <v>619</v>
      </c>
      <c r="M523" t="s">
        <v>256</v>
      </c>
      <c r="N523" t="s">
        <v>57</v>
      </c>
      <c r="O523" s="1">
        <v>46118</v>
      </c>
      <c r="Q523" s="1">
        <v>46209</v>
      </c>
      <c r="R523" s="2">
        <v>44.25</v>
      </c>
      <c r="S523">
        <v>1</v>
      </c>
      <c r="T523" t="s">
        <v>58</v>
      </c>
      <c r="U523" t="s">
        <v>59</v>
      </c>
      <c r="V523" s="3">
        <v>0.9</v>
      </c>
      <c r="W523" s="2">
        <v>0</v>
      </c>
      <c r="X523">
        <v>0</v>
      </c>
      <c r="Y523" t="s">
        <v>60</v>
      </c>
      <c r="Z523" t="s">
        <v>239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39.82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46188</v>
      </c>
      <c r="B524" t="s">
        <v>48</v>
      </c>
      <c r="C524">
        <v>649163</v>
      </c>
      <c r="D524">
        <v>2034695180</v>
      </c>
      <c r="E524" t="s">
        <v>693</v>
      </c>
      <c r="F524" t="s">
        <v>694</v>
      </c>
      <c r="G524" t="s">
        <v>51</v>
      </c>
      <c r="H524" t="s">
        <v>165</v>
      </c>
      <c r="I524" t="s">
        <v>71</v>
      </c>
      <c r="J524" t="s">
        <v>72</v>
      </c>
      <c r="K524">
        <v>651818</v>
      </c>
      <c r="L524" t="s">
        <v>79</v>
      </c>
      <c r="M524" t="s">
        <v>80</v>
      </c>
      <c r="N524" t="s">
        <v>57</v>
      </c>
      <c r="O524" s="1">
        <v>46127</v>
      </c>
      <c r="Q524" s="1">
        <v>46218</v>
      </c>
      <c r="R524" s="2">
        <v>33.65</v>
      </c>
      <c r="S524">
        <v>1</v>
      </c>
      <c r="T524" t="s">
        <v>58</v>
      </c>
      <c r="U524" t="s">
        <v>59</v>
      </c>
      <c r="V524" s="3">
        <v>0.75</v>
      </c>
      <c r="W524" s="2">
        <v>0</v>
      </c>
      <c r="X524">
        <v>0</v>
      </c>
      <c r="Y524" t="s">
        <v>60</v>
      </c>
      <c r="Z524" t="s">
        <v>239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25.24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46188</v>
      </c>
      <c r="B525" t="s">
        <v>48</v>
      </c>
      <c r="C525">
        <v>649163</v>
      </c>
      <c r="D525">
        <v>2034728898</v>
      </c>
      <c r="E525" t="s">
        <v>831</v>
      </c>
      <c r="F525" t="s">
        <v>678</v>
      </c>
      <c r="G525" t="s">
        <v>51</v>
      </c>
      <c r="H525" t="s">
        <v>212</v>
      </c>
      <c r="I525" t="s">
        <v>71</v>
      </c>
      <c r="J525" t="s">
        <v>72</v>
      </c>
      <c r="K525">
        <v>856824</v>
      </c>
      <c r="L525" t="s">
        <v>205</v>
      </c>
      <c r="M525" t="s">
        <v>206</v>
      </c>
      <c r="N525" t="s">
        <v>57</v>
      </c>
      <c r="O525" s="1">
        <v>46157</v>
      </c>
      <c r="Q525" s="1">
        <v>46218</v>
      </c>
      <c r="R525" s="2">
        <v>70.75</v>
      </c>
      <c r="S525">
        <v>1</v>
      </c>
      <c r="T525" t="s">
        <v>58</v>
      </c>
      <c r="U525" t="s">
        <v>59</v>
      </c>
      <c r="V525" s="3">
        <v>0.75</v>
      </c>
      <c r="W525" s="2">
        <v>0</v>
      </c>
      <c r="X525">
        <v>0</v>
      </c>
      <c r="Y525" t="s">
        <v>60</v>
      </c>
      <c r="Z525" t="s">
        <v>239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53.06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46188</v>
      </c>
      <c r="B526" t="s">
        <v>48</v>
      </c>
      <c r="C526">
        <v>649163</v>
      </c>
      <c r="D526">
        <v>2034740924</v>
      </c>
      <c r="E526" t="s">
        <v>697</v>
      </c>
      <c r="F526" t="s">
        <v>698</v>
      </c>
      <c r="G526" t="s">
        <v>51</v>
      </c>
      <c r="H526" t="s">
        <v>342</v>
      </c>
      <c r="I526" t="s">
        <v>71</v>
      </c>
      <c r="J526" t="s">
        <v>72</v>
      </c>
      <c r="K526">
        <v>816021</v>
      </c>
      <c r="L526" t="s">
        <v>312</v>
      </c>
      <c r="M526" t="s">
        <v>313</v>
      </c>
      <c r="N526" t="s">
        <v>57</v>
      </c>
      <c r="O526" s="1">
        <v>46127</v>
      </c>
      <c r="Q526" s="1">
        <v>46218</v>
      </c>
      <c r="R526" s="2">
        <v>109.81</v>
      </c>
      <c r="S526">
        <v>1</v>
      </c>
      <c r="T526" t="s">
        <v>58</v>
      </c>
      <c r="U526" t="s">
        <v>59</v>
      </c>
      <c r="V526" s="3">
        <v>0.75</v>
      </c>
      <c r="W526" s="2">
        <v>0</v>
      </c>
      <c r="X526">
        <v>0</v>
      </c>
      <c r="Y526" t="s">
        <v>60</v>
      </c>
      <c r="Z526" t="s">
        <v>239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82.36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46188</v>
      </c>
      <c r="B527" t="s">
        <v>48</v>
      </c>
      <c r="C527">
        <v>649163</v>
      </c>
      <c r="D527">
        <v>2034845876</v>
      </c>
      <c r="E527" t="s">
        <v>701</v>
      </c>
      <c r="F527" t="s">
        <v>287</v>
      </c>
      <c r="G527" t="s">
        <v>51</v>
      </c>
      <c r="H527" t="s">
        <v>305</v>
      </c>
      <c r="I527" t="s">
        <v>71</v>
      </c>
      <c r="J527" t="s">
        <v>72</v>
      </c>
      <c r="K527">
        <v>816021</v>
      </c>
      <c r="L527" t="s">
        <v>312</v>
      </c>
      <c r="M527" t="s">
        <v>313</v>
      </c>
      <c r="N527" t="s">
        <v>57</v>
      </c>
      <c r="O527" s="1">
        <v>46127</v>
      </c>
      <c r="Q527" s="1">
        <v>46218</v>
      </c>
      <c r="R527" s="2">
        <v>69.069999999999993</v>
      </c>
      <c r="S527">
        <v>1</v>
      </c>
      <c r="T527" t="s">
        <v>58</v>
      </c>
      <c r="U527" t="s">
        <v>59</v>
      </c>
      <c r="V527" s="3">
        <v>0.75</v>
      </c>
      <c r="W527" s="2">
        <v>0</v>
      </c>
      <c r="X527">
        <v>0</v>
      </c>
      <c r="Y527" t="s">
        <v>60</v>
      </c>
      <c r="Z527" t="s">
        <v>239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51.8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46188</v>
      </c>
      <c r="B528" t="s">
        <v>48</v>
      </c>
      <c r="C528">
        <v>649163</v>
      </c>
      <c r="D528">
        <v>2034867128</v>
      </c>
      <c r="E528" t="s">
        <v>702</v>
      </c>
      <c r="F528" t="s">
        <v>703</v>
      </c>
      <c r="G528" t="s">
        <v>51</v>
      </c>
      <c r="H528" t="s">
        <v>209</v>
      </c>
      <c r="I528" t="s">
        <v>71</v>
      </c>
      <c r="J528" t="s">
        <v>78</v>
      </c>
      <c r="K528">
        <v>942810</v>
      </c>
      <c r="L528" t="s">
        <v>651</v>
      </c>
      <c r="M528" t="s">
        <v>652</v>
      </c>
      <c r="N528" t="s">
        <v>57</v>
      </c>
      <c r="O528" s="1">
        <v>46129</v>
      </c>
      <c r="Q528" s="1">
        <v>46220</v>
      </c>
      <c r="R528" s="2">
        <v>120.42</v>
      </c>
      <c r="S528">
        <v>1</v>
      </c>
      <c r="T528" t="s">
        <v>58</v>
      </c>
      <c r="U528" t="s">
        <v>59</v>
      </c>
      <c r="V528" s="3">
        <v>0.9</v>
      </c>
      <c r="W528" s="2">
        <v>0</v>
      </c>
      <c r="X528">
        <v>0</v>
      </c>
      <c r="Y528" t="s">
        <v>60</v>
      </c>
      <c r="Z528" t="s">
        <v>239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108.38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46188</v>
      </c>
      <c r="B529" t="s">
        <v>48</v>
      </c>
      <c r="C529">
        <v>649163</v>
      </c>
      <c r="D529">
        <v>2034896404</v>
      </c>
      <c r="E529" t="s">
        <v>832</v>
      </c>
      <c r="F529" t="s">
        <v>833</v>
      </c>
      <c r="G529" t="s">
        <v>51</v>
      </c>
      <c r="H529" t="s">
        <v>212</v>
      </c>
      <c r="I529" t="s">
        <v>71</v>
      </c>
      <c r="J529" t="s">
        <v>84</v>
      </c>
      <c r="K529">
        <v>856824</v>
      </c>
      <c r="L529" t="s">
        <v>205</v>
      </c>
      <c r="M529" t="s">
        <v>206</v>
      </c>
      <c r="N529" t="s">
        <v>57</v>
      </c>
      <c r="O529" s="1">
        <v>46126</v>
      </c>
      <c r="Q529" s="1">
        <v>46217</v>
      </c>
      <c r="R529" s="2">
        <v>28.9</v>
      </c>
      <c r="S529">
        <v>1</v>
      </c>
      <c r="T529" t="s">
        <v>58</v>
      </c>
      <c r="U529" t="s">
        <v>59</v>
      </c>
      <c r="V529" s="3">
        <v>0.75</v>
      </c>
      <c r="W529" s="2">
        <v>0</v>
      </c>
      <c r="X529">
        <v>0</v>
      </c>
      <c r="Y529" t="s">
        <v>60</v>
      </c>
      <c r="Z529" t="s">
        <v>239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21.68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46188</v>
      </c>
      <c r="B530" t="s">
        <v>48</v>
      </c>
      <c r="C530">
        <v>649163</v>
      </c>
      <c r="D530">
        <v>2034917051</v>
      </c>
      <c r="E530" t="s">
        <v>704</v>
      </c>
      <c r="F530" t="s">
        <v>483</v>
      </c>
      <c r="G530" t="s">
        <v>51</v>
      </c>
      <c r="H530" t="s">
        <v>305</v>
      </c>
      <c r="I530" t="s">
        <v>71</v>
      </c>
      <c r="J530" t="s">
        <v>72</v>
      </c>
      <c r="K530">
        <v>816021</v>
      </c>
      <c r="L530" t="s">
        <v>312</v>
      </c>
      <c r="M530" t="s">
        <v>313</v>
      </c>
      <c r="N530" t="s">
        <v>57</v>
      </c>
      <c r="O530" s="1">
        <v>46127</v>
      </c>
      <c r="Q530" s="1">
        <v>46218</v>
      </c>
      <c r="R530" s="2">
        <v>49.81</v>
      </c>
      <c r="S530">
        <v>1</v>
      </c>
      <c r="T530" t="s">
        <v>58</v>
      </c>
      <c r="U530" t="s">
        <v>59</v>
      </c>
      <c r="V530" s="3">
        <v>0.75</v>
      </c>
      <c r="W530" s="2">
        <v>0</v>
      </c>
      <c r="X530">
        <v>0</v>
      </c>
      <c r="Y530" t="s">
        <v>60</v>
      </c>
      <c r="Z530" t="s">
        <v>239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37.36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46188</v>
      </c>
      <c r="B531" t="s">
        <v>48</v>
      </c>
      <c r="C531">
        <v>649163</v>
      </c>
      <c r="D531">
        <v>2034966126</v>
      </c>
      <c r="E531" t="s">
        <v>713</v>
      </c>
      <c r="F531" t="s">
        <v>260</v>
      </c>
      <c r="G531" t="s">
        <v>51</v>
      </c>
      <c r="H531" t="s">
        <v>714</v>
      </c>
      <c r="I531" t="s">
        <v>71</v>
      </c>
      <c r="J531" t="s">
        <v>78</v>
      </c>
      <c r="K531">
        <v>673059</v>
      </c>
      <c r="L531" t="s">
        <v>85</v>
      </c>
      <c r="M531" t="s">
        <v>86</v>
      </c>
      <c r="N531" t="s">
        <v>57</v>
      </c>
      <c r="O531" s="1">
        <v>46129</v>
      </c>
      <c r="Q531" s="1">
        <v>46220</v>
      </c>
      <c r="R531" s="2">
        <v>152.06</v>
      </c>
      <c r="S531">
        <v>1</v>
      </c>
      <c r="T531" t="s">
        <v>58</v>
      </c>
      <c r="U531" t="s">
        <v>59</v>
      </c>
      <c r="V531" s="3">
        <v>0.9</v>
      </c>
      <c r="W531" s="2">
        <v>0</v>
      </c>
      <c r="X531">
        <v>0</v>
      </c>
      <c r="Y531" t="s">
        <v>60</v>
      </c>
      <c r="Z531" t="s">
        <v>239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136.85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46188</v>
      </c>
      <c r="B532" t="s">
        <v>48</v>
      </c>
      <c r="C532">
        <v>649163</v>
      </c>
      <c r="D532">
        <v>2034986813</v>
      </c>
      <c r="E532" t="s">
        <v>717</v>
      </c>
      <c r="F532" t="s">
        <v>349</v>
      </c>
      <c r="G532" t="s">
        <v>51</v>
      </c>
      <c r="H532" t="s">
        <v>305</v>
      </c>
      <c r="I532" t="s">
        <v>71</v>
      </c>
      <c r="J532" t="s">
        <v>72</v>
      </c>
      <c r="K532">
        <v>796984</v>
      </c>
      <c r="L532" t="s">
        <v>306</v>
      </c>
      <c r="M532" t="s">
        <v>307</v>
      </c>
      <c r="N532" t="s">
        <v>57</v>
      </c>
      <c r="O532" s="1">
        <v>46130</v>
      </c>
      <c r="Q532" s="1">
        <v>46221</v>
      </c>
      <c r="R532" s="2">
        <v>10.51</v>
      </c>
      <c r="S532">
        <v>1</v>
      </c>
      <c r="T532" t="s">
        <v>58</v>
      </c>
      <c r="U532" t="s">
        <v>59</v>
      </c>
      <c r="V532" s="3">
        <v>0.75</v>
      </c>
      <c r="W532" s="2">
        <v>0</v>
      </c>
      <c r="X532">
        <v>0</v>
      </c>
      <c r="Y532" t="s">
        <v>60</v>
      </c>
      <c r="Z532" t="s">
        <v>239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7.88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46188</v>
      </c>
      <c r="B533" t="s">
        <v>48</v>
      </c>
      <c r="C533">
        <v>649163</v>
      </c>
      <c r="D533">
        <v>2035017367</v>
      </c>
      <c r="E533" t="s">
        <v>834</v>
      </c>
      <c r="F533" t="s">
        <v>835</v>
      </c>
      <c r="G533" t="s">
        <v>51</v>
      </c>
      <c r="H533" t="s">
        <v>193</v>
      </c>
      <c r="I533" t="s">
        <v>71</v>
      </c>
      <c r="J533" t="s">
        <v>78</v>
      </c>
      <c r="K533">
        <v>823068</v>
      </c>
      <c r="L533" t="s">
        <v>195</v>
      </c>
      <c r="M533" t="s">
        <v>196</v>
      </c>
      <c r="N533" t="s">
        <v>57</v>
      </c>
      <c r="O533" s="1">
        <v>46158</v>
      </c>
      <c r="Q533" s="1">
        <v>46219</v>
      </c>
      <c r="R533" s="2">
        <v>89.92</v>
      </c>
      <c r="S533">
        <v>1</v>
      </c>
      <c r="T533" t="s">
        <v>58</v>
      </c>
      <c r="U533" t="s">
        <v>59</v>
      </c>
      <c r="V533" s="3">
        <v>0.9</v>
      </c>
      <c r="W533" s="2">
        <v>0</v>
      </c>
      <c r="X533">
        <v>0</v>
      </c>
      <c r="Y533" t="s">
        <v>60</v>
      </c>
      <c r="Z533" t="s">
        <v>239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80.930000000000007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46188</v>
      </c>
      <c r="B534" t="s">
        <v>48</v>
      </c>
      <c r="C534">
        <v>649163</v>
      </c>
      <c r="D534">
        <v>2035107759</v>
      </c>
      <c r="E534" t="s">
        <v>426</v>
      </c>
      <c r="F534" t="s">
        <v>80</v>
      </c>
      <c r="G534" t="s">
        <v>51</v>
      </c>
      <c r="H534" t="s">
        <v>523</v>
      </c>
      <c r="I534" t="s">
        <v>71</v>
      </c>
      <c r="J534" t="s">
        <v>78</v>
      </c>
      <c r="K534">
        <v>651818</v>
      </c>
      <c r="L534" t="s">
        <v>79</v>
      </c>
      <c r="M534" t="s">
        <v>80</v>
      </c>
      <c r="N534" t="s">
        <v>57</v>
      </c>
      <c r="O534" s="1">
        <v>46143</v>
      </c>
      <c r="Q534" s="1">
        <v>46204</v>
      </c>
      <c r="R534" s="2">
        <v>128.5</v>
      </c>
      <c r="S534">
        <v>1</v>
      </c>
      <c r="T534" t="s">
        <v>58</v>
      </c>
      <c r="U534" t="s">
        <v>59</v>
      </c>
      <c r="V534" s="3">
        <v>0.9</v>
      </c>
      <c r="W534" s="2">
        <v>0</v>
      </c>
      <c r="X534">
        <v>0</v>
      </c>
      <c r="Y534" t="s">
        <v>60</v>
      </c>
      <c r="Z534" t="s">
        <v>239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115.65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46188</v>
      </c>
      <c r="B535" t="s">
        <v>48</v>
      </c>
      <c r="C535">
        <v>649163</v>
      </c>
      <c r="D535">
        <v>2035338142</v>
      </c>
      <c r="E535" t="s">
        <v>836</v>
      </c>
      <c r="F535" t="s">
        <v>837</v>
      </c>
      <c r="G535" t="s">
        <v>51</v>
      </c>
      <c r="H535" t="s">
        <v>305</v>
      </c>
      <c r="I535" t="s">
        <v>71</v>
      </c>
      <c r="J535" t="s">
        <v>72</v>
      </c>
      <c r="K535">
        <v>796984</v>
      </c>
      <c r="L535" t="s">
        <v>306</v>
      </c>
      <c r="M535" t="s">
        <v>307</v>
      </c>
      <c r="N535" t="s">
        <v>57</v>
      </c>
      <c r="O535" s="1">
        <v>46151</v>
      </c>
      <c r="Q535" s="1">
        <v>46212</v>
      </c>
      <c r="R535" s="2">
        <v>0.36</v>
      </c>
      <c r="S535">
        <v>1</v>
      </c>
      <c r="T535" t="s">
        <v>58</v>
      </c>
      <c r="U535" t="s">
        <v>59</v>
      </c>
      <c r="V535" s="3">
        <v>0.75</v>
      </c>
      <c r="W535" s="2">
        <v>0</v>
      </c>
      <c r="X535">
        <v>0</v>
      </c>
      <c r="Y535" t="s">
        <v>60</v>
      </c>
      <c r="Z535" t="s">
        <v>239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0.27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46188</v>
      </c>
      <c r="B536" t="s">
        <v>48</v>
      </c>
      <c r="C536">
        <v>649163</v>
      </c>
      <c r="D536">
        <v>2035393883</v>
      </c>
      <c r="E536" t="s">
        <v>725</v>
      </c>
      <c r="F536" t="s">
        <v>241</v>
      </c>
      <c r="G536" t="s">
        <v>51</v>
      </c>
      <c r="H536" t="s">
        <v>305</v>
      </c>
      <c r="I536" t="s">
        <v>71</v>
      </c>
      <c r="J536" t="s">
        <v>72</v>
      </c>
      <c r="K536">
        <v>816021</v>
      </c>
      <c r="L536" t="s">
        <v>312</v>
      </c>
      <c r="M536" t="s">
        <v>313</v>
      </c>
      <c r="N536" t="s">
        <v>57</v>
      </c>
      <c r="O536" s="1">
        <v>46157</v>
      </c>
      <c r="Q536" s="1">
        <v>46218</v>
      </c>
      <c r="R536" s="2">
        <v>103.06</v>
      </c>
      <c r="S536">
        <v>1</v>
      </c>
      <c r="T536" t="s">
        <v>58</v>
      </c>
      <c r="U536" t="s">
        <v>59</v>
      </c>
      <c r="V536" s="3">
        <v>0.75</v>
      </c>
      <c r="W536" s="2">
        <v>0</v>
      </c>
      <c r="X536">
        <v>0</v>
      </c>
      <c r="Y536" t="s">
        <v>60</v>
      </c>
      <c r="Z536" t="s">
        <v>239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77.3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46188</v>
      </c>
      <c r="B537" t="s">
        <v>48</v>
      </c>
      <c r="C537">
        <v>649163</v>
      </c>
      <c r="D537">
        <v>2035420489</v>
      </c>
      <c r="E537" t="s">
        <v>730</v>
      </c>
      <c r="F537" t="s">
        <v>731</v>
      </c>
      <c r="G537" t="s">
        <v>51</v>
      </c>
      <c r="H537" t="s">
        <v>624</v>
      </c>
      <c r="I537" t="s">
        <v>71</v>
      </c>
      <c r="J537" t="s">
        <v>78</v>
      </c>
      <c r="K537">
        <v>651818</v>
      </c>
      <c r="L537" t="s">
        <v>79</v>
      </c>
      <c r="M537" t="s">
        <v>80</v>
      </c>
      <c r="N537" t="s">
        <v>57</v>
      </c>
      <c r="O537" s="1">
        <v>46158</v>
      </c>
      <c r="Q537" s="1">
        <v>46219</v>
      </c>
      <c r="R537" s="2">
        <v>176.63</v>
      </c>
      <c r="S537">
        <v>1</v>
      </c>
      <c r="T537" t="s">
        <v>58</v>
      </c>
      <c r="U537" t="s">
        <v>59</v>
      </c>
      <c r="V537" s="3">
        <v>0.9</v>
      </c>
      <c r="W537" s="2">
        <v>0</v>
      </c>
      <c r="X537">
        <v>0</v>
      </c>
      <c r="Y537" t="s">
        <v>60</v>
      </c>
      <c r="Z537" t="s">
        <v>239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158.97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46188</v>
      </c>
      <c r="B538" t="s">
        <v>48</v>
      </c>
      <c r="C538">
        <v>649163</v>
      </c>
      <c r="D538">
        <v>2035438824</v>
      </c>
      <c r="E538" t="s">
        <v>739</v>
      </c>
      <c r="F538" t="s">
        <v>740</v>
      </c>
      <c r="G538" t="s">
        <v>51</v>
      </c>
      <c r="H538" t="s">
        <v>245</v>
      </c>
      <c r="I538" t="s">
        <v>71</v>
      </c>
      <c r="J538" t="s">
        <v>78</v>
      </c>
      <c r="K538">
        <v>651818</v>
      </c>
      <c r="L538" t="s">
        <v>79</v>
      </c>
      <c r="M538" t="s">
        <v>80</v>
      </c>
      <c r="N538" t="s">
        <v>57</v>
      </c>
      <c r="O538" s="1">
        <v>46159</v>
      </c>
      <c r="Q538" s="1">
        <v>46220</v>
      </c>
      <c r="R538" s="2">
        <v>57.08</v>
      </c>
      <c r="S538">
        <v>1</v>
      </c>
      <c r="T538" t="s">
        <v>58</v>
      </c>
      <c r="U538" t="s">
        <v>59</v>
      </c>
      <c r="V538" s="3">
        <v>0.9</v>
      </c>
      <c r="W538" s="2">
        <v>0</v>
      </c>
      <c r="X538">
        <v>0</v>
      </c>
      <c r="Y538" t="s">
        <v>60</v>
      </c>
      <c r="Z538" t="s">
        <v>239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51.37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46188</v>
      </c>
      <c r="B539" t="s">
        <v>48</v>
      </c>
      <c r="C539">
        <v>649163</v>
      </c>
      <c r="D539">
        <v>2035450010</v>
      </c>
      <c r="E539" t="s">
        <v>742</v>
      </c>
      <c r="F539" t="s">
        <v>743</v>
      </c>
      <c r="G539" t="s">
        <v>51</v>
      </c>
      <c r="H539" t="s">
        <v>119</v>
      </c>
      <c r="I539" t="s">
        <v>71</v>
      </c>
      <c r="J539" t="s">
        <v>72</v>
      </c>
      <c r="K539">
        <v>843573</v>
      </c>
      <c r="L539" t="s">
        <v>473</v>
      </c>
      <c r="M539" t="s">
        <v>474</v>
      </c>
      <c r="N539" t="s">
        <v>57</v>
      </c>
      <c r="O539" s="1">
        <v>46156</v>
      </c>
      <c r="Q539" s="1">
        <v>46217</v>
      </c>
      <c r="R539" s="2">
        <v>66.03</v>
      </c>
      <c r="S539">
        <v>1</v>
      </c>
      <c r="T539" t="s">
        <v>58</v>
      </c>
      <c r="U539" t="s">
        <v>59</v>
      </c>
      <c r="V539" s="3">
        <v>0.75</v>
      </c>
      <c r="W539" s="2">
        <v>0</v>
      </c>
      <c r="X539">
        <v>0</v>
      </c>
      <c r="Y539" t="s">
        <v>60</v>
      </c>
      <c r="Z539" t="s">
        <v>239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49.52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46188</v>
      </c>
      <c r="B540" t="s">
        <v>48</v>
      </c>
      <c r="C540">
        <v>649163</v>
      </c>
      <c r="D540">
        <v>2035456535</v>
      </c>
      <c r="E540" t="s">
        <v>838</v>
      </c>
      <c r="F540" t="s">
        <v>774</v>
      </c>
      <c r="G540" t="s">
        <v>51</v>
      </c>
      <c r="H540" t="s">
        <v>212</v>
      </c>
      <c r="I540" t="s">
        <v>71</v>
      </c>
      <c r="J540" t="s">
        <v>72</v>
      </c>
      <c r="K540">
        <v>856824</v>
      </c>
      <c r="L540" t="s">
        <v>205</v>
      </c>
      <c r="M540" t="s">
        <v>206</v>
      </c>
      <c r="N540" t="s">
        <v>57</v>
      </c>
      <c r="O540" s="1">
        <v>46156</v>
      </c>
      <c r="Q540" s="1">
        <v>46217</v>
      </c>
      <c r="R540" s="2">
        <v>95.74</v>
      </c>
      <c r="S540">
        <v>1</v>
      </c>
      <c r="T540" t="s">
        <v>58</v>
      </c>
      <c r="U540" t="s">
        <v>59</v>
      </c>
      <c r="V540" s="3">
        <v>0.75</v>
      </c>
      <c r="W540" s="2">
        <v>0</v>
      </c>
      <c r="X540">
        <v>0</v>
      </c>
      <c r="Y540" t="s">
        <v>60</v>
      </c>
      <c r="Z540" t="s">
        <v>239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71.8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46188</v>
      </c>
      <c r="B541" t="s">
        <v>48</v>
      </c>
      <c r="C541">
        <v>649163</v>
      </c>
      <c r="D541">
        <v>2035473799</v>
      </c>
      <c r="E541" t="s">
        <v>748</v>
      </c>
      <c r="F541" t="s">
        <v>256</v>
      </c>
      <c r="G541" t="s">
        <v>51</v>
      </c>
      <c r="H541" t="s">
        <v>83</v>
      </c>
      <c r="I541" t="s">
        <v>71</v>
      </c>
      <c r="J541" t="s">
        <v>72</v>
      </c>
      <c r="K541">
        <v>946134</v>
      </c>
      <c r="L541" t="s">
        <v>133</v>
      </c>
      <c r="M541" t="s">
        <v>134</v>
      </c>
      <c r="N541" t="s">
        <v>57</v>
      </c>
      <c r="O541" s="1">
        <v>46157</v>
      </c>
      <c r="Q541" s="1">
        <v>46218</v>
      </c>
      <c r="R541" s="2">
        <v>12.16</v>
      </c>
      <c r="S541">
        <v>1</v>
      </c>
      <c r="T541" t="s">
        <v>58</v>
      </c>
      <c r="U541" t="s">
        <v>59</v>
      </c>
      <c r="V541" s="3">
        <v>0.75</v>
      </c>
      <c r="W541" s="2">
        <v>0</v>
      </c>
      <c r="X541">
        <v>0</v>
      </c>
      <c r="Y541" t="s">
        <v>60</v>
      </c>
      <c r="Z541" t="s">
        <v>239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9.1199999999999992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46188</v>
      </c>
      <c r="B542" t="s">
        <v>48</v>
      </c>
      <c r="C542">
        <v>649163</v>
      </c>
      <c r="D542">
        <v>2035476716</v>
      </c>
      <c r="E542" t="s">
        <v>839</v>
      </c>
      <c r="F542" t="s">
        <v>840</v>
      </c>
      <c r="G542" t="s">
        <v>51</v>
      </c>
      <c r="H542" t="s">
        <v>193</v>
      </c>
      <c r="I542" t="s">
        <v>71</v>
      </c>
      <c r="J542" t="s">
        <v>78</v>
      </c>
      <c r="K542">
        <v>902625</v>
      </c>
      <c r="L542" t="s">
        <v>137</v>
      </c>
      <c r="M542" t="s">
        <v>138</v>
      </c>
      <c r="N542" t="s">
        <v>57</v>
      </c>
      <c r="O542" s="1">
        <v>46157</v>
      </c>
      <c r="Q542" s="1">
        <v>46218</v>
      </c>
      <c r="R542" s="2">
        <v>71.010000000000005</v>
      </c>
      <c r="S542">
        <v>1</v>
      </c>
      <c r="T542" t="s">
        <v>58</v>
      </c>
      <c r="U542" t="s">
        <v>59</v>
      </c>
      <c r="V542" s="3">
        <v>0.9</v>
      </c>
      <c r="W542" s="2">
        <v>0</v>
      </c>
      <c r="X542">
        <v>0</v>
      </c>
      <c r="Y542" t="s">
        <v>60</v>
      </c>
      <c r="Z542" t="s">
        <v>239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63.91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46188</v>
      </c>
      <c r="B543" t="s">
        <v>48</v>
      </c>
      <c r="C543">
        <v>649163</v>
      </c>
      <c r="D543">
        <v>2035482790</v>
      </c>
      <c r="E543" t="s">
        <v>841</v>
      </c>
      <c r="F543" t="s">
        <v>172</v>
      </c>
      <c r="G543" t="s">
        <v>51</v>
      </c>
      <c r="H543" t="s">
        <v>193</v>
      </c>
      <c r="I543" t="s">
        <v>71</v>
      </c>
      <c r="J543" t="s">
        <v>78</v>
      </c>
      <c r="K543">
        <v>652037</v>
      </c>
      <c r="L543" t="s">
        <v>64</v>
      </c>
      <c r="M543" t="s">
        <v>236</v>
      </c>
      <c r="N543" t="s">
        <v>57</v>
      </c>
      <c r="O543" s="1">
        <v>46157</v>
      </c>
      <c r="Q543" s="1">
        <v>46218</v>
      </c>
      <c r="R543" s="2">
        <v>32.630000000000003</v>
      </c>
      <c r="S543">
        <v>1</v>
      </c>
      <c r="T543" t="s">
        <v>58</v>
      </c>
      <c r="U543" t="s">
        <v>59</v>
      </c>
      <c r="V543" s="3">
        <v>0.9</v>
      </c>
      <c r="W543" s="2">
        <v>0</v>
      </c>
      <c r="X543">
        <v>0</v>
      </c>
      <c r="Y543" t="s">
        <v>60</v>
      </c>
      <c r="Z543" t="s">
        <v>239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29.37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46188</v>
      </c>
      <c r="B544" t="s">
        <v>48</v>
      </c>
      <c r="C544">
        <v>649163</v>
      </c>
      <c r="D544">
        <v>2035486373</v>
      </c>
      <c r="E544" t="s">
        <v>750</v>
      </c>
      <c r="F544" t="s">
        <v>751</v>
      </c>
      <c r="G544" t="s">
        <v>51</v>
      </c>
      <c r="H544" t="s">
        <v>305</v>
      </c>
      <c r="I544" t="s">
        <v>71</v>
      </c>
      <c r="J544" t="s">
        <v>309</v>
      </c>
      <c r="K544">
        <v>824082</v>
      </c>
      <c r="L544" t="s">
        <v>510</v>
      </c>
      <c r="M544" t="s">
        <v>511</v>
      </c>
      <c r="N544" t="s">
        <v>57</v>
      </c>
      <c r="O544" s="1">
        <v>46157</v>
      </c>
      <c r="Q544" s="1">
        <v>46218</v>
      </c>
      <c r="R544" s="2">
        <v>122.58</v>
      </c>
      <c r="S544">
        <v>1</v>
      </c>
      <c r="T544" t="s">
        <v>58</v>
      </c>
      <c r="U544" t="s">
        <v>59</v>
      </c>
      <c r="V544" s="3">
        <v>0.65</v>
      </c>
      <c r="W544" s="2">
        <v>0</v>
      </c>
      <c r="X544">
        <v>0</v>
      </c>
      <c r="Y544" t="s">
        <v>60</v>
      </c>
      <c r="Z544" t="s">
        <v>239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79.680000000000007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46188</v>
      </c>
      <c r="B545" t="s">
        <v>48</v>
      </c>
      <c r="C545">
        <v>649163</v>
      </c>
      <c r="D545">
        <v>2035502621</v>
      </c>
      <c r="E545" t="s">
        <v>357</v>
      </c>
      <c r="F545" t="s">
        <v>753</v>
      </c>
      <c r="G545" t="s">
        <v>51</v>
      </c>
      <c r="H545" t="s">
        <v>305</v>
      </c>
      <c r="I545" t="s">
        <v>71</v>
      </c>
      <c r="J545" t="s">
        <v>72</v>
      </c>
      <c r="K545">
        <v>796984</v>
      </c>
      <c r="L545" t="s">
        <v>306</v>
      </c>
      <c r="M545" t="s">
        <v>307</v>
      </c>
      <c r="N545" t="s">
        <v>57</v>
      </c>
      <c r="O545" s="1">
        <v>46158</v>
      </c>
      <c r="Q545" s="1">
        <v>46219</v>
      </c>
      <c r="R545" s="2">
        <v>9.2200000000000006</v>
      </c>
      <c r="S545">
        <v>1</v>
      </c>
      <c r="T545" t="s">
        <v>58</v>
      </c>
      <c r="U545" t="s">
        <v>59</v>
      </c>
      <c r="V545" s="3">
        <v>0.75</v>
      </c>
      <c r="W545" s="2">
        <v>0</v>
      </c>
      <c r="X545">
        <v>0</v>
      </c>
      <c r="Y545" t="s">
        <v>60</v>
      </c>
      <c r="Z545" t="s">
        <v>239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6.92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46188</v>
      </c>
      <c r="B546" t="s">
        <v>48</v>
      </c>
      <c r="C546">
        <v>649163</v>
      </c>
      <c r="D546">
        <v>2035865270</v>
      </c>
      <c r="E546" t="s">
        <v>758</v>
      </c>
      <c r="F546" t="s">
        <v>123</v>
      </c>
      <c r="G546" t="s">
        <v>51</v>
      </c>
      <c r="H546" t="s">
        <v>70</v>
      </c>
      <c r="I546" t="s">
        <v>71</v>
      </c>
      <c r="J546" t="s">
        <v>72</v>
      </c>
      <c r="K546">
        <v>856163</v>
      </c>
      <c r="L546" t="s">
        <v>73</v>
      </c>
      <c r="M546" t="s">
        <v>74</v>
      </c>
      <c r="N546" t="s">
        <v>57</v>
      </c>
      <c r="O546" s="1">
        <v>46204</v>
      </c>
      <c r="Q546" s="1">
        <v>46235</v>
      </c>
      <c r="R546" s="2">
        <v>-55</v>
      </c>
      <c r="S546">
        <v>1</v>
      </c>
      <c r="T546" t="s">
        <v>58</v>
      </c>
      <c r="U546" t="s">
        <v>759</v>
      </c>
      <c r="V546" s="3">
        <v>0.75</v>
      </c>
      <c r="W546" s="2">
        <v>0</v>
      </c>
      <c r="X546">
        <v>-1</v>
      </c>
      <c r="Y546" t="s">
        <v>60</v>
      </c>
      <c r="Z546" t="s">
        <v>239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-41.25</v>
      </c>
      <c r="AN546" s="2">
        <v>-41.25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46188</v>
      </c>
      <c r="B547" t="s">
        <v>48</v>
      </c>
      <c r="C547">
        <v>649163</v>
      </c>
      <c r="D547">
        <v>2023867556</v>
      </c>
      <c r="E547" t="s">
        <v>80</v>
      </c>
      <c r="F547" t="s">
        <v>842</v>
      </c>
      <c r="G547" t="s">
        <v>51</v>
      </c>
      <c r="H547" t="s">
        <v>52</v>
      </c>
      <c r="I547" t="s">
        <v>120</v>
      </c>
      <c r="J547" t="s">
        <v>811</v>
      </c>
      <c r="K547">
        <v>650218</v>
      </c>
      <c r="L547" t="s">
        <v>158</v>
      </c>
      <c r="M547" t="s">
        <v>159</v>
      </c>
      <c r="N547" t="s">
        <v>57</v>
      </c>
      <c r="O547" s="1">
        <v>45483</v>
      </c>
      <c r="Q547" s="1">
        <v>46213</v>
      </c>
      <c r="R547" s="2">
        <v>15</v>
      </c>
      <c r="S547">
        <v>1</v>
      </c>
      <c r="T547" t="s">
        <v>58</v>
      </c>
      <c r="U547" t="s">
        <v>237</v>
      </c>
      <c r="V547" s="3">
        <v>0.1</v>
      </c>
      <c r="W547" s="2">
        <v>0</v>
      </c>
      <c r="X547">
        <v>0</v>
      </c>
      <c r="Y547" t="s">
        <v>238</v>
      </c>
      <c r="Z547" t="s">
        <v>239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1.5</v>
      </c>
      <c r="AN547" s="2">
        <v>1.5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46188</v>
      </c>
      <c r="B548" t="s">
        <v>48</v>
      </c>
      <c r="C548">
        <v>649163</v>
      </c>
      <c r="D548">
        <v>2024372430</v>
      </c>
      <c r="E548" t="s">
        <v>760</v>
      </c>
      <c r="F548" t="s">
        <v>761</v>
      </c>
      <c r="G548" t="s">
        <v>51</v>
      </c>
      <c r="H548" t="s">
        <v>681</v>
      </c>
      <c r="I548" t="s">
        <v>120</v>
      </c>
      <c r="J548" t="s">
        <v>125</v>
      </c>
      <c r="K548">
        <v>669316</v>
      </c>
      <c r="L548" t="s">
        <v>762</v>
      </c>
      <c r="M548" t="s">
        <v>763</v>
      </c>
      <c r="N548" t="s">
        <v>57</v>
      </c>
      <c r="O548" s="1">
        <v>45518</v>
      </c>
      <c r="Q548" s="1">
        <v>46217</v>
      </c>
      <c r="R548" s="2">
        <v>15</v>
      </c>
      <c r="S548">
        <v>1</v>
      </c>
      <c r="T548" t="s">
        <v>58</v>
      </c>
      <c r="U548" t="s">
        <v>237</v>
      </c>
      <c r="V548" s="3">
        <v>0.28999999999999998</v>
      </c>
      <c r="W548" s="2">
        <v>0</v>
      </c>
      <c r="X548">
        <v>0</v>
      </c>
      <c r="Y548" t="s">
        <v>238</v>
      </c>
      <c r="Z548" t="s">
        <v>239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4.3499999999999996</v>
      </c>
      <c r="AN548" s="2">
        <v>4.3499999999999996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46188</v>
      </c>
      <c r="B549" t="s">
        <v>48</v>
      </c>
      <c r="C549">
        <v>649163</v>
      </c>
      <c r="D549">
        <v>2024853076</v>
      </c>
      <c r="E549" t="s">
        <v>394</v>
      </c>
      <c r="F549" t="s">
        <v>395</v>
      </c>
      <c r="G549" t="s">
        <v>51</v>
      </c>
      <c r="H549" t="s">
        <v>95</v>
      </c>
      <c r="I549" t="s">
        <v>120</v>
      </c>
      <c r="J549" t="s">
        <v>811</v>
      </c>
      <c r="K549">
        <v>650218</v>
      </c>
      <c r="L549" t="s">
        <v>158</v>
      </c>
      <c r="M549" t="s">
        <v>159</v>
      </c>
      <c r="N549" t="s">
        <v>57</v>
      </c>
      <c r="O549" s="1">
        <v>45550</v>
      </c>
      <c r="Q549" s="1">
        <v>46218</v>
      </c>
      <c r="R549" s="2">
        <v>15</v>
      </c>
      <c r="S549">
        <v>1</v>
      </c>
      <c r="T549" t="s">
        <v>58</v>
      </c>
      <c r="U549" t="s">
        <v>237</v>
      </c>
      <c r="V549" s="3">
        <v>0.1</v>
      </c>
      <c r="W549" s="2">
        <v>0</v>
      </c>
      <c r="X549">
        <v>0</v>
      </c>
      <c r="Y549" t="s">
        <v>238</v>
      </c>
      <c r="Z549" t="s">
        <v>239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1.5</v>
      </c>
      <c r="AN549" s="2">
        <v>1.5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46188</v>
      </c>
      <c r="B550" t="s">
        <v>48</v>
      </c>
      <c r="C550">
        <v>649163</v>
      </c>
      <c r="D550">
        <v>2026586623</v>
      </c>
      <c r="E550" t="s">
        <v>423</v>
      </c>
      <c r="F550" t="s">
        <v>424</v>
      </c>
      <c r="G550" t="s">
        <v>51</v>
      </c>
      <c r="H550" t="s">
        <v>234</v>
      </c>
      <c r="I550" t="s">
        <v>120</v>
      </c>
      <c r="J550" t="s">
        <v>811</v>
      </c>
      <c r="K550">
        <v>756418</v>
      </c>
      <c r="L550" t="s">
        <v>419</v>
      </c>
      <c r="M550" t="s">
        <v>420</v>
      </c>
      <c r="N550" t="s">
        <v>57</v>
      </c>
      <c r="O550" s="1">
        <v>45672</v>
      </c>
      <c r="Q550" s="1">
        <v>46218</v>
      </c>
      <c r="R550" s="2">
        <v>15</v>
      </c>
      <c r="S550">
        <v>1</v>
      </c>
      <c r="T550" t="s">
        <v>58</v>
      </c>
      <c r="U550" t="s">
        <v>237</v>
      </c>
      <c r="V550" s="3">
        <v>0.1</v>
      </c>
      <c r="W550" s="2">
        <v>0</v>
      </c>
      <c r="X550">
        <v>0</v>
      </c>
      <c r="Y550" t="s">
        <v>238</v>
      </c>
      <c r="Z550" t="s">
        <v>239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1.5</v>
      </c>
      <c r="AN550" s="2">
        <v>1.5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46188</v>
      </c>
      <c r="B551" t="s">
        <v>48</v>
      </c>
      <c r="C551">
        <v>649163</v>
      </c>
      <c r="D551">
        <v>2027080634</v>
      </c>
      <c r="E551" t="s">
        <v>843</v>
      </c>
      <c r="F551" t="s">
        <v>844</v>
      </c>
      <c r="G551" t="s">
        <v>51</v>
      </c>
      <c r="H551" t="s">
        <v>845</v>
      </c>
      <c r="I551" t="s">
        <v>120</v>
      </c>
      <c r="J551" t="s">
        <v>125</v>
      </c>
      <c r="K551">
        <v>824062</v>
      </c>
      <c r="L551" t="s">
        <v>385</v>
      </c>
      <c r="M551" t="s">
        <v>386</v>
      </c>
      <c r="N551" t="s">
        <v>57</v>
      </c>
      <c r="O551" s="1">
        <v>45701</v>
      </c>
      <c r="Q551" s="1">
        <v>46216</v>
      </c>
      <c r="R551" s="2">
        <v>15</v>
      </c>
      <c r="S551">
        <v>1</v>
      </c>
      <c r="T551" t="s">
        <v>58</v>
      </c>
      <c r="U551" t="s">
        <v>237</v>
      </c>
      <c r="V551" s="3">
        <v>0.28999999999999998</v>
      </c>
      <c r="W551" s="2">
        <v>0</v>
      </c>
      <c r="X551">
        <v>0</v>
      </c>
      <c r="Y551" t="s">
        <v>238</v>
      </c>
      <c r="Z551" t="s">
        <v>239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4.3499999999999996</v>
      </c>
      <c r="AN551" s="2">
        <v>4.3499999999999996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46188</v>
      </c>
      <c r="B552" t="s">
        <v>48</v>
      </c>
      <c r="C552">
        <v>649163</v>
      </c>
      <c r="D552">
        <v>2027849976</v>
      </c>
      <c r="E552" t="s">
        <v>436</v>
      </c>
      <c r="F552" t="s">
        <v>437</v>
      </c>
      <c r="G552" t="s">
        <v>51</v>
      </c>
      <c r="H552" t="s">
        <v>438</v>
      </c>
      <c r="I552" t="s">
        <v>120</v>
      </c>
      <c r="J552" t="s">
        <v>811</v>
      </c>
      <c r="K552">
        <v>650218</v>
      </c>
      <c r="L552" t="s">
        <v>158</v>
      </c>
      <c r="M552" t="s">
        <v>159</v>
      </c>
      <c r="N552" t="s">
        <v>57</v>
      </c>
      <c r="O552" s="1">
        <v>45733</v>
      </c>
      <c r="Q552" s="1">
        <v>46220</v>
      </c>
      <c r="R552" s="2">
        <v>15</v>
      </c>
      <c r="S552">
        <v>1</v>
      </c>
      <c r="T552" t="s">
        <v>58</v>
      </c>
      <c r="U552" t="s">
        <v>237</v>
      </c>
      <c r="V552" s="3">
        <v>0.1</v>
      </c>
      <c r="W552" s="2">
        <v>0</v>
      </c>
      <c r="X552">
        <v>0</v>
      </c>
      <c r="Y552" t="s">
        <v>238</v>
      </c>
      <c r="Z552" t="s">
        <v>239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1.5</v>
      </c>
      <c r="AN552" s="2">
        <v>1.5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46188</v>
      </c>
      <c r="B553" t="s">
        <v>48</v>
      </c>
      <c r="C553">
        <v>649163</v>
      </c>
      <c r="D553">
        <v>2028437289</v>
      </c>
      <c r="E553" t="s">
        <v>846</v>
      </c>
      <c r="F553" t="s">
        <v>847</v>
      </c>
      <c r="G553" t="s">
        <v>51</v>
      </c>
      <c r="H553" t="s">
        <v>165</v>
      </c>
      <c r="I553" t="s">
        <v>120</v>
      </c>
      <c r="J553" t="s">
        <v>125</v>
      </c>
      <c r="K553">
        <v>673059</v>
      </c>
      <c r="L553" t="s">
        <v>85</v>
      </c>
      <c r="M553" t="s">
        <v>86</v>
      </c>
      <c r="N553" t="s">
        <v>57</v>
      </c>
      <c r="O553" s="1">
        <v>45764</v>
      </c>
      <c r="Q553" s="1">
        <v>46220</v>
      </c>
      <c r="R553" s="2">
        <v>15</v>
      </c>
      <c r="S553">
        <v>1</v>
      </c>
      <c r="T553" t="s">
        <v>58</v>
      </c>
      <c r="U553" t="s">
        <v>237</v>
      </c>
      <c r="V553" s="3">
        <v>0.28999999999999998</v>
      </c>
      <c r="W553" s="2">
        <v>0</v>
      </c>
      <c r="X553">
        <v>0</v>
      </c>
      <c r="Y553" t="s">
        <v>238</v>
      </c>
      <c r="Z553" t="s">
        <v>239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4.3499999999999996</v>
      </c>
      <c r="AN553" s="2">
        <v>4.3499999999999996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46188</v>
      </c>
      <c r="B554" t="s">
        <v>48</v>
      </c>
      <c r="C554">
        <v>649163</v>
      </c>
      <c r="D554">
        <v>2028958359</v>
      </c>
      <c r="E554" t="s">
        <v>334</v>
      </c>
      <c r="F554" t="s">
        <v>335</v>
      </c>
      <c r="G554" t="s">
        <v>51</v>
      </c>
      <c r="H554" t="s">
        <v>119</v>
      </c>
      <c r="I554" t="s">
        <v>120</v>
      </c>
      <c r="J554" t="s">
        <v>141</v>
      </c>
      <c r="K554">
        <v>673059</v>
      </c>
      <c r="L554" t="s">
        <v>85</v>
      </c>
      <c r="M554" t="s">
        <v>86</v>
      </c>
      <c r="N554" t="s">
        <v>57</v>
      </c>
      <c r="O554" s="1">
        <v>45793</v>
      </c>
      <c r="Q554" s="1">
        <v>46219</v>
      </c>
      <c r="R554" s="2">
        <v>15</v>
      </c>
      <c r="S554">
        <v>1</v>
      </c>
      <c r="T554" t="s">
        <v>58</v>
      </c>
      <c r="U554" t="s">
        <v>237</v>
      </c>
      <c r="V554" s="3">
        <v>0.05</v>
      </c>
      <c r="W554" s="2">
        <v>0</v>
      </c>
      <c r="X554">
        <v>0</v>
      </c>
      <c r="Y554" t="s">
        <v>238</v>
      </c>
      <c r="Z554" t="s">
        <v>239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0.75</v>
      </c>
      <c r="AN554" s="2">
        <v>0.75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46188</v>
      </c>
      <c r="B555" t="s">
        <v>48</v>
      </c>
      <c r="C555">
        <v>649163</v>
      </c>
      <c r="D555">
        <v>2030028580</v>
      </c>
      <c r="E555" t="s">
        <v>848</v>
      </c>
      <c r="F555" t="s">
        <v>849</v>
      </c>
      <c r="G555" t="s">
        <v>51</v>
      </c>
      <c r="H555" t="s">
        <v>119</v>
      </c>
      <c r="I555" t="s">
        <v>120</v>
      </c>
      <c r="J555" t="s">
        <v>121</v>
      </c>
      <c r="K555">
        <v>768887</v>
      </c>
      <c r="L555" t="s">
        <v>321</v>
      </c>
      <c r="M555" t="s">
        <v>94</v>
      </c>
      <c r="N555" t="s">
        <v>57</v>
      </c>
      <c r="O555" s="1">
        <v>45857</v>
      </c>
      <c r="Q555" s="1">
        <v>46222</v>
      </c>
      <c r="R555" s="2">
        <v>15</v>
      </c>
      <c r="S555">
        <v>1</v>
      </c>
      <c r="T555" t="s">
        <v>58</v>
      </c>
      <c r="U555" t="s">
        <v>237</v>
      </c>
      <c r="V555" s="3">
        <v>0.38</v>
      </c>
      <c r="W555" s="2">
        <v>0</v>
      </c>
      <c r="X555">
        <v>0</v>
      </c>
      <c r="Y555" t="s">
        <v>60</v>
      </c>
      <c r="Z555" t="s">
        <v>239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5.7</v>
      </c>
      <c r="AN555" s="2">
        <v>5.7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46188</v>
      </c>
      <c r="B556" t="s">
        <v>48</v>
      </c>
      <c r="C556">
        <v>649163</v>
      </c>
      <c r="D556">
        <v>2030558289</v>
      </c>
      <c r="E556" t="s">
        <v>620</v>
      </c>
      <c r="F556" t="s">
        <v>850</v>
      </c>
      <c r="G556" t="s">
        <v>51</v>
      </c>
      <c r="H556" t="s">
        <v>186</v>
      </c>
      <c r="I556" t="s">
        <v>120</v>
      </c>
      <c r="J556" t="s">
        <v>121</v>
      </c>
      <c r="K556">
        <v>650218</v>
      </c>
      <c r="L556" t="s">
        <v>158</v>
      </c>
      <c r="M556" t="s">
        <v>159</v>
      </c>
      <c r="N556" t="s">
        <v>57</v>
      </c>
      <c r="O556" s="1">
        <v>45888</v>
      </c>
      <c r="Q556" s="1">
        <v>46222</v>
      </c>
      <c r="R556" s="2">
        <v>15</v>
      </c>
      <c r="S556">
        <v>1</v>
      </c>
      <c r="T556" t="s">
        <v>58</v>
      </c>
      <c r="U556" t="s">
        <v>237</v>
      </c>
      <c r="V556" s="3">
        <v>0.38</v>
      </c>
      <c r="W556" s="2">
        <v>0</v>
      </c>
      <c r="X556">
        <v>0</v>
      </c>
      <c r="Y556" t="s">
        <v>60</v>
      </c>
      <c r="Z556" t="s">
        <v>239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5.7</v>
      </c>
      <c r="AN556" s="2">
        <v>5.7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46188</v>
      </c>
      <c r="B557" t="s">
        <v>48</v>
      </c>
      <c r="C557">
        <v>649163</v>
      </c>
      <c r="D557">
        <v>2031110933</v>
      </c>
      <c r="E557" t="s">
        <v>765</v>
      </c>
      <c r="F557" t="s">
        <v>766</v>
      </c>
      <c r="G557" t="s">
        <v>51</v>
      </c>
      <c r="H557" t="s">
        <v>209</v>
      </c>
      <c r="I557" t="s">
        <v>120</v>
      </c>
      <c r="J557" t="s">
        <v>817</v>
      </c>
      <c r="K557">
        <v>877790</v>
      </c>
      <c r="L557" t="s">
        <v>229</v>
      </c>
      <c r="M557" t="s">
        <v>230</v>
      </c>
      <c r="N557" t="s">
        <v>57</v>
      </c>
      <c r="O557" s="1">
        <v>45918</v>
      </c>
      <c r="Q557" s="1">
        <v>46221</v>
      </c>
      <c r="R557" s="2">
        <v>15</v>
      </c>
      <c r="S557">
        <v>1</v>
      </c>
      <c r="T557" t="s">
        <v>58</v>
      </c>
      <c r="U557" t="s">
        <v>225</v>
      </c>
      <c r="V557" s="3">
        <v>0.19</v>
      </c>
      <c r="W557" s="2">
        <v>0</v>
      </c>
      <c r="X557">
        <v>0</v>
      </c>
      <c r="Y557" t="s">
        <v>60</v>
      </c>
      <c r="Z557" t="s">
        <v>239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2.85</v>
      </c>
      <c r="AN557" s="2">
        <v>2.85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46188</v>
      </c>
      <c r="B558" t="s">
        <v>48</v>
      </c>
      <c r="C558">
        <v>649163</v>
      </c>
      <c r="D558">
        <v>2031617149</v>
      </c>
      <c r="E558" t="s">
        <v>535</v>
      </c>
      <c r="F558" t="s">
        <v>335</v>
      </c>
      <c r="G558" t="s">
        <v>51</v>
      </c>
      <c r="H558" t="s">
        <v>119</v>
      </c>
      <c r="I558" t="s">
        <v>120</v>
      </c>
      <c r="J558" t="s">
        <v>121</v>
      </c>
      <c r="K558">
        <v>814033</v>
      </c>
      <c r="L558" t="s">
        <v>122</v>
      </c>
      <c r="M558" t="s">
        <v>123</v>
      </c>
      <c r="N558" t="s">
        <v>57</v>
      </c>
      <c r="O558" s="1">
        <v>45945</v>
      </c>
      <c r="Q558" s="1">
        <v>46218</v>
      </c>
      <c r="R558" s="2">
        <v>15</v>
      </c>
      <c r="S558">
        <v>1</v>
      </c>
      <c r="T558" t="s">
        <v>58</v>
      </c>
      <c r="U558" t="s">
        <v>124</v>
      </c>
      <c r="V558" s="3">
        <v>0.38</v>
      </c>
      <c r="W558" s="2">
        <v>0</v>
      </c>
      <c r="X558">
        <v>0</v>
      </c>
      <c r="Y558" t="s">
        <v>60</v>
      </c>
      <c r="Z558" t="s">
        <v>239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5.7</v>
      </c>
      <c r="AN558" s="2">
        <v>5.7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46188</v>
      </c>
      <c r="B559" t="s">
        <v>48</v>
      </c>
      <c r="C559">
        <v>649163</v>
      </c>
      <c r="D559">
        <v>2032175763</v>
      </c>
      <c r="E559" t="s">
        <v>768</v>
      </c>
      <c r="F559" t="s">
        <v>666</v>
      </c>
      <c r="G559" t="s">
        <v>51</v>
      </c>
      <c r="H559" t="s">
        <v>209</v>
      </c>
      <c r="I559" t="s">
        <v>120</v>
      </c>
      <c r="J559" t="s">
        <v>817</v>
      </c>
      <c r="K559">
        <v>898497</v>
      </c>
      <c r="L559" t="s">
        <v>769</v>
      </c>
      <c r="M559" t="s">
        <v>770</v>
      </c>
      <c r="N559" t="s">
        <v>57</v>
      </c>
      <c r="O559" s="1">
        <v>45976</v>
      </c>
      <c r="Q559" s="1">
        <v>46218</v>
      </c>
      <c r="R559" s="2">
        <v>15</v>
      </c>
      <c r="S559">
        <v>1</v>
      </c>
      <c r="T559" t="s">
        <v>58</v>
      </c>
      <c r="U559" t="s">
        <v>225</v>
      </c>
      <c r="V559" s="3">
        <v>0.19</v>
      </c>
      <c r="W559" s="2">
        <v>0</v>
      </c>
      <c r="X559">
        <v>0</v>
      </c>
      <c r="Y559" t="s">
        <v>60</v>
      </c>
      <c r="Z559" t="s">
        <v>239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2.85</v>
      </c>
      <c r="AN559" s="2">
        <v>2.85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46188</v>
      </c>
      <c r="B560" t="s">
        <v>48</v>
      </c>
      <c r="C560">
        <v>649163</v>
      </c>
      <c r="D560">
        <v>2032203620</v>
      </c>
      <c r="E560" t="s">
        <v>501</v>
      </c>
      <c r="F560" t="s">
        <v>262</v>
      </c>
      <c r="G560" t="s">
        <v>51</v>
      </c>
      <c r="H560" t="s">
        <v>95</v>
      </c>
      <c r="I560" t="s">
        <v>120</v>
      </c>
      <c r="J560" t="s">
        <v>125</v>
      </c>
      <c r="K560">
        <v>877182</v>
      </c>
      <c r="L560" t="s">
        <v>502</v>
      </c>
      <c r="M560" t="s">
        <v>503</v>
      </c>
      <c r="N560" t="s">
        <v>57</v>
      </c>
      <c r="O560" s="1">
        <v>45978</v>
      </c>
      <c r="Q560" s="1">
        <v>46220</v>
      </c>
      <c r="R560" s="2">
        <v>15</v>
      </c>
      <c r="S560">
        <v>1</v>
      </c>
      <c r="T560" t="s">
        <v>58</v>
      </c>
      <c r="U560" t="s">
        <v>231</v>
      </c>
      <c r="V560" s="3">
        <v>0.28999999999999998</v>
      </c>
      <c r="W560" s="2">
        <v>0</v>
      </c>
      <c r="X560">
        <v>0</v>
      </c>
      <c r="Y560" t="s">
        <v>60</v>
      </c>
      <c r="Z560" t="s">
        <v>239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4.3499999999999996</v>
      </c>
      <c r="AN560" s="2">
        <v>4.3499999999999996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46188</v>
      </c>
      <c r="B561" t="s">
        <v>48</v>
      </c>
      <c r="C561">
        <v>649163</v>
      </c>
      <c r="D561">
        <v>2032307211</v>
      </c>
      <c r="E561" t="s">
        <v>382</v>
      </c>
      <c r="F561" t="s">
        <v>383</v>
      </c>
      <c r="G561" t="s">
        <v>51</v>
      </c>
      <c r="H561" t="s">
        <v>95</v>
      </c>
      <c r="I561" t="s">
        <v>120</v>
      </c>
      <c r="J561" t="s">
        <v>121</v>
      </c>
      <c r="K561">
        <v>823350</v>
      </c>
      <c r="L561" t="s">
        <v>73</v>
      </c>
      <c r="M561" t="s">
        <v>116</v>
      </c>
      <c r="N561" t="s">
        <v>242</v>
      </c>
      <c r="O561" s="1">
        <v>46023</v>
      </c>
      <c r="P561" s="1">
        <v>46188</v>
      </c>
      <c r="Q561" s="1">
        <v>46204</v>
      </c>
      <c r="R561" s="2">
        <v>-10.5</v>
      </c>
      <c r="S561">
        <v>1</v>
      </c>
      <c r="T561" t="s">
        <v>58</v>
      </c>
      <c r="U561" t="s">
        <v>124</v>
      </c>
      <c r="V561" s="3">
        <v>0.38</v>
      </c>
      <c r="W561" s="2">
        <v>0</v>
      </c>
      <c r="X561">
        <v>-1</v>
      </c>
      <c r="Y561" t="s">
        <v>60</v>
      </c>
      <c r="Z561" t="s">
        <v>239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-3.99</v>
      </c>
      <c r="AN561" s="2">
        <v>-3.99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46188</v>
      </c>
      <c r="B562" t="s">
        <v>48</v>
      </c>
      <c r="C562">
        <v>649163</v>
      </c>
      <c r="D562">
        <v>2032445035</v>
      </c>
      <c r="E562" t="s">
        <v>384</v>
      </c>
      <c r="F562" t="s">
        <v>307</v>
      </c>
      <c r="G562" t="s">
        <v>51</v>
      </c>
      <c r="H562" t="s">
        <v>119</v>
      </c>
      <c r="I562" t="s">
        <v>120</v>
      </c>
      <c r="J562" t="s">
        <v>121</v>
      </c>
      <c r="K562">
        <v>824062</v>
      </c>
      <c r="L562" t="s">
        <v>385</v>
      </c>
      <c r="M562" t="s">
        <v>386</v>
      </c>
      <c r="N562" t="s">
        <v>57</v>
      </c>
      <c r="O562" s="1">
        <v>46006</v>
      </c>
      <c r="Q562" s="1">
        <v>46218</v>
      </c>
      <c r="R562" s="2">
        <v>15</v>
      </c>
      <c r="S562">
        <v>1</v>
      </c>
      <c r="T562" t="s">
        <v>58</v>
      </c>
      <c r="U562" t="s">
        <v>124</v>
      </c>
      <c r="V562" s="3">
        <v>0.38</v>
      </c>
      <c r="W562" s="2">
        <v>0</v>
      </c>
      <c r="X562">
        <v>0</v>
      </c>
      <c r="Y562" t="s">
        <v>60</v>
      </c>
      <c r="Z562" t="s">
        <v>239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5.7</v>
      </c>
      <c r="AN562" s="2">
        <v>5.7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46188</v>
      </c>
      <c r="B563" t="s">
        <v>48</v>
      </c>
      <c r="C563">
        <v>649163</v>
      </c>
      <c r="D563">
        <v>2032695214</v>
      </c>
      <c r="E563" t="s">
        <v>851</v>
      </c>
      <c r="F563" t="s">
        <v>852</v>
      </c>
      <c r="G563" t="s">
        <v>51</v>
      </c>
      <c r="H563" t="s">
        <v>111</v>
      </c>
      <c r="I563" t="s">
        <v>120</v>
      </c>
      <c r="J563" t="s">
        <v>811</v>
      </c>
      <c r="K563">
        <v>893408</v>
      </c>
      <c r="L563" t="s">
        <v>595</v>
      </c>
      <c r="M563" t="s">
        <v>596</v>
      </c>
      <c r="N563" t="s">
        <v>57</v>
      </c>
      <c r="O563" s="1">
        <v>46007</v>
      </c>
      <c r="Q563" s="1">
        <v>46219</v>
      </c>
      <c r="R563" s="2">
        <v>15</v>
      </c>
      <c r="S563">
        <v>1</v>
      </c>
      <c r="T563" t="s">
        <v>58</v>
      </c>
      <c r="U563" t="s">
        <v>59</v>
      </c>
      <c r="V563" s="3">
        <v>0.38</v>
      </c>
      <c r="W563" s="2">
        <v>0</v>
      </c>
      <c r="X563">
        <v>0</v>
      </c>
      <c r="Y563" t="s">
        <v>60</v>
      </c>
      <c r="Z563" t="s">
        <v>239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5.7</v>
      </c>
      <c r="AN563" s="2">
        <v>5.7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46188</v>
      </c>
      <c r="B564" t="s">
        <v>48</v>
      </c>
      <c r="C564">
        <v>649163</v>
      </c>
      <c r="D564">
        <v>2032729944</v>
      </c>
      <c r="E564" t="s">
        <v>773</v>
      </c>
      <c r="F564" t="s">
        <v>774</v>
      </c>
      <c r="G564" t="s">
        <v>51</v>
      </c>
      <c r="H564" t="s">
        <v>83</v>
      </c>
      <c r="I564" t="s">
        <v>120</v>
      </c>
      <c r="J564" t="s">
        <v>132</v>
      </c>
      <c r="K564">
        <v>728134</v>
      </c>
      <c r="L564" t="s">
        <v>775</v>
      </c>
      <c r="M564" t="s">
        <v>776</v>
      </c>
      <c r="N564" t="s">
        <v>242</v>
      </c>
      <c r="O564" s="1">
        <v>46022</v>
      </c>
      <c r="P564" s="1">
        <v>46188</v>
      </c>
      <c r="Q564" s="1">
        <v>46203</v>
      </c>
      <c r="R564" s="2">
        <v>-15</v>
      </c>
      <c r="S564">
        <v>1</v>
      </c>
      <c r="T564" t="s">
        <v>58</v>
      </c>
      <c r="U564" t="s">
        <v>772</v>
      </c>
      <c r="V564" s="3">
        <v>0.19</v>
      </c>
      <c r="W564" s="2">
        <v>0</v>
      </c>
      <c r="X564">
        <v>-1</v>
      </c>
      <c r="Y564" t="s">
        <v>60</v>
      </c>
      <c r="Z564" t="s">
        <v>239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-2.85</v>
      </c>
      <c r="AN564" s="2">
        <v>-2.85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46188</v>
      </c>
      <c r="B565" t="s">
        <v>48</v>
      </c>
      <c r="C565">
        <v>649163</v>
      </c>
      <c r="D565">
        <v>2032741115</v>
      </c>
      <c r="E565" t="s">
        <v>853</v>
      </c>
      <c r="F565" t="s">
        <v>494</v>
      </c>
      <c r="G565" t="s">
        <v>51</v>
      </c>
      <c r="H565" t="s">
        <v>119</v>
      </c>
      <c r="I565" t="s">
        <v>120</v>
      </c>
      <c r="J565" t="s">
        <v>811</v>
      </c>
      <c r="K565">
        <v>893408</v>
      </c>
      <c r="L565" t="s">
        <v>595</v>
      </c>
      <c r="M565" t="s">
        <v>596</v>
      </c>
      <c r="N565" t="s">
        <v>57</v>
      </c>
      <c r="O565" s="1">
        <v>46009</v>
      </c>
      <c r="Q565" s="1">
        <v>46221</v>
      </c>
      <c r="R565" s="2">
        <v>15</v>
      </c>
      <c r="S565">
        <v>1</v>
      </c>
      <c r="T565" t="s">
        <v>58</v>
      </c>
      <c r="U565" t="s">
        <v>59</v>
      </c>
      <c r="V565" s="3">
        <v>0.38</v>
      </c>
      <c r="W565" s="2">
        <v>0</v>
      </c>
      <c r="X565">
        <v>0</v>
      </c>
      <c r="Y565" t="s">
        <v>60</v>
      </c>
      <c r="Z565" t="s">
        <v>239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5.7</v>
      </c>
      <c r="AN565" s="2">
        <v>5.7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46188</v>
      </c>
      <c r="B566" t="s">
        <v>48</v>
      </c>
      <c r="C566">
        <v>649163</v>
      </c>
      <c r="D566">
        <v>2033115854</v>
      </c>
      <c r="E566" t="s">
        <v>620</v>
      </c>
      <c r="F566" t="s">
        <v>621</v>
      </c>
      <c r="G566" t="s">
        <v>51</v>
      </c>
      <c r="H566" t="s">
        <v>339</v>
      </c>
      <c r="I566" t="s">
        <v>120</v>
      </c>
      <c r="J566" t="s">
        <v>125</v>
      </c>
      <c r="K566">
        <v>753748</v>
      </c>
      <c r="L566" t="s">
        <v>619</v>
      </c>
      <c r="M566" t="s">
        <v>256</v>
      </c>
      <c r="N566" t="s">
        <v>57</v>
      </c>
      <c r="O566" s="1">
        <v>46035</v>
      </c>
      <c r="Q566" s="1">
        <v>46216</v>
      </c>
      <c r="R566" s="2">
        <v>15</v>
      </c>
      <c r="S566">
        <v>1</v>
      </c>
      <c r="T566" t="s">
        <v>58</v>
      </c>
      <c r="U566" t="s">
        <v>124</v>
      </c>
      <c r="V566" s="3">
        <v>0.28999999999999998</v>
      </c>
      <c r="W566" s="2">
        <v>0</v>
      </c>
      <c r="X566">
        <v>0</v>
      </c>
      <c r="Y566" t="s">
        <v>60</v>
      </c>
      <c r="Z566" t="s">
        <v>239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4.3499999999999996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46188</v>
      </c>
      <c r="B567" t="s">
        <v>48</v>
      </c>
      <c r="C567">
        <v>649163</v>
      </c>
      <c r="D567">
        <v>2033127916</v>
      </c>
      <c r="E567" t="s">
        <v>854</v>
      </c>
      <c r="F567" t="s">
        <v>855</v>
      </c>
      <c r="G567" t="s">
        <v>51</v>
      </c>
      <c r="H567" t="s">
        <v>83</v>
      </c>
      <c r="I567" t="s">
        <v>120</v>
      </c>
      <c r="J567" t="s">
        <v>811</v>
      </c>
      <c r="K567">
        <v>673059</v>
      </c>
      <c r="L567" t="s">
        <v>85</v>
      </c>
      <c r="M567" t="s">
        <v>86</v>
      </c>
      <c r="N567" t="s">
        <v>57</v>
      </c>
      <c r="O567" s="1">
        <v>46038</v>
      </c>
      <c r="Q567" s="1">
        <v>46219</v>
      </c>
      <c r="R567" s="2">
        <v>15</v>
      </c>
      <c r="S567">
        <v>1</v>
      </c>
      <c r="T567" t="s">
        <v>58</v>
      </c>
      <c r="U567" t="s">
        <v>59</v>
      </c>
      <c r="V567" s="3">
        <v>0.38</v>
      </c>
      <c r="W567" s="2">
        <v>0</v>
      </c>
      <c r="X567">
        <v>0</v>
      </c>
      <c r="Y567" t="s">
        <v>60</v>
      </c>
      <c r="Z567" t="s">
        <v>239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5.7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46188</v>
      </c>
      <c r="B568" t="s">
        <v>48</v>
      </c>
      <c r="C568">
        <v>649163</v>
      </c>
      <c r="D568">
        <v>2033132190</v>
      </c>
      <c r="E568" t="s">
        <v>629</v>
      </c>
      <c r="F568" t="s">
        <v>630</v>
      </c>
      <c r="G568" t="s">
        <v>51</v>
      </c>
      <c r="H568" t="s">
        <v>209</v>
      </c>
      <c r="I568" t="s">
        <v>120</v>
      </c>
      <c r="J568" t="s">
        <v>817</v>
      </c>
      <c r="K568">
        <v>877790</v>
      </c>
      <c r="L568" t="s">
        <v>229</v>
      </c>
      <c r="M568" t="s">
        <v>230</v>
      </c>
      <c r="N568" t="s">
        <v>57</v>
      </c>
      <c r="O568" s="1">
        <v>46037</v>
      </c>
      <c r="Q568" s="1">
        <v>46218</v>
      </c>
      <c r="R568" s="2">
        <v>15</v>
      </c>
      <c r="S568">
        <v>1</v>
      </c>
      <c r="T568" t="s">
        <v>58</v>
      </c>
      <c r="U568" t="s">
        <v>225</v>
      </c>
      <c r="V568" s="3">
        <v>0.19</v>
      </c>
      <c r="W568" s="2">
        <v>0</v>
      </c>
      <c r="X568">
        <v>0</v>
      </c>
      <c r="Y568" t="s">
        <v>60</v>
      </c>
      <c r="Z568" t="s">
        <v>239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2.85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46188</v>
      </c>
      <c r="B569" t="s">
        <v>48</v>
      </c>
      <c r="C569">
        <v>649163</v>
      </c>
      <c r="D569">
        <v>2033172631</v>
      </c>
      <c r="E569" t="s">
        <v>856</v>
      </c>
      <c r="F569" t="s">
        <v>262</v>
      </c>
      <c r="G569" t="s">
        <v>51</v>
      </c>
      <c r="H569" t="s">
        <v>292</v>
      </c>
      <c r="I569" t="s">
        <v>120</v>
      </c>
      <c r="J569" t="s">
        <v>121</v>
      </c>
      <c r="K569">
        <v>902625</v>
      </c>
      <c r="L569" t="s">
        <v>137</v>
      </c>
      <c r="M569" t="s">
        <v>138</v>
      </c>
      <c r="N569" t="s">
        <v>57</v>
      </c>
      <c r="O569" s="1">
        <v>46038</v>
      </c>
      <c r="Q569" s="1">
        <v>46219</v>
      </c>
      <c r="R569" s="2">
        <v>15</v>
      </c>
      <c r="S569">
        <v>1</v>
      </c>
      <c r="T569" t="s">
        <v>58</v>
      </c>
      <c r="U569" t="s">
        <v>124</v>
      </c>
      <c r="V569" s="3">
        <v>0.38</v>
      </c>
      <c r="W569" s="2">
        <v>0</v>
      </c>
      <c r="X569">
        <v>0</v>
      </c>
      <c r="Y569" t="s">
        <v>60</v>
      </c>
      <c r="Z569" t="s">
        <v>239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5.7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46188</v>
      </c>
      <c r="B570" t="s">
        <v>48</v>
      </c>
      <c r="C570">
        <v>649163</v>
      </c>
      <c r="D570">
        <v>2033621993</v>
      </c>
      <c r="E570" t="s">
        <v>187</v>
      </c>
      <c r="F570" t="s">
        <v>650</v>
      </c>
      <c r="G570" t="s">
        <v>51</v>
      </c>
      <c r="H570" t="s">
        <v>209</v>
      </c>
      <c r="I570" t="s">
        <v>120</v>
      </c>
      <c r="J570" t="s">
        <v>817</v>
      </c>
      <c r="K570">
        <v>942810</v>
      </c>
      <c r="L570" t="s">
        <v>651</v>
      </c>
      <c r="M570" t="s">
        <v>652</v>
      </c>
      <c r="N570" t="s">
        <v>57</v>
      </c>
      <c r="O570" s="1">
        <v>46066</v>
      </c>
      <c r="Q570" s="1">
        <v>46216</v>
      </c>
      <c r="R570" s="2">
        <v>15</v>
      </c>
      <c r="S570">
        <v>1</v>
      </c>
      <c r="T570" t="s">
        <v>58</v>
      </c>
      <c r="U570" t="s">
        <v>124</v>
      </c>
      <c r="V570" s="3">
        <v>0.19</v>
      </c>
      <c r="W570" s="2">
        <v>0</v>
      </c>
      <c r="X570">
        <v>0</v>
      </c>
      <c r="Y570" t="s">
        <v>60</v>
      </c>
      <c r="Z570" t="s">
        <v>239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2.85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46188</v>
      </c>
      <c r="B571" t="s">
        <v>48</v>
      </c>
      <c r="C571">
        <v>649163</v>
      </c>
      <c r="D571">
        <v>2034097892</v>
      </c>
      <c r="E571" t="s">
        <v>281</v>
      </c>
      <c r="F571" t="s">
        <v>76</v>
      </c>
      <c r="G571" t="s">
        <v>51</v>
      </c>
      <c r="H571" t="s">
        <v>145</v>
      </c>
      <c r="I571" t="s">
        <v>120</v>
      </c>
      <c r="J571" t="s">
        <v>125</v>
      </c>
      <c r="K571">
        <v>673059</v>
      </c>
      <c r="L571" t="s">
        <v>85</v>
      </c>
      <c r="M571" t="s">
        <v>86</v>
      </c>
      <c r="N571" t="s">
        <v>57</v>
      </c>
      <c r="O571" s="1">
        <v>46127</v>
      </c>
      <c r="Q571" s="1">
        <v>46218</v>
      </c>
      <c r="R571" s="2">
        <v>15</v>
      </c>
      <c r="S571">
        <v>1</v>
      </c>
      <c r="T571" t="s">
        <v>58</v>
      </c>
      <c r="U571" t="s">
        <v>124</v>
      </c>
      <c r="V571" s="3">
        <v>0.28999999999999998</v>
      </c>
      <c r="W571" s="2">
        <v>0</v>
      </c>
      <c r="X571">
        <v>0</v>
      </c>
      <c r="Y571" t="s">
        <v>60</v>
      </c>
      <c r="Z571" t="s">
        <v>239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4.3499999999999996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46188</v>
      </c>
      <c r="B572" t="s">
        <v>48</v>
      </c>
      <c r="C572">
        <v>649163</v>
      </c>
      <c r="D572">
        <v>2034306135</v>
      </c>
      <c r="E572" t="s">
        <v>675</v>
      </c>
      <c r="F572" t="s">
        <v>227</v>
      </c>
      <c r="G572" t="s">
        <v>51</v>
      </c>
      <c r="H572" t="s">
        <v>209</v>
      </c>
      <c r="I572" t="s">
        <v>120</v>
      </c>
      <c r="J572" t="s">
        <v>817</v>
      </c>
      <c r="K572">
        <v>651818</v>
      </c>
      <c r="L572" t="s">
        <v>79</v>
      </c>
      <c r="M572" t="s">
        <v>80</v>
      </c>
      <c r="N572" t="s">
        <v>57</v>
      </c>
      <c r="O572" s="1">
        <v>46094</v>
      </c>
      <c r="Q572" s="1">
        <v>46216</v>
      </c>
      <c r="R572" s="2">
        <v>15</v>
      </c>
      <c r="S572">
        <v>1</v>
      </c>
      <c r="T572" t="s">
        <v>58</v>
      </c>
      <c r="U572" t="s">
        <v>225</v>
      </c>
      <c r="V572" s="3">
        <v>0.19</v>
      </c>
      <c r="W572" s="2">
        <v>0</v>
      </c>
      <c r="X572">
        <v>0</v>
      </c>
      <c r="Y572" t="s">
        <v>60</v>
      </c>
      <c r="Z572" t="s">
        <v>239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2.85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46188</v>
      </c>
      <c r="B573" t="s">
        <v>48</v>
      </c>
      <c r="C573">
        <v>649163</v>
      </c>
      <c r="D573">
        <v>2034324487</v>
      </c>
      <c r="E573" t="s">
        <v>857</v>
      </c>
      <c r="F573" t="s">
        <v>858</v>
      </c>
      <c r="G573" t="s">
        <v>51</v>
      </c>
      <c r="H573" t="s">
        <v>119</v>
      </c>
      <c r="I573" t="s">
        <v>120</v>
      </c>
      <c r="J573" t="s">
        <v>859</v>
      </c>
      <c r="K573">
        <v>840313</v>
      </c>
      <c r="L573" t="s">
        <v>860</v>
      </c>
      <c r="M573" t="s">
        <v>861</v>
      </c>
      <c r="N573" t="s">
        <v>57</v>
      </c>
      <c r="O573" s="1">
        <v>46097</v>
      </c>
      <c r="Q573" s="1">
        <v>46219</v>
      </c>
      <c r="R573" s="2">
        <v>98.41</v>
      </c>
      <c r="S573">
        <v>1</v>
      </c>
      <c r="T573" t="s">
        <v>58</v>
      </c>
      <c r="U573" t="s">
        <v>59</v>
      </c>
      <c r="V573" s="3">
        <v>0.38</v>
      </c>
      <c r="W573" s="2">
        <v>0</v>
      </c>
      <c r="X573">
        <v>0</v>
      </c>
      <c r="Y573" t="s">
        <v>60</v>
      </c>
      <c r="Z573" t="s">
        <v>239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37.4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46188</v>
      </c>
      <c r="B574" t="s">
        <v>48</v>
      </c>
      <c r="C574">
        <v>649163</v>
      </c>
      <c r="D574">
        <v>2034324488</v>
      </c>
      <c r="E574" t="s">
        <v>857</v>
      </c>
      <c r="F574" t="s">
        <v>858</v>
      </c>
      <c r="G574" t="s">
        <v>51</v>
      </c>
      <c r="H574" t="s">
        <v>119</v>
      </c>
      <c r="I574" t="s">
        <v>120</v>
      </c>
      <c r="J574" t="s">
        <v>121</v>
      </c>
      <c r="K574">
        <v>840313</v>
      </c>
      <c r="L574" t="s">
        <v>860</v>
      </c>
      <c r="M574" t="s">
        <v>861</v>
      </c>
      <c r="N574" t="s">
        <v>57</v>
      </c>
      <c r="O574" s="1">
        <v>46097</v>
      </c>
      <c r="Q574" s="1">
        <v>46219</v>
      </c>
      <c r="R574" s="2">
        <v>15</v>
      </c>
      <c r="S574">
        <v>1</v>
      </c>
      <c r="T574" t="s">
        <v>58</v>
      </c>
      <c r="U574" t="s">
        <v>124</v>
      </c>
      <c r="V574" s="3">
        <v>0.38</v>
      </c>
      <c r="W574" s="2">
        <v>0</v>
      </c>
      <c r="X574">
        <v>0</v>
      </c>
      <c r="Y574" t="s">
        <v>60</v>
      </c>
      <c r="Z574" t="s">
        <v>239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5.7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46188</v>
      </c>
      <c r="B575" t="s">
        <v>48</v>
      </c>
      <c r="C575">
        <v>649163</v>
      </c>
      <c r="D575">
        <v>2034385371</v>
      </c>
      <c r="E575" t="s">
        <v>684</v>
      </c>
      <c r="F575" t="s">
        <v>685</v>
      </c>
      <c r="G575" t="s">
        <v>51</v>
      </c>
      <c r="H575" t="s">
        <v>119</v>
      </c>
      <c r="I575" t="s">
        <v>120</v>
      </c>
      <c r="J575" t="s">
        <v>811</v>
      </c>
      <c r="K575">
        <v>756803</v>
      </c>
      <c r="L575" t="s">
        <v>521</v>
      </c>
      <c r="M575" t="s">
        <v>370</v>
      </c>
      <c r="N575" t="s">
        <v>57</v>
      </c>
      <c r="O575" s="1">
        <v>46098</v>
      </c>
      <c r="Q575" s="1">
        <v>46220</v>
      </c>
      <c r="R575" s="2">
        <v>15</v>
      </c>
      <c r="S575">
        <v>1</v>
      </c>
      <c r="T575" t="s">
        <v>58</v>
      </c>
      <c r="U575" t="s">
        <v>59</v>
      </c>
      <c r="V575" s="3">
        <v>0.38</v>
      </c>
      <c r="W575" s="2">
        <v>0</v>
      </c>
      <c r="X575">
        <v>0</v>
      </c>
      <c r="Y575" t="s">
        <v>60</v>
      </c>
      <c r="Z575" t="s">
        <v>239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5.7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46188</v>
      </c>
      <c r="B576" t="s">
        <v>48</v>
      </c>
      <c r="C576">
        <v>649163</v>
      </c>
      <c r="D576">
        <v>2034695181</v>
      </c>
      <c r="E576" t="s">
        <v>693</v>
      </c>
      <c r="F576" t="s">
        <v>694</v>
      </c>
      <c r="G576" t="s">
        <v>51</v>
      </c>
      <c r="H576" t="s">
        <v>165</v>
      </c>
      <c r="I576" t="s">
        <v>120</v>
      </c>
      <c r="J576" t="s">
        <v>125</v>
      </c>
      <c r="K576">
        <v>651818</v>
      </c>
      <c r="L576" t="s">
        <v>79</v>
      </c>
      <c r="M576" t="s">
        <v>80</v>
      </c>
      <c r="N576" t="s">
        <v>57</v>
      </c>
      <c r="O576" s="1">
        <v>46127</v>
      </c>
      <c r="Q576" s="1">
        <v>46218</v>
      </c>
      <c r="R576" s="2">
        <v>15</v>
      </c>
      <c r="S576">
        <v>1</v>
      </c>
      <c r="T576" t="s">
        <v>58</v>
      </c>
      <c r="U576" t="s">
        <v>124</v>
      </c>
      <c r="V576" s="3">
        <v>0.28999999999999998</v>
      </c>
      <c r="W576" s="2">
        <v>0</v>
      </c>
      <c r="X576">
        <v>0</v>
      </c>
      <c r="Y576" t="s">
        <v>60</v>
      </c>
      <c r="Z576" t="s">
        <v>239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4.3499999999999996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46188</v>
      </c>
      <c r="B577" t="s">
        <v>48</v>
      </c>
      <c r="C577">
        <v>649163</v>
      </c>
      <c r="D577">
        <v>2034867130</v>
      </c>
      <c r="E577" t="s">
        <v>702</v>
      </c>
      <c r="F577" t="s">
        <v>703</v>
      </c>
      <c r="G577" t="s">
        <v>51</v>
      </c>
      <c r="H577" t="s">
        <v>209</v>
      </c>
      <c r="I577" t="s">
        <v>120</v>
      </c>
      <c r="J577" t="s">
        <v>817</v>
      </c>
      <c r="K577">
        <v>942810</v>
      </c>
      <c r="L577" t="s">
        <v>651</v>
      </c>
      <c r="M577" t="s">
        <v>652</v>
      </c>
      <c r="N577" t="s">
        <v>57</v>
      </c>
      <c r="O577" s="1">
        <v>46129</v>
      </c>
      <c r="Q577" s="1">
        <v>46220</v>
      </c>
      <c r="R577" s="2">
        <v>15</v>
      </c>
      <c r="S577">
        <v>1</v>
      </c>
      <c r="T577" t="s">
        <v>58</v>
      </c>
      <c r="U577" t="s">
        <v>225</v>
      </c>
      <c r="V577" s="3">
        <v>0.19</v>
      </c>
      <c r="W577" s="2">
        <v>0</v>
      </c>
      <c r="X577">
        <v>0</v>
      </c>
      <c r="Y577" t="s">
        <v>60</v>
      </c>
      <c r="Z577" t="s">
        <v>239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2.85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46188</v>
      </c>
      <c r="B578" t="s">
        <v>48</v>
      </c>
      <c r="C578">
        <v>649163</v>
      </c>
      <c r="D578">
        <v>2035383816</v>
      </c>
      <c r="E578" t="s">
        <v>538</v>
      </c>
      <c r="F578" t="s">
        <v>782</v>
      </c>
      <c r="G578" t="s">
        <v>51</v>
      </c>
      <c r="H578" t="s">
        <v>77</v>
      </c>
      <c r="I578" t="s">
        <v>120</v>
      </c>
      <c r="J578" t="s">
        <v>125</v>
      </c>
      <c r="K578">
        <v>756418</v>
      </c>
      <c r="L578" t="s">
        <v>419</v>
      </c>
      <c r="M578" t="s">
        <v>420</v>
      </c>
      <c r="N578" t="s">
        <v>242</v>
      </c>
      <c r="O578" s="1">
        <v>46151</v>
      </c>
      <c r="P578" s="1">
        <v>46188</v>
      </c>
      <c r="Q578" s="1">
        <v>46212</v>
      </c>
      <c r="R578" s="2">
        <v>-15</v>
      </c>
      <c r="S578">
        <v>1</v>
      </c>
      <c r="T578" t="s">
        <v>58</v>
      </c>
      <c r="U578" t="s">
        <v>772</v>
      </c>
      <c r="V578" s="3">
        <v>0.28999999999999998</v>
      </c>
      <c r="W578" s="2">
        <v>0</v>
      </c>
      <c r="X578">
        <v>-1</v>
      </c>
      <c r="Y578" t="s">
        <v>60</v>
      </c>
      <c r="Z578" t="s">
        <v>239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-4.3499999999999996</v>
      </c>
      <c r="AN578" s="2">
        <v>-4.3499999999999996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46188</v>
      </c>
      <c r="B579" t="s">
        <v>48</v>
      </c>
      <c r="C579">
        <v>649163</v>
      </c>
      <c r="D579">
        <v>2035463448</v>
      </c>
      <c r="E579" t="s">
        <v>726</v>
      </c>
      <c r="F579" t="s">
        <v>862</v>
      </c>
      <c r="G579" t="s">
        <v>51</v>
      </c>
      <c r="H579" t="s">
        <v>119</v>
      </c>
      <c r="I579" t="s">
        <v>120</v>
      </c>
      <c r="J579" t="s">
        <v>121</v>
      </c>
      <c r="K579">
        <v>814033</v>
      </c>
      <c r="L579" t="s">
        <v>122</v>
      </c>
      <c r="M579" t="s">
        <v>123</v>
      </c>
      <c r="N579" t="s">
        <v>57</v>
      </c>
      <c r="O579" s="1">
        <v>46157</v>
      </c>
      <c r="Q579" s="1">
        <v>46218</v>
      </c>
      <c r="R579" s="2">
        <v>15</v>
      </c>
      <c r="S579">
        <v>1</v>
      </c>
      <c r="T579" t="s">
        <v>58</v>
      </c>
      <c r="U579" t="s">
        <v>124</v>
      </c>
      <c r="V579" s="3">
        <v>0.38</v>
      </c>
      <c r="W579" s="2">
        <v>0</v>
      </c>
      <c r="X579">
        <v>0</v>
      </c>
      <c r="Y579" t="s">
        <v>60</v>
      </c>
      <c r="Z579" t="s">
        <v>239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5.7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46188</v>
      </c>
      <c r="B580" t="s">
        <v>48</v>
      </c>
      <c r="C580">
        <v>649163</v>
      </c>
      <c r="D580">
        <v>2035473801</v>
      </c>
      <c r="E580" t="s">
        <v>748</v>
      </c>
      <c r="F580" t="s">
        <v>256</v>
      </c>
      <c r="G580" t="s">
        <v>51</v>
      </c>
      <c r="H580" t="s">
        <v>83</v>
      </c>
      <c r="I580" t="s">
        <v>120</v>
      </c>
      <c r="J580" t="s">
        <v>132</v>
      </c>
      <c r="K580">
        <v>946134</v>
      </c>
      <c r="L580" t="s">
        <v>133</v>
      </c>
      <c r="M580" t="s">
        <v>134</v>
      </c>
      <c r="N580" t="s">
        <v>57</v>
      </c>
      <c r="O580" s="1">
        <v>46157</v>
      </c>
      <c r="Q580" s="1">
        <v>46218</v>
      </c>
      <c r="R580" s="2">
        <v>15</v>
      </c>
      <c r="S580">
        <v>1</v>
      </c>
      <c r="T580" t="s">
        <v>58</v>
      </c>
      <c r="U580" t="s">
        <v>124</v>
      </c>
      <c r="V580" s="3">
        <v>0.19</v>
      </c>
      <c r="W580" s="2">
        <v>0</v>
      </c>
      <c r="X580">
        <v>0</v>
      </c>
      <c r="Y580" t="s">
        <v>60</v>
      </c>
      <c r="Z580" t="s">
        <v>239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2.85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46188</v>
      </c>
      <c r="B581" t="s">
        <v>48</v>
      </c>
      <c r="C581">
        <v>649163</v>
      </c>
      <c r="D581">
        <v>2016549422</v>
      </c>
      <c r="E581" t="s">
        <v>863</v>
      </c>
      <c r="F581" t="s">
        <v>354</v>
      </c>
      <c r="G581" t="s">
        <v>51</v>
      </c>
      <c r="H581" t="s">
        <v>52</v>
      </c>
      <c r="I581" t="s">
        <v>146</v>
      </c>
      <c r="J581" t="s">
        <v>147</v>
      </c>
      <c r="K581">
        <v>650794</v>
      </c>
      <c r="L581" t="s">
        <v>64</v>
      </c>
      <c r="M581" t="s">
        <v>65</v>
      </c>
      <c r="N581" t="s">
        <v>57</v>
      </c>
      <c r="O581" s="1">
        <v>44849</v>
      </c>
      <c r="Q581" s="1">
        <v>46218</v>
      </c>
      <c r="R581" s="2">
        <v>149.46</v>
      </c>
      <c r="S581">
        <v>1</v>
      </c>
      <c r="T581" t="s">
        <v>58</v>
      </c>
      <c r="U581" t="s">
        <v>237</v>
      </c>
      <c r="V581" s="3">
        <v>0.06</v>
      </c>
      <c r="W581" s="2">
        <v>0</v>
      </c>
      <c r="X581">
        <v>0</v>
      </c>
      <c r="Y581" t="s">
        <v>238</v>
      </c>
      <c r="Z581" t="s">
        <v>239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8.9700000000000006</v>
      </c>
      <c r="AN581" s="2">
        <v>8.9700000000000006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46188</v>
      </c>
      <c r="B582" t="s">
        <v>48</v>
      </c>
      <c r="C582">
        <v>649163</v>
      </c>
      <c r="D582">
        <v>2017069747</v>
      </c>
      <c r="E582" t="s">
        <v>864</v>
      </c>
      <c r="F582" t="s">
        <v>227</v>
      </c>
      <c r="G582" t="s">
        <v>51</v>
      </c>
      <c r="H582" t="s">
        <v>52</v>
      </c>
      <c r="I582" t="s">
        <v>146</v>
      </c>
      <c r="J582" t="s">
        <v>147</v>
      </c>
      <c r="K582">
        <v>650794</v>
      </c>
      <c r="L582" t="s">
        <v>64</v>
      </c>
      <c r="M582" t="s">
        <v>65</v>
      </c>
      <c r="N582" t="s">
        <v>57</v>
      </c>
      <c r="O582" s="1">
        <v>44909</v>
      </c>
      <c r="Q582" s="1">
        <v>46217</v>
      </c>
      <c r="R582" s="2">
        <v>36.65</v>
      </c>
      <c r="S582">
        <v>1</v>
      </c>
      <c r="T582" t="s">
        <v>58</v>
      </c>
      <c r="U582" t="s">
        <v>237</v>
      </c>
      <c r="V582" s="3">
        <v>0.06</v>
      </c>
      <c r="W582" s="2">
        <v>0</v>
      </c>
      <c r="X582">
        <v>0</v>
      </c>
      <c r="Y582" t="s">
        <v>238</v>
      </c>
      <c r="Z582" t="s">
        <v>239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2.2000000000000002</v>
      </c>
      <c r="AN582" s="2">
        <v>2.2000000000000002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46188</v>
      </c>
      <c r="B583" t="s">
        <v>48</v>
      </c>
      <c r="C583">
        <v>649163</v>
      </c>
      <c r="D583">
        <v>2017683726</v>
      </c>
      <c r="E583" t="s">
        <v>381</v>
      </c>
      <c r="F583" t="s">
        <v>865</v>
      </c>
      <c r="G583" t="s">
        <v>51</v>
      </c>
      <c r="H583" t="s">
        <v>95</v>
      </c>
      <c r="I583" t="s">
        <v>146</v>
      </c>
      <c r="J583" t="s">
        <v>147</v>
      </c>
      <c r="K583">
        <v>649793</v>
      </c>
      <c r="L583" t="s">
        <v>85</v>
      </c>
      <c r="M583" t="s">
        <v>866</v>
      </c>
      <c r="N583" t="s">
        <v>57</v>
      </c>
      <c r="O583" s="1">
        <v>44974</v>
      </c>
      <c r="Q583" s="1">
        <v>46220</v>
      </c>
      <c r="R583" s="2">
        <v>31.88</v>
      </c>
      <c r="S583">
        <v>1</v>
      </c>
      <c r="T583" t="s">
        <v>58</v>
      </c>
      <c r="U583" t="s">
        <v>237</v>
      </c>
      <c r="V583" s="3">
        <v>0.06</v>
      </c>
      <c r="W583" s="2">
        <v>0</v>
      </c>
      <c r="X583">
        <v>0</v>
      </c>
      <c r="Y583" t="s">
        <v>238</v>
      </c>
      <c r="Z583" t="s">
        <v>239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1.91</v>
      </c>
      <c r="AN583" s="2">
        <v>1.91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46188</v>
      </c>
      <c r="B584" t="s">
        <v>48</v>
      </c>
      <c r="C584">
        <v>649163</v>
      </c>
      <c r="D584">
        <v>2019352254</v>
      </c>
      <c r="E584" t="s">
        <v>867</v>
      </c>
      <c r="F584" t="s">
        <v>868</v>
      </c>
      <c r="G584" t="s">
        <v>51</v>
      </c>
      <c r="H584" t="s">
        <v>52</v>
      </c>
      <c r="I584" t="s">
        <v>146</v>
      </c>
      <c r="J584" t="s">
        <v>147</v>
      </c>
      <c r="K584">
        <v>649247</v>
      </c>
      <c r="L584" t="s">
        <v>791</v>
      </c>
      <c r="M584" t="s">
        <v>792</v>
      </c>
      <c r="N584" t="s">
        <v>57</v>
      </c>
      <c r="O584" s="1">
        <v>45120</v>
      </c>
      <c r="Q584" s="1">
        <v>46216</v>
      </c>
      <c r="R584" s="2">
        <v>49.98</v>
      </c>
      <c r="S584">
        <v>1</v>
      </c>
      <c r="T584" t="s">
        <v>58</v>
      </c>
      <c r="U584" t="s">
        <v>237</v>
      </c>
      <c r="V584" s="3">
        <v>0.06</v>
      </c>
      <c r="W584" s="2">
        <v>0</v>
      </c>
      <c r="X584">
        <v>0</v>
      </c>
      <c r="Y584" t="s">
        <v>238</v>
      </c>
      <c r="Z584" t="s">
        <v>239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3</v>
      </c>
      <c r="AN584" s="2">
        <v>3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46188</v>
      </c>
      <c r="B585" t="s">
        <v>48</v>
      </c>
      <c r="C585">
        <v>649163</v>
      </c>
      <c r="D585">
        <v>2019766639</v>
      </c>
      <c r="E585" t="s">
        <v>869</v>
      </c>
      <c r="F585" t="s">
        <v>734</v>
      </c>
      <c r="G585" t="s">
        <v>51</v>
      </c>
      <c r="H585" t="s">
        <v>119</v>
      </c>
      <c r="I585" t="s">
        <v>146</v>
      </c>
      <c r="J585" t="s">
        <v>147</v>
      </c>
      <c r="K585">
        <v>673059</v>
      </c>
      <c r="L585" t="s">
        <v>85</v>
      </c>
      <c r="M585" t="s">
        <v>86</v>
      </c>
      <c r="N585" t="s">
        <v>57</v>
      </c>
      <c r="O585" s="1">
        <v>45157</v>
      </c>
      <c r="Q585" s="1">
        <v>46222</v>
      </c>
      <c r="R585" s="2">
        <v>72.77</v>
      </c>
      <c r="S585">
        <v>1</v>
      </c>
      <c r="T585" t="s">
        <v>58</v>
      </c>
      <c r="U585" t="s">
        <v>237</v>
      </c>
      <c r="V585" s="3">
        <v>0.06</v>
      </c>
      <c r="W585" s="2">
        <v>0</v>
      </c>
      <c r="X585">
        <v>0</v>
      </c>
      <c r="Y585" t="s">
        <v>238</v>
      </c>
      <c r="Z585" t="s">
        <v>239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4.37</v>
      </c>
      <c r="AN585" s="2">
        <v>4.37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46188</v>
      </c>
      <c r="B586" t="s">
        <v>48</v>
      </c>
      <c r="C586">
        <v>649163</v>
      </c>
      <c r="D586">
        <v>2020037859</v>
      </c>
      <c r="E586" t="s">
        <v>870</v>
      </c>
      <c r="F586" t="s">
        <v>227</v>
      </c>
      <c r="G586" t="s">
        <v>51</v>
      </c>
      <c r="H586" t="s">
        <v>52</v>
      </c>
      <c r="I586" t="s">
        <v>146</v>
      </c>
      <c r="J586" t="s">
        <v>147</v>
      </c>
      <c r="K586">
        <v>702406</v>
      </c>
      <c r="L586" t="s">
        <v>555</v>
      </c>
      <c r="M586" t="s">
        <v>175</v>
      </c>
      <c r="N586" t="s">
        <v>57</v>
      </c>
      <c r="O586" s="1">
        <v>45182</v>
      </c>
      <c r="Q586" s="1">
        <v>46216</v>
      </c>
      <c r="R586" s="2">
        <v>151.88</v>
      </c>
      <c r="S586">
        <v>1</v>
      </c>
      <c r="T586" t="s">
        <v>58</v>
      </c>
      <c r="U586" t="s">
        <v>237</v>
      </c>
      <c r="V586" s="3">
        <v>0.06</v>
      </c>
      <c r="W586" s="2">
        <v>0</v>
      </c>
      <c r="X586">
        <v>0</v>
      </c>
      <c r="Y586" t="s">
        <v>238</v>
      </c>
      <c r="Z586" t="s">
        <v>239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9.11</v>
      </c>
      <c r="AN586" s="2">
        <v>9.11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46188</v>
      </c>
      <c r="B587" t="s">
        <v>48</v>
      </c>
      <c r="C587">
        <v>649163</v>
      </c>
      <c r="D587">
        <v>2020039861</v>
      </c>
      <c r="E587" t="s">
        <v>535</v>
      </c>
      <c r="F587" t="s">
        <v>871</v>
      </c>
      <c r="G587" t="s">
        <v>51</v>
      </c>
      <c r="H587" t="s">
        <v>119</v>
      </c>
      <c r="I587" t="s">
        <v>146</v>
      </c>
      <c r="J587" t="s">
        <v>147</v>
      </c>
      <c r="K587">
        <v>673059</v>
      </c>
      <c r="L587" t="s">
        <v>85</v>
      </c>
      <c r="M587" t="s">
        <v>86</v>
      </c>
      <c r="N587" t="s">
        <v>57</v>
      </c>
      <c r="O587" s="1">
        <v>45182</v>
      </c>
      <c r="Q587" s="1">
        <v>46216</v>
      </c>
      <c r="R587" s="2">
        <v>53.57</v>
      </c>
      <c r="S587">
        <v>1</v>
      </c>
      <c r="T587" t="s">
        <v>58</v>
      </c>
      <c r="U587" t="s">
        <v>237</v>
      </c>
      <c r="V587" s="3">
        <v>0.06</v>
      </c>
      <c r="W587" s="2">
        <v>0</v>
      </c>
      <c r="X587">
        <v>0</v>
      </c>
      <c r="Y587" t="s">
        <v>238</v>
      </c>
      <c r="Z587" t="s">
        <v>239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3.21</v>
      </c>
      <c r="AN587" s="2">
        <v>3.21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46188</v>
      </c>
      <c r="B588" t="s">
        <v>48</v>
      </c>
      <c r="C588">
        <v>649163</v>
      </c>
      <c r="D588">
        <v>2020776384</v>
      </c>
      <c r="E588" t="s">
        <v>872</v>
      </c>
      <c r="F588" t="s">
        <v>873</v>
      </c>
      <c r="G588" t="s">
        <v>51</v>
      </c>
      <c r="H588" t="s">
        <v>52</v>
      </c>
      <c r="I588" t="s">
        <v>146</v>
      </c>
      <c r="J588" t="s">
        <v>147</v>
      </c>
      <c r="K588">
        <v>702406</v>
      </c>
      <c r="L588" t="s">
        <v>555</v>
      </c>
      <c r="M588" t="s">
        <v>175</v>
      </c>
      <c r="N588" t="s">
        <v>57</v>
      </c>
      <c r="O588" s="1">
        <v>45244</v>
      </c>
      <c r="Q588" s="1">
        <v>46217</v>
      </c>
      <c r="R588" s="2">
        <v>119.58</v>
      </c>
      <c r="S588">
        <v>1</v>
      </c>
      <c r="T588" t="s">
        <v>58</v>
      </c>
      <c r="U588" t="s">
        <v>237</v>
      </c>
      <c r="V588" s="3">
        <v>0.06</v>
      </c>
      <c r="W588" s="2">
        <v>0</v>
      </c>
      <c r="X588">
        <v>0</v>
      </c>
      <c r="Y588" t="s">
        <v>238</v>
      </c>
      <c r="Z588" t="s">
        <v>239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7.17</v>
      </c>
      <c r="AN588" s="2">
        <v>7.17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46188</v>
      </c>
      <c r="B589" t="s">
        <v>48</v>
      </c>
      <c r="C589">
        <v>649163</v>
      </c>
      <c r="D589">
        <v>2023316630</v>
      </c>
      <c r="E589" t="s">
        <v>874</v>
      </c>
      <c r="F589" t="s">
        <v>875</v>
      </c>
      <c r="G589" t="s">
        <v>51</v>
      </c>
      <c r="H589" t="s">
        <v>209</v>
      </c>
      <c r="I589" t="s">
        <v>146</v>
      </c>
      <c r="J589" t="s">
        <v>147</v>
      </c>
      <c r="K589">
        <v>673059</v>
      </c>
      <c r="L589" t="s">
        <v>85</v>
      </c>
      <c r="M589" t="s">
        <v>86</v>
      </c>
      <c r="N589" t="s">
        <v>57</v>
      </c>
      <c r="O589" s="1">
        <v>45461</v>
      </c>
      <c r="Q589" s="1">
        <v>46221</v>
      </c>
      <c r="R589" s="2">
        <v>50.33</v>
      </c>
      <c r="S589">
        <v>1</v>
      </c>
      <c r="T589" t="s">
        <v>58</v>
      </c>
      <c r="U589" t="s">
        <v>237</v>
      </c>
      <c r="V589" s="3">
        <v>0.06</v>
      </c>
      <c r="W589" s="2">
        <v>0</v>
      </c>
      <c r="X589">
        <v>0</v>
      </c>
      <c r="Y589" t="s">
        <v>238</v>
      </c>
      <c r="Z589" t="s">
        <v>239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3.02</v>
      </c>
      <c r="AN589" s="2">
        <v>3.02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46188</v>
      </c>
      <c r="B590" t="s">
        <v>48</v>
      </c>
      <c r="C590">
        <v>649163</v>
      </c>
      <c r="D590">
        <v>2023499226</v>
      </c>
      <c r="E590" t="s">
        <v>243</v>
      </c>
      <c r="F590" t="s">
        <v>244</v>
      </c>
      <c r="G590" t="s">
        <v>51</v>
      </c>
      <c r="H590" t="s">
        <v>245</v>
      </c>
      <c r="I590" t="s">
        <v>146</v>
      </c>
      <c r="J590" t="s">
        <v>147</v>
      </c>
      <c r="K590">
        <v>751867</v>
      </c>
      <c r="L590" t="s">
        <v>55</v>
      </c>
      <c r="M590" t="s">
        <v>56</v>
      </c>
      <c r="N590" t="s">
        <v>57</v>
      </c>
      <c r="O590" s="1">
        <v>45456</v>
      </c>
      <c r="Q590" s="1">
        <v>46216</v>
      </c>
      <c r="R590" s="2">
        <v>33.479999999999997</v>
      </c>
      <c r="S590">
        <v>1</v>
      </c>
      <c r="T590" t="s">
        <v>58</v>
      </c>
      <c r="U590" t="s">
        <v>237</v>
      </c>
      <c r="V590" s="3">
        <v>0.06</v>
      </c>
      <c r="W590" s="2">
        <v>0</v>
      </c>
      <c r="X590">
        <v>0</v>
      </c>
      <c r="Y590" t="s">
        <v>238</v>
      </c>
      <c r="Z590" t="s">
        <v>239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2.0099999999999998</v>
      </c>
      <c r="AN590" s="2">
        <v>2.0099999999999998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46188</v>
      </c>
      <c r="B591" t="s">
        <v>48</v>
      </c>
      <c r="C591">
        <v>649163</v>
      </c>
      <c r="D591">
        <v>2024356430</v>
      </c>
      <c r="E591" t="s">
        <v>876</v>
      </c>
      <c r="F591" t="s">
        <v>877</v>
      </c>
      <c r="G591" t="s">
        <v>51</v>
      </c>
      <c r="H591" t="s">
        <v>119</v>
      </c>
      <c r="I591" t="s">
        <v>146</v>
      </c>
      <c r="J591" t="s">
        <v>147</v>
      </c>
      <c r="K591">
        <v>767312</v>
      </c>
      <c r="L591" t="s">
        <v>171</v>
      </c>
      <c r="M591" t="s">
        <v>172</v>
      </c>
      <c r="N591" t="s">
        <v>57</v>
      </c>
      <c r="O591" s="1">
        <v>45517</v>
      </c>
      <c r="Q591" s="1">
        <v>46216</v>
      </c>
      <c r="R591" s="2">
        <v>27.22</v>
      </c>
      <c r="S591">
        <v>1</v>
      </c>
      <c r="T591" t="s">
        <v>58</v>
      </c>
      <c r="U591" t="s">
        <v>237</v>
      </c>
      <c r="V591" s="3">
        <v>0.06</v>
      </c>
      <c r="W591" s="2">
        <v>0</v>
      </c>
      <c r="X591">
        <v>0</v>
      </c>
      <c r="Y591" t="s">
        <v>238</v>
      </c>
      <c r="Z591" t="s">
        <v>239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1.63</v>
      </c>
      <c r="AN591" s="2">
        <v>1.63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46188</v>
      </c>
      <c r="B592" t="s">
        <v>48</v>
      </c>
      <c r="C592">
        <v>649163</v>
      </c>
      <c r="D592">
        <v>2024834571</v>
      </c>
      <c r="E592" t="s">
        <v>301</v>
      </c>
      <c r="F592" t="s">
        <v>252</v>
      </c>
      <c r="G592" t="s">
        <v>51</v>
      </c>
      <c r="H592" t="s">
        <v>170</v>
      </c>
      <c r="I592" t="s">
        <v>146</v>
      </c>
      <c r="J592" t="s">
        <v>147</v>
      </c>
      <c r="K592">
        <v>767312</v>
      </c>
      <c r="L592" t="s">
        <v>171</v>
      </c>
      <c r="M592" t="s">
        <v>172</v>
      </c>
      <c r="N592" t="s">
        <v>57</v>
      </c>
      <c r="O592" s="1">
        <v>45549</v>
      </c>
      <c r="Q592" s="1">
        <v>46217</v>
      </c>
      <c r="R592" s="2">
        <v>75.599999999999994</v>
      </c>
      <c r="S592">
        <v>1</v>
      </c>
      <c r="T592" t="s">
        <v>58</v>
      </c>
      <c r="U592" t="s">
        <v>237</v>
      </c>
      <c r="V592" s="3">
        <v>0.06</v>
      </c>
      <c r="W592" s="2">
        <v>0</v>
      </c>
      <c r="X592">
        <v>0</v>
      </c>
      <c r="Y592" t="s">
        <v>238</v>
      </c>
      <c r="Z592" t="s">
        <v>239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4.54</v>
      </c>
      <c r="AN592" s="2">
        <v>4.54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46188</v>
      </c>
      <c r="B593" t="s">
        <v>48</v>
      </c>
      <c r="C593">
        <v>649163</v>
      </c>
      <c r="D593">
        <v>2024853073</v>
      </c>
      <c r="E593" t="s">
        <v>394</v>
      </c>
      <c r="F593" t="s">
        <v>395</v>
      </c>
      <c r="G593" t="s">
        <v>51</v>
      </c>
      <c r="H593" t="s">
        <v>95</v>
      </c>
      <c r="I593" t="s">
        <v>146</v>
      </c>
      <c r="J593" t="s">
        <v>147</v>
      </c>
      <c r="K593">
        <v>650218</v>
      </c>
      <c r="L593" t="s">
        <v>158</v>
      </c>
      <c r="M593" t="s">
        <v>159</v>
      </c>
      <c r="N593" t="s">
        <v>57</v>
      </c>
      <c r="O593" s="1">
        <v>45550</v>
      </c>
      <c r="Q593" s="1">
        <v>46218</v>
      </c>
      <c r="R593" s="2">
        <v>56.53</v>
      </c>
      <c r="S593">
        <v>1</v>
      </c>
      <c r="T593" t="s">
        <v>58</v>
      </c>
      <c r="U593" t="s">
        <v>237</v>
      </c>
      <c r="V593" s="3">
        <v>0.06</v>
      </c>
      <c r="W593" s="2">
        <v>0</v>
      </c>
      <c r="X593">
        <v>0</v>
      </c>
      <c r="Y593" t="s">
        <v>238</v>
      </c>
      <c r="Z593" t="s">
        <v>239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3.39</v>
      </c>
      <c r="AN593" s="2">
        <v>3.39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46188</v>
      </c>
      <c r="B594" t="s">
        <v>48</v>
      </c>
      <c r="C594">
        <v>649163</v>
      </c>
      <c r="D594">
        <v>2024865456</v>
      </c>
      <c r="E594" t="s">
        <v>878</v>
      </c>
      <c r="F594" t="s">
        <v>362</v>
      </c>
      <c r="G594" t="s">
        <v>51</v>
      </c>
      <c r="H594" t="s">
        <v>100</v>
      </c>
      <c r="I594" t="s">
        <v>146</v>
      </c>
      <c r="J594" t="s">
        <v>147</v>
      </c>
      <c r="K594">
        <v>767312</v>
      </c>
      <c r="L594" t="s">
        <v>171</v>
      </c>
      <c r="M594" t="s">
        <v>172</v>
      </c>
      <c r="N594" t="s">
        <v>57</v>
      </c>
      <c r="O594" s="1">
        <v>45549</v>
      </c>
      <c r="Q594" s="1">
        <v>46217</v>
      </c>
      <c r="R594" s="2">
        <v>27.67</v>
      </c>
      <c r="S594">
        <v>1</v>
      </c>
      <c r="T594" t="s">
        <v>58</v>
      </c>
      <c r="U594" t="s">
        <v>237</v>
      </c>
      <c r="V594" s="3">
        <v>0.06</v>
      </c>
      <c r="W594" s="2">
        <v>0</v>
      </c>
      <c r="X594">
        <v>0</v>
      </c>
      <c r="Y594" t="s">
        <v>238</v>
      </c>
      <c r="Z594" t="s">
        <v>239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1.66</v>
      </c>
      <c r="AN594" s="2">
        <v>1.66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46188</v>
      </c>
      <c r="B595" t="s">
        <v>48</v>
      </c>
      <c r="C595">
        <v>649163</v>
      </c>
      <c r="D595">
        <v>2025316508</v>
      </c>
      <c r="E595" t="s">
        <v>302</v>
      </c>
      <c r="F595" t="s">
        <v>63</v>
      </c>
      <c r="G595" t="s">
        <v>51</v>
      </c>
      <c r="H595" t="s">
        <v>186</v>
      </c>
      <c r="I595" t="s">
        <v>146</v>
      </c>
      <c r="J595" t="s">
        <v>147</v>
      </c>
      <c r="K595">
        <v>767312</v>
      </c>
      <c r="L595" t="s">
        <v>171</v>
      </c>
      <c r="M595" t="s">
        <v>172</v>
      </c>
      <c r="N595" t="s">
        <v>57</v>
      </c>
      <c r="O595" s="1">
        <v>45580</v>
      </c>
      <c r="Q595" s="1">
        <v>46218</v>
      </c>
      <c r="R595" s="2">
        <v>14.84</v>
      </c>
      <c r="S595">
        <v>1</v>
      </c>
      <c r="T595" t="s">
        <v>58</v>
      </c>
      <c r="U595" t="s">
        <v>237</v>
      </c>
      <c r="V595" s="3">
        <v>0.06</v>
      </c>
      <c r="W595" s="2">
        <v>0</v>
      </c>
      <c r="X595">
        <v>0</v>
      </c>
      <c r="Y595" t="s">
        <v>238</v>
      </c>
      <c r="Z595" t="s">
        <v>239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0.89</v>
      </c>
      <c r="AN595" s="2">
        <v>0.89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46188</v>
      </c>
      <c r="B596" t="s">
        <v>48</v>
      </c>
      <c r="C596">
        <v>649163</v>
      </c>
      <c r="D596">
        <v>2025358290</v>
      </c>
      <c r="E596" t="s">
        <v>879</v>
      </c>
      <c r="F596" t="s">
        <v>494</v>
      </c>
      <c r="G596" t="s">
        <v>51</v>
      </c>
      <c r="H596" t="s">
        <v>52</v>
      </c>
      <c r="I596" t="s">
        <v>146</v>
      </c>
      <c r="J596" t="s">
        <v>147</v>
      </c>
      <c r="K596">
        <v>649247</v>
      </c>
      <c r="L596" t="s">
        <v>791</v>
      </c>
      <c r="M596" t="s">
        <v>792</v>
      </c>
      <c r="N596" t="s">
        <v>57</v>
      </c>
      <c r="O596" s="1">
        <v>45583</v>
      </c>
      <c r="Q596" s="1">
        <v>46221</v>
      </c>
      <c r="R596" s="2">
        <v>39.979999999999997</v>
      </c>
      <c r="S596">
        <v>1</v>
      </c>
      <c r="T596" t="s">
        <v>58</v>
      </c>
      <c r="U596" t="s">
        <v>237</v>
      </c>
      <c r="V596" s="3">
        <v>0.06</v>
      </c>
      <c r="W596" s="2">
        <v>0</v>
      </c>
      <c r="X596">
        <v>0</v>
      </c>
      <c r="Y596" t="s">
        <v>238</v>
      </c>
      <c r="Z596" t="s">
        <v>239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2.4</v>
      </c>
      <c r="AN596" s="2">
        <v>2.4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46188</v>
      </c>
      <c r="B597" t="s">
        <v>48</v>
      </c>
      <c r="C597">
        <v>649163</v>
      </c>
      <c r="D597">
        <v>2025738648</v>
      </c>
      <c r="E597" t="s">
        <v>880</v>
      </c>
      <c r="F597" t="s">
        <v>881</v>
      </c>
      <c r="G597" t="s">
        <v>51</v>
      </c>
      <c r="H597" t="s">
        <v>170</v>
      </c>
      <c r="I597" t="s">
        <v>146</v>
      </c>
      <c r="J597" t="s">
        <v>147</v>
      </c>
      <c r="K597">
        <v>767312</v>
      </c>
      <c r="L597" t="s">
        <v>171</v>
      </c>
      <c r="M597" t="s">
        <v>172</v>
      </c>
      <c r="N597" t="s">
        <v>57</v>
      </c>
      <c r="O597" s="1">
        <v>45609</v>
      </c>
      <c r="Q597" s="1">
        <v>46216</v>
      </c>
      <c r="R597" s="2">
        <v>18.66</v>
      </c>
      <c r="S597">
        <v>1</v>
      </c>
      <c r="T597" t="s">
        <v>58</v>
      </c>
      <c r="U597" t="s">
        <v>237</v>
      </c>
      <c r="V597" s="3">
        <v>0.06</v>
      </c>
      <c r="W597" s="2">
        <v>0</v>
      </c>
      <c r="X597">
        <v>0</v>
      </c>
      <c r="Y597" t="s">
        <v>238</v>
      </c>
      <c r="Z597" t="s">
        <v>239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1.1200000000000001</v>
      </c>
      <c r="AN597" s="2">
        <v>1.1200000000000001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46188</v>
      </c>
      <c r="B598" t="s">
        <v>48</v>
      </c>
      <c r="C598">
        <v>649163</v>
      </c>
      <c r="D598">
        <v>2026141665</v>
      </c>
      <c r="E598" t="s">
        <v>882</v>
      </c>
      <c r="F598" t="s">
        <v>883</v>
      </c>
      <c r="G598" t="s">
        <v>51</v>
      </c>
      <c r="H598" t="s">
        <v>119</v>
      </c>
      <c r="I598" t="s">
        <v>146</v>
      </c>
      <c r="J598" t="s">
        <v>147</v>
      </c>
      <c r="K598">
        <v>651818</v>
      </c>
      <c r="L598" t="s">
        <v>79</v>
      </c>
      <c r="M598" t="s">
        <v>80</v>
      </c>
      <c r="N598" t="s">
        <v>57</v>
      </c>
      <c r="O598" s="1">
        <v>45641</v>
      </c>
      <c r="Q598" s="1">
        <v>46218</v>
      </c>
      <c r="R598" s="2">
        <v>101.87</v>
      </c>
      <c r="S598">
        <v>1</v>
      </c>
      <c r="T598" t="s">
        <v>58</v>
      </c>
      <c r="U598" t="s">
        <v>237</v>
      </c>
      <c r="V598" s="3">
        <v>0.06</v>
      </c>
      <c r="W598" s="2">
        <v>0</v>
      </c>
      <c r="X598">
        <v>0</v>
      </c>
      <c r="Y598" t="s">
        <v>238</v>
      </c>
      <c r="Z598" t="s">
        <v>239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6.11</v>
      </c>
      <c r="AN598" s="2">
        <v>6.11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46188</v>
      </c>
      <c r="B599" t="s">
        <v>48</v>
      </c>
      <c r="C599">
        <v>649163</v>
      </c>
      <c r="D599">
        <v>2026146921</v>
      </c>
      <c r="E599" t="s">
        <v>884</v>
      </c>
      <c r="F599" t="s">
        <v>885</v>
      </c>
      <c r="G599" t="s">
        <v>51</v>
      </c>
      <c r="H599" t="s">
        <v>52</v>
      </c>
      <c r="I599" t="s">
        <v>146</v>
      </c>
      <c r="J599" t="s">
        <v>147</v>
      </c>
      <c r="K599">
        <v>728134</v>
      </c>
      <c r="L599" t="s">
        <v>775</v>
      </c>
      <c r="M599" t="s">
        <v>776</v>
      </c>
      <c r="N599" t="s">
        <v>57</v>
      </c>
      <c r="O599" s="1">
        <v>45639</v>
      </c>
      <c r="Q599" s="1">
        <v>46216</v>
      </c>
      <c r="R599" s="2">
        <v>39.979999999999997</v>
      </c>
      <c r="S599">
        <v>1</v>
      </c>
      <c r="T599" t="s">
        <v>58</v>
      </c>
      <c r="U599" t="s">
        <v>237</v>
      </c>
      <c r="V599" s="3">
        <v>0.06</v>
      </c>
      <c r="W599" s="2">
        <v>0</v>
      </c>
      <c r="X599">
        <v>0</v>
      </c>
      <c r="Y599" t="s">
        <v>238</v>
      </c>
      <c r="Z599" t="s">
        <v>239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2.4</v>
      </c>
      <c r="AN599" s="2">
        <v>2.4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46188</v>
      </c>
      <c r="B600" t="s">
        <v>48</v>
      </c>
      <c r="C600">
        <v>649163</v>
      </c>
      <c r="D600">
        <v>2026189739</v>
      </c>
      <c r="E600" t="s">
        <v>798</v>
      </c>
      <c r="F600" t="s">
        <v>519</v>
      </c>
      <c r="G600" t="s">
        <v>51</v>
      </c>
      <c r="H600" t="s">
        <v>119</v>
      </c>
      <c r="I600" t="s">
        <v>146</v>
      </c>
      <c r="J600" t="s">
        <v>147</v>
      </c>
      <c r="K600">
        <v>669316</v>
      </c>
      <c r="L600" t="s">
        <v>762</v>
      </c>
      <c r="M600" t="s">
        <v>763</v>
      </c>
      <c r="N600" t="s">
        <v>242</v>
      </c>
      <c r="O600" s="1">
        <v>45658</v>
      </c>
      <c r="P600" s="1">
        <v>46188</v>
      </c>
      <c r="Q600" s="1">
        <v>46204</v>
      </c>
      <c r="R600" s="2">
        <v>-112.08</v>
      </c>
      <c r="S600">
        <v>1</v>
      </c>
      <c r="T600" t="s">
        <v>58</v>
      </c>
      <c r="U600" t="s">
        <v>237</v>
      </c>
      <c r="V600" s="3">
        <v>0.06</v>
      </c>
      <c r="W600" s="2">
        <v>0</v>
      </c>
      <c r="X600">
        <v>-1</v>
      </c>
      <c r="Y600" t="s">
        <v>238</v>
      </c>
      <c r="Z600" t="s">
        <v>239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-6.72</v>
      </c>
      <c r="AN600" s="2">
        <v>-6.72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46188</v>
      </c>
      <c r="B601" t="s">
        <v>48</v>
      </c>
      <c r="C601">
        <v>649163</v>
      </c>
      <c r="D601">
        <v>2026213887</v>
      </c>
      <c r="E601" t="s">
        <v>886</v>
      </c>
      <c r="F601" t="s">
        <v>335</v>
      </c>
      <c r="G601" t="s">
        <v>51</v>
      </c>
      <c r="H601" t="s">
        <v>52</v>
      </c>
      <c r="I601" t="s">
        <v>146</v>
      </c>
      <c r="J601" t="s">
        <v>147</v>
      </c>
      <c r="K601">
        <v>751867</v>
      </c>
      <c r="L601" t="s">
        <v>55</v>
      </c>
      <c r="M601" t="s">
        <v>56</v>
      </c>
      <c r="N601" t="s">
        <v>57</v>
      </c>
      <c r="O601" s="1">
        <v>45644</v>
      </c>
      <c r="Q601" s="1">
        <v>46221</v>
      </c>
      <c r="R601" s="2">
        <v>39.979999999999997</v>
      </c>
      <c r="S601">
        <v>1</v>
      </c>
      <c r="T601" t="s">
        <v>58</v>
      </c>
      <c r="U601" t="s">
        <v>237</v>
      </c>
      <c r="V601" s="3">
        <v>0.06</v>
      </c>
      <c r="W601" s="2">
        <v>0</v>
      </c>
      <c r="X601">
        <v>0</v>
      </c>
      <c r="Y601" t="s">
        <v>238</v>
      </c>
      <c r="Z601" t="s">
        <v>239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2.4</v>
      </c>
      <c r="AN601" s="2">
        <v>2.4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46188</v>
      </c>
      <c r="B602" t="s">
        <v>48</v>
      </c>
      <c r="C602">
        <v>649163</v>
      </c>
      <c r="D602">
        <v>2026585511</v>
      </c>
      <c r="E602" t="s">
        <v>887</v>
      </c>
      <c r="F602" t="s">
        <v>888</v>
      </c>
      <c r="G602" t="s">
        <v>51</v>
      </c>
      <c r="H602" t="s">
        <v>52</v>
      </c>
      <c r="I602" t="s">
        <v>146</v>
      </c>
      <c r="J602" t="s">
        <v>147</v>
      </c>
      <c r="K602">
        <v>728134</v>
      </c>
      <c r="L602" t="s">
        <v>775</v>
      </c>
      <c r="M602" t="s">
        <v>776</v>
      </c>
      <c r="N602" t="s">
        <v>57</v>
      </c>
      <c r="O602" s="1">
        <v>45672</v>
      </c>
      <c r="Q602" s="1">
        <v>46218</v>
      </c>
      <c r="R602" s="2">
        <v>149.46</v>
      </c>
      <c r="S602">
        <v>1</v>
      </c>
      <c r="T602" t="s">
        <v>58</v>
      </c>
      <c r="U602" t="s">
        <v>237</v>
      </c>
      <c r="V602" s="3">
        <v>0.06</v>
      </c>
      <c r="W602" s="2">
        <v>0</v>
      </c>
      <c r="X602">
        <v>0</v>
      </c>
      <c r="Y602" t="s">
        <v>238</v>
      </c>
      <c r="Z602" t="s">
        <v>239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8.9700000000000006</v>
      </c>
      <c r="AN602" s="2">
        <v>8.9700000000000006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46188</v>
      </c>
      <c r="B603" t="s">
        <v>48</v>
      </c>
      <c r="C603">
        <v>649163</v>
      </c>
      <c r="D603">
        <v>2026615682</v>
      </c>
      <c r="E603" t="s">
        <v>889</v>
      </c>
      <c r="F603" t="s">
        <v>86</v>
      </c>
      <c r="G603" t="s">
        <v>51</v>
      </c>
      <c r="H603" t="s">
        <v>170</v>
      </c>
      <c r="I603" t="s">
        <v>146</v>
      </c>
      <c r="J603" t="s">
        <v>147</v>
      </c>
      <c r="K603">
        <v>767312</v>
      </c>
      <c r="L603" t="s">
        <v>171</v>
      </c>
      <c r="M603" t="s">
        <v>172</v>
      </c>
      <c r="N603" t="s">
        <v>57</v>
      </c>
      <c r="O603" s="1">
        <v>45673</v>
      </c>
      <c r="Q603" s="1">
        <v>46219</v>
      </c>
      <c r="R603" s="2">
        <v>29.08</v>
      </c>
      <c r="S603">
        <v>1</v>
      </c>
      <c r="T603" t="s">
        <v>58</v>
      </c>
      <c r="U603" t="s">
        <v>237</v>
      </c>
      <c r="V603" s="3">
        <v>0.06</v>
      </c>
      <c r="W603" s="2">
        <v>0</v>
      </c>
      <c r="X603">
        <v>0</v>
      </c>
      <c r="Y603" t="s">
        <v>238</v>
      </c>
      <c r="Z603" t="s">
        <v>239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1.74</v>
      </c>
      <c r="AN603" s="2">
        <v>1.74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46188</v>
      </c>
      <c r="B604" t="s">
        <v>48</v>
      </c>
      <c r="C604">
        <v>649163</v>
      </c>
      <c r="D604">
        <v>2026625853</v>
      </c>
      <c r="E604" t="s">
        <v>426</v>
      </c>
      <c r="F604" t="s">
        <v>427</v>
      </c>
      <c r="G604" t="s">
        <v>51</v>
      </c>
      <c r="H604" t="s">
        <v>170</v>
      </c>
      <c r="I604" t="s">
        <v>146</v>
      </c>
      <c r="J604" t="s">
        <v>147</v>
      </c>
      <c r="K604">
        <v>767312</v>
      </c>
      <c r="L604" t="s">
        <v>171</v>
      </c>
      <c r="M604" t="s">
        <v>172</v>
      </c>
      <c r="N604" t="s">
        <v>57</v>
      </c>
      <c r="O604" s="1">
        <v>45674</v>
      </c>
      <c r="Q604" s="1">
        <v>46220</v>
      </c>
      <c r="R604" s="2">
        <v>24.71</v>
      </c>
      <c r="S604">
        <v>1</v>
      </c>
      <c r="T604" t="s">
        <v>58</v>
      </c>
      <c r="U604" t="s">
        <v>237</v>
      </c>
      <c r="V604" s="3">
        <v>0.06</v>
      </c>
      <c r="W604" s="2">
        <v>0</v>
      </c>
      <c r="X604">
        <v>0</v>
      </c>
      <c r="Y604" t="s">
        <v>238</v>
      </c>
      <c r="Z604" t="s">
        <v>239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1.48</v>
      </c>
      <c r="AN604" s="2">
        <v>1.48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46188</v>
      </c>
      <c r="B605" t="s">
        <v>48</v>
      </c>
      <c r="C605">
        <v>649163</v>
      </c>
      <c r="D605">
        <v>2027072201</v>
      </c>
      <c r="E605" t="s">
        <v>429</v>
      </c>
      <c r="F605" t="s">
        <v>430</v>
      </c>
      <c r="G605" t="s">
        <v>51</v>
      </c>
      <c r="H605" t="s">
        <v>305</v>
      </c>
      <c r="I605" t="s">
        <v>146</v>
      </c>
      <c r="J605" t="s">
        <v>147</v>
      </c>
      <c r="K605">
        <v>816021</v>
      </c>
      <c r="L605" t="s">
        <v>312</v>
      </c>
      <c r="M605" t="s">
        <v>313</v>
      </c>
      <c r="N605" t="s">
        <v>57</v>
      </c>
      <c r="O605" s="1">
        <v>45703</v>
      </c>
      <c r="Q605" s="1">
        <v>46218</v>
      </c>
      <c r="R605" s="2">
        <v>102.21</v>
      </c>
      <c r="S605">
        <v>1</v>
      </c>
      <c r="T605" t="s">
        <v>58</v>
      </c>
      <c r="U605" t="s">
        <v>237</v>
      </c>
      <c r="V605" s="3">
        <v>0.06</v>
      </c>
      <c r="W605" s="2">
        <v>0</v>
      </c>
      <c r="X605">
        <v>0</v>
      </c>
      <c r="Y605" t="s">
        <v>238</v>
      </c>
      <c r="Z605" t="s">
        <v>239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6.13</v>
      </c>
      <c r="AN605" s="2">
        <v>6.13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46188</v>
      </c>
      <c r="B606" t="s">
        <v>48</v>
      </c>
      <c r="C606">
        <v>649163</v>
      </c>
      <c r="D606">
        <v>2027106747</v>
      </c>
      <c r="E606" t="s">
        <v>431</v>
      </c>
      <c r="F606" t="s">
        <v>420</v>
      </c>
      <c r="G606" t="s">
        <v>51</v>
      </c>
      <c r="H606" t="s">
        <v>119</v>
      </c>
      <c r="I606" t="s">
        <v>146</v>
      </c>
      <c r="J606" t="s">
        <v>147</v>
      </c>
      <c r="K606">
        <v>792847</v>
      </c>
      <c r="L606" t="s">
        <v>336</v>
      </c>
      <c r="M606" t="s">
        <v>337</v>
      </c>
      <c r="N606" t="s">
        <v>57</v>
      </c>
      <c r="O606" s="1">
        <v>45703</v>
      </c>
      <c r="Q606" s="1">
        <v>46218</v>
      </c>
      <c r="R606" s="2">
        <v>48.61</v>
      </c>
      <c r="S606">
        <v>1</v>
      </c>
      <c r="T606" t="s">
        <v>58</v>
      </c>
      <c r="U606" t="s">
        <v>237</v>
      </c>
      <c r="V606" s="3">
        <v>0.06</v>
      </c>
      <c r="W606" s="2">
        <v>0</v>
      </c>
      <c r="X606">
        <v>0</v>
      </c>
      <c r="Y606" t="s">
        <v>238</v>
      </c>
      <c r="Z606" t="s">
        <v>239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2.92</v>
      </c>
      <c r="AN606" s="2">
        <v>2.92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46188</v>
      </c>
      <c r="B607" t="s">
        <v>48</v>
      </c>
      <c r="C607">
        <v>649163</v>
      </c>
      <c r="D607">
        <v>2027111487</v>
      </c>
      <c r="E607" t="s">
        <v>890</v>
      </c>
      <c r="F607" t="s">
        <v>335</v>
      </c>
      <c r="G607" t="s">
        <v>51</v>
      </c>
      <c r="H607" t="s">
        <v>119</v>
      </c>
      <c r="I607" t="s">
        <v>146</v>
      </c>
      <c r="J607" t="s">
        <v>147</v>
      </c>
      <c r="K607">
        <v>840313</v>
      </c>
      <c r="L607" t="s">
        <v>860</v>
      </c>
      <c r="M607" t="s">
        <v>861</v>
      </c>
      <c r="N607" t="s">
        <v>57</v>
      </c>
      <c r="O607" s="1">
        <v>45703</v>
      </c>
      <c r="Q607" s="1">
        <v>46218</v>
      </c>
      <c r="R607" s="2">
        <v>60.94</v>
      </c>
      <c r="S607">
        <v>1</v>
      </c>
      <c r="T607" t="s">
        <v>58</v>
      </c>
      <c r="U607" t="s">
        <v>237</v>
      </c>
      <c r="V607" s="3">
        <v>0.06</v>
      </c>
      <c r="W607" s="2">
        <v>0</v>
      </c>
      <c r="X607">
        <v>0</v>
      </c>
      <c r="Y607" t="s">
        <v>238</v>
      </c>
      <c r="Z607" t="s">
        <v>239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3.66</v>
      </c>
      <c r="AN607" s="2">
        <v>3.66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46188</v>
      </c>
      <c r="B608" t="s">
        <v>48</v>
      </c>
      <c r="C608">
        <v>649163</v>
      </c>
      <c r="D608">
        <v>2027182058</v>
      </c>
      <c r="E608" t="s">
        <v>408</v>
      </c>
      <c r="F608" t="s">
        <v>411</v>
      </c>
      <c r="G608" t="s">
        <v>51</v>
      </c>
      <c r="H608" t="s">
        <v>410</v>
      </c>
      <c r="I608" t="s">
        <v>146</v>
      </c>
      <c r="J608" t="s">
        <v>147</v>
      </c>
      <c r="K608">
        <v>767312</v>
      </c>
      <c r="L608" t="s">
        <v>171</v>
      </c>
      <c r="M608" t="s">
        <v>172</v>
      </c>
      <c r="N608" t="s">
        <v>57</v>
      </c>
      <c r="O608" s="1">
        <v>45707</v>
      </c>
      <c r="Q608" s="1">
        <v>46222</v>
      </c>
      <c r="R608" s="2">
        <v>36.69</v>
      </c>
      <c r="S608">
        <v>1</v>
      </c>
      <c r="T608" t="s">
        <v>58</v>
      </c>
      <c r="U608" t="s">
        <v>237</v>
      </c>
      <c r="V608" s="3">
        <v>0.06</v>
      </c>
      <c r="W608" s="2">
        <v>0</v>
      </c>
      <c r="X608">
        <v>0</v>
      </c>
      <c r="Y608" t="s">
        <v>238</v>
      </c>
      <c r="Z608" t="s">
        <v>239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2.2000000000000002</v>
      </c>
      <c r="AN608" s="2">
        <v>2.2000000000000002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46188</v>
      </c>
      <c r="B609" t="s">
        <v>48</v>
      </c>
      <c r="C609">
        <v>649163</v>
      </c>
      <c r="D609">
        <v>2027767676</v>
      </c>
      <c r="E609" t="s">
        <v>434</v>
      </c>
      <c r="F609" t="s">
        <v>435</v>
      </c>
      <c r="G609" t="s">
        <v>51</v>
      </c>
      <c r="H609" t="s">
        <v>327</v>
      </c>
      <c r="I609" t="s">
        <v>146</v>
      </c>
      <c r="J609" t="s">
        <v>147</v>
      </c>
      <c r="K609">
        <v>764123</v>
      </c>
      <c r="L609" t="s">
        <v>421</v>
      </c>
      <c r="M609" t="s">
        <v>422</v>
      </c>
      <c r="N609" t="s">
        <v>57</v>
      </c>
      <c r="O609" s="1">
        <v>45729</v>
      </c>
      <c r="Q609" s="1">
        <v>46216</v>
      </c>
      <c r="R609" s="2">
        <v>66.650000000000006</v>
      </c>
      <c r="S609">
        <v>1</v>
      </c>
      <c r="T609" t="s">
        <v>58</v>
      </c>
      <c r="U609" t="s">
        <v>237</v>
      </c>
      <c r="V609" s="3">
        <v>0.06</v>
      </c>
      <c r="W609" s="2">
        <v>0</v>
      </c>
      <c r="X609">
        <v>0</v>
      </c>
      <c r="Y609" t="s">
        <v>238</v>
      </c>
      <c r="Z609" t="s">
        <v>239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4</v>
      </c>
      <c r="AN609" s="2">
        <v>4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46188</v>
      </c>
      <c r="B610" t="s">
        <v>48</v>
      </c>
      <c r="C610">
        <v>649163</v>
      </c>
      <c r="D610">
        <v>2027849004</v>
      </c>
      <c r="E610" t="s">
        <v>603</v>
      </c>
      <c r="F610" t="s">
        <v>891</v>
      </c>
      <c r="G610" t="s">
        <v>51</v>
      </c>
      <c r="H610" t="s">
        <v>119</v>
      </c>
      <c r="I610" t="s">
        <v>146</v>
      </c>
      <c r="J610" t="s">
        <v>147</v>
      </c>
      <c r="K610">
        <v>856163</v>
      </c>
      <c r="L610" t="s">
        <v>73</v>
      </c>
      <c r="M610" t="s">
        <v>74</v>
      </c>
      <c r="N610" t="s">
        <v>57</v>
      </c>
      <c r="O610" s="1">
        <v>45733</v>
      </c>
      <c r="Q610" s="1">
        <v>46220</v>
      </c>
      <c r="R610" s="2">
        <v>182.73</v>
      </c>
      <c r="S610">
        <v>1</v>
      </c>
      <c r="T610" t="s">
        <v>58</v>
      </c>
      <c r="U610" t="s">
        <v>237</v>
      </c>
      <c r="V610" s="3">
        <v>0.06</v>
      </c>
      <c r="W610" s="2">
        <v>0</v>
      </c>
      <c r="X610">
        <v>0</v>
      </c>
      <c r="Y610" t="s">
        <v>238</v>
      </c>
      <c r="Z610" t="s">
        <v>239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10.96</v>
      </c>
      <c r="AN610" s="2">
        <v>10.96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46188</v>
      </c>
      <c r="B611" t="s">
        <v>48</v>
      </c>
      <c r="C611">
        <v>649163</v>
      </c>
      <c r="D611">
        <v>2027849975</v>
      </c>
      <c r="E611" t="s">
        <v>436</v>
      </c>
      <c r="F611" t="s">
        <v>437</v>
      </c>
      <c r="G611" t="s">
        <v>51</v>
      </c>
      <c r="H611" t="s">
        <v>438</v>
      </c>
      <c r="I611" t="s">
        <v>146</v>
      </c>
      <c r="J611" t="s">
        <v>147</v>
      </c>
      <c r="K611">
        <v>650218</v>
      </c>
      <c r="L611" t="s">
        <v>158</v>
      </c>
      <c r="M611" t="s">
        <v>159</v>
      </c>
      <c r="N611" t="s">
        <v>57</v>
      </c>
      <c r="O611" s="1">
        <v>45733</v>
      </c>
      <c r="Q611" s="1">
        <v>46220</v>
      </c>
      <c r="R611" s="2">
        <v>102.55</v>
      </c>
      <c r="S611">
        <v>1</v>
      </c>
      <c r="T611" t="s">
        <v>58</v>
      </c>
      <c r="U611" t="s">
        <v>237</v>
      </c>
      <c r="V611" s="3">
        <v>0.06</v>
      </c>
      <c r="W611" s="2">
        <v>0</v>
      </c>
      <c r="X611">
        <v>0</v>
      </c>
      <c r="Y611" t="s">
        <v>238</v>
      </c>
      <c r="Z611" t="s">
        <v>239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6.15</v>
      </c>
      <c r="AN611" s="2">
        <v>6.15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46188</v>
      </c>
      <c r="B612" t="s">
        <v>48</v>
      </c>
      <c r="C612">
        <v>649163</v>
      </c>
      <c r="D612">
        <v>2027869113</v>
      </c>
      <c r="E612" t="s">
        <v>439</v>
      </c>
      <c r="F612" t="s">
        <v>440</v>
      </c>
      <c r="G612" t="s">
        <v>51</v>
      </c>
      <c r="H612" t="s">
        <v>145</v>
      </c>
      <c r="I612" t="s">
        <v>146</v>
      </c>
      <c r="J612" t="s">
        <v>147</v>
      </c>
      <c r="K612">
        <v>673059</v>
      </c>
      <c r="L612" t="s">
        <v>85</v>
      </c>
      <c r="M612" t="s">
        <v>86</v>
      </c>
      <c r="N612" t="s">
        <v>57</v>
      </c>
      <c r="O612" s="1">
        <v>45734</v>
      </c>
      <c r="Q612" s="1">
        <v>46221</v>
      </c>
      <c r="R612" s="2">
        <v>45.77</v>
      </c>
      <c r="S612">
        <v>1</v>
      </c>
      <c r="T612" t="s">
        <v>58</v>
      </c>
      <c r="U612" t="s">
        <v>237</v>
      </c>
      <c r="V612" s="3">
        <v>0.06</v>
      </c>
      <c r="W612" s="2">
        <v>0</v>
      </c>
      <c r="X612">
        <v>0</v>
      </c>
      <c r="Y612" t="s">
        <v>238</v>
      </c>
      <c r="Z612" t="s">
        <v>239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2.75</v>
      </c>
      <c r="AN612" s="2">
        <v>2.75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46188</v>
      </c>
      <c r="B613" t="s">
        <v>48</v>
      </c>
      <c r="C613">
        <v>649163</v>
      </c>
      <c r="D613">
        <v>2028020256</v>
      </c>
      <c r="E613" t="s">
        <v>804</v>
      </c>
      <c r="F613" t="s">
        <v>776</v>
      </c>
      <c r="G613" t="s">
        <v>51</v>
      </c>
      <c r="H613" t="s">
        <v>52</v>
      </c>
      <c r="I613" t="s">
        <v>146</v>
      </c>
      <c r="J613" t="s">
        <v>147</v>
      </c>
      <c r="K613">
        <v>728134</v>
      </c>
      <c r="L613" t="s">
        <v>775</v>
      </c>
      <c r="M613" t="s">
        <v>776</v>
      </c>
      <c r="N613" t="s">
        <v>242</v>
      </c>
      <c r="O613" s="1">
        <v>45748</v>
      </c>
      <c r="P613" s="1">
        <v>46188</v>
      </c>
      <c r="Q613" s="1">
        <v>46204</v>
      </c>
      <c r="R613" s="2">
        <v>-27.99</v>
      </c>
      <c r="S613">
        <v>1</v>
      </c>
      <c r="T613" t="s">
        <v>58</v>
      </c>
      <c r="U613" t="s">
        <v>237</v>
      </c>
      <c r="V613" s="3">
        <v>0.06</v>
      </c>
      <c r="W613" s="2">
        <v>0</v>
      </c>
      <c r="X613">
        <v>-1</v>
      </c>
      <c r="Y613" t="s">
        <v>238</v>
      </c>
      <c r="Z613" t="s">
        <v>239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-1.68</v>
      </c>
      <c r="AN613" s="2">
        <v>-1.68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46188</v>
      </c>
      <c r="B614" t="s">
        <v>48</v>
      </c>
      <c r="C614">
        <v>649163</v>
      </c>
      <c r="D614">
        <v>2028450758</v>
      </c>
      <c r="E614" t="s">
        <v>892</v>
      </c>
      <c r="F614" t="s">
        <v>893</v>
      </c>
      <c r="G614" t="s">
        <v>51</v>
      </c>
      <c r="H614" t="s">
        <v>119</v>
      </c>
      <c r="I614" t="s">
        <v>146</v>
      </c>
      <c r="J614" t="s">
        <v>147</v>
      </c>
      <c r="K614">
        <v>812782</v>
      </c>
      <c r="L614" t="s">
        <v>105</v>
      </c>
      <c r="M614" t="s">
        <v>106</v>
      </c>
      <c r="N614" t="s">
        <v>57</v>
      </c>
      <c r="O614" s="1">
        <v>45764</v>
      </c>
      <c r="Q614" s="1">
        <v>46220</v>
      </c>
      <c r="R614" s="2">
        <v>51.01</v>
      </c>
      <c r="S614">
        <v>1</v>
      </c>
      <c r="T614" t="s">
        <v>58</v>
      </c>
      <c r="U614" t="s">
        <v>237</v>
      </c>
      <c r="V614" s="3">
        <v>0.06</v>
      </c>
      <c r="W614" s="2">
        <v>0</v>
      </c>
      <c r="X614">
        <v>0</v>
      </c>
      <c r="Y614" t="s">
        <v>238</v>
      </c>
      <c r="Z614" t="s">
        <v>239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3.06</v>
      </c>
      <c r="AN614" s="2">
        <v>3.06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46188</v>
      </c>
      <c r="B615" t="s">
        <v>48</v>
      </c>
      <c r="C615">
        <v>649163</v>
      </c>
      <c r="D615">
        <v>2028942059</v>
      </c>
      <c r="E615" t="s">
        <v>894</v>
      </c>
      <c r="F615" t="s">
        <v>895</v>
      </c>
      <c r="G615" t="s">
        <v>51</v>
      </c>
      <c r="H615" t="s">
        <v>119</v>
      </c>
      <c r="I615" t="s">
        <v>146</v>
      </c>
      <c r="J615" t="s">
        <v>147</v>
      </c>
      <c r="K615">
        <v>807212</v>
      </c>
      <c r="L615" t="s">
        <v>216</v>
      </c>
      <c r="M615" t="s">
        <v>217</v>
      </c>
      <c r="N615" t="s">
        <v>57</v>
      </c>
      <c r="O615" s="1">
        <v>45792</v>
      </c>
      <c r="Q615" s="1">
        <v>46218</v>
      </c>
      <c r="R615" s="2">
        <v>22.52</v>
      </c>
      <c r="S615">
        <v>1</v>
      </c>
      <c r="T615" t="s">
        <v>58</v>
      </c>
      <c r="U615" t="s">
        <v>237</v>
      </c>
      <c r="V615" s="3">
        <v>0.06</v>
      </c>
      <c r="W615" s="2">
        <v>0</v>
      </c>
      <c r="X615">
        <v>0</v>
      </c>
      <c r="Y615" t="s">
        <v>238</v>
      </c>
      <c r="Z615" t="s">
        <v>239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1.35</v>
      </c>
      <c r="AN615" s="2">
        <v>1.35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46188</v>
      </c>
      <c r="B616" t="s">
        <v>48</v>
      </c>
      <c r="C616">
        <v>649163</v>
      </c>
      <c r="D616">
        <v>2028963798</v>
      </c>
      <c r="E616" t="s">
        <v>461</v>
      </c>
      <c r="F616" t="s">
        <v>446</v>
      </c>
      <c r="G616" t="s">
        <v>51</v>
      </c>
      <c r="H616" t="s">
        <v>119</v>
      </c>
      <c r="I616" t="s">
        <v>146</v>
      </c>
      <c r="J616" t="s">
        <v>147</v>
      </c>
      <c r="K616">
        <v>806645</v>
      </c>
      <c r="L616" t="s">
        <v>406</v>
      </c>
      <c r="M616" t="s">
        <v>407</v>
      </c>
      <c r="N616" t="s">
        <v>57</v>
      </c>
      <c r="O616" s="1">
        <v>45793</v>
      </c>
      <c r="Q616" s="1">
        <v>46219</v>
      </c>
      <c r="R616" s="2">
        <v>57.19</v>
      </c>
      <c r="S616">
        <v>1</v>
      </c>
      <c r="T616" t="s">
        <v>58</v>
      </c>
      <c r="U616" t="s">
        <v>237</v>
      </c>
      <c r="V616" s="3">
        <v>0.06</v>
      </c>
      <c r="W616" s="2">
        <v>0</v>
      </c>
      <c r="X616">
        <v>0</v>
      </c>
      <c r="Y616" t="s">
        <v>238</v>
      </c>
      <c r="Z616" t="s">
        <v>239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3.43</v>
      </c>
      <c r="AN616" s="2">
        <v>3.43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46188</v>
      </c>
      <c r="B617" t="s">
        <v>48</v>
      </c>
      <c r="C617">
        <v>649163</v>
      </c>
      <c r="D617">
        <v>2028977071</v>
      </c>
      <c r="E617" t="s">
        <v>464</v>
      </c>
      <c r="F617" t="s">
        <v>388</v>
      </c>
      <c r="G617" t="s">
        <v>51</v>
      </c>
      <c r="H617" t="s">
        <v>186</v>
      </c>
      <c r="I617" t="s">
        <v>146</v>
      </c>
      <c r="J617" t="s">
        <v>147</v>
      </c>
      <c r="K617">
        <v>822865</v>
      </c>
      <c r="L617" t="s">
        <v>465</v>
      </c>
      <c r="M617" t="s">
        <v>466</v>
      </c>
      <c r="N617" t="s">
        <v>57</v>
      </c>
      <c r="O617" s="1">
        <v>45794</v>
      </c>
      <c r="Q617" s="1">
        <v>46220</v>
      </c>
      <c r="R617" s="2">
        <v>23.34</v>
      </c>
      <c r="S617">
        <v>1</v>
      </c>
      <c r="T617" t="s">
        <v>58</v>
      </c>
      <c r="U617" t="s">
        <v>237</v>
      </c>
      <c r="V617" s="3">
        <v>0.06</v>
      </c>
      <c r="W617" s="2">
        <v>0</v>
      </c>
      <c r="X617">
        <v>0</v>
      </c>
      <c r="Y617" t="s">
        <v>238</v>
      </c>
      <c r="Z617" t="s">
        <v>239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1.4</v>
      </c>
      <c r="AN617" s="2">
        <v>1.4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46188</v>
      </c>
      <c r="B618" t="s">
        <v>48</v>
      </c>
      <c r="C618">
        <v>649163</v>
      </c>
      <c r="D618">
        <v>2028985824</v>
      </c>
      <c r="E618" t="s">
        <v>896</v>
      </c>
      <c r="F618" t="s">
        <v>897</v>
      </c>
      <c r="G618" t="s">
        <v>51</v>
      </c>
      <c r="H618" t="s">
        <v>186</v>
      </c>
      <c r="I618" t="s">
        <v>146</v>
      </c>
      <c r="J618" t="s">
        <v>147</v>
      </c>
      <c r="K618">
        <v>822865</v>
      </c>
      <c r="L618" t="s">
        <v>465</v>
      </c>
      <c r="M618" t="s">
        <v>466</v>
      </c>
      <c r="N618" t="s">
        <v>57</v>
      </c>
      <c r="O618" s="1">
        <v>45794</v>
      </c>
      <c r="Q618" s="1">
        <v>46220</v>
      </c>
      <c r="R618" s="2">
        <v>72.86</v>
      </c>
      <c r="S618">
        <v>1</v>
      </c>
      <c r="T618" t="s">
        <v>58</v>
      </c>
      <c r="U618" t="s">
        <v>237</v>
      </c>
      <c r="V618" s="3">
        <v>0.06</v>
      </c>
      <c r="W618" s="2">
        <v>0</v>
      </c>
      <c r="X618">
        <v>0</v>
      </c>
      <c r="Y618" t="s">
        <v>238</v>
      </c>
      <c r="Z618" t="s">
        <v>239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4.37</v>
      </c>
      <c r="AN618" s="2">
        <v>4.37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46188</v>
      </c>
      <c r="B619" t="s">
        <v>48</v>
      </c>
      <c r="C619">
        <v>649163</v>
      </c>
      <c r="D619">
        <v>2028995187</v>
      </c>
      <c r="E619" t="s">
        <v>467</v>
      </c>
      <c r="F619" t="s">
        <v>468</v>
      </c>
      <c r="G619" t="s">
        <v>51</v>
      </c>
      <c r="H619" t="s">
        <v>119</v>
      </c>
      <c r="I619" t="s">
        <v>146</v>
      </c>
      <c r="J619" t="s">
        <v>147</v>
      </c>
      <c r="K619">
        <v>812656</v>
      </c>
      <c r="L619" t="s">
        <v>414</v>
      </c>
      <c r="M619" t="s">
        <v>415</v>
      </c>
      <c r="N619" t="s">
        <v>57</v>
      </c>
      <c r="O619" s="1">
        <v>45795</v>
      </c>
      <c r="Q619" s="1">
        <v>46221</v>
      </c>
      <c r="R619" s="2">
        <v>147.41</v>
      </c>
      <c r="S619">
        <v>1</v>
      </c>
      <c r="T619" t="s">
        <v>58</v>
      </c>
      <c r="U619" t="s">
        <v>237</v>
      </c>
      <c r="V619" s="3">
        <v>0.06</v>
      </c>
      <c r="W619" s="2">
        <v>0</v>
      </c>
      <c r="X619">
        <v>0</v>
      </c>
      <c r="Y619" t="s">
        <v>238</v>
      </c>
      <c r="Z619" t="s">
        <v>239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8.84</v>
      </c>
      <c r="AN619" s="2">
        <v>8.84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46188</v>
      </c>
      <c r="B620" t="s">
        <v>48</v>
      </c>
      <c r="C620">
        <v>649163</v>
      </c>
      <c r="D620">
        <v>2029034138</v>
      </c>
      <c r="E620" t="s">
        <v>469</v>
      </c>
      <c r="F620" t="s">
        <v>470</v>
      </c>
      <c r="G620" t="s">
        <v>51</v>
      </c>
      <c r="H620" t="s">
        <v>119</v>
      </c>
      <c r="I620" t="s">
        <v>146</v>
      </c>
      <c r="J620" t="s">
        <v>147</v>
      </c>
      <c r="K620">
        <v>824062</v>
      </c>
      <c r="L620" t="s">
        <v>385</v>
      </c>
      <c r="M620" t="s">
        <v>386</v>
      </c>
      <c r="N620" t="s">
        <v>242</v>
      </c>
      <c r="O620" s="1">
        <v>45809</v>
      </c>
      <c r="P620" s="1">
        <v>46188</v>
      </c>
      <c r="Q620" s="1">
        <v>46204</v>
      </c>
      <c r="R620" s="2">
        <v>-152.08000000000001</v>
      </c>
      <c r="S620">
        <v>1</v>
      </c>
      <c r="T620" t="s">
        <v>58</v>
      </c>
      <c r="U620" t="s">
        <v>237</v>
      </c>
      <c r="V620" s="3">
        <v>0.06</v>
      </c>
      <c r="W620" s="2">
        <v>0</v>
      </c>
      <c r="X620">
        <v>-1</v>
      </c>
      <c r="Y620" t="s">
        <v>238</v>
      </c>
      <c r="Z620" t="s">
        <v>239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-9.1199999999999992</v>
      </c>
      <c r="AN620" s="2">
        <v>-9.1199999999999992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46188</v>
      </c>
      <c r="B621" t="s">
        <v>48</v>
      </c>
      <c r="C621">
        <v>649163</v>
      </c>
      <c r="D621">
        <v>2029481265</v>
      </c>
      <c r="E621" t="s">
        <v>478</v>
      </c>
      <c r="F621" t="s">
        <v>479</v>
      </c>
      <c r="G621" t="s">
        <v>51</v>
      </c>
      <c r="H621" t="s">
        <v>209</v>
      </c>
      <c r="I621" t="s">
        <v>146</v>
      </c>
      <c r="J621" t="s">
        <v>147</v>
      </c>
      <c r="K621">
        <v>877790</v>
      </c>
      <c r="L621" t="s">
        <v>229</v>
      </c>
      <c r="M621" t="s">
        <v>230</v>
      </c>
      <c r="N621" t="s">
        <v>57</v>
      </c>
      <c r="O621" s="1">
        <v>45825</v>
      </c>
      <c r="Q621" s="1">
        <v>46220</v>
      </c>
      <c r="R621" s="2">
        <v>58.15</v>
      </c>
      <c r="S621">
        <v>1</v>
      </c>
      <c r="T621" t="s">
        <v>58</v>
      </c>
      <c r="U621" t="s">
        <v>237</v>
      </c>
      <c r="V621" s="3">
        <v>0.06</v>
      </c>
      <c r="W621" s="2">
        <v>0</v>
      </c>
      <c r="X621">
        <v>0</v>
      </c>
      <c r="Y621" t="s">
        <v>238</v>
      </c>
      <c r="Z621" t="s">
        <v>239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3.49</v>
      </c>
      <c r="AN621" s="2">
        <v>3.49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46188</v>
      </c>
      <c r="B622" t="s">
        <v>48</v>
      </c>
      <c r="C622">
        <v>649163</v>
      </c>
      <c r="D622">
        <v>2029511427</v>
      </c>
      <c r="E622" t="s">
        <v>105</v>
      </c>
      <c r="F622" t="s">
        <v>437</v>
      </c>
      <c r="G622" t="s">
        <v>51</v>
      </c>
      <c r="H622" t="s">
        <v>119</v>
      </c>
      <c r="I622" t="s">
        <v>146</v>
      </c>
      <c r="J622" t="s">
        <v>147</v>
      </c>
      <c r="K622">
        <v>823350</v>
      </c>
      <c r="L622" t="s">
        <v>73</v>
      </c>
      <c r="M622" t="s">
        <v>116</v>
      </c>
      <c r="N622" t="s">
        <v>57</v>
      </c>
      <c r="O622" s="1">
        <v>45826</v>
      </c>
      <c r="Q622" s="1">
        <v>46221</v>
      </c>
      <c r="R622" s="2">
        <v>57.19</v>
      </c>
      <c r="S622">
        <v>1</v>
      </c>
      <c r="T622" t="s">
        <v>58</v>
      </c>
      <c r="U622" t="s">
        <v>237</v>
      </c>
      <c r="V622" s="3">
        <v>0.06</v>
      </c>
      <c r="W622" s="2">
        <v>0</v>
      </c>
      <c r="X622">
        <v>0</v>
      </c>
      <c r="Y622" t="s">
        <v>238</v>
      </c>
      <c r="Z622" t="s">
        <v>239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3.43</v>
      </c>
      <c r="AN622" s="2">
        <v>3.43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46188</v>
      </c>
      <c r="B623" t="s">
        <v>48</v>
      </c>
      <c r="C623">
        <v>649163</v>
      </c>
      <c r="D623">
        <v>2029951923</v>
      </c>
      <c r="E623" t="s">
        <v>346</v>
      </c>
      <c r="F623" t="s">
        <v>347</v>
      </c>
      <c r="G623" t="s">
        <v>51</v>
      </c>
      <c r="H623" t="s">
        <v>119</v>
      </c>
      <c r="I623" t="s">
        <v>146</v>
      </c>
      <c r="J623" t="s">
        <v>147</v>
      </c>
      <c r="K623">
        <v>824076</v>
      </c>
      <c r="L623" t="s">
        <v>344</v>
      </c>
      <c r="M623" t="s">
        <v>345</v>
      </c>
      <c r="N623" t="s">
        <v>57</v>
      </c>
      <c r="O623" s="1">
        <v>45853</v>
      </c>
      <c r="Q623" s="1">
        <v>46218</v>
      </c>
      <c r="R623" s="2">
        <v>77.48</v>
      </c>
      <c r="S623">
        <v>1</v>
      </c>
      <c r="T623" t="s">
        <v>58</v>
      </c>
      <c r="U623" t="s">
        <v>237</v>
      </c>
      <c r="V623" s="4">
        <v>0.375</v>
      </c>
      <c r="W623" s="2">
        <v>0</v>
      </c>
      <c r="X623">
        <v>0</v>
      </c>
      <c r="Y623" t="s">
        <v>60</v>
      </c>
      <c r="Z623" t="s">
        <v>239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29.06</v>
      </c>
      <c r="AN623" s="2">
        <v>29.06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46188</v>
      </c>
      <c r="B624" t="s">
        <v>48</v>
      </c>
      <c r="C624">
        <v>649163</v>
      </c>
      <c r="D624">
        <v>2029957805</v>
      </c>
      <c r="E624" t="s">
        <v>488</v>
      </c>
      <c r="F624" t="s">
        <v>489</v>
      </c>
      <c r="G624" t="s">
        <v>51</v>
      </c>
      <c r="H624" t="s">
        <v>209</v>
      </c>
      <c r="I624" t="s">
        <v>146</v>
      </c>
      <c r="J624" t="s">
        <v>147</v>
      </c>
      <c r="K624">
        <v>877790</v>
      </c>
      <c r="L624" t="s">
        <v>229</v>
      </c>
      <c r="M624" t="s">
        <v>230</v>
      </c>
      <c r="N624" t="s">
        <v>57</v>
      </c>
      <c r="O624" s="1">
        <v>45854</v>
      </c>
      <c r="Q624" s="1">
        <v>46219</v>
      </c>
      <c r="R624" s="2">
        <v>58.15</v>
      </c>
      <c r="S624">
        <v>1</v>
      </c>
      <c r="T624" t="s">
        <v>58</v>
      </c>
      <c r="U624" t="s">
        <v>237</v>
      </c>
      <c r="V624" s="4">
        <v>0.375</v>
      </c>
      <c r="W624" s="2">
        <v>0</v>
      </c>
      <c r="X624">
        <v>0</v>
      </c>
      <c r="Y624" t="s">
        <v>60</v>
      </c>
      <c r="Z624" t="s">
        <v>239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21.81</v>
      </c>
      <c r="AN624" s="2">
        <v>21.81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46188</v>
      </c>
      <c r="B625" t="s">
        <v>48</v>
      </c>
      <c r="C625">
        <v>649163</v>
      </c>
      <c r="D625">
        <v>2029969606</v>
      </c>
      <c r="E625" t="s">
        <v>348</v>
      </c>
      <c r="F625" t="s">
        <v>349</v>
      </c>
      <c r="G625" t="s">
        <v>51</v>
      </c>
      <c r="H625" t="s">
        <v>305</v>
      </c>
      <c r="I625" t="s">
        <v>146</v>
      </c>
      <c r="J625" t="s">
        <v>147</v>
      </c>
      <c r="K625">
        <v>816021</v>
      </c>
      <c r="L625" t="s">
        <v>312</v>
      </c>
      <c r="M625" t="s">
        <v>313</v>
      </c>
      <c r="N625" t="s">
        <v>57</v>
      </c>
      <c r="O625" s="1">
        <v>45854</v>
      </c>
      <c r="Q625" s="1">
        <v>46219</v>
      </c>
      <c r="R625" s="2">
        <v>63.62</v>
      </c>
      <c r="S625">
        <v>1</v>
      </c>
      <c r="T625" t="s">
        <v>58</v>
      </c>
      <c r="U625" t="s">
        <v>237</v>
      </c>
      <c r="V625" s="4">
        <v>0.375</v>
      </c>
      <c r="W625" s="2">
        <v>0</v>
      </c>
      <c r="X625">
        <v>0</v>
      </c>
      <c r="Y625" t="s">
        <v>60</v>
      </c>
      <c r="Z625" t="s">
        <v>239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23.86</v>
      </c>
      <c r="AN625" s="2">
        <v>23.86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46188</v>
      </c>
      <c r="B626" t="s">
        <v>48</v>
      </c>
      <c r="C626">
        <v>649163</v>
      </c>
      <c r="D626">
        <v>2029971480</v>
      </c>
      <c r="E626" t="s">
        <v>492</v>
      </c>
      <c r="F626" t="s">
        <v>262</v>
      </c>
      <c r="G626" t="s">
        <v>51</v>
      </c>
      <c r="H626" t="s">
        <v>327</v>
      </c>
      <c r="I626" t="s">
        <v>146</v>
      </c>
      <c r="J626" t="s">
        <v>147</v>
      </c>
      <c r="K626">
        <v>822723</v>
      </c>
      <c r="L626" t="s">
        <v>486</v>
      </c>
      <c r="M626" t="s">
        <v>487</v>
      </c>
      <c r="N626" t="s">
        <v>57</v>
      </c>
      <c r="O626" s="1">
        <v>45854</v>
      </c>
      <c r="Q626" s="1">
        <v>46219</v>
      </c>
      <c r="R626" s="2">
        <v>188.04</v>
      </c>
      <c r="S626">
        <v>1</v>
      </c>
      <c r="T626" t="s">
        <v>58</v>
      </c>
      <c r="U626" t="s">
        <v>237</v>
      </c>
      <c r="V626" s="4">
        <v>0.375</v>
      </c>
      <c r="W626" s="2">
        <v>0</v>
      </c>
      <c r="X626">
        <v>0</v>
      </c>
      <c r="Y626" t="s">
        <v>60</v>
      </c>
      <c r="Z626" t="s">
        <v>239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70.52</v>
      </c>
      <c r="AN626" s="2">
        <v>70.52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46188</v>
      </c>
      <c r="B627" t="s">
        <v>48</v>
      </c>
      <c r="C627">
        <v>649163</v>
      </c>
      <c r="D627">
        <v>2029985851</v>
      </c>
      <c r="E627" t="s">
        <v>498</v>
      </c>
      <c r="F627" t="s">
        <v>94</v>
      </c>
      <c r="G627" t="s">
        <v>51</v>
      </c>
      <c r="H627" t="s">
        <v>119</v>
      </c>
      <c r="I627" t="s">
        <v>146</v>
      </c>
      <c r="J627" t="s">
        <v>147</v>
      </c>
      <c r="K627">
        <v>823350</v>
      </c>
      <c r="L627" t="s">
        <v>73</v>
      </c>
      <c r="M627" t="s">
        <v>116</v>
      </c>
      <c r="N627" t="s">
        <v>57</v>
      </c>
      <c r="O627" s="1">
        <v>45855</v>
      </c>
      <c r="Q627" s="1">
        <v>46220</v>
      </c>
      <c r="R627" s="2">
        <v>149.87</v>
      </c>
      <c r="S627">
        <v>1</v>
      </c>
      <c r="T627" t="s">
        <v>58</v>
      </c>
      <c r="U627" t="s">
        <v>237</v>
      </c>
      <c r="V627" s="4">
        <v>0.375</v>
      </c>
      <c r="W627" s="2">
        <v>0</v>
      </c>
      <c r="X627">
        <v>0</v>
      </c>
      <c r="Y627" t="s">
        <v>60</v>
      </c>
      <c r="Z627" t="s">
        <v>239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56.2</v>
      </c>
      <c r="AN627" s="2">
        <v>56.2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46188</v>
      </c>
      <c r="B628" t="s">
        <v>48</v>
      </c>
      <c r="C628">
        <v>649163</v>
      </c>
      <c r="D628">
        <v>2030452963</v>
      </c>
      <c r="E628" t="s">
        <v>509</v>
      </c>
      <c r="F628" t="s">
        <v>56</v>
      </c>
      <c r="G628" t="s">
        <v>51</v>
      </c>
      <c r="H628" t="s">
        <v>305</v>
      </c>
      <c r="I628" t="s">
        <v>146</v>
      </c>
      <c r="J628" t="s">
        <v>147</v>
      </c>
      <c r="K628">
        <v>824082</v>
      </c>
      <c r="L628" t="s">
        <v>510</v>
      </c>
      <c r="M628" t="s">
        <v>511</v>
      </c>
      <c r="N628" t="s">
        <v>57</v>
      </c>
      <c r="O628" s="1">
        <v>45882</v>
      </c>
      <c r="Q628" s="1">
        <v>46216</v>
      </c>
      <c r="R628" s="2">
        <v>205.33</v>
      </c>
      <c r="S628">
        <v>1</v>
      </c>
      <c r="T628" t="s">
        <v>58</v>
      </c>
      <c r="U628" t="s">
        <v>237</v>
      </c>
      <c r="V628" s="4">
        <v>0.375</v>
      </c>
      <c r="W628" s="2">
        <v>0</v>
      </c>
      <c r="X628">
        <v>0</v>
      </c>
      <c r="Y628" t="s">
        <v>60</v>
      </c>
      <c r="Z628" t="s">
        <v>239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77</v>
      </c>
      <c r="AN628" s="2">
        <v>77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46188</v>
      </c>
      <c r="B629" t="s">
        <v>48</v>
      </c>
      <c r="C629">
        <v>649163</v>
      </c>
      <c r="D629">
        <v>2030455580</v>
      </c>
      <c r="E629" t="s">
        <v>353</v>
      </c>
      <c r="F629" t="s">
        <v>354</v>
      </c>
      <c r="G629" t="s">
        <v>51</v>
      </c>
      <c r="H629" t="s">
        <v>305</v>
      </c>
      <c r="I629" t="s">
        <v>146</v>
      </c>
      <c r="J629" t="s">
        <v>147</v>
      </c>
      <c r="K629">
        <v>816021</v>
      </c>
      <c r="L629" t="s">
        <v>312</v>
      </c>
      <c r="M629" t="s">
        <v>313</v>
      </c>
      <c r="N629" t="s">
        <v>57</v>
      </c>
      <c r="O629" s="1">
        <v>45882</v>
      </c>
      <c r="Q629" s="1">
        <v>46216</v>
      </c>
      <c r="R629" s="2">
        <v>110.89</v>
      </c>
      <c r="S629">
        <v>1</v>
      </c>
      <c r="T629" t="s">
        <v>58</v>
      </c>
      <c r="U629" t="s">
        <v>237</v>
      </c>
      <c r="V629" s="4">
        <v>0.375</v>
      </c>
      <c r="W629" s="2">
        <v>0</v>
      </c>
      <c r="X629">
        <v>0</v>
      </c>
      <c r="Y629" t="s">
        <v>60</v>
      </c>
      <c r="Z629" t="s">
        <v>239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41.58</v>
      </c>
      <c r="AN629" s="2">
        <v>41.58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46188</v>
      </c>
      <c r="B630" t="s">
        <v>48</v>
      </c>
      <c r="C630">
        <v>649163</v>
      </c>
      <c r="D630">
        <v>2030982990</v>
      </c>
      <c r="E630" t="s">
        <v>363</v>
      </c>
      <c r="F630" t="s">
        <v>364</v>
      </c>
      <c r="G630" t="s">
        <v>51</v>
      </c>
      <c r="H630" t="s">
        <v>95</v>
      </c>
      <c r="I630" t="s">
        <v>146</v>
      </c>
      <c r="J630" t="s">
        <v>147</v>
      </c>
      <c r="K630">
        <v>823350</v>
      </c>
      <c r="L630" t="s">
        <v>73</v>
      </c>
      <c r="M630" t="s">
        <v>116</v>
      </c>
      <c r="N630" t="s">
        <v>57</v>
      </c>
      <c r="O630" s="1">
        <v>45915</v>
      </c>
      <c r="Q630" s="1">
        <v>46218</v>
      </c>
      <c r="R630" s="2">
        <v>243.49</v>
      </c>
      <c r="S630">
        <v>1</v>
      </c>
      <c r="T630" t="s">
        <v>58</v>
      </c>
      <c r="U630" t="s">
        <v>59</v>
      </c>
      <c r="V630" s="4">
        <v>0.375</v>
      </c>
      <c r="W630" s="2">
        <v>0</v>
      </c>
      <c r="X630">
        <v>0</v>
      </c>
      <c r="Y630" t="s">
        <v>60</v>
      </c>
      <c r="Z630" t="s">
        <v>239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91.31</v>
      </c>
      <c r="AN630" s="2">
        <v>91.31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46188</v>
      </c>
      <c r="B631" t="s">
        <v>48</v>
      </c>
      <c r="C631">
        <v>649163</v>
      </c>
      <c r="D631">
        <v>2030999705</v>
      </c>
      <c r="E631" t="s">
        <v>898</v>
      </c>
      <c r="F631" t="s">
        <v>899</v>
      </c>
      <c r="G631" t="s">
        <v>51</v>
      </c>
      <c r="H631" t="s">
        <v>245</v>
      </c>
      <c r="I631" t="s">
        <v>146</v>
      </c>
      <c r="J631" t="s">
        <v>147</v>
      </c>
      <c r="K631">
        <v>651818</v>
      </c>
      <c r="L631" t="s">
        <v>79</v>
      </c>
      <c r="M631" t="s">
        <v>80</v>
      </c>
      <c r="N631" t="s">
        <v>57</v>
      </c>
      <c r="O631" s="1">
        <v>45913</v>
      </c>
      <c r="Q631" s="1">
        <v>46216</v>
      </c>
      <c r="R631" s="2">
        <v>46.27</v>
      </c>
      <c r="S631">
        <v>1</v>
      </c>
      <c r="T631" t="s">
        <v>58</v>
      </c>
      <c r="U631" t="s">
        <v>59</v>
      </c>
      <c r="V631" s="4">
        <v>0.375</v>
      </c>
      <c r="W631" s="2">
        <v>0</v>
      </c>
      <c r="X631">
        <v>0</v>
      </c>
      <c r="Y631" t="s">
        <v>60</v>
      </c>
      <c r="Z631" t="s">
        <v>239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17.350000000000001</v>
      </c>
      <c r="AN631" s="2">
        <v>17.350000000000001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46188</v>
      </c>
      <c r="B632" t="s">
        <v>48</v>
      </c>
      <c r="C632">
        <v>649163</v>
      </c>
      <c r="D632">
        <v>2031017067</v>
      </c>
      <c r="E632" t="s">
        <v>365</v>
      </c>
      <c r="F632" t="s">
        <v>227</v>
      </c>
      <c r="G632" t="s">
        <v>51</v>
      </c>
      <c r="H632" t="s">
        <v>209</v>
      </c>
      <c r="I632" t="s">
        <v>146</v>
      </c>
      <c r="J632" t="s">
        <v>147</v>
      </c>
      <c r="K632">
        <v>877790</v>
      </c>
      <c r="L632" t="s">
        <v>229</v>
      </c>
      <c r="M632" t="s">
        <v>230</v>
      </c>
      <c r="N632" t="s">
        <v>57</v>
      </c>
      <c r="O632" s="1">
        <v>45913</v>
      </c>
      <c r="Q632" s="1">
        <v>46216</v>
      </c>
      <c r="R632" s="2">
        <v>58.15</v>
      </c>
      <c r="S632">
        <v>1</v>
      </c>
      <c r="T632" t="s">
        <v>58</v>
      </c>
      <c r="U632" t="s">
        <v>59</v>
      </c>
      <c r="V632" s="4">
        <v>0.375</v>
      </c>
      <c r="W632" s="2">
        <v>0</v>
      </c>
      <c r="X632">
        <v>0</v>
      </c>
      <c r="Y632" t="s">
        <v>60</v>
      </c>
      <c r="Z632" t="s">
        <v>239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21.81</v>
      </c>
      <c r="AN632" s="2">
        <v>21.81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46188</v>
      </c>
      <c r="B633" t="s">
        <v>48</v>
      </c>
      <c r="C633">
        <v>649163</v>
      </c>
      <c r="D633">
        <v>2031142845</v>
      </c>
      <c r="E633" t="s">
        <v>528</v>
      </c>
      <c r="F633" t="s">
        <v>529</v>
      </c>
      <c r="G633" t="s">
        <v>51</v>
      </c>
      <c r="H633" t="s">
        <v>165</v>
      </c>
      <c r="I633" t="s">
        <v>146</v>
      </c>
      <c r="J633" t="s">
        <v>147</v>
      </c>
      <c r="K633">
        <v>767312</v>
      </c>
      <c r="L633" t="s">
        <v>171</v>
      </c>
      <c r="M633" t="s">
        <v>172</v>
      </c>
      <c r="N633" t="s">
        <v>57</v>
      </c>
      <c r="O633" s="1">
        <v>45919</v>
      </c>
      <c r="Q633" s="1">
        <v>46222</v>
      </c>
      <c r="R633" s="2">
        <v>35.14</v>
      </c>
      <c r="S633">
        <v>1</v>
      </c>
      <c r="T633" t="s">
        <v>58</v>
      </c>
      <c r="U633" t="s">
        <v>59</v>
      </c>
      <c r="V633" s="4">
        <v>0.375</v>
      </c>
      <c r="W633" s="2">
        <v>0</v>
      </c>
      <c r="X633">
        <v>0</v>
      </c>
      <c r="Y633" t="s">
        <v>60</v>
      </c>
      <c r="Z633" t="s">
        <v>239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13.18</v>
      </c>
      <c r="AN633" s="2">
        <v>13.18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46188</v>
      </c>
      <c r="B634" t="s">
        <v>48</v>
      </c>
      <c r="C634">
        <v>649163</v>
      </c>
      <c r="D634">
        <v>2031143403</v>
      </c>
      <c r="E634" t="s">
        <v>346</v>
      </c>
      <c r="F634" t="s">
        <v>236</v>
      </c>
      <c r="G634" t="s">
        <v>51</v>
      </c>
      <c r="H634" t="s">
        <v>292</v>
      </c>
      <c r="I634" t="s">
        <v>146</v>
      </c>
      <c r="J634" t="s">
        <v>147</v>
      </c>
      <c r="K634">
        <v>767312</v>
      </c>
      <c r="L634" t="s">
        <v>171</v>
      </c>
      <c r="M634" t="s">
        <v>172</v>
      </c>
      <c r="N634" t="s">
        <v>57</v>
      </c>
      <c r="O634" s="1">
        <v>45919</v>
      </c>
      <c r="Q634" s="1">
        <v>46222</v>
      </c>
      <c r="R634" s="2">
        <v>88.79</v>
      </c>
      <c r="S634">
        <v>1</v>
      </c>
      <c r="T634" t="s">
        <v>58</v>
      </c>
      <c r="U634" t="s">
        <v>59</v>
      </c>
      <c r="V634" s="4">
        <v>0.375</v>
      </c>
      <c r="W634" s="2">
        <v>0</v>
      </c>
      <c r="X634">
        <v>0</v>
      </c>
      <c r="Y634" t="s">
        <v>60</v>
      </c>
      <c r="Z634" t="s">
        <v>239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33.299999999999997</v>
      </c>
      <c r="AN634" s="2">
        <v>33.299999999999997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46188</v>
      </c>
      <c r="B635" t="s">
        <v>48</v>
      </c>
      <c r="C635">
        <v>649163</v>
      </c>
      <c r="D635">
        <v>2031608493</v>
      </c>
      <c r="E635" t="s">
        <v>900</v>
      </c>
      <c r="F635" t="s">
        <v>901</v>
      </c>
      <c r="G635" t="s">
        <v>51</v>
      </c>
      <c r="H635" t="s">
        <v>292</v>
      </c>
      <c r="I635" t="s">
        <v>146</v>
      </c>
      <c r="J635" t="s">
        <v>147</v>
      </c>
      <c r="K635">
        <v>767312</v>
      </c>
      <c r="L635" t="s">
        <v>171</v>
      </c>
      <c r="M635" t="s">
        <v>172</v>
      </c>
      <c r="N635" t="s">
        <v>57</v>
      </c>
      <c r="O635" s="1">
        <v>45944</v>
      </c>
      <c r="Q635" s="1">
        <v>46217</v>
      </c>
      <c r="R635" s="2">
        <v>33.39</v>
      </c>
      <c r="S635">
        <v>1</v>
      </c>
      <c r="T635" t="s">
        <v>58</v>
      </c>
      <c r="U635" t="s">
        <v>59</v>
      </c>
      <c r="V635" s="4">
        <v>0.375</v>
      </c>
      <c r="W635" s="2">
        <v>0</v>
      </c>
      <c r="X635">
        <v>0</v>
      </c>
      <c r="Y635" t="s">
        <v>60</v>
      </c>
      <c r="Z635" t="s">
        <v>239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12.52</v>
      </c>
      <c r="AN635" s="2">
        <v>12.52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46188</v>
      </c>
      <c r="B636" t="s">
        <v>48</v>
      </c>
      <c r="C636">
        <v>649163</v>
      </c>
      <c r="D636">
        <v>2031641423</v>
      </c>
      <c r="E636" t="s">
        <v>536</v>
      </c>
      <c r="F636" t="s">
        <v>537</v>
      </c>
      <c r="G636" t="s">
        <v>51</v>
      </c>
      <c r="H636" t="s">
        <v>292</v>
      </c>
      <c r="I636" t="s">
        <v>146</v>
      </c>
      <c r="J636" t="s">
        <v>147</v>
      </c>
      <c r="K636">
        <v>767312</v>
      </c>
      <c r="L636" t="s">
        <v>171</v>
      </c>
      <c r="M636" t="s">
        <v>172</v>
      </c>
      <c r="N636" t="s">
        <v>57</v>
      </c>
      <c r="O636" s="1">
        <v>45946</v>
      </c>
      <c r="Q636" s="1">
        <v>46219</v>
      </c>
      <c r="R636" s="2">
        <v>28.38</v>
      </c>
      <c r="S636">
        <v>1</v>
      </c>
      <c r="T636" t="s">
        <v>58</v>
      </c>
      <c r="U636" t="s">
        <v>59</v>
      </c>
      <c r="V636" s="4">
        <v>0.375</v>
      </c>
      <c r="W636" s="2">
        <v>0</v>
      </c>
      <c r="X636">
        <v>0</v>
      </c>
      <c r="Y636" t="s">
        <v>60</v>
      </c>
      <c r="Z636" t="s">
        <v>239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10.64</v>
      </c>
      <c r="AN636" s="2">
        <v>10.64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46188</v>
      </c>
      <c r="B637" t="s">
        <v>48</v>
      </c>
      <c r="C637">
        <v>649163</v>
      </c>
      <c r="D637">
        <v>2031647898</v>
      </c>
      <c r="E637" t="s">
        <v>538</v>
      </c>
      <c r="F637" t="s">
        <v>539</v>
      </c>
      <c r="G637" t="s">
        <v>51</v>
      </c>
      <c r="H637" t="s">
        <v>119</v>
      </c>
      <c r="I637" t="s">
        <v>146</v>
      </c>
      <c r="J637" t="s">
        <v>147</v>
      </c>
      <c r="K637">
        <v>823350</v>
      </c>
      <c r="L637" t="s">
        <v>73</v>
      </c>
      <c r="M637" t="s">
        <v>116</v>
      </c>
      <c r="N637" t="s">
        <v>57</v>
      </c>
      <c r="O637" s="1">
        <v>45948</v>
      </c>
      <c r="Q637" s="1">
        <v>46221</v>
      </c>
      <c r="R637" s="2">
        <v>184.58</v>
      </c>
      <c r="S637">
        <v>1</v>
      </c>
      <c r="T637" t="s">
        <v>58</v>
      </c>
      <c r="U637" t="s">
        <v>59</v>
      </c>
      <c r="V637" s="4">
        <v>0.375</v>
      </c>
      <c r="W637" s="2">
        <v>0</v>
      </c>
      <c r="X637">
        <v>0</v>
      </c>
      <c r="Y637" t="s">
        <v>60</v>
      </c>
      <c r="Z637" t="s">
        <v>239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69.22</v>
      </c>
      <c r="AN637" s="2">
        <v>69.22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46188</v>
      </c>
      <c r="B638" t="s">
        <v>48</v>
      </c>
      <c r="C638">
        <v>649163</v>
      </c>
      <c r="D638">
        <v>2031654839</v>
      </c>
      <c r="E638" t="s">
        <v>902</v>
      </c>
      <c r="F638" t="s">
        <v>903</v>
      </c>
      <c r="G638" t="s">
        <v>51</v>
      </c>
      <c r="H638" t="s">
        <v>95</v>
      </c>
      <c r="I638" t="s">
        <v>146</v>
      </c>
      <c r="J638" t="s">
        <v>147</v>
      </c>
      <c r="K638">
        <v>767312</v>
      </c>
      <c r="L638" t="s">
        <v>171</v>
      </c>
      <c r="M638" t="s">
        <v>172</v>
      </c>
      <c r="N638" t="s">
        <v>57</v>
      </c>
      <c r="O638" s="1">
        <v>45947</v>
      </c>
      <c r="Q638" s="1">
        <v>46220</v>
      </c>
      <c r="R638" s="2">
        <v>51.77</v>
      </c>
      <c r="S638">
        <v>1</v>
      </c>
      <c r="T638" t="s">
        <v>58</v>
      </c>
      <c r="U638" t="s">
        <v>59</v>
      </c>
      <c r="V638" s="4">
        <v>0.375</v>
      </c>
      <c r="W638" s="2">
        <v>0</v>
      </c>
      <c r="X638">
        <v>0</v>
      </c>
      <c r="Y638" t="s">
        <v>60</v>
      </c>
      <c r="Z638" t="s">
        <v>239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19.41</v>
      </c>
      <c r="AN638" s="2">
        <v>19.41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46188</v>
      </c>
      <c r="B639" t="s">
        <v>48</v>
      </c>
      <c r="C639">
        <v>649163</v>
      </c>
      <c r="D639">
        <v>2032116644</v>
      </c>
      <c r="E639" t="s">
        <v>373</v>
      </c>
      <c r="F639" t="s">
        <v>236</v>
      </c>
      <c r="G639" t="s">
        <v>51</v>
      </c>
      <c r="H639" t="s">
        <v>119</v>
      </c>
      <c r="I639" t="s">
        <v>146</v>
      </c>
      <c r="J639" t="s">
        <v>147</v>
      </c>
      <c r="K639">
        <v>823350</v>
      </c>
      <c r="L639" t="s">
        <v>73</v>
      </c>
      <c r="M639" t="s">
        <v>116</v>
      </c>
      <c r="N639" t="s">
        <v>57</v>
      </c>
      <c r="O639" s="1">
        <v>45976</v>
      </c>
      <c r="Q639" s="1">
        <v>46218</v>
      </c>
      <c r="R639" s="2">
        <v>77.48</v>
      </c>
      <c r="S639">
        <v>1</v>
      </c>
      <c r="T639" t="s">
        <v>58</v>
      </c>
      <c r="U639" t="s">
        <v>59</v>
      </c>
      <c r="V639" s="4">
        <v>0.375</v>
      </c>
      <c r="W639" s="2">
        <v>0</v>
      </c>
      <c r="X639">
        <v>0</v>
      </c>
      <c r="Y639" t="s">
        <v>60</v>
      </c>
      <c r="Z639" t="s">
        <v>239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29.06</v>
      </c>
      <c r="AN639" s="2">
        <v>29.06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46188</v>
      </c>
      <c r="B640" t="s">
        <v>48</v>
      </c>
      <c r="C640">
        <v>649163</v>
      </c>
      <c r="D640">
        <v>2032159934</v>
      </c>
      <c r="E640" t="s">
        <v>563</v>
      </c>
      <c r="F640" t="s">
        <v>564</v>
      </c>
      <c r="G640" t="s">
        <v>51</v>
      </c>
      <c r="H640" t="s">
        <v>70</v>
      </c>
      <c r="I640" t="s">
        <v>146</v>
      </c>
      <c r="J640" t="s">
        <v>147</v>
      </c>
      <c r="K640">
        <v>822733</v>
      </c>
      <c r="L640" t="s">
        <v>444</v>
      </c>
      <c r="M640" t="s">
        <v>445</v>
      </c>
      <c r="N640" t="s">
        <v>57</v>
      </c>
      <c r="O640" s="1">
        <v>45976</v>
      </c>
      <c r="Q640" s="1">
        <v>46218</v>
      </c>
      <c r="R640" s="2">
        <v>36.36</v>
      </c>
      <c r="S640">
        <v>1</v>
      </c>
      <c r="T640" t="s">
        <v>58</v>
      </c>
      <c r="U640" t="s">
        <v>59</v>
      </c>
      <c r="V640" s="4">
        <v>0.375</v>
      </c>
      <c r="W640" s="2">
        <v>0</v>
      </c>
      <c r="X640">
        <v>0</v>
      </c>
      <c r="Y640" t="s">
        <v>60</v>
      </c>
      <c r="Z640" t="s">
        <v>239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13.64</v>
      </c>
      <c r="AN640" s="2">
        <v>13.64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46188</v>
      </c>
      <c r="B641" t="s">
        <v>48</v>
      </c>
      <c r="C641">
        <v>649163</v>
      </c>
      <c r="D641">
        <v>2032175461</v>
      </c>
      <c r="E641" t="s">
        <v>569</v>
      </c>
      <c r="F641" t="s">
        <v>570</v>
      </c>
      <c r="G641" t="s">
        <v>51</v>
      </c>
      <c r="H641" t="s">
        <v>119</v>
      </c>
      <c r="I641" t="s">
        <v>146</v>
      </c>
      <c r="J641" t="s">
        <v>147</v>
      </c>
      <c r="K641">
        <v>806645</v>
      </c>
      <c r="L641" t="s">
        <v>406</v>
      </c>
      <c r="M641" t="s">
        <v>407</v>
      </c>
      <c r="N641" t="s">
        <v>57</v>
      </c>
      <c r="O641" s="1">
        <v>45976</v>
      </c>
      <c r="Q641" s="1">
        <v>46218</v>
      </c>
      <c r="R641" s="2">
        <v>61.64</v>
      </c>
      <c r="S641">
        <v>1</v>
      </c>
      <c r="T641" t="s">
        <v>58</v>
      </c>
      <c r="U641" t="s">
        <v>59</v>
      </c>
      <c r="V641" s="4">
        <v>0.375</v>
      </c>
      <c r="W641" s="2">
        <v>0</v>
      </c>
      <c r="X641">
        <v>0</v>
      </c>
      <c r="Y641" t="s">
        <v>60</v>
      </c>
      <c r="Z641" t="s">
        <v>239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23.12</v>
      </c>
      <c r="AN641" s="2">
        <v>23.12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46188</v>
      </c>
      <c r="B642" t="s">
        <v>48</v>
      </c>
      <c r="C642">
        <v>649163</v>
      </c>
      <c r="D642">
        <v>2032175761</v>
      </c>
      <c r="E642" t="s">
        <v>768</v>
      </c>
      <c r="F642" t="s">
        <v>666</v>
      </c>
      <c r="G642" t="s">
        <v>51</v>
      </c>
      <c r="H642" t="s">
        <v>209</v>
      </c>
      <c r="I642" t="s">
        <v>146</v>
      </c>
      <c r="J642" t="s">
        <v>147</v>
      </c>
      <c r="K642">
        <v>898497</v>
      </c>
      <c r="L642" t="s">
        <v>769</v>
      </c>
      <c r="M642" t="s">
        <v>770</v>
      </c>
      <c r="N642" t="s">
        <v>57</v>
      </c>
      <c r="O642" s="1">
        <v>45976</v>
      </c>
      <c r="Q642" s="1">
        <v>46218</v>
      </c>
      <c r="R642" s="2">
        <v>58.15</v>
      </c>
      <c r="S642">
        <v>1</v>
      </c>
      <c r="T642" t="s">
        <v>58</v>
      </c>
      <c r="U642" t="s">
        <v>59</v>
      </c>
      <c r="V642" s="4">
        <v>0.375</v>
      </c>
      <c r="W642" s="2">
        <v>0</v>
      </c>
      <c r="X642">
        <v>0</v>
      </c>
      <c r="Y642" t="s">
        <v>60</v>
      </c>
      <c r="Z642" t="s">
        <v>239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21.81</v>
      </c>
      <c r="AN642" s="2">
        <v>21.81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46188</v>
      </c>
      <c r="B643" t="s">
        <v>48</v>
      </c>
      <c r="C643">
        <v>649163</v>
      </c>
      <c r="D643">
        <v>2032206790</v>
      </c>
      <c r="E643" t="s">
        <v>904</v>
      </c>
      <c r="F643" t="s">
        <v>268</v>
      </c>
      <c r="G643" t="s">
        <v>51</v>
      </c>
      <c r="H643" t="s">
        <v>52</v>
      </c>
      <c r="I643" t="s">
        <v>146</v>
      </c>
      <c r="J643" t="s">
        <v>147</v>
      </c>
      <c r="K643">
        <v>751867</v>
      </c>
      <c r="L643" t="s">
        <v>55</v>
      </c>
      <c r="M643" t="s">
        <v>56</v>
      </c>
      <c r="N643" t="s">
        <v>57</v>
      </c>
      <c r="O643" s="1">
        <v>45979</v>
      </c>
      <c r="Q643" s="1">
        <v>46221</v>
      </c>
      <c r="R643" s="2">
        <v>37.549999999999997</v>
      </c>
      <c r="S643">
        <v>1</v>
      </c>
      <c r="T643" t="s">
        <v>58</v>
      </c>
      <c r="U643" t="s">
        <v>59</v>
      </c>
      <c r="V643" s="4">
        <v>0.375</v>
      </c>
      <c r="W643" s="2">
        <v>0</v>
      </c>
      <c r="X643">
        <v>0</v>
      </c>
      <c r="Y643" t="s">
        <v>60</v>
      </c>
      <c r="Z643" t="s">
        <v>239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14.08</v>
      </c>
      <c r="AN643" s="2">
        <v>14.08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46188</v>
      </c>
      <c r="B644" t="s">
        <v>48</v>
      </c>
      <c r="C644">
        <v>649163</v>
      </c>
      <c r="D644">
        <v>2032206979</v>
      </c>
      <c r="E644" t="s">
        <v>575</v>
      </c>
      <c r="F644" t="s">
        <v>349</v>
      </c>
      <c r="G644" t="s">
        <v>51</v>
      </c>
      <c r="H644" t="s">
        <v>145</v>
      </c>
      <c r="I644" t="s">
        <v>146</v>
      </c>
      <c r="J644" t="s">
        <v>147</v>
      </c>
      <c r="K644">
        <v>812656</v>
      </c>
      <c r="L644" t="s">
        <v>414</v>
      </c>
      <c r="M644" t="s">
        <v>415</v>
      </c>
      <c r="N644" t="s">
        <v>57</v>
      </c>
      <c r="O644" s="1">
        <v>45979</v>
      </c>
      <c r="Q644" s="1">
        <v>46221</v>
      </c>
      <c r="R644" s="2">
        <v>54.83</v>
      </c>
      <c r="S644">
        <v>1</v>
      </c>
      <c r="T644" t="s">
        <v>58</v>
      </c>
      <c r="U644" t="s">
        <v>59</v>
      </c>
      <c r="V644" s="4">
        <v>0.375</v>
      </c>
      <c r="W644" s="2">
        <v>0</v>
      </c>
      <c r="X644">
        <v>0</v>
      </c>
      <c r="Y644" t="s">
        <v>60</v>
      </c>
      <c r="Z644" t="s">
        <v>239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20.56</v>
      </c>
      <c r="AN644" s="2">
        <v>20.56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46188</v>
      </c>
      <c r="B645" t="s">
        <v>48</v>
      </c>
      <c r="C645">
        <v>649163</v>
      </c>
      <c r="D645">
        <v>2032208389</v>
      </c>
      <c r="E645" t="s">
        <v>381</v>
      </c>
      <c r="F645" t="s">
        <v>272</v>
      </c>
      <c r="G645" t="s">
        <v>51</v>
      </c>
      <c r="H645" t="s">
        <v>305</v>
      </c>
      <c r="I645" t="s">
        <v>146</v>
      </c>
      <c r="J645" t="s">
        <v>147</v>
      </c>
      <c r="K645">
        <v>816021</v>
      </c>
      <c r="L645" t="s">
        <v>312</v>
      </c>
      <c r="M645" t="s">
        <v>313</v>
      </c>
      <c r="N645" t="s">
        <v>57</v>
      </c>
      <c r="O645" s="1">
        <v>45979</v>
      </c>
      <c r="Q645" s="1">
        <v>46221</v>
      </c>
      <c r="R645" s="2">
        <v>47.28</v>
      </c>
      <c r="S645">
        <v>1</v>
      </c>
      <c r="T645" t="s">
        <v>58</v>
      </c>
      <c r="U645" t="s">
        <v>59</v>
      </c>
      <c r="V645" s="4">
        <v>0.375</v>
      </c>
      <c r="W645" s="2">
        <v>0</v>
      </c>
      <c r="X645">
        <v>0</v>
      </c>
      <c r="Y645" t="s">
        <v>60</v>
      </c>
      <c r="Z645" t="s">
        <v>239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17.73</v>
      </c>
      <c r="AN645" s="2">
        <v>17.73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46188</v>
      </c>
      <c r="B646" t="s">
        <v>48</v>
      </c>
      <c r="C646">
        <v>649163</v>
      </c>
      <c r="D646">
        <v>2032222105</v>
      </c>
      <c r="E646" t="s">
        <v>576</v>
      </c>
      <c r="F646" t="s">
        <v>250</v>
      </c>
      <c r="G646" t="s">
        <v>51</v>
      </c>
      <c r="H646" t="s">
        <v>305</v>
      </c>
      <c r="I646" t="s">
        <v>146</v>
      </c>
      <c r="J646" t="s">
        <v>147</v>
      </c>
      <c r="K646">
        <v>816021</v>
      </c>
      <c r="L646" t="s">
        <v>312</v>
      </c>
      <c r="M646" t="s">
        <v>313</v>
      </c>
      <c r="N646" t="s">
        <v>57</v>
      </c>
      <c r="O646" s="1">
        <v>45979</v>
      </c>
      <c r="Q646" s="1">
        <v>46221</v>
      </c>
      <c r="R646" s="2">
        <v>138.78</v>
      </c>
      <c r="S646">
        <v>1</v>
      </c>
      <c r="T646" t="s">
        <v>58</v>
      </c>
      <c r="U646" t="s">
        <v>59</v>
      </c>
      <c r="V646" s="4">
        <v>0.375</v>
      </c>
      <c r="W646" s="2">
        <v>0</v>
      </c>
      <c r="X646">
        <v>0</v>
      </c>
      <c r="Y646" t="s">
        <v>60</v>
      </c>
      <c r="Z646" t="s">
        <v>239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52.04</v>
      </c>
      <c r="AN646" s="2">
        <v>52.04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46188</v>
      </c>
      <c r="B647" t="s">
        <v>48</v>
      </c>
      <c r="C647">
        <v>649163</v>
      </c>
      <c r="D647">
        <v>2032223334</v>
      </c>
      <c r="E647" t="s">
        <v>577</v>
      </c>
      <c r="F647" t="s">
        <v>579</v>
      </c>
      <c r="G647" t="s">
        <v>51</v>
      </c>
      <c r="H647" t="s">
        <v>70</v>
      </c>
      <c r="I647" t="s">
        <v>146</v>
      </c>
      <c r="J647" t="s">
        <v>147</v>
      </c>
      <c r="K647">
        <v>822733</v>
      </c>
      <c r="L647" t="s">
        <v>444</v>
      </c>
      <c r="M647" t="s">
        <v>445</v>
      </c>
      <c r="N647" t="s">
        <v>57</v>
      </c>
      <c r="O647" s="1">
        <v>45980</v>
      </c>
      <c r="Q647" s="1">
        <v>46222</v>
      </c>
      <c r="R647" s="2">
        <v>44.86</v>
      </c>
      <c r="S647">
        <v>1</v>
      </c>
      <c r="T647" t="s">
        <v>58</v>
      </c>
      <c r="U647" t="s">
        <v>59</v>
      </c>
      <c r="V647" s="4">
        <v>0.375</v>
      </c>
      <c r="W647" s="2">
        <v>0</v>
      </c>
      <c r="X647">
        <v>0</v>
      </c>
      <c r="Y647" t="s">
        <v>60</v>
      </c>
      <c r="Z647" t="s">
        <v>239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16.82</v>
      </c>
      <c r="AN647" s="2">
        <v>16.82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46188</v>
      </c>
      <c r="B648" t="s">
        <v>48</v>
      </c>
      <c r="C648">
        <v>649163</v>
      </c>
      <c r="D648">
        <v>2032256024</v>
      </c>
      <c r="E648" t="s">
        <v>586</v>
      </c>
      <c r="F648" t="s">
        <v>494</v>
      </c>
      <c r="G648" t="s">
        <v>51</v>
      </c>
      <c r="H648" t="s">
        <v>305</v>
      </c>
      <c r="I648" t="s">
        <v>146</v>
      </c>
      <c r="J648" t="s">
        <v>147</v>
      </c>
      <c r="K648">
        <v>796984</v>
      </c>
      <c r="L648" t="s">
        <v>306</v>
      </c>
      <c r="M648" t="s">
        <v>307</v>
      </c>
      <c r="N648" t="s">
        <v>57</v>
      </c>
      <c r="O648" s="1">
        <v>45981</v>
      </c>
      <c r="Q648" s="1">
        <v>46193</v>
      </c>
      <c r="R648" s="2">
        <v>-71.760000000000005</v>
      </c>
      <c r="S648">
        <v>1</v>
      </c>
      <c r="T648" t="s">
        <v>58</v>
      </c>
      <c r="U648" t="s">
        <v>59</v>
      </c>
      <c r="V648" s="4">
        <v>0.375</v>
      </c>
      <c r="W648" s="2">
        <v>0</v>
      </c>
      <c r="X648">
        <v>-1</v>
      </c>
      <c r="Y648" t="s">
        <v>60</v>
      </c>
      <c r="Z648" t="s">
        <v>239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-26.91</v>
      </c>
      <c r="AN648" s="2">
        <v>-26.91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46188</v>
      </c>
      <c r="B649" t="s">
        <v>48</v>
      </c>
      <c r="C649">
        <v>649163</v>
      </c>
      <c r="D649">
        <v>2032256024</v>
      </c>
      <c r="E649" t="s">
        <v>586</v>
      </c>
      <c r="F649" t="s">
        <v>494</v>
      </c>
      <c r="G649" t="s">
        <v>51</v>
      </c>
      <c r="H649" t="s">
        <v>305</v>
      </c>
      <c r="I649" t="s">
        <v>146</v>
      </c>
      <c r="J649" t="s">
        <v>147</v>
      </c>
      <c r="K649">
        <v>796984</v>
      </c>
      <c r="L649" t="s">
        <v>306</v>
      </c>
      <c r="M649" t="s">
        <v>307</v>
      </c>
      <c r="N649" t="s">
        <v>57</v>
      </c>
      <c r="O649" s="1">
        <v>45981</v>
      </c>
      <c r="Q649" s="1">
        <v>46193</v>
      </c>
      <c r="R649" s="2">
        <v>-71.760000000000005</v>
      </c>
      <c r="S649">
        <v>1</v>
      </c>
      <c r="T649" t="s">
        <v>58</v>
      </c>
      <c r="U649" t="s">
        <v>59</v>
      </c>
      <c r="V649" s="4">
        <v>0.375</v>
      </c>
      <c r="W649" s="2">
        <v>0</v>
      </c>
      <c r="X649">
        <v>-1</v>
      </c>
      <c r="Y649" t="s">
        <v>60</v>
      </c>
      <c r="Z649" t="s">
        <v>239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-26.91</v>
      </c>
      <c r="AN649" s="2">
        <v>-26.91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46188</v>
      </c>
      <c r="B650" t="s">
        <v>48</v>
      </c>
      <c r="C650">
        <v>649163</v>
      </c>
      <c r="D650">
        <v>2032256024</v>
      </c>
      <c r="E650" t="s">
        <v>586</v>
      </c>
      <c r="F650" t="s">
        <v>494</v>
      </c>
      <c r="G650" t="s">
        <v>51</v>
      </c>
      <c r="H650" t="s">
        <v>305</v>
      </c>
      <c r="I650" t="s">
        <v>146</v>
      </c>
      <c r="J650" t="s">
        <v>147</v>
      </c>
      <c r="K650">
        <v>796984</v>
      </c>
      <c r="L650" t="s">
        <v>306</v>
      </c>
      <c r="M650" t="s">
        <v>307</v>
      </c>
      <c r="N650" t="s">
        <v>57</v>
      </c>
      <c r="O650" s="1">
        <v>45981</v>
      </c>
      <c r="Q650" s="1">
        <v>46193</v>
      </c>
      <c r="R650" s="2">
        <v>-71.760000000000005</v>
      </c>
      <c r="S650">
        <v>1</v>
      </c>
      <c r="T650" t="s">
        <v>58</v>
      </c>
      <c r="U650" t="s">
        <v>59</v>
      </c>
      <c r="V650" s="4">
        <v>0.375</v>
      </c>
      <c r="W650" s="2">
        <v>0</v>
      </c>
      <c r="X650">
        <v>-1</v>
      </c>
      <c r="Y650" t="s">
        <v>60</v>
      </c>
      <c r="Z650" t="s">
        <v>239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-26.91</v>
      </c>
      <c r="AN650" s="2">
        <v>-26.91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46188</v>
      </c>
      <c r="B651" t="s">
        <v>48</v>
      </c>
      <c r="C651">
        <v>649163</v>
      </c>
      <c r="D651">
        <v>2032256024</v>
      </c>
      <c r="E651" t="s">
        <v>586</v>
      </c>
      <c r="F651" t="s">
        <v>494</v>
      </c>
      <c r="G651" t="s">
        <v>51</v>
      </c>
      <c r="H651" t="s">
        <v>305</v>
      </c>
      <c r="I651" t="s">
        <v>146</v>
      </c>
      <c r="J651" t="s">
        <v>147</v>
      </c>
      <c r="K651">
        <v>796984</v>
      </c>
      <c r="L651" t="s">
        <v>306</v>
      </c>
      <c r="M651" t="s">
        <v>307</v>
      </c>
      <c r="N651" t="s">
        <v>57</v>
      </c>
      <c r="O651" s="1">
        <v>45981</v>
      </c>
      <c r="Q651" s="1">
        <v>46193</v>
      </c>
      <c r="R651" s="2">
        <v>215.28</v>
      </c>
      <c r="S651">
        <v>1</v>
      </c>
      <c r="T651" t="s">
        <v>58</v>
      </c>
      <c r="U651" t="s">
        <v>59</v>
      </c>
      <c r="V651" s="4">
        <v>0.375</v>
      </c>
      <c r="W651" s="2">
        <v>0</v>
      </c>
      <c r="X651">
        <v>0</v>
      </c>
      <c r="Y651" t="s">
        <v>60</v>
      </c>
      <c r="Z651" t="s">
        <v>239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80.73</v>
      </c>
      <c r="AN651" s="2">
        <v>80.73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46188</v>
      </c>
      <c r="B652" t="s">
        <v>48</v>
      </c>
      <c r="C652">
        <v>649163</v>
      </c>
      <c r="D652">
        <v>2032256024</v>
      </c>
      <c r="E652" t="s">
        <v>586</v>
      </c>
      <c r="F652" t="s">
        <v>494</v>
      </c>
      <c r="G652" t="s">
        <v>51</v>
      </c>
      <c r="H652" t="s">
        <v>305</v>
      </c>
      <c r="I652" t="s">
        <v>146</v>
      </c>
      <c r="J652" t="s">
        <v>147</v>
      </c>
      <c r="K652">
        <v>796984</v>
      </c>
      <c r="L652" t="s">
        <v>306</v>
      </c>
      <c r="M652" t="s">
        <v>307</v>
      </c>
      <c r="N652" t="s">
        <v>57</v>
      </c>
      <c r="O652" s="1">
        <v>45981</v>
      </c>
      <c r="Q652" s="1">
        <v>46193</v>
      </c>
      <c r="R652" s="2">
        <v>-71.760000000000005</v>
      </c>
      <c r="S652">
        <v>1</v>
      </c>
      <c r="T652" t="s">
        <v>58</v>
      </c>
      <c r="U652" t="s">
        <v>59</v>
      </c>
      <c r="V652" s="4">
        <v>0.375</v>
      </c>
      <c r="W652" s="2">
        <v>0</v>
      </c>
      <c r="X652">
        <v>-1</v>
      </c>
      <c r="Y652" t="s">
        <v>60</v>
      </c>
      <c r="Z652" t="s">
        <v>239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-26.91</v>
      </c>
      <c r="AN652" s="2">
        <v>-26.91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46188</v>
      </c>
      <c r="B653" t="s">
        <v>48</v>
      </c>
      <c r="C653">
        <v>649163</v>
      </c>
      <c r="D653">
        <v>2032484434</v>
      </c>
      <c r="E653" t="s">
        <v>905</v>
      </c>
      <c r="F653" t="s">
        <v>906</v>
      </c>
      <c r="G653" t="s">
        <v>51</v>
      </c>
      <c r="H653" t="s">
        <v>165</v>
      </c>
      <c r="I653" t="s">
        <v>146</v>
      </c>
      <c r="J653" t="s">
        <v>147</v>
      </c>
      <c r="K653">
        <v>767312</v>
      </c>
      <c r="L653" t="s">
        <v>171</v>
      </c>
      <c r="M653" t="s">
        <v>172</v>
      </c>
      <c r="N653" t="s">
        <v>57</v>
      </c>
      <c r="O653" s="1">
        <v>46004</v>
      </c>
      <c r="Q653" s="1">
        <v>46216</v>
      </c>
      <c r="R653" s="2">
        <v>32.340000000000003</v>
      </c>
      <c r="S653">
        <v>1</v>
      </c>
      <c r="T653" t="s">
        <v>58</v>
      </c>
      <c r="U653" t="s">
        <v>59</v>
      </c>
      <c r="V653" s="4">
        <v>0.375</v>
      </c>
      <c r="W653" s="2">
        <v>0</v>
      </c>
      <c r="X653">
        <v>0</v>
      </c>
      <c r="Y653" t="s">
        <v>60</v>
      </c>
      <c r="Z653" t="s">
        <v>239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12.13</v>
      </c>
      <c r="AN653" s="2">
        <v>12.13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46188</v>
      </c>
      <c r="B654" t="s">
        <v>48</v>
      </c>
      <c r="C654">
        <v>649163</v>
      </c>
      <c r="D654">
        <v>2032634715</v>
      </c>
      <c r="E654" t="s">
        <v>389</v>
      </c>
      <c r="F654" t="s">
        <v>390</v>
      </c>
      <c r="G654" t="s">
        <v>51</v>
      </c>
      <c r="H654" t="s">
        <v>305</v>
      </c>
      <c r="I654" t="s">
        <v>146</v>
      </c>
      <c r="J654" t="s">
        <v>147</v>
      </c>
      <c r="K654">
        <v>816021</v>
      </c>
      <c r="L654" t="s">
        <v>312</v>
      </c>
      <c r="M654" t="s">
        <v>313</v>
      </c>
      <c r="N654" t="s">
        <v>57</v>
      </c>
      <c r="O654" s="1">
        <v>46006</v>
      </c>
      <c r="Q654" s="1">
        <v>46218</v>
      </c>
      <c r="R654" s="2">
        <v>138.78</v>
      </c>
      <c r="S654">
        <v>1</v>
      </c>
      <c r="T654" t="s">
        <v>58</v>
      </c>
      <c r="U654" t="s">
        <v>59</v>
      </c>
      <c r="V654" s="4">
        <v>0.375</v>
      </c>
      <c r="W654" s="2">
        <v>0</v>
      </c>
      <c r="X654">
        <v>0</v>
      </c>
      <c r="Y654" t="s">
        <v>60</v>
      </c>
      <c r="Z654" t="s">
        <v>239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52.04</v>
      </c>
      <c r="AN654" s="2">
        <v>52.04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46188</v>
      </c>
      <c r="B655" t="s">
        <v>48</v>
      </c>
      <c r="C655">
        <v>649163</v>
      </c>
      <c r="D655">
        <v>2032658994</v>
      </c>
      <c r="E655" t="s">
        <v>369</v>
      </c>
      <c r="F655" t="s">
        <v>907</v>
      </c>
      <c r="G655" t="s">
        <v>51</v>
      </c>
      <c r="H655" t="s">
        <v>170</v>
      </c>
      <c r="I655" t="s">
        <v>146</v>
      </c>
      <c r="J655" t="s">
        <v>147</v>
      </c>
      <c r="K655">
        <v>767312</v>
      </c>
      <c r="L655" t="s">
        <v>171</v>
      </c>
      <c r="M655" t="s">
        <v>172</v>
      </c>
      <c r="N655" t="s">
        <v>57</v>
      </c>
      <c r="O655" s="1">
        <v>46004</v>
      </c>
      <c r="Q655" s="1">
        <v>46216</v>
      </c>
      <c r="R655" s="2">
        <v>29.5</v>
      </c>
      <c r="S655">
        <v>1</v>
      </c>
      <c r="T655" t="s">
        <v>58</v>
      </c>
      <c r="U655" t="s">
        <v>59</v>
      </c>
      <c r="V655" s="4">
        <v>0.375</v>
      </c>
      <c r="W655" s="2">
        <v>0</v>
      </c>
      <c r="X655">
        <v>0</v>
      </c>
      <c r="Y655" t="s">
        <v>60</v>
      </c>
      <c r="Z655" t="s">
        <v>239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11.06</v>
      </c>
      <c r="AN655" s="2">
        <v>11.06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46188</v>
      </c>
      <c r="B656" t="s">
        <v>48</v>
      </c>
      <c r="C656">
        <v>649163</v>
      </c>
      <c r="D656">
        <v>2032669854</v>
      </c>
      <c r="E656" t="s">
        <v>330</v>
      </c>
      <c r="F656" t="s">
        <v>383</v>
      </c>
      <c r="G656" t="s">
        <v>51</v>
      </c>
      <c r="H656" t="s">
        <v>95</v>
      </c>
      <c r="I656" t="s">
        <v>146</v>
      </c>
      <c r="J656" t="s">
        <v>147</v>
      </c>
      <c r="K656">
        <v>768887</v>
      </c>
      <c r="L656" t="s">
        <v>321</v>
      </c>
      <c r="M656" t="s">
        <v>94</v>
      </c>
      <c r="N656" t="s">
        <v>242</v>
      </c>
      <c r="O656" s="1">
        <v>46006</v>
      </c>
      <c r="P656" s="1">
        <v>46188</v>
      </c>
      <c r="Q656" s="1">
        <v>46218</v>
      </c>
      <c r="R656" s="2">
        <v>-7.09</v>
      </c>
      <c r="S656">
        <v>1</v>
      </c>
      <c r="T656" t="s">
        <v>58</v>
      </c>
      <c r="U656" t="s">
        <v>59</v>
      </c>
      <c r="V656" s="4">
        <v>0.375</v>
      </c>
      <c r="W656" s="2">
        <v>0</v>
      </c>
      <c r="X656">
        <v>-1</v>
      </c>
      <c r="Y656" t="s">
        <v>60</v>
      </c>
      <c r="Z656" t="s">
        <v>239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-2.66</v>
      </c>
      <c r="AN656" s="2">
        <v>-2.66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46188</v>
      </c>
      <c r="B657" t="s">
        <v>48</v>
      </c>
      <c r="C657">
        <v>649163</v>
      </c>
      <c r="D657">
        <v>2032669963</v>
      </c>
      <c r="E657" t="s">
        <v>908</v>
      </c>
      <c r="F657" t="s">
        <v>909</v>
      </c>
      <c r="G657" t="s">
        <v>51</v>
      </c>
      <c r="H657" t="s">
        <v>119</v>
      </c>
      <c r="I657" t="s">
        <v>146</v>
      </c>
      <c r="J657" t="s">
        <v>147</v>
      </c>
      <c r="K657">
        <v>813184</v>
      </c>
      <c r="L657" t="s">
        <v>328</v>
      </c>
      <c r="M657" t="s">
        <v>329</v>
      </c>
      <c r="N657" t="s">
        <v>57</v>
      </c>
      <c r="O657" s="1">
        <v>46005</v>
      </c>
      <c r="Q657" s="1">
        <v>46217</v>
      </c>
      <c r="R657" s="2">
        <v>53.87</v>
      </c>
      <c r="S657">
        <v>1</v>
      </c>
      <c r="T657" t="s">
        <v>58</v>
      </c>
      <c r="U657" t="s">
        <v>59</v>
      </c>
      <c r="V657" s="4">
        <v>0.375</v>
      </c>
      <c r="W657" s="2">
        <v>0</v>
      </c>
      <c r="X657">
        <v>0</v>
      </c>
      <c r="Y657" t="s">
        <v>60</v>
      </c>
      <c r="Z657" t="s">
        <v>239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20.2</v>
      </c>
      <c r="AN657" s="2">
        <v>20.2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46188</v>
      </c>
      <c r="B658" t="s">
        <v>48</v>
      </c>
      <c r="C658">
        <v>649163</v>
      </c>
      <c r="D658">
        <v>2032676547</v>
      </c>
      <c r="E658" t="s">
        <v>274</v>
      </c>
      <c r="F658" t="s">
        <v>123</v>
      </c>
      <c r="G658" t="s">
        <v>51</v>
      </c>
      <c r="H658" t="s">
        <v>52</v>
      </c>
      <c r="I658" t="s">
        <v>146</v>
      </c>
      <c r="J658" t="s">
        <v>147</v>
      </c>
      <c r="K658">
        <v>885445</v>
      </c>
      <c r="L658" t="s">
        <v>273</v>
      </c>
      <c r="M658" t="s">
        <v>92</v>
      </c>
      <c r="N658" t="s">
        <v>57</v>
      </c>
      <c r="O658" s="1">
        <v>46005</v>
      </c>
      <c r="Q658" s="1">
        <v>46217</v>
      </c>
      <c r="R658" s="2">
        <v>37.32</v>
      </c>
      <c r="S658">
        <v>1</v>
      </c>
      <c r="T658" t="s">
        <v>58</v>
      </c>
      <c r="U658" t="s">
        <v>59</v>
      </c>
      <c r="V658" s="4">
        <v>0.375</v>
      </c>
      <c r="W658" s="2">
        <v>0</v>
      </c>
      <c r="X658">
        <v>0</v>
      </c>
      <c r="Y658" t="s">
        <v>60</v>
      </c>
      <c r="Z658" t="s">
        <v>239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14</v>
      </c>
      <c r="AN658" s="2">
        <v>14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46188</v>
      </c>
      <c r="B659" t="s">
        <v>48</v>
      </c>
      <c r="C659">
        <v>649163</v>
      </c>
      <c r="D659">
        <v>2032693408</v>
      </c>
      <c r="E659" t="s">
        <v>606</v>
      </c>
      <c r="F659" t="s">
        <v>607</v>
      </c>
      <c r="G659" t="s">
        <v>51</v>
      </c>
      <c r="H659" t="s">
        <v>305</v>
      </c>
      <c r="I659" t="s">
        <v>146</v>
      </c>
      <c r="J659" t="s">
        <v>147</v>
      </c>
      <c r="K659">
        <v>816021</v>
      </c>
      <c r="L659" t="s">
        <v>312</v>
      </c>
      <c r="M659" t="s">
        <v>313</v>
      </c>
      <c r="N659" t="s">
        <v>57</v>
      </c>
      <c r="O659" s="1">
        <v>46007</v>
      </c>
      <c r="Q659" s="1">
        <v>46219</v>
      </c>
      <c r="R659" s="2">
        <v>47.28</v>
      </c>
      <c r="S659">
        <v>1</v>
      </c>
      <c r="T659" t="s">
        <v>58</v>
      </c>
      <c r="U659" t="s">
        <v>59</v>
      </c>
      <c r="V659" s="4">
        <v>0.375</v>
      </c>
      <c r="W659" s="2">
        <v>0</v>
      </c>
      <c r="X659">
        <v>0</v>
      </c>
      <c r="Y659" t="s">
        <v>60</v>
      </c>
      <c r="Z659" t="s">
        <v>239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17.73</v>
      </c>
      <c r="AN659" s="2">
        <v>17.73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46188</v>
      </c>
      <c r="B660" t="s">
        <v>48</v>
      </c>
      <c r="C660">
        <v>649163</v>
      </c>
      <c r="D660">
        <v>2032715765</v>
      </c>
      <c r="E660" t="s">
        <v>910</v>
      </c>
      <c r="F660" t="s">
        <v>392</v>
      </c>
      <c r="G660" t="s">
        <v>51</v>
      </c>
      <c r="H660" t="s">
        <v>119</v>
      </c>
      <c r="I660" t="s">
        <v>146</v>
      </c>
      <c r="J660" t="s">
        <v>147</v>
      </c>
      <c r="K660">
        <v>823350</v>
      </c>
      <c r="L660" t="s">
        <v>73</v>
      </c>
      <c r="M660" t="s">
        <v>116</v>
      </c>
      <c r="N660" t="s">
        <v>57</v>
      </c>
      <c r="O660" s="1">
        <v>46008</v>
      </c>
      <c r="Q660" s="1">
        <v>46220</v>
      </c>
      <c r="R660" s="2">
        <v>77.48</v>
      </c>
      <c r="S660">
        <v>1</v>
      </c>
      <c r="T660" t="s">
        <v>58</v>
      </c>
      <c r="U660" t="s">
        <v>59</v>
      </c>
      <c r="V660" s="4">
        <v>0.375</v>
      </c>
      <c r="W660" s="2">
        <v>0</v>
      </c>
      <c r="X660">
        <v>0</v>
      </c>
      <c r="Y660" t="s">
        <v>60</v>
      </c>
      <c r="Z660" t="s">
        <v>239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29.06</v>
      </c>
      <c r="AN660" s="2">
        <v>29.06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46188</v>
      </c>
      <c r="B661" t="s">
        <v>48</v>
      </c>
      <c r="C661">
        <v>649163</v>
      </c>
      <c r="D661">
        <v>2032741113</v>
      </c>
      <c r="E661" t="s">
        <v>853</v>
      </c>
      <c r="F661" t="s">
        <v>494</v>
      </c>
      <c r="G661" t="s">
        <v>51</v>
      </c>
      <c r="H661" t="s">
        <v>119</v>
      </c>
      <c r="I661" t="s">
        <v>146</v>
      </c>
      <c r="J661" t="s">
        <v>147</v>
      </c>
      <c r="K661">
        <v>893408</v>
      </c>
      <c r="L661" t="s">
        <v>595</v>
      </c>
      <c r="M661" t="s">
        <v>596</v>
      </c>
      <c r="N661" t="s">
        <v>57</v>
      </c>
      <c r="O661" s="1">
        <v>46009</v>
      </c>
      <c r="Q661" s="1">
        <v>46221</v>
      </c>
      <c r="R661" s="2">
        <v>149.87</v>
      </c>
      <c r="S661">
        <v>1</v>
      </c>
      <c r="T661" t="s">
        <v>58</v>
      </c>
      <c r="U661" t="s">
        <v>59</v>
      </c>
      <c r="V661" s="4">
        <v>0.375</v>
      </c>
      <c r="W661" s="2">
        <v>0</v>
      </c>
      <c r="X661">
        <v>0</v>
      </c>
      <c r="Y661" t="s">
        <v>60</v>
      </c>
      <c r="Z661" t="s">
        <v>239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56.2</v>
      </c>
      <c r="AN661" s="2">
        <v>56.2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46188</v>
      </c>
      <c r="B662" t="s">
        <v>48</v>
      </c>
      <c r="C662">
        <v>649163</v>
      </c>
      <c r="D662">
        <v>2032757519</v>
      </c>
      <c r="E662" t="s">
        <v>911</v>
      </c>
      <c r="F662" t="s">
        <v>912</v>
      </c>
      <c r="G662" t="s">
        <v>51</v>
      </c>
      <c r="H662" t="s">
        <v>52</v>
      </c>
      <c r="I662" t="s">
        <v>146</v>
      </c>
      <c r="J662" t="s">
        <v>147</v>
      </c>
      <c r="K662">
        <v>650218</v>
      </c>
      <c r="L662" t="s">
        <v>158</v>
      </c>
      <c r="M662" t="s">
        <v>159</v>
      </c>
      <c r="N662" t="s">
        <v>57</v>
      </c>
      <c r="O662" s="1">
        <v>46010</v>
      </c>
      <c r="Q662" s="1">
        <v>46222</v>
      </c>
      <c r="R662" s="2">
        <v>28.32</v>
      </c>
      <c r="S662">
        <v>1</v>
      </c>
      <c r="T662" t="s">
        <v>58</v>
      </c>
      <c r="U662" t="s">
        <v>59</v>
      </c>
      <c r="V662" s="4">
        <v>0.375</v>
      </c>
      <c r="W662" s="2">
        <v>0</v>
      </c>
      <c r="X662">
        <v>0</v>
      </c>
      <c r="Y662" t="s">
        <v>60</v>
      </c>
      <c r="Z662" t="s">
        <v>239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10.62</v>
      </c>
      <c r="AN662" s="2">
        <v>10.62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46188</v>
      </c>
      <c r="B663" t="s">
        <v>48</v>
      </c>
      <c r="C663">
        <v>649163</v>
      </c>
      <c r="D663">
        <v>2033057489</v>
      </c>
      <c r="E663" t="s">
        <v>913</v>
      </c>
      <c r="F663" t="s">
        <v>609</v>
      </c>
      <c r="G663" t="s">
        <v>51</v>
      </c>
      <c r="H663" t="s">
        <v>119</v>
      </c>
      <c r="I663" t="s">
        <v>146</v>
      </c>
      <c r="J663" t="s">
        <v>147</v>
      </c>
      <c r="K663">
        <v>806645</v>
      </c>
      <c r="L663" t="s">
        <v>406</v>
      </c>
      <c r="M663" t="s">
        <v>407</v>
      </c>
      <c r="N663" t="s">
        <v>57</v>
      </c>
      <c r="O663" s="1">
        <v>46037</v>
      </c>
      <c r="Q663" s="1">
        <v>46218</v>
      </c>
      <c r="R663" s="2">
        <v>54.7</v>
      </c>
      <c r="S663">
        <v>1</v>
      </c>
      <c r="T663" t="s">
        <v>58</v>
      </c>
      <c r="U663" t="s">
        <v>59</v>
      </c>
      <c r="V663" s="4">
        <v>0.375</v>
      </c>
      <c r="W663" s="2">
        <v>0</v>
      </c>
      <c r="X663">
        <v>0</v>
      </c>
      <c r="Y663" t="s">
        <v>60</v>
      </c>
      <c r="Z663" t="s">
        <v>239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20.51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46188</v>
      </c>
      <c r="B664" t="s">
        <v>48</v>
      </c>
      <c r="C664">
        <v>649163</v>
      </c>
      <c r="D664">
        <v>2033084716</v>
      </c>
      <c r="E664" t="s">
        <v>914</v>
      </c>
      <c r="F664" t="s">
        <v>915</v>
      </c>
      <c r="G664" t="s">
        <v>51</v>
      </c>
      <c r="H664" t="s">
        <v>119</v>
      </c>
      <c r="I664" t="s">
        <v>146</v>
      </c>
      <c r="J664" t="s">
        <v>147</v>
      </c>
      <c r="K664">
        <v>884312</v>
      </c>
      <c r="L664" t="s">
        <v>916</v>
      </c>
      <c r="M664" t="s">
        <v>917</v>
      </c>
      <c r="N664" t="s">
        <v>57</v>
      </c>
      <c r="O664" s="1">
        <v>46036</v>
      </c>
      <c r="Q664" s="1">
        <v>46217</v>
      </c>
      <c r="R664" s="2">
        <v>78.760000000000005</v>
      </c>
      <c r="S664">
        <v>1</v>
      </c>
      <c r="T664" t="s">
        <v>58</v>
      </c>
      <c r="U664" t="s">
        <v>59</v>
      </c>
      <c r="V664" s="4">
        <v>0.375</v>
      </c>
      <c r="W664" s="2">
        <v>0</v>
      </c>
      <c r="X664">
        <v>0</v>
      </c>
      <c r="Y664" t="s">
        <v>60</v>
      </c>
      <c r="Z664" t="s">
        <v>239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29.54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46188</v>
      </c>
      <c r="B665" t="s">
        <v>48</v>
      </c>
      <c r="C665">
        <v>649163</v>
      </c>
      <c r="D665">
        <v>2033106167</v>
      </c>
      <c r="E665" t="s">
        <v>617</v>
      </c>
      <c r="F665" t="s">
        <v>618</v>
      </c>
      <c r="G665" t="s">
        <v>51</v>
      </c>
      <c r="H665" t="s">
        <v>70</v>
      </c>
      <c r="I665" t="s">
        <v>146</v>
      </c>
      <c r="J665" t="s">
        <v>147</v>
      </c>
      <c r="K665">
        <v>753748</v>
      </c>
      <c r="L665" t="s">
        <v>619</v>
      </c>
      <c r="M665" t="s">
        <v>256</v>
      </c>
      <c r="N665" t="s">
        <v>57</v>
      </c>
      <c r="O665" s="1">
        <v>46035</v>
      </c>
      <c r="Q665" s="1">
        <v>46216</v>
      </c>
      <c r="R665" s="2">
        <v>71.22</v>
      </c>
      <c r="S665">
        <v>1</v>
      </c>
      <c r="T665" t="s">
        <v>58</v>
      </c>
      <c r="U665" t="s">
        <v>59</v>
      </c>
      <c r="V665" s="4">
        <v>0.375</v>
      </c>
      <c r="W665" s="2">
        <v>0</v>
      </c>
      <c r="X665">
        <v>0</v>
      </c>
      <c r="Y665" t="s">
        <v>60</v>
      </c>
      <c r="Z665" t="s">
        <v>239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26.71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46188</v>
      </c>
      <c r="B666" t="s">
        <v>48</v>
      </c>
      <c r="C666">
        <v>649163</v>
      </c>
      <c r="D666">
        <v>2033118931</v>
      </c>
      <c r="E666" t="s">
        <v>918</v>
      </c>
      <c r="F666" t="s">
        <v>919</v>
      </c>
      <c r="G666" t="s">
        <v>51</v>
      </c>
      <c r="H666" t="s">
        <v>70</v>
      </c>
      <c r="I666" t="s">
        <v>146</v>
      </c>
      <c r="J666" t="s">
        <v>147</v>
      </c>
      <c r="K666">
        <v>812994</v>
      </c>
      <c r="L666" t="s">
        <v>495</v>
      </c>
      <c r="M666" t="s">
        <v>496</v>
      </c>
      <c r="N666" t="s">
        <v>57</v>
      </c>
      <c r="O666" s="1">
        <v>46035</v>
      </c>
      <c r="Q666" s="1">
        <v>46216</v>
      </c>
      <c r="R666" s="2">
        <v>81.22</v>
      </c>
      <c r="S666">
        <v>1</v>
      </c>
      <c r="T666" t="s">
        <v>58</v>
      </c>
      <c r="U666" t="s">
        <v>59</v>
      </c>
      <c r="V666" s="4">
        <v>0.375</v>
      </c>
      <c r="W666" s="2">
        <v>0</v>
      </c>
      <c r="X666">
        <v>0</v>
      </c>
      <c r="Y666" t="s">
        <v>60</v>
      </c>
      <c r="Z666" t="s">
        <v>239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30.46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46188</v>
      </c>
      <c r="B667" t="s">
        <v>48</v>
      </c>
      <c r="C667">
        <v>649163</v>
      </c>
      <c r="D667">
        <v>2033127915</v>
      </c>
      <c r="E667" t="s">
        <v>854</v>
      </c>
      <c r="F667" t="s">
        <v>855</v>
      </c>
      <c r="G667" t="s">
        <v>51</v>
      </c>
      <c r="H667" t="s">
        <v>83</v>
      </c>
      <c r="I667" t="s">
        <v>146</v>
      </c>
      <c r="J667" t="s">
        <v>147</v>
      </c>
      <c r="K667">
        <v>673059</v>
      </c>
      <c r="L667" t="s">
        <v>85</v>
      </c>
      <c r="M667" t="s">
        <v>86</v>
      </c>
      <c r="N667" t="s">
        <v>57</v>
      </c>
      <c r="O667" s="1">
        <v>46038</v>
      </c>
      <c r="Q667" s="1">
        <v>46219</v>
      </c>
      <c r="R667" s="2">
        <v>58.11</v>
      </c>
      <c r="S667">
        <v>1</v>
      </c>
      <c r="T667" t="s">
        <v>58</v>
      </c>
      <c r="U667" t="s">
        <v>59</v>
      </c>
      <c r="V667" s="4">
        <v>0.375</v>
      </c>
      <c r="W667" s="2">
        <v>0</v>
      </c>
      <c r="X667">
        <v>0</v>
      </c>
      <c r="Y667" t="s">
        <v>60</v>
      </c>
      <c r="Z667" t="s">
        <v>239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21.79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46188</v>
      </c>
      <c r="B668" t="s">
        <v>48</v>
      </c>
      <c r="C668">
        <v>649163</v>
      </c>
      <c r="D668">
        <v>2033128046</v>
      </c>
      <c r="E668" t="s">
        <v>627</v>
      </c>
      <c r="F668" t="s">
        <v>628</v>
      </c>
      <c r="G668" t="s">
        <v>51</v>
      </c>
      <c r="H668" t="s">
        <v>70</v>
      </c>
      <c r="I668" t="s">
        <v>146</v>
      </c>
      <c r="J668" t="s">
        <v>147</v>
      </c>
      <c r="K668">
        <v>823350</v>
      </c>
      <c r="L668" t="s">
        <v>73</v>
      </c>
      <c r="M668" t="s">
        <v>116</v>
      </c>
      <c r="N668" t="s">
        <v>57</v>
      </c>
      <c r="O668" s="1">
        <v>46038</v>
      </c>
      <c r="Q668" s="1">
        <v>46219</v>
      </c>
      <c r="R668" s="2">
        <v>174.25</v>
      </c>
      <c r="S668">
        <v>1</v>
      </c>
      <c r="T668" t="s">
        <v>58</v>
      </c>
      <c r="U668" t="s">
        <v>59</v>
      </c>
      <c r="V668" s="4">
        <v>0.375</v>
      </c>
      <c r="W668" s="2">
        <v>0</v>
      </c>
      <c r="X668">
        <v>0</v>
      </c>
      <c r="Y668" t="s">
        <v>60</v>
      </c>
      <c r="Z668" t="s">
        <v>239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65.34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46188</v>
      </c>
      <c r="B669" t="s">
        <v>48</v>
      </c>
      <c r="C669">
        <v>649163</v>
      </c>
      <c r="D669">
        <v>2033130830</v>
      </c>
      <c r="E669" t="s">
        <v>920</v>
      </c>
      <c r="F669" t="s">
        <v>513</v>
      </c>
      <c r="G669" t="s">
        <v>51</v>
      </c>
      <c r="H669" t="s">
        <v>95</v>
      </c>
      <c r="I669" t="s">
        <v>146</v>
      </c>
      <c r="J669" t="s">
        <v>147</v>
      </c>
      <c r="K669">
        <v>867497</v>
      </c>
      <c r="L669" t="s">
        <v>921</v>
      </c>
      <c r="M669" t="s">
        <v>922</v>
      </c>
      <c r="N669" t="s">
        <v>57</v>
      </c>
      <c r="O669" s="1">
        <v>46037</v>
      </c>
      <c r="Q669" s="1">
        <v>46218</v>
      </c>
      <c r="R669" s="2">
        <v>24.54</v>
      </c>
      <c r="S669">
        <v>1</v>
      </c>
      <c r="T669" t="s">
        <v>58</v>
      </c>
      <c r="U669" t="s">
        <v>59</v>
      </c>
      <c r="V669" s="4">
        <v>0.375</v>
      </c>
      <c r="W669" s="2">
        <v>0</v>
      </c>
      <c r="X669">
        <v>0</v>
      </c>
      <c r="Y669" t="s">
        <v>60</v>
      </c>
      <c r="Z669" t="s">
        <v>239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9.1999999999999993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46188</v>
      </c>
      <c r="B670" t="s">
        <v>48</v>
      </c>
      <c r="C670">
        <v>649163</v>
      </c>
      <c r="D670">
        <v>2033144398</v>
      </c>
      <c r="E670" t="s">
        <v>631</v>
      </c>
      <c r="F670" t="s">
        <v>632</v>
      </c>
      <c r="G670" t="s">
        <v>51</v>
      </c>
      <c r="H670" t="s">
        <v>100</v>
      </c>
      <c r="I670" t="s">
        <v>146</v>
      </c>
      <c r="J670" t="s">
        <v>147</v>
      </c>
      <c r="K670">
        <v>651818</v>
      </c>
      <c r="L670" t="s">
        <v>79</v>
      </c>
      <c r="M670" t="s">
        <v>80</v>
      </c>
      <c r="N670" t="s">
        <v>57</v>
      </c>
      <c r="O670" s="1">
        <v>46059</v>
      </c>
      <c r="Q670" s="1">
        <v>46209</v>
      </c>
      <c r="R670" s="2">
        <v>45.42</v>
      </c>
      <c r="S670">
        <v>1</v>
      </c>
      <c r="T670" t="s">
        <v>58</v>
      </c>
      <c r="U670" t="s">
        <v>59</v>
      </c>
      <c r="V670" s="4">
        <v>0.375</v>
      </c>
      <c r="W670" s="2">
        <v>0</v>
      </c>
      <c r="X670">
        <v>0</v>
      </c>
      <c r="Y670" t="s">
        <v>60</v>
      </c>
      <c r="Z670" t="s">
        <v>239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17.03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46188</v>
      </c>
      <c r="B671" t="s">
        <v>48</v>
      </c>
      <c r="C671">
        <v>649163</v>
      </c>
      <c r="D671">
        <v>2033164607</v>
      </c>
      <c r="E671" t="s">
        <v>635</v>
      </c>
      <c r="F671" t="s">
        <v>424</v>
      </c>
      <c r="G671" t="s">
        <v>51</v>
      </c>
      <c r="H671" t="s">
        <v>305</v>
      </c>
      <c r="I671" t="s">
        <v>146</v>
      </c>
      <c r="J671" t="s">
        <v>147</v>
      </c>
      <c r="K671">
        <v>816021</v>
      </c>
      <c r="L671" t="s">
        <v>312</v>
      </c>
      <c r="M671" t="s">
        <v>313</v>
      </c>
      <c r="N671" t="s">
        <v>57</v>
      </c>
      <c r="O671" s="1">
        <v>46038</v>
      </c>
      <c r="Q671" s="1">
        <v>46219</v>
      </c>
      <c r="R671" s="2">
        <v>30.49</v>
      </c>
      <c r="S671">
        <v>1</v>
      </c>
      <c r="T671" t="s">
        <v>58</v>
      </c>
      <c r="U671" t="s">
        <v>59</v>
      </c>
      <c r="V671" s="4">
        <v>0.375</v>
      </c>
      <c r="W671" s="2">
        <v>0</v>
      </c>
      <c r="X671">
        <v>0</v>
      </c>
      <c r="Y671" t="s">
        <v>60</v>
      </c>
      <c r="Z671" t="s">
        <v>239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11.43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46188</v>
      </c>
      <c r="B672" t="s">
        <v>48</v>
      </c>
      <c r="C672">
        <v>649163</v>
      </c>
      <c r="D672">
        <v>2033170282</v>
      </c>
      <c r="E672" t="s">
        <v>923</v>
      </c>
      <c r="F672" t="s">
        <v>924</v>
      </c>
      <c r="G672" t="s">
        <v>51</v>
      </c>
      <c r="H672" t="s">
        <v>170</v>
      </c>
      <c r="I672" t="s">
        <v>146</v>
      </c>
      <c r="J672" t="s">
        <v>147</v>
      </c>
      <c r="K672">
        <v>767312</v>
      </c>
      <c r="L672" t="s">
        <v>171</v>
      </c>
      <c r="M672" t="s">
        <v>172</v>
      </c>
      <c r="N672" t="s">
        <v>57</v>
      </c>
      <c r="O672" s="1">
        <v>46038</v>
      </c>
      <c r="Q672" s="1">
        <v>46219</v>
      </c>
      <c r="R672" s="2">
        <v>33.89</v>
      </c>
      <c r="S672">
        <v>1</v>
      </c>
      <c r="T672" t="s">
        <v>58</v>
      </c>
      <c r="U672" t="s">
        <v>59</v>
      </c>
      <c r="V672" s="4">
        <v>0.375</v>
      </c>
      <c r="W672" s="2">
        <v>0</v>
      </c>
      <c r="X672">
        <v>0</v>
      </c>
      <c r="Y672" t="s">
        <v>60</v>
      </c>
      <c r="Z672" t="s">
        <v>239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12.71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46188</v>
      </c>
      <c r="B673" t="s">
        <v>48</v>
      </c>
      <c r="C673">
        <v>649163</v>
      </c>
      <c r="D673">
        <v>2033174367</v>
      </c>
      <c r="E673" t="s">
        <v>818</v>
      </c>
      <c r="F673" t="s">
        <v>250</v>
      </c>
      <c r="G673" t="s">
        <v>51</v>
      </c>
      <c r="H673" t="s">
        <v>681</v>
      </c>
      <c r="I673" t="s">
        <v>146</v>
      </c>
      <c r="J673" t="s">
        <v>147</v>
      </c>
      <c r="K673">
        <v>816021</v>
      </c>
      <c r="L673" t="s">
        <v>312</v>
      </c>
      <c r="M673" t="s">
        <v>313</v>
      </c>
      <c r="N673" t="s">
        <v>57</v>
      </c>
      <c r="O673" s="1">
        <v>46038</v>
      </c>
      <c r="Q673" s="1">
        <v>46219</v>
      </c>
      <c r="R673" s="2">
        <v>50.81</v>
      </c>
      <c r="S673">
        <v>1</v>
      </c>
      <c r="T673" t="s">
        <v>58</v>
      </c>
      <c r="U673" t="s">
        <v>59</v>
      </c>
      <c r="V673" s="4">
        <v>0.375</v>
      </c>
      <c r="W673" s="2">
        <v>0</v>
      </c>
      <c r="X673">
        <v>0</v>
      </c>
      <c r="Y673" t="s">
        <v>60</v>
      </c>
      <c r="Z673" t="s">
        <v>239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19.05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46188</v>
      </c>
      <c r="B674" t="s">
        <v>48</v>
      </c>
      <c r="C674">
        <v>649163</v>
      </c>
      <c r="D674">
        <v>2033174415</v>
      </c>
      <c r="E674" t="s">
        <v>750</v>
      </c>
      <c r="F674" t="s">
        <v>925</v>
      </c>
      <c r="G674" t="s">
        <v>51</v>
      </c>
      <c r="H674" t="s">
        <v>305</v>
      </c>
      <c r="I674" t="s">
        <v>146</v>
      </c>
      <c r="J674" t="s">
        <v>147</v>
      </c>
      <c r="K674">
        <v>796984</v>
      </c>
      <c r="L674" t="s">
        <v>306</v>
      </c>
      <c r="M674" t="s">
        <v>307</v>
      </c>
      <c r="N674" t="s">
        <v>57</v>
      </c>
      <c r="O674" s="1">
        <v>46039</v>
      </c>
      <c r="Q674" s="1">
        <v>46220</v>
      </c>
      <c r="R674" s="2">
        <v>192.66</v>
      </c>
      <c r="S674">
        <v>1</v>
      </c>
      <c r="T674" t="s">
        <v>58</v>
      </c>
      <c r="U674" t="s">
        <v>59</v>
      </c>
      <c r="V674" s="4">
        <v>0.375</v>
      </c>
      <c r="W674" s="2">
        <v>0</v>
      </c>
      <c r="X674">
        <v>0</v>
      </c>
      <c r="Y674" t="s">
        <v>60</v>
      </c>
      <c r="Z674" t="s">
        <v>239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72.25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46188</v>
      </c>
      <c r="B675" t="s">
        <v>48</v>
      </c>
      <c r="C675">
        <v>649163</v>
      </c>
      <c r="D675">
        <v>2033176987</v>
      </c>
      <c r="E675" t="s">
        <v>819</v>
      </c>
      <c r="F675" t="s">
        <v>820</v>
      </c>
      <c r="G675" t="s">
        <v>51</v>
      </c>
      <c r="H675" t="s">
        <v>305</v>
      </c>
      <c r="I675" t="s">
        <v>146</v>
      </c>
      <c r="J675" t="s">
        <v>147</v>
      </c>
      <c r="K675">
        <v>816021</v>
      </c>
      <c r="L675" t="s">
        <v>312</v>
      </c>
      <c r="M675" t="s">
        <v>313</v>
      </c>
      <c r="N675" t="s">
        <v>57</v>
      </c>
      <c r="O675" s="1">
        <v>46038</v>
      </c>
      <c r="Q675" s="1">
        <v>46219</v>
      </c>
      <c r="R675" s="2">
        <v>99.33</v>
      </c>
      <c r="S675">
        <v>1</v>
      </c>
      <c r="T675" t="s">
        <v>58</v>
      </c>
      <c r="U675" t="s">
        <v>59</v>
      </c>
      <c r="V675" s="4">
        <v>0.375</v>
      </c>
      <c r="W675" s="2">
        <v>0</v>
      </c>
      <c r="X675">
        <v>0</v>
      </c>
      <c r="Y675" t="s">
        <v>60</v>
      </c>
      <c r="Z675" t="s">
        <v>239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37.25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46188</v>
      </c>
      <c r="B676" t="s">
        <v>48</v>
      </c>
      <c r="C676">
        <v>649163</v>
      </c>
      <c r="D676">
        <v>2033190698</v>
      </c>
      <c r="E676" t="s">
        <v>643</v>
      </c>
      <c r="F676" t="s">
        <v>644</v>
      </c>
      <c r="G676" t="s">
        <v>51</v>
      </c>
      <c r="H676" t="s">
        <v>95</v>
      </c>
      <c r="I676" t="s">
        <v>146</v>
      </c>
      <c r="J676" t="s">
        <v>147</v>
      </c>
      <c r="K676">
        <v>878036</v>
      </c>
      <c r="L676" t="s">
        <v>514</v>
      </c>
      <c r="M676" t="s">
        <v>515</v>
      </c>
      <c r="N676" t="s">
        <v>57</v>
      </c>
      <c r="O676" s="1">
        <v>46039</v>
      </c>
      <c r="Q676" s="1">
        <v>46220</v>
      </c>
      <c r="R676" s="2">
        <v>54.95</v>
      </c>
      <c r="S676">
        <v>1</v>
      </c>
      <c r="T676" t="s">
        <v>58</v>
      </c>
      <c r="U676" t="s">
        <v>59</v>
      </c>
      <c r="V676" s="4">
        <v>0.375</v>
      </c>
      <c r="W676" s="2">
        <v>0</v>
      </c>
      <c r="X676">
        <v>0</v>
      </c>
      <c r="Y676" t="s">
        <v>60</v>
      </c>
      <c r="Z676" t="s">
        <v>239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20.61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46188</v>
      </c>
      <c r="B677" t="s">
        <v>48</v>
      </c>
      <c r="C677">
        <v>649163</v>
      </c>
      <c r="D677">
        <v>2033401870</v>
      </c>
      <c r="E677" t="s">
        <v>647</v>
      </c>
      <c r="F677" t="s">
        <v>513</v>
      </c>
      <c r="G677" t="s">
        <v>51</v>
      </c>
      <c r="H677" t="s">
        <v>95</v>
      </c>
      <c r="I677" t="s">
        <v>146</v>
      </c>
      <c r="J677" t="s">
        <v>147</v>
      </c>
      <c r="K677">
        <v>878036</v>
      </c>
      <c r="L677" t="s">
        <v>514</v>
      </c>
      <c r="M677" t="s">
        <v>515</v>
      </c>
      <c r="N677" t="s">
        <v>57</v>
      </c>
      <c r="O677" s="1">
        <v>46054</v>
      </c>
      <c r="Q677" s="1">
        <v>46174</v>
      </c>
      <c r="R677" s="2">
        <v>-77.27</v>
      </c>
      <c r="S677">
        <v>1</v>
      </c>
      <c r="T677" t="s">
        <v>58</v>
      </c>
      <c r="U677" t="s">
        <v>59</v>
      </c>
      <c r="V677" s="4">
        <v>0.375</v>
      </c>
      <c r="W677" s="2">
        <v>0</v>
      </c>
      <c r="X677">
        <v>-1</v>
      </c>
      <c r="Y677" t="s">
        <v>60</v>
      </c>
      <c r="Z677" t="s">
        <v>239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-28.98</v>
      </c>
      <c r="AN677" s="2">
        <v>-28.98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46188</v>
      </c>
      <c r="B678" t="s">
        <v>48</v>
      </c>
      <c r="C678">
        <v>649163</v>
      </c>
      <c r="D678">
        <v>2033401870</v>
      </c>
      <c r="E678" t="s">
        <v>647</v>
      </c>
      <c r="F678" t="s">
        <v>513</v>
      </c>
      <c r="G678" t="s">
        <v>51</v>
      </c>
      <c r="H678" t="s">
        <v>95</v>
      </c>
      <c r="I678" t="s">
        <v>146</v>
      </c>
      <c r="J678" t="s">
        <v>147</v>
      </c>
      <c r="K678">
        <v>878036</v>
      </c>
      <c r="L678" t="s">
        <v>514</v>
      </c>
      <c r="M678" t="s">
        <v>515</v>
      </c>
      <c r="N678" t="s">
        <v>57</v>
      </c>
      <c r="O678" s="1">
        <v>46054</v>
      </c>
      <c r="Q678" s="1">
        <v>46174</v>
      </c>
      <c r="R678" s="2">
        <v>77.27</v>
      </c>
      <c r="S678">
        <v>1</v>
      </c>
      <c r="T678" t="s">
        <v>58</v>
      </c>
      <c r="U678" t="s">
        <v>59</v>
      </c>
      <c r="V678" s="4">
        <v>0.375</v>
      </c>
      <c r="W678" s="2">
        <v>0</v>
      </c>
      <c r="X678">
        <v>0</v>
      </c>
      <c r="Y678" t="s">
        <v>60</v>
      </c>
      <c r="Z678" t="s">
        <v>239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27.44</v>
      </c>
      <c r="AM678" s="2">
        <v>1.54</v>
      </c>
      <c r="AN678" s="2">
        <v>1.54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46188</v>
      </c>
      <c r="B679" t="s">
        <v>48</v>
      </c>
      <c r="C679">
        <v>649163</v>
      </c>
      <c r="D679">
        <v>2033401870</v>
      </c>
      <c r="E679" t="s">
        <v>647</v>
      </c>
      <c r="F679" t="s">
        <v>513</v>
      </c>
      <c r="G679" t="s">
        <v>51</v>
      </c>
      <c r="H679" t="s">
        <v>95</v>
      </c>
      <c r="I679" t="s">
        <v>146</v>
      </c>
      <c r="J679" t="s">
        <v>147</v>
      </c>
      <c r="K679">
        <v>878036</v>
      </c>
      <c r="L679" t="s">
        <v>514</v>
      </c>
      <c r="M679" t="s">
        <v>515</v>
      </c>
      <c r="N679" t="s">
        <v>57</v>
      </c>
      <c r="O679" s="1">
        <v>46054</v>
      </c>
      <c r="Q679" s="1">
        <v>46174</v>
      </c>
      <c r="R679" s="2">
        <v>-73.13</v>
      </c>
      <c r="S679">
        <v>1</v>
      </c>
      <c r="T679" t="s">
        <v>58</v>
      </c>
      <c r="U679" t="s">
        <v>59</v>
      </c>
      <c r="V679" s="4">
        <v>0.375</v>
      </c>
      <c r="W679" s="2">
        <v>0</v>
      </c>
      <c r="X679">
        <v>-1</v>
      </c>
      <c r="Y679" t="s">
        <v>60</v>
      </c>
      <c r="Z679" t="s">
        <v>239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-27.42</v>
      </c>
      <c r="AN679" s="2">
        <v>-27.42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46188</v>
      </c>
      <c r="B680" t="s">
        <v>48</v>
      </c>
      <c r="C680">
        <v>649163</v>
      </c>
      <c r="D680">
        <v>2033401870</v>
      </c>
      <c r="E680" t="s">
        <v>647</v>
      </c>
      <c r="F680" t="s">
        <v>513</v>
      </c>
      <c r="G680" t="s">
        <v>51</v>
      </c>
      <c r="H680" t="s">
        <v>95</v>
      </c>
      <c r="I680" t="s">
        <v>146</v>
      </c>
      <c r="J680" t="s">
        <v>147</v>
      </c>
      <c r="K680">
        <v>878036</v>
      </c>
      <c r="L680" t="s">
        <v>514</v>
      </c>
      <c r="M680" t="s">
        <v>515</v>
      </c>
      <c r="N680" t="s">
        <v>57</v>
      </c>
      <c r="O680" s="1">
        <v>46054</v>
      </c>
      <c r="Q680" s="1">
        <v>46174</v>
      </c>
      <c r="R680" s="2">
        <v>-0.04</v>
      </c>
      <c r="S680">
        <v>1</v>
      </c>
      <c r="T680" t="s">
        <v>58</v>
      </c>
      <c r="U680" t="s">
        <v>59</v>
      </c>
      <c r="V680" s="4">
        <v>0.375</v>
      </c>
      <c r="W680" s="2">
        <v>0</v>
      </c>
      <c r="X680">
        <v>-1</v>
      </c>
      <c r="Y680" t="s">
        <v>60</v>
      </c>
      <c r="Z680" t="s">
        <v>239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-0.02</v>
      </c>
      <c r="AN680" s="2">
        <v>-0.02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46188</v>
      </c>
      <c r="B681" t="s">
        <v>48</v>
      </c>
      <c r="C681">
        <v>649163</v>
      </c>
      <c r="D681">
        <v>2033404741</v>
      </c>
      <c r="E681" t="s">
        <v>647</v>
      </c>
      <c r="F681" t="s">
        <v>607</v>
      </c>
      <c r="G681" t="s">
        <v>51</v>
      </c>
      <c r="H681" t="s">
        <v>95</v>
      </c>
      <c r="I681" t="s">
        <v>146</v>
      </c>
      <c r="J681" t="s">
        <v>147</v>
      </c>
      <c r="K681">
        <v>878036</v>
      </c>
      <c r="L681" t="s">
        <v>514</v>
      </c>
      <c r="M681" t="s">
        <v>515</v>
      </c>
      <c r="N681" t="s">
        <v>57</v>
      </c>
      <c r="O681" s="1">
        <v>46054</v>
      </c>
      <c r="Q681" s="1">
        <v>46174</v>
      </c>
      <c r="R681" s="2">
        <v>-73.17</v>
      </c>
      <c r="S681">
        <v>1</v>
      </c>
      <c r="T681" t="s">
        <v>58</v>
      </c>
      <c r="U681" t="s">
        <v>59</v>
      </c>
      <c r="V681" s="4">
        <v>0.375</v>
      </c>
      <c r="W681" s="2">
        <v>0</v>
      </c>
      <c r="X681">
        <v>-1</v>
      </c>
      <c r="Y681" t="s">
        <v>60</v>
      </c>
      <c r="Z681" t="s">
        <v>239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-27.44</v>
      </c>
      <c r="AN681" s="2">
        <v>-27.44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46188</v>
      </c>
      <c r="B682" t="s">
        <v>48</v>
      </c>
      <c r="C682">
        <v>649163</v>
      </c>
      <c r="D682">
        <v>2033406247</v>
      </c>
      <c r="E682" t="s">
        <v>648</v>
      </c>
      <c r="F682" t="s">
        <v>649</v>
      </c>
      <c r="G682" t="s">
        <v>51</v>
      </c>
      <c r="H682" t="s">
        <v>95</v>
      </c>
      <c r="I682" t="s">
        <v>146</v>
      </c>
      <c r="J682" t="s">
        <v>147</v>
      </c>
      <c r="K682">
        <v>878036</v>
      </c>
      <c r="L682" t="s">
        <v>514</v>
      </c>
      <c r="M682" t="s">
        <v>515</v>
      </c>
      <c r="N682" t="s">
        <v>57</v>
      </c>
      <c r="O682" s="1">
        <v>46054</v>
      </c>
      <c r="Q682" s="1">
        <v>46174</v>
      </c>
      <c r="R682" s="2">
        <v>-73.17</v>
      </c>
      <c r="S682">
        <v>1</v>
      </c>
      <c r="T682" t="s">
        <v>58</v>
      </c>
      <c r="U682" t="s">
        <v>59</v>
      </c>
      <c r="V682" s="4">
        <v>0.375</v>
      </c>
      <c r="W682" s="2">
        <v>0</v>
      </c>
      <c r="X682">
        <v>-1</v>
      </c>
      <c r="Y682" t="s">
        <v>60</v>
      </c>
      <c r="Z682" t="s">
        <v>239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-27.44</v>
      </c>
      <c r="AN682" s="2">
        <v>-27.44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46188</v>
      </c>
      <c r="B683" t="s">
        <v>48</v>
      </c>
      <c r="C683">
        <v>649163</v>
      </c>
      <c r="D683">
        <v>2033489593</v>
      </c>
      <c r="E683" t="s">
        <v>926</v>
      </c>
      <c r="F683" t="s">
        <v>227</v>
      </c>
      <c r="G683" t="s">
        <v>51</v>
      </c>
      <c r="H683" t="s">
        <v>292</v>
      </c>
      <c r="I683" t="s">
        <v>146</v>
      </c>
      <c r="J683" t="s">
        <v>147</v>
      </c>
      <c r="K683">
        <v>792847</v>
      </c>
      <c r="L683" t="s">
        <v>336</v>
      </c>
      <c r="M683" t="s">
        <v>337</v>
      </c>
      <c r="N683" t="s">
        <v>57</v>
      </c>
      <c r="O683" s="1">
        <v>46058</v>
      </c>
      <c r="Q683" s="1">
        <v>46208</v>
      </c>
      <c r="R683" s="2">
        <v>51.4</v>
      </c>
      <c r="S683">
        <v>1</v>
      </c>
      <c r="T683" t="s">
        <v>58</v>
      </c>
      <c r="U683" t="s">
        <v>59</v>
      </c>
      <c r="V683" s="4">
        <v>0.375</v>
      </c>
      <c r="W683" s="2">
        <v>0</v>
      </c>
      <c r="X683">
        <v>0</v>
      </c>
      <c r="Y683" t="s">
        <v>60</v>
      </c>
      <c r="Z683" t="s">
        <v>239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19.28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46188</v>
      </c>
      <c r="B684" t="s">
        <v>48</v>
      </c>
      <c r="C684">
        <v>649163</v>
      </c>
      <c r="D684">
        <v>2033726188</v>
      </c>
      <c r="E684" t="s">
        <v>662</v>
      </c>
      <c r="F684" t="s">
        <v>663</v>
      </c>
      <c r="G684" t="s">
        <v>51</v>
      </c>
      <c r="H684" t="s">
        <v>170</v>
      </c>
      <c r="I684" t="s">
        <v>146</v>
      </c>
      <c r="J684" t="s">
        <v>147</v>
      </c>
      <c r="K684">
        <v>820140</v>
      </c>
      <c r="L684" t="s">
        <v>457</v>
      </c>
      <c r="M684" t="s">
        <v>190</v>
      </c>
      <c r="N684" t="s">
        <v>57</v>
      </c>
      <c r="O684" s="1">
        <v>46072</v>
      </c>
      <c r="Q684" s="1">
        <v>46222</v>
      </c>
      <c r="R684" s="2">
        <v>45.54</v>
      </c>
      <c r="S684">
        <v>1</v>
      </c>
      <c r="T684" t="s">
        <v>58</v>
      </c>
      <c r="U684" t="s">
        <v>59</v>
      </c>
      <c r="V684" s="4">
        <v>9.5000000000000001E-2</v>
      </c>
      <c r="W684" s="2">
        <v>0</v>
      </c>
      <c r="X684">
        <v>0</v>
      </c>
      <c r="Y684" t="s">
        <v>60</v>
      </c>
      <c r="Z684" t="s">
        <v>239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4.33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46188</v>
      </c>
      <c r="B685" t="s">
        <v>48</v>
      </c>
      <c r="C685">
        <v>649163</v>
      </c>
      <c r="D685">
        <v>2034113721</v>
      </c>
      <c r="E685" t="s">
        <v>664</v>
      </c>
      <c r="F685" t="s">
        <v>349</v>
      </c>
      <c r="G685" t="s">
        <v>51</v>
      </c>
      <c r="H685" t="s">
        <v>119</v>
      </c>
      <c r="I685" t="s">
        <v>146</v>
      </c>
      <c r="J685" t="s">
        <v>147</v>
      </c>
      <c r="K685">
        <v>824062</v>
      </c>
      <c r="L685" t="s">
        <v>385</v>
      </c>
      <c r="M685" t="s">
        <v>386</v>
      </c>
      <c r="N685" t="s">
        <v>57</v>
      </c>
      <c r="O685" s="1">
        <v>46130</v>
      </c>
      <c r="Q685" s="1">
        <v>46221</v>
      </c>
      <c r="R685" s="2">
        <v>261.47000000000003</v>
      </c>
      <c r="S685">
        <v>1</v>
      </c>
      <c r="T685" t="s">
        <v>58</v>
      </c>
      <c r="U685" t="s">
        <v>59</v>
      </c>
      <c r="V685" s="4">
        <v>0.375</v>
      </c>
      <c r="W685" s="2">
        <v>0</v>
      </c>
      <c r="X685">
        <v>0</v>
      </c>
      <c r="Y685" t="s">
        <v>60</v>
      </c>
      <c r="Z685" t="s">
        <v>239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98.05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46188</v>
      </c>
      <c r="B686" t="s">
        <v>48</v>
      </c>
      <c r="C686">
        <v>649163</v>
      </c>
      <c r="D686">
        <v>2034234840</v>
      </c>
      <c r="E686" t="s">
        <v>665</v>
      </c>
      <c r="F686" t="s">
        <v>287</v>
      </c>
      <c r="G686" t="s">
        <v>51</v>
      </c>
      <c r="H686" t="s">
        <v>305</v>
      </c>
      <c r="I686" t="s">
        <v>146</v>
      </c>
      <c r="J686" t="s">
        <v>147</v>
      </c>
      <c r="K686">
        <v>816021</v>
      </c>
      <c r="L686" t="s">
        <v>312</v>
      </c>
      <c r="M686" t="s">
        <v>313</v>
      </c>
      <c r="N686" t="s">
        <v>57</v>
      </c>
      <c r="O686" s="1">
        <v>46096</v>
      </c>
      <c r="Q686" s="1">
        <v>46218</v>
      </c>
      <c r="R686" s="2">
        <v>48.17</v>
      </c>
      <c r="S686">
        <v>1</v>
      </c>
      <c r="T686" t="s">
        <v>58</v>
      </c>
      <c r="U686" t="s">
        <v>59</v>
      </c>
      <c r="V686" s="4">
        <v>0.375</v>
      </c>
      <c r="W686" s="2">
        <v>0</v>
      </c>
      <c r="X686">
        <v>0</v>
      </c>
      <c r="Y686" t="s">
        <v>60</v>
      </c>
      <c r="Z686" t="s">
        <v>239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18.059999999999999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46188</v>
      </c>
      <c r="B687" t="s">
        <v>48</v>
      </c>
      <c r="C687">
        <v>649163</v>
      </c>
      <c r="D687">
        <v>2034260108</v>
      </c>
      <c r="E687" t="s">
        <v>667</v>
      </c>
      <c r="F687" t="s">
        <v>668</v>
      </c>
      <c r="G687" t="s">
        <v>51</v>
      </c>
      <c r="H687" t="s">
        <v>305</v>
      </c>
      <c r="I687" t="s">
        <v>146</v>
      </c>
      <c r="J687" t="s">
        <v>147</v>
      </c>
      <c r="K687">
        <v>824082</v>
      </c>
      <c r="L687" t="s">
        <v>510</v>
      </c>
      <c r="M687" t="s">
        <v>511</v>
      </c>
      <c r="N687" t="s">
        <v>57</v>
      </c>
      <c r="O687" s="1">
        <v>46096</v>
      </c>
      <c r="Q687" s="1">
        <v>46218</v>
      </c>
      <c r="R687" s="2">
        <v>64.84</v>
      </c>
      <c r="S687">
        <v>1</v>
      </c>
      <c r="T687" t="s">
        <v>58</v>
      </c>
      <c r="U687" t="s">
        <v>59</v>
      </c>
      <c r="V687" s="4">
        <v>0.375</v>
      </c>
      <c r="W687" s="2">
        <v>0</v>
      </c>
      <c r="X687">
        <v>0</v>
      </c>
      <c r="Y687" t="s">
        <v>60</v>
      </c>
      <c r="Z687" t="s">
        <v>239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24.32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46188</v>
      </c>
      <c r="B688" t="s">
        <v>48</v>
      </c>
      <c r="C688">
        <v>649163</v>
      </c>
      <c r="D688">
        <v>2034304900</v>
      </c>
      <c r="E688" t="s">
        <v>674</v>
      </c>
      <c r="F688" t="s">
        <v>256</v>
      </c>
      <c r="G688" t="s">
        <v>51</v>
      </c>
      <c r="H688" t="s">
        <v>292</v>
      </c>
      <c r="I688" t="s">
        <v>146</v>
      </c>
      <c r="J688" t="s">
        <v>147</v>
      </c>
      <c r="K688">
        <v>875334</v>
      </c>
      <c r="L688" t="s">
        <v>531</v>
      </c>
      <c r="M688" t="s">
        <v>532</v>
      </c>
      <c r="N688" t="s">
        <v>57</v>
      </c>
      <c r="O688" s="1">
        <v>46094</v>
      </c>
      <c r="Q688" s="1">
        <v>46216</v>
      </c>
      <c r="R688" s="2">
        <v>83.15</v>
      </c>
      <c r="S688">
        <v>1</v>
      </c>
      <c r="T688" t="s">
        <v>58</v>
      </c>
      <c r="U688" t="s">
        <v>59</v>
      </c>
      <c r="V688" s="4">
        <v>0.375</v>
      </c>
      <c r="W688" s="2">
        <v>0</v>
      </c>
      <c r="X688">
        <v>0</v>
      </c>
      <c r="Y688" t="s">
        <v>60</v>
      </c>
      <c r="Z688" t="s">
        <v>239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31.18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46188</v>
      </c>
      <c r="B689" t="s">
        <v>48</v>
      </c>
      <c r="C689">
        <v>649163</v>
      </c>
      <c r="D689">
        <v>2034306133</v>
      </c>
      <c r="E689" t="s">
        <v>675</v>
      </c>
      <c r="F689" t="s">
        <v>227</v>
      </c>
      <c r="G689" t="s">
        <v>51</v>
      </c>
      <c r="H689" t="s">
        <v>209</v>
      </c>
      <c r="I689" t="s">
        <v>146</v>
      </c>
      <c r="J689" t="s">
        <v>147</v>
      </c>
      <c r="K689">
        <v>651818</v>
      </c>
      <c r="L689" t="s">
        <v>79</v>
      </c>
      <c r="M689" t="s">
        <v>80</v>
      </c>
      <c r="N689" t="s">
        <v>57</v>
      </c>
      <c r="O689" s="1">
        <v>46094</v>
      </c>
      <c r="Q689" s="1">
        <v>46216</v>
      </c>
      <c r="R689" s="2">
        <v>53.44</v>
      </c>
      <c r="S689">
        <v>1</v>
      </c>
      <c r="T689" t="s">
        <v>58</v>
      </c>
      <c r="U689" t="s">
        <v>59</v>
      </c>
      <c r="V689" s="4">
        <v>0.375</v>
      </c>
      <c r="W689" s="2">
        <v>0</v>
      </c>
      <c r="X689">
        <v>0</v>
      </c>
      <c r="Y689" t="s">
        <v>60</v>
      </c>
      <c r="Z689" t="s">
        <v>239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20.04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46188</v>
      </c>
      <c r="B690" t="s">
        <v>48</v>
      </c>
      <c r="C690">
        <v>649163</v>
      </c>
      <c r="D690">
        <v>2034343274</v>
      </c>
      <c r="E690" t="s">
        <v>927</v>
      </c>
      <c r="F690" t="s">
        <v>227</v>
      </c>
      <c r="G690" t="s">
        <v>51</v>
      </c>
      <c r="H690" t="s">
        <v>95</v>
      </c>
      <c r="I690" t="s">
        <v>146</v>
      </c>
      <c r="J690" t="s">
        <v>147</v>
      </c>
      <c r="K690">
        <v>767312</v>
      </c>
      <c r="L690" t="s">
        <v>171</v>
      </c>
      <c r="M690" t="s">
        <v>172</v>
      </c>
      <c r="N690" t="s">
        <v>57</v>
      </c>
      <c r="O690" s="1">
        <v>46095</v>
      </c>
      <c r="Q690" s="1">
        <v>46217</v>
      </c>
      <c r="R690" s="2">
        <v>28.87</v>
      </c>
      <c r="S690">
        <v>1</v>
      </c>
      <c r="T690" t="s">
        <v>58</v>
      </c>
      <c r="U690" t="s">
        <v>59</v>
      </c>
      <c r="V690" s="4">
        <v>0.375</v>
      </c>
      <c r="W690" s="2">
        <v>0</v>
      </c>
      <c r="X690">
        <v>0</v>
      </c>
      <c r="Y690" t="s">
        <v>60</v>
      </c>
      <c r="Z690" t="s">
        <v>239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10.83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46188</v>
      </c>
      <c r="B691" t="s">
        <v>48</v>
      </c>
      <c r="C691">
        <v>649163</v>
      </c>
      <c r="D691">
        <v>2034374844</v>
      </c>
      <c r="E691" t="s">
        <v>679</v>
      </c>
      <c r="F691" t="s">
        <v>680</v>
      </c>
      <c r="G691" t="s">
        <v>51</v>
      </c>
      <c r="H691" t="s">
        <v>681</v>
      </c>
      <c r="I691" t="s">
        <v>146</v>
      </c>
      <c r="J691" t="s">
        <v>147</v>
      </c>
      <c r="K691">
        <v>651818</v>
      </c>
      <c r="L691" t="s">
        <v>79</v>
      </c>
      <c r="M691" t="s">
        <v>80</v>
      </c>
      <c r="N691" t="s">
        <v>57</v>
      </c>
      <c r="O691" s="1">
        <v>46099</v>
      </c>
      <c r="Q691" s="1">
        <v>46221</v>
      </c>
      <c r="R691" s="2">
        <v>48.15</v>
      </c>
      <c r="S691">
        <v>1</v>
      </c>
      <c r="T691" t="s">
        <v>58</v>
      </c>
      <c r="U691" t="s">
        <v>59</v>
      </c>
      <c r="V691" s="4">
        <v>0.375</v>
      </c>
      <c r="W691" s="2">
        <v>0</v>
      </c>
      <c r="X691">
        <v>0</v>
      </c>
      <c r="Y691" t="s">
        <v>60</v>
      </c>
      <c r="Z691" t="s">
        <v>239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18.059999999999999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46188</v>
      </c>
      <c r="B692" t="s">
        <v>48</v>
      </c>
      <c r="C692">
        <v>649163</v>
      </c>
      <c r="D692">
        <v>2034375766</v>
      </c>
      <c r="E692" t="s">
        <v>682</v>
      </c>
      <c r="F692" t="s">
        <v>335</v>
      </c>
      <c r="G692" t="s">
        <v>51</v>
      </c>
      <c r="H692" t="s">
        <v>77</v>
      </c>
      <c r="I692" t="s">
        <v>146</v>
      </c>
      <c r="J692" t="s">
        <v>147</v>
      </c>
      <c r="K692">
        <v>673059</v>
      </c>
      <c r="L692" t="s">
        <v>85</v>
      </c>
      <c r="M692" t="s">
        <v>86</v>
      </c>
      <c r="N692" t="s">
        <v>57</v>
      </c>
      <c r="O692" s="1">
        <v>46098</v>
      </c>
      <c r="Q692" s="1">
        <v>46220</v>
      </c>
      <c r="R692" s="2">
        <v>28.91</v>
      </c>
      <c r="S692">
        <v>1</v>
      </c>
      <c r="T692" t="s">
        <v>58</v>
      </c>
      <c r="U692" t="s">
        <v>59</v>
      </c>
      <c r="V692" s="4">
        <v>0.375</v>
      </c>
      <c r="W692" s="2">
        <v>0</v>
      </c>
      <c r="X692">
        <v>0</v>
      </c>
      <c r="Y692" t="s">
        <v>60</v>
      </c>
      <c r="Z692" t="s">
        <v>239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10.84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46188</v>
      </c>
      <c r="B693" t="s">
        <v>48</v>
      </c>
      <c r="C693">
        <v>649163</v>
      </c>
      <c r="D693">
        <v>2034398379</v>
      </c>
      <c r="E693" t="s">
        <v>928</v>
      </c>
      <c r="F693" t="s">
        <v>929</v>
      </c>
      <c r="G693" t="s">
        <v>51</v>
      </c>
      <c r="H693" t="s">
        <v>292</v>
      </c>
      <c r="I693" t="s">
        <v>146</v>
      </c>
      <c r="J693" t="s">
        <v>147</v>
      </c>
      <c r="K693">
        <v>649270</v>
      </c>
      <c r="L693" t="s">
        <v>930</v>
      </c>
      <c r="M693" t="s">
        <v>437</v>
      </c>
      <c r="N693" t="s">
        <v>57</v>
      </c>
      <c r="O693" s="1">
        <v>46099</v>
      </c>
      <c r="Q693" s="1">
        <v>46221</v>
      </c>
      <c r="R693" s="2">
        <v>23.9</v>
      </c>
      <c r="S693">
        <v>1</v>
      </c>
      <c r="T693" t="s">
        <v>58</v>
      </c>
      <c r="U693" t="s">
        <v>59</v>
      </c>
      <c r="V693" s="4">
        <v>9.5000000000000001E-2</v>
      </c>
      <c r="W693" s="2">
        <v>0</v>
      </c>
      <c r="X693">
        <v>0</v>
      </c>
      <c r="Y693" t="s">
        <v>60</v>
      </c>
      <c r="Z693" t="s">
        <v>239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2.27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46188</v>
      </c>
      <c r="B694" t="s">
        <v>48</v>
      </c>
      <c r="C694">
        <v>649163</v>
      </c>
      <c r="D694">
        <v>2034401982</v>
      </c>
      <c r="E694" t="s">
        <v>931</v>
      </c>
      <c r="F694" t="s">
        <v>932</v>
      </c>
      <c r="G694" t="s">
        <v>51</v>
      </c>
      <c r="H694" t="s">
        <v>170</v>
      </c>
      <c r="I694" t="s">
        <v>146</v>
      </c>
      <c r="J694" t="s">
        <v>147</v>
      </c>
      <c r="K694">
        <v>767312</v>
      </c>
      <c r="L694" t="s">
        <v>171</v>
      </c>
      <c r="M694" t="s">
        <v>172</v>
      </c>
      <c r="N694" t="s">
        <v>57</v>
      </c>
      <c r="O694" s="1">
        <v>46099</v>
      </c>
      <c r="Q694" s="1">
        <v>46221</v>
      </c>
      <c r="R694" s="2">
        <v>79.5</v>
      </c>
      <c r="S694">
        <v>1</v>
      </c>
      <c r="T694" t="s">
        <v>58</v>
      </c>
      <c r="U694" t="s">
        <v>59</v>
      </c>
      <c r="V694" s="4">
        <v>0.375</v>
      </c>
      <c r="W694" s="2">
        <v>0</v>
      </c>
      <c r="X694">
        <v>0</v>
      </c>
      <c r="Y694" t="s">
        <v>60</v>
      </c>
      <c r="Z694" t="s">
        <v>239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29.81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46188</v>
      </c>
      <c r="B695" t="s">
        <v>48</v>
      </c>
      <c r="C695">
        <v>649163</v>
      </c>
      <c r="D695">
        <v>2034404405</v>
      </c>
      <c r="E695" t="s">
        <v>283</v>
      </c>
      <c r="F695" t="s">
        <v>260</v>
      </c>
      <c r="G695" t="s">
        <v>51</v>
      </c>
      <c r="H695" t="s">
        <v>52</v>
      </c>
      <c r="I695" t="s">
        <v>146</v>
      </c>
      <c r="J695" t="s">
        <v>147</v>
      </c>
      <c r="K695">
        <v>885445</v>
      </c>
      <c r="L695" t="s">
        <v>273</v>
      </c>
      <c r="M695" t="s">
        <v>92</v>
      </c>
      <c r="N695" t="s">
        <v>57</v>
      </c>
      <c r="O695" s="1">
        <v>46099</v>
      </c>
      <c r="Q695" s="1">
        <v>46221</v>
      </c>
      <c r="R695" s="2">
        <v>37.32</v>
      </c>
      <c r="S695">
        <v>1</v>
      </c>
      <c r="T695" t="s">
        <v>58</v>
      </c>
      <c r="U695" t="s">
        <v>59</v>
      </c>
      <c r="V695" s="4">
        <v>0.375</v>
      </c>
      <c r="W695" s="2">
        <v>0</v>
      </c>
      <c r="X695">
        <v>0</v>
      </c>
      <c r="Y695" t="s">
        <v>60</v>
      </c>
      <c r="Z695" t="s">
        <v>239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14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46188</v>
      </c>
      <c r="B696" t="s">
        <v>48</v>
      </c>
      <c r="C696">
        <v>649163</v>
      </c>
      <c r="D696">
        <v>2034413969</v>
      </c>
      <c r="E696" t="s">
        <v>686</v>
      </c>
      <c r="F696" t="s">
        <v>687</v>
      </c>
      <c r="G696" t="s">
        <v>51</v>
      </c>
      <c r="H696" t="s">
        <v>83</v>
      </c>
      <c r="I696" t="s">
        <v>146</v>
      </c>
      <c r="J696" t="s">
        <v>147</v>
      </c>
      <c r="K696">
        <v>956422</v>
      </c>
      <c r="L696" t="s">
        <v>91</v>
      </c>
      <c r="M696" t="s">
        <v>92</v>
      </c>
      <c r="N696" t="s">
        <v>57</v>
      </c>
      <c r="O696" s="1">
        <v>46100</v>
      </c>
      <c r="Q696" s="1">
        <v>46222</v>
      </c>
      <c r="R696" s="2">
        <v>34.39</v>
      </c>
      <c r="S696">
        <v>1</v>
      </c>
      <c r="T696" t="s">
        <v>58</v>
      </c>
      <c r="U696" t="s">
        <v>59</v>
      </c>
      <c r="V696" s="4">
        <v>0.375</v>
      </c>
      <c r="W696" s="2">
        <v>0</v>
      </c>
      <c r="X696">
        <v>0</v>
      </c>
      <c r="Y696" t="s">
        <v>60</v>
      </c>
      <c r="Z696" t="s">
        <v>239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12.9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46188</v>
      </c>
      <c r="B697" t="s">
        <v>48</v>
      </c>
      <c r="C697">
        <v>649163</v>
      </c>
      <c r="D697">
        <v>2034416508</v>
      </c>
      <c r="E697" t="s">
        <v>933</v>
      </c>
      <c r="F697" t="s">
        <v>934</v>
      </c>
      <c r="G697" t="s">
        <v>51</v>
      </c>
      <c r="H697" t="s">
        <v>119</v>
      </c>
      <c r="I697" t="s">
        <v>146</v>
      </c>
      <c r="J697" t="s">
        <v>147</v>
      </c>
      <c r="K697">
        <v>767312</v>
      </c>
      <c r="L697" t="s">
        <v>171</v>
      </c>
      <c r="M697" t="s">
        <v>172</v>
      </c>
      <c r="N697" t="s">
        <v>57</v>
      </c>
      <c r="O697" s="1">
        <v>46100</v>
      </c>
      <c r="Q697" s="1">
        <v>46222</v>
      </c>
      <c r="R697" s="2">
        <v>64.349999999999994</v>
      </c>
      <c r="S697">
        <v>1</v>
      </c>
      <c r="T697" t="s">
        <v>58</v>
      </c>
      <c r="U697" t="s">
        <v>59</v>
      </c>
      <c r="V697" s="4">
        <v>0.375</v>
      </c>
      <c r="W697" s="2">
        <v>0</v>
      </c>
      <c r="X697">
        <v>0</v>
      </c>
      <c r="Y697" t="s">
        <v>60</v>
      </c>
      <c r="Z697" t="s">
        <v>239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24.13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46188</v>
      </c>
      <c r="B698" t="s">
        <v>48</v>
      </c>
      <c r="C698">
        <v>649163</v>
      </c>
      <c r="D698">
        <v>2034431421</v>
      </c>
      <c r="E698" t="s">
        <v>935</v>
      </c>
      <c r="F698" t="s">
        <v>598</v>
      </c>
      <c r="G698" t="s">
        <v>51</v>
      </c>
      <c r="H698" t="s">
        <v>292</v>
      </c>
      <c r="I698" t="s">
        <v>146</v>
      </c>
      <c r="J698" t="s">
        <v>147</v>
      </c>
      <c r="K698">
        <v>939930</v>
      </c>
      <c r="L698" t="s">
        <v>936</v>
      </c>
      <c r="M698" t="s">
        <v>474</v>
      </c>
      <c r="N698" t="s">
        <v>57</v>
      </c>
      <c r="O698" s="1">
        <v>46100</v>
      </c>
      <c r="Q698" s="1">
        <v>46222</v>
      </c>
      <c r="R698" s="2">
        <v>23.9</v>
      </c>
      <c r="S698">
        <v>1</v>
      </c>
      <c r="T698" t="s">
        <v>58</v>
      </c>
      <c r="U698" t="s">
        <v>59</v>
      </c>
      <c r="V698" s="4">
        <v>0.375</v>
      </c>
      <c r="W698" s="2">
        <v>0</v>
      </c>
      <c r="X698">
        <v>0</v>
      </c>
      <c r="Y698" t="s">
        <v>60</v>
      </c>
      <c r="Z698" t="s">
        <v>239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8.9600000000000009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46188</v>
      </c>
      <c r="B699" t="s">
        <v>48</v>
      </c>
      <c r="C699">
        <v>649163</v>
      </c>
      <c r="D699">
        <v>2034839067</v>
      </c>
      <c r="E699" t="s">
        <v>699</v>
      </c>
      <c r="F699" t="s">
        <v>549</v>
      </c>
      <c r="G699" t="s">
        <v>51</v>
      </c>
      <c r="H699" t="s">
        <v>162</v>
      </c>
      <c r="I699" t="s">
        <v>146</v>
      </c>
      <c r="J699" t="s">
        <v>147</v>
      </c>
      <c r="K699">
        <v>862109</v>
      </c>
      <c r="L699" t="s">
        <v>101</v>
      </c>
      <c r="M699" t="s">
        <v>700</v>
      </c>
      <c r="N699" t="s">
        <v>57</v>
      </c>
      <c r="O699" s="1">
        <v>46125</v>
      </c>
      <c r="Q699" s="1">
        <v>46216</v>
      </c>
      <c r="R699" s="2">
        <v>173.85</v>
      </c>
      <c r="S699">
        <v>1</v>
      </c>
      <c r="T699" t="s">
        <v>58</v>
      </c>
      <c r="U699" t="s">
        <v>59</v>
      </c>
      <c r="V699" s="4">
        <v>0.375</v>
      </c>
      <c r="W699" s="2">
        <v>0</v>
      </c>
      <c r="X699">
        <v>0</v>
      </c>
      <c r="Y699" t="s">
        <v>60</v>
      </c>
      <c r="Z699" t="s">
        <v>239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65.19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46188</v>
      </c>
      <c r="B700" t="s">
        <v>48</v>
      </c>
      <c r="C700">
        <v>649163</v>
      </c>
      <c r="D700">
        <v>2034917048</v>
      </c>
      <c r="E700" t="s">
        <v>704</v>
      </c>
      <c r="F700" t="s">
        <v>483</v>
      </c>
      <c r="G700" t="s">
        <v>51</v>
      </c>
      <c r="H700" t="s">
        <v>305</v>
      </c>
      <c r="I700" t="s">
        <v>146</v>
      </c>
      <c r="J700" t="s">
        <v>147</v>
      </c>
      <c r="K700">
        <v>816021</v>
      </c>
      <c r="L700" t="s">
        <v>312</v>
      </c>
      <c r="M700" t="s">
        <v>313</v>
      </c>
      <c r="N700" t="s">
        <v>57</v>
      </c>
      <c r="O700" s="1">
        <v>46127</v>
      </c>
      <c r="Q700" s="1">
        <v>46218</v>
      </c>
      <c r="R700" s="2">
        <v>64.84</v>
      </c>
      <c r="S700">
        <v>1</v>
      </c>
      <c r="T700" t="s">
        <v>58</v>
      </c>
      <c r="U700" t="s">
        <v>59</v>
      </c>
      <c r="V700" s="4">
        <v>0.375</v>
      </c>
      <c r="W700" s="2">
        <v>0</v>
      </c>
      <c r="X700">
        <v>0</v>
      </c>
      <c r="Y700" t="s">
        <v>60</v>
      </c>
      <c r="Z700" t="s">
        <v>239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24.32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46188</v>
      </c>
      <c r="B701" t="s">
        <v>48</v>
      </c>
      <c r="C701">
        <v>649163</v>
      </c>
      <c r="D701">
        <v>2034928886</v>
      </c>
      <c r="E701" t="s">
        <v>707</v>
      </c>
      <c r="F701" t="s">
        <v>708</v>
      </c>
      <c r="G701" t="s">
        <v>51</v>
      </c>
      <c r="H701" t="s">
        <v>119</v>
      </c>
      <c r="I701" t="s">
        <v>146</v>
      </c>
      <c r="J701" t="s">
        <v>147</v>
      </c>
      <c r="K701">
        <v>812994</v>
      </c>
      <c r="L701" t="s">
        <v>495</v>
      </c>
      <c r="M701" t="s">
        <v>496</v>
      </c>
      <c r="N701" t="s">
        <v>57</v>
      </c>
      <c r="O701" s="1">
        <v>46127</v>
      </c>
      <c r="Q701" s="1">
        <v>46218</v>
      </c>
      <c r="R701" s="2">
        <v>78.760000000000005</v>
      </c>
      <c r="S701">
        <v>1</v>
      </c>
      <c r="T701" t="s">
        <v>58</v>
      </c>
      <c r="U701" t="s">
        <v>59</v>
      </c>
      <c r="V701" s="4">
        <v>0.375</v>
      </c>
      <c r="W701" s="2">
        <v>0</v>
      </c>
      <c r="X701">
        <v>0</v>
      </c>
      <c r="Y701" t="s">
        <v>60</v>
      </c>
      <c r="Z701" t="s">
        <v>239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29.54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46188</v>
      </c>
      <c r="B702" t="s">
        <v>48</v>
      </c>
      <c r="C702">
        <v>649163</v>
      </c>
      <c r="D702">
        <v>2034957102</v>
      </c>
      <c r="E702" t="s">
        <v>937</v>
      </c>
      <c r="F702" t="s">
        <v>938</v>
      </c>
      <c r="G702" t="s">
        <v>51</v>
      </c>
      <c r="H702" t="s">
        <v>145</v>
      </c>
      <c r="I702" t="s">
        <v>146</v>
      </c>
      <c r="J702" t="s">
        <v>147</v>
      </c>
      <c r="K702">
        <v>959288</v>
      </c>
      <c r="L702" t="s">
        <v>148</v>
      </c>
      <c r="M702" t="s">
        <v>149</v>
      </c>
      <c r="N702" t="s">
        <v>57</v>
      </c>
      <c r="O702" s="1">
        <v>46129</v>
      </c>
      <c r="Q702" s="1">
        <v>46220</v>
      </c>
      <c r="R702" s="2">
        <v>31.2</v>
      </c>
      <c r="S702">
        <v>1</v>
      </c>
      <c r="T702" t="s">
        <v>58</v>
      </c>
      <c r="U702" t="s">
        <v>59</v>
      </c>
      <c r="V702" s="4">
        <v>0.375</v>
      </c>
      <c r="W702" s="2">
        <v>0</v>
      </c>
      <c r="X702">
        <v>0</v>
      </c>
      <c r="Y702" t="s">
        <v>60</v>
      </c>
      <c r="Z702" t="s">
        <v>239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11.7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46188</v>
      </c>
      <c r="B703" t="s">
        <v>48</v>
      </c>
      <c r="C703">
        <v>649163</v>
      </c>
      <c r="D703">
        <v>2034986810</v>
      </c>
      <c r="E703" t="s">
        <v>717</v>
      </c>
      <c r="F703" t="s">
        <v>349</v>
      </c>
      <c r="G703" t="s">
        <v>51</v>
      </c>
      <c r="H703" t="s">
        <v>305</v>
      </c>
      <c r="I703" t="s">
        <v>146</v>
      </c>
      <c r="J703" t="s">
        <v>147</v>
      </c>
      <c r="K703">
        <v>796984</v>
      </c>
      <c r="L703" t="s">
        <v>306</v>
      </c>
      <c r="M703" t="s">
        <v>307</v>
      </c>
      <c r="N703" t="s">
        <v>57</v>
      </c>
      <c r="O703" s="1">
        <v>46130</v>
      </c>
      <c r="Q703" s="1">
        <v>46221</v>
      </c>
      <c r="R703" s="2">
        <v>48.17</v>
      </c>
      <c r="S703">
        <v>1</v>
      </c>
      <c r="T703" t="s">
        <v>58</v>
      </c>
      <c r="U703" t="s">
        <v>59</v>
      </c>
      <c r="V703" s="4">
        <v>0.375</v>
      </c>
      <c r="W703" s="2">
        <v>0</v>
      </c>
      <c r="X703">
        <v>0</v>
      </c>
      <c r="Y703" t="s">
        <v>60</v>
      </c>
      <c r="Z703" t="s">
        <v>239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18.059999999999999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46188</v>
      </c>
      <c r="B704" t="s">
        <v>48</v>
      </c>
      <c r="C704">
        <v>649163</v>
      </c>
      <c r="D704">
        <v>2035055787</v>
      </c>
      <c r="E704" t="s">
        <v>939</v>
      </c>
      <c r="F704" t="s">
        <v>940</v>
      </c>
      <c r="G704" t="s">
        <v>51</v>
      </c>
      <c r="H704" t="s">
        <v>162</v>
      </c>
      <c r="I704" t="s">
        <v>146</v>
      </c>
      <c r="J704" t="s">
        <v>147</v>
      </c>
      <c r="K704">
        <v>862109</v>
      </c>
      <c r="L704" t="s">
        <v>101</v>
      </c>
      <c r="M704" t="s">
        <v>700</v>
      </c>
      <c r="N704" t="s">
        <v>57</v>
      </c>
      <c r="O704" s="1">
        <v>46130</v>
      </c>
      <c r="Q704" s="1">
        <v>46221</v>
      </c>
      <c r="R704" s="2">
        <v>67.959999999999994</v>
      </c>
      <c r="S704">
        <v>1</v>
      </c>
      <c r="T704" t="s">
        <v>58</v>
      </c>
      <c r="U704" t="s">
        <v>59</v>
      </c>
      <c r="V704" s="4">
        <v>0.375</v>
      </c>
      <c r="W704" s="2">
        <v>0</v>
      </c>
      <c r="X704">
        <v>0</v>
      </c>
      <c r="Y704" t="s">
        <v>60</v>
      </c>
      <c r="Z704" t="s">
        <v>239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25.48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46188</v>
      </c>
      <c r="B705" t="s">
        <v>48</v>
      </c>
      <c r="C705">
        <v>649163</v>
      </c>
      <c r="D705">
        <v>2035401321</v>
      </c>
      <c r="E705" t="s">
        <v>726</v>
      </c>
      <c r="F705" t="s">
        <v>727</v>
      </c>
      <c r="G705" t="s">
        <v>51</v>
      </c>
      <c r="H705" t="s">
        <v>696</v>
      </c>
      <c r="I705" t="s">
        <v>146</v>
      </c>
      <c r="J705" t="s">
        <v>147</v>
      </c>
      <c r="K705">
        <v>962427</v>
      </c>
      <c r="L705" t="s">
        <v>728</v>
      </c>
      <c r="M705" t="s">
        <v>729</v>
      </c>
      <c r="N705" t="s">
        <v>57</v>
      </c>
      <c r="O705" s="1">
        <v>46158</v>
      </c>
      <c r="Q705" s="1">
        <v>46219</v>
      </c>
      <c r="R705" s="2">
        <v>39.17</v>
      </c>
      <c r="S705">
        <v>1</v>
      </c>
      <c r="T705" t="s">
        <v>58</v>
      </c>
      <c r="U705" t="s">
        <v>59</v>
      </c>
      <c r="V705" s="4">
        <v>0.375</v>
      </c>
      <c r="W705" s="2">
        <v>0</v>
      </c>
      <c r="X705">
        <v>0</v>
      </c>
      <c r="Y705" t="s">
        <v>60</v>
      </c>
      <c r="Z705" t="s">
        <v>239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14.69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46188</v>
      </c>
      <c r="B706" t="s">
        <v>48</v>
      </c>
      <c r="C706">
        <v>649163</v>
      </c>
      <c r="D706">
        <v>2035437449</v>
      </c>
      <c r="E706" t="s">
        <v>737</v>
      </c>
      <c r="F706" t="s">
        <v>738</v>
      </c>
      <c r="G706" t="s">
        <v>51</v>
      </c>
      <c r="H706" t="s">
        <v>77</v>
      </c>
      <c r="I706" t="s">
        <v>146</v>
      </c>
      <c r="J706" t="s">
        <v>147</v>
      </c>
      <c r="K706">
        <v>812782</v>
      </c>
      <c r="L706" t="s">
        <v>105</v>
      </c>
      <c r="M706" t="s">
        <v>106</v>
      </c>
      <c r="N706" t="s">
        <v>57</v>
      </c>
      <c r="O706" s="1">
        <v>46155</v>
      </c>
      <c r="Q706" s="1">
        <v>46216</v>
      </c>
      <c r="R706" s="2">
        <v>103.8</v>
      </c>
      <c r="S706">
        <v>1</v>
      </c>
      <c r="T706" t="s">
        <v>58</v>
      </c>
      <c r="U706" t="s">
        <v>59</v>
      </c>
      <c r="V706" s="4">
        <v>0.375</v>
      </c>
      <c r="W706" s="2">
        <v>0</v>
      </c>
      <c r="X706">
        <v>0</v>
      </c>
      <c r="Y706" t="s">
        <v>60</v>
      </c>
      <c r="Z706" t="s">
        <v>239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38.92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46188</v>
      </c>
      <c r="B707" t="s">
        <v>48</v>
      </c>
      <c r="C707">
        <v>649163</v>
      </c>
      <c r="D707">
        <v>2035449419</v>
      </c>
      <c r="E707" t="s">
        <v>290</v>
      </c>
      <c r="F707" t="s">
        <v>291</v>
      </c>
      <c r="G707" t="s">
        <v>51</v>
      </c>
      <c r="H707" t="s">
        <v>292</v>
      </c>
      <c r="I707" t="s">
        <v>146</v>
      </c>
      <c r="J707" t="s">
        <v>147</v>
      </c>
      <c r="K707">
        <v>960404</v>
      </c>
      <c r="L707" t="s">
        <v>293</v>
      </c>
      <c r="M707" t="s">
        <v>294</v>
      </c>
      <c r="N707" t="s">
        <v>57</v>
      </c>
      <c r="O707" s="1">
        <v>46156</v>
      </c>
      <c r="Q707" s="1">
        <v>46217</v>
      </c>
      <c r="R707" s="2">
        <v>61.4</v>
      </c>
      <c r="S707">
        <v>1</v>
      </c>
      <c r="T707" t="s">
        <v>58</v>
      </c>
      <c r="U707" t="s">
        <v>59</v>
      </c>
      <c r="V707" s="4">
        <v>0.375</v>
      </c>
      <c r="W707" s="2">
        <v>0</v>
      </c>
      <c r="X707">
        <v>0</v>
      </c>
      <c r="Y707" t="s">
        <v>60</v>
      </c>
      <c r="Z707" t="s">
        <v>239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23.02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46188</v>
      </c>
      <c r="B708" t="s">
        <v>48</v>
      </c>
      <c r="C708">
        <v>649163</v>
      </c>
      <c r="D708">
        <v>2035462808</v>
      </c>
      <c r="E708" t="s">
        <v>538</v>
      </c>
      <c r="F708" t="s">
        <v>746</v>
      </c>
      <c r="G708" t="s">
        <v>51</v>
      </c>
      <c r="H708" t="s">
        <v>696</v>
      </c>
      <c r="I708" t="s">
        <v>146</v>
      </c>
      <c r="J708" t="s">
        <v>147</v>
      </c>
      <c r="K708">
        <v>962427</v>
      </c>
      <c r="L708" t="s">
        <v>728</v>
      </c>
      <c r="M708" t="s">
        <v>729</v>
      </c>
      <c r="N708" t="s">
        <v>57</v>
      </c>
      <c r="O708" s="1">
        <v>46156</v>
      </c>
      <c r="Q708" s="1">
        <v>46217</v>
      </c>
      <c r="R708" s="2">
        <v>61.83</v>
      </c>
      <c r="S708">
        <v>1</v>
      </c>
      <c r="T708" t="s">
        <v>58</v>
      </c>
      <c r="U708" t="s">
        <v>59</v>
      </c>
      <c r="V708" s="4">
        <v>0.375</v>
      </c>
      <c r="W708" s="2">
        <v>0</v>
      </c>
      <c r="X708">
        <v>0</v>
      </c>
      <c r="Y708" t="s">
        <v>60</v>
      </c>
      <c r="Z708" t="s">
        <v>239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23.19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46188</v>
      </c>
      <c r="B709" t="s">
        <v>48</v>
      </c>
      <c r="C709">
        <v>649163</v>
      </c>
      <c r="D709">
        <v>2035464771</v>
      </c>
      <c r="E709" t="s">
        <v>747</v>
      </c>
      <c r="F709" t="s">
        <v>110</v>
      </c>
      <c r="G709" t="s">
        <v>51</v>
      </c>
      <c r="H709" t="s">
        <v>305</v>
      </c>
      <c r="I709" t="s">
        <v>146</v>
      </c>
      <c r="J709" t="s">
        <v>147</v>
      </c>
      <c r="K709">
        <v>796984</v>
      </c>
      <c r="L709" t="s">
        <v>306</v>
      </c>
      <c r="M709" t="s">
        <v>307</v>
      </c>
      <c r="N709" t="s">
        <v>57</v>
      </c>
      <c r="O709" s="1">
        <v>46156</v>
      </c>
      <c r="Q709" s="1">
        <v>46217</v>
      </c>
      <c r="R709" s="2">
        <v>38.18</v>
      </c>
      <c r="S709">
        <v>1</v>
      </c>
      <c r="T709" t="s">
        <v>58</v>
      </c>
      <c r="U709" t="s">
        <v>59</v>
      </c>
      <c r="V709" s="4">
        <v>0.375</v>
      </c>
      <c r="W709" s="2">
        <v>0</v>
      </c>
      <c r="X709">
        <v>0</v>
      </c>
      <c r="Y709" t="s">
        <v>60</v>
      </c>
      <c r="Z709" t="s">
        <v>239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14.32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46188</v>
      </c>
      <c r="B710" t="s">
        <v>48</v>
      </c>
      <c r="C710">
        <v>649163</v>
      </c>
      <c r="D710">
        <v>2035486374</v>
      </c>
      <c r="E710" t="s">
        <v>750</v>
      </c>
      <c r="F710" t="s">
        <v>751</v>
      </c>
      <c r="G710" t="s">
        <v>51</v>
      </c>
      <c r="H710" t="s">
        <v>305</v>
      </c>
      <c r="I710" t="s">
        <v>146</v>
      </c>
      <c r="J710" t="s">
        <v>147</v>
      </c>
      <c r="K710">
        <v>824082</v>
      </c>
      <c r="L710" t="s">
        <v>510</v>
      </c>
      <c r="M710" t="s">
        <v>511</v>
      </c>
      <c r="N710" t="s">
        <v>57</v>
      </c>
      <c r="O710" s="1">
        <v>46157</v>
      </c>
      <c r="Q710" s="1">
        <v>46218</v>
      </c>
      <c r="R710" s="2">
        <v>106.74</v>
      </c>
      <c r="S710">
        <v>1</v>
      </c>
      <c r="T710" t="s">
        <v>58</v>
      </c>
      <c r="U710" t="s">
        <v>59</v>
      </c>
      <c r="V710" s="4">
        <v>0.375</v>
      </c>
      <c r="W710" s="2">
        <v>0</v>
      </c>
      <c r="X710">
        <v>0</v>
      </c>
      <c r="Y710" t="s">
        <v>60</v>
      </c>
      <c r="Z710" t="s">
        <v>239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40.03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46188</v>
      </c>
      <c r="B711" t="s">
        <v>48</v>
      </c>
      <c r="C711">
        <v>649163</v>
      </c>
      <c r="D711">
        <v>2035501770</v>
      </c>
      <c r="E711" t="s">
        <v>752</v>
      </c>
      <c r="F711" t="s">
        <v>307</v>
      </c>
      <c r="G711" t="s">
        <v>51</v>
      </c>
      <c r="H711" t="s">
        <v>696</v>
      </c>
      <c r="I711" t="s">
        <v>146</v>
      </c>
      <c r="J711" t="s">
        <v>147</v>
      </c>
      <c r="K711">
        <v>962427</v>
      </c>
      <c r="L711" t="s">
        <v>728</v>
      </c>
      <c r="M711" t="s">
        <v>729</v>
      </c>
      <c r="N711" t="s">
        <v>242</v>
      </c>
      <c r="O711" s="1">
        <v>46174</v>
      </c>
      <c r="P711" s="1">
        <v>46188</v>
      </c>
      <c r="Q711" s="1">
        <v>46204</v>
      </c>
      <c r="R711" s="2">
        <v>-73.95</v>
      </c>
      <c r="S711">
        <v>1</v>
      </c>
      <c r="T711" t="s">
        <v>58</v>
      </c>
      <c r="U711" t="s">
        <v>59</v>
      </c>
      <c r="V711" s="4">
        <v>0.375</v>
      </c>
      <c r="W711" s="2">
        <v>0</v>
      </c>
      <c r="X711">
        <v>-1</v>
      </c>
      <c r="Y711" t="s">
        <v>60</v>
      </c>
      <c r="Z711" t="s">
        <v>239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-27.73</v>
      </c>
      <c r="AN711" s="2">
        <v>-27.73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46188</v>
      </c>
      <c r="B712" t="s">
        <v>48</v>
      </c>
      <c r="C712">
        <v>649163</v>
      </c>
      <c r="D712">
        <v>2035502620</v>
      </c>
      <c r="E712" t="s">
        <v>357</v>
      </c>
      <c r="F712" t="s">
        <v>753</v>
      </c>
      <c r="G712" t="s">
        <v>51</v>
      </c>
      <c r="H712" t="s">
        <v>305</v>
      </c>
      <c r="I712" t="s">
        <v>146</v>
      </c>
      <c r="J712" t="s">
        <v>147</v>
      </c>
      <c r="K712">
        <v>796984</v>
      </c>
      <c r="L712" t="s">
        <v>306</v>
      </c>
      <c r="M712" t="s">
        <v>307</v>
      </c>
      <c r="N712" t="s">
        <v>57</v>
      </c>
      <c r="O712" s="1">
        <v>46158</v>
      </c>
      <c r="Q712" s="1">
        <v>46219</v>
      </c>
      <c r="R712" s="2">
        <v>30.49</v>
      </c>
      <c r="S712">
        <v>1</v>
      </c>
      <c r="T712" t="s">
        <v>58</v>
      </c>
      <c r="U712" t="s">
        <v>59</v>
      </c>
      <c r="V712" s="4">
        <v>0.375</v>
      </c>
      <c r="W712" s="2">
        <v>0</v>
      </c>
      <c r="X712">
        <v>0</v>
      </c>
      <c r="Y712" t="s">
        <v>60</v>
      </c>
      <c r="Z712" t="s">
        <v>239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11.43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46188</v>
      </c>
      <c r="B713" t="s">
        <v>48</v>
      </c>
      <c r="C713">
        <v>649163</v>
      </c>
      <c r="D713">
        <v>2035509866</v>
      </c>
      <c r="E713" t="s">
        <v>941</v>
      </c>
      <c r="F713" t="s">
        <v>704</v>
      </c>
      <c r="G713" t="s">
        <v>51</v>
      </c>
      <c r="H713" t="s">
        <v>170</v>
      </c>
      <c r="I713" t="s">
        <v>146</v>
      </c>
      <c r="J713" t="s">
        <v>147</v>
      </c>
      <c r="K713">
        <v>767312</v>
      </c>
      <c r="L713" t="s">
        <v>171</v>
      </c>
      <c r="M713" t="s">
        <v>172</v>
      </c>
      <c r="N713" t="s">
        <v>57</v>
      </c>
      <c r="O713" s="1">
        <v>46158</v>
      </c>
      <c r="Q713" s="1">
        <v>46219</v>
      </c>
      <c r="R713" s="2">
        <v>29.93</v>
      </c>
      <c r="S713">
        <v>1</v>
      </c>
      <c r="T713" t="s">
        <v>58</v>
      </c>
      <c r="U713" t="s">
        <v>59</v>
      </c>
      <c r="V713" s="4">
        <v>0.375</v>
      </c>
      <c r="W713" s="2">
        <v>0</v>
      </c>
      <c r="X713">
        <v>0</v>
      </c>
      <c r="Y713" t="s">
        <v>60</v>
      </c>
      <c r="Z713" t="s">
        <v>239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11.22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46188</v>
      </c>
      <c r="B714" t="s">
        <v>48</v>
      </c>
      <c r="C714">
        <v>649163</v>
      </c>
      <c r="D714">
        <v>2035786172</v>
      </c>
      <c r="E714" t="s">
        <v>815</v>
      </c>
      <c r="F714" t="s">
        <v>816</v>
      </c>
      <c r="G714" t="s">
        <v>51</v>
      </c>
      <c r="H714" t="s">
        <v>83</v>
      </c>
      <c r="I714" t="s">
        <v>146</v>
      </c>
      <c r="J714" t="s">
        <v>147</v>
      </c>
      <c r="K714">
        <v>812782</v>
      </c>
      <c r="L714" t="s">
        <v>105</v>
      </c>
      <c r="M714" t="s">
        <v>106</v>
      </c>
      <c r="N714" t="s">
        <v>242</v>
      </c>
      <c r="O714" s="1">
        <v>46175</v>
      </c>
      <c r="P714" s="1">
        <v>46188</v>
      </c>
      <c r="Q714" s="1">
        <v>46205</v>
      </c>
      <c r="R714" s="2">
        <v>-11.89</v>
      </c>
      <c r="S714">
        <v>1</v>
      </c>
      <c r="T714" t="s">
        <v>58</v>
      </c>
      <c r="U714" t="s">
        <v>59</v>
      </c>
      <c r="V714" s="4">
        <v>0.375</v>
      </c>
      <c r="W714" s="2">
        <v>0</v>
      </c>
      <c r="X714">
        <v>-1</v>
      </c>
      <c r="Y714" t="s">
        <v>60</v>
      </c>
      <c r="Z714" t="s">
        <v>239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-4.46</v>
      </c>
      <c r="AN714" s="2">
        <v>-4.46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46188</v>
      </c>
      <c r="B715" t="s">
        <v>48</v>
      </c>
      <c r="C715">
        <v>649163</v>
      </c>
      <c r="D715">
        <v>2023499224</v>
      </c>
      <c r="E715" t="s">
        <v>243</v>
      </c>
      <c r="F715" t="s">
        <v>244</v>
      </c>
      <c r="G715" t="s">
        <v>51</v>
      </c>
      <c r="H715" t="s">
        <v>245</v>
      </c>
      <c r="I715" t="s">
        <v>173</v>
      </c>
      <c r="J715" t="s">
        <v>176</v>
      </c>
      <c r="K715">
        <v>751867</v>
      </c>
      <c r="L715" t="s">
        <v>55</v>
      </c>
      <c r="M715" t="s">
        <v>56</v>
      </c>
      <c r="N715" t="s">
        <v>57</v>
      </c>
      <c r="O715" s="1">
        <v>45456</v>
      </c>
      <c r="Q715" s="1">
        <v>46216</v>
      </c>
      <c r="R715" s="2">
        <v>28.12</v>
      </c>
      <c r="S715">
        <v>1</v>
      </c>
      <c r="T715" t="s">
        <v>58</v>
      </c>
      <c r="U715" t="s">
        <v>237</v>
      </c>
      <c r="V715" s="3">
        <v>0.1</v>
      </c>
      <c r="W715" s="2">
        <v>0</v>
      </c>
      <c r="X715">
        <v>0</v>
      </c>
      <c r="Y715" t="s">
        <v>238</v>
      </c>
      <c r="Z715" t="s">
        <v>239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2.81</v>
      </c>
      <c r="AN715" s="2">
        <v>2.81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46188</v>
      </c>
      <c r="B716" t="s">
        <v>48</v>
      </c>
      <c r="C716">
        <v>649163</v>
      </c>
      <c r="D716">
        <v>2023509943</v>
      </c>
      <c r="E716" t="s">
        <v>246</v>
      </c>
      <c r="F716" t="s">
        <v>247</v>
      </c>
      <c r="G716" t="s">
        <v>51</v>
      </c>
      <c r="H716" t="s">
        <v>52</v>
      </c>
      <c r="I716" t="s">
        <v>173</v>
      </c>
      <c r="J716" t="s">
        <v>176</v>
      </c>
      <c r="K716">
        <v>751867</v>
      </c>
      <c r="L716" t="s">
        <v>55</v>
      </c>
      <c r="M716" t="s">
        <v>56</v>
      </c>
      <c r="N716" t="s">
        <v>57</v>
      </c>
      <c r="O716" s="1">
        <v>45457</v>
      </c>
      <c r="Q716" s="1">
        <v>46217</v>
      </c>
      <c r="R716" s="2">
        <v>55.16</v>
      </c>
      <c r="S716">
        <v>1</v>
      </c>
      <c r="T716" t="s">
        <v>58</v>
      </c>
      <c r="U716" t="s">
        <v>237</v>
      </c>
      <c r="V716" s="3">
        <v>0.1</v>
      </c>
      <c r="W716" s="2">
        <v>0</v>
      </c>
      <c r="X716">
        <v>0</v>
      </c>
      <c r="Y716" t="s">
        <v>238</v>
      </c>
      <c r="Z716" t="s">
        <v>239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5.52</v>
      </c>
      <c r="AN716" s="2">
        <v>5.52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46188</v>
      </c>
      <c r="B717" t="s">
        <v>48</v>
      </c>
      <c r="C717">
        <v>649163</v>
      </c>
      <c r="D717">
        <v>2023510923</v>
      </c>
      <c r="E717" t="s">
        <v>249</v>
      </c>
      <c r="F717" t="s">
        <v>250</v>
      </c>
      <c r="G717" t="s">
        <v>51</v>
      </c>
      <c r="H717" t="s">
        <v>52</v>
      </c>
      <c r="I717" t="s">
        <v>173</v>
      </c>
      <c r="J717" t="s">
        <v>176</v>
      </c>
      <c r="K717">
        <v>751867</v>
      </c>
      <c r="L717" t="s">
        <v>55</v>
      </c>
      <c r="M717" t="s">
        <v>56</v>
      </c>
      <c r="N717" t="s">
        <v>57</v>
      </c>
      <c r="O717" s="1">
        <v>45457</v>
      </c>
      <c r="Q717" s="1">
        <v>46217</v>
      </c>
      <c r="R717" s="2">
        <v>55.16</v>
      </c>
      <c r="S717">
        <v>1</v>
      </c>
      <c r="T717" t="s">
        <v>58</v>
      </c>
      <c r="U717" t="s">
        <v>237</v>
      </c>
      <c r="V717" s="3">
        <v>0.1</v>
      </c>
      <c r="W717" s="2">
        <v>0</v>
      </c>
      <c r="X717">
        <v>0</v>
      </c>
      <c r="Y717" t="s">
        <v>238</v>
      </c>
      <c r="Z717" t="s">
        <v>239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5.52</v>
      </c>
      <c r="AN717" s="2">
        <v>5.52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46188</v>
      </c>
      <c r="B718" t="s">
        <v>48</v>
      </c>
      <c r="C718">
        <v>649163</v>
      </c>
      <c r="D718">
        <v>2023867555</v>
      </c>
      <c r="E718" t="s">
        <v>80</v>
      </c>
      <c r="F718" t="s">
        <v>842</v>
      </c>
      <c r="G718" t="s">
        <v>51</v>
      </c>
      <c r="H718" t="s">
        <v>52</v>
      </c>
      <c r="I718" t="s">
        <v>173</v>
      </c>
      <c r="J718" t="s">
        <v>176</v>
      </c>
      <c r="K718">
        <v>650218</v>
      </c>
      <c r="L718" t="s">
        <v>158</v>
      </c>
      <c r="M718" t="s">
        <v>159</v>
      </c>
      <c r="N718" t="s">
        <v>57</v>
      </c>
      <c r="O718" s="1">
        <v>45483</v>
      </c>
      <c r="Q718" s="1">
        <v>46213</v>
      </c>
      <c r="R718" s="2">
        <v>53.16</v>
      </c>
      <c r="S718">
        <v>1</v>
      </c>
      <c r="T718" t="s">
        <v>58</v>
      </c>
      <c r="U718" t="s">
        <v>237</v>
      </c>
      <c r="V718" s="3">
        <v>0.1</v>
      </c>
      <c r="W718" s="2">
        <v>0</v>
      </c>
      <c r="X718">
        <v>0</v>
      </c>
      <c r="Y718" t="s">
        <v>238</v>
      </c>
      <c r="Z718" t="s">
        <v>239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5.32</v>
      </c>
      <c r="AN718" s="2">
        <v>5.32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46188</v>
      </c>
      <c r="B719" t="s">
        <v>48</v>
      </c>
      <c r="C719">
        <v>649163</v>
      </c>
      <c r="D719">
        <v>2024382705</v>
      </c>
      <c r="E719" t="s">
        <v>251</v>
      </c>
      <c r="F719" t="s">
        <v>252</v>
      </c>
      <c r="G719" t="s">
        <v>51</v>
      </c>
      <c r="H719" t="s">
        <v>52</v>
      </c>
      <c r="I719" t="s">
        <v>173</v>
      </c>
      <c r="J719" t="s">
        <v>176</v>
      </c>
      <c r="K719">
        <v>650218</v>
      </c>
      <c r="L719" t="s">
        <v>158</v>
      </c>
      <c r="M719" t="s">
        <v>159</v>
      </c>
      <c r="N719" t="s">
        <v>57</v>
      </c>
      <c r="O719" s="1">
        <v>45519</v>
      </c>
      <c r="Q719" s="1">
        <v>46218</v>
      </c>
      <c r="R719" s="2">
        <v>27.15</v>
      </c>
      <c r="S719">
        <v>1</v>
      </c>
      <c r="T719" t="s">
        <v>58</v>
      </c>
      <c r="U719" t="s">
        <v>237</v>
      </c>
      <c r="V719" s="3">
        <v>0.1</v>
      </c>
      <c r="W719" s="2">
        <v>0</v>
      </c>
      <c r="X719">
        <v>0</v>
      </c>
      <c r="Y719" t="s">
        <v>238</v>
      </c>
      <c r="Z719" t="s">
        <v>239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2.72</v>
      </c>
      <c r="AN719" s="2">
        <v>2.72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46188</v>
      </c>
      <c r="B720" t="s">
        <v>48</v>
      </c>
      <c r="C720">
        <v>649163</v>
      </c>
      <c r="D720">
        <v>2024853074</v>
      </c>
      <c r="E720" t="s">
        <v>394</v>
      </c>
      <c r="F720" t="s">
        <v>395</v>
      </c>
      <c r="G720" t="s">
        <v>51</v>
      </c>
      <c r="H720" t="s">
        <v>95</v>
      </c>
      <c r="I720" t="s">
        <v>173</v>
      </c>
      <c r="J720" t="s">
        <v>176</v>
      </c>
      <c r="K720">
        <v>650218</v>
      </c>
      <c r="L720" t="s">
        <v>158</v>
      </c>
      <c r="M720" t="s">
        <v>159</v>
      </c>
      <c r="N720" t="s">
        <v>57</v>
      </c>
      <c r="O720" s="1">
        <v>45550</v>
      </c>
      <c r="Q720" s="1">
        <v>46218</v>
      </c>
      <c r="R720" s="2">
        <v>35.06</v>
      </c>
      <c r="S720">
        <v>1</v>
      </c>
      <c r="T720" t="s">
        <v>58</v>
      </c>
      <c r="U720" t="s">
        <v>237</v>
      </c>
      <c r="V720" s="3">
        <v>0.1</v>
      </c>
      <c r="W720" s="2">
        <v>0</v>
      </c>
      <c r="X720">
        <v>0</v>
      </c>
      <c r="Y720" t="s">
        <v>238</v>
      </c>
      <c r="Z720" t="s">
        <v>239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3.51</v>
      </c>
      <c r="AN720" s="2">
        <v>3.51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46188</v>
      </c>
      <c r="B721" t="s">
        <v>48</v>
      </c>
      <c r="C721">
        <v>649163</v>
      </c>
      <c r="D721">
        <v>2025729949</v>
      </c>
      <c r="E721" t="s">
        <v>942</v>
      </c>
      <c r="F721" t="s">
        <v>307</v>
      </c>
      <c r="G721" t="s">
        <v>51</v>
      </c>
      <c r="H721" t="s">
        <v>52</v>
      </c>
      <c r="I721" t="s">
        <v>173</v>
      </c>
      <c r="J721" t="s">
        <v>176</v>
      </c>
      <c r="K721">
        <v>650218</v>
      </c>
      <c r="L721" t="s">
        <v>158</v>
      </c>
      <c r="M721" t="s">
        <v>159</v>
      </c>
      <c r="N721" t="s">
        <v>57</v>
      </c>
      <c r="O721" s="1">
        <v>45609</v>
      </c>
      <c r="Q721" s="1">
        <v>46216</v>
      </c>
      <c r="R721" s="2">
        <v>53.16</v>
      </c>
      <c r="S721">
        <v>1</v>
      </c>
      <c r="T721" t="s">
        <v>58</v>
      </c>
      <c r="U721" t="s">
        <v>237</v>
      </c>
      <c r="V721" s="3">
        <v>0.1</v>
      </c>
      <c r="W721" s="2">
        <v>0</v>
      </c>
      <c r="X721">
        <v>0</v>
      </c>
      <c r="Y721" t="s">
        <v>238</v>
      </c>
      <c r="Z721" t="s">
        <v>239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5.32</v>
      </c>
      <c r="AN721" s="2">
        <v>5.32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46188</v>
      </c>
      <c r="B722" t="s">
        <v>48</v>
      </c>
      <c r="C722">
        <v>649163</v>
      </c>
      <c r="D722">
        <v>2025756062</v>
      </c>
      <c r="E722" t="s">
        <v>253</v>
      </c>
      <c r="F722" t="s">
        <v>254</v>
      </c>
      <c r="G722" t="s">
        <v>51</v>
      </c>
      <c r="H722" t="s">
        <v>52</v>
      </c>
      <c r="I722" t="s">
        <v>173</v>
      </c>
      <c r="J722" t="s">
        <v>176</v>
      </c>
      <c r="K722">
        <v>650218</v>
      </c>
      <c r="L722" t="s">
        <v>158</v>
      </c>
      <c r="M722" t="s">
        <v>159</v>
      </c>
      <c r="N722" t="s">
        <v>57</v>
      </c>
      <c r="O722" s="1">
        <v>45610</v>
      </c>
      <c r="Q722" s="1">
        <v>46217</v>
      </c>
      <c r="R722" s="2">
        <v>33.51</v>
      </c>
      <c r="S722">
        <v>1</v>
      </c>
      <c r="T722" t="s">
        <v>58</v>
      </c>
      <c r="U722" t="s">
        <v>237</v>
      </c>
      <c r="V722" s="3">
        <v>0.1</v>
      </c>
      <c r="W722" s="2">
        <v>0</v>
      </c>
      <c r="X722">
        <v>0</v>
      </c>
      <c r="Y722" t="s">
        <v>238</v>
      </c>
      <c r="Z722" t="s">
        <v>239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3.35</v>
      </c>
      <c r="AN722" s="2">
        <v>3.35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46188</v>
      </c>
      <c r="B723" t="s">
        <v>48</v>
      </c>
      <c r="C723">
        <v>649163</v>
      </c>
      <c r="D723">
        <v>2025820172</v>
      </c>
      <c r="E723" t="s">
        <v>303</v>
      </c>
      <c r="F723" t="s">
        <v>304</v>
      </c>
      <c r="G723" t="s">
        <v>51</v>
      </c>
      <c r="H723" t="s">
        <v>305</v>
      </c>
      <c r="I723" t="s">
        <v>173</v>
      </c>
      <c r="J723" t="s">
        <v>176</v>
      </c>
      <c r="K723">
        <v>796984</v>
      </c>
      <c r="L723" t="s">
        <v>306</v>
      </c>
      <c r="M723" t="s">
        <v>307</v>
      </c>
      <c r="N723" t="s">
        <v>57</v>
      </c>
      <c r="O723" s="1">
        <v>45615</v>
      </c>
      <c r="Q723" s="1">
        <v>46222</v>
      </c>
      <c r="R723" s="2">
        <v>26.43</v>
      </c>
      <c r="S723">
        <v>1</v>
      </c>
      <c r="T723" t="s">
        <v>58</v>
      </c>
      <c r="U723" t="s">
        <v>237</v>
      </c>
      <c r="V723" s="3">
        <v>0.1</v>
      </c>
      <c r="W723" s="2">
        <v>0</v>
      </c>
      <c r="X723">
        <v>0</v>
      </c>
      <c r="Y723" t="s">
        <v>238</v>
      </c>
      <c r="Z723" t="s">
        <v>239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2.64</v>
      </c>
      <c r="AN723" s="2">
        <v>2.64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46188</v>
      </c>
      <c r="B724" t="s">
        <v>48</v>
      </c>
      <c r="C724">
        <v>649163</v>
      </c>
      <c r="D724">
        <v>2026061219</v>
      </c>
      <c r="E724" t="s">
        <v>308</v>
      </c>
      <c r="F724" t="s">
        <v>260</v>
      </c>
      <c r="G724" t="s">
        <v>51</v>
      </c>
      <c r="H724" t="s">
        <v>305</v>
      </c>
      <c r="I724" t="s">
        <v>173</v>
      </c>
      <c r="J724" t="s">
        <v>176</v>
      </c>
      <c r="K724">
        <v>796984</v>
      </c>
      <c r="L724" t="s">
        <v>306</v>
      </c>
      <c r="M724" t="s">
        <v>307</v>
      </c>
      <c r="N724" t="s">
        <v>57</v>
      </c>
      <c r="O724" s="1">
        <v>45641</v>
      </c>
      <c r="Q724" s="1">
        <v>46218</v>
      </c>
      <c r="R724" s="2">
        <v>33.31</v>
      </c>
      <c r="S724">
        <v>1</v>
      </c>
      <c r="T724" t="s">
        <v>58</v>
      </c>
      <c r="U724" t="s">
        <v>237</v>
      </c>
      <c r="V724" s="3">
        <v>0.1</v>
      </c>
      <c r="W724" s="2">
        <v>0</v>
      </c>
      <c r="X724">
        <v>0</v>
      </c>
      <c r="Y724" t="s">
        <v>238</v>
      </c>
      <c r="Z724" t="s">
        <v>239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3.33</v>
      </c>
      <c r="AN724" s="2">
        <v>3.33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46188</v>
      </c>
      <c r="B725" t="s">
        <v>48</v>
      </c>
      <c r="C725">
        <v>649163</v>
      </c>
      <c r="D725">
        <v>2026586622</v>
      </c>
      <c r="E725" t="s">
        <v>423</v>
      </c>
      <c r="F725" t="s">
        <v>424</v>
      </c>
      <c r="G725" t="s">
        <v>51</v>
      </c>
      <c r="H725" t="s">
        <v>234</v>
      </c>
      <c r="I725" t="s">
        <v>173</v>
      </c>
      <c r="J725" t="s">
        <v>176</v>
      </c>
      <c r="K725">
        <v>756418</v>
      </c>
      <c r="L725" t="s">
        <v>419</v>
      </c>
      <c r="M725" t="s">
        <v>420</v>
      </c>
      <c r="N725" t="s">
        <v>57</v>
      </c>
      <c r="O725" s="1">
        <v>45672</v>
      </c>
      <c r="Q725" s="1">
        <v>46218</v>
      </c>
      <c r="R725" s="2">
        <v>13.38</v>
      </c>
      <c r="S725">
        <v>1</v>
      </c>
      <c r="T725" t="s">
        <v>58</v>
      </c>
      <c r="U725" t="s">
        <v>237</v>
      </c>
      <c r="V725" s="3">
        <v>0.1</v>
      </c>
      <c r="W725" s="2">
        <v>0</v>
      </c>
      <c r="X725">
        <v>0</v>
      </c>
      <c r="Y725" t="s">
        <v>238</v>
      </c>
      <c r="Z725" t="s">
        <v>239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1.34</v>
      </c>
      <c r="AN725" s="2">
        <v>1.34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46188</v>
      </c>
      <c r="B726" t="s">
        <v>48</v>
      </c>
      <c r="C726">
        <v>649163</v>
      </c>
      <c r="D726">
        <v>2026603199</v>
      </c>
      <c r="E726" t="s">
        <v>257</v>
      </c>
      <c r="F726" t="s">
        <v>258</v>
      </c>
      <c r="G726" t="s">
        <v>51</v>
      </c>
      <c r="H726" t="s">
        <v>52</v>
      </c>
      <c r="I726" t="s">
        <v>173</v>
      </c>
      <c r="J726" t="s">
        <v>176</v>
      </c>
      <c r="K726">
        <v>751867</v>
      </c>
      <c r="L726" t="s">
        <v>55</v>
      </c>
      <c r="M726" t="s">
        <v>56</v>
      </c>
      <c r="N726" t="s">
        <v>57</v>
      </c>
      <c r="O726" s="1">
        <v>45673</v>
      </c>
      <c r="Q726" s="1">
        <v>46219</v>
      </c>
      <c r="R726" s="2">
        <v>33.51</v>
      </c>
      <c r="S726">
        <v>1</v>
      </c>
      <c r="T726" t="s">
        <v>58</v>
      </c>
      <c r="U726" t="s">
        <v>237</v>
      </c>
      <c r="V726" s="3">
        <v>0.1</v>
      </c>
      <c r="W726" s="2">
        <v>0</v>
      </c>
      <c r="X726">
        <v>0</v>
      </c>
      <c r="Y726" t="s">
        <v>238</v>
      </c>
      <c r="Z726" t="s">
        <v>239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3.35</v>
      </c>
      <c r="AN726" s="2">
        <v>3.35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46188</v>
      </c>
      <c r="B727" t="s">
        <v>48</v>
      </c>
      <c r="C727">
        <v>649163</v>
      </c>
      <c r="D727">
        <v>2027849973</v>
      </c>
      <c r="E727" t="s">
        <v>436</v>
      </c>
      <c r="F727" t="s">
        <v>437</v>
      </c>
      <c r="G727" t="s">
        <v>51</v>
      </c>
      <c r="H727" t="s">
        <v>438</v>
      </c>
      <c r="I727" t="s">
        <v>173</v>
      </c>
      <c r="J727" t="s">
        <v>176</v>
      </c>
      <c r="K727">
        <v>650218</v>
      </c>
      <c r="L727" t="s">
        <v>158</v>
      </c>
      <c r="M727" t="s">
        <v>159</v>
      </c>
      <c r="N727" t="s">
        <v>57</v>
      </c>
      <c r="O727" s="1">
        <v>45733</v>
      </c>
      <c r="Q727" s="1">
        <v>46220</v>
      </c>
      <c r="R727" s="2">
        <v>48.95</v>
      </c>
      <c r="S727">
        <v>1</v>
      </c>
      <c r="T727" t="s">
        <v>58</v>
      </c>
      <c r="U727" t="s">
        <v>237</v>
      </c>
      <c r="V727" s="3">
        <v>0.1</v>
      </c>
      <c r="W727" s="2">
        <v>0</v>
      </c>
      <c r="X727">
        <v>0</v>
      </c>
      <c r="Y727" t="s">
        <v>238</v>
      </c>
      <c r="Z727" t="s">
        <v>239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4.9000000000000004</v>
      </c>
      <c r="AN727" s="2">
        <v>4.9000000000000004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46188</v>
      </c>
      <c r="B728" t="s">
        <v>48</v>
      </c>
      <c r="C728">
        <v>649163</v>
      </c>
      <c r="D728">
        <v>2027854738</v>
      </c>
      <c r="E728" t="s">
        <v>943</v>
      </c>
      <c r="F728" t="s">
        <v>944</v>
      </c>
      <c r="G728" t="s">
        <v>51</v>
      </c>
      <c r="H728" t="s">
        <v>77</v>
      </c>
      <c r="I728" t="s">
        <v>173</v>
      </c>
      <c r="J728" t="s">
        <v>174</v>
      </c>
      <c r="K728">
        <v>673059</v>
      </c>
      <c r="L728" t="s">
        <v>85</v>
      </c>
      <c r="M728" t="s">
        <v>86</v>
      </c>
      <c r="N728" t="s">
        <v>57</v>
      </c>
      <c r="O728" s="1">
        <v>45734</v>
      </c>
      <c r="Q728" s="1">
        <v>46221</v>
      </c>
      <c r="R728" s="2">
        <v>217.56</v>
      </c>
      <c r="S728">
        <v>1</v>
      </c>
      <c r="T728" t="s">
        <v>58</v>
      </c>
      <c r="U728" t="s">
        <v>237</v>
      </c>
      <c r="V728" s="3">
        <v>0.1</v>
      </c>
      <c r="W728" s="2">
        <v>0</v>
      </c>
      <c r="X728">
        <v>0</v>
      </c>
      <c r="Y728" t="s">
        <v>238</v>
      </c>
      <c r="Z728" t="s">
        <v>239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21.76</v>
      </c>
      <c r="AN728" s="2">
        <v>21.76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46188</v>
      </c>
      <c r="B729" t="s">
        <v>48</v>
      </c>
      <c r="C729">
        <v>649163</v>
      </c>
      <c r="D729">
        <v>2028488143</v>
      </c>
      <c r="E729" t="s">
        <v>263</v>
      </c>
      <c r="F729" t="s">
        <v>264</v>
      </c>
      <c r="G729" t="s">
        <v>51</v>
      </c>
      <c r="H729" t="s">
        <v>52</v>
      </c>
      <c r="I729" t="s">
        <v>173</v>
      </c>
      <c r="J729" t="s">
        <v>176</v>
      </c>
      <c r="K729">
        <v>751867</v>
      </c>
      <c r="L729" t="s">
        <v>55</v>
      </c>
      <c r="M729" t="s">
        <v>56</v>
      </c>
      <c r="N729" t="s">
        <v>57</v>
      </c>
      <c r="O729" s="1">
        <v>45766</v>
      </c>
      <c r="Q729" s="1">
        <v>46222</v>
      </c>
      <c r="R729" s="2">
        <v>89.62</v>
      </c>
      <c r="S729">
        <v>1</v>
      </c>
      <c r="T729" t="s">
        <v>58</v>
      </c>
      <c r="U729" t="s">
        <v>237</v>
      </c>
      <c r="V729" s="3">
        <v>0.1</v>
      </c>
      <c r="W729" s="2">
        <v>0</v>
      </c>
      <c r="X729">
        <v>0</v>
      </c>
      <c r="Y729" t="s">
        <v>238</v>
      </c>
      <c r="Z729" t="s">
        <v>239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8.9600000000000009</v>
      </c>
      <c r="AN729" s="2">
        <v>8.9600000000000009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46188</v>
      </c>
      <c r="B730" t="s">
        <v>48</v>
      </c>
      <c r="C730">
        <v>649163</v>
      </c>
      <c r="D730">
        <v>2028958356</v>
      </c>
      <c r="E730" t="s">
        <v>334</v>
      </c>
      <c r="F730" t="s">
        <v>335</v>
      </c>
      <c r="G730" t="s">
        <v>51</v>
      </c>
      <c r="H730" t="s">
        <v>119</v>
      </c>
      <c r="I730" t="s">
        <v>173</v>
      </c>
      <c r="J730" t="s">
        <v>181</v>
      </c>
      <c r="K730">
        <v>673059</v>
      </c>
      <c r="L730" t="s">
        <v>85</v>
      </c>
      <c r="M730" t="s">
        <v>86</v>
      </c>
      <c r="N730" t="s">
        <v>57</v>
      </c>
      <c r="O730" s="1">
        <v>45793</v>
      </c>
      <c r="Q730" s="1">
        <v>46219</v>
      </c>
      <c r="R730" s="2">
        <v>100.48</v>
      </c>
      <c r="S730">
        <v>1</v>
      </c>
      <c r="T730" t="s">
        <v>58</v>
      </c>
      <c r="U730" t="s">
        <v>237</v>
      </c>
      <c r="V730" s="3">
        <v>0.05</v>
      </c>
      <c r="W730" s="2">
        <v>0</v>
      </c>
      <c r="X730">
        <v>0</v>
      </c>
      <c r="Y730" t="s">
        <v>238</v>
      </c>
      <c r="Z730" t="s">
        <v>239</v>
      </c>
      <c r="AA730">
        <v>0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5.0199999999999996</v>
      </c>
      <c r="AN730" s="2">
        <v>5.0199999999999996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46188</v>
      </c>
      <c r="B731" t="s">
        <v>48</v>
      </c>
      <c r="C731">
        <v>649163</v>
      </c>
      <c r="D731">
        <v>2030028578</v>
      </c>
      <c r="E731" t="s">
        <v>848</v>
      </c>
      <c r="F731" t="s">
        <v>849</v>
      </c>
      <c r="G731" t="s">
        <v>51</v>
      </c>
      <c r="H731" t="s">
        <v>119</v>
      </c>
      <c r="I731" t="s">
        <v>173</v>
      </c>
      <c r="J731" t="s">
        <v>177</v>
      </c>
      <c r="K731">
        <v>768887</v>
      </c>
      <c r="L731" t="s">
        <v>321</v>
      </c>
      <c r="M731" t="s">
        <v>94</v>
      </c>
      <c r="N731" t="s">
        <v>57</v>
      </c>
      <c r="O731" s="1">
        <v>45857</v>
      </c>
      <c r="Q731" s="1">
        <v>46222</v>
      </c>
      <c r="R731" s="2">
        <v>7.09</v>
      </c>
      <c r="S731">
        <v>1</v>
      </c>
      <c r="T731" t="s">
        <v>58</v>
      </c>
      <c r="U731" t="s">
        <v>237</v>
      </c>
      <c r="V731" s="3">
        <v>0.38</v>
      </c>
      <c r="W731" s="2">
        <v>0</v>
      </c>
      <c r="X731">
        <v>0</v>
      </c>
      <c r="Y731" t="s">
        <v>60</v>
      </c>
      <c r="Z731" t="s">
        <v>239</v>
      </c>
      <c r="AA731">
        <v>0</v>
      </c>
      <c r="AB731" s="2">
        <v>0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2.69</v>
      </c>
      <c r="AN731" s="2">
        <v>2.69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46188</v>
      </c>
      <c r="B732" t="s">
        <v>48</v>
      </c>
      <c r="C732">
        <v>649163</v>
      </c>
      <c r="D732">
        <v>2030028579</v>
      </c>
      <c r="E732" t="s">
        <v>848</v>
      </c>
      <c r="F732" t="s">
        <v>849</v>
      </c>
      <c r="G732" t="s">
        <v>51</v>
      </c>
      <c r="H732" t="s">
        <v>119</v>
      </c>
      <c r="I732" t="s">
        <v>173</v>
      </c>
      <c r="J732" t="s">
        <v>174</v>
      </c>
      <c r="K732">
        <v>768887</v>
      </c>
      <c r="L732" t="s">
        <v>321</v>
      </c>
      <c r="M732" t="s">
        <v>94</v>
      </c>
      <c r="N732" t="s">
        <v>57</v>
      </c>
      <c r="O732" s="1">
        <v>45857</v>
      </c>
      <c r="Q732" s="1">
        <v>46222</v>
      </c>
      <c r="R732" s="2">
        <v>530.48</v>
      </c>
      <c r="S732">
        <v>1</v>
      </c>
      <c r="T732" t="s">
        <v>58</v>
      </c>
      <c r="U732" t="s">
        <v>237</v>
      </c>
      <c r="V732" s="3">
        <v>0.38</v>
      </c>
      <c r="W732" s="2">
        <v>0</v>
      </c>
      <c r="X732">
        <v>0</v>
      </c>
      <c r="Y732" t="s">
        <v>60</v>
      </c>
      <c r="Z732" t="s">
        <v>239</v>
      </c>
      <c r="AA732">
        <v>0</v>
      </c>
      <c r="AB732" s="2">
        <v>0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201.58</v>
      </c>
      <c r="AN732" s="2">
        <v>201.58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46188</v>
      </c>
      <c r="B733" t="s">
        <v>48</v>
      </c>
      <c r="C733">
        <v>649163</v>
      </c>
      <c r="D733">
        <v>2030399994</v>
      </c>
      <c r="E733" t="s">
        <v>945</v>
      </c>
      <c r="F733" t="s">
        <v>704</v>
      </c>
      <c r="G733" t="s">
        <v>51</v>
      </c>
      <c r="H733" t="s">
        <v>119</v>
      </c>
      <c r="I733" t="s">
        <v>173</v>
      </c>
      <c r="J733" t="s">
        <v>174</v>
      </c>
      <c r="K733">
        <v>824062</v>
      </c>
      <c r="L733" t="s">
        <v>385</v>
      </c>
      <c r="M733" t="s">
        <v>386</v>
      </c>
      <c r="N733" t="s">
        <v>57</v>
      </c>
      <c r="O733" s="1">
        <v>45878</v>
      </c>
      <c r="Q733" s="1">
        <v>46212</v>
      </c>
      <c r="R733" s="2">
        <v>-85.75</v>
      </c>
      <c r="S733">
        <v>1</v>
      </c>
      <c r="T733" t="s">
        <v>58</v>
      </c>
      <c r="U733" t="s">
        <v>237</v>
      </c>
      <c r="V733" s="3">
        <v>0.38</v>
      </c>
      <c r="W733" s="2">
        <v>0</v>
      </c>
      <c r="X733">
        <v>-1</v>
      </c>
      <c r="Y733" t="s">
        <v>60</v>
      </c>
      <c r="Z733" t="s">
        <v>239</v>
      </c>
      <c r="AA733">
        <v>0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-32.58</v>
      </c>
      <c r="AN733" s="2">
        <v>-32.58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46188</v>
      </c>
      <c r="B734" t="s">
        <v>48</v>
      </c>
      <c r="C734">
        <v>649163</v>
      </c>
      <c r="D734">
        <v>2030455579</v>
      </c>
      <c r="E734" t="s">
        <v>353</v>
      </c>
      <c r="F734" t="s">
        <v>354</v>
      </c>
      <c r="G734" t="s">
        <v>51</v>
      </c>
      <c r="H734" t="s">
        <v>305</v>
      </c>
      <c r="I734" t="s">
        <v>173</v>
      </c>
      <c r="J734" t="s">
        <v>176</v>
      </c>
      <c r="K734">
        <v>816021</v>
      </c>
      <c r="L734" t="s">
        <v>312</v>
      </c>
      <c r="M734" t="s">
        <v>313</v>
      </c>
      <c r="N734" t="s">
        <v>57</v>
      </c>
      <c r="O734" s="1">
        <v>45882</v>
      </c>
      <c r="Q734" s="1">
        <v>46216</v>
      </c>
      <c r="R734" s="2">
        <v>60.5</v>
      </c>
      <c r="S734">
        <v>1</v>
      </c>
      <c r="T734" t="s">
        <v>58</v>
      </c>
      <c r="U734" t="s">
        <v>237</v>
      </c>
      <c r="V734" s="3">
        <v>0.38</v>
      </c>
      <c r="W734" s="2">
        <v>0</v>
      </c>
      <c r="X734">
        <v>0</v>
      </c>
      <c r="Y734" t="s">
        <v>60</v>
      </c>
      <c r="Z734" t="s">
        <v>239</v>
      </c>
      <c r="AA734">
        <v>0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22.99</v>
      </c>
      <c r="AN734" s="2">
        <v>22.99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46188</v>
      </c>
      <c r="B735" t="s">
        <v>48</v>
      </c>
      <c r="C735">
        <v>649163</v>
      </c>
      <c r="D735">
        <v>2030558287</v>
      </c>
      <c r="E735" t="s">
        <v>620</v>
      </c>
      <c r="F735" t="s">
        <v>850</v>
      </c>
      <c r="G735" t="s">
        <v>51</v>
      </c>
      <c r="H735" t="s">
        <v>186</v>
      </c>
      <c r="I735" t="s">
        <v>173</v>
      </c>
      <c r="J735" t="s">
        <v>174</v>
      </c>
      <c r="K735">
        <v>650218</v>
      </c>
      <c r="L735" t="s">
        <v>158</v>
      </c>
      <c r="M735" t="s">
        <v>159</v>
      </c>
      <c r="N735" t="s">
        <v>57</v>
      </c>
      <c r="O735" s="1">
        <v>45888</v>
      </c>
      <c r="Q735" s="1">
        <v>46222</v>
      </c>
      <c r="R735" s="2">
        <v>115.38</v>
      </c>
      <c r="S735">
        <v>1</v>
      </c>
      <c r="T735" t="s">
        <v>58</v>
      </c>
      <c r="U735" t="s">
        <v>237</v>
      </c>
      <c r="V735" s="3">
        <v>0.38</v>
      </c>
      <c r="W735" s="2">
        <v>0</v>
      </c>
      <c r="X735">
        <v>0</v>
      </c>
      <c r="Y735" t="s">
        <v>60</v>
      </c>
      <c r="Z735" t="s">
        <v>239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43.84</v>
      </c>
      <c r="AN735" s="2">
        <v>43.84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46188</v>
      </c>
      <c r="B736" t="s">
        <v>48</v>
      </c>
      <c r="C736">
        <v>649163</v>
      </c>
      <c r="D736">
        <v>2030558288</v>
      </c>
      <c r="E736" t="s">
        <v>620</v>
      </c>
      <c r="F736" t="s">
        <v>850</v>
      </c>
      <c r="G736" t="s">
        <v>51</v>
      </c>
      <c r="H736" t="s">
        <v>186</v>
      </c>
      <c r="I736" t="s">
        <v>173</v>
      </c>
      <c r="J736" t="s">
        <v>177</v>
      </c>
      <c r="K736">
        <v>650218</v>
      </c>
      <c r="L736" t="s">
        <v>158</v>
      </c>
      <c r="M736" t="s">
        <v>159</v>
      </c>
      <c r="N736" t="s">
        <v>57</v>
      </c>
      <c r="O736" s="1">
        <v>45888</v>
      </c>
      <c r="Q736" s="1">
        <v>46222</v>
      </c>
      <c r="R736" s="2">
        <v>7.09</v>
      </c>
      <c r="S736">
        <v>1</v>
      </c>
      <c r="T736" t="s">
        <v>58</v>
      </c>
      <c r="U736" t="s">
        <v>237</v>
      </c>
      <c r="V736" s="3">
        <v>0.38</v>
      </c>
      <c r="W736" s="2">
        <v>0</v>
      </c>
      <c r="X736">
        <v>0</v>
      </c>
      <c r="Y736" t="s">
        <v>60</v>
      </c>
      <c r="Z736" t="s">
        <v>239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2.69</v>
      </c>
      <c r="AN736" s="2">
        <v>2.69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46188</v>
      </c>
      <c r="B737" t="s">
        <v>48</v>
      </c>
      <c r="C737">
        <v>649163</v>
      </c>
      <c r="D737">
        <v>2031617146</v>
      </c>
      <c r="E737" t="s">
        <v>535</v>
      </c>
      <c r="F737" t="s">
        <v>335</v>
      </c>
      <c r="G737" t="s">
        <v>51</v>
      </c>
      <c r="H737" t="s">
        <v>119</v>
      </c>
      <c r="I737" t="s">
        <v>173</v>
      </c>
      <c r="J737" t="s">
        <v>174</v>
      </c>
      <c r="K737">
        <v>814033</v>
      </c>
      <c r="L737" t="s">
        <v>122</v>
      </c>
      <c r="M737" t="s">
        <v>123</v>
      </c>
      <c r="N737" t="s">
        <v>57</v>
      </c>
      <c r="O737" s="1">
        <v>45945</v>
      </c>
      <c r="Q737" s="1">
        <v>46218</v>
      </c>
      <c r="R737" s="2">
        <v>371.07</v>
      </c>
      <c r="S737">
        <v>1</v>
      </c>
      <c r="T737" t="s">
        <v>58</v>
      </c>
      <c r="U737" t="s">
        <v>59</v>
      </c>
      <c r="V737" s="3">
        <v>0.38</v>
      </c>
      <c r="W737" s="2">
        <v>0</v>
      </c>
      <c r="X737">
        <v>0</v>
      </c>
      <c r="Y737" t="s">
        <v>60</v>
      </c>
      <c r="Z737" t="s">
        <v>239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141.01</v>
      </c>
      <c r="AN737" s="2">
        <v>141.01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46188</v>
      </c>
      <c r="B738" t="s">
        <v>48</v>
      </c>
      <c r="C738">
        <v>649163</v>
      </c>
      <c r="D738">
        <v>2031617147</v>
      </c>
      <c r="E738" t="s">
        <v>535</v>
      </c>
      <c r="F738" t="s">
        <v>335</v>
      </c>
      <c r="G738" t="s">
        <v>51</v>
      </c>
      <c r="H738" t="s">
        <v>119</v>
      </c>
      <c r="I738" t="s">
        <v>173</v>
      </c>
      <c r="J738" t="s">
        <v>177</v>
      </c>
      <c r="K738">
        <v>814033</v>
      </c>
      <c r="L738" t="s">
        <v>122</v>
      </c>
      <c r="M738" t="s">
        <v>123</v>
      </c>
      <c r="N738" t="s">
        <v>57</v>
      </c>
      <c r="O738" s="1">
        <v>45945</v>
      </c>
      <c r="Q738" s="1">
        <v>46218</v>
      </c>
      <c r="R738" s="2">
        <v>7.09</v>
      </c>
      <c r="S738">
        <v>1</v>
      </c>
      <c r="T738" t="s">
        <v>58</v>
      </c>
      <c r="U738" t="s">
        <v>59</v>
      </c>
      <c r="V738" s="3">
        <v>0.38</v>
      </c>
      <c r="W738" s="2">
        <v>0</v>
      </c>
      <c r="X738">
        <v>0</v>
      </c>
      <c r="Y738" t="s">
        <v>60</v>
      </c>
      <c r="Z738" t="s">
        <v>239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2.69</v>
      </c>
      <c r="AN738" s="2">
        <v>2.69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46188</v>
      </c>
      <c r="B739" t="s">
        <v>48</v>
      </c>
      <c r="C739">
        <v>649163</v>
      </c>
      <c r="D739">
        <v>2031641176</v>
      </c>
      <c r="E739" t="s">
        <v>946</v>
      </c>
      <c r="F739" t="s">
        <v>452</v>
      </c>
      <c r="G739" t="s">
        <v>51</v>
      </c>
      <c r="H739" t="s">
        <v>52</v>
      </c>
      <c r="I739" t="s">
        <v>173</v>
      </c>
      <c r="J739" t="s">
        <v>176</v>
      </c>
      <c r="K739">
        <v>650218</v>
      </c>
      <c r="L739" t="s">
        <v>158</v>
      </c>
      <c r="M739" t="s">
        <v>159</v>
      </c>
      <c r="N739" t="s">
        <v>57</v>
      </c>
      <c r="O739" s="1">
        <v>45946</v>
      </c>
      <c r="Q739" s="1">
        <v>46219</v>
      </c>
      <c r="R739" s="2">
        <v>61.39</v>
      </c>
      <c r="S739">
        <v>1</v>
      </c>
      <c r="T739" t="s">
        <v>58</v>
      </c>
      <c r="U739" t="s">
        <v>59</v>
      </c>
      <c r="V739" s="3">
        <v>0.38</v>
      </c>
      <c r="W739" s="2">
        <v>0</v>
      </c>
      <c r="X739">
        <v>0</v>
      </c>
      <c r="Y739" t="s">
        <v>60</v>
      </c>
      <c r="Z739" t="s">
        <v>239</v>
      </c>
      <c r="AA739">
        <v>0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23.33</v>
      </c>
      <c r="AN739" s="2">
        <v>23.33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46188</v>
      </c>
      <c r="B740" t="s">
        <v>48</v>
      </c>
      <c r="C740">
        <v>649163</v>
      </c>
      <c r="D740">
        <v>2032208386</v>
      </c>
      <c r="E740" t="s">
        <v>381</v>
      </c>
      <c r="F740" t="s">
        <v>272</v>
      </c>
      <c r="G740" t="s">
        <v>51</v>
      </c>
      <c r="H740" t="s">
        <v>305</v>
      </c>
      <c r="I740" t="s">
        <v>173</v>
      </c>
      <c r="J740" t="s">
        <v>176</v>
      </c>
      <c r="K740">
        <v>816021</v>
      </c>
      <c r="L740" t="s">
        <v>312</v>
      </c>
      <c r="M740" t="s">
        <v>313</v>
      </c>
      <c r="N740" t="s">
        <v>57</v>
      </c>
      <c r="O740" s="1">
        <v>45979</v>
      </c>
      <c r="Q740" s="1">
        <v>46221</v>
      </c>
      <c r="R740" s="2">
        <v>23.63</v>
      </c>
      <c r="S740">
        <v>1</v>
      </c>
      <c r="T740" t="s">
        <v>58</v>
      </c>
      <c r="U740" t="s">
        <v>59</v>
      </c>
      <c r="V740" s="3">
        <v>0.38</v>
      </c>
      <c r="W740" s="2">
        <v>0</v>
      </c>
      <c r="X740">
        <v>0</v>
      </c>
      <c r="Y740" t="s">
        <v>60</v>
      </c>
      <c r="Z740" t="s">
        <v>239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8.98</v>
      </c>
      <c r="AN740" s="2">
        <v>8.98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46188</v>
      </c>
      <c r="B741" t="s">
        <v>48</v>
      </c>
      <c r="C741">
        <v>649163</v>
      </c>
      <c r="D741">
        <v>2032307207</v>
      </c>
      <c r="E741" t="s">
        <v>382</v>
      </c>
      <c r="F741" t="s">
        <v>383</v>
      </c>
      <c r="G741" t="s">
        <v>51</v>
      </c>
      <c r="H741" t="s">
        <v>95</v>
      </c>
      <c r="I741" t="s">
        <v>173</v>
      </c>
      <c r="J741" t="s">
        <v>174</v>
      </c>
      <c r="K741">
        <v>823350</v>
      </c>
      <c r="L741" t="s">
        <v>73</v>
      </c>
      <c r="M741" t="s">
        <v>116</v>
      </c>
      <c r="N741" t="s">
        <v>242</v>
      </c>
      <c r="O741" s="1">
        <v>46023</v>
      </c>
      <c r="P741" s="1">
        <v>46188</v>
      </c>
      <c r="Q741" s="1">
        <v>46204</v>
      </c>
      <c r="R741" s="2">
        <v>-263.77</v>
      </c>
      <c r="S741">
        <v>1</v>
      </c>
      <c r="T741" t="s">
        <v>58</v>
      </c>
      <c r="U741" t="s">
        <v>59</v>
      </c>
      <c r="V741" s="3">
        <v>0.38</v>
      </c>
      <c r="W741" s="2">
        <v>0</v>
      </c>
      <c r="X741">
        <v>-1</v>
      </c>
      <c r="Y741" t="s">
        <v>60</v>
      </c>
      <c r="Z741" t="s">
        <v>239</v>
      </c>
      <c r="AA741">
        <v>0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-100.23</v>
      </c>
      <c r="AN741" s="2">
        <v>-100.23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46188</v>
      </c>
      <c r="B742" t="s">
        <v>48</v>
      </c>
      <c r="C742">
        <v>649163</v>
      </c>
      <c r="D742">
        <v>2032307210</v>
      </c>
      <c r="E742" t="s">
        <v>382</v>
      </c>
      <c r="F742" t="s">
        <v>383</v>
      </c>
      <c r="G742" t="s">
        <v>51</v>
      </c>
      <c r="H742" t="s">
        <v>95</v>
      </c>
      <c r="I742" t="s">
        <v>173</v>
      </c>
      <c r="J742" t="s">
        <v>177</v>
      </c>
      <c r="K742">
        <v>823350</v>
      </c>
      <c r="L742" t="s">
        <v>73</v>
      </c>
      <c r="M742" t="s">
        <v>116</v>
      </c>
      <c r="N742" t="s">
        <v>242</v>
      </c>
      <c r="O742" s="1">
        <v>46023</v>
      </c>
      <c r="P742" s="1">
        <v>46188</v>
      </c>
      <c r="Q742" s="1">
        <v>46204</v>
      </c>
      <c r="R742" s="2">
        <v>-4.96</v>
      </c>
      <c r="S742">
        <v>1</v>
      </c>
      <c r="T742" t="s">
        <v>58</v>
      </c>
      <c r="U742" t="s">
        <v>59</v>
      </c>
      <c r="V742" s="3">
        <v>0.38</v>
      </c>
      <c r="W742" s="2">
        <v>0</v>
      </c>
      <c r="X742">
        <v>-1</v>
      </c>
      <c r="Y742" t="s">
        <v>60</v>
      </c>
      <c r="Z742" t="s">
        <v>239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-1.88</v>
      </c>
      <c r="AN742" s="2">
        <v>-1.88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46188</v>
      </c>
      <c r="B743" t="s">
        <v>48</v>
      </c>
      <c r="C743">
        <v>649163</v>
      </c>
      <c r="D743">
        <v>2032445031</v>
      </c>
      <c r="E743" t="s">
        <v>384</v>
      </c>
      <c r="F743" t="s">
        <v>307</v>
      </c>
      <c r="G743" t="s">
        <v>51</v>
      </c>
      <c r="H743" t="s">
        <v>119</v>
      </c>
      <c r="I743" t="s">
        <v>173</v>
      </c>
      <c r="J743" t="s">
        <v>174</v>
      </c>
      <c r="K743">
        <v>824062</v>
      </c>
      <c r="L743" t="s">
        <v>385</v>
      </c>
      <c r="M743" t="s">
        <v>386</v>
      </c>
      <c r="N743" t="s">
        <v>57</v>
      </c>
      <c r="O743" s="1">
        <v>46006</v>
      </c>
      <c r="Q743" s="1">
        <v>46218</v>
      </c>
      <c r="R743" s="2">
        <v>118.19</v>
      </c>
      <c r="S743">
        <v>1</v>
      </c>
      <c r="T743" t="s">
        <v>58</v>
      </c>
      <c r="U743" t="s">
        <v>59</v>
      </c>
      <c r="V743" s="3">
        <v>0.38</v>
      </c>
      <c r="W743" s="2">
        <v>0</v>
      </c>
      <c r="X743">
        <v>0</v>
      </c>
      <c r="Y743" t="s">
        <v>60</v>
      </c>
      <c r="Z743" t="s">
        <v>239</v>
      </c>
      <c r="AA743">
        <v>0</v>
      </c>
      <c r="AB743" s="2">
        <v>0</v>
      </c>
      <c r="AC743" s="2">
        <v>0</v>
      </c>
      <c r="AD743" s="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44.91</v>
      </c>
      <c r="AN743" s="2">
        <v>44.91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46188</v>
      </c>
      <c r="B744" t="s">
        <v>48</v>
      </c>
      <c r="C744">
        <v>649163</v>
      </c>
      <c r="D744">
        <v>2032445032</v>
      </c>
      <c r="E744" t="s">
        <v>384</v>
      </c>
      <c r="F744" t="s">
        <v>307</v>
      </c>
      <c r="G744" t="s">
        <v>51</v>
      </c>
      <c r="H744" t="s">
        <v>119</v>
      </c>
      <c r="I744" t="s">
        <v>173</v>
      </c>
      <c r="J744" t="s">
        <v>177</v>
      </c>
      <c r="K744">
        <v>824062</v>
      </c>
      <c r="L744" t="s">
        <v>385</v>
      </c>
      <c r="M744" t="s">
        <v>386</v>
      </c>
      <c r="N744" t="s">
        <v>57</v>
      </c>
      <c r="O744" s="1">
        <v>46006</v>
      </c>
      <c r="Q744" s="1">
        <v>46218</v>
      </c>
      <c r="R744" s="2">
        <v>7.09</v>
      </c>
      <c r="S744">
        <v>1</v>
      </c>
      <c r="T744" t="s">
        <v>58</v>
      </c>
      <c r="U744" t="s">
        <v>59</v>
      </c>
      <c r="V744" s="3">
        <v>0.38</v>
      </c>
      <c r="W744" s="2">
        <v>0</v>
      </c>
      <c r="X744">
        <v>0</v>
      </c>
      <c r="Y744" t="s">
        <v>60</v>
      </c>
      <c r="Z744" t="s">
        <v>239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2.69</v>
      </c>
      <c r="AN744" s="2">
        <v>2.69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46188</v>
      </c>
      <c r="B745" t="s">
        <v>48</v>
      </c>
      <c r="C745">
        <v>649163</v>
      </c>
      <c r="D745">
        <v>2032648207</v>
      </c>
      <c r="E745" t="s">
        <v>947</v>
      </c>
      <c r="F745" t="s">
        <v>948</v>
      </c>
      <c r="G745" t="s">
        <v>51</v>
      </c>
      <c r="H745" t="s">
        <v>52</v>
      </c>
      <c r="I745" t="s">
        <v>173</v>
      </c>
      <c r="J745" t="s">
        <v>176</v>
      </c>
      <c r="K745">
        <v>751867</v>
      </c>
      <c r="L745" t="s">
        <v>55</v>
      </c>
      <c r="M745" t="s">
        <v>56</v>
      </c>
      <c r="N745" t="s">
        <v>57</v>
      </c>
      <c r="O745" s="1">
        <v>46004</v>
      </c>
      <c r="Q745" s="1">
        <v>46216</v>
      </c>
      <c r="R745" s="2">
        <v>77.55</v>
      </c>
      <c r="S745">
        <v>1</v>
      </c>
      <c r="T745" t="s">
        <v>58</v>
      </c>
      <c r="U745" t="s">
        <v>59</v>
      </c>
      <c r="V745" s="3">
        <v>0.38</v>
      </c>
      <c r="W745" s="2">
        <v>0</v>
      </c>
      <c r="X745">
        <v>0</v>
      </c>
      <c r="Y745" t="s">
        <v>60</v>
      </c>
      <c r="Z745" t="s">
        <v>239</v>
      </c>
      <c r="AA745">
        <v>0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29.47</v>
      </c>
      <c r="AN745" s="2">
        <v>29.47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46188</v>
      </c>
      <c r="B746" t="s">
        <v>48</v>
      </c>
      <c r="C746">
        <v>649163</v>
      </c>
      <c r="D746">
        <v>2032676548</v>
      </c>
      <c r="E746" t="s">
        <v>274</v>
      </c>
      <c r="F746" t="s">
        <v>123</v>
      </c>
      <c r="G746" t="s">
        <v>51</v>
      </c>
      <c r="H746" t="s">
        <v>52</v>
      </c>
      <c r="I746" t="s">
        <v>173</v>
      </c>
      <c r="J746" t="s">
        <v>176</v>
      </c>
      <c r="K746">
        <v>885445</v>
      </c>
      <c r="L746" t="s">
        <v>273</v>
      </c>
      <c r="M746" t="s">
        <v>92</v>
      </c>
      <c r="N746" t="s">
        <v>57</v>
      </c>
      <c r="O746" s="1">
        <v>46005</v>
      </c>
      <c r="Q746" s="1">
        <v>46217</v>
      </c>
      <c r="R746" s="2">
        <v>19.309999999999999</v>
      </c>
      <c r="S746">
        <v>1</v>
      </c>
      <c r="T746" t="s">
        <v>58</v>
      </c>
      <c r="U746" t="s">
        <v>59</v>
      </c>
      <c r="V746" s="3">
        <v>0.38</v>
      </c>
      <c r="W746" s="2">
        <v>0</v>
      </c>
      <c r="X746">
        <v>0</v>
      </c>
      <c r="Y746" t="s">
        <v>60</v>
      </c>
      <c r="Z746" t="s">
        <v>239</v>
      </c>
      <c r="AA746">
        <v>0</v>
      </c>
      <c r="AB746" s="2">
        <v>0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7.34</v>
      </c>
      <c r="AN746" s="2">
        <v>7.34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46188</v>
      </c>
      <c r="B747" t="s">
        <v>48</v>
      </c>
      <c r="C747">
        <v>649163</v>
      </c>
      <c r="D747">
        <v>2032695213</v>
      </c>
      <c r="E747" t="s">
        <v>851</v>
      </c>
      <c r="F747" t="s">
        <v>852</v>
      </c>
      <c r="G747" t="s">
        <v>51</v>
      </c>
      <c r="H747" t="s">
        <v>111</v>
      </c>
      <c r="I747" t="s">
        <v>173</v>
      </c>
      <c r="J747" t="s">
        <v>176</v>
      </c>
      <c r="K747">
        <v>893408</v>
      </c>
      <c r="L747" t="s">
        <v>595</v>
      </c>
      <c r="M747" t="s">
        <v>596</v>
      </c>
      <c r="N747" t="s">
        <v>57</v>
      </c>
      <c r="O747" s="1">
        <v>46007</v>
      </c>
      <c r="Q747" s="1">
        <v>46219</v>
      </c>
      <c r="R747" s="2">
        <v>20.68</v>
      </c>
      <c r="S747">
        <v>1</v>
      </c>
      <c r="T747" t="s">
        <v>58</v>
      </c>
      <c r="U747" t="s">
        <v>59</v>
      </c>
      <c r="V747" s="3">
        <v>0.38</v>
      </c>
      <c r="W747" s="2">
        <v>0</v>
      </c>
      <c r="X747">
        <v>0</v>
      </c>
      <c r="Y747" t="s">
        <v>60</v>
      </c>
      <c r="Z747" t="s">
        <v>239</v>
      </c>
      <c r="AA747">
        <v>0</v>
      </c>
      <c r="AB747" s="2">
        <v>0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7.86</v>
      </c>
      <c r="AN747" s="2">
        <v>7.86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46188</v>
      </c>
      <c r="B748" t="s">
        <v>48</v>
      </c>
      <c r="C748">
        <v>649163</v>
      </c>
      <c r="D748">
        <v>2032757518</v>
      </c>
      <c r="E748" t="s">
        <v>911</v>
      </c>
      <c r="F748" t="s">
        <v>912</v>
      </c>
      <c r="G748" t="s">
        <v>51</v>
      </c>
      <c r="H748" t="s">
        <v>52</v>
      </c>
      <c r="I748" t="s">
        <v>173</v>
      </c>
      <c r="J748" t="s">
        <v>176</v>
      </c>
      <c r="K748">
        <v>650218</v>
      </c>
      <c r="L748" t="s">
        <v>158</v>
      </c>
      <c r="M748" t="s">
        <v>159</v>
      </c>
      <c r="N748" t="s">
        <v>57</v>
      </c>
      <c r="O748" s="1">
        <v>46010</v>
      </c>
      <c r="Q748" s="1">
        <v>46222</v>
      </c>
      <c r="R748" s="2">
        <v>47.17</v>
      </c>
      <c r="S748">
        <v>1</v>
      </c>
      <c r="T748" t="s">
        <v>58</v>
      </c>
      <c r="U748" t="s">
        <v>59</v>
      </c>
      <c r="V748" s="3">
        <v>0.38</v>
      </c>
      <c r="W748" s="2">
        <v>0</v>
      </c>
      <c r="X748">
        <v>0</v>
      </c>
      <c r="Y748" t="s">
        <v>60</v>
      </c>
      <c r="Z748" t="s">
        <v>239</v>
      </c>
      <c r="AA748">
        <v>0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17.920000000000002</v>
      </c>
      <c r="AN748" s="2">
        <v>17.920000000000002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46188</v>
      </c>
      <c r="B749" t="s">
        <v>48</v>
      </c>
      <c r="C749">
        <v>649163</v>
      </c>
      <c r="D749">
        <v>2032774966</v>
      </c>
      <c r="E749" t="s">
        <v>610</v>
      </c>
      <c r="F749" t="s">
        <v>611</v>
      </c>
      <c r="G749" t="s">
        <v>51</v>
      </c>
      <c r="H749" t="s">
        <v>305</v>
      </c>
      <c r="I749" t="s">
        <v>173</v>
      </c>
      <c r="J749" t="s">
        <v>176</v>
      </c>
      <c r="K749">
        <v>816021</v>
      </c>
      <c r="L749" t="s">
        <v>312</v>
      </c>
      <c r="M749" t="s">
        <v>313</v>
      </c>
      <c r="N749" t="s">
        <v>57</v>
      </c>
      <c r="O749" s="1">
        <v>46006</v>
      </c>
      <c r="Q749" s="1">
        <v>46218</v>
      </c>
      <c r="R749" s="2">
        <v>19.100000000000001</v>
      </c>
      <c r="S749">
        <v>1</v>
      </c>
      <c r="T749" t="s">
        <v>58</v>
      </c>
      <c r="U749" t="s">
        <v>59</v>
      </c>
      <c r="V749" s="3">
        <v>0.38</v>
      </c>
      <c r="W749" s="2">
        <v>0</v>
      </c>
      <c r="X749">
        <v>0</v>
      </c>
      <c r="Y749" t="s">
        <v>60</v>
      </c>
      <c r="Z749" t="s">
        <v>239</v>
      </c>
      <c r="AA749">
        <v>0</v>
      </c>
      <c r="AB749" s="2">
        <v>0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7.26</v>
      </c>
      <c r="AN749" s="2">
        <v>7.26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46188</v>
      </c>
      <c r="B750" t="s">
        <v>48</v>
      </c>
      <c r="C750">
        <v>649163</v>
      </c>
      <c r="D750">
        <v>2033127914</v>
      </c>
      <c r="E750" t="s">
        <v>854</v>
      </c>
      <c r="F750" t="s">
        <v>855</v>
      </c>
      <c r="G750" t="s">
        <v>51</v>
      </c>
      <c r="H750" t="s">
        <v>83</v>
      </c>
      <c r="I750" t="s">
        <v>173</v>
      </c>
      <c r="J750" t="s">
        <v>176</v>
      </c>
      <c r="K750">
        <v>673059</v>
      </c>
      <c r="L750" t="s">
        <v>85</v>
      </c>
      <c r="M750" t="s">
        <v>86</v>
      </c>
      <c r="N750" t="s">
        <v>57</v>
      </c>
      <c r="O750" s="1">
        <v>46038</v>
      </c>
      <c r="Q750" s="1">
        <v>46219</v>
      </c>
      <c r="R750" s="2">
        <v>16.87</v>
      </c>
      <c r="S750">
        <v>1</v>
      </c>
      <c r="T750" t="s">
        <v>58</v>
      </c>
      <c r="U750" t="s">
        <v>59</v>
      </c>
      <c r="V750" s="3">
        <v>0.38</v>
      </c>
      <c r="W750" s="2">
        <v>0</v>
      </c>
      <c r="X750">
        <v>0</v>
      </c>
      <c r="Y750" t="s">
        <v>60</v>
      </c>
      <c r="Z750" t="s">
        <v>239</v>
      </c>
      <c r="AA750">
        <v>0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6.41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46188</v>
      </c>
      <c r="B751" t="s">
        <v>48</v>
      </c>
      <c r="C751">
        <v>649163</v>
      </c>
      <c r="D751">
        <v>2033129762</v>
      </c>
      <c r="E751" t="s">
        <v>275</v>
      </c>
      <c r="F751" t="s">
        <v>276</v>
      </c>
      <c r="G751" t="s">
        <v>51</v>
      </c>
      <c r="H751" t="s">
        <v>52</v>
      </c>
      <c r="I751" t="s">
        <v>173</v>
      </c>
      <c r="J751" t="s">
        <v>176</v>
      </c>
      <c r="K751">
        <v>751867</v>
      </c>
      <c r="L751" t="s">
        <v>55</v>
      </c>
      <c r="M751" t="s">
        <v>56</v>
      </c>
      <c r="N751" t="s">
        <v>57</v>
      </c>
      <c r="O751" s="1">
        <v>46036</v>
      </c>
      <c r="Q751" s="1">
        <v>46217</v>
      </c>
      <c r="R751" s="2">
        <v>27.15</v>
      </c>
      <c r="S751">
        <v>1</v>
      </c>
      <c r="T751" t="s">
        <v>58</v>
      </c>
      <c r="U751" t="s">
        <v>59</v>
      </c>
      <c r="V751" s="3">
        <v>0.38</v>
      </c>
      <c r="W751" s="2">
        <v>0</v>
      </c>
      <c r="X751">
        <v>0</v>
      </c>
      <c r="Y751" t="s">
        <v>60</v>
      </c>
      <c r="Z751" t="s">
        <v>239</v>
      </c>
      <c r="AA751">
        <v>0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10.32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46188</v>
      </c>
      <c r="B752" t="s">
        <v>48</v>
      </c>
      <c r="C752">
        <v>649163</v>
      </c>
      <c r="D752">
        <v>2033137245</v>
      </c>
      <c r="E752" t="s">
        <v>949</v>
      </c>
      <c r="F752" t="s">
        <v>950</v>
      </c>
      <c r="G752" t="s">
        <v>51</v>
      </c>
      <c r="H752" t="s">
        <v>714</v>
      </c>
      <c r="I752" t="s">
        <v>173</v>
      </c>
      <c r="J752" t="s">
        <v>176</v>
      </c>
      <c r="K752">
        <v>756418</v>
      </c>
      <c r="L752" t="s">
        <v>419</v>
      </c>
      <c r="M752" t="s">
        <v>420</v>
      </c>
      <c r="N752" t="s">
        <v>57</v>
      </c>
      <c r="O752" s="1">
        <v>46036</v>
      </c>
      <c r="Q752" s="1">
        <v>46217</v>
      </c>
      <c r="R752" s="2">
        <v>17.940000000000001</v>
      </c>
      <c r="S752">
        <v>1</v>
      </c>
      <c r="T752" t="s">
        <v>58</v>
      </c>
      <c r="U752" t="s">
        <v>59</v>
      </c>
      <c r="V752" s="3">
        <v>0.38</v>
      </c>
      <c r="W752" s="2">
        <v>0</v>
      </c>
      <c r="X752">
        <v>0</v>
      </c>
      <c r="Y752" t="s">
        <v>60</v>
      </c>
      <c r="Z752" t="s">
        <v>239</v>
      </c>
      <c r="AA752">
        <v>0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6.82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46188</v>
      </c>
      <c r="B753" t="s">
        <v>48</v>
      </c>
      <c r="C753">
        <v>649163</v>
      </c>
      <c r="D753">
        <v>2033164610</v>
      </c>
      <c r="E753" t="s">
        <v>635</v>
      </c>
      <c r="F753" t="s">
        <v>424</v>
      </c>
      <c r="G753" t="s">
        <v>51</v>
      </c>
      <c r="H753" t="s">
        <v>305</v>
      </c>
      <c r="I753" t="s">
        <v>173</v>
      </c>
      <c r="J753" t="s">
        <v>176</v>
      </c>
      <c r="K753">
        <v>816021</v>
      </c>
      <c r="L753" t="s">
        <v>312</v>
      </c>
      <c r="M753" t="s">
        <v>313</v>
      </c>
      <c r="N753" t="s">
        <v>57</v>
      </c>
      <c r="O753" s="1">
        <v>46038</v>
      </c>
      <c r="Q753" s="1">
        <v>46219</v>
      </c>
      <c r="R753" s="2">
        <v>13.63</v>
      </c>
      <c r="S753">
        <v>1</v>
      </c>
      <c r="T753" t="s">
        <v>58</v>
      </c>
      <c r="U753" t="s">
        <v>59</v>
      </c>
      <c r="V753" s="3">
        <v>0.38</v>
      </c>
      <c r="W753" s="2">
        <v>0</v>
      </c>
      <c r="X753">
        <v>0</v>
      </c>
      <c r="Y753" t="s">
        <v>60</v>
      </c>
      <c r="Z753" t="s">
        <v>239</v>
      </c>
      <c r="AA753">
        <v>0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5.18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46188</v>
      </c>
      <c r="B754" t="s">
        <v>48</v>
      </c>
      <c r="C754">
        <v>649163</v>
      </c>
      <c r="D754">
        <v>2033171034</v>
      </c>
      <c r="E754" t="s">
        <v>951</v>
      </c>
      <c r="F754" t="s">
        <v>952</v>
      </c>
      <c r="G754" t="s">
        <v>51</v>
      </c>
      <c r="H754" t="s">
        <v>52</v>
      </c>
      <c r="I754" t="s">
        <v>173</v>
      </c>
      <c r="J754" t="s">
        <v>176</v>
      </c>
      <c r="K754">
        <v>751867</v>
      </c>
      <c r="L754" t="s">
        <v>55</v>
      </c>
      <c r="M754" t="s">
        <v>56</v>
      </c>
      <c r="N754" t="s">
        <v>57</v>
      </c>
      <c r="O754" s="1">
        <v>46038</v>
      </c>
      <c r="Q754" s="1">
        <v>46219</v>
      </c>
      <c r="R754" s="2">
        <v>46.13</v>
      </c>
      <c r="S754">
        <v>1</v>
      </c>
      <c r="T754" t="s">
        <v>58</v>
      </c>
      <c r="U754" t="s">
        <v>59</v>
      </c>
      <c r="V754" s="3">
        <v>0.38</v>
      </c>
      <c r="W754" s="2">
        <v>0</v>
      </c>
      <c r="X754">
        <v>0</v>
      </c>
      <c r="Y754" t="s">
        <v>60</v>
      </c>
      <c r="Z754" t="s">
        <v>239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17.53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46188</v>
      </c>
      <c r="B755" t="s">
        <v>48</v>
      </c>
      <c r="C755">
        <v>649163</v>
      </c>
      <c r="D755">
        <v>2033172627</v>
      </c>
      <c r="E755" t="s">
        <v>856</v>
      </c>
      <c r="F755" t="s">
        <v>262</v>
      </c>
      <c r="G755" t="s">
        <v>51</v>
      </c>
      <c r="H755" t="s">
        <v>292</v>
      </c>
      <c r="I755" t="s">
        <v>173</v>
      </c>
      <c r="J755" t="s">
        <v>174</v>
      </c>
      <c r="K755">
        <v>902625</v>
      </c>
      <c r="L755" t="s">
        <v>137</v>
      </c>
      <c r="M755" t="s">
        <v>138</v>
      </c>
      <c r="N755" t="s">
        <v>57</v>
      </c>
      <c r="O755" s="1">
        <v>46038</v>
      </c>
      <c r="Q755" s="1">
        <v>46219</v>
      </c>
      <c r="R755" s="2">
        <v>195.81</v>
      </c>
      <c r="S755">
        <v>1</v>
      </c>
      <c r="T755" t="s">
        <v>58</v>
      </c>
      <c r="U755" t="s">
        <v>59</v>
      </c>
      <c r="V755" s="3">
        <v>0.38</v>
      </c>
      <c r="W755" s="2">
        <v>0</v>
      </c>
      <c r="X755">
        <v>0</v>
      </c>
      <c r="Y755" t="s">
        <v>60</v>
      </c>
      <c r="Z755" t="s">
        <v>239</v>
      </c>
      <c r="AA755">
        <v>0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74.41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46188</v>
      </c>
      <c r="B756" t="s">
        <v>48</v>
      </c>
      <c r="C756">
        <v>649163</v>
      </c>
      <c r="D756">
        <v>2033172628</v>
      </c>
      <c r="E756" t="s">
        <v>856</v>
      </c>
      <c r="F756" t="s">
        <v>262</v>
      </c>
      <c r="G756" t="s">
        <v>51</v>
      </c>
      <c r="H756" t="s">
        <v>292</v>
      </c>
      <c r="I756" t="s">
        <v>173</v>
      </c>
      <c r="J756" t="s">
        <v>177</v>
      </c>
      <c r="K756">
        <v>902625</v>
      </c>
      <c r="L756" t="s">
        <v>137</v>
      </c>
      <c r="M756" t="s">
        <v>138</v>
      </c>
      <c r="N756" t="s">
        <v>57</v>
      </c>
      <c r="O756" s="1">
        <v>46038</v>
      </c>
      <c r="Q756" s="1">
        <v>46219</v>
      </c>
      <c r="R756" s="2">
        <v>7.09</v>
      </c>
      <c r="S756">
        <v>1</v>
      </c>
      <c r="T756" t="s">
        <v>58</v>
      </c>
      <c r="U756" t="s">
        <v>59</v>
      </c>
      <c r="V756" s="3">
        <v>0.38</v>
      </c>
      <c r="W756" s="2">
        <v>0</v>
      </c>
      <c r="X756">
        <v>0</v>
      </c>
      <c r="Y756" t="s">
        <v>60</v>
      </c>
      <c r="Z756" t="s">
        <v>239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2.69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46188</v>
      </c>
      <c r="B757" t="s">
        <v>48</v>
      </c>
      <c r="C757">
        <v>649163</v>
      </c>
      <c r="D757">
        <v>2033172630</v>
      </c>
      <c r="E757" t="s">
        <v>856</v>
      </c>
      <c r="F757" t="s">
        <v>262</v>
      </c>
      <c r="G757" t="s">
        <v>51</v>
      </c>
      <c r="H757" t="s">
        <v>292</v>
      </c>
      <c r="I757" t="s">
        <v>173</v>
      </c>
      <c r="J757" t="s">
        <v>176</v>
      </c>
      <c r="K757">
        <v>902625</v>
      </c>
      <c r="L757" t="s">
        <v>137</v>
      </c>
      <c r="M757" t="s">
        <v>138</v>
      </c>
      <c r="N757" t="s">
        <v>57</v>
      </c>
      <c r="O757" s="1">
        <v>46038</v>
      </c>
      <c r="Q757" s="1">
        <v>46219</v>
      </c>
      <c r="R757" s="2">
        <v>32.74</v>
      </c>
      <c r="S757">
        <v>1</v>
      </c>
      <c r="T757" t="s">
        <v>58</v>
      </c>
      <c r="U757" t="s">
        <v>59</v>
      </c>
      <c r="V757" s="3">
        <v>0.38</v>
      </c>
      <c r="W757" s="2">
        <v>0</v>
      </c>
      <c r="X757">
        <v>0</v>
      </c>
      <c r="Y757" t="s">
        <v>60</v>
      </c>
      <c r="Z757" t="s">
        <v>239</v>
      </c>
      <c r="AA757">
        <v>0</v>
      </c>
      <c r="AB757" s="2">
        <v>0</v>
      </c>
      <c r="AC757" s="2">
        <v>0</v>
      </c>
      <c r="AD757" s="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12.44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46188</v>
      </c>
      <c r="B758" t="s">
        <v>48</v>
      </c>
      <c r="C758">
        <v>649163</v>
      </c>
      <c r="D758">
        <v>2033190870</v>
      </c>
      <c r="E758" t="s">
        <v>953</v>
      </c>
      <c r="F758" t="s">
        <v>287</v>
      </c>
      <c r="G758" t="s">
        <v>51</v>
      </c>
      <c r="H758" t="s">
        <v>52</v>
      </c>
      <c r="I758" t="s">
        <v>173</v>
      </c>
      <c r="J758" t="s">
        <v>174</v>
      </c>
      <c r="K758">
        <v>896468</v>
      </c>
      <c r="L758" t="s">
        <v>954</v>
      </c>
      <c r="M758" t="s">
        <v>955</v>
      </c>
      <c r="N758" t="s">
        <v>57</v>
      </c>
      <c r="O758" s="1">
        <v>46039</v>
      </c>
      <c r="Q758" s="1">
        <v>46220</v>
      </c>
      <c r="R758" s="2">
        <v>1309.58</v>
      </c>
      <c r="S758">
        <v>1</v>
      </c>
      <c r="T758" t="s">
        <v>58</v>
      </c>
      <c r="U758" t="s">
        <v>59</v>
      </c>
      <c r="V758" s="3">
        <v>0.08</v>
      </c>
      <c r="W758" s="2">
        <v>0</v>
      </c>
      <c r="X758">
        <v>0</v>
      </c>
      <c r="Y758" t="s">
        <v>60</v>
      </c>
      <c r="Z758" t="s">
        <v>239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104.77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46188</v>
      </c>
      <c r="B759" t="s">
        <v>48</v>
      </c>
      <c r="C759">
        <v>649163</v>
      </c>
      <c r="D759">
        <v>2033190871</v>
      </c>
      <c r="E759" t="s">
        <v>953</v>
      </c>
      <c r="F759" t="s">
        <v>287</v>
      </c>
      <c r="G759" t="s">
        <v>51</v>
      </c>
      <c r="H759" t="s">
        <v>52</v>
      </c>
      <c r="I759" t="s">
        <v>173</v>
      </c>
      <c r="J759" t="s">
        <v>177</v>
      </c>
      <c r="K759">
        <v>896468</v>
      </c>
      <c r="L759" t="s">
        <v>954</v>
      </c>
      <c r="M759" t="s">
        <v>955</v>
      </c>
      <c r="N759" t="s">
        <v>57</v>
      </c>
      <c r="O759" s="1">
        <v>46039</v>
      </c>
      <c r="Q759" s="1">
        <v>46220</v>
      </c>
      <c r="R759" s="2">
        <v>7.09</v>
      </c>
      <c r="S759">
        <v>1</v>
      </c>
      <c r="T759" t="s">
        <v>58</v>
      </c>
      <c r="U759" t="s">
        <v>59</v>
      </c>
      <c r="V759" s="3">
        <v>0.08</v>
      </c>
      <c r="W759" s="2">
        <v>0</v>
      </c>
      <c r="X759">
        <v>0</v>
      </c>
      <c r="Y759" t="s">
        <v>60</v>
      </c>
      <c r="Z759" t="s">
        <v>239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0.56999999999999995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46188</v>
      </c>
      <c r="B760" t="s">
        <v>48</v>
      </c>
      <c r="C760">
        <v>649163</v>
      </c>
      <c r="D760">
        <v>2033273723</v>
      </c>
      <c r="E760" t="s">
        <v>277</v>
      </c>
      <c r="F760" t="s">
        <v>278</v>
      </c>
      <c r="G760" t="s">
        <v>51</v>
      </c>
      <c r="H760" t="s">
        <v>52</v>
      </c>
      <c r="I760" t="s">
        <v>173</v>
      </c>
      <c r="J760" t="s">
        <v>176</v>
      </c>
      <c r="K760">
        <v>929503</v>
      </c>
      <c r="L760" t="s">
        <v>179</v>
      </c>
      <c r="M760" t="s">
        <v>180</v>
      </c>
      <c r="N760" t="s">
        <v>242</v>
      </c>
      <c r="O760" s="1">
        <v>46054</v>
      </c>
      <c r="P760" s="1">
        <v>46188</v>
      </c>
      <c r="Q760" s="1">
        <v>46204</v>
      </c>
      <c r="R760" s="2">
        <v>-21.19</v>
      </c>
      <c r="S760">
        <v>1</v>
      </c>
      <c r="T760" t="s">
        <v>58</v>
      </c>
      <c r="U760" t="s">
        <v>59</v>
      </c>
      <c r="V760" s="3">
        <v>0.38</v>
      </c>
      <c r="W760" s="2">
        <v>0</v>
      </c>
      <c r="X760">
        <v>-1</v>
      </c>
      <c r="Y760" t="s">
        <v>60</v>
      </c>
      <c r="Z760" t="s">
        <v>239</v>
      </c>
      <c r="AA760">
        <v>0</v>
      </c>
      <c r="AB760" s="2">
        <v>0</v>
      </c>
      <c r="AC760" s="2">
        <v>0</v>
      </c>
      <c r="AD760" s="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-8.0500000000000007</v>
      </c>
      <c r="AN760" s="2">
        <v>-8.0500000000000007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46188</v>
      </c>
      <c r="B761" t="s">
        <v>48</v>
      </c>
      <c r="C761">
        <v>649163</v>
      </c>
      <c r="D761">
        <v>2033684744</v>
      </c>
      <c r="E761" t="s">
        <v>657</v>
      </c>
      <c r="F761" t="s">
        <v>446</v>
      </c>
      <c r="G761" t="s">
        <v>51</v>
      </c>
      <c r="H761" t="s">
        <v>305</v>
      </c>
      <c r="I761" t="s">
        <v>173</v>
      </c>
      <c r="J761" t="s">
        <v>174</v>
      </c>
      <c r="K761">
        <v>816021</v>
      </c>
      <c r="L761" t="s">
        <v>312</v>
      </c>
      <c r="M761" t="s">
        <v>313</v>
      </c>
      <c r="N761" t="s">
        <v>57</v>
      </c>
      <c r="O761" s="1">
        <v>46070</v>
      </c>
      <c r="Q761" s="1">
        <v>46220</v>
      </c>
      <c r="R761" s="2">
        <v>215.34</v>
      </c>
      <c r="S761">
        <v>1</v>
      </c>
      <c r="T761" t="s">
        <v>58</v>
      </c>
      <c r="U761" t="s">
        <v>59</v>
      </c>
      <c r="V761" s="3">
        <v>0.38</v>
      </c>
      <c r="W761" s="2">
        <v>0</v>
      </c>
      <c r="X761">
        <v>0</v>
      </c>
      <c r="Y761" t="s">
        <v>60</v>
      </c>
      <c r="Z761" t="s">
        <v>239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81.83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46188</v>
      </c>
      <c r="B762" t="s">
        <v>48</v>
      </c>
      <c r="C762">
        <v>649163</v>
      </c>
      <c r="D762">
        <v>2033684747</v>
      </c>
      <c r="E762" t="s">
        <v>657</v>
      </c>
      <c r="F762" t="s">
        <v>446</v>
      </c>
      <c r="G762" t="s">
        <v>51</v>
      </c>
      <c r="H762" t="s">
        <v>305</v>
      </c>
      <c r="I762" t="s">
        <v>173</v>
      </c>
      <c r="J762" t="s">
        <v>177</v>
      </c>
      <c r="K762">
        <v>816021</v>
      </c>
      <c r="L762" t="s">
        <v>312</v>
      </c>
      <c r="M762" t="s">
        <v>313</v>
      </c>
      <c r="N762" t="s">
        <v>57</v>
      </c>
      <c r="O762" s="1">
        <v>46070</v>
      </c>
      <c r="Q762" s="1">
        <v>46220</v>
      </c>
      <c r="R762" s="2">
        <v>7.09</v>
      </c>
      <c r="S762">
        <v>1</v>
      </c>
      <c r="T762" t="s">
        <v>58</v>
      </c>
      <c r="U762" t="s">
        <v>59</v>
      </c>
      <c r="V762" s="3">
        <v>0.38</v>
      </c>
      <c r="W762" s="2">
        <v>0</v>
      </c>
      <c r="X762">
        <v>0</v>
      </c>
      <c r="Y762" t="s">
        <v>60</v>
      </c>
      <c r="Z762" t="s">
        <v>239</v>
      </c>
      <c r="AA762">
        <v>0</v>
      </c>
      <c r="AB762" s="2">
        <v>0</v>
      </c>
      <c r="AC762" s="2">
        <v>0</v>
      </c>
      <c r="AD762" s="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2.69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46188</v>
      </c>
      <c r="B763" t="s">
        <v>48</v>
      </c>
      <c r="C763">
        <v>649163</v>
      </c>
      <c r="D763">
        <v>2033700081</v>
      </c>
      <c r="E763" t="s">
        <v>279</v>
      </c>
      <c r="F763" t="s">
        <v>280</v>
      </c>
      <c r="G763" t="s">
        <v>51</v>
      </c>
      <c r="H763" t="s">
        <v>119</v>
      </c>
      <c r="I763" t="s">
        <v>173</v>
      </c>
      <c r="J763" t="s">
        <v>176</v>
      </c>
      <c r="K763">
        <v>894525</v>
      </c>
      <c r="L763" t="s">
        <v>189</v>
      </c>
      <c r="M763" t="s">
        <v>190</v>
      </c>
      <c r="N763" t="s">
        <v>57</v>
      </c>
      <c r="O763" s="1">
        <v>46071</v>
      </c>
      <c r="Q763" s="1">
        <v>46221</v>
      </c>
      <c r="R763" s="2">
        <v>55.07</v>
      </c>
      <c r="S763">
        <v>1</v>
      </c>
      <c r="T763" t="s">
        <v>58</v>
      </c>
      <c r="U763" t="s">
        <v>59</v>
      </c>
      <c r="V763" s="3">
        <v>0.38</v>
      </c>
      <c r="W763" s="2">
        <v>0</v>
      </c>
      <c r="X763">
        <v>0</v>
      </c>
      <c r="Y763" t="s">
        <v>60</v>
      </c>
      <c r="Z763" t="s">
        <v>239</v>
      </c>
      <c r="AA763">
        <v>0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20.93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46188</v>
      </c>
      <c r="B764" t="s">
        <v>48</v>
      </c>
      <c r="C764">
        <v>649163</v>
      </c>
      <c r="D764">
        <v>2034097749</v>
      </c>
      <c r="E764" t="s">
        <v>281</v>
      </c>
      <c r="F764" t="s">
        <v>282</v>
      </c>
      <c r="G764" t="s">
        <v>51</v>
      </c>
      <c r="H764" t="s">
        <v>145</v>
      </c>
      <c r="I764" t="s">
        <v>173</v>
      </c>
      <c r="J764" t="s">
        <v>181</v>
      </c>
      <c r="K764">
        <v>673059</v>
      </c>
      <c r="L764" t="s">
        <v>85</v>
      </c>
      <c r="M764" t="s">
        <v>86</v>
      </c>
      <c r="N764" t="s">
        <v>57</v>
      </c>
      <c r="O764" s="1">
        <v>46127</v>
      </c>
      <c r="Q764" s="1">
        <v>46218</v>
      </c>
      <c r="R764" s="2">
        <v>218.73</v>
      </c>
      <c r="S764">
        <v>1</v>
      </c>
      <c r="T764" t="s">
        <v>58</v>
      </c>
      <c r="U764" t="s">
        <v>59</v>
      </c>
      <c r="V764" s="3">
        <v>0.19</v>
      </c>
      <c r="W764" s="2">
        <v>0</v>
      </c>
      <c r="X764">
        <v>0</v>
      </c>
      <c r="Y764" t="s">
        <v>60</v>
      </c>
      <c r="Z764" t="s">
        <v>239</v>
      </c>
      <c r="AA764">
        <v>0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41.56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46188</v>
      </c>
      <c r="B765" t="s">
        <v>48</v>
      </c>
      <c r="C765">
        <v>649163</v>
      </c>
      <c r="D765">
        <v>2034097750</v>
      </c>
      <c r="E765" t="s">
        <v>281</v>
      </c>
      <c r="F765" t="s">
        <v>282</v>
      </c>
      <c r="G765" t="s">
        <v>51</v>
      </c>
      <c r="H765" t="s">
        <v>145</v>
      </c>
      <c r="I765" t="s">
        <v>173</v>
      </c>
      <c r="J765" t="s">
        <v>177</v>
      </c>
      <c r="K765">
        <v>673059</v>
      </c>
      <c r="L765" t="s">
        <v>85</v>
      </c>
      <c r="M765" t="s">
        <v>86</v>
      </c>
      <c r="N765" t="s">
        <v>57</v>
      </c>
      <c r="O765" s="1">
        <v>46127</v>
      </c>
      <c r="Q765" s="1">
        <v>46218</v>
      </c>
      <c r="R765" s="2">
        <v>7.09</v>
      </c>
      <c r="S765">
        <v>1</v>
      </c>
      <c r="T765" t="s">
        <v>58</v>
      </c>
      <c r="U765" t="s">
        <v>59</v>
      </c>
      <c r="V765" s="3">
        <v>0.38</v>
      </c>
      <c r="W765" s="2">
        <v>0</v>
      </c>
      <c r="X765">
        <v>0</v>
      </c>
      <c r="Y765" t="s">
        <v>60</v>
      </c>
      <c r="Z765" t="s">
        <v>239</v>
      </c>
      <c r="AA765">
        <v>0</v>
      </c>
      <c r="AB765" s="2">
        <v>0</v>
      </c>
      <c r="AC765" s="2">
        <v>0</v>
      </c>
      <c r="AD765" s="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2.69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46188</v>
      </c>
      <c r="B766" t="s">
        <v>48</v>
      </c>
      <c r="C766">
        <v>649163</v>
      </c>
      <c r="D766">
        <v>2034260109</v>
      </c>
      <c r="E766" t="s">
        <v>667</v>
      </c>
      <c r="F766" t="s">
        <v>668</v>
      </c>
      <c r="G766" t="s">
        <v>51</v>
      </c>
      <c r="H766" t="s">
        <v>305</v>
      </c>
      <c r="I766" t="s">
        <v>173</v>
      </c>
      <c r="J766" t="s">
        <v>176</v>
      </c>
      <c r="K766">
        <v>824082</v>
      </c>
      <c r="L766" t="s">
        <v>510</v>
      </c>
      <c r="M766" t="s">
        <v>511</v>
      </c>
      <c r="N766" t="s">
        <v>57</v>
      </c>
      <c r="O766" s="1">
        <v>46096</v>
      </c>
      <c r="Q766" s="1">
        <v>46218</v>
      </c>
      <c r="R766" s="2">
        <v>26.85</v>
      </c>
      <c r="S766">
        <v>1</v>
      </c>
      <c r="T766" t="s">
        <v>58</v>
      </c>
      <c r="U766" t="s">
        <v>59</v>
      </c>
      <c r="V766" s="3">
        <v>0.38</v>
      </c>
      <c r="W766" s="2">
        <v>0</v>
      </c>
      <c r="X766">
        <v>0</v>
      </c>
      <c r="Y766" t="s">
        <v>60</v>
      </c>
      <c r="Z766" t="s">
        <v>239</v>
      </c>
      <c r="AA766">
        <v>0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10.199999999999999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46188</v>
      </c>
      <c r="B767" t="s">
        <v>48</v>
      </c>
      <c r="C767">
        <v>649163</v>
      </c>
      <c r="D767">
        <v>2034324485</v>
      </c>
      <c r="E767" t="s">
        <v>857</v>
      </c>
      <c r="F767" t="s">
        <v>858</v>
      </c>
      <c r="G767" t="s">
        <v>51</v>
      </c>
      <c r="H767" t="s">
        <v>119</v>
      </c>
      <c r="I767" t="s">
        <v>173</v>
      </c>
      <c r="J767" t="s">
        <v>174</v>
      </c>
      <c r="K767">
        <v>840313</v>
      </c>
      <c r="L767" t="s">
        <v>860</v>
      </c>
      <c r="M767" t="s">
        <v>861</v>
      </c>
      <c r="N767" t="s">
        <v>57</v>
      </c>
      <c r="O767" s="1">
        <v>46097</v>
      </c>
      <c r="Q767" s="1">
        <v>46219</v>
      </c>
      <c r="R767" s="2">
        <v>486.8</v>
      </c>
      <c r="S767">
        <v>1</v>
      </c>
      <c r="T767" t="s">
        <v>58</v>
      </c>
      <c r="U767" t="s">
        <v>59</v>
      </c>
      <c r="V767" s="3">
        <v>0.38</v>
      </c>
      <c r="W767" s="2">
        <v>0</v>
      </c>
      <c r="X767">
        <v>0</v>
      </c>
      <c r="Y767" t="s">
        <v>60</v>
      </c>
      <c r="Z767" t="s">
        <v>239</v>
      </c>
      <c r="AA767">
        <v>0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184.98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46188</v>
      </c>
      <c r="B768" t="s">
        <v>48</v>
      </c>
      <c r="C768">
        <v>649163</v>
      </c>
      <c r="D768">
        <v>2034324486</v>
      </c>
      <c r="E768" t="s">
        <v>857</v>
      </c>
      <c r="F768" t="s">
        <v>858</v>
      </c>
      <c r="G768" t="s">
        <v>51</v>
      </c>
      <c r="H768" t="s">
        <v>119</v>
      </c>
      <c r="I768" t="s">
        <v>173</v>
      </c>
      <c r="J768" t="s">
        <v>177</v>
      </c>
      <c r="K768">
        <v>840313</v>
      </c>
      <c r="L768" t="s">
        <v>860</v>
      </c>
      <c r="M768" t="s">
        <v>861</v>
      </c>
      <c r="N768" t="s">
        <v>57</v>
      </c>
      <c r="O768" s="1">
        <v>46097</v>
      </c>
      <c r="Q768" s="1">
        <v>46219</v>
      </c>
      <c r="R768" s="2">
        <v>7.09</v>
      </c>
      <c r="S768">
        <v>1</v>
      </c>
      <c r="T768" t="s">
        <v>58</v>
      </c>
      <c r="U768" t="s">
        <v>59</v>
      </c>
      <c r="V768" s="3">
        <v>0.38</v>
      </c>
      <c r="W768" s="2">
        <v>0</v>
      </c>
      <c r="X768">
        <v>0</v>
      </c>
      <c r="Y768" t="s">
        <v>60</v>
      </c>
      <c r="Z768" t="s">
        <v>239</v>
      </c>
      <c r="AA768">
        <v>0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2.69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46188</v>
      </c>
      <c r="B769" t="s">
        <v>48</v>
      </c>
      <c r="C769">
        <v>649163</v>
      </c>
      <c r="D769">
        <v>2034385370</v>
      </c>
      <c r="E769" t="s">
        <v>684</v>
      </c>
      <c r="F769" t="s">
        <v>685</v>
      </c>
      <c r="G769" t="s">
        <v>51</v>
      </c>
      <c r="H769" t="s">
        <v>119</v>
      </c>
      <c r="I769" t="s">
        <v>173</v>
      </c>
      <c r="J769" t="s">
        <v>176</v>
      </c>
      <c r="K769">
        <v>756803</v>
      </c>
      <c r="L769" t="s">
        <v>521</v>
      </c>
      <c r="M769" t="s">
        <v>370</v>
      </c>
      <c r="N769" t="s">
        <v>57</v>
      </c>
      <c r="O769" s="1">
        <v>46098</v>
      </c>
      <c r="Q769" s="1">
        <v>46220</v>
      </c>
      <c r="R769" s="2">
        <v>42.1</v>
      </c>
      <c r="S769">
        <v>1</v>
      </c>
      <c r="T769" t="s">
        <v>58</v>
      </c>
      <c r="U769" t="s">
        <v>59</v>
      </c>
      <c r="V769" s="3">
        <v>0.38</v>
      </c>
      <c r="W769" s="2">
        <v>0</v>
      </c>
      <c r="X769">
        <v>0</v>
      </c>
      <c r="Y769" t="s">
        <v>60</v>
      </c>
      <c r="Z769" t="s">
        <v>239</v>
      </c>
      <c r="AA769">
        <v>0</v>
      </c>
      <c r="AB769" s="2">
        <v>0</v>
      </c>
      <c r="AC769" s="2">
        <v>0</v>
      </c>
      <c r="AD769" s="3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16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46188</v>
      </c>
      <c r="B770" t="s">
        <v>48</v>
      </c>
      <c r="C770">
        <v>649163</v>
      </c>
      <c r="D770">
        <v>2034404406</v>
      </c>
      <c r="E770" t="s">
        <v>283</v>
      </c>
      <c r="F770" t="s">
        <v>260</v>
      </c>
      <c r="G770" t="s">
        <v>51</v>
      </c>
      <c r="H770" t="s">
        <v>52</v>
      </c>
      <c r="I770" t="s">
        <v>173</v>
      </c>
      <c r="J770" t="s">
        <v>176</v>
      </c>
      <c r="K770">
        <v>885445</v>
      </c>
      <c r="L770" t="s">
        <v>273</v>
      </c>
      <c r="M770" t="s">
        <v>92</v>
      </c>
      <c r="N770" t="s">
        <v>57</v>
      </c>
      <c r="O770" s="1">
        <v>46099</v>
      </c>
      <c r="Q770" s="1">
        <v>46221</v>
      </c>
      <c r="R770" s="2">
        <v>27.15</v>
      </c>
      <c r="S770">
        <v>1</v>
      </c>
      <c r="T770" t="s">
        <v>58</v>
      </c>
      <c r="U770" t="s">
        <v>59</v>
      </c>
      <c r="V770" s="3">
        <v>0.38</v>
      </c>
      <c r="W770" s="2">
        <v>0</v>
      </c>
      <c r="X770">
        <v>0</v>
      </c>
      <c r="Y770" t="s">
        <v>60</v>
      </c>
      <c r="Z770" t="s">
        <v>239</v>
      </c>
      <c r="AA770">
        <v>0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10.32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46188</v>
      </c>
      <c r="B771" t="s">
        <v>48</v>
      </c>
      <c r="C771">
        <v>649163</v>
      </c>
      <c r="D771">
        <v>2034740922</v>
      </c>
      <c r="E771" t="s">
        <v>697</v>
      </c>
      <c r="F771" t="s">
        <v>698</v>
      </c>
      <c r="G771" t="s">
        <v>51</v>
      </c>
      <c r="H771" t="s">
        <v>342</v>
      </c>
      <c r="I771" t="s">
        <v>173</v>
      </c>
      <c r="J771" t="s">
        <v>176</v>
      </c>
      <c r="K771">
        <v>816021</v>
      </c>
      <c r="L771" t="s">
        <v>312</v>
      </c>
      <c r="M771" t="s">
        <v>313</v>
      </c>
      <c r="N771" t="s">
        <v>57</v>
      </c>
      <c r="O771" s="1">
        <v>46127</v>
      </c>
      <c r="Q771" s="1">
        <v>46218</v>
      </c>
      <c r="R771" s="2">
        <v>21.04</v>
      </c>
      <c r="S771">
        <v>1</v>
      </c>
      <c r="T771" t="s">
        <v>58</v>
      </c>
      <c r="U771" t="s">
        <v>59</v>
      </c>
      <c r="V771" s="3">
        <v>0.38</v>
      </c>
      <c r="W771" s="2">
        <v>0</v>
      </c>
      <c r="X771">
        <v>0</v>
      </c>
      <c r="Y771" t="s">
        <v>60</v>
      </c>
      <c r="Z771" t="s">
        <v>239</v>
      </c>
      <c r="AA771">
        <v>0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8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46188</v>
      </c>
      <c r="B772" t="s">
        <v>48</v>
      </c>
      <c r="C772">
        <v>649163</v>
      </c>
      <c r="D772">
        <v>2034845878</v>
      </c>
      <c r="E772" t="s">
        <v>701</v>
      </c>
      <c r="F772" t="s">
        <v>287</v>
      </c>
      <c r="G772" t="s">
        <v>51</v>
      </c>
      <c r="H772" t="s">
        <v>305</v>
      </c>
      <c r="I772" t="s">
        <v>173</v>
      </c>
      <c r="J772" t="s">
        <v>176</v>
      </c>
      <c r="K772">
        <v>816021</v>
      </c>
      <c r="L772" t="s">
        <v>312</v>
      </c>
      <c r="M772" t="s">
        <v>313</v>
      </c>
      <c r="N772" t="s">
        <v>57</v>
      </c>
      <c r="O772" s="1">
        <v>46127</v>
      </c>
      <c r="Q772" s="1">
        <v>46218</v>
      </c>
      <c r="R772" s="2">
        <v>61.71</v>
      </c>
      <c r="S772">
        <v>1</v>
      </c>
      <c r="T772" t="s">
        <v>58</v>
      </c>
      <c r="U772" t="s">
        <v>59</v>
      </c>
      <c r="V772" s="3">
        <v>0.38</v>
      </c>
      <c r="W772" s="2">
        <v>0</v>
      </c>
      <c r="X772">
        <v>0</v>
      </c>
      <c r="Y772" t="s">
        <v>60</v>
      </c>
      <c r="Z772" t="s">
        <v>239</v>
      </c>
      <c r="AA772">
        <v>0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23.45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46188</v>
      </c>
      <c r="B773" t="s">
        <v>48</v>
      </c>
      <c r="C773">
        <v>649163</v>
      </c>
      <c r="D773">
        <v>2034899049</v>
      </c>
      <c r="E773" t="s">
        <v>286</v>
      </c>
      <c r="F773" t="s">
        <v>287</v>
      </c>
      <c r="G773" t="s">
        <v>51</v>
      </c>
      <c r="H773" t="s">
        <v>119</v>
      </c>
      <c r="I773" t="s">
        <v>173</v>
      </c>
      <c r="J773" t="s">
        <v>176</v>
      </c>
      <c r="K773">
        <v>894525</v>
      </c>
      <c r="L773" t="s">
        <v>189</v>
      </c>
      <c r="M773" t="s">
        <v>190</v>
      </c>
      <c r="N773" t="s">
        <v>57</v>
      </c>
      <c r="O773" s="1">
        <v>46126</v>
      </c>
      <c r="Q773" s="1">
        <v>46217</v>
      </c>
      <c r="R773" s="2">
        <v>69.260000000000005</v>
      </c>
      <c r="S773">
        <v>1</v>
      </c>
      <c r="T773" t="s">
        <v>58</v>
      </c>
      <c r="U773" t="s">
        <v>59</v>
      </c>
      <c r="V773" s="3">
        <v>0.38</v>
      </c>
      <c r="W773" s="2">
        <v>0</v>
      </c>
      <c r="X773">
        <v>0</v>
      </c>
      <c r="Y773" t="s">
        <v>60</v>
      </c>
      <c r="Z773" t="s">
        <v>239</v>
      </c>
      <c r="AA773">
        <v>0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26.32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46188</v>
      </c>
      <c r="B774" t="s">
        <v>48</v>
      </c>
      <c r="C774">
        <v>649163</v>
      </c>
      <c r="D774">
        <v>2034917049</v>
      </c>
      <c r="E774" t="s">
        <v>704</v>
      </c>
      <c r="F774" t="s">
        <v>483</v>
      </c>
      <c r="G774" t="s">
        <v>51</v>
      </c>
      <c r="H774" t="s">
        <v>305</v>
      </c>
      <c r="I774" t="s">
        <v>173</v>
      </c>
      <c r="J774" t="s">
        <v>176</v>
      </c>
      <c r="K774">
        <v>816021</v>
      </c>
      <c r="L774" t="s">
        <v>312</v>
      </c>
      <c r="M774" t="s">
        <v>313</v>
      </c>
      <c r="N774" t="s">
        <v>57</v>
      </c>
      <c r="O774" s="1">
        <v>46127</v>
      </c>
      <c r="Q774" s="1">
        <v>46218</v>
      </c>
      <c r="R774" s="2">
        <v>32.46</v>
      </c>
      <c r="S774">
        <v>1</v>
      </c>
      <c r="T774" t="s">
        <v>58</v>
      </c>
      <c r="U774" t="s">
        <v>59</v>
      </c>
      <c r="V774" s="3">
        <v>0.38</v>
      </c>
      <c r="W774" s="2">
        <v>0</v>
      </c>
      <c r="X774">
        <v>0</v>
      </c>
      <c r="Y774" t="s">
        <v>60</v>
      </c>
      <c r="Z774" t="s">
        <v>239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12.33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46188</v>
      </c>
      <c r="B775" t="s">
        <v>48</v>
      </c>
      <c r="C775">
        <v>649163</v>
      </c>
      <c r="D775">
        <v>2034964725</v>
      </c>
      <c r="E775" t="s">
        <v>232</v>
      </c>
      <c r="F775" t="s">
        <v>956</v>
      </c>
      <c r="G775" t="s">
        <v>51</v>
      </c>
      <c r="H775" t="s">
        <v>119</v>
      </c>
      <c r="I775" t="s">
        <v>173</v>
      </c>
      <c r="J775" t="s">
        <v>174</v>
      </c>
      <c r="K775">
        <v>812994</v>
      </c>
      <c r="L775" t="s">
        <v>495</v>
      </c>
      <c r="M775" t="s">
        <v>496</v>
      </c>
      <c r="N775" t="s">
        <v>57</v>
      </c>
      <c r="O775" s="1">
        <v>46129</v>
      </c>
      <c r="Q775" s="1">
        <v>46220</v>
      </c>
      <c r="R775" s="2">
        <v>486.8</v>
      </c>
      <c r="S775">
        <v>1</v>
      </c>
      <c r="T775" t="s">
        <v>58</v>
      </c>
      <c r="U775" t="s">
        <v>59</v>
      </c>
      <c r="V775" s="3">
        <v>0.38</v>
      </c>
      <c r="W775" s="2">
        <v>0</v>
      </c>
      <c r="X775">
        <v>0</v>
      </c>
      <c r="Y775" t="s">
        <v>60</v>
      </c>
      <c r="Z775" t="s">
        <v>239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184.98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46188</v>
      </c>
      <c r="B776" t="s">
        <v>48</v>
      </c>
      <c r="C776">
        <v>649163</v>
      </c>
      <c r="D776">
        <v>2034986812</v>
      </c>
      <c r="E776" t="s">
        <v>717</v>
      </c>
      <c r="F776" t="s">
        <v>349</v>
      </c>
      <c r="G776" t="s">
        <v>51</v>
      </c>
      <c r="H776" t="s">
        <v>305</v>
      </c>
      <c r="I776" t="s">
        <v>173</v>
      </c>
      <c r="J776" t="s">
        <v>176</v>
      </c>
      <c r="K776">
        <v>796984</v>
      </c>
      <c r="L776" t="s">
        <v>306</v>
      </c>
      <c r="M776" t="s">
        <v>307</v>
      </c>
      <c r="N776" t="s">
        <v>57</v>
      </c>
      <c r="O776" s="1">
        <v>46130</v>
      </c>
      <c r="Q776" s="1">
        <v>46221</v>
      </c>
      <c r="R776" s="2">
        <v>19.100000000000001</v>
      </c>
      <c r="S776">
        <v>1</v>
      </c>
      <c r="T776" t="s">
        <v>58</v>
      </c>
      <c r="U776" t="s">
        <v>59</v>
      </c>
      <c r="V776" s="3">
        <v>0.38</v>
      </c>
      <c r="W776" s="2">
        <v>0</v>
      </c>
      <c r="X776">
        <v>0</v>
      </c>
      <c r="Y776" t="s">
        <v>60</v>
      </c>
      <c r="Z776" t="s">
        <v>239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7.26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46188</v>
      </c>
      <c r="B777" t="s">
        <v>48</v>
      </c>
      <c r="C777">
        <v>649163</v>
      </c>
      <c r="D777">
        <v>2035393881</v>
      </c>
      <c r="E777" t="s">
        <v>725</v>
      </c>
      <c r="F777" t="s">
        <v>241</v>
      </c>
      <c r="G777" t="s">
        <v>51</v>
      </c>
      <c r="H777" t="s">
        <v>305</v>
      </c>
      <c r="I777" t="s">
        <v>173</v>
      </c>
      <c r="J777" t="s">
        <v>176</v>
      </c>
      <c r="K777">
        <v>816021</v>
      </c>
      <c r="L777" t="s">
        <v>312</v>
      </c>
      <c r="M777" t="s">
        <v>313</v>
      </c>
      <c r="N777" t="s">
        <v>57</v>
      </c>
      <c r="O777" s="1">
        <v>46157</v>
      </c>
      <c r="Q777" s="1">
        <v>46218</v>
      </c>
      <c r="R777" s="2">
        <v>39.229999999999997</v>
      </c>
      <c r="S777">
        <v>1</v>
      </c>
      <c r="T777" t="s">
        <v>58</v>
      </c>
      <c r="U777" t="s">
        <v>59</v>
      </c>
      <c r="V777" s="3">
        <v>0.38</v>
      </c>
      <c r="W777" s="2">
        <v>0</v>
      </c>
      <c r="X777">
        <v>0</v>
      </c>
      <c r="Y777" t="s">
        <v>60</v>
      </c>
      <c r="Z777" t="s">
        <v>239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14.91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46188</v>
      </c>
      <c r="B778" t="s">
        <v>48</v>
      </c>
      <c r="C778">
        <v>649163</v>
      </c>
      <c r="D778">
        <v>2035438432</v>
      </c>
      <c r="E778" t="s">
        <v>288</v>
      </c>
      <c r="F778" t="s">
        <v>289</v>
      </c>
      <c r="G778" t="s">
        <v>51</v>
      </c>
      <c r="H778" t="s">
        <v>52</v>
      </c>
      <c r="I778" t="s">
        <v>173</v>
      </c>
      <c r="J778" t="s">
        <v>176</v>
      </c>
      <c r="K778">
        <v>929503</v>
      </c>
      <c r="L778" t="s">
        <v>179</v>
      </c>
      <c r="M778" t="s">
        <v>180</v>
      </c>
      <c r="N778" t="s">
        <v>57</v>
      </c>
      <c r="O778" s="1">
        <v>46155</v>
      </c>
      <c r="Q778" s="1">
        <v>46216</v>
      </c>
      <c r="R778" s="2">
        <v>61.39</v>
      </c>
      <c r="S778">
        <v>1</v>
      </c>
      <c r="T778" t="s">
        <v>58</v>
      </c>
      <c r="U778" t="s">
        <v>59</v>
      </c>
      <c r="V778" s="3">
        <v>0.38</v>
      </c>
      <c r="W778" s="2">
        <v>0</v>
      </c>
      <c r="X778">
        <v>0</v>
      </c>
      <c r="Y778" t="s">
        <v>60</v>
      </c>
      <c r="Z778" t="s">
        <v>239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23.33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46188</v>
      </c>
      <c r="B779" t="s">
        <v>48</v>
      </c>
      <c r="C779">
        <v>649163</v>
      </c>
      <c r="D779">
        <v>2035463447</v>
      </c>
      <c r="E779" t="s">
        <v>726</v>
      </c>
      <c r="F779" t="s">
        <v>862</v>
      </c>
      <c r="G779" t="s">
        <v>51</v>
      </c>
      <c r="H779" t="s">
        <v>119</v>
      </c>
      <c r="I779" t="s">
        <v>173</v>
      </c>
      <c r="J779" t="s">
        <v>174</v>
      </c>
      <c r="K779">
        <v>814033</v>
      </c>
      <c r="L779" t="s">
        <v>122</v>
      </c>
      <c r="M779" t="s">
        <v>123</v>
      </c>
      <c r="N779" t="s">
        <v>57</v>
      </c>
      <c r="O779" s="1">
        <v>46157</v>
      </c>
      <c r="Q779" s="1">
        <v>46218</v>
      </c>
      <c r="R779" s="2">
        <v>172.55</v>
      </c>
      <c r="S779">
        <v>1</v>
      </c>
      <c r="T779" t="s">
        <v>58</v>
      </c>
      <c r="U779" t="s">
        <v>59</v>
      </c>
      <c r="V779" s="3">
        <v>0.38</v>
      </c>
      <c r="W779" s="2">
        <v>0</v>
      </c>
      <c r="X779">
        <v>0</v>
      </c>
      <c r="Y779" t="s">
        <v>60</v>
      </c>
      <c r="Z779" t="s">
        <v>239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65.569999999999993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46188</v>
      </c>
      <c r="B780" t="s">
        <v>48</v>
      </c>
      <c r="C780">
        <v>649163</v>
      </c>
      <c r="D780">
        <v>2035486375</v>
      </c>
      <c r="E780" t="s">
        <v>750</v>
      </c>
      <c r="F780" t="s">
        <v>751</v>
      </c>
      <c r="G780" t="s">
        <v>51</v>
      </c>
      <c r="H780" t="s">
        <v>305</v>
      </c>
      <c r="I780" t="s">
        <v>173</v>
      </c>
      <c r="J780" t="s">
        <v>176</v>
      </c>
      <c r="K780">
        <v>824082</v>
      </c>
      <c r="L780" t="s">
        <v>510</v>
      </c>
      <c r="M780" t="s">
        <v>511</v>
      </c>
      <c r="N780" t="s">
        <v>57</v>
      </c>
      <c r="O780" s="1">
        <v>46157</v>
      </c>
      <c r="Q780" s="1">
        <v>46218</v>
      </c>
      <c r="R780" s="2">
        <v>71.09</v>
      </c>
      <c r="S780">
        <v>1</v>
      </c>
      <c r="T780" t="s">
        <v>58</v>
      </c>
      <c r="U780" t="s">
        <v>59</v>
      </c>
      <c r="V780" s="3">
        <v>0.38</v>
      </c>
      <c r="W780" s="2">
        <v>0</v>
      </c>
      <c r="X780">
        <v>0</v>
      </c>
      <c r="Y780" t="s">
        <v>60</v>
      </c>
      <c r="Z780" t="s">
        <v>239</v>
      </c>
      <c r="AA780">
        <v>0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27.01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46188</v>
      </c>
      <c r="B781" t="s">
        <v>48</v>
      </c>
      <c r="C781">
        <v>649163</v>
      </c>
      <c r="D781">
        <v>2035502622</v>
      </c>
      <c r="E781" t="s">
        <v>357</v>
      </c>
      <c r="F781" t="s">
        <v>753</v>
      </c>
      <c r="G781" t="s">
        <v>51</v>
      </c>
      <c r="H781" t="s">
        <v>305</v>
      </c>
      <c r="I781" t="s">
        <v>173</v>
      </c>
      <c r="J781" t="s">
        <v>176</v>
      </c>
      <c r="K781">
        <v>796984</v>
      </c>
      <c r="L781" t="s">
        <v>306</v>
      </c>
      <c r="M781" t="s">
        <v>307</v>
      </c>
      <c r="N781" t="s">
        <v>57</v>
      </c>
      <c r="O781" s="1">
        <v>46158</v>
      </c>
      <c r="Q781" s="1">
        <v>46219</v>
      </c>
      <c r="R781" s="2">
        <v>19.100000000000001</v>
      </c>
      <c r="S781">
        <v>1</v>
      </c>
      <c r="T781" t="s">
        <v>58</v>
      </c>
      <c r="U781" t="s">
        <v>59</v>
      </c>
      <c r="V781" s="3">
        <v>0.38</v>
      </c>
      <c r="W781" s="2">
        <v>0</v>
      </c>
      <c r="X781">
        <v>0</v>
      </c>
      <c r="Y781" t="s">
        <v>60</v>
      </c>
      <c r="Z781" t="s">
        <v>239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7.26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46188</v>
      </c>
      <c r="B782" t="s">
        <v>48</v>
      </c>
      <c r="C782">
        <v>649163</v>
      </c>
      <c r="D782">
        <v>2016762024</v>
      </c>
      <c r="E782" t="s">
        <v>295</v>
      </c>
      <c r="F782" t="s">
        <v>296</v>
      </c>
      <c r="G782" t="s">
        <v>51</v>
      </c>
      <c r="H782" t="s">
        <v>100</v>
      </c>
      <c r="I782" t="s">
        <v>182</v>
      </c>
      <c r="J782" t="s">
        <v>497</v>
      </c>
      <c r="K782">
        <v>651818</v>
      </c>
      <c r="L782" t="s">
        <v>79</v>
      </c>
      <c r="M782" t="s">
        <v>80</v>
      </c>
      <c r="N782" t="s">
        <v>242</v>
      </c>
      <c r="O782" s="1">
        <v>44927</v>
      </c>
      <c r="P782" s="1">
        <v>46188</v>
      </c>
      <c r="Q782" s="1">
        <v>46204</v>
      </c>
      <c r="R782" s="2">
        <v>-24.87</v>
      </c>
      <c r="S782">
        <v>1</v>
      </c>
      <c r="T782" t="s">
        <v>58</v>
      </c>
      <c r="U782" t="s">
        <v>237</v>
      </c>
      <c r="V782" s="3">
        <v>0.15</v>
      </c>
      <c r="W782" s="2">
        <v>0</v>
      </c>
      <c r="X782">
        <v>-1</v>
      </c>
      <c r="Y782" t="s">
        <v>238</v>
      </c>
      <c r="Z782" t="s">
        <v>239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-3.73</v>
      </c>
      <c r="AN782" s="2">
        <v>-3.73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46188</v>
      </c>
      <c r="B783" t="s">
        <v>48</v>
      </c>
      <c r="D783">
        <v>2016819082</v>
      </c>
      <c r="E783" t="s">
        <v>957</v>
      </c>
      <c r="F783" t="s">
        <v>958</v>
      </c>
      <c r="G783" t="s">
        <v>51</v>
      </c>
      <c r="H783" t="s">
        <v>165</v>
      </c>
      <c r="I783" t="s">
        <v>182</v>
      </c>
      <c r="J783" t="s">
        <v>202</v>
      </c>
      <c r="L783" t="s">
        <v>85</v>
      </c>
      <c r="M783" t="s">
        <v>866</v>
      </c>
      <c r="N783" t="s">
        <v>57</v>
      </c>
      <c r="O783" s="1">
        <v>44880</v>
      </c>
      <c r="Q783" s="1">
        <v>46218</v>
      </c>
      <c r="R783" s="2">
        <v>25.73</v>
      </c>
      <c r="S783">
        <v>1</v>
      </c>
      <c r="T783" t="s">
        <v>58</v>
      </c>
      <c r="U783" t="s">
        <v>237</v>
      </c>
      <c r="V783" s="3">
        <v>0.15</v>
      </c>
      <c r="W783" s="2">
        <v>0</v>
      </c>
      <c r="X783">
        <v>0</v>
      </c>
      <c r="Y783" t="s">
        <v>238</v>
      </c>
      <c r="Z783" t="s">
        <v>239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3.86</v>
      </c>
      <c r="AN783" s="2">
        <v>3.86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46188</v>
      </c>
      <c r="B784" t="s">
        <v>48</v>
      </c>
      <c r="C784">
        <v>649163</v>
      </c>
      <c r="D784">
        <v>2017630350</v>
      </c>
      <c r="E784" t="s">
        <v>959</v>
      </c>
      <c r="F784" t="s">
        <v>287</v>
      </c>
      <c r="G784" t="s">
        <v>51</v>
      </c>
      <c r="H784" t="s">
        <v>165</v>
      </c>
      <c r="I784" t="s">
        <v>182</v>
      </c>
      <c r="J784" t="s">
        <v>183</v>
      </c>
      <c r="K784">
        <v>649793</v>
      </c>
      <c r="L784" t="s">
        <v>85</v>
      </c>
      <c r="M784" t="s">
        <v>866</v>
      </c>
      <c r="N784" t="s">
        <v>57</v>
      </c>
      <c r="O784" s="1">
        <v>45001</v>
      </c>
      <c r="Q784" s="1">
        <v>46219</v>
      </c>
      <c r="R784" s="2">
        <v>140.25</v>
      </c>
      <c r="S784">
        <v>1</v>
      </c>
      <c r="T784" t="s">
        <v>58</v>
      </c>
      <c r="U784" t="s">
        <v>237</v>
      </c>
      <c r="V784" s="3">
        <v>0.15</v>
      </c>
      <c r="W784" s="2">
        <v>0</v>
      </c>
      <c r="X784">
        <v>0</v>
      </c>
      <c r="Y784" t="s">
        <v>238</v>
      </c>
      <c r="Z784" t="s">
        <v>239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21.04</v>
      </c>
      <c r="AN784" s="2">
        <v>21.04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46188</v>
      </c>
      <c r="B785" t="s">
        <v>48</v>
      </c>
      <c r="D785">
        <v>2017683724</v>
      </c>
      <c r="E785" t="s">
        <v>381</v>
      </c>
      <c r="F785" t="s">
        <v>865</v>
      </c>
      <c r="G785" t="s">
        <v>51</v>
      </c>
      <c r="H785" t="s">
        <v>95</v>
      </c>
      <c r="I785" t="s">
        <v>182</v>
      </c>
      <c r="J785" t="s">
        <v>202</v>
      </c>
      <c r="L785" t="s">
        <v>85</v>
      </c>
      <c r="M785" t="s">
        <v>866</v>
      </c>
      <c r="N785" t="s">
        <v>57</v>
      </c>
      <c r="O785" s="1">
        <v>44974</v>
      </c>
      <c r="Q785" s="1">
        <v>46220</v>
      </c>
      <c r="R785" s="2">
        <v>25.73</v>
      </c>
      <c r="S785">
        <v>1</v>
      </c>
      <c r="T785" t="s">
        <v>58</v>
      </c>
      <c r="U785" t="s">
        <v>237</v>
      </c>
      <c r="V785" s="3">
        <v>0.15</v>
      </c>
      <c r="W785" s="2">
        <v>0</v>
      </c>
      <c r="X785">
        <v>0</v>
      </c>
      <c r="Y785" t="s">
        <v>238</v>
      </c>
      <c r="Z785" t="s">
        <v>239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3.86</v>
      </c>
      <c r="AN785" s="2">
        <v>3.86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46188</v>
      </c>
      <c r="B786" t="s">
        <v>48</v>
      </c>
      <c r="C786">
        <v>649163</v>
      </c>
      <c r="D786">
        <v>2018351025</v>
      </c>
      <c r="E786" t="s">
        <v>960</v>
      </c>
      <c r="F786" t="s">
        <v>106</v>
      </c>
      <c r="G786" t="s">
        <v>51</v>
      </c>
      <c r="H786" t="s">
        <v>245</v>
      </c>
      <c r="I786" t="s">
        <v>182</v>
      </c>
      <c r="J786" t="s">
        <v>194</v>
      </c>
      <c r="K786">
        <v>651818</v>
      </c>
      <c r="L786" t="s">
        <v>79</v>
      </c>
      <c r="M786" t="s">
        <v>80</v>
      </c>
      <c r="N786" t="s">
        <v>57</v>
      </c>
      <c r="O786" s="1">
        <v>45030</v>
      </c>
      <c r="Q786" s="1">
        <v>46217</v>
      </c>
      <c r="R786" s="2">
        <v>29.25</v>
      </c>
      <c r="S786">
        <v>1</v>
      </c>
      <c r="T786" t="s">
        <v>58</v>
      </c>
      <c r="U786" t="s">
        <v>237</v>
      </c>
      <c r="V786" s="3">
        <v>0.1</v>
      </c>
      <c r="W786" s="2">
        <v>0</v>
      </c>
      <c r="X786">
        <v>0</v>
      </c>
      <c r="Y786" t="s">
        <v>238</v>
      </c>
      <c r="Z786" t="s">
        <v>239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2.92</v>
      </c>
      <c r="AN786" s="2">
        <v>2.92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46188</v>
      </c>
      <c r="B787" t="s">
        <v>48</v>
      </c>
      <c r="C787">
        <v>649163</v>
      </c>
      <c r="D787">
        <v>2018717179</v>
      </c>
      <c r="E787" t="s">
        <v>232</v>
      </c>
      <c r="F787" t="s">
        <v>961</v>
      </c>
      <c r="G787" t="s">
        <v>51</v>
      </c>
      <c r="H787" t="s">
        <v>119</v>
      </c>
      <c r="I787" t="s">
        <v>182</v>
      </c>
      <c r="J787" t="s">
        <v>194</v>
      </c>
      <c r="K787">
        <v>651818</v>
      </c>
      <c r="L787" t="s">
        <v>79</v>
      </c>
      <c r="M787" t="s">
        <v>80</v>
      </c>
      <c r="N787" t="s">
        <v>57</v>
      </c>
      <c r="O787" s="1">
        <v>45065</v>
      </c>
      <c r="Q787" s="1">
        <v>46222</v>
      </c>
      <c r="R787" s="2">
        <v>123.44</v>
      </c>
      <c r="S787">
        <v>1</v>
      </c>
      <c r="T787" t="s">
        <v>58</v>
      </c>
      <c r="U787" t="s">
        <v>237</v>
      </c>
      <c r="V787" s="3">
        <v>0.1</v>
      </c>
      <c r="W787" s="2">
        <v>0</v>
      </c>
      <c r="X787">
        <v>0</v>
      </c>
      <c r="Y787" t="s">
        <v>238</v>
      </c>
      <c r="Z787" t="s">
        <v>239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12.34</v>
      </c>
      <c r="AN787" s="2">
        <v>12.34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46188</v>
      </c>
      <c r="B788" t="s">
        <v>48</v>
      </c>
      <c r="D788">
        <v>2020174612</v>
      </c>
      <c r="E788" t="s">
        <v>297</v>
      </c>
      <c r="F788" t="s">
        <v>298</v>
      </c>
      <c r="G788" t="s">
        <v>51</v>
      </c>
      <c r="H788" t="s">
        <v>193</v>
      </c>
      <c r="I788" t="s">
        <v>182</v>
      </c>
      <c r="J788" t="s">
        <v>202</v>
      </c>
      <c r="L788" t="s">
        <v>64</v>
      </c>
      <c r="M788" t="s">
        <v>236</v>
      </c>
      <c r="N788" t="s">
        <v>57</v>
      </c>
      <c r="O788" s="1">
        <v>45214</v>
      </c>
      <c r="Q788" s="1">
        <v>46218</v>
      </c>
      <c r="R788" s="2">
        <v>24.61</v>
      </c>
      <c r="S788">
        <v>1</v>
      </c>
      <c r="T788" t="s">
        <v>58</v>
      </c>
      <c r="U788" t="s">
        <v>237</v>
      </c>
      <c r="V788" s="3">
        <v>0.15</v>
      </c>
      <c r="W788" s="2">
        <v>0</v>
      </c>
      <c r="X788">
        <v>0</v>
      </c>
      <c r="Y788" t="s">
        <v>238</v>
      </c>
      <c r="Z788" t="s">
        <v>239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3.69</v>
      </c>
      <c r="AN788" s="2">
        <v>3.69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46188</v>
      </c>
      <c r="B789" t="s">
        <v>48</v>
      </c>
      <c r="D789">
        <v>2020780791</v>
      </c>
      <c r="E789" t="s">
        <v>962</v>
      </c>
      <c r="F789" t="s">
        <v>963</v>
      </c>
      <c r="G789" t="s">
        <v>51</v>
      </c>
      <c r="H789" t="s">
        <v>119</v>
      </c>
      <c r="I789" t="s">
        <v>182</v>
      </c>
      <c r="J789" t="s">
        <v>202</v>
      </c>
      <c r="L789" t="s">
        <v>79</v>
      </c>
      <c r="M789" t="s">
        <v>80</v>
      </c>
      <c r="N789" t="s">
        <v>57</v>
      </c>
      <c r="O789" s="1">
        <v>45245</v>
      </c>
      <c r="Q789" s="1">
        <v>46218</v>
      </c>
      <c r="R789" s="2">
        <v>25.73</v>
      </c>
      <c r="S789">
        <v>1</v>
      </c>
      <c r="T789" t="s">
        <v>58</v>
      </c>
      <c r="U789" t="s">
        <v>237</v>
      </c>
      <c r="V789" s="3">
        <v>0.15</v>
      </c>
      <c r="W789" s="2">
        <v>0</v>
      </c>
      <c r="X789">
        <v>0</v>
      </c>
      <c r="Y789" t="s">
        <v>238</v>
      </c>
      <c r="Z789" t="s">
        <v>239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3.86</v>
      </c>
      <c r="AN789" s="2">
        <v>3.86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46188</v>
      </c>
      <c r="B790" t="s">
        <v>48</v>
      </c>
      <c r="C790">
        <v>649163</v>
      </c>
      <c r="D790">
        <v>2020780792</v>
      </c>
      <c r="E790" t="s">
        <v>962</v>
      </c>
      <c r="F790" t="s">
        <v>963</v>
      </c>
      <c r="G790" t="s">
        <v>51</v>
      </c>
      <c r="H790" t="s">
        <v>119</v>
      </c>
      <c r="I790" t="s">
        <v>182</v>
      </c>
      <c r="J790" t="s">
        <v>194</v>
      </c>
      <c r="K790">
        <v>651818</v>
      </c>
      <c r="L790" t="s">
        <v>79</v>
      </c>
      <c r="M790" t="s">
        <v>80</v>
      </c>
      <c r="N790" t="s">
        <v>57</v>
      </c>
      <c r="O790" s="1">
        <v>45245</v>
      </c>
      <c r="Q790" s="1">
        <v>46218</v>
      </c>
      <c r="R790" s="2">
        <v>51.63</v>
      </c>
      <c r="S790">
        <v>1</v>
      </c>
      <c r="T790" t="s">
        <v>58</v>
      </c>
      <c r="U790" t="s">
        <v>237</v>
      </c>
      <c r="V790" s="3">
        <v>0.1</v>
      </c>
      <c r="W790" s="2">
        <v>0</v>
      </c>
      <c r="X790">
        <v>0</v>
      </c>
      <c r="Y790" t="s">
        <v>238</v>
      </c>
      <c r="Z790" t="s">
        <v>239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5.16</v>
      </c>
      <c r="AN790" s="2">
        <v>5.16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46188</v>
      </c>
      <c r="B791" t="s">
        <v>48</v>
      </c>
      <c r="C791">
        <v>649163</v>
      </c>
      <c r="D791">
        <v>2021598259</v>
      </c>
      <c r="E791" t="s">
        <v>964</v>
      </c>
      <c r="F791" t="s">
        <v>965</v>
      </c>
      <c r="G791" t="s">
        <v>51</v>
      </c>
      <c r="H791" t="s">
        <v>119</v>
      </c>
      <c r="I791" t="s">
        <v>182</v>
      </c>
      <c r="J791" t="s">
        <v>194</v>
      </c>
      <c r="K791">
        <v>651818</v>
      </c>
      <c r="L791" t="s">
        <v>79</v>
      </c>
      <c r="M791" t="s">
        <v>80</v>
      </c>
      <c r="N791" t="s">
        <v>57</v>
      </c>
      <c r="O791" s="1">
        <v>45341</v>
      </c>
      <c r="Q791" s="1">
        <v>46222</v>
      </c>
      <c r="R791" s="2">
        <v>163.25</v>
      </c>
      <c r="S791">
        <v>1</v>
      </c>
      <c r="T791" t="s">
        <v>58</v>
      </c>
      <c r="U791" t="s">
        <v>237</v>
      </c>
      <c r="V791" s="3">
        <v>0.1</v>
      </c>
      <c r="W791" s="2">
        <v>0</v>
      </c>
      <c r="X791">
        <v>0</v>
      </c>
      <c r="Y791" t="s">
        <v>238</v>
      </c>
      <c r="Z791" t="s">
        <v>239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16.32</v>
      </c>
      <c r="AN791" s="2">
        <v>16.32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46188</v>
      </c>
      <c r="B792" t="s">
        <v>48</v>
      </c>
      <c r="C792">
        <v>649163</v>
      </c>
      <c r="D792">
        <v>2022748694</v>
      </c>
      <c r="E792" t="s">
        <v>966</v>
      </c>
      <c r="F792" t="s">
        <v>172</v>
      </c>
      <c r="G792" t="s">
        <v>51</v>
      </c>
      <c r="H792" t="s">
        <v>52</v>
      </c>
      <c r="I792" t="s">
        <v>182</v>
      </c>
      <c r="J792" t="s">
        <v>194</v>
      </c>
      <c r="K792">
        <v>651818</v>
      </c>
      <c r="L792" t="s">
        <v>79</v>
      </c>
      <c r="M792" t="s">
        <v>80</v>
      </c>
      <c r="N792" t="s">
        <v>57</v>
      </c>
      <c r="O792" s="1">
        <v>45400</v>
      </c>
      <c r="Q792" s="1">
        <v>46221</v>
      </c>
      <c r="R792" s="2">
        <v>112.25</v>
      </c>
      <c r="S792">
        <v>1</v>
      </c>
      <c r="T792" t="s">
        <v>58</v>
      </c>
      <c r="U792" t="s">
        <v>237</v>
      </c>
      <c r="V792" s="3">
        <v>0.1</v>
      </c>
      <c r="W792" s="2">
        <v>0</v>
      </c>
      <c r="X792">
        <v>0</v>
      </c>
      <c r="Y792" t="s">
        <v>238</v>
      </c>
      <c r="Z792" t="s">
        <v>239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11.22</v>
      </c>
      <c r="AN792" s="2">
        <v>11.22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46188</v>
      </c>
      <c r="B793" t="s">
        <v>48</v>
      </c>
      <c r="C793">
        <v>649163</v>
      </c>
      <c r="D793">
        <v>2023911658</v>
      </c>
      <c r="E793" t="s">
        <v>900</v>
      </c>
      <c r="F793" t="s">
        <v>967</v>
      </c>
      <c r="G793" t="s">
        <v>51</v>
      </c>
      <c r="H793" t="s">
        <v>145</v>
      </c>
      <c r="I793" t="s">
        <v>182</v>
      </c>
      <c r="J793" t="s">
        <v>194</v>
      </c>
      <c r="K793">
        <v>673059</v>
      </c>
      <c r="L793" t="s">
        <v>85</v>
      </c>
      <c r="M793" t="s">
        <v>86</v>
      </c>
      <c r="N793" t="s">
        <v>57</v>
      </c>
      <c r="O793" s="1">
        <v>45486</v>
      </c>
      <c r="Q793" s="1">
        <v>46216</v>
      </c>
      <c r="R793" s="2">
        <v>150.63</v>
      </c>
      <c r="S793">
        <v>1</v>
      </c>
      <c r="T793" t="s">
        <v>58</v>
      </c>
      <c r="U793" t="s">
        <v>237</v>
      </c>
      <c r="V793" s="3">
        <v>0.1</v>
      </c>
      <c r="W793" s="2">
        <v>0</v>
      </c>
      <c r="X793">
        <v>0</v>
      </c>
      <c r="Y793" t="s">
        <v>238</v>
      </c>
      <c r="Z793" t="s">
        <v>239</v>
      </c>
      <c r="AA79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15.06</v>
      </c>
      <c r="AN793" s="2">
        <v>15.06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46188</v>
      </c>
      <c r="B794" t="s">
        <v>48</v>
      </c>
      <c r="C794">
        <v>649163</v>
      </c>
      <c r="D794">
        <v>2024356429</v>
      </c>
      <c r="E794" t="s">
        <v>876</v>
      </c>
      <c r="F794" t="s">
        <v>877</v>
      </c>
      <c r="G794" t="s">
        <v>51</v>
      </c>
      <c r="H794" t="s">
        <v>119</v>
      </c>
      <c r="I794" t="s">
        <v>182</v>
      </c>
      <c r="J794" t="s">
        <v>183</v>
      </c>
      <c r="K794">
        <v>767312</v>
      </c>
      <c r="L794" t="s">
        <v>171</v>
      </c>
      <c r="M794" t="s">
        <v>172</v>
      </c>
      <c r="N794" t="s">
        <v>57</v>
      </c>
      <c r="O794" s="1">
        <v>45517</v>
      </c>
      <c r="Q794" s="1">
        <v>46216</v>
      </c>
      <c r="R794" s="2">
        <v>28.9</v>
      </c>
      <c r="S794">
        <v>1</v>
      </c>
      <c r="T794" t="s">
        <v>58</v>
      </c>
      <c r="U794" t="s">
        <v>237</v>
      </c>
      <c r="V794" s="3">
        <v>0.15</v>
      </c>
      <c r="W794" s="2">
        <v>0</v>
      </c>
      <c r="X794">
        <v>0</v>
      </c>
      <c r="Y794" t="s">
        <v>238</v>
      </c>
      <c r="Z794" t="s">
        <v>239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4.34</v>
      </c>
      <c r="AN794" s="2">
        <v>4.34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46188</v>
      </c>
      <c r="B795" t="s">
        <v>48</v>
      </c>
      <c r="C795">
        <v>649163</v>
      </c>
      <c r="D795">
        <v>2032665457</v>
      </c>
      <c r="E795" t="s">
        <v>968</v>
      </c>
      <c r="F795" t="s">
        <v>969</v>
      </c>
      <c r="G795" t="s">
        <v>51</v>
      </c>
      <c r="H795" t="s">
        <v>292</v>
      </c>
      <c r="I795" t="s">
        <v>182</v>
      </c>
      <c r="J795" t="s">
        <v>183</v>
      </c>
      <c r="K795">
        <v>893408</v>
      </c>
      <c r="L795" t="s">
        <v>595</v>
      </c>
      <c r="M795" t="s">
        <v>596</v>
      </c>
      <c r="N795" t="s">
        <v>57</v>
      </c>
      <c r="O795" s="1">
        <v>46004</v>
      </c>
      <c r="Q795" s="1">
        <v>46216</v>
      </c>
      <c r="R795" s="2">
        <v>48.76</v>
      </c>
      <c r="S795">
        <v>1</v>
      </c>
      <c r="T795" t="s">
        <v>58</v>
      </c>
      <c r="U795" t="s">
        <v>59</v>
      </c>
      <c r="V795" s="3">
        <v>0.7</v>
      </c>
      <c r="W795" s="2">
        <v>0</v>
      </c>
      <c r="X795">
        <v>0</v>
      </c>
      <c r="Y795" t="s">
        <v>60</v>
      </c>
      <c r="Z795" t="s">
        <v>239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34.130000000000003</v>
      </c>
      <c r="AN795" s="2">
        <v>34.130000000000003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46188</v>
      </c>
      <c r="B796" t="s">
        <v>48</v>
      </c>
      <c r="C796">
        <v>649163</v>
      </c>
      <c r="D796">
        <v>2032667003</v>
      </c>
      <c r="E796" t="s">
        <v>601</v>
      </c>
      <c r="F796" t="s">
        <v>602</v>
      </c>
      <c r="G796" t="s">
        <v>51</v>
      </c>
      <c r="H796" t="s">
        <v>70</v>
      </c>
      <c r="I796" t="s">
        <v>182</v>
      </c>
      <c r="J796" t="s">
        <v>183</v>
      </c>
      <c r="K796">
        <v>856824</v>
      </c>
      <c r="L796" t="s">
        <v>205</v>
      </c>
      <c r="M796" t="s">
        <v>206</v>
      </c>
      <c r="N796" t="s">
        <v>57</v>
      </c>
      <c r="O796" s="1">
        <v>46004</v>
      </c>
      <c r="Q796" s="1">
        <v>46216</v>
      </c>
      <c r="R796" s="2">
        <v>143.38</v>
      </c>
      <c r="S796">
        <v>1</v>
      </c>
      <c r="T796" t="s">
        <v>58</v>
      </c>
      <c r="U796" t="s">
        <v>59</v>
      </c>
      <c r="V796" s="3">
        <v>0.7</v>
      </c>
      <c r="W796" s="2">
        <v>0</v>
      </c>
      <c r="X796">
        <v>0</v>
      </c>
      <c r="Y796" t="s">
        <v>60</v>
      </c>
      <c r="Z796" t="s">
        <v>239</v>
      </c>
      <c r="AA796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100.37</v>
      </c>
      <c r="AN796" s="2">
        <v>100.37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46188</v>
      </c>
      <c r="B797" t="s">
        <v>48</v>
      </c>
      <c r="C797">
        <v>649163</v>
      </c>
      <c r="D797">
        <v>2032669964</v>
      </c>
      <c r="E797" t="s">
        <v>908</v>
      </c>
      <c r="F797" t="s">
        <v>909</v>
      </c>
      <c r="G797" t="s">
        <v>51</v>
      </c>
      <c r="H797" t="s">
        <v>119</v>
      </c>
      <c r="I797" t="s">
        <v>182</v>
      </c>
      <c r="J797" t="s">
        <v>183</v>
      </c>
      <c r="K797">
        <v>813184</v>
      </c>
      <c r="L797" t="s">
        <v>328</v>
      </c>
      <c r="M797" t="s">
        <v>329</v>
      </c>
      <c r="N797" t="s">
        <v>57</v>
      </c>
      <c r="O797" s="1">
        <v>46005</v>
      </c>
      <c r="Q797" s="1">
        <v>46217</v>
      </c>
      <c r="R797" s="2">
        <v>18.45</v>
      </c>
      <c r="S797">
        <v>1</v>
      </c>
      <c r="T797" t="s">
        <v>58</v>
      </c>
      <c r="U797" t="s">
        <v>59</v>
      </c>
      <c r="V797" s="3">
        <v>0.7</v>
      </c>
      <c r="W797" s="2">
        <v>0</v>
      </c>
      <c r="X797">
        <v>0</v>
      </c>
      <c r="Y797" t="s">
        <v>60</v>
      </c>
      <c r="Z797" t="s">
        <v>239</v>
      </c>
      <c r="AA797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12.92</v>
      </c>
      <c r="AN797" s="2">
        <v>12.92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46188</v>
      </c>
      <c r="B798" t="s">
        <v>48</v>
      </c>
      <c r="C798">
        <v>649163</v>
      </c>
      <c r="D798">
        <v>2032677762</v>
      </c>
      <c r="E798" t="s">
        <v>970</v>
      </c>
      <c r="F798" t="s">
        <v>971</v>
      </c>
      <c r="G798" t="s">
        <v>51</v>
      </c>
      <c r="H798" t="s">
        <v>119</v>
      </c>
      <c r="I798" t="s">
        <v>182</v>
      </c>
      <c r="J798" t="s">
        <v>183</v>
      </c>
      <c r="K798">
        <v>807212</v>
      </c>
      <c r="L798" t="s">
        <v>216</v>
      </c>
      <c r="M798" t="s">
        <v>217</v>
      </c>
      <c r="N798" t="s">
        <v>57</v>
      </c>
      <c r="O798" s="1">
        <v>46005</v>
      </c>
      <c r="Q798" s="1">
        <v>46217</v>
      </c>
      <c r="R798" s="2">
        <v>51</v>
      </c>
      <c r="S798">
        <v>1</v>
      </c>
      <c r="T798" t="s">
        <v>58</v>
      </c>
      <c r="U798" t="s">
        <v>59</v>
      </c>
      <c r="V798" s="3">
        <v>0.7</v>
      </c>
      <c r="W798" s="2">
        <v>0</v>
      </c>
      <c r="X798">
        <v>0</v>
      </c>
      <c r="Y798" t="s">
        <v>60</v>
      </c>
      <c r="Z798" t="s">
        <v>239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35.700000000000003</v>
      </c>
      <c r="AN798" s="2">
        <v>35.700000000000003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46188</v>
      </c>
      <c r="B799" t="s">
        <v>48</v>
      </c>
      <c r="C799">
        <v>649163</v>
      </c>
      <c r="D799">
        <v>2032679124</v>
      </c>
      <c r="E799" t="s">
        <v>972</v>
      </c>
      <c r="F799" t="s">
        <v>513</v>
      </c>
      <c r="G799" t="s">
        <v>51</v>
      </c>
      <c r="H799" t="s">
        <v>119</v>
      </c>
      <c r="I799" t="s">
        <v>182</v>
      </c>
      <c r="J799" t="s">
        <v>183</v>
      </c>
      <c r="K799">
        <v>812656</v>
      </c>
      <c r="L799" t="s">
        <v>414</v>
      </c>
      <c r="M799" t="s">
        <v>415</v>
      </c>
      <c r="N799" t="s">
        <v>57</v>
      </c>
      <c r="O799" s="1">
        <v>46006</v>
      </c>
      <c r="Q799" s="1">
        <v>46218</v>
      </c>
      <c r="R799" s="2">
        <v>39.35</v>
      </c>
      <c r="S799">
        <v>1</v>
      </c>
      <c r="T799" t="s">
        <v>58</v>
      </c>
      <c r="U799" t="s">
        <v>59</v>
      </c>
      <c r="V799" s="3">
        <v>0.7</v>
      </c>
      <c r="W799" s="2">
        <v>0</v>
      </c>
      <c r="X799">
        <v>0</v>
      </c>
      <c r="Y799" t="s">
        <v>60</v>
      </c>
      <c r="Z799" t="s">
        <v>239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27.54</v>
      </c>
      <c r="AN799" s="2">
        <v>27.54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46188</v>
      </c>
      <c r="B800" t="s">
        <v>48</v>
      </c>
      <c r="C800">
        <v>649163</v>
      </c>
      <c r="D800">
        <v>2032687359</v>
      </c>
      <c r="E800" t="s">
        <v>603</v>
      </c>
      <c r="F800" t="s">
        <v>175</v>
      </c>
      <c r="G800" t="s">
        <v>51</v>
      </c>
      <c r="H800" t="s">
        <v>119</v>
      </c>
      <c r="I800" t="s">
        <v>182</v>
      </c>
      <c r="J800" t="s">
        <v>183</v>
      </c>
      <c r="K800">
        <v>823350</v>
      </c>
      <c r="L800" t="s">
        <v>73</v>
      </c>
      <c r="M800" t="s">
        <v>116</v>
      </c>
      <c r="N800" t="s">
        <v>57</v>
      </c>
      <c r="O800" s="1">
        <v>46010</v>
      </c>
      <c r="Q800" s="1">
        <v>46222</v>
      </c>
      <c r="R800" s="2">
        <v>209.78</v>
      </c>
      <c r="S800">
        <v>1</v>
      </c>
      <c r="T800" t="s">
        <v>58</v>
      </c>
      <c r="U800" t="s">
        <v>59</v>
      </c>
      <c r="V800" s="3">
        <v>0.7</v>
      </c>
      <c r="W800" s="2">
        <v>0</v>
      </c>
      <c r="X800">
        <v>0</v>
      </c>
      <c r="Y800" t="s">
        <v>60</v>
      </c>
      <c r="Z800" t="s">
        <v>239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146.85</v>
      </c>
      <c r="AN800" s="2">
        <v>146.85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46188</v>
      </c>
      <c r="B801" t="s">
        <v>48</v>
      </c>
      <c r="C801">
        <v>649163</v>
      </c>
      <c r="D801">
        <v>2032688675</v>
      </c>
      <c r="E801" t="s">
        <v>973</v>
      </c>
      <c r="F801" t="s">
        <v>974</v>
      </c>
      <c r="G801" t="s">
        <v>51</v>
      </c>
      <c r="H801" t="s">
        <v>119</v>
      </c>
      <c r="I801" t="s">
        <v>182</v>
      </c>
      <c r="J801" t="s">
        <v>183</v>
      </c>
      <c r="K801">
        <v>807212</v>
      </c>
      <c r="L801" t="s">
        <v>216</v>
      </c>
      <c r="M801" t="s">
        <v>217</v>
      </c>
      <c r="N801" t="s">
        <v>57</v>
      </c>
      <c r="O801" s="1">
        <v>46007</v>
      </c>
      <c r="Q801" s="1">
        <v>46219</v>
      </c>
      <c r="R801" s="2">
        <v>24.65</v>
      </c>
      <c r="S801">
        <v>1</v>
      </c>
      <c r="T801" t="s">
        <v>58</v>
      </c>
      <c r="U801" t="s">
        <v>59</v>
      </c>
      <c r="V801" s="3">
        <v>0.7</v>
      </c>
      <c r="W801" s="2">
        <v>0</v>
      </c>
      <c r="X801">
        <v>0</v>
      </c>
      <c r="Y801" t="s">
        <v>60</v>
      </c>
      <c r="Z801" t="s">
        <v>239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17.260000000000002</v>
      </c>
      <c r="AN801" s="2">
        <v>17.260000000000002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46188</v>
      </c>
      <c r="B802" t="s">
        <v>48</v>
      </c>
      <c r="C802">
        <v>649163</v>
      </c>
      <c r="D802">
        <v>2032689734</v>
      </c>
      <c r="E802" t="s">
        <v>975</v>
      </c>
      <c r="F802" t="s">
        <v>256</v>
      </c>
      <c r="G802" t="s">
        <v>51</v>
      </c>
      <c r="H802" t="s">
        <v>95</v>
      </c>
      <c r="I802" t="s">
        <v>182</v>
      </c>
      <c r="J802" t="s">
        <v>183</v>
      </c>
      <c r="K802">
        <v>878036</v>
      </c>
      <c r="L802" t="s">
        <v>514</v>
      </c>
      <c r="M802" t="s">
        <v>515</v>
      </c>
      <c r="N802" t="s">
        <v>57</v>
      </c>
      <c r="O802" s="1">
        <v>46007</v>
      </c>
      <c r="Q802" s="1">
        <v>46219</v>
      </c>
      <c r="R802" s="2">
        <v>22.83</v>
      </c>
      <c r="S802">
        <v>1</v>
      </c>
      <c r="T802" t="s">
        <v>58</v>
      </c>
      <c r="U802" t="s">
        <v>59</v>
      </c>
      <c r="V802" s="3">
        <v>0.7</v>
      </c>
      <c r="W802" s="2">
        <v>0</v>
      </c>
      <c r="X802">
        <v>0</v>
      </c>
      <c r="Y802" t="s">
        <v>60</v>
      </c>
      <c r="Z802" t="s">
        <v>239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15.98</v>
      </c>
      <c r="AN802" s="2">
        <v>15.98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46188</v>
      </c>
      <c r="B803" t="s">
        <v>48</v>
      </c>
      <c r="C803">
        <v>649163</v>
      </c>
      <c r="D803">
        <v>2032692414</v>
      </c>
      <c r="E803" t="s">
        <v>604</v>
      </c>
      <c r="F803" t="s">
        <v>605</v>
      </c>
      <c r="G803" t="s">
        <v>51</v>
      </c>
      <c r="H803" t="s">
        <v>193</v>
      </c>
      <c r="I803" t="s">
        <v>182</v>
      </c>
      <c r="J803" t="s">
        <v>194</v>
      </c>
      <c r="K803">
        <v>823068</v>
      </c>
      <c r="L803" t="s">
        <v>195</v>
      </c>
      <c r="M803" t="s">
        <v>196</v>
      </c>
      <c r="N803" t="s">
        <v>57</v>
      </c>
      <c r="O803" s="1">
        <v>46007</v>
      </c>
      <c r="Q803" s="1">
        <v>46219</v>
      </c>
      <c r="R803" s="2">
        <v>56.75</v>
      </c>
      <c r="S803">
        <v>1</v>
      </c>
      <c r="T803" t="s">
        <v>58</v>
      </c>
      <c r="U803" t="s">
        <v>59</v>
      </c>
      <c r="V803" s="3">
        <v>0.9</v>
      </c>
      <c r="W803" s="2">
        <v>0</v>
      </c>
      <c r="X803">
        <v>0</v>
      </c>
      <c r="Y803" t="s">
        <v>60</v>
      </c>
      <c r="Z803" t="s">
        <v>239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51.08</v>
      </c>
      <c r="AN803" s="2">
        <v>51.08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46188</v>
      </c>
      <c r="B804" t="s">
        <v>48</v>
      </c>
      <c r="C804">
        <v>649163</v>
      </c>
      <c r="D804">
        <v>2032693407</v>
      </c>
      <c r="E804" t="s">
        <v>606</v>
      </c>
      <c r="F804" t="s">
        <v>607</v>
      </c>
      <c r="G804" t="s">
        <v>51</v>
      </c>
      <c r="H804" t="s">
        <v>305</v>
      </c>
      <c r="I804" t="s">
        <v>182</v>
      </c>
      <c r="J804" t="s">
        <v>194</v>
      </c>
      <c r="K804">
        <v>816021</v>
      </c>
      <c r="L804" t="s">
        <v>312</v>
      </c>
      <c r="M804" t="s">
        <v>313</v>
      </c>
      <c r="N804" t="s">
        <v>57</v>
      </c>
      <c r="O804" s="1">
        <v>46007</v>
      </c>
      <c r="Q804" s="1">
        <v>46219</v>
      </c>
      <c r="R804" s="2">
        <v>41.75</v>
      </c>
      <c r="S804">
        <v>1</v>
      </c>
      <c r="T804" t="s">
        <v>58</v>
      </c>
      <c r="U804" t="s">
        <v>59</v>
      </c>
      <c r="V804" s="3">
        <v>0.9</v>
      </c>
      <c r="W804" s="2">
        <v>0</v>
      </c>
      <c r="X804">
        <v>0</v>
      </c>
      <c r="Y804" t="s">
        <v>60</v>
      </c>
      <c r="Z804" t="s">
        <v>239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37.58</v>
      </c>
      <c r="AN804" s="2">
        <v>37.58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46188</v>
      </c>
      <c r="B805" t="s">
        <v>48</v>
      </c>
      <c r="C805">
        <v>649163</v>
      </c>
      <c r="D805">
        <v>2032693409</v>
      </c>
      <c r="E805" t="s">
        <v>606</v>
      </c>
      <c r="F805" t="s">
        <v>607</v>
      </c>
      <c r="G805" t="s">
        <v>51</v>
      </c>
      <c r="H805" t="s">
        <v>305</v>
      </c>
      <c r="I805" t="s">
        <v>182</v>
      </c>
      <c r="J805" t="s">
        <v>183</v>
      </c>
      <c r="K805">
        <v>816021</v>
      </c>
      <c r="L805" t="s">
        <v>312</v>
      </c>
      <c r="M805" t="s">
        <v>313</v>
      </c>
      <c r="N805" t="s">
        <v>57</v>
      </c>
      <c r="O805" s="1">
        <v>46007</v>
      </c>
      <c r="Q805" s="1">
        <v>46219</v>
      </c>
      <c r="R805" s="2">
        <v>9.1</v>
      </c>
      <c r="S805">
        <v>1</v>
      </c>
      <c r="T805" t="s">
        <v>58</v>
      </c>
      <c r="U805" t="s">
        <v>59</v>
      </c>
      <c r="V805" s="3">
        <v>0.7</v>
      </c>
      <c r="W805" s="2">
        <v>0</v>
      </c>
      <c r="X805">
        <v>0</v>
      </c>
      <c r="Y805" t="s">
        <v>60</v>
      </c>
      <c r="Z805" t="s">
        <v>239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6.37</v>
      </c>
      <c r="AN805" s="2">
        <v>6.37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46188</v>
      </c>
      <c r="B806" t="s">
        <v>48</v>
      </c>
      <c r="C806">
        <v>649163</v>
      </c>
      <c r="D806">
        <v>2032702300</v>
      </c>
      <c r="E806" t="s">
        <v>608</v>
      </c>
      <c r="F806" t="s">
        <v>609</v>
      </c>
      <c r="G806" t="s">
        <v>51</v>
      </c>
      <c r="H806" t="s">
        <v>209</v>
      </c>
      <c r="I806" t="s">
        <v>182</v>
      </c>
      <c r="J806" t="s">
        <v>183</v>
      </c>
      <c r="K806">
        <v>823350</v>
      </c>
      <c r="L806" t="s">
        <v>73</v>
      </c>
      <c r="M806" t="s">
        <v>116</v>
      </c>
      <c r="N806" t="s">
        <v>57</v>
      </c>
      <c r="O806" s="1">
        <v>46010</v>
      </c>
      <c r="Q806" s="1">
        <v>46222</v>
      </c>
      <c r="R806" s="2">
        <v>17.38</v>
      </c>
      <c r="S806">
        <v>1</v>
      </c>
      <c r="T806" t="s">
        <v>58</v>
      </c>
      <c r="U806" t="s">
        <v>59</v>
      </c>
      <c r="V806" s="3">
        <v>0.7</v>
      </c>
      <c r="W806" s="2">
        <v>0</v>
      </c>
      <c r="X806">
        <v>0</v>
      </c>
      <c r="Y806" t="s">
        <v>60</v>
      </c>
      <c r="Z806" t="s">
        <v>239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12.17</v>
      </c>
      <c r="AN806" s="2">
        <v>12.17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46188</v>
      </c>
      <c r="B807" t="s">
        <v>48</v>
      </c>
      <c r="C807">
        <v>649163</v>
      </c>
      <c r="D807">
        <v>2032715766</v>
      </c>
      <c r="E807" t="s">
        <v>910</v>
      </c>
      <c r="F807" t="s">
        <v>392</v>
      </c>
      <c r="G807" t="s">
        <v>51</v>
      </c>
      <c r="H807" t="s">
        <v>119</v>
      </c>
      <c r="I807" t="s">
        <v>182</v>
      </c>
      <c r="J807" t="s">
        <v>183</v>
      </c>
      <c r="K807">
        <v>823350</v>
      </c>
      <c r="L807" t="s">
        <v>73</v>
      </c>
      <c r="M807" t="s">
        <v>116</v>
      </c>
      <c r="N807" t="s">
        <v>57</v>
      </c>
      <c r="O807" s="1">
        <v>46008</v>
      </c>
      <c r="Q807" s="1">
        <v>46220</v>
      </c>
      <c r="R807" s="2">
        <v>11.5</v>
      </c>
      <c r="S807">
        <v>1</v>
      </c>
      <c r="T807" t="s">
        <v>58</v>
      </c>
      <c r="U807" t="s">
        <v>59</v>
      </c>
      <c r="V807" s="3">
        <v>0.7</v>
      </c>
      <c r="W807" s="2">
        <v>0</v>
      </c>
      <c r="X807">
        <v>0</v>
      </c>
      <c r="Y807" t="s">
        <v>60</v>
      </c>
      <c r="Z807" t="s">
        <v>239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8.0500000000000007</v>
      </c>
      <c r="AN807" s="2">
        <v>8.0500000000000007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46188</v>
      </c>
      <c r="B808" t="s">
        <v>48</v>
      </c>
      <c r="C808">
        <v>649163</v>
      </c>
      <c r="D808">
        <v>2032740681</v>
      </c>
      <c r="E808" t="s">
        <v>976</v>
      </c>
      <c r="F808" t="s">
        <v>607</v>
      </c>
      <c r="G808" t="s">
        <v>51</v>
      </c>
      <c r="H808" t="s">
        <v>70</v>
      </c>
      <c r="I808" t="s">
        <v>182</v>
      </c>
      <c r="J808" t="s">
        <v>183</v>
      </c>
      <c r="K808">
        <v>893408</v>
      </c>
      <c r="L808" t="s">
        <v>595</v>
      </c>
      <c r="M808" t="s">
        <v>596</v>
      </c>
      <c r="N808" t="s">
        <v>57</v>
      </c>
      <c r="O808" s="1">
        <v>46009</v>
      </c>
      <c r="Q808" s="1">
        <v>46221</v>
      </c>
      <c r="R808" s="2">
        <v>101.99</v>
      </c>
      <c r="S808">
        <v>1</v>
      </c>
      <c r="T808" t="s">
        <v>58</v>
      </c>
      <c r="U808" t="s">
        <v>59</v>
      </c>
      <c r="V808" s="3">
        <v>0.7</v>
      </c>
      <c r="W808" s="2">
        <v>0</v>
      </c>
      <c r="X808">
        <v>0</v>
      </c>
      <c r="Y808" t="s">
        <v>60</v>
      </c>
      <c r="Z808" t="s">
        <v>239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71.39</v>
      </c>
      <c r="AN808" s="2">
        <v>71.39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46188</v>
      </c>
      <c r="B809" t="s">
        <v>48</v>
      </c>
      <c r="C809">
        <v>649163</v>
      </c>
      <c r="D809">
        <v>2032750530</v>
      </c>
      <c r="E809" t="s">
        <v>977</v>
      </c>
      <c r="F809" t="s">
        <v>311</v>
      </c>
      <c r="G809" t="s">
        <v>51</v>
      </c>
      <c r="H809" t="s">
        <v>523</v>
      </c>
      <c r="I809" t="s">
        <v>182</v>
      </c>
      <c r="J809" t="s">
        <v>183</v>
      </c>
      <c r="K809">
        <v>751867</v>
      </c>
      <c r="L809" t="s">
        <v>55</v>
      </c>
      <c r="M809" t="s">
        <v>56</v>
      </c>
      <c r="N809" t="s">
        <v>57</v>
      </c>
      <c r="O809" s="1">
        <v>46010</v>
      </c>
      <c r="Q809" s="1">
        <v>46222</v>
      </c>
      <c r="R809" s="2">
        <v>77.180000000000007</v>
      </c>
      <c r="S809">
        <v>1</v>
      </c>
      <c r="T809" t="s">
        <v>58</v>
      </c>
      <c r="U809" t="s">
        <v>59</v>
      </c>
      <c r="V809" s="3">
        <v>0.7</v>
      </c>
      <c r="W809" s="2">
        <v>0</v>
      </c>
      <c r="X809">
        <v>0</v>
      </c>
      <c r="Y809" t="s">
        <v>60</v>
      </c>
      <c r="Z809" t="s">
        <v>239</v>
      </c>
      <c r="AA809">
        <v>0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54.03</v>
      </c>
      <c r="AN809" s="2">
        <v>54.03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46188</v>
      </c>
      <c r="B810" t="s">
        <v>48</v>
      </c>
      <c r="C810">
        <v>649163</v>
      </c>
      <c r="D810">
        <v>2032758148</v>
      </c>
      <c r="E810" t="s">
        <v>978</v>
      </c>
      <c r="F810" t="s">
        <v>979</v>
      </c>
      <c r="G810" t="s">
        <v>51</v>
      </c>
      <c r="H810" t="s">
        <v>119</v>
      </c>
      <c r="I810" t="s">
        <v>182</v>
      </c>
      <c r="J810" t="s">
        <v>183</v>
      </c>
      <c r="K810">
        <v>806645</v>
      </c>
      <c r="L810" t="s">
        <v>406</v>
      </c>
      <c r="M810" t="s">
        <v>407</v>
      </c>
      <c r="N810" t="s">
        <v>57</v>
      </c>
      <c r="O810" s="1">
        <v>46010</v>
      </c>
      <c r="Q810" s="1">
        <v>46222</v>
      </c>
      <c r="R810" s="2">
        <v>58.24</v>
      </c>
      <c r="S810">
        <v>1</v>
      </c>
      <c r="T810" t="s">
        <v>58</v>
      </c>
      <c r="U810" t="s">
        <v>59</v>
      </c>
      <c r="V810" s="3">
        <v>0.7</v>
      </c>
      <c r="W810" s="2">
        <v>0</v>
      </c>
      <c r="X810">
        <v>0</v>
      </c>
      <c r="Y810" t="s">
        <v>60</v>
      </c>
      <c r="Z810" t="s">
        <v>239</v>
      </c>
      <c r="AA810">
        <v>0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40.770000000000003</v>
      </c>
      <c r="AN810" s="2">
        <v>40.770000000000003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46188</v>
      </c>
      <c r="B811" t="s">
        <v>48</v>
      </c>
      <c r="C811">
        <v>649163</v>
      </c>
      <c r="D811">
        <v>2032774965</v>
      </c>
      <c r="E811" t="s">
        <v>610</v>
      </c>
      <c r="F811" t="s">
        <v>611</v>
      </c>
      <c r="G811" t="s">
        <v>51</v>
      </c>
      <c r="H811" t="s">
        <v>305</v>
      </c>
      <c r="I811" t="s">
        <v>182</v>
      </c>
      <c r="J811" t="s">
        <v>183</v>
      </c>
      <c r="K811">
        <v>816021</v>
      </c>
      <c r="L811" t="s">
        <v>312</v>
      </c>
      <c r="M811" t="s">
        <v>313</v>
      </c>
      <c r="N811" t="s">
        <v>57</v>
      </c>
      <c r="O811" s="1">
        <v>46006</v>
      </c>
      <c r="Q811" s="1">
        <v>46218</v>
      </c>
      <c r="R811" s="2">
        <v>9.1</v>
      </c>
      <c r="S811">
        <v>1</v>
      </c>
      <c r="T811" t="s">
        <v>58</v>
      </c>
      <c r="U811" t="s">
        <v>59</v>
      </c>
      <c r="V811" s="3">
        <v>0.7</v>
      </c>
      <c r="W811" s="2">
        <v>0</v>
      </c>
      <c r="X811">
        <v>0</v>
      </c>
      <c r="Y811" t="s">
        <v>60</v>
      </c>
      <c r="Z811" t="s">
        <v>239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6.37</v>
      </c>
      <c r="AN811" s="2">
        <v>6.37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46188</v>
      </c>
      <c r="B812" t="s">
        <v>48</v>
      </c>
      <c r="C812">
        <v>649163</v>
      </c>
      <c r="D812">
        <v>2032924844</v>
      </c>
      <c r="E812" t="s">
        <v>980</v>
      </c>
      <c r="F812" t="s">
        <v>981</v>
      </c>
      <c r="G812" t="s">
        <v>51</v>
      </c>
      <c r="H812" t="s">
        <v>83</v>
      </c>
      <c r="I812" t="s">
        <v>182</v>
      </c>
      <c r="J812" t="s">
        <v>183</v>
      </c>
      <c r="K812">
        <v>893473</v>
      </c>
      <c r="L812" t="s">
        <v>982</v>
      </c>
      <c r="M812" t="s">
        <v>983</v>
      </c>
      <c r="N812" t="s">
        <v>57</v>
      </c>
      <c r="O812" s="1">
        <v>46037</v>
      </c>
      <c r="Q812" s="1">
        <v>46218</v>
      </c>
      <c r="R812" s="2">
        <v>44</v>
      </c>
      <c r="S812">
        <v>1</v>
      </c>
      <c r="T812" t="s">
        <v>58</v>
      </c>
      <c r="U812" t="s">
        <v>59</v>
      </c>
      <c r="V812" s="3">
        <v>0.7</v>
      </c>
      <c r="W812" s="2">
        <v>0</v>
      </c>
      <c r="X812">
        <v>0</v>
      </c>
      <c r="Y812" t="s">
        <v>60</v>
      </c>
      <c r="Z812" t="s">
        <v>239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30.8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46188</v>
      </c>
      <c r="B813" t="s">
        <v>48</v>
      </c>
      <c r="C813">
        <v>649163</v>
      </c>
      <c r="D813">
        <v>2033010787</v>
      </c>
      <c r="E813" t="s">
        <v>984</v>
      </c>
      <c r="F813" t="s">
        <v>985</v>
      </c>
      <c r="G813" t="s">
        <v>51</v>
      </c>
      <c r="H813" t="s">
        <v>193</v>
      </c>
      <c r="I813" t="s">
        <v>182</v>
      </c>
      <c r="J813" t="s">
        <v>202</v>
      </c>
      <c r="K813">
        <v>861933</v>
      </c>
      <c r="L813" t="s">
        <v>544</v>
      </c>
      <c r="M813" t="s">
        <v>545</v>
      </c>
      <c r="N813" t="s">
        <v>57</v>
      </c>
      <c r="O813" s="1">
        <v>46037</v>
      </c>
      <c r="Q813" s="1">
        <v>46218</v>
      </c>
      <c r="R813" s="2">
        <v>24.61</v>
      </c>
      <c r="S813">
        <v>1</v>
      </c>
      <c r="T813" t="s">
        <v>58</v>
      </c>
      <c r="U813" t="s">
        <v>59</v>
      </c>
      <c r="V813" s="3">
        <v>0.7</v>
      </c>
      <c r="W813" s="2">
        <v>0</v>
      </c>
      <c r="X813">
        <v>0</v>
      </c>
      <c r="Y813" t="s">
        <v>60</v>
      </c>
      <c r="Z813" t="s">
        <v>239</v>
      </c>
      <c r="AA813">
        <v>0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17.23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46188</v>
      </c>
      <c r="B814" t="s">
        <v>48</v>
      </c>
      <c r="C814">
        <v>649163</v>
      </c>
      <c r="D814">
        <v>2033054175</v>
      </c>
      <c r="E814" t="s">
        <v>612</v>
      </c>
      <c r="F814" t="s">
        <v>613</v>
      </c>
      <c r="G814" t="s">
        <v>51</v>
      </c>
      <c r="H814" t="s">
        <v>292</v>
      </c>
      <c r="I814" t="s">
        <v>182</v>
      </c>
      <c r="J814" t="s">
        <v>183</v>
      </c>
      <c r="K814">
        <v>651818</v>
      </c>
      <c r="L814" t="s">
        <v>79</v>
      </c>
      <c r="M814" t="s">
        <v>80</v>
      </c>
      <c r="N814" t="s">
        <v>57</v>
      </c>
      <c r="O814" s="1">
        <v>46038</v>
      </c>
      <c r="Q814" s="1">
        <v>46219</v>
      </c>
      <c r="R814" s="2">
        <v>89.52</v>
      </c>
      <c r="S814">
        <v>1</v>
      </c>
      <c r="T814" t="s">
        <v>58</v>
      </c>
      <c r="U814" t="s">
        <v>59</v>
      </c>
      <c r="V814" s="3">
        <v>0.7</v>
      </c>
      <c r="W814" s="2">
        <v>0</v>
      </c>
      <c r="X814">
        <v>0</v>
      </c>
      <c r="Y814" t="s">
        <v>60</v>
      </c>
      <c r="Z814" t="s">
        <v>239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62.66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46188</v>
      </c>
      <c r="B815" t="s">
        <v>48</v>
      </c>
      <c r="C815">
        <v>649163</v>
      </c>
      <c r="D815">
        <v>2033057488</v>
      </c>
      <c r="E815" t="s">
        <v>913</v>
      </c>
      <c r="F815" t="s">
        <v>609</v>
      </c>
      <c r="G815" t="s">
        <v>51</v>
      </c>
      <c r="H815" t="s">
        <v>119</v>
      </c>
      <c r="I815" t="s">
        <v>182</v>
      </c>
      <c r="J815" t="s">
        <v>183</v>
      </c>
      <c r="K815">
        <v>806645</v>
      </c>
      <c r="L815" t="s">
        <v>406</v>
      </c>
      <c r="M815" t="s">
        <v>407</v>
      </c>
      <c r="N815" t="s">
        <v>57</v>
      </c>
      <c r="O815" s="1">
        <v>46037</v>
      </c>
      <c r="Q815" s="1">
        <v>46218</v>
      </c>
      <c r="R815" s="2">
        <v>11.5</v>
      </c>
      <c r="S815">
        <v>1</v>
      </c>
      <c r="T815" t="s">
        <v>58</v>
      </c>
      <c r="U815" t="s">
        <v>59</v>
      </c>
      <c r="V815" s="3">
        <v>0.7</v>
      </c>
      <c r="W815" s="2">
        <v>0</v>
      </c>
      <c r="X815">
        <v>0</v>
      </c>
      <c r="Y815" t="s">
        <v>60</v>
      </c>
      <c r="Z815" t="s">
        <v>239</v>
      </c>
      <c r="AA815">
        <v>0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8.0500000000000007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46188</v>
      </c>
      <c r="B816" t="s">
        <v>48</v>
      </c>
      <c r="C816">
        <v>649163</v>
      </c>
      <c r="D816">
        <v>2033084715</v>
      </c>
      <c r="E816" t="s">
        <v>914</v>
      </c>
      <c r="F816" t="s">
        <v>915</v>
      </c>
      <c r="G816" t="s">
        <v>51</v>
      </c>
      <c r="H816" t="s">
        <v>119</v>
      </c>
      <c r="I816" t="s">
        <v>182</v>
      </c>
      <c r="J816" t="s">
        <v>183</v>
      </c>
      <c r="K816">
        <v>884312</v>
      </c>
      <c r="L816" t="s">
        <v>916</v>
      </c>
      <c r="M816" t="s">
        <v>917</v>
      </c>
      <c r="N816" t="s">
        <v>57</v>
      </c>
      <c r="O816" s="1">
        <v>46036</v>
      </c>
      <c r="Q816" s="1">
        <v>46217</v>
      </c>
      <c r="R816" s="2">
        <v>19</v>
      </c>
      <c r="S816">
        <v>1</v>
      </c>
      <c r="T816" t="s">
        <v>58</v>
      </c>
      <c r="U816" t="s">
        <v>59</v>
      </c>
      <c r="V816" s="3">
        <v>0.7</v>
      </c>
      <c r="W816" s="2">
        <v>0</v>
      </c>
      <c r="X816">
        <v>0</v>
      </c>
      <c r="Y816" t="s">
        <v>60</v>
      </c>
      <c r="Z816" t="s">
        <v>239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13.3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46188</v>
      </c>
      <c r="B817" t="s">
        <v>48</v>
      </c>
      <c r="C817">
        <v>649163</v>
      </c>
      <c r="D817">
        <v>2033088373</v>
      </c>
      <c r="E817" t="s">
        <v>614</v>
      </c>
      <c r="F817" t="s">
        <v>615</v>
      </c>
      <c r="G817" t="s">
        <v>51</v>
      </c>
      <c r="H817" t="s">
        <v>193</v>
      </c>
      <c r="I817" t="s">
        <v>182</v>
      </c>
      <c r="J817" t="s">
        <v>202</v>
      </c>
      <c r="K817">
        <v>823068</v>
      </c>
      <c r="L817" t="s">
        <v>195</v>
      </c>
      <c r="M817" t="s">
        <v>196</v>
      </c>
      <c r="N817" t="s">
        <v>57</v>
      </c>
      <c r="O817" s="1">
        <v>46038</v>
      </c>
      <c r="Q817" s="1">
        <v>46219</v>
      </c>
      <c r="R817" s="2">
        <v>55.58</v>
      </c>
      <c r="S817">
        <v>1</v>
      </c>
      <c r="T817" t="s">
        <v>58</v>
      </c>
      <c r="U817" t="s">
        <v>59</v>
      </c>
      <c r="V817" s="3">
        <v>0.7</v>
      </c>
      <c r="W817" s="2">
        <v>0</v>
      </c>
      <c r="X817">
        <v>0</v>
      </c>
      <c r="Y817" t="s">
        <v>60</v>
      </c>
      <c r="Z817" t="s">
        <v>239</v>
      </c>
      <c r="AA817">
        <v>0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38.909999999999997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46188</v>
      </c>
      <c r="B818" t="s">
        <v>48</v>
      </c>
      <c r="C818">
        <v>649163</v>
      </c>
      <c r="D818">
        <v>2033089935</v>
      </c>
      <c r="E818" t="s">
        <v>616</v>
      </c>
      <c r="F818" t="s">
        <v>56</v>
      </c>
      <c r="G818" t="s">
        <v>51</v>
      </c>
      <c r="H818" t="s">
        <v>193</v>
      </c>
      <c r="I818" t="s">
        <v>182</v>
      </c>
      <c r="J818" t="s">
        <v>202</v>
      </c>
      <c r="K818">
        <v>823068</v>
      </c>
      <c r="L818" t="s">
        <v>195</v>
      </c>
      <c r="M818" t="s">
        <v>196</v>
      </c>
      <c r="N818" t="s">
        <v>57</v>
      </c>
      <c r="O818" s="1">
        <v>46035</v>
      </c>
      <c r="Q818" s="1">
        <v>46216</v>
      </c>
      <c r="R818" s="2">
        <v>24.61</v>
      </c>
      <c r="S818">
        <v>1</v>
      </c>
      <c r="T818" t="s">
        <v>58</v>
      </c>
      <c r="U818" t="s">
        <v>59</v>
      </c>
      <c r="V818" s="3">
        <v>0.7</v>
      </c>
      <c r="W818" s="2">
        <v>0</v>
      </c>
      <c r="X818">
        <v>0</v>
      </c>
      <c r="Y818" t="s">
        <v>60</v>
      </c>
      <c r="Z818" t="s">
        <v>239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17.23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46188</v>
      </c>
      <c r="B819" t="s">
        <v>48</v>
      </c>
      <c r="C819">
        <v>649163</v>
      </c>
      <c r="D819">
        <v>2033107247</v>
      </c>
      <c r="E819" t="s">
        <v>986</v>
      </c>
      <c r="F819" t="s">
        <v>638</v>
      </c>
      <c r="G819" t="s">
        <v>51</v>
      </c>
      <c r="H819" t="s">
        <v>292</v>
      </c>
      <c r="I819" t="s">
        <v>182</v>
      </c>
      <c r="J819" t="s">
        <v>183</v>
      </c>
      <c r="K819">
        <v>875334</v>
      </c>
      <c r="L819" t="s">
        <v>531</v>
      </c>
      <c r="M819" t="s">
        <v>532</v>
      </c>
      <c r="N819" t="s">
        <v>57</v>
      </c>
      <c r="O819" s="1">
        <v>46035</v>
      </c>
      <c r="Q819" s="1">
        <v>46216</v>
      </c>
      <c r="R819" s="2">
        <v>196.06</v>
      </c>
      <c r="S819">
        <v>1</v>
      </c>
      <c r="T819" t="s">
        <v>58</v>
      </c>
      <c r="U819" t="s">
        <v>59</v>
      </c>
      <c r="V819" s="3">
        <v>0.7</v>
      </c>
      <c r="W819" s="2">
        <v>0</v>
      </c>
      <c r="X819">
        <v>0</v>
      </c>
      <c r="Y819" t="s">
        <v>60</v>
      </c>
      <c r="Z819" t="s">
        <v>239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137.24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46188</v>
      </c>
      <c r="B820" t="s">
        <v>48</v>
      </c>
      <c r="C820">
        <v>649163</v>
      </c>
      <c r="D820">
        <v>2033117676</v>
      </c>
      <c r="E820" t="s">
        <v>622</v>
      </c>
      <c r="F820" t="s">
        <v>623</v>
      </c>
      <c r="G820" t="s">
        <v>51</v>
      </c>
      <c r="H820" t="s">
        <v>624</v>
      </c>
      <c r="I820" t="s">
        <v>182</v>
      </c>
      <c r="J820" t="s">
        <v>183</v>
      </c>
      <c r="K820">
        <v>651818</v>
      </c>
      <c r="L820" t="s">
        <v>79</v>
      </c>
      <c r="M820" t="s">
        <v>80</v>
      </c>
      <c r="N820" t="s">
        <v>57</v>
      </c>
      <c r="O820" s="1">
        <v>46059</v>
      </c>
      <c r="Q820" s="1">
        <v>46209</v>
      </c>
      <c r="R820" s="2">
        <v>80.56</v>
      </c>
      <c r="S820">
        <v>1</v>
      </c>
      <c r="T820" t="s">
        <v>58</v>
      </c>
      <c r="U820" t="s">
        <v>59</v>
      </c>
      <c r="V820" s="3">
        <v>0.7</v>
      </c>
      <c r="W820" s="2">
        <v>0</v>
      </c>
      <c r="X820">
        <v>0</v>
      </c>
      <c r="Y820" t="s">
        <v>60</v>
      </c>
      <c r="Z820" t="s">
        <v>239</v>
      </c>
      <c r="AA820">
        <v>0</v>
      </c>
      <c r="AB820" s="2">
        <v>0</v>
      </c>
      <c r="AC820" s="2">
        <v>0</v>
      </c>
      <c r="AD820" s="3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56.39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46188</v>
      </c>
      <c r="B821" t="s">
        <v>48</v>
      </c>
      <c r="C821">
        <v>649163</v>
      </c>
      <c r="D821">
        <v>2033118932</v>
      </c>
      <c r="E821" t="s">
        <v>918</v>
      </c>
      <c r="F821" t="s">
        <v>919</v>
      </c>
      <c r="G821" t="s">
        <v>51</v>
      </c>
      <c r="H821" t="s">
        <v>70</v>
      </c>
      <c r="I821" t="s">
        <v>182</v>
      </c>
      <c r="J821" t="s">
        <v>183</v>
      </c>
      <c r="K821">
        <v>812994</v>
      </c>
      <c r="L821" t="s">
        <v>495</v>
      </c>
      <c r="M821" t="s">
        <v>496</v>
      </c>
      <c r="N821" t="s">
        <v>57</v>
      </c>
      <c r="O821" s="1">
        <v>46035</v>
      </c>
      <c r="Q821" s="1">
        <v>46216</v>
      </c>
      <c r="R821" s="2">
        <v>45.46</v>
      </c>
      <c r="S821">
        <v>1</v>
      </c>
      <c r="T821" t="s">
        <v>58</v>
      </c>
      <c r="U821" t="s">
        <v>59</v>
      </c>
      <c r="V821" s="3">
        <v>0.7</v>
      </c>
      <c r="W821" s="2">
        <v>0</v>
      </c>
      <c r="X821">
        <v>0</v>
      </c>
      <c r="Y821" t="s">
        <v>60</v>
      </c>
      <c r="Z821" t="s">
        <v>239</v>
      </c>
      <c r="AA821">
        <v>0</v>
      </c>
      <c r="AB821" s="2">
        <v>0</v>
      </c>
      <c r="AC821" s="2">
        <v>0</v>
      </c>
      <c r="AD821" s="3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31.82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46188</v>
      </c>
      <c r="B822" t="s">
        <v>48</v>
      </c>
      <c r="C822">
        <v>649163</v>
      </c>
      <c r="D822">
        <v>2033120369</v>
      </c>
      <c r="E822" t="s">
        <v>987</v>
      </c>
      <c r="F822" t="s">
        <v>988</v>
      </c>
      <c r="G822" t="s">
        <v>51</v>
      </c>
      <c r="H822" t="s">
        <v>95</v>
      </c>
      <c r="I822" t="s">
        <v>182</v>
      </c>
      <c r="J822" t="s">
        <v>183</v>
      </c>
      <c r="K822">
        <v>812656</v>
      </c>
      <c r="L822" t="s">
        <v>414</v>
      </c>
      <c r="M822" t="s">
        <v>415</v>
      </c>
      <c r="N822" t="s">
        <v>57</v>
      </c>
      <c r="O822" s="1">
        <v>46036</v>
      </c>
      <c r="Q822" s="1">
        <v>46217</v>
      </c>
      <c r="R822" s="2">
        <v>41.59</v>
      </c>
      <c r="S822">
        <v>1</v>
      </c>
      <c r="T822" t="s">
        <v>58</v>
      </c>
      <c r="U822" t="s">
        <v>59</v>
      </c>
      <c r="V822" s="3">
        <v>0.7</v>
      </c>
      <c r="W822" s="2">
        <v>0</v>
      </c>
      <c r="X822">
        <v>0</v>
      </c>
      <c r="Y822" t="s">
        <v>60</v>
      </c>
      <c r="Z822" t="s">
        <v>239</v>
      </c>
      <c r="AA822">
        <v>0</v>
      </c>
      <c r="AB822" s="2">
        <v>0</v>
      </c>
      <c r="AC822" s="2">
        <v>0</v>
      </c>
      <c r="AD822" s="3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29.11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46188</v>
      </c>
      <c r="B823" t="s">
        <v>48</v>
      </c>
      <c r="C823">
        <v>649163</v>
      </c>
      <c r="D823">
        <v>2033124966</v>
      </c>
      <c r="E823" t="s">
        <v>989</v>
      </c>
      <c r="F823" t="s">
        <v>888</v>
      </c>
      <c r="G823" t="s">
        <v>51</v>
      </c>
      <c r="H823" t="s">
        <v>119</v>
      </c>
      <c r="I823" t="s">
        <v>182</v>
      </c>
      <c r="J823" t="s">
        <v>197</v>
      </c>
      <c r="K823">
        <v>814033</v>
      </c>
      <c r="L823" t="s">
        <v>122</v>
      </c>
      <c r="M823" t="s">
        <v>123</v>
      </c>
      <c r="N823" t="s">
        <v>57</v>
      </c>
      <c r="O823" s="1">
        <v>46036</v>
      </c>
      <c r="Q823" s="1">
        <v>46217</v>
      </c>
      <c r="R823" s="2">
        <v>25.08</v>
      </c>
      <c r="S823">
        <v>1</v>
      </c>
      <c r="T823" t="s">
        <v>58</v>
      </c>
      <c r="U823" t="s">
        <v>59</v>
      </c>
      <c r="V823" s="3">
        <v>0.42</v>
      </c>
      <c r="W823" s="2">
        <v>0</v>
      </c>
      <c r="X823">
        <v>0</v>
      </c>
      <c r="Y823" t="s">
        <v>60</v>
      </c>
      <c r="Z823" t="s">
        <v>239</v>
      </c>
      <c r="AA823">
        <v>0</v>
      </c>
      <c r="AB823" s="2">
        <v>0</v>
      </c>
      <c r="AC823" s="2">
        <v>0</v>
      </c>
      <c r="AD823" s="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10.53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46188</v>
      </c>
      <c r="B824" t="s">
        <v>48</v>
      </c>
      <c r="C824">
        <v>649163</v>
      </c>
      <c r="D824">
        <v>2033124967</v>
      </c>
      <c r="E824" t="s">
        <v>989</v>
      </c>
      <c r="F824" t="s">
        <v>888</v>
      </c>
      <c r="G824" t="s">
        <v>51</v>
      </c>
      <c r="H824" t="s">
        <v>119</v>
      </c>
      <c r="I824" t="s">
        <v>182</v>
      </c>
      <c r="J824" t="s">
        <v>183</v>
      </c>
      <c r="K824">
        <v>814033</v>
      </c>
      <c r="L824" t="s">
        <v>122</v>
      </c>
      <c r="M824" t="s">
        <v>123</v>
      </c>
      <c r="N824" t="s">
        <v>57</v>
      </c>
      <c r="O824" s="1">
        <v>46036</v>
      </c>
      <c r="Q824" s="1">
        <v>46217</v>
      </c>
      <c r="R824" s="2">
        <v>74</v>
      </c>
      <c r="S824">
        <v>1</v>
      </c>
      <c r="T824" t="s">
        <v>58</v>
      </c>
      <c r="U824" t="s">
        <v>59</v>
      </c>
      <c r="V824" s="3">
        <v>0.7</v>
      </c>
      <c r="W824" s="2">
        <v>0</v>
      </c>
      <c r="X824">
        <v>0</v>
      </c>
      <c r="Y824" t="s">
        <v>60</v>
      </c>
      <c r="Z824" t="s">
        <v>239</v>
      </c>
      <c r="AA824">
        <v>0</v>
      </c>
      <c r="AB824" s="2">
        <v>0</v>
      </c>
      <c r="AC824" s="2">
        <v>0</v>
      </c>
      <c r="AD824" s="3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51.8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46188</v>
      </c>
      <c r="B825" t="s">
        <v>48</v>
      </c>
      <c r="C825">
        <v>649163</v>
      </c>
      <c r="D825">
        <v>2033126148</v>
      </c>
      <c r="E825" t="s">
        <v>625</v>
      </c>
      <c r="F825" t="s">
        <v>626</v>
      </c>
      <c r="G825" t="s">
        <v>51</v>
      </c>
      <c r="H825" t="s">
        <v>95</v>
      </c>
      <c r="I825" t="s">
        <v>182</v>
      </c>
      <c r="J825" t="s">
        <v>183</v>
      </c>
      <c r="K825">
        <v>878036</v>
      </c>
      <c r="L825" t="s">
        <v>514</v>
      </c>
      <c r="M825" t="s">
        <v>515</v>
      </c>
      <c r="N825" t="s">
        <v>57</v>
      </c>
      <c r="O825" s="1">
        <v>46036</v>
      </c>
      <c r="Q825" s="1">
        <v>46217</v>
      </c>
      <c r="R825" s="2">
        <v>57.27</v>
      </c>
      <c r="S825">
        <v>1</v>
      </c>
      <c r="T825" t="s">
        <v>58</v>
      </c>
      <c r="U825" t="s">
        <v>59</v>
      </c>
      <c r="V825" s="3">
        <v>0.7</v>
      </c>
      <c r="W825" s="2">
        <v>0</v>
      </c>
      <c r="X825">
        <v>0</v>
      </c>
      <c r="Y825" t="s">
        <v>60</v>
      </c>
      <c r="Z825" t="s">
        <v>239</v>
      </c>
      <c r="AA825">
        <v>0</v>
      </c>
      <c r="AB825" s="2">
        <v>0</v>
      </c>
      <c r="AC825" s="2">
        <v>0</v>
      </c>
      <c r="AD825" s="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40.090000000000003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46188</v>
      </c>
      <c r="B826" t="s">
        <v>48</v>
      </c>
      <c r="C826">
        <v>649163</v>
      </c>
      <c r="D826">
        <v>2033128047</v>
      </c>
      <c r="E826" t="s">
        <v>627</v>
      </c>
      <c r="F826" t="s">
        <v>628</v>
      </c>
      <c r="G826" t="s">
        <v>51</v>
      </c>
      <c r="H826" t="s">
        <v>70</v>
      </c>
      <c r="I826" t="s">
        <v>182</v>
      </c>
      <c r="J826" t="s">
        <v>183</v>
      </c>
      <c r="K826">
        <v>823350</v>
      </c>
      <c r="L826" t="s">
        <v>73</v>
      </c>
      <c r="M826" t="s">
        <v>116</v>
      </c>
      <c r="N826" t="s">
        <v>57</v>
      </c>
      <c r="O826" s="1">
        <v>46038</v>
      </c>
      <c r="Q826" s="1">
        <v>46219</v>
      </c>
      <c r="R826" s="2">
        <v>299.38</v>
      </c>
      <c r="S826">
        <v>1</v>
      </c>
      <c r="T826" t="s">
        <v>58</v>
      </c>
      <c r="U826" t="s">
        <v>59</v>
      </c>
      <c r="V826" s="3">
        <v>0.7</v>
      </c>
      <c r="W826" s="2">
        <v>0</v>
      </c>
      <c r="X826">
        <v>0</v>
      </c>
      <c r="Y826" t="s">
        <v>60</v>
      </c>
      <c r="Z826" t="s">
        <v>239</v>
      </c>
      <c r="AA826">
        <v>0</v>
      </c>
      <c r="AB826" s="2">
        <v>0</v>
      </c>
      <c r="AC826" s="2">
        <v>0</v>
      </c>
      <c r="AD826" s="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209.57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46188</v>
      </c>
      <c r="B827" t="s">
        <v>48</v>
      </c>
      <c r="C827">
        <v>649163</v>
      </c>
      <c r="D827">
        <v>2033130829</v>
      </c>
      <c r="E827" t="s">
        <v>920</v>
      </c>
      <c r="F827" t="s">
        <v>513</v>
      </c>
      <c r="G827" t="s">
        <v>51</v>
      </c>
      <c r="H827" t="s">
        <v>95</v>
      </c>
      <c r="I827" t="s">
        <v>182</v>
      </c>
      <c r="J827" t="s">
        <v>183</v>
      </c>
      <c r="K827">
        <v>867497</v>
      </c>
      <c r="L827" t="s">
        <v>921</v>
      </c>
      <c r="M827" t="s">
        <v>922</v>
      </c>
      <c r="N827" t="s">
        <v>57</v>
      </c>
      <c r="O827" s="1">
        <v>46037</v>
      </c>
      <c r="Q827" s="1">
        <v>46218</v>
      </c>
      <c r="R827" s="2">
        <v>22.72</v>
      </c>
      <c r="S827">
        <v>1</v>
      </c>
      <c r="T827" t="s">
        <v>58</v>
      </c>
      <c r="U827" t="s">
        <v>59</v>
      </c>
      <c r="V827" s="3">
        <v>0.7</v>
      </c>
      <c r="W827" s="2">
        <v>0</v>
      </c>
      <c r="X827">
        <v>0</v>
      </c>
      <c r="Y827" t="s">
        <v>60</v>
      </c>
      <c r="Z827" t="s">
        <v>239</v>
      </c>
      <c r="AA827">
        <v>0</v>
      </c>
      <c r="AB827" s="2">
        <v>0</v>
      </c>
      <c r="AC827" s="2">
        <v>0</v>
      </c>
      <c r="AD827" s="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15.9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46188</v>
      </c>
      <c r="B828" t="s">
        <v>48</v>
      </c>
      <c r="C828">
        <v>649163</v>
      </c>
      <c r="D828">
        <v>2033137246</v>
      </c>
      <c r="E828" t="s">
        <v>949</v>
      </c>
      <c r="F828" t="s">
        <v>950</v>
      </c>
      <c r="G828" t="s">
        <v>51</v>
      </c>
      <c r="H828" t="s">
        <v>714</v>
      </c>
      <c r="I828" t="s">
        <v>182</v>
      </c>
      <c r="J828" t="s">
        <v>183</v>
      </c>
      <c r="K828">
        <v>756418</v>
      </c>
      <c r="L828" t="s">
        <v>419</v>
      </c>
      <c r="M828" t="s">
        <v>420</v>
      </c>
      <c r="N828" t="s">
        <v>57</v>
      </c>
      <c r="O828" s="1">
        <v>46036</v>
      </c>
      <c r="Q828" s="1">
        <v>46217</v>
      </c>
      <c r="R828" s="2">
        <v>67.62</v>
      </c>
      <c r="S828">
        <v>1</v>
      </c>
      <c r="T828" t="s">
        <v>58</v>
      </c>
      <c r="U828" t="s">
        <v>59</v>
      </c>
      <c r="V828" s="3">
        <v>0.7</v>
      </c>
      <c r="W828" s="2">
        <v>0</v>
      </c>
      <c r="X828">
        <v>0</v>
      </c>
      <c r="Y828" t="s">
        <v>60</v>
      </c>
      <c r="Z828" t="s">
        <v>239</v>
      </c>
      <c r="AA828">
        <v>0</v>
      </c>
      <c r="AB828" s="2">
        <v>0</v>
      </c>
      <c r="AC828" s="2">
        <v>0</v>
      </c>
      <c r="AD828" s="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47.33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46188</v>
      </c>
      <c r="B829" t="s">
        <v>48</v>
      </c>
      <c r="C829">
        <v>649163</v>
      </c>
      <c r="D829">
        <v>2033144396</v>
      </c>
      <c r="E829" t="s">
        <v>631</v>
      </c>
      <c r="F829" t="s">
        <v>632</v>
      </c>
      <c r="G829" t="s">
        <v>51</v>
      </c>
      <c r="H829" t="s">
        <v>100</v>
      </c>
      <c r="I829" t="s">
        <v>182</v>
      </c>
      <c r="J829" t="s">
        <v>183</v>
      </c>
      <c r="K829">
        <v>651818</v>
      </c>
      <c r="L829" t="s">
        <v>79</v>
      </c>
      <c r="M829" t="s">
        <v>80</v>
      </c>
      <c r="N829" t="s">
        <v>57</v>
      </c>
      <c r="O829" s="1">
        <v>46059</v>
      </c>
      <c r="Q829" s="1">
        <v>46209</v>
      </c>
      <c r="R829" s="2">
        <v>31.28</v>
      </c>
      <c r="S829">
        <v>1</v>
      </c>
      <c r="T829" t="s">
        <v>58</v>
      </c>
      <c r="U829" t="s">
        <v>59</v>
      </c>
      <c r="V829" s="3">
        <v>0.7</v>
      </c>
      <c r="W829" s="2">
        <v>0</v>
      </c>
      <c r="X829">
        <v>0</v>
      </c>
      <c r="Y829" t="s">
        <v>60</v>
      </c>
      <c r="Z829" t="s">
        <v>239</v>
      </c>
      <c r="AA829">
        <v>0</v>
      </c>
      <c r="AB829" s="2">
        <v>0</v>
      </c>
      <c r="AC829" s="2">
        <v>0</v>
      </c>
      <c r="AD829" s="3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21.9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46188</v>
      </c>
      <c r="B830" t="s">
        <v>48</v>
      </c>
      <c r="C830">
        <v>649163</v>
      </c>
      <c r="D830">
        <v>2033155462</v>
      </c>
      <c r="E830" t="s">
        <v>633</v>
      </c>
      <c r="F830" t="s">
        <v>634</v>
      </c>
      <c r="G830" t="s">
        <v>51</v>
      </c>
      <c r="H830" t="s">
        <v>119</v>
      </c>
      <c r="I830" t="s">
        <v>182</v>
      </c>
      <c r="J830" t="s">
        <v>183</v>
      </c>
      <c r="K830">
        <v>821015</v>
      </c>
      <c r="L830" t="s">
        <v>332</v>
      </c>
      <c r="M830" t="s">
        <v>333</v>
      </c>
      <c r="N830" t="s">
        <v>57</v>
      </c>
      <c r="O830" s="1">
        <v>46037</v>
      </c>
      <c r="Q830" s="1">
        <v>46218</v>
      </c>
      <c r="R830" s="2">
        <v>105.02</v>
      </c>
      <c r="S830">
        <v>1</v>
      </c>
      <c r="T830" t="s">
        <v>58</v>
      </c>
      <c r="U830" t="s">
        <v>59</v>
      </c>
      <c r="V830" s="3">
        <v>0.7</v>
      </c>
      <c r="W830" s="2">
        <v>0</v>
      </c>
      <c r="X830">
        <v>0</v>
      </c>
      <c r="Y830" t="s">
        <v>60</v>
      </c>
      <c r="Z830" t="s">
        <v>239</v>
      </c>
      <c r="AA830">
        <v>0</v>
      </c>
      <c r="AB830" s="2">
        <v>0</v>
      </c>
      <c r="AC830" s="2">
        <v>0</v>
      </c>
      <c r="AD830" s="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73.510000000000005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46188</v>
      </c>
      <c r="B831" t="s">
        <v>48</v>
      </c>
      <c r="C831">
        <v>649163</v>
      </c>
      <c r="D831">
        <v>2033164608</v>
      </c>
      <c r="E831" t="s">
        <v>635</v>
      </c>
      <c r="F831" t="s">
        <v>424</v>
      </c>
      <c r="G831" t="s">
        <v>51</v>
      </c>
      <c r="H831" t="s">
        <v>305</v>
      </c>
      <c r="I831" t="s">
        <v>182</v>
      </c>
      <c r="J831" t="s">
        <v>183</v>
      </c>
      <c r="K831">
        <v>816021</v>
      </c>
      <c r="L831" t="s">
        <v>312</v>
      </c>
      <c r="M831" t="s">
        <v>313</v>
      </c>
      <c r="N831" t="s">
        <v>57</v>
      </c>
      <c r="O831" s="1">
        <v>46038</v>
      </c>
      <c r="Q831" s="1">
        <v>46219</v>
      </c>
      <c r="R831" s="2">
        <v>9.1</v>
      </c>
      <c r="S831">
        <v>1</v>
      </c>
      <c r="T831" t="s">
        <v>58</v>
      </c>
      <c r="U831" t="s">
        <v>59</v>
      </c>
      <c r="V831" s="3">
        <v>0.7</v>
      </c>
      <c r="W831" s="2">
        <v>0</v>
      </c>
      <c r="X831">
        <v>0</v>
      </c>
      <c r="Y831" t="s">
        <v>60</v>
      </c>
      <c r="Z831" t="s">
        <v>239</v>
      </c>
      <c r="AA831">
        <v>0</v>
      </c>
      <c r="AB831" s="2">
        <v>0</v>
      </c>
      <c r="AC831" s="2">
        <v>0</v>
      </c>
      <c r="AD831" s="3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6.37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46188</v>
      </c>
      <c r="B832" t="s">
        <v>48</v>
      </c>
      <c r="C832">
        <v>649163</v>
      </c>
      <c r="D832">
        <v>2033167656</v>
      </c>
      <c r="E832" t="s">
        <v>990</v>
      </c>
      <c r="F832" t="s">
        <v>991</v>
      </c>
      <c r="G832" t="s">
        <v>51</v>
      </c>
      <c r="H832" t="s">
        <v>292</v>
      </c>
      <c r="I832" t="s">
        <v>182</v>
      </c>
      <c r="J832" t="s">
        <v>183</v>
      </c>
      <c r="K832">
        <v>839554</v>
      </c>
      <c r="L832" t="s">
        <v>992</v>
      </c>
      <c r="M832" t="s">
        <v>993</v>
      </c>
      <c r="N832" t="s">
        <v>57</v>
      </c>
      <c r="O832" s="1">
        <v>46038</v>
      </c>
      <c r="Q832" s="1">
        <v>46219</v>
      </c>
      <c r="R832" s="2">
        <v>89.52</v>
      </c>
      <c r="S832">
        <v>1</v>
      </c>
      <c r="T832" t="s">
        <v>58</v>
      </c>
      <c r="U832" t="s">
        <v>59</v>
      </c>
      <c r="V832" s="3">
        <v>0.7</v>
      </c>
      <c r="W832" s="2">
        <v>0</v>
      </c>
      <c r="X832">
        <v>0</v>
      </c>
      <c r="Y832" t="s">
        <v>60</v>
      </c>
      <c r="Z832" t="s">
        <v>239</v>
      </c>
      <c r="AA832">
        <v>0</v>
      </c>
      <c r="AB832" s="2">
        <v>0</v>
      </c>
      <c r="AC832" s="2">
        <v>0</v>
      </c>
      <c r="AD832" s="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62.66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46188</v>
      </c>
      <c r="B833" t="s">
        <v>48</v>
      </c>
      <c r="C833">
        <v>649163</v>
      </c>
      <c r="D833">
        <v>2033170438</v>
      </c>
      <c r="E833" t="s">
        <v>994</v>
      </c>
      <c r="F833" t="s">
        <v>995</v>
      </c>
      <c r="G833" t="s">
        <v>51</v>
      </c>
      <c r="H833" t="s">
        <v>95</v>
      </c>
      <c r="I833" t="s">
        <v>182</v>
      </c>
      <c r="J833" t="s">
        <v>183</v>
      </c>
      <c r="K833">
        <v>867497</v>
      </c>
      <c r="L833" t="s">
        <v>921</v>
      </c>
      <c r="M833" t="s">
        <v>922</v>
      </c>
      <c r="N833" t="s">
        <v>57</v>
      </c>
      <c r="O833" s="1">
        <v>46039</v>
      </c>
      <c r="Q833" s="1">
        <v>46220</v>
      </c>
      <c r="R833" s="2">
        <v>33.979999999999997</v>
      </c>
      <c r="S833">
        <v>1</v>
      </c>
      <c r="T833" t="s">
        <v>58</v>
      </c>
      <c r="U833" t="s">
        <v>59</v>
      </c>
      <c r="V833" s="3">
        <v>0.7</v>
      </c>
      <c r="W833" s="2">
        <v>0</v>
      </c>
      <c r="X833">
        <v>0</v>
      </c>
      <c r="Y833" t="s">
        <v>60</v>
      </c>
      <c r="Z833" t="s">
        <v>239</v>
      </c>
      <c r="AA833">
        <v>0</v>
      </c>
      <c r="AB833" s="2">
        <v>0</v>
      </c>
      <c r="AC833" s="2">
        <v>0</v>
      </c>
      <c r="AD833" s="3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23.79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46188</v>
      </c>
      <c r="B834" t="s">
        <v>48</v>
      </c>
      <c r="C834">
        <v>649163</v>
      </c>
      <c r="D834">
        <v>2033172629</v>
      </c>
      <c r="E834" t="s">
        <v>856</v>
      </c>
      <c r="F834" t="s">
        <v>262</v>
      </c>
      <c r="G834" t="s">
        <v>51</v>
      </c>
      <c r="H834" t="s">
        <v>292</v>
      </c>
      <c r="I834" t="s">
        <v>182</v>
      </c>
      <c r="J834" t="s">
        <v>183</v>
      </c>
      <c r="K834">
        <v>902625</v>
      </c>
      <c r="L834" t="s">
        <v>137</v>
      </c>
      <c r="M834" t="s">
        <v>138</v>
      </c>
      <c r="N834" t="s">
        <v>57</v>
      </c>
      <c r="O834" s="1">
        <v>46038</v>
      </c>
      <c r="Q834" s="1">
        <v>46219</v>
      </c>
      <c r="R834" s="2">
        <v>22</v>
      </c>
      <c r="S834">
        <v>1</v>
      </c>
      <c r="T834" t="s">
        <v>58</v>
      </c>
      <c r="U834" t="s">
        <v>59</v>
      </c>
      <c r="V834" s="3">
        <v>0.7</v>
      </c>
      <c r="W834" s="2">
        <v>0</v>
      </c>
      <c r="X834">
        <v>0</v>
      </c>
      <c r="Y834" t="s">
        <v>60</v>
      </c>
      <c r="Z834" t="s">
        <v>239</v>
      </c>
      <c r="AA834">
        <v>0</v>
      </c>
      <c r="AB834" s="2">
        <v>0</v>
      </c>
      <c r="AC834" s="2">
        <v>0</v>
      </c>
      <c r="AD834" s="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15.4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46188</v>
      </c>
      <c r="B835" t="s">
        <v>48</v>
      </c>
      <c r="C835">
        <v>649163</v>
      </c>
      <c r="D835">
        <v>2033174368</v>
      </c>
      <c r="E835" t="s">
        <v>818</v>
      </c>
      <c r="F835" t="s">
        <v>250</v>
      </c>
      <c r="G835" t="s">
        <v>51</v>
      </c>
      <c r="H835" t="s">
        <v>681</v>
      </c>
      <c r="I835" t="s">
        <v>182</v>
      </c>
      <c r="J835" t="s">
        <v>183</v>
      </c>
      <c r="K835">
        <v>816021</v>
      </c>
      <c r="L835" t="s">
        <v>312</v>
      </c>
      <c r="M835" t="s">
        <v>313</v>
      </c>
      <c r="N835" t="s">
        <v>57</v>
      </c>
      <c r="O835" s="1">
        <v>46038</v>
      </c>
      <c r="Q835" s="1">
        <v>46219</v>
      </c>
      <c r="R835" s="2">
        <v>20.21</v>
      </c>
      <c r="S835">
        <v>1</v>
      </c>
      <c r="T835" t="s">
        <v>58</v>
      </c>
      <c r="U835" t="s">
        <v>59</v>
      </c>
      <c r="V835" s="3">
        <v>0.7</v>
      </c>
      <c r="W835" s="2">
        <v>0</v>
      </c>
      <c r="X835">
        <v>0</v>
      </c>
      <c r="Y835" t="s">
        <v>60</v>
      </c>
      <c r="Z835" t="s">
        <v>239</v>
      </c>
      <c r="AA835">
        <v>0</v>
      </c>
      <c r="AB835" s="2">
        <v>0</v>
      </c>
      <c r="AC835" s="2">
        <v>0</v>
      </c>
      <c r="AD835" s="3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14.15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46188</v>
      </c>
      <c r="B836" t="s">
        <v>48</v>
      </c>
      <c r="C836">
        <v>649163</v>
      </c>
      <c r="D836">
        <v>2033176985</v>
      </c>
      <c r="E836" t="s">
        <v>819</v>
      </c>
      <c r="F836" t="s">
        <v>820</v>
      </c>
      <c r="G836" t="s">
        <v>51</v>
      </c>
      <c r="H836" t="s">
        <v>305</v>
      </c>
      <c r="I836" t="s">
        <v>182</v>
      </c>
      <c r="J836" t="s">
        <v>183</v>
      </c>
      <c r="K836">
        <v>816021</v>
      </c>
      <c r="L836" t="s">
        <v>312</v>
      </c>
      <c r="M836" t="s">
        <v>313</v>
      </c>
      <c r="N836" t="s">
        <v>57</v>
      </c>
      <c r="O836" s="1">
        <v>46038</v>
      </c>
      <c r="Q836" s="1">
        <v>46219</v>
      </c>
      <c r="R836" s="2">
        <v>19.489999999999998</v>
      </c>
      <c r="S836">
        <v>1</v>
      </c>
      <c r="T836" t="s">
        <v>58</v>
      </c>
      <c r="U836" t="s">
        <v>59</v>
      </c>
      <c r="V836" s="3">
        <v>0.7</v>
      </c>
      <c r="W836" s="2">
        <v>0</v>
      </c>
      <c r="X836">
        <v>0</v>
      </c>
      <c r="Y836" t="s">
        <v>60</v>
      </c>
      <c r="Z836" t="s">
        <v>239</v>
      </c>
      <c r="AA836">
        <v>0</v>
      </c>
      <c r="AB836" s="2">
        <v>0</v>
      </c>
      <c r="AC836" s="2">
        <v>0</v>
      </c>
      <c r="AD836" s="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13.64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B89D-1702-40E2-894D-A0B53E09FFE3}">
  <dimension ref="A1:Z676"/>
  <sheetViews>
    <sheetView topLeftCell="G1" workbookViewId="0">
      <selection activeCell="L667" sqref="L667"/>
    </sheetView>
  </sheetViews>
  <sheetFormatPr defaultRowHeight="15" x14ac:dyDescent="0.25"/>
  <cols>
    <col min="1" max="1" width="11" bestFit="1" customWidth="1"/>
    <col min="2" max="4" width="11.85546875" customWidth="1"/>
    <col min="5" max="5" width="5.5703125" bestFit="1" customWidth="1"/>
    <col min="6" max="6" width="12" customWidth="1"/>
    <col min="7" max="7" width="29.42578125" customWidth="1"/>
    <col min="8" max="8" width="24.42578125" customWidth="1"/>
    <col min="9" max="9" width="11.140625" customWidth="1"/>
    <col min="10" max="10" width="10" customWidth="1"/>
    <col min="11" max="12" width="10.85546875" customWidth="1"/>
    <col min="13" max="13" width="12.140625" bestFit="1" customWidth="1"/>
    <col min="14" max="14" width="13.5703125" bestFit="1" customWidth="1"/>
    <col min="15" max="15" width="10.140625" bestFit="1" customWidth="1"/>
    <col min="16" max="16" width="12" bestFit="1" customWidth="1"/>
    <col min="17" max="17" width="16" bestFit="1" customWidth="1"/>
    <col min="18" max="18" width="12.7109375" bestFit="1" customWidth="1"/>
    <col min="19" max="19" width="11.28515625" bestFit="1" customWidth="1"/>
    <col min="20" max="20" width="8.28515625" bestFit="1" customWidth="1"/>
    <col min="21" max="21" width="7.7109375" customWidth="1"/>
    <col min="22" max="22" width="8" customWidth="1"/>
    <col min="23" max="23" width="10" customWidth="1"/>
    <col min="24" max="24" width="9" customWidth="1"/>
  </cols>
  <sheetData>
    <row r="1" spans="1:26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19</v>
      </c>
      <c r="S1" t="s">
        <v>21</v>
      </c>
      <c r="T1" t="s">
        <v>24</v>
      </c>
      <c r="U1" t="s">
        <v>25</v>
      </c>
      <c r="V1" t="s">
        <v>37</v>
      </c>
      <c r="W1" t="s">
        <v>38</v>
      </c>
      <c r="X1" t="s">
        <v>39</v>
      </c>
    </row>
    <row r="2" spans="1:26" x14ac:dyDescent="0.25">
      <c r="A2">
        <v>2033088373</v>
      </c>
      <c r="B2" t="s">
        <v>614</v>
      </c>
      <c r="C2" t="s">
        <v>615</v>
      </c>
      <c r="D2" t="str">
        <f>CONCATENATE(C2," ",B2)</f>
        <v>MERISSA WILLIE</v>
      </c>
      <c r="E2" t="s">
        <v>193</v>
      </c>
      <c r="F2" t="s">
        <v>182</v>
      </c>
      <c r="G2" t="s">
        <v>202</v>
      </c>
      <c r="H2" t="s">
        <v>497</v>
      </c>
      <c r="I2" s="11" t="s">
        <v>1021</v>
      </c>
      <c r="J2" t="s">
        <v>195</v>
      </c>
      <c r="K2" t="s">
        <v>196</v>
      </c>
      <c r="L2" t="str">
        <f>CONCATENATE(K2," ",J2)</f>
        <v>Ronald Max</v>
      </c>
      <c r="M2" t="s">
        <v>57</v>
      </c>
      <c r="N2" s="1">
        <v>46038</v>
      </c>
      <c r="P2" s="1">
        <v>46219</v>
      </c>
      <c r="Q2" s="2">
        <v>55.58</v>
      </c>
      <c r="R2" t="s">
        <v>58</v>
      </c>
      <c r="S2" s="3">
        <v>0.7</v>
      </c>
      <c r="T2" t="s">
        <v>60</v>
      </c>
      <c r="U2" t="s">
        <v>239</v>
      </c>
      <c r="V2" s="2">
        <v>38.909999999999997</v>
      </c>
      <c r="W2" s="2">
        <v>0</v>
      </c>
      <c r="X2" s="2">
        <v>0</v>
      </c>
      <c r="Y2" t="s">
        <v>238</v>
      </c>
      <c r="Z2" t="s">
        <v>1062</v>
      </c>
    </row>
    <row r="3" spans="1:26" x14ac:dyDescent="0.25">
      <c r="A3">
        <v>2034097752</v>
      </c>
      <c r="B3" t="s">
        <v>281</v>
      </c>
      <c r="C3" t="s">
        <v>282</v>
      </c>
      <c r="D3" t="str">
        <f>CONCATENATE(C3," ",B3)</f>
        <v>HEWITT WILKINSON</v>
      </c>
      <c r="E3" t="s">
        <v>145</v>
      </c>
      <c r="F3" t="s">
        <v>182</v>
      </c>
      <c r="G3" t="s">
        <v>202</v>
      </c>
      <c r="H3" t="s">
        <v>497</v>
      </c>
      <c r="I3" s="11">
        <v>8977234</v>
      </c>
      <c r="J3" t="s">
        <v>85</v>
      </c>
      <c r="K3" t="s">
        <v>86</v>
      </c>
      <c r="L3" t="str">
        <f>CONCATENATE(K3," ",J3)</f>
        <v>RYAN CALTAGIRONE</v>
      </c>
      <c r="M3" t="s">
        <v>57</v>
      </c>
      <c r="N3" s="1">
        <v>46127</v>
      </c>
      <c r="P3" s="1">
        <v>46218</v>
      </c>
      <c r="Q3" s="2">
        <v>42.88</v>
      </c>
      <c r="R3" t="s">
        <v>58</v>
      </c>
      <c r="S3" s="3">
        <v>0.7</v>
      </c>
      <c r="T3" t="s">
        <v>60</v>
      </c>
      <c r="U3" t="s">
        <v>239</v>
      </c>
      <c r="V3" s="2">
        <v>30.02</v>
      </c>
      <c r="W3" s="2">
        <v>0</v>
      </c>
      <c r="X3" s="2">
        <v>0</v>
      </c>
      <c r="Y3" t="s">
        <v>238</v>
      </c>
      <c r="Z3" t="s">
        <v>1062</v>
      </c>
    </row>
    <row r="4" spans="1:26" x14ac:dyDescent="0.25">
      <c r="A4">
        <v>2034375765</v>
      </c>
      <c r="B4" t="s">
        <v>682</v>
      </c>
      <c r="C4" t="s">
        <v>335</v>
      </c>
      <c r="D4" t="str">
        <f>CONCATENATE(C4," ",B4)</f>
        <v>DAVID DYBEL</v>
      </c>
      <c r="E4" t="s">
        <v>77</v>
      </c>
      <c r="F4" t="s">
        <v>182</v>
      </c>
      <c r="G4" t="s">
        <v>202</v>
      </c>
      <c r="H4" t="s">
        <v>497</v>
      </c>
      <c r="I4" s="11">
        <v>8977234</v>
      </c>
      <c r="J4" t="s">
        <v>85</v>
      </c>
      <c r="K4" t="s">
        <v>86</v>
      </c>
      <c r="L4" t="str">
        <f>CONCATENATE(K4," ",J4)</f>
        <v>RYAN CALTAGIRONE</v>
      </c>
      <c r="M4" t="s">
        <v>57</v>
      </c>
      <c r="N4" s="1">
        <v>46098</v>
      </c>
      <c r="P4" s="1">
        <v>46220</v>
      </c>
      <c r="Q4" s="2">
        <v>25.73</v>
      </c>
      <c r="R4" t="s">
        <v>58</v>
      </c>
      <c r="S4" s="3">
        <v>0.7</v>
      </c>
      <c r="T4" t="s">
        <v>60</v>
      </c>
      <c r="U4" t="s">
        <v>239</v>
      </c>
      <c r="V4" s="2">
        <v>18.010000000000002</v>
      </c>
      <c r="W4" s="2">
        <v>0</v>
      </c>
      <c r="X4" s="2">
        <v>0</v>
      </c>
      <c r="Y4" t="s">
        <v>238</v>
      </c>
      <c r="Z4" t="s">
        <v>1062</v>
      </c>
    </row>
    <row r="5" spans="1:26" x14ac:dyDescent="0.25">
      <c r="A5">
        <v>2033719312</v>
      </c>
      <c r="B5" t="s">
        <v>658</v>
      </c>
      <c r="C5" t="s">
        <v>659</v>
      </c>
      <c r="D5" t="str">
        <f>CONCATENATE(C5," ",B5)</f>
        <v>CHARISSA BEAVERS</v>
      </c>
      <c r="E5" t="s">
        <v>193</v>
      </c>
      <c r="F5" t="s">
        <v>182</v>
      </c>
      <c r="G5" t="s">
        <v>202</v>
      </c>
      <c r="H5" t="s">
        <v>497</v>
      </c>
      <c r="I5" s="11" t="s">
        <v>1043</v>
      </c>
      <c r="J5" t="s">
        <v>137</v>
      </c>
      <c r="K5" t="s">
        <v>138</v>
      </c>
      <c r="L5" t="str">
        <f>CONCATENATE(K5," ",J5)</f>
        <v>Brittany Oliver</v>
      </c>
      <c r="M5" t="s">
        <v>57</v>
      </c>
      <c r="N5" s="1">
        <v>46072</v>
      </c>
      <c r="P5" s="1">
        <v>46222</v>
      </c>
      <c r="Q5" s="2">
        <v>24.61</v>
      </c>
      <c r="R5" t="s">
        <v>58</v>
      </c>
      <c r="S5" s="3">
        <v>0.7</v>
      </c>
      <c r="T5" t="s">
        <v>60</v>
      </c>
      <c r="U5" t="s">
        <v>239</v>
      </c>
      <c r="V5" s="2">
        <v>17.23</v>
      </c>
      <c r="W5" s="2">
        <v>0</v>
      </c>
      <c r="X5" s="2">
        <v>0</v>
      </c>
      <c r="Y5" t="s">
        <v>238</v>
      </c>
      <c r="Z5" t="s">
        <v>1063</v>
      </c>
    </row>
    <row r="6" spans="1:26" x14ac:dyDescent="0.25">
      <c r="A6">
        <v>2033723211</v>
      </c>
      <c r="B6" t="s">
        <v>660</v>
      </c>
      <c r="C6" t="s">
        <v>661</v>
      </c>
      <c r="D6" t="str">
        <f>CONCATENATE(C6," ",B6)</f>
        <v>BARBARA MILLER</v>
      </c>
      <c r="E6" t="s">
        <v>193</v>
      </c>
      <c r="F6" t="s">
        <v>182</v>
      </c>
      <c r="G6" t="s">
        <v>202</v>
      </c>
      <c r="H6" t="s">
        <v>497</v>
      </c>
      <c r="I6" s="11" t="s">
        <v>1043</v>
      </c>
      <c r="J6" t="s">
        <v>137</v>
      </c>
      <c r="K6" t="s">
        <v>138</v>
      </c>
      <c r="L6" t="str">
        <f>CONCATENATE(K6," ",J6)</f>
        <v>Brittany Oliver</v>
      </c>
      <c r="M6" t="s">
        <v>57</v>
      </c>
      <c r="N6" s="1">
        <v>46072</v>
      </c>
      <c r="P6" s="1">
        <v>46222</v>
      </c>
      <c r="Q6" s="2">
        <v>24.61</v>
      </c>
      <c r="R6" t="s">
        <v>58</v>
      </c>
      <c r="S6" s="3">
        <v>0.7</v>
      </c>
      <c r="T6" t="s">
        <v>60</v>
      </c>
      <c r="U6" t="s">
        <v>239</v>
      </c>
      <c r="V6" s="2">
        <v>17.23</v>
      </c>
      <c r="W6" s="2">
        <v>0</v>
      </c>
      <c r="X6" s="2">
        <v>0</v>
      </c>
      <c r="Y6" t="s">
        <v>238</v>
      </c>
      <c r="Z6" t="s">
        <v>1063</v>
      </c>
    </row>
    <row r="7" spans="1:26" x14ac:dyDescent="0.25">
      <c r="A7">
        <v>2033010787</v>
      </c>
      <c r="B7" t="s">
        <v>984</v>
      </c>
      <c r="C7" t="s">
        <v>985</v>
      </c>
      <c r="D7" t="str">
        <f>CONCATENATE(C7," ",B7)</f>
        <v>RAQUEL LAKE</v>
      </c>
      <c r="E7" t="s">
        <v>193</v>
      </c>
      <c r="F7" t="s">
        <v>182</v>
      </c>
      <c r="G7" t="s">
        <v>202</v>
      </c>
      <c r="H7" t="s">
        <v>497</v>
      </c>
      <c r="I7" s="11" t="s">
        <v>1041</v>
      </c>
      <c r="J7" t="s">
        <v>544</v>
      </c>
      <c r="K7" t="s">
        <v>545</v>
      </c>
      <c r="L7" t="str">
        <f>CONCATENATE(K7," ",J7)</f>
        <v>Robert Adcock</v>
      </c>
      <c r="M7" t="s">
        <v>57</v>
      </c>
      <c r="N7" s="1">
        <v>46037</v>
      </c>
      <c r="P7" s="1">
        <v>46218</v>
      </c>
      <c r="Q7" s="2">
        <v>24.61</v>
      </c>
      <c r="R7" t="s">
        <v>58</v>
      </c>
      <c r="S7" s="3">
        <v>0.7</v>
      </c>
      <c r="T7" t="s">
        <v>60</v>
      </c>
      <c r="U7" t="s">
        <v>239</v>
      </c>
      <c r="V7" s="2">
        <v>17.23</v>
      </c>
      <c r="W7" s="2">
        <v>0</v>
      </c>
      <c r="X7" s="2">
        <v>0</v>
      </c>
      <c r="Y7" t="s">
        <v>238</v>
      </c>
      <c r="Z7" t="s">
        <v>1062</v>
      </c>
    </row>
    <row r="8" spans="1:26" x14ac:dyDescent="0.25">
      <c r="A8">
        <v>2033089935</v>
      </c>
      <c r="B8" t="s">
        <v>616</v>
      </c>
      <c r="C8" t="s">
        <v>56</v>
      </c>
      <c r="D8" t="str">
        <f>CONCATENATE(C8," ",B8)</f>
        <v>JOHN STAVLAS</v>
      </c>
      <c r="E8" t="s">
        <v>193</v>
      </c>
      <c r="F8" t="s">
        <v>182</v>
      </c>
      <c r="G8" t="s">
        <v>202</v>
      </c>
      <c r="H8" t="s">
        <v>497</v>
      </c>
      <c r="I8" s="11" t="s">
        <v>1021</v>
      </c>
      <c r="J8" t="s">
        <v>195</v>
      </c>
      <c r="K8" t="s">
        <v>196</v>
      </c>
      <c r="L8" t="str">
        <f>CONCATENATE(K8," ",J8)</f>
        <v>Ronald Max</v>
      </c>
      <c r="M8" t="s">
        <v>57</v>
      </c>
      <c r="N8" s="1">
        <v>46035</v>
      </c>
      <c r="P8" s="1">
        <v>46216</v>
      </c>
      <c r="Q8" s="2">
        <v>24.61</v>
      </c>
      <c r="R8" t="s">
        <v>58</v>
      </c>
      <c r="S8" s="3">
        <v>0.7</v>
      </c>
      <c r="T8" t="s">
        <v>60</v>
      </c>
      <c r="U8" t="s">
        <v>239</v>
      </c>
      <c r="V8" s="2">
        <v>17.23</v>
      </c>
      <c r="W8" s="2">
        <v>0</v>
      </c>
      <c r="X8" s="2">
        <v>0</v>
      </c>
      <c r="Y8" t="s">
        <v>238</v>
      </c>
      <c r="Z8" t="s">
        <v>1062</v>
      </c>
    </row>
    <row r="9" spans="1:26" x14ac:dyDescent="0.25">
      <c r="A9">
        <v>2035007569</v>
      </c>
      <c r="B9" t="s">
        <v>720</v>
      </c>
      <c r="C9" t="s">
        <v>721</v>
      </c>
      <c r="D9" t="str">
        <f>CONCATENATE(C9," ",B9)</f>
        <v>VANITA SADDLER</v>
      </c>
      <c r="E9" t="s">
        <v>305</v>
      </c>
      <c r="F9" t="s">
        <v>182</v>
      </c>
      <c r="G9" t="s">
        <v>202</v>
      </c>
      <c r="H9" t="s">
        <v>497</v>
      </c>
      <c r="I9" s="11">
        <v>21581140</v>
      </c>
      <c r="J9" t="s">
        <v>722</v>
      </c>
      <c r="K9" t="s">
        <v>723</v>
      </c>
      <c r="L9" t="str">
        <f>CONCATENATE(K9," ",J9)</f>
        <v>Vanita Saddler</v>
      </c>
      <c r="M9" t="s">
        <v>57</v>
      </c>
      <c r="N9" s="1">
        <v>46131</v>
      </c>
      <c r="P9" s="1">
        <v>46222</v>
      </c>
      <c r="Q9" s="2">
        <v>14.65</v>
      </c>
      <c r="R9" t="s">
        <v>58</v>
      </c>
      <c r="S9" s="3">
        <v>0.7</v>
      </c>
      <c r="T9" t="s">
        <v>60</v>
      </c>
      <c r="U9" t="s">
        <v>239</v>
      </c>
      <c r="V9" s="2">
        <v>10.26</v>
      </c>
      <c r="W9" s="2">
        <v>0</v>
      </c>
      <c r="X9" s="2">
        <v>0</v>
      </c>
      <c r="Y9" t="s">
        <v>238</v>
      </c>
      <c r="Z9" t="s">
        <v>1062</v>
      </c>
    </row>
    <row r="10" spans="1:26" x14ac:dyDescent="0.25">
      <c r="A10">
        <v>2026586621</v>
      </c>
      <c r="B10" t="s">
        <v>423</v>
      </c>
      <c r="C10" t="s">
        <v>424</v>
      </c>
      <c r="D10" t="str">
        <f>CONCATENATE(C10," ",B10)</f>
        <v>ALEXANDRA STOCKTON</v>
      </c>
      <c r="E10" t="s">
        <v>234</v>
      </c>
      <c r="F10" t="s">
        <v>182</v>
      </c>
      <c r="G10" t="s">
        <v>202</v>
      </c>
      <c r="H10" t="s">
        <v>497</v>
      </c>
      <c r="I10" s="11" t="s">
        <v>1029</v>
      </c>
      <c r="J10" t="s">
        <v>419</v>
      </c>
      <c r="K10" t="s">
        <v>420</v>
      </c>
      <c r="L10" t="str">
        <f>CONCATENATE(K10," ",J10)</f>
        <v>JARED KINYUA</v>
      </c>
      <c r="M10" t="s">
        <v>57</v>
      </c>
      <c r="N10" s="1">
        <v>45672</v>
      </c>
      <c r="P10" s="1">
        <v>46218</v>
      </c>
      <c r="Q10" s="2">
        <v>25.73</v>
      </c>
      <c r="R10" t="s">
        <v>58</v>
      </c>
      <c r="S10" s="3">
        <v>0.15</v>
      </c>
      <c r="T10" t="s">
        <v>238</v>
      </c>
      <c r="U10" t="s">
        <v>239</v>
      </c>
      <c r="V10" s="2">
        <v>3.86</v>
      </c>
      <c r="W10" s="2">
        <v>3.86</v>
      </c>
      <c r="X10" s="2">
        <v>3.86</v>
      </c>
      <c r="Y10" t="s">
        <v>238</v>
      </c>
      <c r="Z10" t="s">
        <v>1062</v>
      </c>
    </row>
    <row r="11" spans="1:26" x14ac:dyDescent="0.25">
      <c r="A11">
        <v>2028488145</v>
      </c>
      <c r="B11" t="s">
        <v>263</v>
      </c>
      <c r="C11" t="s">
        <v>264</v>
      </c>
      <c r="D11" t="str">
        <f>CONCATENATE(C11," ",B11)</f>
        <v>CHELSEA REITENBACH</v>
      </c>
      <c r="E11" t="s">
        <v>52</v>
      </c>
      <c r="F11" t="s">
        <v>182</v>
      </c>
      <c r="G11" t="s">
        <v>202</v>
      </c>
      <c r="H11" t="s">
        <v>497</v>
      </c>
      <c r="I11" s="11" t="s">
        <v>1011</v>
      </c>
      <c r="J11" t="s">
        <v>55</v>
      </c>
      <c r="K11" t="s">
        <v>56</v>
      </c>
      <c r="L11" t="str">
        <f>CONCATENATE(K11," ",J11)</f>
        <v>JOHN ROKEN</v>
      </c>
      <c r="M11" t="s">
        <v>57</v>
      </c>
      <c r="N11" s="1">
        <v>45766</v>
      </c>
      <c r="P11" s="1">
        <v>46222</v>
      </c>
      <c r="Q11" s="2">
        <v>51.46</v>
      </c>
      <c r="R11" t="s">
        <v>58</v>
      </c>
      <c r="S11" s="3">
        <v>0.15</v>
      </c>
      <c r="T11" t="s">
        <v>238</v>
      </c>
      <c r="U11" t="s">
        <v>239</v>
      </c>
      <c r="V11" s="2">
        <v>7.72</v>
      </c>
      <c r="W11" s="2">
        <v>7.72</v>
      </c>
      <c r="X11" s="2">
        <v>7.72</v>
      </c>
      <c r="Y11" t="s">
        <v>238</v>
      </c>
      <c r="Z11" t="s">
        <v>1062</v>
      </c>
    </row>
    <row r="12" spans="1:26" x14ac:dyDescent="0.25">
      <c r="A12">
        <v>2029737099</v>
      </c>
      <c r="B12" t="s">
        <v>482</v>
      </c>
      <c r="C12" t="s">
        <v>483</v>
      </c>
      <c r="D12" t="str">
        <f>CONCATENATE(C12," ",B12)</f>
        <v>CHRISTOPHER FEEMSTER</v>
      </c>
      <c r="E12" t="s">
        <v>193</v>
      </c>
      <c r="F12" t="s">
        <v>182</v>
      </c>
      <c r="G12" t="s">
        <v>202</v>
      </c>
      <c r="H12" t="s">
        <v>497</v>
      </c>
      <c r="I12" s="11" t="s">
        <v>1021</v>
      </c>
      <c r="J12" t="s">
        <v>195</v>
      </c>
      <c r="K12" t="s">
        <v>196</v>
      </c>
      <c r="L12" t="str">
        <f>CONCATENATE(K12," ",J12)</f>
        <v>Ronald Max</v>
      </c>
      <c r="M12" t="s">
        <v>57</v>
      </c>
      <c r="N12" s="1">
        <v>45856</v>
      </c>
      <c r="P12" s="1">
        <v>46221</v>
      </c>
      <c r="Q12" s="2">
        <v>24.61</v>
      </c>
      <c r="R12" t="s">
        <v>58</v>
      </c>
      <c r="S12" s="3">
        <v>0.7</v>
      </c>
      <c r="T12" t="s">
        <v>60</v>
      </c>
      <c r="U12" t="s">
        <v>239</v>
      </c>
      <c r="V12" s="2">
        <v>17.23</v>
      </c>
      <c r="W12" s="2">
        <v>17.23</v>
      </c>
      <c r="X12" s="2">
        <v>17.23</v>
      </c>
      <c r="Y12" t="s">
        <v>238</v>
      </c>
      <c r="Z12" t="s">
        <v>1062</v>
      </c>
    </row>
    <row r="13" spans="1:26" x14ac:dyDescent="0.25">
      <c r="A13">
        <v>2029980506</v>
      </c>
      <c r="B13" t="s">
        <v>244</v>
      </c>
      <c r="C13" t="s">
        <v>350</v>
      </c>
      <c r="D13" t="str">
        <f>CONCATENATE(C13," ",B13)</f>
        <v>STALLKAMP RHONDA</v>
      </c>
      <c r="E13" t="s">
        <v>83</v>
      </c>
      <c r="F13" t="s">
        <v>182</v>
      </c>
      <c r="G13" t="s">
        <v>497</v>
      </c>
      <c r="H13" t="s">
        <v>497</v>
      </c>
      <c r="I13" s="11">
        <v>8977234</v>
      </c>
      <c r="J13" t="s">
        <v>85</v>
      </c>
      <c r="K13" t="s">
        <v>86</v>
      </c>
      <c r="L13" t="str">
        <f>CONCATENATE(K13," ",J13)</f>
        <v>RYAN CALTAGIRONE</v>
      </c>
      <c r="M13" t="s">
        <v>57</v>
      </c>
      <c r="N13" s="1">
        <v>45884</v>
      </c>
      <c r="P13" s="1">
        <v>46218</v>
      </c>
      <c r="Q13" s="2">
        <v>21.44</v>
      </c>
      <c r="R13" t="s">
        <v>58</v>
      </c>
      <c r="S13" s="3">
        <v>0.7</v>
      </c>
      <c r="T13" t="s">
        <v>60</v>
      </c>
      <c r="U13" t="s">
        <v>239</v>
      </c>
      <c r="V13" s="2">
        <v>15.01</v>
      </c>
      <c r="W13" s="2">
        <v>15.01</v>
      </c>
      <c r="X13" s="2">
        <v>15.01</v>
      </c>
      <c r="Y13" t="s">
        <v>238</v>
      </c>
      <c r="Z13" t="s">
        <v>1062</v>
      </c>
    </row>
    <row r="14" spans="1:26" x14ac:dyDescent="0.25">
      <c r="A14">
        <v>2029995394</v>
      </c>
      <c r="B14" t="s">
        <v>501</v>
      </c>
      <c r="C14" t="s">
        <v>262</v>
      </c>
      <c r="D14" t="str">
        <f>CONCATENATE(C14," ",B14)</f>
        <v>TIMOTHY LOVING</v>
      </c>
      <c r="E14" t="s">
        <v>95</v>
      </c>
      <c r="F14" t="s">
        <v>182</v>
      </c>
      <c r="G14" t="s">
        <v>202</v>
      </c>
      <c r="H14" t="s">
        <v>497</v>
      </c>
      <c r="I14" s="11">
        <v>21605264</v>
      </c>
      <c r="J14" t="s">
        <v>502</v>
      </c>
      <c r="K14" t="s">
        <v>503</v>
      </c>
      <c r="L14" t="str">
        <f>CONCATENATE(K14," ",J14)</f>
        <v>Erica Solivan</v>
      </c>
      <c r="M14" t="s">
        <v>57</v>
      </c>
      <c r="N14" s="1">
        <v>45855</v>
      </c>
      <c r="P14" s="1">
        <v>46220</v>
      </c>
      <c r="Q14" s="2">
        <v>25.73</v>
      </c>
      <c r="R14" t="s">
        <v>58</v>
      </c>
      <c r="S14" s="3">
        <v>0.7</v>
      </c>
      <c r="T14" t="s">
        <v>60</v>
      </c>
      <c r="U14" t="s">
        <v>239</v>
      </c>
      <c r="V14" s="2">
        <v>18.010000000000002</v>
      </c>
      <c r="W14" s="2">
        <v>18.010000000000002</v>
      </c>
      <c r="X14" s="2">
        <v>18.010000000000002</v>
      </c>
      <c r="Y14" t="s">
        <v>238</v>
      </c>
      <c r="Z14" t="s">
        <v>1062</v>
      </c>
    </row>
    <row r="15" spans="1:26" x14ac:dyDescent="0.25">
      <c r="A15">
        <v>2030450005</v>
      </c>
      <c r="B15" t="s">
        <v>351</v>
      </c>
      <c r="C15" t="s">
        <v>352</v>
      </c>
      <c r="D15" t="str">
        <f>CONCATENATE(C15," ",B15)</f>
        <v>URSULA EDELENBOS</v>
      </c>
      <c r="E15" t="s">
        <v>193</v>
      </c>
      <c r="F15" t="s">
        <v>182</v>
      </c>
      <c r="G15" t="s">
        <v>202</v>
      </c>
      <c r="H15" t="s">
        <v>497</v>
      </c>
      <c r="I15" s="11" t="s">
        <v>1021</v>
      </c>
      <c r="J15" t="s">
        <v>195</v>
      </c>
      <c r="K15" t="s">
        <v>196</v>
      </c>
      <c r="L15" t="str">
        <f>CONCATENATE(K15," ",J15)</f>
        <v>Ronald Max</v>
      </c>
      <c r="M15" t="s">
        <v>57</v>
      </c>
      <c r="N15" s="1">
        <v>45888</v>
      </c>
      <c r="P15" s="1">
        <v>46222</v>
      </c>
      <c r="Q15" s="2">
        <v>24.61</v>
      </c>
      <c r="R15" t="s">
        <v>58</v>
      </c>
      <c r="S15" s="3">
        <v>0.7</v>
      </c>
      <c r="T15" t="s">
        <v>60</v>
      </c>
      <c r="U15" t="s">
        <v>239</v>
      </c>
      <c r="V15" s="2">
        <v>17.23</v>
      </c>
      <c r="W15" s="2">
        <v>17.23</v>
      </c>
      <c r="X15" s="2">
        <v>17.23</v>
      </c>
      <c r="Y15" t="s">
        <v>238</v>
      </c>
      <c r="Z15" t="s">
        <v>1062</v>
      </c>
    </row>
    <row r="16" spans="1:26" x14ac:dyDescent="0.25">
      <c r="A16">
        <v>2030463472</v>
      </c>
      <c r="B16" t="s">
        <v>355</v>
      </c>
      <c r="C16" t="s">
        <v>356</v>
      </c>
      <c r="D16" t="str">
        <f>CONCATENATE(C16," ",B16)</f>
        <v>THUHA GIANG</v>
      </c>
      <c r="E16" t="s">
        <v>193</v>
      </c>
      <c r="F16" t="s">
        <v>182</v>
      </c>
      <c r="G16" t="s">
        <v>202</v>
      </c>
      <c r="H16" t="s">
        <v>497</v>
      </c>
      <c r="I16" s="11" t="s">
        <v>1021</v>
      </c>
      <c r="J16" t="s">
        <v>195</v>
      </c>
      <c r="K16" t="s">
        <v>196</v>
      </c>
      <c r="L16" t="str">
        <f>CONCATENATE(K16," ",J16)</f>
        <v>Ronald Max</v>
      </c>
      <c r="M16" t="s">
        <v>57</v>
      </c>
      <c r="N16" s="1">
        <v>45885</v>
      </c>
      <c r="P16" s="1">
        <v>46219</v>
      </c>
      <c r="Q16" s="2">
        <v>55.58</v>
      </c>
      <c r="R16" t="s">
        <v>58</v>
      </c>
      <c r="S16" s="3">
        <v>0.7</v>
      </c>
      <c r="T16" t="s">
        <v>60</v>
      </c>
      <c r="U16" t="s">
        <v>239</v>
      </c>
      <c r="V16" s="2">
        <v>38.909999999999997</v>
      </c>
      <c r="W16" s="2">
        <v>38.909999999999997</v>
      </c>
      <c r="X16" s="2">
        <v>38.909999999999997</v>
      </c>
      <c r="Y16" t="s">
        <v>238</v>
      </c>
      <c r="Z16" t="s">
        <v>1062</v>
      </c>
    </row>
    <row r="17" spans="1:26" x14ac:dyDescent="0.25">
      <c r="A17">
        <v>2030488870</v>
      </c>
      <c r="B17" t="s">
        <v>359</v>
      </c>
      <c r="C17" t="s">
        <v>360</v>
      </c>
      <c r="D17" t="str">
        <f>CONCATENATE(C17," ",B17)</f>
        <v>KAI BARNES</v>
      </c>
      <c r="E17" t="s">
        <v>193</v>
      </c>
      <c r="F17" t="s">
        <v>182</v>
      </c>
      <c r="G17" t="s">
        <v>202</v>
      </c>
      <c r="H17" t="s">
        <v>497</v>
      </c>
      <c r="I17" s="11" t="s">
        <v>1021</v>
      </c>
      <c r="J17" t="s">
        <v>195</v>
      </c>
      <c r="K17" t="s">
        <v>196</v>
      </c>
      <c r="L17" t="str">
        <f>CONCATENATE(K17," ",J17)</f>
        <v>Ronald Max</v>
      </c>
      <c r="M17" t="s">
        <v>57</v>
      </c>
      <c r="N17" s="1">
        <v>45884</v>
      </c>
      <c r="P17" s="1">
        <v>46218</v>
      </c>
      <c r="Q17" s="2">
        <v>24.61</v>
      </c>
      <c r="R17" t="s">
        <v>58</v>
      </c>
      <c r="S17" s="3">
        <v>0.7</v>
      </c>
      <c r="T17" t="s">
        <v>60</v>
      </c>
      <c r="U17" t="s">
        <v>239</v>
      </c>
      <c r="V17" s="2">
        <v>17.23</v>
      </c>
      <c r="W17" s="2">
        <v>17.23</v>
      </c>
      <c r="X17" s="2">
        <v>17.23</v>
      </c>
      <c r="Y17" t="s">
        <v>238</v>
      </c>
      <c r="Z17" t="s">
        <v>1062</v>
      </c>
    </row>
    <row r="18" spans="1:26" x14ac:dyDescent="0.25">
      <c r="A18">
        <v>2030501935</v>
      </c>
      <c r="B18" t="s">
        <v>361</v>
      </c>
      <c r="C18" t="s">
        <v>362</v>
      </c>
      <c r="D18" t="str">
        <f>CONCATENATE(C18," ",B18)</f>
        <v>JAMES LEWIS</v>
      </c>
      <c r="E18" t="s">
        <v>193</v>
      </c>
      <c r="F18" t="s">
        <v>182</v>
      </c>
      <c r="G18" t="s">
        <v>202</v>
      </c>
      <c r="H18" t="s">
        <v>497</v>
      </c>
      <c r="I18" s="11">
        <v>9079571</v>
      </c>
      <c r="J18" t="s">
        <v>64</v>
      </c>
      <c r="K18" t="s">
        <v>236</v>
      </c>
      <c r="L18" t="str">
        <f>CONCATENATE(K18," ",J18)</f>
        <v>ADAM RICHTER</v>
      </c>
      <c r="M18" t="s">
        <v>57</v>
      </c>
      <c r="N18" s="1">
        <v>45884</v>
      </c>
      <c r="P18" s="1">
        <v>46218</v>
      </c>
      <c r="Q18" s="2">
        <v>24.61</v>
      </c>
      <c r="R18" t="s">
        <v>58</v>
      </c>
      <c r="S18" s="3">
        <v>0.7</v>
      </c>
      <c r="T18" t="s">
        <v>60</v>
      </c>
      <c r="U18" t="s">
        <v>239</v>
      </c>
      <c r="V18" s="2">
        <v>17.23</v>
      </c>
      <c r="W18" s="2">
        <v>17.23</v>
      </c>
      <c r="X18" s="2">
        <v>17.23</v>
      </c>
      <c r="Y18" t="s">
        <v>238</v>
      </c>
      <c r="Z18" t="s">
        <v>1062</v>
      </c>
    </row>
    <row r="19" spans="1:26" x14ac:dyDescent="0.25">
      <c r="A19">
        <v>2031593002</v>
      </c>
      <c r="B19" t="s">
        <v>366</v>
      </c>
      <c r="C19" t="s">
        <v>80</v>
      </c>
      <c r="D19" t="str">
        <f>CONCATENATE(C19," ",B19)</f>
        <v>GREGORY ROTILI</v>
      </c>
      <c r="E19" t="s">
        <v>193</v>
      </c>
      <c r="F19" t="s">
        <v>182</v>
      </c>
      <c r="G19" t="s">
        <v>202</v>
      </c>
      <c r="H19" t="s">
        <v>497</v>
      </c>
      <c r="I19" s="11" t="s">
        <v>1021</v>
      </c>
      <c r="J19" t="s">
        <v>195</v>
      </c>
      <c r="K19" t="s">
        <v>196</v>
      </c>
      <c r="L19" t="str">
        <f>CONCATENATE(K19," ",J19)</f>
        <v>Ronald Max</v>
      </c>
      <c r="M19" t="s">
        <v>57</v>
      </c>
      <c r="N19" s="1">
        <v>45944</v>
      </c>
      <c r="P19" s="1">
        <v>46217</v>
      </c>
      <c r="Q19" s="2">
        <v>24.61</v>
      </c>
      <c r="R19" t="s">
        <v>58</v>
      </c>
      <c r="S19" s="3">
        <v>0.7</v>
      </c>
      <c r="T19" t="s">
        <v>60</v>
      </c>
      <c r="U19" t="s">
        <v>239</v>
      </c>
      <c r="V19" s="2">
        <v>17.23</v>
      </c>
      <c r="W19" s="2">
        <v>17.23</v>
      </c>
      <c r="X19" s="2">
        <v>17.23</v>
      </c>
      <c r="Y19" t="s">
        <v>238</v>
      </c>
      <c r="Z19" t="s">
        <v>1062</v>
      </c>
    </row>
    <row r="20" spans="1:26" x14ac:dyDescent="0.25">
      <c r="A20">
        <v>2031713685</v>
      </c>
      <c r="B20" t="s">
        <v>367</v>
      </c>
      <c r="C20" t="s">
        <v>368</v>
      </c>
      <c r="D20" t="str">
        <f>CONCATENATE(C20," ",B20)</f>
        <v>JA'NET RANDALL</v>
      </c>
      <c r="E20" t="s">
        <v>193</v>
      </c>
      <c r="F20" t="s">
        <v>182</v>
      </c>
      <c r="G20" t="s">
        <v>202</v>
      </c>
      <c r="H20" t="s">
        <v>497</v>
      </c>
      <c r="I20" s="11" t="s">
        <v>1021</v>
      </c>
      <c r="J20" t="s">
        <v>195</v>
      </c>
      <c r="K20" t="s">
        <v>196</v>
      </c>
      <c r="L20" t="str">
        <f>CONCATENATE(K20," ",J20)</f>
        <v>Ronald Max</v>
      </c>
      <c r="M20" t="s">
        <v>57</v>
      </c>
      <c r="N20" s="1">
        <v>45969</v>
      </c>
      <c r="P20" s="1">
        <v>46211</v>
      </c>
      <c r="Q20" s="2">
        <v>24.61</v>
      </c>
      <c r="R20" t="s">
        <v>58</v>
      </c>
      <c r="S20" s="3">
        <v>0.7</v>
      </c>
      <c r="T20" t="s">
        <v>60</v>
      </c>
      <c r="U20" t="s">
        <v>239</v>
      </c>
      <c r="V20" s="2">
        <v>17.23</v>
      </c>
      <c r="W20" s="2">
        <v>17.23</v>
      </c>
      <c r="X20" s="2">
        <v>17.23</v>
      </c>
      <c r="Y20" t="s">
        <v>238</v>
      </c>
      <c r="Z20" t="s">
        <v>1062</v>
      </c>
    </row>
    <row r="21" spans="1:26" x14ac:dyDescent="0.25">
      <c r="A21">
        <v>2031921688</v>
      </c>
      <c r="B21" t="s">
        <v>542</v>
      </c>
      <c r="C21" t="s">
        <v>543</v>
      </c>
      <c r="D21" t="str">
        <f>CONCATENATE(C21," ",B21)</f>
        <v>DESIREE GWALTNEY</v>
      </c>
      <c r="E21" t="s">
        <v>193</v>
      </c>
      <c r="F21" t="s">
        <v>182</v>
      </c>
      <c r="G21" t="s">
        <v>202</v>
      </c>
      <c r="H21" t="s">
        <v>497</v>
      </c>
      <c r="I21" s="11" t="s">
        <v>1041</v>
      </c>
      <c r="J21" t="s">
        <v>544</v>
      </c>
      <c r="K21" t="s">
        <v>545</v>
      </c>
      <c r="L21" t="str">
        <f>CONCATENATE(K21," ",J21)</f>
        <v>Robert Adcock</v>
      </c>
      <c r="M21" t="s">
        <v>57</v>
      </c>
      <c r="N21" s="1">
        <v>45976</v>
      </c>
      <c r="P21" s="1">
        <v>46218</v>
      </c>
      <c r="Q21" s="2">
        <v>24.61</v>
      </c>
      <c r="R21" t="s">
        <v>58</v>
      </c>
      <c r="S21" s="3">
        <v>0.7</v>
      </c>
      <c r="T21" t="s">
        <v>60</v>
      </c>
      <c r="U21" t="s">
        <v>239</v>
      </c>
      <c r="V21" s="2">
        <v>17.23</v>
      </c>
      <c r="W21" s="2">
        <v>17.23</v>
      </c>
      <c r="X21" s="2">
        <v>17.23</v>
      </c>
      <c r="Y21" t="s">
        <v>238</v>
      </c>
      <c r="Z21" t="s">
        <v>1062</v>
      </c>
    </row>
    <row r="22" spans="1:26" x14ac:dyDescent="0.25">
      <c r="A22">
        <v>2032017837</v>
      </c>
      <c r="B22" t="s">
        <v>369</v>
      </c>
      <c r="C22" t="s">
        <v>370</v>
      </c>
      <c r="D22" t="str">
        <f>CONCATENATE(C22," ",B22)</f>
        <v>JOSE HERRERA</v>
      </c>
      <c r="E22" t="s">
        <v>193</v>
      </c>
      <c r="F22" t="s">
        <v>182</v>
      </c>
      <c r="G22" t="s">
        <v>202</v>
      </c>
      <c r="H22" t="s">
        <v>497</v>
      </c>
      <c r="I22" s="11" t="s">
        <v>1021</v>
      </c>
      <c r="J22" t="s">
        <v>195</v>
      </c>
      <c r="K22" t="s">
        <v>196</v>
      </c>
      <c r="L22" t="str">
        <f>CONCATENATE(K22," ",J22)</f>
        <v>Ronald Max</v>
      </c>
      <c r="M22" t="s">
        <v>57</v>
      </c>
      <c r="N22" s="1">
        <v>45980</v>
      </c>
      <c r="P22" s="1">
        <v>46222</v>
      </c>
      <c r="Q22" s="2">
        <v>24.61</v>
      </c>
      <c r="R22" t="s">
        <v>58</v>
      </c>
      <c r="S22" s="3">
        <v>0.7</v>
      </c>
      <c r="T22" t="s">
        <v>60</v>
      </c>
      <c r="U22" t="s">
        <v>239</v>
      </c>
      <c r="V22" s="2">
        <v>17.23</v>
      </c>
      <c r="W22" s="2">
        <v>17.23</v>
      </c>
      <c r="X22" s="2">
        <v>17.23</v>
      </c>
      <c r="Y22" t="s">
        <v>238</v>
      </c>
      <c r="Z22" t="s">
        <v>1062</v>
      </c>
    </row>
    <row r="23" spans="1:26" x14ac:dyDescent="0.25">
      <c r="A23">
        <v>2032155021</v>
      </c>
      <c r="B23" t="s">
        <v>560</v>
      </c>
      <c r="C23" t="s">
        <v>561</v>
      </c>
      <c r="D23" t="str">
        <f>CONCATENATE(C23," ",B23)</f>
        <v>KORI CORTHRON</v>
      </c>
      <c r="E23" t="s">
        <v>193</v>
      </c>
      <c r="F23" t="s">
        <v>182</v>
      </c>
      <c r="G23" t="s">
        <v>202</v>
      </c>
      <c r="H23" t="s">
        <v>497</v>
      </c>
      <c r="I23" s="11">
        <v>21128342</v>
      </c>
      <c r="J23" t="s">
        <v>562</v>
      </c>
      <c r="K23" t="s">
        <v>180</v>
      </c>
      <c r="L23" t="str">
        <f>CONCATENATE(K23," ",J23)</f>
        <v>John Karns</v>
      </c>
      <c r="M23" t="s">
        <v>57</v>
      </c>
      <c r="N23" s="1">
        <v>45975</v>
      </c>
      <c r="P23" s="1">
        <v>46217</v>
      </c>
      <c r="Q23" s="2">
        <v>24.61</v>
      </c>
      <c r="R23" t="s">
        <v>58</v>
      </c>
      <c r="S23" s="3">
        <v>0.7</v>
      </c>
      <c r="T23" t="s">
        <v>60</v>
      </c>
      <c r="U23" t="s">
        <v>239</v>
      </c>
      <c r="V23" s="2">
        <v>17.23</v>
      </c>
      <c r="W23" s="2">
        <v>17.23</v>
      </c>
      <c r="X23" s="2">
        <v>17.23</v>
      </c>
      <c r="Y23" t="s">
        <v>238</v>
      </c>
      <c r="Z23" t="s">
        <v>1062</v>
      </c>
    </row>
    <row r="24" spans="1:26" x14ac:dyDescent="0.25">
      <c r="A24">
        <v>2032192507</v>
      </c>
      <c r="B24" t="s">
        <v>573</v>
      </c>
      <c r="C24" t="s">
        <v>574</v>
      </c>
      <c r="D24" t="str">
        <f>CONCATENATE(C24," ",B24)</f>
        <v>FRANKLINE KENAH</v>
      </c>
      <c r="E24" t="s">
        <v>193</v>
      </c>
      <c r="F24" t="s">
        <v>182</v>
      </c>
      <c r="G24" t="s">
        <v>202</v>
      </c>
      <c r="H24" t="s">
        <v>497</v>
      </c>
      <c r="I24" s="11" t="s">
        <v>1043</v>
      </c>
      <c r="J24" t="s">
        <v>137</v>
      </c>
      <c r="K24" t="s">
        <v>138</v>
      </c>
      <c r="L24" t="str">
        <f>CONCATENATE(K24," ",J24)</f>
        <v>Brittany Oliver</v>
      </c>
      <c r="M24" t="s">
        <v>57</v>
      </c>
      <c r="N24" s="1">
        <v>45977</v>
      </c>
      <c r="P24" s="1">
        <v>46219</v>
      </c>
      <c r="Q24" s="2">
        <v>24.61</v>
      </c>
      <c r="R24" t="s">
        <v>58</v>
      </c>
      <c r="S24" s="3">
        <v>0.7</v>
      </c>
      <c r="T24" t="s">
        <v>60</v>
      </c>
      <c r="U24" t="s">
        <v>239</v>
      </c>
      <c r="V24" s="2">
        <v>17.23</v>
      </c>
      <c r="W24" s="2">
        <v>17.23</v>
      </c>
      <c r="X24" s="2">
        <v>17.23</v>
      </c>
      <c r="Y24" t="s">
        <v>238</v>
      </c>
      <c r="Z24" t="s">
        <v>1062</v>
      </c>
    </row>
    <row r="25" spans="1:26" x14ac:dyDescent="0.25">
      <c r="A25">
        <v>2032206980</v>
      </c>
      <c r="B25" t="s">
        <v>575</v>
      </c>
      <c r="C25" t="s">
        <v>349</v>
      </c>
      <c r="D25" t="str">
        <f>CONCATENATE(C25," ",B25)</f>
        <v>STEPHEN MATTINGLY</v>
      </c>
      <c r="E25" t="s">
        <v>145</v>
      </c>
      <c r="F25" t="s">
        <v>182</v>
      </c>
      <c r="G25" t="s">
        <v>202</v>
      </c>
      <c r="H25" t="s">
        <v>497</v>
      </c>
      <c r="I25" s="11">
        <v>9213293</v>
      </c>
      <c r="J25" t="s">
        <v>414</v>
      </c>
      <c r="K25" t="s">
        <v>415</v>
      </c>
      <c r="L25" t="str">
        <f>CONCATENATE(K25," ",J25)</f>
        <v>GARY PORTUGAL</v>
      </c>
      <c r="M25" t="s">
        <v>57</v>
      </c>
      <c r="N25" s="1">
        <v>45979</v>
      </c>
      <c r="P25" s="1">
        <v>46221</v>
      </c>
      <c r="Q25" s="2">
        <v>21.44</v>
      </c>
      <c r="R25" t="s">
        <v>58</v>
      </c>
      <c r="S25" s="3">
        <v>0.7</v>
      </c>
      <c r="T25" t="s">
        <v>60</v>
      </c>
      <c r="U25" t="s">
        <v>239</v>
      </c>
      <c r="V25" s="2">
        <v>15.01</v>
      </c>
      <c r="W25" s="2">
        <v>15.01</v>
      </c>
      <c r="X25" s="2">
        <v>15.01</v>
      </c>
      <c r="Y25" t="s">
        <v>238</v>
      </c>
      <c r="Z25" t="s">
        <v>1062</v>
      </c>
    </row>
    <row r="26" spans="1:26" x14ac:dyDescent="0.25">
      <c r="A26">
        <v>2016819082</v>
      </c>
      <c r="B26" t="s">
        <v>957</v>
      </c>
      <c r="C26" t="s">
        <v>958</v>
      </c>
      <c r="D26" t="str">
        <f>CONCATENATE(C26," ",B26)</f>
        <v>AMATA BROMUND</v>
      </c>
      <c r="E26" t="s">
        <v>165</v>
      </c>
      <c r="F26" t="s">
        <v>182</v>
      </c>
      <c r="G26" t="s">
        <v>202</v>
      </c>
      <c r="H26" t="s">
        <v>497</v>
      </c>
      <c r="I26" s="11">
        <v>20436896</v>
      </c>
      <c r="J26" t="s">
        <v>85</v>
      </c>
      <c r="K26" t="s">
        <v>866</v>
      </c>
      <c r="L26" t="str">
        <f>CONCATENATE(K26," ",J26)</f>
        <v>KATELENN CALTAGIRONE</v>
      </c>
      <c r="M26" t="s">
        <v>57</v>
      </c>
      <c r="N26" s="1">
        <v>44880</v>
      </c>
      <c r="P26" s="1">
        <v>46218</v>
      </c>
      <c r="Q26" s="2">
        <v>25.73</v>
      </c>
      <c r="R26" t="s">
        <v>58</v>
      </c>
      <c r="S26" s="3">
        <v>0.15</v>
      </c>
      <c r="T26" t="s">
        <v>238</v>
      </c>
      <c r="U26" t="s">
        <v>239</v>
      </c>
      <c r="V26" s="2">
        <v>3.86</v>
      </c>
      <c r="W26" s="2">
        <v>3.86</v>
      </c>
      <c r="X26" s="2">
        <v>3.86</v>
      </c>
      <c r="Y26" t="s">
        <v>238</v>
      </c>
      <c r="Z26" t="s">
        <v>1062</v>
      </c>
    </row>
    <row r="27" spans="1:26" x14ac:dyDescent="0.25">
      <c r="A27">
        <v>2017683724</v>
      </c>
      <c r="B27" t="s">
        <v>381</v>
      </c>
      <c r="C27" t="s">
        <v>865</v>
      </c>
      <c r="D27" t="str">
        <f>CONCATENATE(C27," ",B27)</f>
        <v>ARTHUR CARLSON</v>
      </c>
      <c r="E27" t="s">
        <v>95</v>
      </c>
      <c r="F27" t="s">
        <v>182</v>
      </c>
      <c r="G27" t="s">
        <v>202</v>
      </c>
      <c r="H27" t="s">
        <v>497</v>
      </c>
      <c r="I27" s="11">
        <v>20436896</v>
      </c>
      <c r="J27" t="s">
        <v>85</v>
      </c>
      <c r="K27" t="s">
        <v>866</v>
      </c>
      <c r="L27" t="str">
        <f>CONCATENATE(K27," ",J27)</f>
        <v>KATELENN CALTAGIRONE</v>
      </c>
      <c r="M27" t="s">
        <v>57</v>
      </c>
      <c r="N27" s="1">
        <v>44974</v>
      </c>
      <c r="P27" s="1">
        <v>46220</v>
      </c>
      <c r="Q27" s="2">
        <v>25.73</v>
      </c>
      <c r="R27" t="s">
        <v>58</v>
      </c>
      <c r="S27" s="3">
        <v>0.15</v>
      </c>
      <c r="T27" t="s">
        <v>238</v>
      </c>
      <c r="U27" t="s">
        <v>239</v>
      </c>
      <c r="V27" s="2">
        <v>3.86</v>
      </c>
      <c r="W27" s="2">
        <v>3.86</v>
      </c>
      <c r="X27" s="2">
        <v>3.86</v>
      </c>
      <c r="Y27" t="s">
        <v>238</v>
      </c>
      <c r="Z27" t="s">
        <v>1062</v>
      </c>
    </row>
    <row r="28" spans="1:26" x14ac:dyDescent="0.25">
      <c r="A28">
        <v>2020174612</v>
      </c>
      <c r="B28" t="s">
        <v>297</v>
      </c>
      <c r="C28" t="s">
        <v>298</v>
      </c>
      <c r="D28" t="str">
        <f>CONCATENATE(C28," ",B28)</f>
        <v>DENISE JEROUSEK</v>
      </c>
      <c r="E28" t="s">
        <v>193</v>
      </c>
      <c r="F28" t="s">
        <v>182</v>
      </c>
      <c r="G28" t="s">
        <v>202</v>
      </c>
      <c r="H28" t="s">
        <v>497</v>
      </c>
      <c r="I28" s="11">
        <v>9079571</v>
      </c>
      <c r="J28" t="s">
        <v>64</v>
      </c>
      <c r="K28" t="s">
        <v>236</v>
      </c>
      <c r="L28" t="str">
        <f>CONCATENATE(K28," ",J28)</f>
        <v>ADAM RICHTER</v>
      </c>
      <c r="M28" t="s">
        <v>57</v>
      </c>
      <c r="N28" s="1">
        <v>45214</v>
      </c>
      <c r="P28" s="1">
        <v>46218</v>
      </c>
      <c r="Q28" s="2">
        <v>24.61</v>
      </c>
      <c r="R28" t="s">
        <v>58</v>
      </c>
      <c r="S28" s="3">
        <v>0.15</v>
      </c>
      <c r="T28" t="s">
        <v>238</v>
      </c>
      <c r="U28" t="s">
        <v>239</v>
      </c>
      <c r="V28" s="2">
        <v>3.69</v>
      </c>
      <c r="W28" s="2">
        <v>3.69</v>
      </c>
      <c r="X28" s="2">
        <v>3.69</v>
      </c>
      <c r="Y28" t="s">
        <v>238</v>
      </c>
      <c r="Z28" t="s">
        <v>1062</v>
      </c>
    </row>
    <row r="29" spans="1:26" x14ac:dyDescent="0.25">
      <c r="A29">
        <v>2020780791</v>
      </c>
      <c r="B29" t="s">
        <v>962</v>
      </c>
      <c r="C29" t="s">
        <v>963</v>
      </c>
      <c r="D29" t="str">
        <f>CONCATENATE(C29," ",B29)</f>
        <v>VACILIKI RESS</v>
      </c>
      <c r="E29" t="s">
        <v>119</v>
      </c>
      <c r="F29" t="s">
        <v>182</v>
      </c>
      <c r="G29" t="s">
        <v>202</v>
      </c>
      <c r="H29" t="s">
        <v>497</v>
      </c>
      <c r="I29" s="11">
        <v>8307933</v>
      </c>
      <c r="J29" t="s">
        <v>79</v>
      </c>
      <c r="K29" t="s">
        <v>80</v>
      </c>
      <c r="L29" t="str">
        <f>CONCATENATE(K29," ",J29)</f>
        <v>GREGORY TEIPEL</v>
      </c>
      <c r="M29" t="s">
        <v>57</v>
      </c>
      <c r="N29" s="1">
        <v>45245</v>
      </c>
      <c r="P29" s="1">
        <v>46218</v>
      </c>
      <c r="Q29" s="2">
        <v>25.73</v>
      </c>
      <c r="R29" t="s">
        <v>58</v>
      </c>
      <c r="S29" s="3">
        <v>0.15</v>
      </c>
      <c r="T29" t="s">
        <v>238</v>
      </c>
      <c r="U29" t="s">
        <v>239</v>
      </c>
      <c r="V29" s="2">
        <v>3.86</v>
      </c>
      <c r="W29" s="2">
        <v>3.86</v>
      </c>
      <c r="X29" s="2">
        <v>3.86</v>
      </c>
      <c r="Y29" t="s">
        <v>238</v>
      </c>
      <c r="Z29" t="s">
        <v>1062</v>
      </c>
    </row>
    <row r="30" spans="1:26" x14ac:dyDescent="0.25">
      <c r="A30">
        <v>2034324485</v>
      </c>
      <c r="B30" t="s">
        <v>857</v>
      </c>
      <c r="C30" t="s">
        <v>858</v>
      </c>
      <c r="D30" t="str">
        <f>CONCATENATE(C30," ",B30)</f>
        <v>MAGDALENA GUTIERREZ</v>
      </c>
      <c r="E30" t="s">
        <v>119</v>
      </c>
      <c r="F30" t="s">
        <v>173</v>
      </c>
      <c r="G30" t="s">
        <v>174</v>
      </c>
      <c r="H30" t="s">
        <v>174</v>
      </c>
      <c r="I30" s="11" t="s">
        <v>1056</v>
      </c>
      <c r="J30" t="s">
        <v>860</v>
      </c>
      <c r="K30" t="s">
        <v>861</v>
      </c>
      <c r="L30" t="str">
        <f>CONCATENATE(K30," ",J30)</f>
        <v>Anthony Hunsberger</v>
      </c>
      <c r="M30" t="s">
        <v>57</v>
      </c>
      <c r="N30" s="1">
        <v>46097</v>
      </c>
      <c r="P30" s="1">
        <v>46219</v>
      </c>
      <c r="Q30" s="2">
        <v>486.8</v>
      </c>
      <c r="R30" t="s">
        <v>58</v>
      </c>
      <c r="S30" s="3">
        <v>0.38</v>
      </c>
      <c r="T30" t="s">
        <v>60</v>
      </c>
      <c r="U30" t="s">
        <v>239</v>
      </c>
      <c r="V30" s="2">
        <v>184.98</v>
      </c>
      <c r="W30" s="2">
        <v>0</v>
      </c>
      <c r="X30" s="2">
        <v>0</v>
      </c>
      <c r="Y30" t="s">
        <v>238</v>
      </c>
      <c r="Z30" t="s">
        <v>1063</v>
      </c>
    </row>
    <row r="31" spans="1:26" x14ac:dyDescent="0.25">
      <c r="A31">
        <v>2034964725</v>
      </c>
      <c r="B31" t="s">
        <v>232</v>
      </c>
      <c r="C31" t="s">
        <v>956</v>
      </c>
      <c r="D31" t="str">
        <f>CONCATENATE(C31," ",B31)</f>
        <v>HOWARD JOHNSON</v>
      </c>
      <c r="E31" t="s">
        <v>119</v>
      </c>
      <c r="F31" t="s">
        <v>173</v>
      </c>
      <c r="G31" t="s">
        <v>174</v>
      </c>
      <c r="H31" t="s">
        <v>174</v>
      </c>
      <c r="I31" s="11" t="s">
        <v>1034</v>
      </c>
      <c r="J31" t="s">
        <v>495</v>
      </c>
      <c r="K31" t="s">
        <v>496</v>
      </c>
      <c r="L31" t="str">
        <f>CONCATENATE(K31," ",J31)</f>
        <v>RICARDO SANTOS</v>
      </c>
      <c r="M31" t="s">
        <v>57</v>
      </c>
      <c r="N31" s="1">
        <v>46129</v>
      </c>
      <c r="P31" s="1">
        <v>46220</v>
      </c>
      <c r="Q31" s="2">
        <v>486.8</v>
      </c>
      <c r="R31" t="s">
        <v>58</v>
      </c>
      <c r="S31" s="3">
        <v>0.38</v>
      </c>
      <c r="T31" t="s">
        <v>60</v>
      </c>
      <c r="U31" t="s">
        <v>239</v>
      </c>
      <c r="V31" s="2">
        <v>184.98</v>
      </c>
      <c r="W31" s="2">
        <v>0</v>
      </c>
      <c r="X31" s="2">
        <v>0</v>
      </c>
      <c r="Y31" t="s">
        <v>238</v>
      </c>
      <c r="Z31" t="s">
        <v>1063</v>
      </c>
    </row>
    <row r="32" spans="1:26" x14ac:dyDescent="0.25">
      <c r="A32">
        <v>2033684744</v>
      </c>
      <c r="B32" t="s">
        <v>657</v>
      </c>
      <c r="C32" t="s">
        <v>446</v>
      </c>
      <c r="D32" t="str">
        <f>CONCATENATE(C32," ",B32)</f>
        <v>DANIEL OLAGUE</v>
      </c>
      <c r="E32" t="s">
        <v>305</v>
      </c>
      <c r="F32" t="s">
        <v>173</v>
      </c>
      <c r="G32" t="s">
        <v>174</v>
      </c>
      <c r="H32" t="s">
        <v>174</v>
      </c>
      <c r="I32" s="11" t="s">
        <v>1020</v>
      </c>
      <c r="J32" t="s">
        <v>312</v>
      </c>
      <c r="K32" t="s">
        <v>313</v>
      </c>
      <c r="L32" t="str">
        <f>CONCATENATE(K32," ",J32)</f>
        <v>Heather Geske</v>
      </c>
      <c r="M32" t="s">
        <v>57</v>
      </c>
      <c r="N32" s="1">
        <v>46070</v>
      </c>
      <c r="P32" s="1">
        <v>46220</v>
      </c>
      <c r="Q32" s="2">
        <v>215.34</v>
      </c>
      <c r="R32" t="s">
        <v>58</v>
      </c>
      <c r="S32" s="3">
        <v>0.38</v>
      </c>
      <c r="T32" t="s">
        <v>60</v>
      </c>
      <c r="U32" t="s">
        <v>239</v>
      </c>
      <c r="V32" s="2">
        <v>81.83</v>
      </c>
      <c r="W32" s="2">
        <v>0</v>
      </c>
      <c r="X32" s="2">
        <v>0</v>
      </c>
      <c r="Y32" t="s">
        <v>238</v>
      </c>
      <c r="Z32" t="s">
        <v>1063</v>
      </c>
    </row>
    <row r="33" spans="1:26" x14ac:dyDescent="0.25">
      <c r="A33">
        <v>2033172627</v>
      </c>
      <c r="B33" t="s">
        <v>856</v>
      </c>
      <c r="C33" t="s">
        <v>262</v>
      </c>
      <c r="D33" t="str">
        <f>CONCATENATE(C33," ",B33)</f>
        <v>TIMOTHY BIRCH</v>
      </c>
      <c r="E33" t="s">
        <v>292</v>
      </c>
      <c r="F33" t="s">
        <v>173</v>
      </c>
      <c r="G33" t="s">
        <v>174</v>
      </c>
      <c r="H33" t="s">
        <v>174</v>
      </c>
      <c r="I33" s="11" t="s">
        <v>1043</v>
      </c>
      <c r="J33" t="s">
        <v>137</v>
      </c>
      <c r="K33" t="s">
        <v>138</v>
      </c>
      <c r="L33" t="str">
        <f>CONCATENATE(K33," ",J33)</f>
        <v>Brittany Oliver</v>
      </c>
      <c r="M33" t="s">
        <v>57</v>
      </c>
      <c r="N33" s="1">
        <v>46038</v>
      </c>
      <c r="P33" s="1">
        <v>46219</v>
      </c>
      <c r="Q33" s="2">
        <v>195.81</v>
      </c>
      <c r="R33" t="s">
        <v>58</v>
      </c>
      <c r="S33" s="3">
        <v>0.38</v>
      </c>
      <c r="T33" t="s">
        <v>60</v>
      </c>
      <c r="U33" t="s">
        <v>239</v>
      </c>
      <c r="V33" s="2">
        <v>74.41</v>
      </c>
      <c r="W33" s="2">
        <v>0</v>
      </c>
      <c r="X33" s="2">
        <v>0</v>
      </c>
      <c r="Y33" t="s">
        <v>238</v>
      </c>
      <c r="Z33" t="s">
        <v>1064</v>
      </c>
    </row>
    <row r="34" spans="1:26" x14ac:dyDescent="0.25">
      <c r="A34">
        <v>2035463447</v>
      </c>
      <c r="B34" t="s">
        <v>726</v>
      </c>
      <c r="C34" t="s">
        <v>862</v>
      </c>
      <c r="D34" t="str">
        <f>CONCATENATE(C34," ",B34)</f>
        <v>NICHOLAS HARVEY</v>
      </c>
      <c r="E34" t="s">
        <v>119</v>
      </c>
      <c r="F34" t="s">
        <v>173</v>
      </c>
      <c r="G34" t="s">
        <v>174</v>
      </c>
      <c r="H34" t="s">
        <v>174</v>
      </c>
      <c r="I34" s="11" t="s">
        <v>1033</v>
      </c>
      <c r="J34" t="s">
        <v>122</v>
      </c>
      <c r="K34" t="s">
        <v>123</v>
      </c>
      <c r="L34" t="str">
        <f>CONCATENATE(K34," ",J34)</f>
        <v>FRANK LISKOVEC</v>
      </c>
      <c r="M34" t="s">
        <v>57</v>
      </c>
      <c r="N34" s="1">
        <v>46157</v>
      </c>
      <c r="P34" s="1">
        <v>46218</v>
      </c>
      <c r="Q34" s="2">
        <v>172.55</v>
      </c>
      <c r="R34" t="s">
        <v>58</v>
      </c>
      <c r="S34" s="3">
        <v>0.38</v>
      </c>
      <c r="T34" t="s">
        <v>60</v>
      </c>
      <c r="U34" t="s">
        <v>239</v>
      </c>
      <c r="V34" s="2">
        <v>65.569999999999993</v>
      </c>
      <c r="W34" s="2">
        <v>0</v>
      </c>
      <c r="X34" s="2">
        <v>0</v>
      </c>
      <c r="Y34" t="s">
        <v>238</v>
      </c>
      <c r="Z34" t="s">
        <v>1063</v>
      </c>
    </row>
    <row r="35" spans="1:26" x14ac:dyDescent="0.25">
      <c r="A35">
        <v>2033172628</v>
      </c>
      <c r="B35" t="s">
        <v>856</v>
      </c>
      <c r="C35" t="s">
        <v>262</v>
      </c>
      <c r="D35" t="str">
        <f>CONCATENATE(C35," ",B35)</f>
        <v>TIMOTHY BIRCH</v>
      </c>
      <c r="E35" t="s">
        <v>292</v>
      </c>
      <c r="F35" t="s">
        <v>173</v>
      </c>
      <c r="G35" t="s">
        <v>177</v>
      </c>
      <c r="H35" t="s">
        <v>174</v>
      </c>
      <c r="I35" s="11" t="s">
        <v>1043</v>
      </c>
      <c r="J35" t="s">
        <v>137</v>
      </c>
      <c r="K35" t="s">
        <v>138</v>
      </c>
      <c r="L35" t="str">
        <f>CONCATENATE(K35," ",J35)</f>
        <v>Brittany Oliver</v>
      </c>
      <c r="M35" t="s">
        <v>57</v>
      </c>
      <c r="N35" s="1">
        <v>46038</v>
      </c>
      <c r="P35" s="1">
        <v>46219</v>
      </c>
      <c r="Q35" s="2">
        <v>7.09</v>
      </c>
      <c r="R35" t="s">
        <v>58</v>
      </c>
      <c r="S35" s="3">
        <v>0.38</v>
      </c>
      <c r="T35" t="s">
        <v>60</v>
      </c>
      <c r="U35" t="s">
        <v>239</v>
      </c>
      <c r="V35" s="2">
        <v>2.69</v>
      </c>
      <c r="W35" s="2">
        <v>0</v>
      </c>
      <c r="X35" s="2">
        <v>0</v>
      </c>
      <c r="Y35" t="s">
        <v>238</v>
      </c>
      <c r="Z35" t="s">
        <v>1064</v>
      </c>
    </row>
    <row r="36" spans="1:26" x14ac:dyDescent="0.25">
      <c r="A36">
        <v>2033684747</v>
      </c>
      <c r="B36" t="s">
        <v>657</v>
      </c>
      <c r="C36" t="s">
        <v>446</v>
      </c>
      <c r="D36" t="str">
        <f>CONCATENATE(C36," ",B36)</f>
        <v>DANIEL OLAGUE</v>
      </c>
      <c r="E36" t="s">
        <v>305</v>
      </c>
      <c r="F36" t="s">
        <v>173</v>
      </c>
      <c r="G36" t="s">
        <v>177</v>
      </c>
      <c r="H36" t="s">
        <v>174</v>
      </c>
      <c r="I36" s="11" t="s">
        <v>1020</v>
      </c>
      <c r="J36" t="s">
        <v>312</v>
      </c>
      <c r="K36" t="s">
        <v>313</v>
      </c>
      <c r="L36" t="str">
        <f>CONCATENATE(K36," ",J36)</f>
        <v>Heather Geske</v>
      </c>
      <c r="M36" t="s">
        <v>57</v>
      </c>
      <c r="N36" s="1">
        <v>46070</v>
      </c>
      <c r="P36" s="1">
        <v>46220</v>
      </c>
      <c r="Q36" s="2">
        <v>7.09</v>
      </c>
      <c r="R36" t="s">
        <v>58</v>
      </c>
      <c r="S36" s="3">
        <v>0.38</v>
      </c>
      <c r="T36" t="s">
        <v>60</v>
      </c>
      <c r="U36" t="s">
        <v>239</v>
      </c>
      <c r="V36" s="2">
        <v>2.69</v>
      </c>
      <c r="W36" s="2">
        <v>0</v>
      </c>
      <c r="X36" s="2">
        <v>0</v>
      </c>
      <c r="Y36" t="s">
        <v>238</v>
      </c>
      <c r="Z36" t="s">
        <v>1063</v>
      </c>
    </row>
    <row r="37" spans="1:26" x14ac:dyDescent="0.25">
      <c r="A37">
        <v>2034097750</v>
      </c>
      <c r="B37" t="s">
        <v>281</v>
      </c>
      <c r="C37" t="s">
        <v>282</v>
      </c>
      <c r="D37" t="str">
        <f>CONCATENATE(C37," ",B37)</f>
        <v>HEWITT WILKINSON</v>
      </c>
      <c r="E37" t="s">
        <v>145</v>
      </c>
      <c r="F37" t="s">
        <v>173</v>
      </c>
      <c r="G37" t="s">
        <v>177</v>
      </c>
      <c r="H37" t="s">
        <v>174</v>
      </c>
      <c r="I37" s="11">
        <v>8977234</v>
      </c>
      <c r="J37" t="s">
        <v>85</v>
      </c>
      <c r="K37" t="s">
        <v>86</v>
      </c>
      <c r="L37" t="str">
        <f>CONCATENATE(K37," ",J37)</f>
        <v>RYAN CALTAGIRONE</v>
      </c>
      <c r="M37" t="s">
        <v>57</v>
      </c>
      <c r="N37" s="1">
        <v>46127</v>
      </c>
      <c r="P37" s="1">
        <v>46218</v>
      </c>
      <c r="Q37" s="2">
        <v>7.09</v>
      </c>
      <c r="R37" t="s">
        <v>58</v>
      </c>
      <c r="S37" s="3">
        <v>0.38</v>
      </c>
      <c r="T37" t="s">
        <v>60</v>
      </c>
      <c r="U37" t="s">
        <v>239</v>
      </c>
      <c r="V37" s="2">
        <v>2.69</v>
      </c>
      <c r="W37" s="2">
        <v>0</v>
      </c>
      <c r="X37" s="2">
        <v>0</v>
      </c>
      <c r="Y37" t="s">
        <v>238</v>
      </c>
      <c r="Z37" t="s">
        <v>1062</v>
      </c>
    </row>
    <row r="38" spans="1:26" x14ac:dyDescent="0.25">
      <c r="A38">
        <v>2034324486</v>
      </c>
      <c r="B38" t="s">
        <v>857</v>
      </c>
      <c r="C38" t="s">
        <v>858</v>
      </c>
      <c r="D38" t="str">
        <f>CONCATENATE(C38," ",B38)</f>
        <v>MAGDALENA GUTIERREZ</v>
      </c>
      <c r="E38" t="s">
        <v>119</v>
      </c>
      <c r="F38" t="s">
        <v>173</v>
      </c>
      <c r="G38" t="s">
        <v>177</v>
      </c>
      <c r="H38" t="s">
        <v>174</v>
      </c>
      <c r="I38" s="11" t="s">
        <v>1056</v>
      </c>
      <c r="J38" t="s">
        <v>860</v>
      </c>
      <c r="K38" t="s">
        <v>861</v>
      </c>
      <c r="L38" t="str">
        <f>CONCATENATE(K38," ",J38)</f>
        <v>Anthony Hunsberger</v>
      </c>
      <c r="M38" t="s">
        <v>57</v>
      </c>
      <c r="N38" s="1">
        <v>46097</v>
      </c>
      <c r="P38" s="1">
        <v>46219</v>
      </c>
      <c r="Q38" s="2">
        <v>7.09</v>
      </c>
      <c r="R38" t="s">
        <v>58</v>
      </c>
      <c r="S38" s="3">
        <v>0.38</v>
      </c>
      <c r="T38" t="s">
        <v>60</v>
      </c>
      <c r="U38" t="s">
        <v>239</v>
      </c>
      <c r="V38" s="2">
        <v>2.69</v>
      </c>
      <c r="W38" s="2">
        <v>0</v>
      </c>
      <c r="X38" s="2">
        <v>0</v>
      </c>
      <c r="Y38" t="s">
        <v>238</v>
      </c>
      <c r="Z38" t="s">
        <v>1063</v>
      </c>
    </row>
    <row r="39" spans="1:26" x14ac:dyDescent="0.25">
      <c r="A39">
        <v>2027854738</v>
      </c>
      <c r="B39" t="s">
        <v>943</v>
      </c>
      <c r="C39" t="s">
        <v>944</v>
      </c>
      <c r="D39" t="str">
        <f>CONCATENATE(C39," ",B39)</f>
        <v>TERESA COUSINEAU-VESELICA</v>
      </c>
      <c r="E39" t="s">
        <v>77</v>
      </c>
      <c r="F39" t="s">
        <v>173</v>
      </c>
      <c r="G39" t="s">
        <v>174</v>
      </c>
      <c r="H39" t="s">
        <v>174</v>
      </c>
      <c r="I39" s="11">
        <v>8977234</v>
      </c>
      <c r="J39" t="s">
        <v>85</v>
      </c>
      <c r="K39" t="s">
        <v>86</v>
      </c>
      <c r="L39" t="str">
        <f>CONCATENATE(K39," ",J39)</f>
        <v>RYAN CALTAGIRONE</v>
      </c>
      <c r="M39" t="s">
        <v>57</v>
      </c>
      <c r="N39" s="1">
        <v>45734</v>
      </c>
      <c r="P39" s="1">
        <v>46221</v>
      </c>
      <c r="Q39" s="2">
        <v>217.56</v>
      </c>
      <c r="R39" t="s">
        <v>58</v>
      </c>
      <c r="S39" s="3">
        <v>0.1</v>
      </c>
      <c r="T39" t="s">
        <v>238</v>
      </c>
      <c r="U39" t="s">
        <v>239</v>
      </c>
      <c r="V39" s="2">
        <v>21.76</v>
      </c>
      <c r="W39" s="2">
        <v>21.76</v>
      </c>
      <c r="X39" s="2">
        <v>21.76</v>
      </c>
      <c r="Y39" t="s">
        <v>238</v>
      </c>
      <c r="Z39" t="s">
        <v>1062</v>
      </c>
    </row>
    <row r="40" spans="1:26" x14ac:dyDescent="0.25">
      <c r="A40">
        <v>2030028578</v>
      </c>
      <c r="B40" t="s">
        <v>848</v>
      </c>
      <c r="C40" t="s">
        <v>849</v>
      </c>
      <c r="D40" t="str">
        <f>CONCATENATE(C40," ",B40)</f>
        <v>JOEL LOREDO</v>
      </c>
      <c r="E40" t="s">
        <v>119</v>
      </c>
      <c r="F40" t="s">
        <v>173</v>
      </c>
      <c r="G40" t="s">
        <v>177</v>
      </c>
      <c r="H40" t="s">
        <v>174</v>
      </c>
      <c r="I40" s="11" t="s">
        <v>1002</v>
      </c>
      <c r="J40" t="s">
        <v>321</v>
      </c>
      <c r="K40" t="s">
        <v>94</v>
      </c>
      <c r="L40" t="str">
        <f>CONCATENATE(K40," ",J40)</f>
        <v>ANDREA PETRUNGARO</v>
      </c>
      <c r="M40" t="s">
        <v>57</v>
      </c>
      <c r="N40" s="1">
        <v>45857</v>
      </c>
      <c r="P40" s="1">
        <v>46222</v>
      </c>
      <c r="Q40" s="2">
        <v>7.09</v>
      </c>
      <c r="R40" t="s">
        <v>58</v>
      </c>
      <c r="S40" s="3">
        <v>0.38</v>
      </c>
      <c r="T40" t="s">
        <v>60</v>
      </c>
      <c r="U40" t="s">
        <v>239</v>
      </c>
      <c r="V40" s="2">
        <v>2.69</v>
      </c>
      <c r="W40" s="2">
        <v>2.69</v>
      </c>
      <c r="X40" s="2">
        <v>2.69</v>
      </c>
      <c r="Y40" t="s">
        <v>238</v>
      </c>
      <c r="Z40" t="s">
        <v>1062</v>
      </c>
    </row>
    <row r="41" spans="1:26" x14ac:dyDescent="0.25">
      <c r="A41">
        <v>2030028579</v>
      </c>
      <c r="B41" t="s">
        <v>848</v>
      </c>
      <c r="C41" t="s">
        <v>849</v>
      </c>
      <c r="D41" t="str">
        <f>CONCATENATE(C41," ",B41)</f>
        <v>JOEL LOREDO</v>
      </c>
      <c r="E41" t="s">
        <v>119</v>
      </c>
      <c r="F41" t="s">
        <v>173</v>
      </c>
      <c r="G41" t="s">
        <v>174</v>
      </c>
      <c r="H41" t="s">
        <v>174</v>
      </c>
      <c r="I41" s="11" t="s">
        <v>1002</v>
      </c>
      <c r="J41" t="s">
        <v>321</v>
      </c>
      <c r="K41" t="s">
        <v>94</v>
      </c>
      <c r="L41" t="str">
        <f>CONCATENATE(K41," ",J41)</f>
        <v>ANDREA PETRUNGARO</v>
      </c>
      <c r="M41" t="s">
        <v>57</v>
      </c>
      <c r="N41" s="1">
        <v>45857</v>
      </c>
      <c r="P41" s="1">
        <v>46222</v>
      </c>
      <c r="Q41" s="2">
        <v>530.48</v>
      </c>
      <c r="R41" t="s">
        <v>58</v>
      </c>
      <c r="S41" s="3">
        <v>0.38</v>
      </c>
      <c r="T41" t="s">
        <v>60</v>
      </c>
      <c r="U41" t="s">
        <v>239</v>
      </c>
      <c r="V41" s="2">
        <v>201.58</v>
      </c>
      <c r="W41" s="2">
        <v>201.58</v>
      </c>
      <c r="X41" s="2">
        <v>201.58</v>
      </c>
      <c r="Y41" t="s">
        <v>238</v>
      </c>
      <c r="Z41" t="s">
        <v>1062</v>
      </c>
    </row>
    <row r="42" spans="1:26" x14ac:dyDescent="0.25">
      <c r="A42">
        <v>2030399994</v>
      </c>
      <c r="B42" t="s">
        <v>945</v>
      </c>
      <c r="C42" t="s">
        <v>704</v>
      </c>
      <c r="D42" t="str">
        <f>CONCATENATE(C42," ",B42)</f>
        <v>KELLY LOYD</v>
      </c>
      <c r="E42" t="s">
        <v>119</v>
      </c>
      <c r="F42" t="s">
        <v>173</v>
      </c>
      <c r="G42" t="s">
        <v>174</v>
      </c>
      <c r="H42" t="s">
        <v>174</v>
      </c>
      <c r="I42" s="11" t="s">
        <v>1027</v>
      </c>
      <c r="J42" t="s">
        <v>385</v>
      </c>
      <c r="K42" t="s">
        <v>386</v>
      </c>
      <c r="L42" t="str">
        <f>CONCATENATE(K42," ",J42)</f>
        <v>Andrew Choi</v>
      </c>
      <c r="M42" t="s">
        <v>57</v>
      </c>
      <c r="N42" s="1">
        <v>45878</v>
      </c>
      <c r="P42" s="1">
        <v>46212</v>
      </c>
      <c r="Q42" s="2">
        <v>-85.75</v>
      </c>
      <c r="R42" t="s">
        <v>58</v>
      </c>
      <c r="S42" s="3">
        <v>0.38</v>
      </c>
      <c r="T42" t="s">
        <v>60</v>
      </c>
      <c r="U42" t="s">
        <v>239</v>
      </c>
      <c r="V42" s="2">
        <v>-32.58</v>
      </c>
      <c r="W42" s="2">
        <v>-32.58</v>
      </c>
      <c r="X42" s="2">
        <v>-32.58</v>
      </c>
      <c r="Y42" t="s">
        <v>238</v>
      </c>
      <c r="Z42" t="s">
        <v>1062</v>
      </c>
    </row>
    <row r="43" spans="1:26" x14ac:dyDescent="0.25">
      <c r="A43">
        <v>2030558287</v>
      </c>
      <c r="B43" t="s">
        <v>620</v>
      </c>
      <c r="C43" t="s">
        <v>850</v>
      </c>
      <c r="D43" t="str">
        <f>CONCATENATE(C43," ",B43)</f>
        <v>RICHARD SMITH</v>
      </c>
      <c r="E43" t="s">
        <v>186</v>
      </c>
      <c r="F43" t="s">
        <v>173</v>
      </c>
      <c r="G43" t="s">
        <v>174</v>
      </c>
      <c r="H43" t="s">
        <v>174</v>
      </c>
      <c r="I43" s="11">
        <v>17425766</v>
      </c>
      <c r="J43" t="s">
        <v>158</v>
      </c>
      <c r="K43" t="s">
        <v>159</v>
      </c>
      <c r="L43" t="str">
        <f>CONCATENATE(K43," ",J43)</f>
        <v>CAROL FOLEY</v>
      </c>
      <c r="M43" t="s">
        <v>57</v>
      </c>
      <c r="N43" s="1">
        <v>45888</v>
      </c>
      <c r="P43" s="1">
        <v>46222</v>
      </c>
      <c r="Q43" s="2">
        <v>115.38</v>
      </c>
      <c r="R43" t="s">
        <v>58</v>
      </c>
      <c r="S43" s="3">
        <v>0.38</v>
      </c>
      <c r="T43" t="s">
        <v>60</v>
      </c>
      <c r="U43" t="s">
        <v>239</v>
      </c>
      <c r="V43" s="2">
        <v>43.84</v>
      </c>
      <c r="W43" s="2">
        <v>43.84</v>
      </c>
      <c r="X43" s="2">
        <v>43.84</v>
      </c>
      <c r="Y43" t="s">
        <v>238</v>
      </c>
      <c r="Z43" t="s">
        <v>1062</v>
      </c>
    </row>
    <row r="44" spans="1:26" x14ac:dyDescent="0.25">
      <c r="A44">
        <v>2030558288</v>
      </c>
      <c r="B44" t="s">
        <v>620</v>
      </c>
      <c r="C44" t="s">
        <v>850</v>
      </c>
      <c r="D44" t="str">
        <f>CONCATENATE(C44," ",B44)</f>
        <v>RICHARD SMITH</v>
      </c>
      <c r="E44" t="s">
        <v>186</v>
      </c>
      <c r="F44" t="s">
        <v>173</v>
      </c>
      <c r="G44" t="s">
        <v>177</v>
      </c>
      <c r="H44" t="s">
        <v>174</v>
      </c>
      <c r="I44" s="11">
        <v>17425766</v>
      </c>
      <c r="J44" t="s">
        <v>158</v>
      </c>
      <c r="K44" t="s">
        <v>159</v>
      </c>
      <c r="L44" t="str">
        <f>CONCATENATE(K44," ",J44)</f>
        <v>CAROL FOLEY</v>
      </c>
      <c r="M44" t="s">
        <v>57</v>
      </c>
      <c r="N44" s="1">
        <v>45888</v>
      </c>
      <c r="P44" s="1">
        <v>46222</v>
      </c>
      <c r="Q44" s="2">
        <v>7.09</v>
      </c>
      <c r="R44" t="s">
        <v>58</v>
      </c>
      <c r="S44" s="3">
        <v>0.38</v>
      </c>
      <c r="T44" t="s">
        <v>60</v>
      </c>
      <c r="U44" t="s">
        <v>239</v>
      </c>
      <c r="V44" s="2">
        <v>2.69</v>
      </c>
      <c r="W44" s="2">
        <v>2.69</v>
      </c>
      <c r="X44" s="2">
        <v>2.69</v>
      </c>
      <c r="Y44" t="s">
        <v>238</v>
      </c>
      <c r="Z44" t="s">
        <v>1062</v>
      </c>
    </row>
    <row r="45" spans="1:26" x14ac:dyDescent="0.25">
      <c r="A45">
        <v>2031617146</v>
      </c>
      <c r="B45" t="s">
        <v>535</v>
      </c>
      <c r="C45" t="s">
        <v>335</v>
      </c>
      <c r="D45" t="str">
        <f>CONCATENATE(C45," ",B45)</f>
        <v>DAVID WHITE</v>
      </c>
      <c r="E45" t="s">
        <v>119</v>
      </c>
      <c r="F45" t="s">
        <v>173</v>
      </c>
      <c r="G45" t="s">
        <v>174</v>
      </c>
      <c r="H45" t="s">
        <v>174</v>
      </c>
      <c r="I45" s="11" t="s">
        <v>1033</v>
      </c>
      <c r="J45" t="s">
        <v>122</v>
      </c>
      <c r="K45" t="s">
        <v>123</v>
      </c>
      <c r="L45" t="str">
        <f>CONCATENATE(K45," ",J45)</f>
        <v>FRANK LISKOVEC</v>
      </c>
      <c r="M45" t="s">
        <v>57</v>
      </c>
      <c r="N45" s="1">
        <v>45945</v>
      </c>
      <c r="P45" s="1">
        <v>46218</v>
      </c>
      <c r="Q45" s="2">
        <v>371.07</v>
      </c>
      <c r="R45" t="s">
        <v>58</v>
      </c>
      <c r="S45" s="3">
        <v>0.38</v>
      </c>
      <c r="T45" t="s">
        <v>60</v>
      </c>
      <c r="U45" t="s">
        <v>239</v>
      </c>
      <c r="V45" s="2">
        <v>141.01</v>
      </c>
      <c r="W45" s="2">
        <v>141.01</v>
      </c>
      <c r="X45" s="2">
        <v>141.01</v>
      </c>
      <c r="Y45" t="s">
        <v>238</v>
      </c>
      <c r="Z45" t="s">
        <v>1062</v>
      </c>
    </row>
    <row r="46" spans="1:26" x14ac:dyDescent="0.25">
      <c r="A46">
        <v>2031617147</v>
      </c>
      <c r="B46" t="s">
        <v>535</v>
      </c>
      <c r="C46" t="s">
        <v>335</v>
      </c>
      <c r="D46" t="str">
        <f>CONCATENATE(C46," ",B46)</f>
        <v>DAVID WHITE</v>
      </c>
      <c r="E46" t="s">
        <v>119</v>
      </c>
      <c r="F46" t="s">
        <v>173</v>
      </c>
      <c r="G46" t="s">
        <v>177</v>
      </c>
      <c r="H46" t="s">
        <v>174</v>
      </c>
      <c r="I46" s="11" t="s">
        <v>1033</v>
      </c>
      <c r="J46" t="s">
        <v>122</v>
      </c>
      <c r="K46" t="s">
        <v>123</v>
      </c>
      <c r="L46" t="str">
        <f>CONCATENATE(K46," ",J46)</f>
        <v>FRANK LISKOVEC</v>
      </c>
      <c r="M46" t="s">
        <v>57</v>
      </c>
      <c r="N46" s="1">
        <v>45945</v>
      </c>
      <c r="P46" s="1">
        <v>46218</v>
      </c>
      <c r="Q46" s="2">
        <v>7.09</v>
      </c>
      <c r="R46" t="s">
        <v>58</v>
      </c>
      <c r="S46" s="3">
        <v>0.38</v>
      </c>
      <c r="T46" t="s">
        <v>60</v>
      </c>
      <c r="U46" t="s">
        <v>239</v>
      </c>
      <c r="V46" s="2">
        <v>2.69</v>
      </c>
      <c r="W46" s="2">
        <v>2.69</v>
      </c>
      <c r="X46" s="2">
        <v>2.69</v>
      </c>
      <c r="Y46" t="s">
        <v>238</v>
      </c>
      <c r="Z46" t="s">
        <v>1062</v>
      </c>
    </row>
    <row r="47" spans="1:26" x14ac:dyDescent="0.25">
      <c r="A47">
        <v>2032445031</v>
      </c>
      <c r="B47" t="s">
        <v>384</v>
      </c>
      <c r="C47" t="s">
        <v>307</v>
      </c>
      <c r="D47" t="str">
        <f>CONCATENATE(C47," ",B47)</f>
        <v>WILLIAM RESURRECCION</v>
      </c>
      <c r="E47" t="s">
        <v>119</v>
      </c>
      <c r="F47" t="s">
        <v>173</v>
      </c>
      <c r="G47" t="s">
        <v>174</v>
      </c>
      <c r="H47" t="s">
        <v>174</v>
      </c>
      <c r="I47" s="11" t="s">
        <v>1027</v>
      </c>
      <c r="J47" t="s">
        <v>385</v>
      </c>
      <c r="K47" t="s">
        <v>386</v>
      </c>
      <c r="L47" t="str">
        <f>CONCATENATE(K47," ",J47)</f>
        <v>Andrew Choi</v>
      </c>
      <c r="M47" t="s">
        <v>57</v>
      </c>
      <c r="N47" s="1">
        <v>46006</v>
      </c>
      <c r="P47" s="1">
        <v>46218</v>
      </c>
      <c r="Q47" s="2">
        <v>118.19</v>
      </c>
      <c r="R47" t="s">
        <v>58</v>
      </c>
      <c r="S47" s="3">
        <v>0.38</v>
      </c>
      <c r="T47" t="s">
        <v>60</v>
      </c>
      <c r="U47" t="s">
        <v>239</v>
      </c>
      <c r="V47" s="2">
        <v>44.91</v>
      </c>
      <c r="W47" s="2">
        <v>44.91</v>
      </c>
      <c r="X47" s="2">
        <v>44.91</v>
      </c>
      <c r="Y47" t="s">
        <v>238</v>
      </c>
      <c r="Z47" t="s">
        <v>1064</v>
      </c>
    </row>
    <row r="48" spans="1:26" x14ac:dyDescent="0.25">
      <c r="A48">
        <v>2032445032</v>
      </c>
      <c r="B48" t="s">
        <v>384</v>
      </c>
      <c r="C48" t="s">
        <v>307</v>
      </c>
      <c r="D48" t="str">
        <f>CONCATENATE(C48," ",B48)</f>
        <v>WILLIAM RESURRECCION</v>
      </c>
      <c r="E48" t="s">
        <v>119</v>
      </c>
      <c r="F48" t="s">
        <v>173</v>
      </c>
      <c r="G48" t="s">
        <v>177</v>
      </c>
      <c r="H48" t="s">
        <v>174</v>
      </c>
      <c r="I48" s="11" t="s">
        <v>1027</v>
      </c>
      <c r="J48" t="s">
        <v>385</v>
      </c>
      <c r="K48" t="s">
        <v>386</v>
      </c>
      <c r="L48" t="str">
        <f>CONCATENATE(K48," ",J48)</f>
        <v>Andrew Choi</v>
      </c>
      <c r="M48" t="s">
        <v>57</v>
      </c>
      <c r="N48" s="1">
        <v>46006</v>
      </c>
      <c r="P48" s="1">
        <v>46218</v>
      </c>
      <c r="Q48" s="2">
        <v>7.09</v>
      </c>
      <c r="R48" t="s">
        <v>58</v>
      </c>
      <c r="S48" s="3">
        <v>0.38</v>
      </c>
      <c r="T48" t="s">
        <v>60</v>
      </c>
      <c r="U48" t="s">
        <v>239</v>
      </c>
      <c r="V48" s="2">
        <v>2.69</v>
      </c>
      <c r="W48" s="2">
        <v>2.69</v>
      </c>
      <c r="X48" s="2">
        <v>2.69</v>
      </c>
      <c r="Y48" t="s">
        <v>238</v>
      </c>
      <c r="Z48" t="s">
        <v>1064</v>
      </c>
    </row>
    <row r="49" spans="1:26" s="12" customFormat="1" x14ac:dyDescent="0.25">
      <c r="A49" s="12">
        <v>2034398379</v>
      </c>
      <c r="B49" s="12" t="s">
        <v>928</v>
      </c>
      <c r="C49" s="12" t="s">
        <v>929</v>
      </c>
      <c r="D49" s="12" t="str">
        <f>CONCATENATE(C49," ",B49)</f>
        <v>ARIANNA MEJIA</v>
      </c>
      <c r="E49" s="12" t="s">
        <v>292</v>
      </c>
      <c r="F49" s="12" t="s">
        <v>146</v>
      </c>
      <c r="G49" s="12" t="s">
        <v>147</v>
      </c>
      <c r="H49" s="12" t="s">
        <v>1007</v>
      </c>
      <c r="I49" s="13" t="s">
        <v>1067</v>
      </c>
      <c r="J49" s="12" t="s">
        <v>930</v>
      </c>
      <c r="K49" s="12" t="s">
        <v>437</v>
      </c>
      <c r="L49" s="12" t="str">
        <f>CONCATENATE(K49," ",J49)</f>
        <v>CHAD BENDER</v>
      </c>
      <c r="M49" s="12" t="s">
        <v>57</v>
      </c>
      <c r="N49" s="14">
        <v>46099</v>
      </c>
      <c r="P49" s="14">
        <v>46221</v>
      </c>
      <c r="Q49" s="15">
        <v>2.27</v>
      </c>
      <c r="R49" s="12" t="s">
        <v>58</v>
      </c>
      <c r="S49" s="17">
        <v>9.5000000000000001E-2</v>
      </c>
      <c r="T49" s="12" t="s">
        <v>60</v>
      </c>
      <c r="U49" s="12" t="s">
        <v>239</v>
      </c>
      <c r="V49" s="15">
        <v>2.27</v>
      </c>
      <c r="W49" s="15">
        <v>0</v>
      </c>
      <c r="X49" s="15">
        <v>0</v>
      </c>
      <c r="Y49" s="12" t="s">
        <v>238</v>
      </c>
      <c r="Z49" s="12" t="s">
        <v>1062</v>
      </c>
    </row>
    <row r="50" spans="1:26" s="12" customFormat="1" x14ac:dyDescent="0.25">
      <c r="A50" s="12">
        <v>2034301217</v>
      </c>
      <c r="B50" s="12" t="s">
        <v>671</v>
      </c>
      <c r="C50" s="12" t="s">
        <v>672</v>
      </c>
      <c r="D50" s="12" t="str">
        <f>CONCATENATE(C50," ",B50)</f>
        <v>TRENT RAY</v>
      </c>
      <c r="E50" s="12" t="s">
        <v>170</v>
      </c>
      <c r="F50" s="12" t="s">
        <v>182</v>
      </c>
      <c r="G50" s="12" t="s">
        <v>183</v>
      </c>
      <c r="H50" s="12" t="s">
        <v>1007</v>
      </c>
      <c r="I50" s="13" t="s">
        <v>1068</v>
      </c>
      <c r="J50" s="12" t="s">
        <v>457</v>
      </c>
      <c r="K50" s="12" t="s">
        <v>190</v>
      </c>
      <c r="L50" s="12" t="str">
        <f>CONCATENATE(K50," ",J50)</f>
        <v>Matthew Powers</v>
      </c>
      <c r="M50" s="12" t="s">
        <v>57</v>
      </c>
      <c r="N50" s="14">
        <v>46094</v>
      </c>
      <c r="P50" s="14">
        <v>46216</v>
      </c>
      <c r="Q50" s="15">
        <v>25.88</v>
      </c>
      <c r="R50" s="12" t="s">
        <v>58</v>
      </c>
      <c r="S50" s="16">
        <v>0.3</v>
      </c>
      <c r="T50" s="12" t="s">
        <v>60</v>
      </c>
      <c r="U50" s="12" t="s">
        <v>239</v>
      </c>
      <c r="V50" s="15">
        <v>25.88</v>
      </c>
      <c r="W50" s="15">
        <v>0</v>
      </c>
      <c r="X50" s="15">
        <v>0</v>
      </c>
      <c r="Y50" s="12" t="s">
        <v>238</v>
      </c>
      <c r="Z50" s="12" t="s">
        <v>1062</v>
      </c>
    </row>
    <row r="51" spans="1:26" s="12" customFormat="1" x14ac:dyDescent="0.25">
      <c r="A51" s="12">
        <v>2033726188</v>
      </c>
      <c r="B51" s="12" t="s">
        <v>662</v>
      </c>
      <c r="C51" s="12" t="s">
        <v>663</v>
      </c>
      <c r="D51" s="12" t="str">
        <f>CONCATENATE(C51," ",B51)</f>
        <v>KANDICE ISBELL</v>
      </c>
      <c r="E51" s="12" t="s">
        <v>170</v>
      </c>
      <c r="F51" s="12" t="s">
        <v>146</v>
      </c>
      <c r="G51" s="12" t="s">
        <v>147</v>
      </c>
      <c r="H51" s="12" t="s">
        <v>1007</v>
      </c>
      <c r="I51" s="13" t="s">
        <v>1068</v>
      </c>
      <c r="J51" s="12" t="s">
        <v>457</v>
      </c>
      <c r="K51" s="12" t="s">
        <v>190</v>
      </c>
      <c r="L51" s="12" t="str">
        <f>CONCATENATE(K51," ",J51)</f>
        <v>Matthew Powers</v>
      </c>
      <c r="M51" s="12" t="s">
        <v>57</v>
      </c>
      <c r="N51" s="14">
        <v>46072</v>
      </c>
      <c r="P51" s="14">
        <v>46222</v>
      </c>
      <c r="Q51" s="15">
        <v>4.33</v>
      </c>
      <c r="R51" s="12" t="s">
        <v>58</v>
      </c>
      <c r="S51" s="17">
        <v>9.5000000000000001E-2</v>
      </c>
      <c r="T51" s="12" t="s">
        <v>60</v>
      </c>
      <c r="U51" s="12" t="s">
        <v>239</v>
      </c>
      <c r="V51" s="15">
        <v>4.33</v>
      </c>
      <c r="W51" s="15">
        <v>0</v>
      </c>
      <c r="X51" s="15">
        <v>0</v>
      </c>
      <c r="Y51" s="12" t="s">
        <v>238</v>
      </c>
      <c r="Z51" s="12" t="s">
        <v>1062</v>
      </c>
    </row>
    <row r="52" spans="1:26" s="12" customFormat="1" x14ac:dyDescent="0.25">
      <c r="A52" s="12">
        <v>2033726189</v>
      </c>
      <c r="B52" s="12" t="s">
        <v>662</v>
      </c>
      <c r="C52" s="12" t="s">
        <v>663</v>
      </c>
      <c r="D52" s="12" t="str">
        <f>CONCATENATE(C52," ",B52)</f>
        <v>KANDICE ISBELL</v>
      </c>
      <c r="E52" s="12" t="s">
        <v>170</v>
      </c>
      <c r="F52" s="12" t="s">
        <v>182</v>
      </c>
      <c r="G52" s="12" t="s">
        <v>183</v>
      </c>
      <c r="H52" s="12" t="s">
        <v>1007</v>
      </c>
      <c r="I52" s="13" t="s">
        <v>1068</v>
      </c>
      <c r="J52" s="12" t="s">
        <v>457</v>
      </c>
      <c r="K52" s="12" t="s">
        <v>190</v>
      </c>
      <c r="L52" s="12" t="str">
        <f>CONCATENATE(K52," ",J52)</f>
        <v>Matthew Powers</v>
      </c>
      <c r="M52" s="12" t="s">
        <v>57</v>
      </c>
      <c r="N52" s="14">
        <v>46072</v>
      </c>
      <c r="P52" s="14">
        <v>46222</v>
      </c>
      <c r="Q52" s="15">
        <v>3.45</v>
      </c>
      <c r="R52" s="12" t="s">
        <v>58</v>
      </c>
      <c r="S52" s="16">
        <v>0.3</v>
      </c>
      <c r="T52" s="12" t="s">
        <v>60</v>
      </c>
      <c r="U52" s="12" t="s">
        <v>239</v>
      </c>
      <c r="V52" s="15">
        <v>3.45</v>
      </c>
      <c r="W52" s="15">
        <v>0</v>
      </c>
      <c r="X52" s="15">
        <v>0</v>
      </c>
      <c r="Y52" s="12" t="s">
        <v>238</v>
      </c>
      <c r="Z52" s="12" t="s">
        <v>1062</v>
      </c>
    </row>
    <row r="53" spans="1:26" s="12" customFormat="1" x14ac:dyDescent="0.25">
      <c r="A53" s="12">
        <v>2028942144</v>
      </c>
      <c r="B53" s="12" t="s">
        <v>455</v>
      </c>
      <c r="C53" s="12" t="s">
        <v>456</v>
      </c>
      <c r="D53" s="12" t="str">
        <f>CONCATENATE(C53," ",B53)</f>
        <v>WAYNE PARKER</v>
      </c>
      <c r="E53" s="12" t="s">
        <v>170</v>
      </c>
      <c r="F53" s="12" t="s">
        <v>182</v>
      </c>
      <c r="G53" s="12" t="s">
        <v>183</v>
      </c>
      <c r="H53" s="12" t="s">
        <v>1007</v>
      </c>
      <c r="I53" s="13" t="s">
        <v>1068</v>
      </c>
      <c r="J53" s="12" t="s">
        <v>457</v>
      </c>
      <c r="K53" s="12" t="s">
        <v>190</v>
      </c>
      <c r="L53" s="12" t="str">
        <f>CONCATENATE(K53," ",J53)</f>
        <v>Matthew Powers</v>
      </c>
      <c r="M53" s="12" t="s">
        <v>57</v>
      </c>
      <c r="N53" s="14">
        <v>45792</v>
      </c>
      <c r="P53" s="14">
        <v>46218</v>
      </c>
      <c r="Q53" s="15">
        <v>2.84</v>
      </c>
      <c r="R53" s="12" t="s">
        <v>58</v>
      </c>
      <c r="S53" s="16">
        <v>0.09</v>
      </c>
      <c r="T53" s="12" t="s">
        <v>238</v>
      </c>
      <c r="U53" s="12" t="s">
        <v>239</v>
      </c>
      <c r="V53" s="15">
        <v>2.84</v>
      </c>
      <c r="W53" s="15">
        <v>2.84</v>
      </c>
      <c r="X53" s="15">
        <v>2.84</v>
      </c>
      <c r="Y53" s="12" t="s">
        <v>238</v>
      </c>
      <c r="Z53" s="12" t="s">
        <v>1062</v>
      </c>
    </row>
    <row r="54" spans="1:26" s="12" customFormat="1" x14ac:dyDescent="0.25">
      <c r="A54" s="12">
        <v>2033190870</v>
      </c>
      <c r="B54" s="12" t="s">
        <v>953</v>
      </c>
      <c r="C54" s="12" t="s">
        <v>287</v>
      </c>
      <c r="D54" s="12" t="str">
        <f>CONCATENATE(C54," ",B54)</f>
        <v>SUSAN KURTEN</v>
      </c>
      <c r="E54" s="12" t="s">
        <v>52</v>
      </c>
      <c r="F54" s="12" t="s">
        <v>173</v>
      </c>
      <c r="G54" s="12" t="s">
        <v>174</v>
      </c>
      <c r="H54" s="12" t="s">
        <v>1007</v>
      </c>
      <c r="I54" s="13" t="s">
        <v>1065</v>
      </c>
      <c r="J54" s="12" t="s">
        <v>954</v>
      </c>
      <c r="K54" s="12" t="s">
        <v>955</v>
      </c>
      <c r="L54" s="12" t="str">
        <f>CONCATENATE(K54," ",J54)</f>
        <v>Michael Henry</v>
      </c>
      <c r="M54" s="12" t="s">
        <v>57</v>
      </c>
      <c r="N54" s="14">
        <v>46039</v>
      </c>
      <c r="P54" s="14">
        <v>46220</v>
      </c>
      <c r="Q54" s="15">
        <v>104.77</v>
      </c>
      <c r="R54" s="12" t="s">
        <v>58</v>
      </c>
      <c r="S54" s="16">
        <v>0.08</v>
      </c>
      <c r="T54" s="12" t="s">
        <v>60</v>
      </c>
      <c r="U54" s="12" t="s">
        <v>239</v>
      </c>
      <c r="V54" s="15">
        <v>104.77</v>
      </c>
      <c r="W54" s="15">
        <v>0</v>
      </c>
      <c r="X54" s="15">
        <v>0</v>
      </c>
      <c r="Y54" s="12" t="s">
        <v>238</v>
      </c>
      <c r="Z54" s="12" t="s">
        <v>1062</v>
      </c>
    </row>
    <row r="55" spans="1:26" s="12" customFormat="1" x14ac:dyDescent="0.25">
      <c r="A55" s="12">
        <v>2033190871</v>
      </c>
      <c r="B55" s="12" t="s">
        <v>953</v>
      </c>
      <c r="C55" s="12" t="s">
        <v>287</v>
      </c>
      <c r="D55" s="12" t="str">
        <f>CONCATENATE(C55," ",B55)</f>
        <v>SUSAN KURTEN</v>
      </c>
      <c r="E55" s="12" t="s">
        <v>52</v>
      </c>
      <c r="F55" s="12" t="s">
        <v>173</v>
      </c>
      <c r="G55" s="12" t="s">
        <v>177</v>
      </c>
      <c r="H55" s="12" t="s">
        <v>1007</v>
      </c>
      <c r="I55" s="13" t="s">
        <v>1065</v>
      </c>
      <c r="J55" s="12" t="s">
        <v>954</v>
      </c>
      <c r="K55" s="12" t="s">
        <v>955</v>
      </c>
      <c r="L55" s="12" t="str">
        <f>CONCATENATE(K55," ",J55)</f>
        <v>Michael Henry</v>
      </c>
      <c r="M55" s="12" t="s">
        <v>57</v>
      </c>
      <c r="N55" s="14">
        <v>46039</v>
      </c>
      <c r="P55" s="14">
        <v>46220</v>
      </c>
      <c r="Q55" s="15">
        <v>0.56999999999999995</v>
      </c>
      <c r="R55" s="12" t="s">
        <v>58</v>
      </c>
      <c r="S55" s="16">
        <v>0.08</v>
      </c>
      <c r="T55" s="12" t="s">
        <v>60</v>
      </c>
      <c r="U55" s="12" t="s">
        <v>239</v>
      </c>
      <c r="V55" s="15">
        <v>0.56999999999999995</v>
      </c>
      <c r="W55" s="15">
        <v>0</v>
      </c>
      <c r="X55" s="15">
        <v>0</v>
      </c>
      <c r="Y55" s="12" t="s">
        <v>238</v>
      </c>
      <c r="Z55" s="12" t="s">
        <v>1062</v>
      </c>
    </row>
    <row r="56" spans="1:26" s="12" customFormat="1" x14ac:dyDescent="0.25">
      <c r="A56" s="12">
        <v>2026958695</v>
      </c>
      <c r="B56" s="12" t="s">
        <v>259</v>
      </c>
      <c r="C56" s="12" t="s">
        <v>260</v>
      </c>
      <c r="D56" s="12" t="str">
        <f>CONCATENATE(C56," ",B56)</f>
        <v>JOSEPH KABEL</v>
      </c>
      <c r="E56" s="12" t="s">
        <v>52</v>
      </c>
      <c r="F56" s="12" t="s">
        <v>53</v>
      </c>
      <c r="G56" s="12" t="s">
        <v>54</v>
      </c>
      <c r="H56" s="12" t="s">
        <v>1007</v>
      </c>
      <c r="I56" s="13" t="s">
        <v>1066</v>
      </c>
      <c r="J56" s="12" t="s">
        <v>261</v>
      </c>
      <c r="K56" s="12" t="s">
        <v>262</v>
      </c>
      <c r="L56" s="12" t="str">
        <f>CONCATENATE(K56," ",J56)</f>
        <v>TIMOTHY POWERS</v>
      </c>
      <c r="M56" s="12" t="s">
        <v>57</v>
      </c>
      <c r="N56" s="14">
        <v>45702</v>
      </c>
      <c r="P56" s="14">
        <v>46217</v>
      </c>
      <c r="Q56" s="15">
        <v>1.32</v>
      </c>
      <c r="R56" s="12" t="s">
        <v>58</v>
      </c>
      <c r="S56" s="17">
        <v>2.5000000000000001E-2</v>
      </c>
      <c r="T56" s="12" t="s">
        <v>238</v>
      </c>
      <c r="U56" s="12" t="s">
        <v>239</v>
      </c>
      <c r="V56" s="15">
        <v>1.32</v>
      </c>
      <c r="W56" s="15">
        <v>1.32</v>
      </c>
      <c r="X56" s="15">
        <v>1.32</v>
      </c>
      <c r="Y56" s="12" t="s">
        <v>238</v>
      </c>
      <c r="Z56" s="12" t="s">
        <v>1062</v>
      </c>
    </row>
    <row r="57" spans="1:26" x14ac:dyDescent="0.25">
      <c r="A57">
        <v>2033128048</v>
      </c>
      <c r="B57" t="s">
        <v>627</v>
      </c>
      <c r="C57" t="s">
        <v>628</v>
      </c>
      <c r="D57" t="str">
        <f>CONCATENATE(C57," ",B57)</f>
        <v>TANYA LINTOW</v>
      </c>
      <c r="E57" t="s">
        <v>70</v>
      </c>
      <c r="F57" t="s">
        <v>71</v>
      </c>
      <c r="G57" t="s">
        <v>72</v>
      </c>
      <c r="H57" t="s">
        <v>996</v>
      </c>
      <c r="I57" s="11" t="s">
        <v>1001</v>
      </c>
      <c r="J57" t="s">
        <v>73</v>
      </c>
      <c r="K57" t="s">
        <v>116</v>
      </c>
      <c r="L57" t="str">
        <f>CONCATENATE(K57," ",J57)</f>
        <v>Richard Yale</v>
      </c>
      <c r="M57" t="s">
        <v>57</v>
      </c>
      <c r="N57" s="1">
        <v>46038</v>
      </c>
      <c r="P57" s="1">
        <v>46219</v>
      </c>
      <c r="Q57" s="2">
        <v>122.44</v>
      </c>
      <c r="R57" t="s">
        <v>58</v>
      </c>
      <c r="S57" s="3">
        <v>0.75</v>
      </c>
      <c r="T57" t="s">
        <v>60</v>
      </c>
      <c r="U57" t="s">
        <v>239</v>
      </c>
      <c r="V57" s="2">
        <v>91.83</v>
      </c>
      <c r="W57" s="2">
        <v>0</v>
      </c>
      <c r="X57" s="2">
        <v>0</v>
      </c>
      <c r="Y57" t="s">
        <v>238</v>
      </c>
      <c r="Z57" t="s">
        <v>1064</v>
      </c>
    </row>
    <row r="58" spans="1:26" x14ac:dyDescent="0.25">
      <c r="A58">
        <v>2033174369</v>
      </c>
      <c r="B58" t="s">
        <v>818</v>
      </c>
      <c r="C58" t="s">
        <v>250</v>
      </c>
      <c r="D58" t="str">
        <f>CONCATENATE(C58," ",B58)</f>
        <v>CHARLES LEUBBERS</v>
      </c>
      <c r="E58" t="s">
        <v>681</v>
      </c>
      <c r="F58" t="s">
        <v>71</v>
      </c>
      <c r="G58" t="s">
        <v>72</v>
      </c>
      <c r="H58" t="s">
        <v>996</v>
      </c>
      <c r="I58" s="11" t="s">
        <v>1020</v>
      </c>
      <c r="J58" t="s">
        <v>312</v>
      </c>
      <c r="K58" t="s">
        <v>313</v>
      </c>
      <c r="L58" t="str">
        <f>CONCATENATE(K58," ",J58)</f>
        <v>Heather Geske</v>
      </c>
      <c r="M58" t="s">
        <v>57</v>
      </c>
      <c r="N58" s="1">
        <v>46038</v>
      </c>
      <c r="P58" s="1">
        <v>46219</v>
      </c>
      <c r="Q58" s="2">
        <v>115.18</v>
      </c>
      <c r="R58" t="s">
        <v>58</v>
      </c>
      <c r="S58" s="3">
        <v>0.75</v>
      </c>
      <c r="T58" t="s">
        <v>60</v>
      </c>
      <c r="U58" t="s">
        <v>239</v>
      </c>
      <c r="V58" s="2">
        <v>86.38</v>
      </c>
      <c r="W58" s="2">
        <v>0</v>
      </c>
      <c r="X58" s="2">
        <v>0</v>
      </c>
      <c r="Y58" t="s">
        <v>238</v>
      </c>
      <c r="Z58" t="s">
        <v>1064</v>
      </c>
    </row>
    <row r="59" spans="1:26" x14ac:dyDescent="0.25">
      <c r="A59">
        <v>2034740924</v>
      </c>
      <c r="B59" t="s">
        <v>697</v>
      </c>
      <c r="C59" t="s">
        <v>698</v>
      </c>
      <c r="D59" t="str">
        <f>CONCATENATE(C59," ",B59)</f>
        <v>DREW LINDLE</v>
      </c>
      <c r="E59" t="s">
        <v>342</v>
      </c>
      <c r="F59" t="s">
        <v>71</v>
      </c>
      <c r="G59" t="s">
        <v>72</v>
      </c>
      <c r="H59" t="s">
        <v>996</v>
      </c>
      <c r="I59" s="11" t="s">
        <v>1020</v>
      </c>
      <c r="J59" t="s">
        <v>312</v>
      </c>
      <c r="K59" t="s">
        <v>313</v>
      </c>
      <c r="L59" t="str">
        <f>CONCATENATE(K59," ",J59)</f>
        <v>Heather Geske</v>
      </c>
      <c r="M59" t="s">
        <v>57</v>
      </c>
      <c r="N59" s="1">
        <v>46127</v>
      </c>
      <c r="P59" s="1">
        <v>46218</v>
      </c>
      <c r="Q59" s="2">
        <v>109.81</v>
      </c>
      <c r="R59" t="s">
        <v>58</v>
      </c>
      <c r="S59" s="3">
        <v>0.75</v>
      </c>
      <c r="T59" t="s">
        <v>60</v>
      </c>
      <c r="U59" t="s">
        <v>239</v>
      </c>
      <c r="V59" s="2">
        <v>82.36</v>
      </c>
      <c r="W59" s="2">
        <v>0</v>
      </c>
      <c r="X59" s="2">
        <v>0</v>
      </c>
      <c r="Y59" t="s">
        <v>238</v>
      </c>
      <c r="Z59" t="s">
        <v>1063</v>
      </c>
    </row>
    <row r="60" spans="1:26" x14ac:dyDescent="0.25">
      <c r="A60">
        <v>2035393883</v>
      </c>
      <c r="B60" t="s">
        <v>725</v>
      </c>
      <c r="C60" t="s">
        <v>241</v>
      </c>
      <c r="D60" t="str">
        <f>CONCATENATE(C60," ",B60)</f>
        <v>TODD GRANDBOUCHE</v>
      </c>
      <c r="E60" t="s">
        <v>305</v>
      </c>
      <c r="F60" t="s">
        <v>71</v>
      </c>
      <c r="G60" t="s">
        <v>72</v>
      </c>
      <c r="H60" t="s">
        <v>996</v>
      </c>
      <c r="I60" s="11" t="s">
        <v>1020</v>
      </c>
      <c r="J60" t="s">
        <v>312</v>
      </c>
      <c r="K60" t="s">
        <v>313</v>
      </c>
      <c r="L60" t="str">
        <f>CONCATENATE(K60," ",J60)</f>
        <v>Heather Geske</v>
      </c>
      <c r="M60" t="s">
        <v>57</v>
      </c>
      <c r="N60" s="1">
        <v>46157</v>
      </c>
      <c r="P60" s="1">
        <v>46218</v>
      </c>
      <c r="Q60" s="2">
        <v>103.06</v>
      </c>
      <c r="R60" t="s">
        <v>58</v>
      </c>
      <c r="S60" s="3">
        <v>0.75</v>
      </c>
      <c r="T60" t="s">
        <v>60</v>
      </c>
      <c r="U60" t="s">
        <v>239</v>
      </c>
      <c r="V60" s="2">
        <v>77.3</v>
      </c>
      <c r="W60" s="2">
        <v>0</v>
      </c>
      <c r="X60" s="2">
        <v>0</v>
      </c>
      <c r="Y60" t="s">
        <v>238</v>
      </c>
      <c r="Z60" t="s">
        <v>1063</v>
      </c>
    </row>
    <row r="61" spans="1:26" x14ac:dyDescent="0.25">
      <c r="A61">
        <v>2035456535</v>
      </c>
      <c r="B61" t="s">
        <v>838</v>
      </c>
      <c r="C61" t="s">
        <v>774</v>
      </c>
      <c r="D61" t="str">
        <f>CONCATENATE(C61," ",B61)</f>
        <v>JEANETTE DUNNAGAN</v>
      </c>
      <c r="E61" t="s">
        <v>212</v>
      </c>
      <c r="F61" t="s">
        <v>71</v>
      </c>
      <c r="G61" t="s">
        <v>72</v>
      </c>
      <c r="H61" t="s">
        <v>996</v>
      </c>
      <c r="I61" s="11">
        <v>18201929</v>
      </c>
      <c r="J61" t="s">
        <v>205</v>
      </c>
      <c r="K61" t="s">
        <v>206</v>
      </c>
      <c r="L61" t="str">
        <f>CONCATENATE(K61," ",J61)</f>
        <v>Jake Shulman</v>
      </c>
      <c r="M61" t="s">
        <v>57</v>
      </c>
      <c r="N61" s="1">
        <v>46156</v>
      </c>
      <c r="P61" s="1">
        <v>46217</v>
      </c>
      <c r="Q61" s="2">
        <v>95.74</v>
      </c>
      <c r="R61" t="s">
        <v>58</v>
      </c>
      <c r="S61" s="3">
        <v>0.75</v>
      </c>
      <c r="T61" t="s">
        <v>60</v>
      </c>
      <c r="U61" t="s">
        <v>239</v>
      </c>
      <c r="V61" s="2">
        <v>71.8</v>
      </c>
      <c r="W61" s="2">
        <v>0</v>
      </c>
      <c r="X61" s="2">
        <v>0</v>
      </c>
      <c r="Y61" t="s">
        <v>238</v>
      </c>
      <c r="Z61" t="s">
        <v>1062</v>
      </c>
    </row>
    <row r="62" spans="1:26" x14ac:dyDescent="0.25">
      <c r="A62">
        <v>2034426699</v>
      </c>
      <c r="B62" t="s">
        <v>830</v>
      </c>
      <c r="C62" t="s">
        <v>307</v>
      </c>
      <c r="D62" t="str">
        <f>CONCATENATE(C62," ",B62)</f>
        <v>WILLIAM WINTERFIELD</v>
      </c>
      <c r="E62" t="s">
        <v>212</v>
      </c>
      <c r="F62" t="s">
        <v>71</v>
      </c>
      <c r="G62" t="s">
        <v>72</v>
      </c>
      <c r="H62" t="s">
        <v>996</v>
      </c>
      <c r="I62" s="11" t="s">
        <v>1055</v>
      </c>
      <c r="J62" t="s">
        <v>205</v>
      </c>
      <c r="K62" t="s">
        <v>206</v>
      </c>
      <c r="L62" t="str">
        <f>CONCATENATE(K62," ",J62)</f>
        <v>Jake Shulman</v>
      </c>
      <c r="M62" t="s">
        <v>57</v>
      </c>
      <c r="N62" s="1">
        <v>46100</v>
      </c>
      <c r="P62" s="1">
        <v>46222</v>
      </c>
      <c r="Q62" s="2">
        <v>88.75</v>
      </c>
      <c r="R62" t="s">
        <v>58</v>
      </c>
      <c r="S62" s="3">
        <v>0.75</v>
      </c>
      <c r="T62" t="s">
        <v>60</v>
      </c>
      <c r="U62" t="s">
        <v>239</v>
      </c>
      <c r="V62" s="2">
        <v>66.56</v>
      </c>
      <c r="W62" s="2">
        <v>0</v>
      </c>
      <c r="X62" s="2">
        <v>0</v>
      </c>
      <c r="Y62" t="s">
        <v>238</v>
      </c>
      <c r="Z62" t="s">
        <v>1062</v>
      </c>
    </row>
    <row r="63" spans="1:26" x14ac:dyDescent="0.25">
      <c r="A63">
        <v>2034306132</v>
      </c>
      <c r="B63" t="s">
        <v>675</v>
      </c>
      <c r="C63" t="s">
        <v>227</v>
      </c>
      <c r="D63" t="str">
        <f>CONCATENATE(C63," ",B63)</f>
        <v>MICHAEL KILEY</v>
      </c>
      <c r="E63" t="s">
        <v>209</v>
      </c>
      <c r="F63" t="s">
        <v>71</v>
      </c>
      <c r="G63" t="s">
        <v>84</v>
      </c>
      <c r="H63" t="s">
        <v>996</v>
      </c>
      <c r="I63" s="11">
        <v>8307933</v>
      </c>
      <c r="J63" t="s">
        <v>79</v>
      </c>
      <c r="K63" t="s">
        <v>80</v>
      </c>
      <c r="L63" t="str">
        <f>CONCATENATE(K63," ",J63)</f>
        <v>GREGORY TEIPEL</v>
      </c>
      <c r="M63" t="s">
        <v>57</v>
      </c>
      <c r="N63" s="1">
        <v>46094</v>
      </c>
      <c r="P63" s="1">
        <v>46216</v>
      </c>
      <c r="Q63" s="2">
        <v>76.05</v>
      </c>
      <c r="R63" t="s">
        <v>58</v>
      </c>
      <c r="S63" s="3">
        <v>0.75</v>
      </c>
      <c r="T63" t="s">
        <v>60</v>
      </c>
      <c r="U63" t="s">
        <v>239</v>
      </c>
      <c r="V63" s="2">
        <v>57.04</v>
      </c>
      <c r="W63" s="2">
        <v>0</v>
      </c>
      <c r="X63" s="2">
        <v>0</v>
      </c>
      <c r="Y63" t="s">
        <v>238</v>
      </c>
      <c r="Z63" t="s">
        <v>1062</v>
      </c>
    </row>
    <row r="64" spans="1:26" x14ac:dyDescent="0.25">
      <c r="A64">
        <v>2034728898</v>
      </c>
      <c r="B64" t="s">
        <v>831</v>
      </c>
      <c r="C64" t="s">
        <v>678</v>
      </c>
      <c r="D64" t="str">
        <f>CONCATENATE(C64," ",B64)</f>
        <v>DIANA DVORAK</v>
      </c>
      <c r="E64" t="s">
        <v>212</v>
      </c>
      <c r="F64" t="s">
        <v>71</v>
      </c>
      <c r="G64" t="s">
        <v>72</v>
      </c>
      <c r="H64" t="s">
        <v>996</v>
      </c>
      <c r="I64" s="11">
        <v>18201929</v>
      </c>
      <c r="J64" t="s">
        <v>205</v>
      </c>
      <c r="K64" t="s">
        <v>206</v>
      </c>
      <c r="L64" t="str">
        <f>CONCATENATE(K64," ",J64)</f>
        <v>Jake Shulman</v>
      </c>
      <c r="M64" t="s">
        <v>57</v>
      </c>
      <c r="N64" s="1">
        <v>46157</v>
      </c>
      <c r="P64" s="1">
        <v>46218</v>
      </c>
      <c r="Q64" s="2">
        <v>70.75</v>
      </c>
      <c r="R64" t="s">
        <v>58</v>
      </c>
      <c r="S64" s="3">
        <v>0.75</v>
      </c>
      <c r="T64" t="s">
        <v>60</v>
      </c>
      <c r="U64" t="s">
        <v>239</v>
      </c>
      <c r="V64" s="2">
        <v>53.06</v>
      </c>
      <c r="W64" s="2">
        <v>0</v>
      </c>
      <c r="X64" s="2">
        <v>0</v>
      </c>
      <c r="Y64" t="s">
        <v>238</v>
      </c>
      <c r="Z64" t="s">
        <v>1062</v>
      </c>
    </row>
    <row r="65" spans="1:26" x14ac:dyDescent="0.25">
      <c r="A65">
        <v>2034845876</v>
      </c>
      <c r="B65" t="s">
        <v>701</v>
      </c>
      <c r="C65" t="s">
        <v>287</v>
      </c>
      <c r="D65" t="str">
        <f>CONCATENATE(C65," ",B65)</f>
        <v>SUSAN MCGURKIN</v>
      </c>
      <c r="E65" t="s">
        <v>305</v>
      </c>
      <c r="F65" t="s">
        <v>71</v>
      </c>
      <c r="G65" t="s">
        <v>72</v>
      </c>
      <c r="H65" t="s">
        <v>996</v>
      </c>
      <c r="I65" s="11" t="s">
        <v>1020</v>
      </c>
      <c r="J65" t="s">
        <v>312</v>
      </c>
      <c r="K65" t="s">
        <v>313</v>
      </c>
      <c r="L65" t="str">
        <f>CONCATENATE(K65," ",J65)</f>
        <v>Heather Geske</v>
      </c>
      <c r="M65" t="s">
        <v>57</v>
      </c>
      <c r="N65" s="1">
        <v>46127</v>
      </c>
      <c r="P65" s="1">
        <v>46218</v>
      </c>
      <c r="Q65" s="2">
        <v>69.069999999999993</v>
      </c>
      <c r="R65" t="s">
        <v>58</v>
      </c>
      <c r="S65" s="3">
        <v>0.75</v>
      </c>
      <c r="T65" t="s">
        <v>60</v>
      </c>
      <c r="U65" t="s">
        <v>239</v>
      </c>
      <c r="V65" s="2">
        <v>51.8</v>
      </c>
      <c r="W65" s="2">
        <v>0</v>
      </c>
      <c r="X65" s="2">
        <v>0</v>
      </c>
      <c r="Y65" t="s">
        <v>238</v>
      </c>
      <c r="Z65" t="s">
        <v>1063</v>
      </c>
    </row>
    <row r="66" spans="1:26" x14ac:dyDescent="0.25">
      <c r="A66">
        <v>2035450010</v>
      </c>
      <c r="B66" t="s">
        <v>742</v>
      </c>
      <c r="C66" t="s">
        <v>743</v>
      </c>
      <c r="D66" t="str">
        <f>CONCATENATE(C66," ",B66)</f>
        <v>ANITA REDFORD</v>
      </c>
      <c r="E66" t="s">
        <v>119</v>
      </c>
      <c r="F66" t="s">
        <v>71</v>
      </c>
      <c r="G66" t="s">
        <v>72</v>
      </c>
      <c r="H66" t="s">
        <v>996</v>
      </c>
      <c r="I66" s="11" t="s">
        <v>1031</v>
      </c>
      <c r="J66" t="s">
        <v>473</v>
      </c>
      <c r="K66" t="s">
        <v>474</v>
      </c>
      <c r="L66" t="str">
        <f>CONCATENATE(K66," ",J66)</f>
        <v>James Allen</v>
      </c>
      <c r="M66" t="s">
        <v>57</v>
      </c>
      <c r="N66" s="1">
        <v>46156</v>
      </c>
      <c r="P66" s="1">
        <v>46217</v>
      </c>
      <c r="Q66" s="2">
        <v>66.03</v>
      </c>
      <c r="R66" t="s">
        <v>58</v>
      </c>
      <c r="S66" s="3">
        <v>0.75</v>
      </c>
      <c r="T66" t="s">
        <v>60</v>
      </c>
      <c r="U66" t="s">
        <v>239</v>
      </c>
      <c r="V66" s="2">
        <v>49.52</v>
      </c>
      <c r="W66" s="2">
        <v>0</v>
      </c>
      <c r="X66" s="2">
        <v>0</v>
      </c>
      <c r="Y66" t="s">
        <v>238</v>
      </c>
      <c r="Z66" t="s">
        <v>1063</v>
      </c>
    </row>
    <row r="67" spans="1:26" x14ac:dyDescent="0.25">
      <c r="A67">
        <v>2033115853</v>
      </c>
      <c r="B67" t="s">
        <v>620</v>
      </c>
      <c r="C67" t="s">
        <v>621</v>
      </c>
      <c r="D67" t="str">
        <f>CONCATENATE(C67," ",B67)</f>
        <v>FELICIA SMITH</v>
      </c>
      <c r="E67" t="s">
        <v>339</v>
      </c>
      <c r="F67" t="s">
        <v>71</v>
      </c>
      <c r="G67" t="s">
        <v>72</v>
      </c>
      <c r="H67" t="s">
        <v>996</v>
      </c>
      <c r="I67" s="11">
        <v>1706194</v>
      </c>
      <c r="J67" t="s">
        <v>619</v>
      </c>
      <c r="K67" t="s">
        <v>256</v>
      </c>
      <c r="L67" t="str">
        <f>CONCATENATE(K67," ",J67)</f>
        <v>MATTHEW DAUGHERTY</v>
      </c>
      <c r="M67" t="s">
        <v>57</v>
      </c>
      <c r="N67" s="1">
        <v>46035</v>
      </c>
      <c r="P67" s="1">
        <v>46216</v>
      </c>
      <c r="Q67" s="2">
        <v>58.93</v>
      </c>
      <c r="R67" t="s">
        <v>58</v>
      </c>
      <c r="S67" s="3">
        <v>0.75</v>
      </c>
      <c r="T67" t="s">
        <v>60</v>
      </c>
      <c r="U67" t="s">
        <v>239</v>
      </c>
      <c r="V67" s="2">
        <v>44.2</v>
      </c>
      <c r="W67" s="2">
        <v>0</v>
      </c>
      <c r="X67" s="2">
        <v>0</v>
      </c>
      <c r="Y67" t="s">
        <v>238</v>
      </c>
      <c r="Z67" t="s">
        <v>1062</v>
      </c>
    </row>
    <row r="68" spans="1:26" x14ac:dyDescent="0.25">
      <c r="A68">
        <v>2034917051</v>
      </c>
      <c r="B68" t="s">
        <v>704</v>
      </c>
      <c r="C68" t="s">
        <v>483</v>
      </c>
      <c r="D68" t="str">
        <f>CONCATENATE(C68," ",B68)</f>
        <v>CHRISTOPHER KELLY</v>
      </c>
      <c r="E68" t="s">
        <v>305</v>
      </c>
      <c r="F68" t="s">
        <v>71</v>
      </c>
      <c r="G68" t="s">
        <v>72</v>
      </c>
      <c r="H68" t="s">
        <v>996</v>
      </c>
      <c r="I68" s="11" t="s">
        <v>1020</v>
      </c>
      <c r="J68" t="s">
        <v>312</v>
      </c>
      <c r="K68" t="s">
        <v>313</v>
      </c>
      <c r="L68" t="str">
        <f>CONCATENATE(K68," ",J68)</f>
        <v>Heather Geske</v>
      </c>
      <c r="M68" t="s">
        <v>57</v>
      </c>
      <c r="N68" s="1">
        <v>46127</v>
      </c>
      <c r="P68" s="1">
        <v>46218</v>
      </c>
      <c r="Q68" s="2">
        <v>49.81</v>
      </c>
      <c r="R68" t="s">
        <v>58</v>
      </c>
      <c r="S68" s="3">
        <v>0.75</v>
      </c>
      <c r="T68" t="s">
        <v>60</v>
      </c>
      <c r="U68" t="s">
        <v>239</v>
      </c>
      <c r="V68" s="2">
        <v>37.36</v>
      </c>
      <c r="W68" s="2">
        <v>0</v>
      </c>
      <c r="X68" s="2">
        <v>0</v>
      </c>
      <c r="Y68" t="s">
        <v>238</v>
      </c>
      <c r="Z68" t="s">
        <v>1063</v>
      </c>
    </row>
    <row r="69" spans="1:26" x14ac:dyDescent="0.25">
      <c r="A69">
        <v>2033054176</v>
      </c>
      <c r="B69" t="s">
        <v>612</v>
      </c>
      <c r="C69" t="s">
        <v>613</v>
      </c>
      <c r="D69" t="str">
        <f>CONCATENATE(C69," ",B69)</f>
        <v>CARLA CULTON</v>
      </c>
      <c r="E69" t="s">
        <v>292</v>
      </c>
      <c r="F69" t="s">
        <v>71</v>
      </c>
      <c r="G69" t="s">
        <v>72</v>
      </c>
      <c r="H69" t="s">
        <v>996</v>
      </c>
      <c r="I69" s="11">
        <v>8307933</v>
      </c>
      <c r="J69" t="s">
        <v>79</v>
      </c>
      <c r="K69" t="s">
        <v>80</v>
      </c>
      <c r="L69" t="str">
        <f>CONCATENATE(K69," ",J69)</f>
        <v>GREGORY TEIPEL</v>
      </c>
      <c r="M69" t="s">
        <v>57</v>
      </c>
      <c r="N69" s="1">
        <v>46038</v>
      </c>
      <c r="P69" s="1">
        <v>46219</v>
      </c>
      <c r="Q69" s="2">
        <v>48.58</v>
      </c>
      <c r="R69" t="s">
        <v>58</v>
      </c>
      <c r="S69" s="3">
        <v>0.75</v>
      </c>
      <c r="T69" t="s">
        <v>60</v>
      </c>
      <c r="U69" t="s">
        <v>239</v>
      </c>
      <c r="V69" s="2">
        <v>36.44</v>
      </c>
      <c r="W69" s="2">
        <v>0</v>
      </c>
      <c r="X69" s="2">
        <v>0</v>
      </c>
      <c r="Y69" t="s">
        <v>238</v>
      </c>
      <c r="Z69" t="s">
        <v>1062</v>
      </c>
    </row>
    <row r="70" spans="1:26" x14ac:dyDescent="0.25">
      <c r="A70">
        <v>2033126149</v>
      </c>
      <c r="B70" t="s">
        <v>625</v>
      </c>
      <c r="C70" t="s">
        <v>626</v>
      </c>
      <c r="D70" t="str">
        <f>CONCATENATE(C70," ",B70)</f>
        <v>DANE'T THIBEAU</v>
      </c>
      <c r="E70" t="s">
        <v>95</v>
      </c>
      <c r="F70" t="s">
        <v>71</v>
      </c>
      <c r="G70" t="s">
        <v>72</v>
      </c>
      <c r="H70" t="s">
        <v>996</v>
      </c>
      <c r="I70" s="11" t="s">
        <v>1037</v>
      </c>
      <c r="J70" t="s">
        <v>514</v>
      </c>
      <c r="K70" t="s">
        <v>515</v>
      </c>
      <c r="L70" t="str">
        <f>CONCATENATE(K70," ",J70)</f>
        <v>Ines Berg</v>
      </c>
      <c r="M70" t="s">
        <v>57</v>
      </c>
      <c r="N70" s="1">
        <v>46036</v>
      </c>
      <c r="P70" s="1">
        <v>46217</v>
      </c>
      <c r="Q70" s="2">
        <v>48.55</v>
      </c>
      <c r="R70" t="s">
        <v>58</v>
      </c>
      <c r="S70" s="3">
        <v>0.75</v>
      </c>
      <c r="T70" t="s">
        <v>60</v>
      </c>
      <c r="U70" t="s">
        <v>239</v>
      </c>
      <c r="V70" s="2">
        <v>36.409999999999997</v>
      </c>
      <c r="W70" s="2">
        <v>0</v>
      </c>
      <c r="X70" s="2">
        <v>0</v>
      </c>
      <c r="Y70" t="s">
        <v>238</v>
      </c>
      <c r="Z70" t="s">
        <v>1064</v>
      </c>
    </row>
    <row r="71" spans="1:26" x14ac:dyDescent="0.25">
      <c r="A71">
        <v>2034234839</v>
      </c>
      <c r="B71" t="s">
        <v>665</v>
      </c>
      <c r="C71" t="s">
        <v>287</v>
      </c>
      <c r="D71" t="str">
        <f>CONCATENATE(C71," ",B71)</f>
        <v>SUSAN MURLEY</v>
      </c>
      <c r="E71" t="s">
        <v>305</v>
      </c>
      <c r="F71" t="s">
        <v>71</v>
      </c>
      <c r="G71" t="s">
        <v>72</v>
      </c>
      <c r="H71" t="s">
        <v>996</v>
      </c>
      <c r="I71" s="11" t="s">
        <v>1020</v>
      </c>
      <c r="J71" t="s">
        <v>312</v>
      </c>
      <c r="K71" t="s">
        <v>313</v>
      </c>
      <c r="L71" t="str">
        <f>CONCATENATE(K71," ",J71)</f>
        <v>Heather Geske</v>
      </c>
      <c r="M71" t="s">
        <v>57</v>
      </c>
      <c r="N71" s="1">
        <v>46096</v>
      </c>
      <c r="P71" s="1">
        <v>46218</v>
      </c>
      <c r="Q71" s="2">
        <v>44.17</v>
      </c>
      <c r="R71" t="s">
        <v>58</v>
      </c>
      <c r="S71" s="3">
        <v>0.75</v>
      </c>
      <c r="T71" t="s">
        <v>60</v>
      </c>
      <c r="U71" t="s">
        <v>239</v>
      </c>
      <c r="V71" s="2">
        <v>33.130000000000003</v>
      </c>
      <c r="W71" s="2">
        <v>0</v>
      </c>
      <c r="X71" s="2">
        <v>0</v>
      </c>
      <c r="Y71" t="s">
        <v>238</v>
      </c>
      <c r="Z71" t="s">
        <v>1063</v>
      </c>
    </row>
    <row r="72" spans="1:26" x14ac:dyDescent="0.25">
      <c r="A72">
        <v>2034413971</v>
      </c>
      <c r="B72" t="s">
        <v>686</v>
      </c>
      <c r="C72" t="s">
        <v>687</v>
      </c>
      <c r="D72" t="str">
        <f>CONCATENATE(C72," ",B72)</f>
        <v>VERONICA FLORES</v>
      </c>
      <c r="E72" t="s">
        <v>83</v>
      </c>
      <c r="F72" t="s">
        <v>71</v>
      </c>
      <c r="G72" t="s">
        <v>72</v>
      </c>
      <c r="H72" t="s">
        <v>996</v>
      </c>
      <c r="I72" s="11">
        <v>16170994</v>
      </c>
      <c r="J72" t="s">
        <v>91</v>
      </c>
      <c r="K72" t="s">
        <v>92</v>
      </c>
      <c r="L72" t="str">
        <f>CONCATENATE(K72," ",J72)</f>
        <v>Ryan Shepard</v>
      </c>
      <c r="M72" t="s">
        <v>57</v>
      </c>
      <c r="N72" s="1">
        <v>46100</v>
      </c>
      <c r="P72" s="1">
        <v>46222</v>
      </c>
      <c r="Q72" s="2">
        <v>34.090000000000003</v>
      </c>
      <c r="R72" t="s">
        <v>58</v>
      </c>
      <c r="S72" s="3">
        <v>0.75</v>
      </c>
      <c r="T72" t="s">
        <v>60</v>
      </c>
      <c r="U72" t="s">
        <v>239</v>
      </c>
      <c r="V72" s="2">
        <v>25.57</v>
      </c>
      <c r="W72" s="2">
        <v>0</v>
      </c>
      <c r="X72" s="2">
        <v>0</v>
      </c>
      <c r="Y72" t="s">
        <v>238</v>
      </c>
      <c r="Z72" t="s">
        <v>1062</v>
      </c>
    </row>
    <row r="73" spans="1:26" x14ac:dyDescent="0.25">
      <c r="A73">
        <v>2034695180</v>
      </c>
      <c r="B73" t="s">
        <v>693</v>
      </c>
      <c r="C73" t="s">
        <v>694</v>
      </c>
      <c r="D73" t="str">
        <f>CONCATENATE(C73," ",B73)</f>
        <v>MARK YARBOROUGH</v>
      </c>
      <c r="E73" t="s">
        <v>165</v>
      </c>
      <c r="F73" t="s">
        <v>71</v>
      </c>
      <c r="G73" t="s">
        <v>72</v>
      </c>
      <c r="H73" t="s">
        <v>996</v>
      </c>
      <c r="I73" s="11">
        <v>8307933</v>
      </c>
      <c r="J73" t="s">
        <v>79</v>
      </c>
      <c r="K73" t="s">
        <v>80</v>
      </c>
      <c r="L73" t="str">
        <f>CONCATENATE(K73," ",J73)</f>
        <v>GREGORY TEIPEL</v>
      </c>
      <c r="M73" t="s">
        <v>57</v>
      </c>
      <c r="N73" s="1">
        <v>46127</v>
      </c>
      <c r="P73" s="1">
        <v>46218</v>
      </c>
      <c r="Q73" s="2">
        <v>33.65</v>
      </c>
      <c r="R73" t="s">
        <v>58</v>
      </c>
      <c r="S73" s="3">
        <v>0.75</v>
      </c>
      <c r="T73" t="s">
        <v>60</v>
      </c>
      <c r="U73" t="s">
        <v>239</v>
      </c>
      <c r="V73" s="2">
        <v>25.24</v>
      </c>
      <c r="W73" s="2">
        <v>0</v>
      </c>
      <c r="X73" s="2">
        <v>0</v>
      </c>
      <c r="Y73" t="s">
        <v>238</v>
      </c>
      <c r="Z73" t="s">
        <v>1062</v>
      </c>
    </row>
    <row r="74" spans="1:26" x14ac:dyDescent="0.25">
      <c r="A74">
        <v>2033155463</v>
      </c>
      <c r="B74" t="s">
        <v>633</v>
      </c>
      <c r="C74" t="s">
        <v>634</v>
      </c>
      <c r="D74" t="str">
        <f>CONCATENATE(C74," ",B74)</f>
        <v>MAURICIO RUIZ-TOVAR</v>
      </c>
      <c r="E74" t="s">
        <v>119</v>
      </c>
      <c r="F74" t="s">
        <v>71</v>
      </c>
      <c r="G74" t="s">
        <v>72</v>
      </c>
      <c r="H74" t="s">
        <v>996</v>
      </c>
      <c r="I74" s="11" t="s">
        <v>1018</v>
      </c>
      <c r="J74" t="s">
        <v>332</v>
      </c>
      <c r="K74" t="s">
        <v>333</v>
      </c>
      <c r="L74" t="str">
        <f>CONCATENATE(K74," ",J74)</f>
        <v>Barry Schumann</v>
      </c>
      <c r="M74" t="s">
        <v>57</v>
      </c>
      <c r="N74" s="1">
        <v>46037</v>
      </c>
      <c r="P74" s="1">
        <v>46218</v>
      </c>
      <c r="Q74" s="2">
        <v>29.17</v>
      </c>
      <c r="R74" t="s">
        <v>58</v>
      </c>
      <c r="S74" s="3">
        <v>0.75</v>
      </c>
      <c r="T74" t="s">
        <v>60</v>
      </c>
      <c r="U74" t="s">
        <v>239</v>
      </c>
      <c r="V74" s="2">
        <v>21.88</v>
      </c>
      <c r="W74" s="2">
        <v>0</v>
      </c>
      <c r="X74" s="2">
        <v>0</v>
      </c>
      <c r="Y74" t="s">
        <v>238</v>
      </c>
      <c r="Z74" t="s">
        <v>1064</v>
      </c>
    </row>
    <row r="75" spans="1:26" x14ac:dyDescent="0.25">
      <c r="A75">
        <v>2034896404</v>
      </c>
      <c r="B75" t="s">
        <v>832</v>
      </c>
      <c r="C75" t="s">
        <v>833</v>
      </c>
      <c r="D75" t="str">
        <f>CONCATENATE(C75," ",B75)</f>
        <v>JOHNTU HICKS</v>
      </c>
      <c r="E75" t="s">
        <v>212</v>
      </c>
      <c r="F75" t="s">
        <v>71</v>
      </c>
      <c r="G75" t="s">
        <v>84</v>
      </c>
      <c r="H75" t="s">
        <v>996</v>
      </c>
      <c r="I75" s="11">
        <v>18201929</v>
      </c>
      <c r="J75" t="s">
        <v>205</v>
      </c>
      <c r="K75" t="s">
        <v>206</v>
      </c>
      <c r="L75" t="str">
        <f>CONCATENATE(K75," ",J75)</f>
        <v>Jake Shulman</v>
      </c>
      <c r="M75" t="s">
        <v>57</v>
      </c>
      <c r="N75" s="1">
        <v>46126</v>
      </c>
      <c r="P75" s="1">
        <v>46217</v>
      </c>
      <c r="Q75" s="2">
        <v>28.9</v>
      </c>
      <c r="R75" t="s">
        <v>58</v>
      </c>
      <c r="S75" s="3">
        <v>0.75</v>
      </c>
      <c r="T75" t="s">
        <v>60</v>
      </c>
      <c r="U75" t="s">
        <v>239</v>
      </c>
      <c r="V75" s="2">
        <v>21.68</v>
      </c>
      <c r="W75" s="2">
        <v>0</v>
      </c>
      <c r="X75" s="2">
        <v>0</v>
      </c>
      <c r="Y75" t="s">
        <v>238</v>
      </c>
      <c r="Z75" t="s">
        <v>1062</v>
      </c>
    </row>
    <row r="76" spans="1:26" x14ac:dyDescent="0.25">
      <c r="A76">
        <v>2033117677</v>
      </c>
      <c r="B76" t="s">
        <v>622</v>
      </c>
      <c r="C76" t="s">
        <v>623</v>
      </c>
      <c r="D76" t="str">
        <f>CONCATENATE(C76," ",B76)</f>
        <v>CASEY ORR</v>
      </c>
      <c r="E76" t="s">
        <v>624</v>
      </c>
      <c r="F76" t="s">
        <v>71</v>
      </c>
      <c r="G76" t="s">
        <v>84</v>
      </c>
      <c r="H76" t="s">
        <v>996</v>
      </c>
      <c r="I76" s="11">
        <v>8307933</v>
      </c>
      <c r="J76" t="s">
        <v>79</v>
      </c>
      <c r="K76" t="s">
        <v>80</v>
      </c>
      <c r="L76" t="str">
        <f>CONCATENATE(K76," ",J76)</f>
        <v>GREGORY TEIPEL</v>
      </c>
      <c r="M76" t="s">
        <v>57</v>
      </c>
      <c r="N76" s="1">
        <v>46059</v>
      </c>
      <c r="P76" s="1">
        <v>46209</v>
      </c>
      <c r="Q76" s="2">
        <v>25.98</v>
      </c>
      <c r="R76" t="s">
        <v>58</v>
      </c>
      <c r="S76" s="3">
        <v>0.75</v>
      </c>
      <c r="T76" t="s">
        <v>60</v>
      </c>
      <c r="U76" t="s">
        <v>239</v>
      </c>
      <c r="V76" s="2">
        <v>19.48</v>
      </c>
      <c r="W76" s="2">
        <v>0</v>
      </c>
      <c r="X76" s="2">
        <v>0</v>
      </c>
      <c r="Y76" t="s">
        <v>238</v>
      </c>
      <c r="Z76" t="s">
        <v>1062</v>
      </c>
    </row>
    <row r="77" spans="1:26" x14ac:dyDescent="0.25">
      <c r="A77">
        <v>2033177918</v>
      </c>
      <c r="B77" t="s">
        <v>639</v>
      </c>
      <c r="C77" t="s">
        <v>640</v>
      </c>
      <c r="D77" t="str">
        <f>CONCATENATE(C77," ",B77)</f>
        <v>EMMALINE HINTON</v>
      </c>
      <c r="E77" t="s">
        <v>119</v>
      </c>
      <c r="F77" t="s">
        <v>71</v>
      </c>
      <c r="G77" t="s">
        <v>84</v>
      </c>
      <c r="H77" t="s">
        <v>996</v>
      </c>
      <c r="I77" s="11" t="s">
        <v>1002</v>
      </c>
      <c r="J77" t="s">
        <v>321</v>
      </c>
      <c r="K77" t="s">
        <v>94</v>
      </c>
      <c r="L77" t="str">
        <f>CONCATENATE(K77," ",J77)</f>
        <v>ANDREA PETRUNGARO</v>
      </c>
      <c r="M77" t="s">
        <v>57</v>
      </c>
      <c r="N77" s="1">
        <v>46038</v>
      </c>
      <c r="P77" s="1">
        <v>46219</v>
      </c>
      <c r="Q77" s="2">
        <v>25.75</v>
      </c>
      <c r="R77" t="s">
        <v>58</v>
      </c>
      <c r="S77" s="3">
        <v>0.75</v>
      </c>
      <c r="T77" t="s">
        <v>60</v>
      </c>
      <c r="U77" t="s">
        <v>239</v>
      </c>
      <c r="V77" s="2">
        <v>19.309999999999999</v>
      </c>
      <c r="W77" s="2">
        <v>0</v>
      </c>
      <c r="X77" s="2">
        <v>0</v>
      </c>
      <c r="Y77" t="s">
        <v>238</v>
      </c>
      <c r="Z77" t="s">
        <v>1064</v>
      </c>
    </row>
    <row r="78" spans="1:26" x14ac:dyDescent="0.25">
      <c r="A78">
        <v>2033144397</v>
      </c>
      <c r="B78" t="s">
        <v>631</v>
      </c>
      <c r="C78" t="s">
        <v>632</v>
      </c>
      <c r="D78" t="str">
        <f>CONCATENATE(C78," ",B78)</f>
        <v>JORDIS LUNDGREN</v>
      </c>
      <c r="E78" t="s">
        <v>100</v>
      </c>
      <c r="F78" t="s">
        <v>71</v>
      </c>
      <c r="G78" t="s">
        <v>84</v>
      </c>
      <c r="H78" t="s">
        <v>996</v>
      </c>
      <c r="I78" s="11">
        <v>8307933</v>
      </c>
      <c r="J78" t="s">
        <v>79</v>
      </c>
      <c r="K78" t="s">
        <v>80</v>
      </c>
      <c r="L78" t="str">
        <f>CONCATENATE(K78," ",J78)</f>
        <v>GREGORY TEIPEL</v>
      </c>
      <c r="M78" t="s">
        <v>57</v>
      </c>
      <c r="N78" s="1">
        <v>46059</v>
      </c>
      <c r="P78" s="1">
        <v>46209</v>
      </c>
      <c r="Q78" s="2">
        <v>24.4</v>
      </c>
      <c r="R78" t="s">
        <v>58</v>
      </c>
      <c r="S78" s="3">
        <v>0.75</v>
      </c>
      <c r="T78" t="s">
        <v>60</v>
      </c>
      <c r="U78" t="s">
        <v>239</v>
      </c>
      <c r="V78" s="2">
        <v>18.3</v>
      </c>
      <c r="W78" s="2">
        <v>0</v>
      </c>
      <c r="X78" s="2">
        <v>0</v>
      </c>
      <c r="Y78" t="s">
        <v>238</v>
      </c>
      <c r="Z78" t="s">
        <v>1062</v>
      </c>
    </row>
    <row r="79" spans="1:26" x14ac:dyDescent="0.25">
      <c r="A79">
        <v>2034368684</v>
      </c>
      <c r="B79" t="s">
        <v>826</v>
      </c>
      <c r="C79" t="s">
        <v>827</v>
      </c>
      <c r="D79" t="str">
        <f>CONCATENATE(C79," ",B79)</f>
        <v>URANIA KATZ</v>
      </c>
      <c r="E79" t="s">
        <v>95</v>
      </c>
      <c r="F79" t="s">
        <v>71</v>
      </c>
      <c r="G79" t="s">
        <v>825</v>
      </c>
      <c r="H79" t="s">
        <v>996</v>
      </c>
      <c r="I79" s="11">
        <v>17425766</v>
      </c>
      <c r="J79" t="s">
        <v>158</v>
      </c>
      <c r="K79" t="s">
        <v>159</v>
      </c>
      <c r="L79" t="str">
        <f>CONCATENATE(K79," ",J79)</f>
        <v>CAROL FOLEY</v>
      </c>
      <c r="M79" t="s">
        <v>57</v>
      </c>
      <c r="N79" s="1">
        <v>46100</v>
      </c>
      <c r="P79" s="1">
        <v>46222</v>
      </c>
      <c r="Q79" s="2">
        <v>23.55</v>
      </c>
      <c r="R79" t="s">
        <v>58</v>
      </c>
      <c r="S79" s="3">
        <v>0.75</v>
      </c>
      <c r="T79" t="s">
        <v>60</v>
      </c>
      <c r="U79" t="s">
        <v>239</v>
      </c>
      <c r="V79" s="2">
        <v>17.66</v>
      </c>
      <c r="W79" s="2">
        <v>0</v>
      </c>
      <c r="X79" s="2">
        <v>0</v>
      </c>
      <c r="Y79" t="s">
        <v>238</v>
      </c>
      <c r="Z79" t="s">
        <v>1062</v>
      </c>
    </row>
    <row r="80" spans="1:26" x14ac:dyDescent="0.25">
      <c r="A80">
        <v>2033671194</v>
      </c>
      <c r="B80" t="s">
        <v>823</v>
      </c>
      <c r="C80" t="s">
        <v>262</v>
      </c>
      <c r="D80" t="str">
        <f>CONCATENATE(C80," ",B80)</f>
        <v>TIMOTHY RENGGLI</v>
      </c>
      <c r="E80" t="s">
        <v>212</v>
      </c>
      <c r="F80" t="s">
        <v>71</v>
      </c>
      <c r="G80" t="s">
        <v>84</v>
      </c>
      <c r="H80" t="s">
        <v>996</v>
      </c>
      <c r="I80" s="11" t="s">
        <v>1055</v>
      </c>
      <c r="J80" t="s">
        <v>205</v>
      </c>
      <c r="K80" t="s">
        <v>206</v>
      </c>
      <c r="L80" t="str">
        <f>CONCATENATE(K80," ",J80)</f>
        <v>Jake Shulman</v>
      </c>
      <c r="M80" t="s">
        <v>57</v>
      </c>
      <c r="N80" s="1">
        <v>46068</v>
      </c>
      <c r="P80" s="1">
        <v>46218</v>
      </c>
      <c r="Q80" s="2">
        <v>23.05</v>
      </c>
      <c r="R80" t="s">
        <v>58</v>
      </c>
      <c r="S80" s="3">
        <v>0.75</v>
      </c>
      <c r="T80" t="s">
        <v>60</v>
      </c>
      <c r="U80" t="s">
        <v>239</v>
      </c>
      <c r="V80" s="2">
        <v>17.29</v>
      </c>
      <c r="W80" s="2">
        <v>0</v>
      </c>
      <c r="X80" s="2">
        <v>0</v>
      </c>
      <c r="Y80" t="s">
        <v>238</v>
      </c>
      <c r="Z80" t="s">
        <v>1062</v>
      </c>
    </row>
    <row r="81" spans="1:26" x14ac:dyDescent="0.25">
      <c r="A81">
        <v>2034425272</v>
      </c>
      <c r="B81" t="s">
        <v>828</v>
      </c>
      <c r="C81" t="s">
        <v>829</v>
      </c>
      <c r="D81" t="str">
        <f>CONCATENATE(C81," ",B81)</f>
        <v>JINAYA BROW</v>
      </c>
      <c r="E81" t="s">
        <v>212</v>
      </c>
      <c r="F81" t="s">
        <v>71</v>
      </c>
      <c r="G81" t="s">
        <v>84</v>
      </c>
      <c r="H81" t="s">
        <v>996</v>
      </c>
      <c r="I81" s="11" t="s">
        <v>1055</v>
      </c>
      <c r="J81" t="s">
        <v>205</v>
      </c>
      <c r="K81" t="s">
        <v>206</v>
      </c>
      <c r="L81" t="str">
        <f>CONCATENATE(K81," ",J81)</f>
        <v>Jake Shulman</v>
      </c>
      <c r="M81" t="s">
        <v>57</v>
      </c>
      <c r="N81" s="1">
        <v>46100</v>
      </c>
      <c r="P81" s="1">
        <v>46222</v>
      </c>
      <c r="Q81" s="2">
        <v>22.68</v>
      </c>
      <c r="R81" t="s">
        <v>58</v>
      </c>
      <c r="S81" s="3">
        <v>0.75</v>
      </c>
      <c r="T81" t="s">
        <v>60</v>
      </c>
      <c r="U81" t="s">
        <v>239</v>
      </c>
      <c r="V81" s="2">
        <v>17.010000000000002</v>
      </c>
      <c r="W81" s="2">
        <v>0</v>
      </c>
      <c r="X81" s="2">
        <v>0</v>
      </c>
      <c r="Y81" t="s">
        <v>238</v>
      </c>
      <c r="Z81" t="s">
        <v>1062</v>
      </c>
    </row>
    <row r="82" spans="1:26" x14ac:dyDescent="0.25">
      <c r="A82">
        <v>2034115985</v>
      </c>
      <c r="B82" t="s">
        <v>824</v>
      </c>
      <c r="C82" t="s">
        <v>489</v>
      </c>
      <c r="D82" t="str">
        <f>CONCATENATE(C82," ",B82)</f>
        <v>JULIE O'BRIEN</v>
      </c>
      <c r="E82" t="s">
        <v>209</v>
      </c>
      <c r="F82" t="s">
        <v>71</v>
      </c>
      <c r="G82" t="s">
        <v>825</v>
      </c>
      <c r="H82" t="s">
        <v>996</v>
      </c>
      <c r="I82" s="11" t="s">
        <v>1045</v>
      </c>
      <c r="J82" t="s">
        <v>651</v>
      </c>
      <c r="K82" t="s">
        <v>652</v>
      </c>
      <c r="L82" t="str">
        <f>CONCATENATE(K82," ",J82)</f>
        <v>Danna Green</v>
      </c>
      <c r="M82" t="s">
        <v>57</v>
      </c>
      <c r="N82" s="1">
        <v>46127</v>
      </c>
      <c r="P82" s="1">
        <v>46218</v>
      </c>
      <c r="Q82" s="2">
        <v>20.9</v>
      </c>
      <c r="R82" t="s">
        <v>58</v>
      </c>
      <c r="S82" s="3">
        <v>0.75</v>
      </c>
      <c r="T82" t="s">
        <v>60</v>
      </c>
      <c r="U82" t="s">
        <v>239</v>
      </c>
      <c r="V82" s="2">
        <v>15.68</v>
      </c>
      <c r="W82" s="2">
        <v>0</v>
      </c>
      <c r="X82" s="2">
        <v>0</v>
      </c>
      <c r="Y82" t="s">
        <v>238</v>
      </c>
      <c r="Z82" t="s">
        <v>1063</v>
      </c>
    </row>
    <row r="83" spans="1:26" x14ac:dyDescent="0.25">
      <c r="A83">
        <v>2034256767</v>
      </c>
      <c r="B83" t="s">
        <v>232</v>
      </c>
      <c r="C83" t="s">
        <v>666</v>
      </c>
      <c r="D83" t="str">
        <f>CONCATENATE(C83," ",B83)</f>
        <v>KRISTEN JOHNSON</v>
      </c>
      <c r="E83" t="s">
        <v>523</v>
      </c>
      <c r="F83" t="s">
        <v>71</v>
      </c>
      <c r="G83" t="s">
        <v>84</v>
      </c>
      <c r="H83" t="s">
        <v>996</v>
      </c>
      <c r="I83" s="11">
        <v>8307933</v>
      </c>
      <c r="J83" t="s">
        <v>79</v>
      </c>
      <c r="K83" t="s">
        <v>80</v>
      </c>
      <c r="L83" t="str">
        <f>CONCATENATE(K83," ",J83)</f>
        <v>GREGORY TEIPEL</v>
      </c>
      <c r="M83" t="s">
        <v>57</v>
      </c>
      <c r="N83" s="1">
        <v>46096</v>
      </c>
      <c r="P83" s="1">
        <v>46218</v>
      </c>
      <c r="Q83" s="2">
        <v>20.67</v>
      </c>
      <c r="R83" t="s">
        <v>58</v>
      </c>
      <c r="S83" s="3">
        <v>0.75</v>
      </c>
      <c r="T83" t="s">
        <v>60</v>
      </c>
      <c r="U83" t="s">
        <v>239</v>
      </c>
      <c r="V83" s="2">
        <v>15.5</v>
      </c>
      <c r="W83" s="2">
        <v>0</v>
      </c>
      <c r="X83" s="2">
        <v>0</v>
      </c>
      <c r="Y83" t="s">
        <v>238</v>
      </c>
      <c r="Z83" t="s">
        <v>1062</v>
      </c>
    </row>
    <row r="84" spans="1:26" x14ac:dyDescent="0.25">
      <c r="A84">
        <v>2033177181</v>
      </c>
      <c r="B84" t="s">
        <v>637</v>
      </c>
      <c r="C84" t="s">
        <v>638</v>
      </c>
      <c r="D84" t="str">
        <f>CONCATENATE(C84," ",B84)</f>
        <v>JOAN BENITEZ</v>
      </c>
      <c r="E84" t="s">
        <v>119</v>
      </c>
      <c r="F84" t="s">
        <v>71</v>
      </c>
      <c r="G84" t="s">
        <v>72</v>
      </c>
      <c r="H84" t="s">
        <v>996</v>
      </c>
      <c r="I84" s="11" t="s">
        <v>1001</v>
      </c>
      <c r="J84" t="s">
        <v>73</v>
      </c>
      <c r="K84" t="s">
        <v>116</v>
      </c>
      <c r="L84" t="str">
        <f>CONCATENATE(K84," ",J84)</f>
        <v>Richard Yale</v>
      </c>
      <c r="M84" t="s">
        <v>57</v>
      </c>
      <c r="N84" s="1">
        <v>46040</v>
      </c>
      <c r="P84" s="1">
        <v>46221</v>
      </c>
      <c r="Q84" s="2">
        <v>18.34</v>
      </c>
      <c r="R84" t="s">
        <v>58</v>
      </c>
      <c r="S84" s="3">
        <v>0.75</v>
      </c>
      <c r="T84" t="s">
        <v>60</v>
      </c>
      <c r="U84" t="s">
        <v>239</v>
      </c>
      <c r="V84" s="2">
        <v>13.76</v>
      </c>
      <c r="W84" s="2">
        <v>0</v>
      </c>
      <c r="X84" s="2">
        <v>0</v>
      </c>
      <c r="Y84" t="s">
        <v>238</v>
      </c>
      <c r="Z84" t="s">
        <v>1064</v>
      </c>
    </row>
    <row r="85" spans="1:26" x14ac:dyDescent="0.25">
      <c r="A85">
        <v>2035473799</v>
      </c>
      <c r="B85" t="s">
        <v>748</v>
      </c>
      <c r="C85" t="s">
        <v>256</v>
      </c>
      <c r="D85" t="str">
        <f>CONCATENATE(C85," ",B85)</f>
        <v>MATTHEW SANBORN</v>
      </c>
      <c r="E85" t="s">
        <v>83</v>
      </c>
      <c r="F85" t="s">
        <v>71</v>
      </c>
      <c r="G85" t="s">
        <v>72</v>
      </c>
      <c r="H85" t="s">
        <v>996</v>
      </c>
      <c r="I85" s="11">
        <v>19491313</v>
      </c>
      <c r="J85" t="s">
        <v>133</v>
      </c>
      <c r="K85" t="s">
        <v>134</v>
      </c>
      <c r="L85" t="str">
        <f>CONCATENATE(K85," ",J85)</f>
        <v>Steven Brandt</v>
      </c>
      <c r="M85" t="s">
        <v>57</v>
      </c>
      <c r="N85" s="1">
        <v>46157</v>
      </c>
      <c r="P85" s="1">
        <v>46218</v>
      </c>
      <c r="Q85" s="2">
        <v>12.16</v>
      </c>
      <c r="R85" t="s">
        <v>58</v>
      </c>
      <c r="S85" s="3">
        <v>0.75</v>
      </c>
      <c r="T85" t="s">
        <v>60</v>
      </c>
      <c r="U85" t="s">
        <v>239</v>
      </c>
      <c r="V85" s="2">
        <v>9.1199999999999992</v>
      </c>
      <c r="W85" s="2">
        <v>0</v>
      </c>
      <c r="X85" s="2">
        <v>0</v>
      </c>
      <c r="Y85" t="s">
        <v>238</v>
      </c>
      <c r="Z85" t="s">
        <v>1062</v>
      </c>
    </row>
    <row r="86" spans="1:26" x14ac:dyDescent="0.25">
      <c r="A86">
        <v>2034986813</v>
      </c>
      <c r="B86" t="s">
        <v>717</v>
      </c>
      <c r="C86" t="s">
        <v>349</v>
      </c>
      <c r="D86" t="str">
        <f>CONCATENATE(C86," ",B86)</f>
        <v>STEPHEN CULLOP</v>
      </c>
      <c r="E86" t="s">
        <v>305</v>
      </c>
      <c r="F86" t="s">
        <v>71</v>
      </c>
      <c r="G86" t="s">
        <v>72</v>
      </c>
      <c r="H86" t="s">
        <v>996</v>
      </c>
      <c r="I86" s="11" t="s">
        <v>1040</v>
      </c>
      <c r="J86" t="s">
        <v>306</v>
      </c>
      <c r="K86" t="s">
        <v>307</v>
      </c>
      <c r="L86" t="str">
        <f>CONCATENATE(K86," ",J86)</f>
        <v>WILLIAM GESKE</v>
      </c>
      <c r="M86" t="s">
        <v>57</v>
      </c>
      <c r="N86" s="1">
        <v>46130</v>
      </c>
      <c r="P86" s="1">
        <v>46221</v>
      </c>
      <c r="Q86" s="2">
        <v>10.51</v>
      </c>
      <c r="R86" t="s">
        <v>58</v>
      </c>
      <c r="S86" s="3">
        <v>0.75</v>
      </c>
      <c r="T86" t="s">
        <v>60</v>
      </c>
      <c r="U86" t="s">
        <v>239</v>
      </c>
      <c r="V86" s="2">
        <v>7.88</v>
      </c>
      <c r="W86" s="2">
        <v>0</v>
      </c>
      <c r="X86" s="2">
        <v>0</v>
      </c>
      <c r="Y86" t="s">
        <v>238</v>
      </c>
      <c r="Z86" t="s">
        <v>1063</v>
      </c>
    </row>
    <row r="87" spans="1:26" x14ac:dyDescent="0.25">
      <c r="A87">
        <v>2035502621</v>
      </c>
      <c r="B87" t="s">
        <v>357</v>
      </c>
      <c r="C87" t="s">
        <v>753</v>
      </c>
      <c r="D87" t="str">
        <f>CONCATENATE(C87," ",B87)</f>
        <v>DYLAN THOMPSON</v>
      </c>
      <c r="E87" t="s">
        <v>305</v>
      </c>
      <c r="F87" t="s">
        <v>71</v>
      </c>
      <c r="G87" t="s">
        <v>72</v>
      </c>
      <c r="H87" t="s">
        <v>996</v>
      </c>
      <c r="I87" s="11" t="s">
        <v>1040</v>
      </c>
      <c r="J87" t="s">
        <v>306</v>
      </c>
      <c r="K87" t="s">
        <v>307</v>
      </c>
      <c r="L87" t="str">
        <f>CONCATENATE(K87," ",J87)</f>
        <v>WILLIAM GESKE</v>
      </c>
      <c r="M87" t="s">
        <v>57</v>
      </c>
      <c r="N87" s="1">
        <v>46158</v>
      </c>
      <c r="P87" s="1">
        <v>46219</v>
      </c>
      <c r="Q87" s="2">
        <v>9.2200000000000006</v>
      </c>
      <c r="R87" t="s">
        <v>58</v>
      </c>
      <c r="S87" s="3">
        <v>0.75</v>
      </c>
      <c r="T87" t="s">
        <v>60</v>
      </c>
      <c r="U87" t="s">
        <v>239</v>
      </c>
      <c r="V87" s="2">
        <v>6.92</v>
      </c>
      <c r="W87" s="2">
        <v>0</v>
      </c>
      <c r="X87" s="2">
        <v>0</v>
      </c>
      <c r="Y87" t="s">
        <v>238</v>
      </c>
      <c r="Z87" t="s">
        <v>1063</v>
      </c>
    </row>
    <row r="88" spans="1:26" x14ac:dyDescent="0.25">
      <c r="A88">
        <v>2035338142</v>
      </c>
      <c r="B88" t="s">
        <v>836</v>
      </c>
      <c r="C88" t="s">
        <v>837</v>
      </c>
      <c r="D88" t="str">
        <f>CONCATENATE(C88," ",B88)</f>
        <v>LEILANI SPURLOCK</v>
      </c>
      <c r="E88" t="s">
        <v>305</v>
      </c>
      <c r="F88" t="s">
        <v>71</v>
      </c>
      <c r="G88" t="s">
        <v>72</v>
      </c>
      <c r="H88" t="s">
        <v>996</v>
      </c>
      <c r="I88" s="11" t="s">
        <v>1040</v>
      </c>
      <c r="J88" t="s">
        <v>306</v>
      </c>
      <c r="K88" t="s">
        <v>307</v>
      </c>
      <c r="L88" t="str">
        <f>CONCATENATE(K88," ",J88)</f>
        <v>WILLIAM GESKE</v>
      </c>
      <c r="M88" t="s">
        <v>57</v>
      </c>
      <c r="N88" s="1">
        <v>46151</v>
      </c>
      <c r="P88" s="1">
        <v>46212</v>
      </c>
      <c r="Q88" s="2">
        <v>0.36</v>
      </c>
      <c r="R88" t="s">
        <v>58</v>
      </c>
      <c r="S88" s="3">
        <v>0.75</v>
      </c>
      <c r="T88" t="s">
        <v>60</v>
      </c>
      <c r="U88" t="s">
        <v>239</v>
      </c>
      <c r="V88" s="2">
        <v>0.27</v>
      </c>
      <c r="W88" s="2">
        <v>0</v>
      </c>
      <c r="X88" s="2">
        <v>0</v>
      </c>
      <c r="Y88" t="s">
        <v>238</v>
      </c>
      <c r="Z88" t="s">
        <v>1063</v>
      </c>
    </row>
    <row r="89" spans="1:26" x14ac:dyDescent="0.25">
      <c r="A89">
        <v>2026206373</v>
      </c>
      <c r="B89" t="s">
        <v>316</v>
      </c>
      <c r="C89" t="s">
        <v>317</v>
      </c>
      <c r="D89" t="str">
        <f>CONCATENATE(C89," ",B89)</f>
        <v>SHEILA BRORMAN</v>
      </c>
      <c r="E89" t="s">
        <v>292</v>
      </c>
      <c r="F89" t="s">
        <v>71</v>
      </c>
      <c r="G89" t="s">
        <v>84</v>
      </c>
      <c r="H89" t="s">
        <v>996</v>
      </c>
      <c r="I89" s="11">
        <v>8307933</v>
      </c>
      <c r="J89" t="s">
        <v>79</v>
      </c>
      <c r="K89" t="s">
        <v>80</v>
      </c>
      <c r="L89" t="str">
        <f>CONCATENATE(K89," ",J89)</f>
        <v>GREGORY TEIPEL</v>
      </c>
      <c r="M89" t="s">
        <v>57</v>
      </c>
      <c r="N89" s="1">
        <v>45644</v>
      </c>
      <c r="P89" s="1">
        <v>46221</v>
      </c>
      <c r="Q89" s="2">
        <v>97.8</v>
      </c>
      <c r="R89" t="s">
        <v>58</v>
      </c>
      <c r="S89" s="3">
        <v>0.1</v>
      </c>
      <c r="T89" t="s">
        <v>238</v>
      </c>
      <c r="U89" t="s">
        <v>239</v>
      </c>
      <c r="V89" s="2">
        <v>9.7799999999999994</v>
      </c>
      <c r="W89" s="2">
        <v>9.7799999999999994</v>
      </c>
      <c r="X89" s="2">
        <v>9.7799999999999994</v>
      </c>
      <c r="Y89" t="s">
        <v>238</v>
      </c>
      <c r="Z89" t="s">
        <v>1062</v>
      </c>
    </row>
    <row r="90" spans="1:26" x14ac:dyDescent="0.25">
      <c r="A90">
        <v>2027176337</v>
      </c>
      <c r="B90" t="s">
        <v>322</v>
      </c>
      <c r="C90" t="s">
        <v>323</v>
      </c>
      <c r="D90" t="str">
        <f>CONCATENATE(C90," ",B90)</f>
        <v>DALE WALENGA</v>
      </c>
      <c r="E90" t="s">
        <v>119</v>
      </c>
      <c r="F90" t="s">
        <v>71</v>
      </c>
      <c r="G90" t="s">
        <v>84</v>
      </c>
      <c r="H90" t="s">
        <v>996</v>
      </c>
      <c r="I90" s="11">
        <v>8325282</v>
      </c>
      <c r="J90" t="s">
        <v>128</v>
      </c>
      <c r="K90" t="s">
        <v>129</v>
      </c>
      <c r="L90" t="str">
        <f>CONCATENATE(K90," ",J90)</f>
        <v>Dale Walenga</v>
      </c>
      <c r="M90" t="s">
        <v>57</v>
      </c>
      <c r="N90" s="1">
        <v>45707</v>
      </c>
      <c r="P90" s="1">
        <v>46222</v>
      </c>
      <c r="Q90" s="2">
        <v>114.3</v>
      </c>
      <c r="R90" t="s">
        <v>58</v>
      </c>
      <c r="S90" s="3">
        <v>0.1</v>
      </c>
      <c r="T90" t="s">
        <v>238</v>
      </c>
      <c r="U90" t="s">
        <v>239</v>
      </c>
      <c r="V90" s="2">
        <v>11.43</v>
      </c>
      <c r="W90" s="2">
        <v>11.43</v>
      </c>
      <c r="X90" s="2">
        <v>11.43</v>
      </c>
      <c r="Y90" t="s">
        <v>238</v>
      </c>
      <c r="Z90" t="s">
        <v>1062</v>
      </c>
    </row>
    <row r="91" spans="1:26" x14ac:dyDescent="0.25">
      <c r="A91">
        <v>2028303459</v>
      </c>
      <c r="B91" t="s">
        <v>232</v>
      </c>
      <c r="C91" t="s">
        <v>324</v>
      </c>
      <c r="D91" t="str">
        <f>CONCATENATE(C91," ",B91)</f>
        <v>SHELLEY JOHNSON</v>
      </c>
      <c r="E91" t="s">
        <v>245</v>
      </c>
      <c r="F91" t="s">
        <v>71</v>
      </c>
      <c r="G91" t="s">
        <v>84</v>
      </c>
      <c r="H91" t="s">
        <v>996</v>
      </c>
      <c r="I91" s="11">
        <v>8307933</v>
      </c>
      <c r="J91" t="s">
        <v>79</v>
      </c>
      <c r="K91" t="s">
        <v>80</v>
      </c>
      <c r="L91" t="str">
        <f>CONCATENATE(K91," ",J91)</f>
        <v>GREGORY TEIPEL</v>
      </c>
      <c r="M91" t="s">
        <v>57</v>
      </c>
      <c r="N91" s="1">
        <v>45762</v>
      </c>
      <c r="P91" s="1">
        <v>46218</v>
      </c>
      <c r="Q91" s="2">
        <v>132.5</v>
      </c>
      <c r="R91" t="s">
        <v>58</v>
      </c>
      <c r="S91" s="3">
        <v>0.1</v>
      </c>
      <c r="T91" t="s">
        <v>238</v>
      </c>
      <c r="U91" t="s">
        <v>239</v>
      </c>
      <c r="V91" s="2">
        <v>13.25</v>
      </c>
      <c r="W91" s="2">
        <v>13.25</v>
      </c>
      <c r="X91" s="2">
        <v>13.25</v>
      </c>
      <c r="Y91" t="s">
        <v>238</v>
      </c>
      <c r="Z91" t="s">
        <v>1062</v>
      </c>
    </row>
    <row r="92" spans="1:26" x14ac:dyDescent="0.25">
      <c r="A92">
        <v>2028470694</v>
      </c>
      <c r="B92" t="s">
        <v>325</v>
      </c>
      <c r="C92" t="s">
        <v>326</v>
      </c>
      <c r="D92" t="str">
        <f>CONCATENATE(C92," ",B92)</f>
        <v>PAMELA MITCHELL</v>
      </c>
      <c r="E92" t="s">
        <v>327</v>
      </c>
      <c r="F92" t="s">
        <v>71</v>
      </c>
      <c r="G92" t="s">
        <v>84</v>
      </c>
      <c r="H92" t="s">
        <v>996</v>
      </c>
      <c r="I92" s="11" t="s">
        <v>1017</v>
      </c>
      <c r="J92" t="s">
        <v>328</v>
      </c>
      <c r="K92" t="s">
        <v>329</v>
      </c>
      <c r="L92" t="str">
        <f>CONCATENATE(K92," ",J92)</f>
        <v>CHRISTIAN TAUGNER</v>
      </c>
      <c r="M92" t="s">
        <v>57</v>
      </c>
      <c r="N92" s="1">
        <v>45765</v>
      </c>
      <c r="P92" s="1">
        <v>46221</v>
      </c>
      <c r="Q92" s="2">
        <v>60.28</v>
      </c>
      <c r="R92" t="s">
        <v>58</v>
      </c>
      <c r="S92" s="3">
        <v>0.1</v>
      </c>
      <c r="T92" t="s">
        <v>238</v>
      </c>
      <c r="U92" t="s">
        <v>239</v>
      </c>
      <c r="V92" s="2">
        <v>6.03</v>
      </c>
      <c r="W92" s="2">
        <v>6.03</v>
      </c>
      <c r="X92" s="2">
        <v>6.03</v>
      </c>
      <c r="Y92" t="s">
        <v>238</v>
      </c>
      <c r="Z92" t="s">
        <v>1062</v>
      </c>
    </row>
    <row r="93" spans="1:26" x14ac:dyDescent="0.25">
      <c r="A93">
        <v>2028935096</v>
      </c>
      <c r="B93" t="s">
        <v>330</v>
      </c>
      <c r="C93" t="s">
        <v>331</v>
      </c>
      <c r="D93" t="str">
        <f>CONCATENATE(C93," ",B93)</f>
        <v>JUANITA SINGH</v>
      </c>
      <c r="E93" t="s">
        <v>95</v>
      </c>
      <c r="F93" t="s">
        <v>71</v>
      </c>
      <c r="G93" t="s">
        <v>72</v>
      </c>
      <c r="H93" t="s">
        <v>996</v>
      </c>
      <c r="I93" s="11" t="s">
        <v>1018</v>
      </c>
      <c r="J93" t="s">
        <v>332</v>
      </c>
      <c r="K93" t="s">
        <v>333</v>
      </c>
      <c r="L93" t="str">
        <f>CONCATENATE(K93," ",J93)</f>
        <v>Barry Schumann</v>
      </c>
      <c r="M93" t="s">
        <v>57</v>
      </c>
      <c r="N93" s="1">
        <v>45792</v>
      </c>
      <c r="P93" s="1">
        <v>46218</v>
      </c>
      <c r="Q93" s="2">
        <v>50.98</v>
      </c>
      <c r="R93" t="s">
        <v>58</v>
      </c>
      <c r="S93" s="3">
        <v>0.1</v>
      </c>
      <c r="T93" t="s">
        <v>238</v>
      </c>
      <c r="U93" t="s">
        <v>239</v>
      </c>
      <c r="V93" s="2">
        <v>5.0999999999999996</v>
      </c>
      <c r="W93" s="2">
        <v>5.0999999999999996</v>
      </c>
      <c r="X93" s="2">
        <v>5.0999999999999996</v>
      </c>
      <c r="Y93" t="s">
        <v>238</v>
      </c>
      <c r="Z93" t="s">
        <v>1062</v>
      </c>
    </row>
    <row r="94" spans="1:26" x14ac:dyDescent="0.25">
      <c r="A94">
        <v>2028965775</v>
      </c>
      <c r="B94" t="s">
        <v>336</v>
      </c>
      <c r="C94" t="s">
        <v>208</v>
      </c>
      <c r="D94" t="str">
        <f>CONCATENATE(C94," ",B94)</f>
        <v>MELISSA FUENTES</v>
      </c>
      <c r="E94" t="s">
        <v>119</v>
      </c>
      <c r="F94" t="s">
        <v>71</v>
      </c>
      <c r="G94" t="s">
        <v>72</v>
      </c>
      <c r="H94" t="s">
        <v>996</v>
      </c>
      <c r="I94" s="11" t="s">
        <v>1019</v>
      </c>
      <c r="J94" t="s">
        <v>336</v>
      </c>
      <c r="K94" t="s">
        <v>337</v>
      </c>
      <c r="L94" t="str">
        <f>CONCATENATE(K94," ",J94)</f>
        <v>VICTOR FUENTES</v>
      </c>
      <c r="M94" t="s">
        <v>57</v>
      </c>
      <c r="N94" s="1">
        <v>45793</v>
      </c>
      <c r="P94" s="1">
        <v>46219</v>
      </c>
      <c r="Q94" s="2">
        <v>19.3</v>
      </c>
      <c r="R94" t="s">
        <v>58</v>
      </c>
      <c r="S94" s="3">
        <v>0.1</v>
      </c>
      <c r="T94" t="s">
        <v>238</v>
      </c>
      <c r="U94" t="s">
        <v>239</v>
      </c>
      <c r="V94" s="2">
        <v>1.93</v>
      </c>
      <c r="W94" s="2">
        <v>1.93</v>
      </c>
      <c r="X94" s="2">
        <v>1.93</v>
      </c>
      <c r="Y94" t="s">
        <v>238</v>
      </c>
      <c r="Z94" t="s">
        <v>1062</v>
      </c>
    </row>
    <row r="95" spans="1:26" x14ac:dyDescent="0.25">
      <c r="A95">
        <v>2028965806</v>
      </c>
      <c r="B95" t="s">
        <v>336</v>
      </c>
      <c r="C95" t="s">
        <v>338</v>
      </c>
      <c r="D95" t="str">
        <f>CONCATENATE(C95," ",B95)</f>
        <v>SANDRA FUENTES</v>
      </c>
      <c r="E95" t="s">
        <v>339</v>
      </c>
      <c r="F95" t="s">
        <v>71</v>
      </c>
      <c r="G95" t="s">
        <v>72</v>
      </c>
      <c r="H95" t="s">
        <v>996</v>
      </c>
      <c r="I95" s="11" t="s">
        <v>1019</v>
      </c>
      <c r="J95" t="s">
        <v>336</v>
      </c>
      <c r="K95" t="s">
        <v>337</v>
      </c>
      <c r="L95" t="str">
        <f>CONCATENATE(K95," ",J95)</f>
        <v>VICTOR FUENTES</v>
      </c>
      <c r="M95" t="s">
        <v>57</v>
      </c>
      <c r="N95" s="1">
        <v>45793</v>
      </c>
      <c r="P95" s="1">
        <v>46219</v>
      </c>
      <c r="Q95" s="2">
        <v>73.42</v>
      </c>
      <c r="R95" t="s">
        <v>58</v>
      </c>
      <c r="S95" s="3">
        <v>0.1</v>
      </c>
      <c r="T95" t="s">
        <v>238</v>
      </c>
      <c r="U95" t="s">
        <v>239</v>
      </c>
      <c r="V95" s="2">
        <v>7.34</v>
      </c>
      <c r="W95" s="2">
        <v>7.34</v>
      </c>
      <c r="X95" s="2">
        <v>7.34</v>
      </c>
      <c r="Y95" t="s">
        <v>238</v>
      </c>
      <c r="Z95" t="s">
        <v>1062</v>
      </c>
    </row>
    <row r="96" spans="1:26" x14ac:dyDescent="0.25">
      <c r="A96">
        <v>2029185271</v>
      </c>
      <c r="B96" t="s">
        <v>340</v>
      </c>
      <c r="C96" t="s">
        <v>341</v>
      </c>
      <c r="D96" t="str">
        <f>CONCATENATE(C96," ",B96)</f>
        <v>JILL MCKEE</v>
      </c>
      <c r="E96" t="s">
        <v>342</v>
      </c>
      <c r="F96" t="s">
        <v>71</v>
      </c>
      <c r="G96" t="s">
        <v>72</v>
      </c>
      <c r="H96" t="s">
        <v>996</v>
      </c>
      <c r="I96" s="11">
        <v>8977234</v>
      </c>
      <c r="J96" t="s">
        <v>85</v>
      </c>
      <c r="K96" t="s">
        <v>86</v>
      </c>
      <c r="L96" t="str">
        <f>CONCATENATE(K96," ",J96)</f>
        <v>RYAN CALTAGIRONE</v>
      </c>
      <c r="M96" t="s">
        <v>57</v>
      </c>
      <c r="N96" s="1">
        <v>45825</v>
      </c>
      <c r="P96" s="1">
        <v>46220</v>
      </c>
      <c r="Q96" s="2">
        <v>66.03</v>
      </c>
      <c r="R96" t="s">
        <v>58</v>
      </c>
      <c r="S96" s="3">
        <v>0.1</v>
      </c>
      <c r="T96" t="s">
        <v>238</v>
      </c>
      <c r="U96" t="s">
        <v>239</v>
      </c>
      <c r="V96" s="2">
        <v>6.6</v>
      </c>
      <c r="W96" s="2">
        <v>6.6</v>
      </c>
      <c r="X96" s="2">
        <v>6.6</v>
      </c>
      <c r="Y96" t="s">
        <v>238</v>
      </c>
      <c r="Z96" t="s">
        <v>1062</v>
      </c>
    </row>
    <row r="97" spans="1:26" x14ac:dyDescent="0.25">
      <c r="A97">
        <v>2029502358</v>
      </c>
      <c r="B97" t="s">
        <v>85</v>
      </c>
      <c r="C97" t="s">
        <v>86</v>
      </c>
      <c r="D97" t="str">
        <f>CONCATENATE(C97," ",B97)</f>
        <v>RYAN CALTAGIRONE</v>
      </c>
      <c r="E97" t="s">
        <v>119</v>
      </c>
      <c r="F97" t="s">
        <v>71</v>
      </c>
      <c r="G97" t="s">
        <v>72</v>
      </c>
      <c r="H97" t="s">
        <v>996</v>
      </c>
      <c r="I97" s="11">
        <v>8977234</v>
      </c>
      <c r="J97" t="s">
        <v>85</v>
      </c>
      <c r="K97" t="s">
        <v>86</v>
      </c>
      <c r="L97" t="str">
        <f>CONCATENATE(K97," ",J97)</f>
        <v>RYAN CALTAGIRONE</v>
      </c>
      <c r="M97" t="s">
        <v>57</v>
      </c>
      <c r="N97" s="1">
        <v>45826</v>
      </c>
      <c r="P97" s="1">
        <v>46221</v>
      </c>
      <c r="Q97" s="2">
        <v>35.380000000000003</v>
      </c>
      <c r="R97" t="s">
        <v>58</v>
      </c>
      <c r="S97" s="3">
        <v>0.1</v>
      </c>
      <c r="T97" t="s">
        <v>238</v>
      </c>
      <c r="U97" t="s">
        <v>239</v>
      </c>
      <c r="V97" s="2">
        <v>3.54</v>
      </c>
      <c r="W97" s="2">
        <v>3.54</v>
      </c>
      <c r="X97" s="2">
        <v>3.54</v>
      </c>
      <c r="Y97" t="s">
        <v>238</v>
      </c>
      <c r="Z97" t="s">
        <v>1062</v>
      </c>
    </row>
    <row r="98" spans="1:26" x14ac:dyDescent="0.25">
      <c r="A98">
        <v>2029878253</v>
      </c>
      <c r="B98" t="s">
        <v>343</v>
      </c>
      <c r="C98" t="s">
        <v>106</v>
      </c>
      <c r="D98" t="str">
        <f>CONCATENATE(C98," ",B98)</f>
        <v>JACOB DEUSER</v>
      </c>
      <c r="E98" t="s">
        <v>119</v>
      </c>
      <c r="F98" t="s">
        <v>71</v>
      </c>
      <c r="G98" t="s">
        <v>72</v>
      </c>
      <c r="H98" t="s">
        <v>996</v>
      </c>
      <c r="I98" s="11">
        <v>19396223</v>
      </c>
      <c r="J98" t="s">
        <v>344</v>
      </c>
      <c r="K98" t="s">
        <v>345</v>
      </c>
      <c r="L98" t="str">
        <f>CONCATENATE(K98," ",J98)</f>
        <v>Saadia Abdul</v>
      </c>
      <c r="M98" t="s">
        <v>57</v>
      </c>
      <c r="N98" s="1">
        <v>45853</v>
      </c>
      <c r="P98" s="1">
        <v>46218</v>
      </c>
      <c r="Q98" s="2">
        <v>15.97</v>
      </c>
      <c r="R98" t="s">
        <v>58</v>
      </c>
      <c r="S98" s="3">
        <v>0.75</v>
      </c>
      <c r="T98" t="s">
        <v>60</v>
      </c>
      <c r="U98" t="s">
        <v>239</v>
      </c>
      <c r="V98" s="2">
        <v>11.98</v>
      </c>
      <c r="W98" s="2">
        <v>11.98</v>
      </c>
      <c r="X98" s="2">
        <v>11.98</v>
      </c>
      <c r="Y98" t="s">
        <v>238</v>
      </c>
      <c r="Z98" t="s">
        <v>1062</v>
      </c>
    </row>
    <row r="99" spans="1:26" x14ac:dyDescent="0.25">
      <c r="A99">
        <v>2029951925</v>
      </c>
      <c r="B99" t="s">
        <v>346</v>
      </c>
      <c r="C99" t="s">
        <v>347</v>
      </c>
      <c r="D99" t="str">
        <f>CONCATENATE(C99," ",B99)</f>
        <v>URIEL MARTINEZ</v>
      </c>
      <c r="E99" t="s">
        <v>119</v>
      </c>
      <c r="F99" t="s">
        <v>71</v>
      </c>
      <c r="G99" t="s">
        <v>84</v>
      </c>
      <c r="H99" t="s">
        <v>996</v>
      </c>
      <c r="I99" s="11">
        <v>19396223</v>
      </c>
      <c r="J99" t="s">
        <v>344</v>
      </c>
      <c r="K99" t="s">
        <v>345</v>
      </c>
      <c r="L99" t="str">
        <f>CONCATENATE(K99," ",J99)</f>
        <v>Saadia Abdul</v>
      </c>
      <c r="M99" t="s">
        <v>57</v>
      </c>
      <c r="N99" s="1">
        <v>45853</v>
      </c>
      <c r="P99" s="1">
        <v>46218</v>
      </c>
      <c r="Q99" s="2">
        <v>19.25</v>
      </c>
      <c r="R99" t="s">
        <v>58</v>
      </c>
      <c r="S99" s="3">
        <v>0.75</v>
      </c>
      <c r="T99" t="s">
        <v>60</v>
      </c>
      <c r="U99" t="s">
        <v>239</v>
      </c>
      <c r="V99" s="2">
        <v>14.44</v>
      </c>
      <c r="W99" s="2">
        <v>14.44</v>
      </c>
      <c r="X99" s="2">
        <v>14.44</v>
      </c>
      <c r="Y99" t="s">
        <v>238</v>
      </c>
      <c r="Z99" t="s">
        <v>1062</v>
      </c>
    </row>
    <row r="100" spans="1:26" x14ac:dyDescent="0.25">
      <c r="A100">
        <v>2029969605</v>
      </c>
      <c r="B100" t="s">
        <v>348</v>
      </c>
      <c r="C100" t="s">
        <v>349</v>
      </c>
      <c r="D100" t="str">
        <f>CONCATENATE(C100," ",B100)</f>
        <v>STEPHEN DUNCAN</v>
      </c>
      <c r="E100" t="s">
        <v>305</v>
      </c>
      <c r="F100" t="s">
        <v>71</v>
      </c>
      <c r="G100" t="s">
        <v>72</v>
      </c>
      <c r="H100" t="s">
        <v>996</v>
      </c>
      <c r="I100" s="11" t="s">
        <v>1020</v>
      </c>
      <c r="J100" t="s">
        <v>312</v>
      </c>
      <c r="K100" t="s">
        <v>313</v>
      </c>
      <c r="L100" t="str">
        <f>CONCATENATE(K100," ",J100)</f>
        <v>Heather Geske</v>
      </c>
      <c r="M100" t="s">
        <v>57</v>
      </c>
      <c r="N100" s="1">
        <v>45854</v>
      </c>
      <c r="P100" s="1">
        <v>46219</v>
      </c>
      <c r="Q100" s="2">
        <v>52.84</v>
      </c>
      <c r="R100" t="s">
        <v>58</v>
      </c>
      <c r="S100" s="3">
        <v>0.75</v>
      </c>
      <c r="T100" t="s">
        <v>60</v>
      </c>
      <c r="U100" t="s">
        <v>239</v>
      </c>
      <c r="V100" s="2">
        <v>39.630000000000003</v>
      </c>
      <c r="W100" s="2">
        <v>39.630000000000003</v>
      </c>
      <c r="X100" s="2">
        <v>39.630000000000003</v>
      </c>
      <c r="Y100" t="s">
        <v>238</v>
      </c>
      <c r="Z100" t="s">
        <v>1062</v>
      </c>
    </row>
    <row r="101" spans="1:26" x14ac:dyDescent="0.25">
      <c r="A101">
        <v>2029980504</v>
      </c>
      <c r="B101" t="s">
        <v>244</v>
      </c>
      <c r="C101" t="s">
        <v>350</v>
      </c>
      <c r="D101" t="str">
        <f>CONCATENATE(C101," ",B101)</f>
        <v>STALLKAMP RHONDA</v>
      </c>
      <c r="E101" t="s">
        <v>83</v>
      </c>
      <c r="F101" t="s">
        <v>71</v>
      </c>
      <c r="G101" t="s">
        <v>72</v>
      </c>
      <c r="H101" t="s">
        <v>996</v>
      </c>
      <c r="I101" s="11">
        <v>8977234</v>
      </c>
      <c r="J101" t="s">
        <v>85</v>
      </c>
      <c r="K101" t="s">
        <v>86</v>
      </c>
      <c r="L101" t="str">
        <f>CONCATENATE(K101," ",J101)</f>
        <v>RYAN CALTAGIRONE</v>
      </c>
      <c r="M101" t="s">
        <v>57</v>
      </c>
      <c r="N101" s="1">
        <v>45884</v>
      </c>
      <c r="P101" s="1">
        <v>46218</v>
      </c>
      <c r="Q101" s="2">
        <v>85.81</v>
      </c>
      <c r="R101" t="s">
        <v>58</v>
      </c>
      <c r="S101" s="3">
        <v>0.75</v>
      </c>
      <c r="T101" t="s">
        <v>60</v>
      </c>
      <c r="U101" t="s">
        <v>239</v>
      </c>
      <c r="V101" s="2">
        <v>64.36</v>
      </c>
      <c r="W101" s="2">
        <v>64.36</v>
      </c>
      <c r="X101" s="2">
        <v>64.36</v>
      </c>
      <c r="Y101" t="s">
        <v>238</v>
      </c>
      <c r="Z101" t="s">
        <v>1062</v>
      </c>
    </row>
    <row r="102" spans="1:26" x14ac:dyDescent="0.25">
      <c r="A102">
        <v>2030982989</v>
      </c>
      <c r="B102" t="s">
        <v>363</v>
      </c>
      <c r="C102" t="s">
        <v>364</v>
      </c>
      <c r="D102" t="str">
        <f>CONCATENATE(C102," ",B102)</f>
        <v>STUART ELMAN</v>
      </c>
      <c r="E102" t="s">
        <v>95</v>
      </c>
      <c r="F102" t="s">
        <v>71</v>
      </c>
      <c r="G102" t="s">
        <v>72</v>
      </c>
      <c r="H102" t="s">
        <v>996</v>
      </c>
      <c r="I102" s="11" t="s">
        <v>1001</v>
      </c>
      <c r="J102" t="s">
        <v>73</v>
      </c>
      <c r="K102" t="s">
        <v>116</v>
      </c>
      <c r="L102" t="str">
        <f>CONCATENATE(K102," ",J102)</f>
        <v>Richard Yale</v>
      </c>
      <c r="M102" t="s">
        <v>57</v>
      </c>
      <c r="N102" s="1">
        <v>45915</v>
      </c>
      <c r="P102" s="1">
        <v>46218</v>
      </c>
      <c r="Q102" s="2">
        <v>62.71</v>
      </c>
      <c r="R102" t="s">
        <v>58</v>
      </c>
      <c r="S102" s="3">
        <v>0.75</v>
      </c>
      <c r="T102" t="s">
        <v>60</v>
      </c>
      <c r="U102" t="s">
        <v>239</v>
      </c>
      <c r="V102" s="2">
        <v>47.03</v>
      </c>
      <c r="W102" s="2">
        <v>47.03</v>
      </c>
      <c r="X102" s="2">
        <v>47.03</v>
      </c>
      <c r="Y102" t="s">
        <v>238</v>
      </c>
      <c r="Z102" t="s">
        <v>1062</v>
      </c>
    </row>
    <row r="103" spans="1:26" x14ac:dyDescent="0.25">
      <c r="A103">
        <v>2032105228</v>
      </c>
      <c r="B103" t="s">
        <v>371</v>
      </c>
      <c r="C103" t="s">
        <v>372</v>
      </c>
      <c r="D103" t="str">
        <f>CONCATENATE(C103," ",B103)</f>
        <v>RACHEL ROSENBERG</v>
      </c>
      <c r="E103" t="s">
        <v>119</v>
      </c>
      <c r="F103" t="s">
        <v>71</v>
      </c>
      <c r="G103" t="s">
        <v>84</v>
      </c>
      <c r="H103" t="s">
        <v>996</v>
      </c>
      <c r="I103" s="11" t="s">
        <v>1001</v>
      </c>
      <c r="J103" t="s">
        <v>73</v>
      </c>
      <c r="K103" t="s">
        <v>116</v>
      </c>
      <c r="L103" t="str">
        <f>CONCATENATE(K103," ",J103)</f>
        <v>Richard Yale</v>
      </c>
      <c r="M103" t="s">
        <v>57</v>
      </c>
      <c r="N103" s="1">
        <v>45975</v>
      </c>
      <c r="P103" s="1">
        <v>46217</v>
      </c>
      <c r="Q103" s="2">
        <v>31.2</v>
      </c>
      <c r="R103" t="s">
        <v>58</v>
      </c>
      <c r="S103" s="3">
        <v>0.75</v>
      </c>
      <c r="T103" t="s">
        <v>60</v>
      </c>
      <c r="U103" t="s">
        <v>239</v>
      </c>
      <c r="V103" s="2">
        <v>23.4</v>
      </c>
      <c r="W103" s="2">
        <v>23.4</v>
      </c>
      <c r="X103" s="2">
        <v>23.4</v>
      </c>
      <c r="Y103" t="s">
        <v>238</v>
      </c>
      <c r="Z103" t="s">
        <v>1062</v>
      </c>
    </row>
    <row r="104" spans="1:26" x14ac:dyDescent="0.25">
      <c r="A104">
        <v>2032116643</v>
      </c>
      <c r="B104" t="s">
        <v>373</v>
      </c>
      <c r="C104" t="s">
        <v>236</v>
      </c>
      <c r="D104" t="str">
        <f>CONCATENATE(C104," ",B104)</f>
        <v>ADAM BOSSOV</v>
      </c>
      <c r="E104" t="s">
        <v>119</v>
      </c>
      <c r="F104" t="s">
        <v>71</v>
      </c>
      <c r="G104" t="s">
        <v>72</v>
      </c>
      <c r="H104" t="s">
        <v>996</v>
      </c>
      <c r="I104" s="11" t="s">
        <v>1024</v>
      </c>
      <c r="J104" t="s">
        <v>73</v>
      </c>
      <c r="K104" t="s">
        <v>116</v>
      </c>
      <c r="L104" t="str">
        <f>CONCATENATE(K104," ",J104)</f>
        <v>Richard Yale</v>
      </c>
      <c r="M104" t="s">
        <v>57</v>
      </c>
      <c r="N104" s="1">
        <v>45976</v>
      </c>
      <c r="P104" s="1">
        <v>46218</v>
      </c>
      <c r="Q104" s="2">
        <v>96.34</v>
      </c>
      <c r="R104" t="s">
        <v>58</v>
      </c>
      <c r="S104" s="3">
        <v>0.75</v>
      </c>
      <c r="T104" t="s">
        <v>60</v>
      </c>
      <c r="U104" t="s">
        <v>239</v>
      </c>
      <c r="V104" s="2">
        <v>72.260000000000005</v>
      </c>
      <c r="W104" s="2">
        <v>72.260000000000005</v>
      </c>
      <c r="X104" s="2">
        <v>72.260000000000005</v>
      </c>
      <c r="Y104" t="s">
        <v>238</v>
      </c>
      <c r="Z104" t="s">
        <v>1062</v>
      </c>
    </row>
    <row r="105" spans="1:26" x14ac:dyDescent="0.25">
      <c r="A105">
        <v>2032135721</v>
      </c>
      <c r="B105" t="s">
        <v>374</v>
      </c>
      <c r="C105" t="s">
        <v>375</v>
      </c>
      <c r="D105" t="str">
        <f>CONCATENATE(C105," ",B105)</f>
        <v>FREDRIC PASHE</v>
      </c>
      <c r="E105" t="s">
        <v>212</v>
      </c>
      <c r="F105" t="s">
        <v>71</v>
      </c>
      <c r="G105" t="s">
        <v>72</v>
      </c>
      <c r="H105" t="s">
        <v>996</v>
      </c>
      <c r="I105" s="11" t="s">
        <v>1025</v>
      </c>
      <c r="J105" t="s">
        <v>205</v>
      </c>
      <c r="K105" t="s">
        <v>206</v>
      </c>
      <c r="L105" t="str">
        <f>CONCATENATE(K105," ",J105)</f>
        <v>Jake Shulman</v>
      </c>
      <c r="M105" t="s">
        <v>57</v>
      </c>
      <c r="N105" s="1">
        <v>45974</v>
      </c>
      <c r="P105" s="1">
        <v>46216</v>
      </c>
      <c r="Q105" s="2">
        <v>65.56</v>
      </c>
      <c r="R105" t="s">
        <v>58</v>
      </c>
      <c r="S105" s="3">
        <v>0.75</v>
      </c>
      <c r="T105" t="s">
        <v>60</v>
      </c>
      <c r="U105" t="s">
        <v>239</v>
      </c>
      <c r="V105" s="2">
        <v>49.17</v>
      </c>
      <c r="W105" s="2">
        <v>49.17</v>
      </c>
      <c r="X105" s="2">
        <v>49.17</v>
      </c>
      <c r="Y105" t="s">
        <v>238</v>
      </c>
      <c r="Z105" t="s">
        <v>1062</v>
      </c>
    </row>
    <row r="106" spans="1:26" x14ac:dyDescent="0.25">
      <c r="A106">
        <v>2032143156</v>
      </c>
      <c r="B106" t="s">
        <v>376</v>
      </c>
      <c r="C106" t="s">
        <v>377</v>
      </c>
      <c r="D106" t="str">
        <f>CONCATENATE(C106," ",B106)</f>
        <v>CHARLIE DUNMIRE</v>
      </c>
      <c r="E106" t="s">
        <v>212</v>
      </c>
      <c r="F106" t="s">
        <v>71</v>
      </c>
      <c r="G106" t="s">
        <v>84</v>
      </c>
      <c r="H106" t="s">
        <v>996</v>
      </c>
      <c r="I106" s="11" t="s">
        <v>1025</v>
      </c>
      <c r="J106" t="s">
        <v>205</v>
      </c>
      <c r="K106" t="s">
        <v>206</v>
      </c>
      <c r="L106" t="str">
        <f>CONCATENATE(K106," ",J106)</f>
        <v>Jake Shulman</v>
      </c>
      <c r="M106" t="s">
        <v>57</v>
      </c>
      <c r="N106" s="1">
        <v>45975</v>
      </c>
      <c r="P106" s="1">
        <v>46217</v>
      </c>
      <c r="Q106" s="2">
        <v>44.13</v>
      </c>
      <c r="R106" t="s">
        <v>58</v>
      </c>
      <c r="S106" s="3">
        <v>0.75</v>
      </c>
      <c r="T106" t="s">
        <v>60</v>
      </c>
      <c r="U106" t="s">
        <v>239</v>
      </c>
      <c r="V106" s="2">
        <v>33.1</v>
      </c>
      <c r="W106" s="2">
        <v>33.1</v>
      </c>
      <c r="X106" s="2">
        <v>33.1</v>
      </c>
      <c r="Y106" t="s">
        <v>238</v>
      </c>
      <c r="Z106" t="s">
        <v>1062</v>
      </c>
    </row>
    <row r="107" spans="1:26" x14ac:dyDescent="0.25">
      <c r="A107">
        <v>2032204650</v>
      </c>
      <c r="B107" t="s">
        <v>378</v>
      </c>
      <c r="C107" t="s">
        <v>151</v>
      </c>
      <c r="D107" t="str">
        <f>CONCATENATE(C107," ",B107)</f>
        <v>DANIELLE TEREZA</v>
      </c>
      <c r="E107" t="s">
        <v>119</v>
      </c>
      <c r="F107" t="s">
        <v>71</v>
      </c>
      <c r="G107" t="s">
        <v>72</v>
      </c>
      <c r="H107" t="s">
        <v>996</v>
      </c>
      <c r="I107" s="11" t="s">
        <v>1026</v>
      </c>
      <c r="J107" t="s">
        <v>128</v>
      </c>
      <c r="K107" t="s">
        <v>129</v>
      </c>
      <c r="L107" t="str">
        <f>CONCATENATE(K107," ",J107)</f>
        <v>Dale Walenga</v>
      </c>
      <c r="M107" t="s">
        <v>57</v>
      </c>
      <c r="N107" s="1">
        <v>45979</v>
      </c>
      <c r="P107" s="1">
        <v>46221</v>
      </c>
      <c r="Q107" s="2">
        <v>62.85</v>
      </c>
      <c r="R107" t="s">
        <v>58</v>
      </c>
      <c r="S107" s="3">
        <v>0.75</v>
      </c>
      <c r="T107" t="s">
        <v>60</v>
      </c>
      <c r="U107" t="s">
        <v>239</v>
      </c>
      <c r="V107" s="2">
        <v>47.14</v>
      </c>
      <c r="W107" s="2">
        <v>47.14</v>
      </c>
      <c r="X107" s="2">
        <v>47.14</v>
      </c>
      <c r="Y107" t="s">
        <v>238</v>
      </c>
      <c r="Z107" t="s">
        <v>1062</v>
      </c>
    </row>
    <row r="108" spans="1:26" x14ac:dyDescent="0.25">
      <c r="A108">
        <v>2032208235</v>
      </c>
      <c r="B108" t="s">
        <v>379</v>
      </c>
      <c r="C108" t="s">
        <v>380</v>
      </c>
      <c r="D108" t="str">
        <f>CONCATENATE(C108," ",B108)</f>
        <v>COLEEN VELMS</v>
      </c>
      <c r="E108" t="s">
        <v>95</v>
      </c>
      <c r="F108" t="s">
        <v>71</v>
      </c>
      <c r="G108" t="s">
        <v>72</v>
      </c>
      <c r="H108" t="s">
        <v>996</v>
      </c>
      <c r="I108" s="11" t="s">
        <v>1025</v>
      </c>
      <c r="J108" t="s">
        <v>205</v>
      </c>
      <c r="K108" t="s">
        <v>206</v>
      </c>
      <c r="L108" t="str">
        <f>CONCATENATE(K108," ",J108)</f>
        <v>Jake Shulman</v>
      </c>
      <c r="M108" t="s">
        <v>57</v>
      </c>
      <c r="N108" s="1">
        <v>45979</v>
      </c>
      <c r="P108" s="1">
        <v>46221</v>
      </c>
      <c r="Q108" s="2">
        <v>33.76</v>
      </c>
      <c r="R108" t="s">
        <v>58</v>
      </c>
      <c r="S108" s="3">
        <v>0.75</v>
      </c>
      <c r="T108" t="s">
        <v>60</v>
      </c>
      <c r="U108" t="s">
        <v>239</v>
      </c>
      <c r="V108" s="2">
        <v>25.32</v>
      </c>
      <c r="W108" s="2">
        <v>25.32</v>
      </c>
      <c r="X108" s="2">
        <v>25.32</v>
      </c>
      <c r="Y108" t="s">
        <v>238</v>
      </c>
      <c r="Z108" t="s">
        <v>1062</v>
      </c>
    </row>
    <row r="109" spans="1:26" x14ac:dyDescent="0.25">
      <c r="A109">
        <v>2032616562</v>
      </c>
      <c r="B109" t="s">
        <v>387</v>
      </c>
      <c r="C109" t="s">
        <v>388</v>
      </c>
      <c r="D109" t="str">
        <f>CONCATENATE(C109," ",B109)</f>
        <v>SYDNEY BOHNE</v>
      </c>
      <c r="E109" t="s">
        <v>119</v>
      </c>
      <c r="F109" t="s">
        <v>71</v>
      </c>
      <c r="G109" t="s">
        <v>72</v>
      </c>
      <c r="H109" t="s">
        <v>996</v>
      </c>
      <c r="I109" s="11" t="s">
        <v>1001</v>
      </c>
      <c r="J109" t="s">
        <v>73</v>
      </c>
      <c r="K109" t="s">
        <v>116</v>
      </c>
      <c r="L109" t="str">
        <f>CONCATENATE(K109," ",J109)</f>
        <v>Richard Yale</v>
      </c>
      <c r="M109" t="s">
        <v>57</v>
      </c>
      <c r="N109" s="1">
        <v>46005</v>
      </c>
      <c r="P109" s="1">
        <v>46217</v>
      </c>
      <c r="Q109" s="2">
        <v>13.24</v>
      </c>
      <c r="R109" t="s">
        <v>58</v>
      </c>
      <c r="S109" s="3">
        <v>0.75</v>
      </c>
      <c r="T109" t="s">
        <v>60</v>
      </c>
      <c r="U109" t="s">
        <v>239</v>
      </c>
      <c r="V109" s="2">
        <v>9.93</v>
      </c>
      <c r="W109" s="2">
        <v>9.93</v>
      </c>
      <c r="X109" s="2">
        <v>9.93</v>
      </c>
      <c r="Y109" t="s">
        <v>238</v>
      </c>
      <c r="Z109" t="s">
        <v>1064</v>
      </c>
    </row>
    <row r="110" spans="1:26" x14ac:dyDescent="0.25">
      <c r="A110">
        <v>2032634717</v>
      </c>
      <c r="B110" t="s">
        <v>389</v>
      </c>
      <c r="C110" t="s">
        <v>390</v>
      </c>
      <c r="D110" t="str">
        <f>CONCATENATE(C110," ",B110)</f>
        <v>LENA PLAYER</v>
      </c>
      <c r="E110" t="s">
        <v>305</v>
      </c>
      <c r="F110" t="s">
        <v>71</v>
      </c>
      <c r="G110" t="s">
        <v>72</v>
      </c>
      <c r="H110" t="s">
        <v>996</v>
      </c>
      <c r="I110" s="11" t="s">
        <v>1020</v>
      </c>
      <c r="J110" t="s">
        <v>312</v>
      </c>
      <c r="K110" t="s">
        <v>313</v>
      </c>
      <c r="L110" t="str">
        <f>CONCATENATE(K110," ",J110)</f>
        <v>Heather Geske</v>
      </c>
      <c r="M110" t="s">
        <v>57</v>
      </c>
      <c r="N110" s="1">
        <v>46006</v>
      </c>
      <c r="P110" s="1">
        <v>46218</v>
      </c>
      <c r="Q110" s="2">
        <v>64.27</v>
      </c>
      <c r="R110" t="s">
        <v>58</v>
      </c>
      <c r="S110" s="3">
        <v>0.75</v>
      </c>
      <c r="T110" t="s">
        <v>60</v>
      </c>
      <c r="U110" t="s">
        <v>239</v>
      </c>
      <c r="V110" s="2">
        <v>48.2</v>
      </c>
      <c r="W110" s="2">
        <v>48.2</v>
      </c>
      <c r="X110" s="2">
        <v>48.2</v>
      </c>
      <c r="Y110" t="s">
        <v>238</v>
      </c>
      <c r="Z110" t="s">
        <v>1064</v>
      </c>
    </row>
    <row r="111" spans="1:26" x14ac:dyDescent="0.25">
      <c r="A111">
        <v>2032652630</v>
      </c>
      <c r="B111" t="s">
        <v>391</v>
      </c>
      <c r="C111" t="s">
        <v>392</v>
      </c>
      <c r="D111" t="str">
        <f>CONCATENATE(C111," ",B111)</f>
        <v>NICOLE KUCHAR</v>
      </c>
      <c r="E111" t="s">
        <v>186</v>
      </c>
      <c r="F111" t="s">
        <v>71</v>
      </c>
      <c r="G111" t="s">
        <v>72</v>
      </c>
      <c r="H111" t="s">
        <v>996</v>
      </c>
      <c r="I111" s="11" t="s">
        <v>1017</v>
      </c>
      <c r="J111" t="s">
        <v>328</v>
      </c>
      <c r="K111" t="s">
        <v>329</v>
      </c>
      <c r="L111" t="str">
        <f>CONCATENATE(K111," ",J111)</f>
        <v>CHRISTIAN TAUGNER</v>
      </c>
      <c r="M111" t="s">
        <v>57</v>
      </c>
      <c r="N111" s="1">
        <v>46004</v>
      </c>
      <c r="P111" s="1">
        <v>46216</v>
      </c>
      <c r="Q111" s="2">
        <v>46.28</v>
      </c>
      <c r="R111" t="s">
        <v>58</v>
      </c>
      <c r="S111" s="3">
        <v>0.75</v>
      </c>
      <c r="T111" t="s">
        <v>60</v>
      </c>
      <c r="U111" t="s">
        <v>239</v>
      </c>
      <c r="V111" s="2">
        <v>34.71</v>
      </c>
      <c r="W111" s="2">
        <v>34.71</v>
      </c>
      <c r="X111" s="2">
        <v>34.71</v>
      </c>
      <c r="Y111" t="s">
        <v>238</v>
      </c>
      <c r="Z111" t="s">
        <v>1064</v>
      </c>
    </row>
    <row r="112" spans="1:26" x14ac:dyDescent="0.25">
      <c r="A112">
        <v>2032667004</v>
      </c>
      <c r="B112" t="s">
        <v>601</v>
      </c>
      <c r="C112" t="s">
        <v>602</v>
      </c>
      <c r="D112" t="str">
        <f>CONCATENATE(C112," ",B112)</f>
        <v>KOREY CASTILLO</v>
      </c>
      <c r="E112" t="s">
        <v>70</v>
      </c>
      <c r="F112" t="s">
        <v>71</v>
      </c>
      <c r="G112" t="s">
        <v>72</v>
      </c>
      <c r="H112" t="s">
        <v>996</v>
      </c>
      <c r="I112" s="11" t="s">
        <v>1025</v>
      </c>
      <c r="J112" t="s">
        <v>205</v>
      </c>
      <c r="K112" t="s">
        <v>206</v>
      </c>
      <c r="L112" t="str">
        <f>CONCATENATE(K112," ",J112)</f>
        <v>Jake Shulman</v>
      </c>
      <c r="M112" t="s">
        <v>57</v>
      </c>
      <c r="N112" s="1">
        <v>46004</v>
      </c>
      <c r="P112" s="1">
        <v>46216</v>
      </c>
      <c r="Q112" s="2">
        <v>66.52</v>
      </c>
      <c r="R112" t="s">
        <v>58</v>
      </c>
      <c r="S112" s="3">
        <v>0.75</v>
      </c>
      <c r="T112" t="s">
        <v>60</v>
      </c>
      <c r="U112" t="s">
        <v>239</v>
      </c>
      <c r="V112" s="2">
        <v>49.89</v>
      </c>
      <c r="W112" s="2">
        <v>49.89</v>
      </c>
      <c r="X112" s="2">
        <v>49.89</v>
      </c>
      <c r="Y112" t="s">
        <v>238</v>
      </c>
      <c r="Z112" t="s">
        <v>1064</v>
      </c>
    </row>
    <row r="113" spans="1:26" x14ac:dyDescent="0.25">
      <c r="A113">
        <v>2032687360</v>
      </c>
      <c r="B113" t="s">
        <v>603</v>
      </c>
      <c r="C113" t="s">
        <v>175</v>
      </c>
      <c r="D113" t="str">
        <f>CONCATENATE(C113," ",B113)</f>
        <v>SCOTT PETERS</v>
      </c>
      <c r="E113" t="s">
        <v>119</v>
      </c>
      <c r="F113" t="s">
        <v>71</v>
      </c>
      <c r="G113" t="s">
        <v>72</v>
      </c>
      <c r="H113" t="s">
        <v>996</v>
      </c>
      <c r="I113" s="11" t="s">
        <v>1001</v>
      </c>
      <c r="J113" t="s">
        <v>73</v>
      </c>
      <c r="K113" t="s">
        <v>116</v>
      </c>
      <c r="L113" t="str">
        <f>CONCATENATE(K113," ",J113)</f>
        <v>Richard Yale</v>
      </c>
      <c r="M113" t="s">
        <v>57</v>
      </c>
      <c r="N113" s="1">
        <v>46010</v>
      </c>
      <c r="P113" s="1">
        <v>46222</v>
      </c>
      <c r="Q113" s="2">
        <v>146.08000000000001</v>
      </c>
      <c r="R113" t="s">
        <v>58</v>
      </c>
      <c r="S113" s="3">
        <v>0.75</v>
      </c>
      <c r="T113" t="s">
        <v>60</v>
      </c>
      <c r="U113" t="s">
        <v>239</v>
      </c>
      <c r="V113" s="2">
        <v>109.56</v>
      </c>
      <c r="W113" s="2">
        <v>109.56</v>
      </c>
      <c r="X113" s="2">
        <v>109.56</v>
      </c>
      <c r="Y113" t="s">
        <v>238</v>
      </c>
      <c r="Z113" t="s">
        <v>1064</v>
      </c>
    </row>
    <row r="114" spans="1:26" x14ac:dyDescent="0.25">
      <c r="A114">
        <v>2032702301</v>
      </c>
      <c r="B114" t="s">
        <v>608</v>
      </c>
      <c r="C114" t="s">
        <v>609</v>
      </c>
      <c r="D114" t="str">
        <f>CONCATENATE(C114," ",B114)</f>
        <v>TAYLOR REEVES</v>
      </c>
      <c r="E114" t="s">
        <v>209</v>
      </c>
      <c r="F114" t="s">
        <v>71</v>
      </c>
      <c r="G114" t="s">
        <v>72</v>
      </c>
      <c r="H114" t="s">
        <v>996</v>
      </c>
      <c r="I114" s="11" t="s">
        <v>1001</v>
      </c>
      <c r="J114" t="s">
        <v>73</v>
      </c>
      <c r="K114" t="s">
        <v>116</v>
      </c>
      <c r="L114" t="str">
        <f>CONCATENATE(K114," ",J114)</f>
        <v>Richard Yale</v>
      </c>
      <c r="M114" t="s">
        <v>57</v>
      </c>
      <c r="N114" s="1">
        <v>46010</v>
      </c>
      <c r="P114" s="1">
        <v>46222</v>
      </c>
      <c r="Q114" s="2">
        <v>6.44</v>
      </c>
      <c r="R114" t="s">
        <v>58</v>
      </c>
      <c r="S114" s="3">
        <v>0.75</v>
      </c>
      <c r="T114" t="s">
        <v>60</v>
      </c>
      <c r="U114" t="s">
        <v>239</v>
      </c>
      <c r="V114" s="2">
        <v>4.83</v>
      </c>
      <c r="W114" s="2">
        <v>4.83</v>
      </c>
      <c r="X114" s="2">
        <v>4.83</v>
      </c>
      <c r="Y114" t="s">
        <v>238</v>
      </c>
      <c r="Z114" t="s">
        <v>1064</v>
      </c>
    </row>
    <row r="115" spans="1:26" x14ac:dyDescent="0.25">
      <c r="A115">
        <v>2035865270</v>
      </c>
      <c r="B115" t="s">
        <v>758</v>
      </c>
      <c r="C115" t="s">
        <v>123</v>
      </c>
      <c r="D115" t="str">
        <f>CONCATENATE(C115," ",B115)</f>
        <v>FRANK ELSWICK</v>
      </c>
      <c r="E115" t="s">
        <v>70</v>
      </c>
      <c r="F115" t="s">
        <v>71</v>
      </c>
      <c r="G115" t="s">
        <v>72</v>
      </c>
      <c r="H115" t="s">
        <v>996</v>
      </c>
      <c r="I115" s="11">
        <v>20003537</v>
      </c>
      <c r="J115" t="s">
        <v>73</v>
      </c>
      <c r="K115" t="s">
        <v>74</v>
      </c>
      <c r="L115" t="str">
        <f>CONCATENATE(K115," ",J115)</f>
        <v>Chad Yale</v>
      </c>
      <c r="M115" t="s">
        <v>57</v>
      </c>
      <c r="N115" s="1">
        <v>46204</v>
      </c>
      <c r="P115" s="1">
        <v>46235</v>
      </c>
      <c r="Q115" s="2">
        <v>-55</v>
      </c>
      <c r="R115" t="s">
        <v>58</v>
      </c>
      <c r="S115" s="3">
        <v>0.75</v>
      </c>
      <c r="T115" t="s">
        <v>60</v>
      </c>
      <c r="U115" t="s">
        <v>239</v>
      </c>
      <c r="V115" s="2">
        <v>-41.25</v>
      </c>
      <c r="W115" s="2">
        <v>-41.25</v>
      </c>
      <c r="X115" s="2">
        <v>-41.25</v>
      </c>
      <c r="Y115" t="s">
        <v>238</v>
      </c>
      <c r="Z115" t="s">
        <v>1062</v>
      </c>
    </row>
    <row r="116" spans="1:26" x14ac:dyDescent="0.25">
      <c r="A116">
        <v>2035486373</v>
      </c>
      <c r="B116" t="s">
        <v>750</v>
      </c>
      <c r="C116" t="s">
        <v>751</v>
      </c>
      <c r="D116" t="str">
        <f>CONCATENATE(C116," ",B116)</f>
        <v>EMELYN WILLIAMS</v>
      </c>
      <c r="E116" t="s">
        <v>305</v>
      </c>
      <c r="F116" t="s">
        <v>71</v>
      </c>
      <c r="G116" t="s">
        <v>309</v>
      </c>
      <c r="H116" t="s">
        <v>1008</v>
      </c>
      <c r="I116" s="11" t="s">
        <v>1036</v>
      </c>
      <c r="J116" t="s">
        <v>510</v>
      </c>
      <c r="K116" t="s">
        <v>511</v>
      </c>
      <c r="L116" t="str">
        <f>CONCATENATE(K116," ",J116)</f>
        <v>Joel Lee</v>
      </c>
      <c r="M116" t="s">
        <v>57</v>
      </c>
      <c r="N116" s="1">
        <v>46157</v>
      </c>
      <c r="P116" s="1">
        <v>46218</v>
      </c>
      <c r="Q116" s="2">
        <v>122.58</v>
      </c>
      <c r="R116" t="s">
        <v>58</v>
      </c>
      <c r="S116" s="3">
        <v>0.65</v>
      </c>
      <c r="T116" t="s">
        <v>60</v>
      </c>
      <c r="U116" t="s">
        <v>239</v>
      </c>
      <c r="V116" s="2">
        <v>79.680000000000007</v>
      </c>
      <c r="W116" s="2">
        <v>0</v>
      </c>
      <c r="X116" s="2">
        <v>0</v>
      </c>
      <c r="Y116" t="s">
        <v>238</v>
      </c>
      <c r="Z116" t="s">
        <v>1063</v>
      </c>
    </row>
    <row r="117" spans="1:26" x14ac:dyDescent="0.25">
      <c r="A117">
        <v>2034260111</v>
      </c>
      <c r="B117" t="s">
        <v>667</v>
      </c>
      <c r="C117" t="s">
        <v>668</v>
      </c>
      <c r="D117" t="str">
        <f>CONCATENATE(C117," ",B117)</f>
        <v>TYLER DOBELBOWER</v>
      </c>
      <c r="E117" t="s">
        <v>305</v>
      </c>
      <c r="F117" t="s">
        <v>71</v>
      </c>
      <c r="G117" t="s">
        <v>309</v>
      </c>
      <c r="H117" t="s">
        <v>1008</v>
      </c>
      <c r="I117" s="11" t="s">
        <v>1036</v>
      </c>
      <c r="J117" t="s">
        <v>510</v>
      </c>
      <c r="K117" t="s">
        <v>511</v>
      </c>
      <c r="L117" t="str">
        <f>CONCATENATE(K117," ",J117)</f>
        <v>Joel Lee</v>
      </c>
      <c r="M117" t="s">
        <v>57</v>
      </c>
      <c r="N117" s="1">
        <v>46096</v>
      </c>
      <c r="P117" s="1">
        <v>46218</v>
      </c>
      <c r="Q117" s="2">
        <v>37.18</v>
      </c>
      <c r="R117" t="s">
        <v>58</v>
      </c>
      <c r="S117" s="3">
        <v>0.65</v>
      </c>
      <c r="T117" t="s">
        <v>60</v>
      </c>
      <c r="U117" t="s">
        <v>239</v>
      </c>
      <c r="V117" s="2">
        <v>24.17</v>
      </c>
      <c r="W117" s="2">
        <v>0</v>
      </c>
      <c r="X117" s="2">
        <v>0</v>
      </c>
      <c r="Y117" t="s">
        <v>238</v>
      </c>
      <c r="Z117" t="s">
        <v>1063</v>
      </c>
    </row>
    <row r="118" spans="1:26" x14ac:dyDescent="0.25">
      <c r="A118">
        <v>2033176986</v>
      </c>
      <c r="B118" t="s">
        <v>819</v>
      </c>
      <c r="C118" t="s">
        <v>820</v>
      </c>
      <c r="D118" t="str">
        <f>CONCATENATE(C118," ",B118)</f>
        <v>TIRION TOMPKINS</v>
      </c>
      <c r="E118" t="s">
        <v>305</v>
      </c>
      <c r="F118" t="s">
        <v>71</v>
      </c>
      <c r="G118" t="s">
        <v>309</v>
      </c>
      <c r="H118" t="s">
        <v>1008</v>
      </c>
      <c r="I118" s="11" t="s">
        <v>1020</v>
      </c>
      <c r="J118" t="s">
        <v>312</v>
      </c>
      <c r="K118" t="s">
        <v>313</v>
      </c>
      <c r="L118" t="str">
        <f>CONCATENATE(K118," ",J118)</f>
        <v>Heather Geske</v>
      </c>
      <c r="M118" t="s">
        <v>57</v>
      </c>
      <c r="N118" s="1">
        <v>46038</v>
      </c>
      <c r="P118" s="1">
        <v>46219</v>
      </c>
      <c r="Q118" s="2">
        <v>33.33</v>
      </c>
      <c r="R118" t="s">
        <v>58</v>
      </c>
      <c r="S118" s="3">
        <v>0.65</v>
      </c>
      <c r="T118" t="s">
        <v>60</v>
      </c>
      <c r="U118" t="s">
        <v>239</v>
      </c>
      <c r="V118" s="2">
        <v>21.66</v>
      </c>
      <c r="W118" s="2">
        <v>0</v>
      </c>
      <c r="X118" s="2">
        <v>0</v>
      </c>
      <c r="Y118" t="s">
        <v>238</v>
      </c>
      <c r="Z118" t="s">
        <v>1064</v>
      </c>
    </row>
    <row r="119" spans="1:26" x14ac:dyDescent="0.25">
      <c r="A119">
        <v>2033164609</v>
      </c>
      <c r="B119" t="s">
        <v>635</v>
      </c>
      <c r="C119" t="s">
        <v>424</v>
      </c>
      <c r="D119" t="str">
        <f>CONCATENATE(C119," ",B119)</f>
        <v>ALEXANDRA RUFF</v>
      </c>
      <c r="E119" t="s">
        <v>305</v>
      </c>
      <c r="F119" t="s">
        <v>71</v>
      </c>
      <c r="G119" t="s">
        <v>309</v>
      </c>
      <c r="H119" t="s">
        <v>1008</v>
      </c>
      <c r="I119" s="11" t="s">
        <v>1020</v>
      </c>
      <c r="J119" t="s">
        <v>312</v>
      </c>
      <c r="K119" t="s">
        <v>313</v>
      </c>
      <c r="L119" t="str">
        <f>CONCATENATE(K119," ",J119)</f>
        <v>Heather Geske</v>
      </c>
      <c r="M119" t="s">
        <v>57</v>
      </c>
      <c r="N119" s="1">
        <v>46038</v>
      </c>
      <c r="P119" s="1">
        <v>46219</v>
      </c>
      <c r="Q119" s="2">
        <v>11.18</v>
      </c>
      <c r="R119" t="s">
        <v>58</v>
      </c>
      <c r="S119" s="3">
        <v>0.65</v>
      </c>
      <c r="T119" t="s">
        <v>60</v>
      </c>
      <c r="U119" t="s">
        <v>239</v>
      </c>
      <c r="V119" s="2">
        <v>7.27</v>
      </c>
      <c r="W119" s="2">
        <v>0</v>
      </c>
      <c r="X119" s="2">
        <v>0</v>
      </c>
      <c r="Y119" t="s">
        <v>238</v>
      </c>
      <c r="Z119" t="s">
        <v>1064</v>
      </c>
    </row>
    <row r="120" spans="1:26" x14ac:dyDescent="0.25">
      <c r="A120">
        <v>2026061218</v>
      </c>
      <c r="B120" t="s">
        <v>308</v>
      </c>
      <c r="C120" t="s">
        <v>260</v>
      </c>
      <c r="D120" t="str">
        <f>CONCATENATE(C120," ",B120)</f>
        <v>JOSEPH HINTZICKER</v>
      </c>
      <c r="E120" t="s">
        <v>305</v>
      </c>
      <c r="F120" t="s">
        <v>71</v>
      </c>
      <c r="G120" t="s">
        <v>309</v>
      </c>
      <c r="H120" t="s">
        <v>1008</v>
      </c>
      <c r="I120" s="11">
        <v>21313588</v>
      </c>
      <c r="J120" t="s">
        <v>306</v>
      </c>
      <c r="K120" t="s">
        <v>307</v>
      </c>
      <c r="L120" t="str">
        <f>CONCATENATE(K120," ",J120)</f>
        <v>WILLIAM GESKE</v>
      </c>
      <c r="M120" t="s">
        <v>57</v>
      </c>
      <c r="N120" s="1">
        <v>45641</v>
      </c>
      <c r="P120" s="1">
        <v>46218</v>
      </c>
      <c r="Q120" s="2">
        <v>37.130000000000003</v>
      </c>
      <c r="R120" t="s">
        <v>58</v>
      </c>
      <c r="S120" s="3">
        <v>0.1</v>
      </c>
      <c r="T120" t="s">
        <v>238</v>
      </c>
      <c r="U120" t="s">
        <v>239</v>
      </c>
      <c r="V120" s="2">
        <v>3.71</v>
      </c>
      <c r="W120" s="2">
        <v>3.71</v>
      </c>
      <c r="X120" s="2">
        <v>3.71</v>
      </c>
      <c r="Y120" t="s">
        <v>238</v>
      </c>
      <c r="Z120" t="s">
        <v>1062</v>
      </c>
    </row>
    <row r="121" spans="1:26" x14ac:dyDescent="0.25">
      <c r="A121">
        <v>2026180758</v>
      </c>
      <c r="B121" t="s">
        <v>310</v>
      </c>
      <c r="C121" t="s">
        <v>311</v>
      </c>
      <c r="D121" t="str">
        <f>CONCATENATE(C121," ",B121)</f>
        <v>CARRIE DOBSCH</v>
      </c>
      <c r="E121" t="s">
        <v>305</v>
      </c>
      <c r="F121" t="s">
        <v>71</v>
      </c>
      <c r="G121" t="s">
        <v>309</v>
      </c>
      <c r="H121" t="s">
        <v>1008</v>
      </c>
      <c r="I121" s="11">
        <v>16865615</v>
      </c>
      <c r="J121" t="s">
        <v>312</v>
      </c>
      <c r="K121" t="s">
        <v>313</v>
      </c>
      <c r="L121" t="str">
        <f>CONCATENATE(K121," ",J121)</f>
        <v>Heather Geske</v>
      </c>
      <c r="M121" t="s">
        <v>57</v>
      </c>
      <c r="N121" s="1">
        <v>45641</v>
      </c>
      <c r="P121" s="1">
        <v>46218</v>
      </c>
      <c r="Q121" s="2">
        <v>18.7</v>
      </c>
      <c r="R121" t="s">
        <v>58</v>
      </c>
      <c r="S121" s="3">
        <v>0.1</v>
      </c>
      <c r="T121" t="s">
        <v>238</v>
      </c>
      <c r="U121" t="s">
        <v>239</v>
      </c>
      <c r="V121" s="2">
        <v>1.87</v>
      </c>
      <c r="W121" s="2">
        <v>1.87</v>
      </c>
      <c r="X121" s="2">
        <v>1.87</v>
      </c>
      <c r="Y121" t="s">
        <v>238</v>
      </c>
      <c r="Z121" t="s">
        <v>1062</v>
      </c>
    </row>
    <row r="122" spans="1:26" x14ac:dyDescent="0.25">
      <c r="A122">
        <v>2026184418</v>
      </c>
      <c r="B122" t="s">
        <v>314</v>
      </c>
      <c r="C122" t="s">
        <v>315</v>
      </c>
      <c r="D122" t="str">
        <f>CONCATENATE(C122," ",B122)</f>
        <v>DAWN FELOSA</v>
      </c>
      <c r="E122" t="s">
        <v>305</v>
      </c>
      <c r="F122" t="s">
        <v>71</v>
      </c>
      <c r="G122" t="s">
        <v>309</v>
      </c>
      <c r="H122" t="s">
        <v>1008</v>
      </c>
      <c r="I122" s="11">
        <v>16865615</v>
      </c>
      <c r="J122" t="s">
        <v>312</v>
      </c>
      <c r="K122" t="s">
        <v>313</v>
      </c>
      <c r="L122" t="str">
        <f>CONCATENATE(K122," ",J122)</f>
        <v>Heather Geske</v>
      </c>
      <c r="M122" t="s">
        <v>57</v>
      </c>
      <c r="N122" s="1">
        <v>45641</v>
      </c>
      <c r="P122" s="1">
        <v>46218</v>
      </c>
      <c r="Q122" s="2">
        <v>45.51</v>
      </c>
      <c r="R122" t="s">
        <v>58</v>
      </c>
      <c r="S122" s="3">
        <v>0.1</v>
      </c>
      <c r="T122" t="s">
        <v>238</v>
      </c>
      <c r="U122" t="s">
        <v>239</v>
      </c>
      <c r="V122" s="2">
        <v>4.55</v>
      </c>
      <c r="W122" s="2">
        <v>4.55</v>
      </c>
      <c r="X122" s="2">
        <v>4.55</v>
      </c>
      <c r="Y122" t="s">
        <v>238</v>
      </c>
      <c r="Z122" t="s">
        <v>1062</v>
      </c>
    </row>
    <row r="123" spans="1:26" x14ac:dyDescent="0.25">
      <c r="A123">
        <v>2030455582</v>
      </c>
      <c r="B123" t="s">
        <v>353</v>
      </c>
      <c r="C123" t="s">
        <v>354</v>
      </c>
      <c r="D123" t="str">
        <f>CONCATENATE(C123," ",B123)</f>
        <v>JASON TROUT</v>
      </c>
      <c r="E123" t="s">
        <v>305</v>
      </c>
      <c r="F123" t="s">
        <v>71</v>
      </c>
      <c r="G123" t="s">
        <v>309</v>
      </c>
      <c r="H123" t="s">
        <v>1008</v>
      </c>
      <c r="I123" s="11" t="s">
        <v>1020</v>
      </c>
      <c r="J123" t="s">
        <v>312</v>
      </c>
      <c r="K123" t="s">
        <v>313</v>
      </c>
      <c r="L123" t="str">
        <f>CONCATENATE(K123," ",J123)</f>
        <v>Heather Geske</v>
      </c>
      <c r="M123" t="s">
        <v>57</v>
      </c>
      <c r="N123" s="1">
        <v>45882</v>
      </c>
      <c r="P123" s="1">
        <v>46216</v>
      </c>
      <c r="Q123" s="2">
        <v>29.88</v>
      </c>
      <c r="R123" t="s">
        <v>58</v>
      </c>
      <c r="S123" s="3">
        <v>0.65</v>
      </c>
      <c r="T123" t="s">
        <v>60</v>
      </c>
      <c r="U123" t="s">
        <v>239</v>
      </c>
      <c r="V123" s="2">
        <v>19.420000000000002</v>
      </c>
      <c r="W123" s="2">
        <v>19.420000000000002</v>
      </c>
      <c r="X123" s="2">
        <v>19.420000000000002</v>
      </c>
      <c r="Y123" t="s">
        <v>238</v>
      </c>
      <c r="Z123" t="s">
        <v>1062</v>
      </c>
    </row>
    <row r="124" spans="1:26" x14ac:dyDescent="0.25">
      <c r="A124">
        <v>2032208388</v>
      </c>
      <c r="B124" t="s">
        <v>381</v>
      </c>
      <c r="C124" t="s">
        <v>272</v>
      </c>
      <c r="D124" t="str">
        <f>CONCATENATE(C124," ",B124)</f>
        <v>MARY CARLSON</v>
      </c>
      <c r="E124" t="s">
        <v>305</v>
      </c>
      <c r="F124" t="s">
        <v>71</v>
      </c>
      <c r="G124" t="s">
        <v>309</v>
      </c>
      <c r="H124" t="s">
        <v>1008</v>
      </c>
      <c r="I124" s="11" t="s">
        <v>1020</v>
      </c>
      <c r="J124" t="s">
        <v>312</v>
      </c>
      <c r="K124" t="s">
        <v>313</v>
      </c>
      <c r="L124" t="str">
        <f>CONCATENATE(K124," ",J124)</f>
        <v>Heather Geske</v>
      </c>
      <c r="M124" t="s">
        <v>57</v>
      </c>
      <c r="N124" s="1">
        <v>45979</v>
      </c>
      <c r="P124" s="1">
        <v>46221</v>
      </c>
      <c r="Q124" s="2">
        <v>26.53</v>
      </c>
      <c r="R124" t="s">
        <v>58</v>
      </c>
      <c r="S124" s="3">
        <v>0.65</v>
      </c>
      <c r="T124" t="s">
        <v>60</v>
      </c>
      <c r="U124" t="s">
        <v>239</v>
      </c>
      <c r="V124" s="2">
        <v>17.239999999999998</v>
      </c>
      <c r="W124" s="2">
        <v>17.239999999999998</v>
      </c>
      <c r="X124" s="2">
        <v>17.239999999999998</v>
      </c>
      <c r="Y124" t="s">
        <v>238</v>
      </c>
      <c r="Z124" t="s">
        <v>1062</v>
      </c>
    </row>
    <row r="125" spans="1:26" x14ac:dyDescent="0.25">
      <c r="A125">
        <v>2032657983</v>
      </c>
      <c r="B125" t="s">
        <v>393</v>
      </c>
      <c r="C125" t="s">
        <v>264</v>
      </c>
      <c r="D125" t="str">
        <f>CONCATENATE(C125," ",B125)</f>
        <v>CHELSEA THRIFT</v>
      </c>
      <c r="E125" t="s">
        <v>95</v>
      </c>
      <c r="F125" t="s">
        <v>71</v>
      </c>
      <c r="G125" t="s">
        <v>309</v>
      </c>
      <c r="H125" t="s">
        <v>1008</v>
      </c>
      <c r="I125" s="11" t="s">
        <v>1002</v>
      </c>
      <c r="J125" t="s">
        <v>321</v>
      </c>
      <c r="K125" t="s">
        <v>94</v>
      </c>
      <c r="L125" t="str">
        <f>CONCATENATE(K125," ",J125)</f>
        <v>ANDREA PETRUNGARO</v>
      </c>
      <c r="M125" t="s">
        <v>57</v>
      </c>
      <c r="N125" s="1">
        <v>46023</v>
      </c>
      <c r="P125" s="1">
        <v>46235</v>
      </c>
      <c r="Q125" s="2">
        <v>20.51</v>
      </c>
      <c r="R125" t="s">
        <v>58</v>
      </c>
      <c r="S125" s="3">
        <v>0.65</v>
      </c>
      <c r="T125" t="s">
        <v>60</v>
      </c>
      <c r="U125" t="s">
        <v>239</v>
      </c>
      <c r="V125" s="2">
        <v>13.33</v>
      </c>
      <c r="W125" s="2">
        <v>13.33</v>
      </c>
      <c r="X125" s="2">
        <v>13.33</v>
      </c>
      <c r="Y125" t="s">
        <v>238</v>
      </c>
      <c r="Z125" t="s">
        <v>1064</v>
      </c>
    </row>
    <row r="126" spans="1:26" x14ac:dyDescent="0.25">
      <c r="A126">
        <v>2032693410</v>
      </c>
      <c r="B126" t="s">
        <v>606</v>
      </c>
      <c r="C126" t="s">
        <v>607</v>
      </c>
      <c r="D126" t="str">
        <f>CONCATENATE(C126," ",B126)</f>
        <v>ANGELA TILLEY</v>
      </c>
      <c r="E126" t="s">
        <v>305</v>
      </c>
      <c r="F126" t="s">
        <v>71</v>
      </c>
      <c r="G126" t="s">
        <v>309</v>
      </c>
      <c r="H126" t="s">
        <v>1008</v>
      </c>
      <c r="I126" s="11" t="s">
        <v>1020</v>
      </c>
      <c r="J126" t="s">
        <v>312</v>
      </c>
      <c r="K126" t="s">
        <v>313</v>
      </c>
      <c r="L126" t="str">
        <f>CONCATENATE(K126," ",J126)</f>
        <v>Heather Geske</v>
      </c>
      <c r="M126" t="s">
        <v>57</v>
      </c>
      <c r="N126" s="1">
        <v>46007</v>
      </c>
      <c r="P126" s="1">
        <v>46219</v>
      </c>
      <c r="Q126" s="2">
        <v>50.78</v>
      </c>
      <c r="R126" t="s">
        <v>58</v>
      </c>
      <c r="S126" s="3">
        <v>0.65</v>
      </c>
      <c r="T126" t="s">
        <v>60</v>
      </c>
      <c r="U126" t="s">
        <v>239</v>
      </c>
      <c r="V126" s="2">
        <v>33.01</v>
      </c>
      <c r="W126" s="2">
        <v>33.01</v>
      </c>
      <c r="X126" s="2">
        <v>33.01</v>
      </c>
      <c r="Y126" t="s">
        <v>238</v>
      </c>
      <c r="Z126" t="s">
        <v>1064</v>
      </c>
    </row>
    <row r="127" spans="1:26" x14ac:dyDescent="0.25">
      <c r="A127">
        <v>2032774964</v>
      </c>
      <c r="B127" t="s">
        <v>610</v>
      </c>
      <c r="C127" t="s">
        <v>611</v>
      </c>
      <c r="D127" t="str">
        <f>CONCATENATE(C127," ",B127)</f>
        <v>NIKKI SANDOVAL</v>
      </c>
      <c r="E127" t="s">
        <v>305</v>
      </c>
      <c r="F127" t="s">
        <v>71</v>
      </c>
      <c r="G127" t="s">
        <v>309</v>
      </c>
      <c r="H127" t="s">
        <v>1008</v>
      </c>
      <c r="I127" s="11" t="s">
        <v>1020</v>
      </c>
      <c r="J127" t="s">
        <v>312</v>
      </c>
      <c r="K127" t="s">
        <v>313</v>
      </c>
      <c r="L127" t="str">
        <f>CONCATENATE(K127," ",J127)</f>
        <v>Heather Geske</v>
      </c>
      <c r="M127" t="s">
        <v>57</v>
      </c>
      <c r="N127" s="1">
        <v>46006</v>
      </c>
      <c r="P127" s="1">
        <v>46218</v>
      </c>
      <c r="Q127" s="2">
        <v>28.03</v>
      </c>
      <c r="R127" t="s">
        <v>58</v>
      </c>
      <c r="S127" s="3">
        <v>0.65</v>
      </c>
      <c r="T127" t="s">
        <v>60</v>
      </c>
      <c r="U127" t="s">
        <v>239</v>
      </c>
      <c r="V127" s="2">
        <v>18.22</v>
      </c>
      <c r="W127" s="2">
        <v>18.22</v>
      </c>
      <c r="X127" s="2">
        <v>18.22</v>
      </c>
      <c r="Y127" t="s">
        <v>238</v>
      </c>
      <c r="Z127" t="s">
        <v>1064</v>
      </c>
    </row>
    <row r="128" spans="1:26" x14ac:dyDescent="0.25">
      <c r="A128">
        <v>2034113723</v>
      </c>
      <c r="B128" t="s">
        <v>664</v>
      </c>
      <c r="C128" t="s">
        <v>349</v>
      </c>
      <c r="D128" t="str">
        <f>CONCATENATE(C128," ",B128)</f>
        <v>STEPHEN SPERLING</v>
      </c>
      <c r="E128" t="s">
        <v>119</v>
      </c>
      <c r="F128" t="s">
        <v>71</v>
      </c>
      <c r="G128" t="s">
        <v>78</v>
      </c>
      <c r="H128" t="s">
        <v>997</v>
      </c>
      <c r="I128" s="11" t="s">
        <v>1027</v>
      </c>
      <c r="J128" t="s">
        <v>385</v>
      </c>
      <c r="K128" t="s">
        <v>386</v>
      </c>
      <c r="L128" t="str">
        <f>CONCATENATE(K128," ",J128)</f>
        <v>Andrew Choi</v>
      </c>
      <c r="M128" t="s">
        <v>57</v>
      </c>
      <c r="N128" s="1">
        <v>46130</v>
      </c>
      <c r="P128" s="1">
        <v>46221</v>
      </c>
      <c r="Q128" s="2">
        <v>538.51</v>
      </c>
      <c r="R128" t="s">
        <v>58</v>
      </c>
      <c r="S128" s="3">
        <v>0.9</v>
      </c>
      <c r="T128" t="s">
        <v>60</v>
      </c>
      <c r="U128" t="s">
        <v>239</v>
      </c>
      <c r="V128" s="2">
        <v>484.66</v>
      </c>
      <c r="W128" s="2">
        <v>0</v>
      </c>
      <c r="X128" s="2">
        <v>0</v>
      </c>
      <c r="Y128" t="s">
        <v>238</v>
      </c>
      <c r="Z128" t="s">
        <v>1063</v>
      </c>
    </row>
    <row r="129" spans="1:26" x14ac:dyDescent="0.25">
      <c r="A129">
        <v>2035420489</v>
      </c>
      <c r="B129" t="s">
        <v>730</v>
      </c>
      <c r="C129" t="s">
        <v>731</v>
      </c>
      <c r="D129" t="str">
        <f>CONCATENATE(C129," ",B129)</f>
        <v>TATYANA MUKHIN</v>
      </c>
      <c r="E129" t="s">
        <v>624</v>
      </c>
      <c r="F129" t="s">
        <v>71</v>
      </c>
      <c r="G129" t="s">
        <v>78</v>
      </c>
      <c r="H129" t="s">
        <v>997</v>
      </c>
      <c r="I129" s="11">
        <v>8307933</v>
      </c>
      <c r="J129" t="s">
        <v>79</v>
      </c>
      <c r="K129" t="s">
        <v>80</v>
      </c>
      <c r="L129" t="str">
        <f>CONCATENATE(K129," ",J129)</f>
        <v>GREGORY TEIPEL</v>
      </c>
      <c r="M129" t="s">
        <v>57</v>
      </c>
      <c r="N129" s="1">
        <v>46158</v>
      </c>
      <c r="P129" s="1">
        <v>46219</v>
      </c>
      <c r="Q129" s="2">
        <v>176.63</v>
      </c>
      <c r="R129" t="s">
        <v>58</v>
      </c>
      <c r="S129" s="3">
        <v>0.9</v>
      </c>
      <c r="T129" t="s">
        <v>60</v>
      </c>
      <c r="U129" t="s">
        <v>239</v>
      </c>
      <c r="V129" s="2">
        <v>158.97</v>
      </c>
      <c r="W129" s="2">
        <v>0</v>
      </c>
      <c r="X129" s="2">
        <v>0</v>
      </c>
      <c r="Y129" t="s">
        <v>238</v>
      </c>
      <c r="Z129" t="s">
        <v>1062</v>
      </c>
    </row>
    <row r="130" spans="1:26" x14ac:dyDescent="0.25">
      <c r="A130">
        <v>2033089936</v>
      </c>
      <c r="B130" t="s">
        <v>616</v>
      </c>
      <c r="C130" t="s">
        <v>56</v>
      </c>
      <c r="D130" t="str">
        <f>CONCATENATE(C130," ",B130)</f>
        <v>JOHN STAVLAS</v>
      </c>
      <c r="E130" t="s">
        <v>193</v>
      </c>
      <c r="F130" t="s">
        <v>71</v>
      </c>
      <c r="G130" t="s">
        <v>78</v>
      </c>
      <c r="H130" t="s">
        <v>997</v>
      </c>
      <c r="I130" s="11" t="s">
        <v>1021</v>
      </c>
      <c r="J130" t="s">
        <v>195</v>
      </c>
      <c r="K130" t="s">
        <v>196</v>
      </c>
      <c r="L130" t="str">
        <f>CONCATENATE(K130," ",J130)</f>
        <v>Ronald Max</v>
      </c>
      <c r="M130" t="s">
        <v>57</v>
      </c>
      <c r="N130" s="1">
        <v>46035</v>
      </c>
      <c r="P130" s="1">
        <v>46216</v>
      </c>
      <c r="Q130" s="2">
        <v>165.12</v>
      </c>
      <c r="R130" t="s">
        <v>58</v>
      </c>
      <c r="S130" s="3">
        <v>0.9</v>
      </c>
      <c r="T130" t="s">
        <v>60</v>
      </c>
      <c r="U130" t="s">
        <v>239</v>
      </c>
      <c r="V130" s="2">
        <v>148.61000000000001</v>
      </c>
      <c r="W130" s="2">
        <v>0</v>
      </c>
      <c r="X130" s="2">
        <v>0</v>
      </c>
      <c r="Y130" t="s">
        <v>238</v>
      </c>
      <c r="Z130" t="s">
        <v>1062</v>
      </c>
    </row>
    <row r="131" spans="1:26" x14ac:dyDescent="0.25">
      <c r="A131">
        <v>2033106166</v>
      </c>
      <c r="B131" t="s">
        <v>617</v>
      </c>
      <c r="C131" t="s">
        <v>618</v>
      </c>
      <c r="D131" t="str">
        <f>CONCATENATE(C131," ",B131)</f>
        <v>VALENTIN BACHVAROV</v>
      </c>
      <c r="E131" t="s">
        <v>70</v>
      </c>
      <c r="F131" t="s">
        <v>71</v>
      </c>
      <c r="G131" t="s">
        <v>78</v>
      </c>
      <c r="H131" t="s">
        <v>997</v>
      </c>
      <c r="I131" s="11">
        <v>1706194</v>
      </c>
      <c r="J131" t="s">
        <v>619</v>
      </c>
      <c r="K131" t="s">
        <v>256</v>
      </c>
      <c r="L131" t="str">
        <f>CONCATENATE(K131," ",J131)</f>
        <v>MATTHEW DAUGHERTY</v>
      </c>
      <c r="M131" t="s">
        <v>57</v>
      </c>
      <c r="N131" s="1">
        <v>46035</v>
      </c>
      <c r="P131" s="1">
        <v>46216</v>
      </c>
      <c r="Q131" s="2">
        <v>152.33000000000001</v>
      </c>
      <c r="R131" t="s">
        <v>58</v>
      </c>
      <c r="S131" s="3">
        <v>0.9</v>
      </c>
      <c r="T131" t="s">
        <v>60</v>
      </c>
      <c r="U131" t="s">
        <v>239</v>
      </c>
      <c r="V131" s="2">
        <v>137.1</v>
      </c>
      <c r="W131" s="2">
        <v>0</v>
      </c>
      <c r="X131" s="2">
        <v>0</v>
      </c>
      <c r="Y131" t="s">
        <v>238</v>
      </c>
      <c r="Z131" t="s">
        <v>1062</v>
      </c>
    </row>
    <row r="132" spans="1:26" x14ac:dyDescent="0.25">
      <c r="A132">
        <v>2034966126</v>
      </c>
      <c r="B132" t="s">
        <v>713</v>
      </c>
      <c r="C132" t="s">
        <v>260</v>
      </c>
      <c r="D132" t="str">
        <f>CONCATENATE(C132," ",B132)</f>
        <v>JOSEPH DOWNEY</v>
      </c>
      <c r="E132" t="s">
        <v>714</v>
      </c>
      <c r="F132" t="s">
        <v>71</v>
      </c>
      <c r="G132" t="s">
        <v>78</v>
      </c>
      <c r="H132" t="s">
        <v>997</v>
      </c>
      <c r="I132" s="11">
        <v>8977234</v>
      </c>
      <c r="J132" t="s">
        <v>85</v>
      </c>
      <c r="K132" t="s">
        <v>86</v>
      </c>
      <c r="L132" t="str">
        <f>CONCATENATE(K132," ",J132)</f>
        <v>RYAN CALTAGIRONE</v>
      </c>
      <c r="M132" t="s">
        <v>57</v>
      </c>
      <c r="N132" s="1">
        <v>46129</v>
      </c>
      <c r="P132" s="1">
        <v>46220</v>
      </c>
      <c r="Q132" s="2">
        <v>152.06</v>
      </c>
      <c r="R132" t="s">
        <v>58</v>
      </c>
      <c r="S132" s="3">
        <v>0.9</v>
      </c>
      <c r="T132" t="s">
        <v>60</v>
      </c>
      <c r="U132" t="s">
        <v>239</v>
      </c>
      <c r="V132" s="2">
        <v>136.85</v>
      </c>
      <c r="W132" s="2">
        <v>0</v>
      </c>
      <c r="X132" s="2">
        <v>0</v>
      </c>
      <c r="Y132" t="s">
        <v>238</v>
      </c>
      <c r="Z132" t="s">
        <v>1062</v>
      </c>
    </row>
    <row r="133" spans="1:26" x14ac:dyDescent="0.25">
      <c r="A133">
        <v>2033578547</v>
      </c>
      <c r="B133" t="s">
        <v>821</v>
      </c>
      <c r="C133" t="s">
        <v>822</v>
      </c>
      <c r="D133" t="str">
        <f>CONCATENATE(C133," ",B133)</f>
        <v>MICHELLE ENGELSKIRCH</v>
      </c>
      <c r="E133" t="s">
        <v>193</v>
      </c>
      <c r="F133" t="s">
        <v>71</v>
      </c>
      <c r="G133" t="s">
        <v>78</v>
      </c>
      <c r="H133" t="s">
        <v>997</v>
      </c>
      <c r="I133" s="11" t="s">
        <v>1041</v>
      </c>
      <c r="J133" t="s">
        <v>544</v>
      </c>
      <c r="K133" t="s">
        <v>545</v>
      </c>
      <c r="L133" t="str">
        <f>CONCATENATE(K133," ",J133)</f>
        <v>Robert Adcock</v>
      </c>
      <c r="M133" t="s">
        <v>57</v>
      </c>
      <c r="N133" s="1">
        <v>46066</v>
      </c>
      <c r="P133" s="1">
        <v>46216</v>
      </c>
      <c r="Q133" s="2">
        <v>138</v>
      </c>
      <c r="R133" t="s">
        <v>58</v>
      </c>
      <c r="S133" s="3">
        <v>0.9</v>
      </c>
      <c r="T133" t="s">
        <v>60</v>
      </c>
      <c r="U133" t="s">
        <v>239</v>
      </c>
      <c r="V133" s="2">
        <v>124.2</v>
      </c>
      <c r="W133" s="2">
        <v>0</v>
      </c>
      <c r="X133" s="2">
        <v>0</v>
      </c>
      <c r="Y133" t="s">
        <v>238</v>
      </c>
      <c r="Z133" t="s">
        <v>1062</v>
      </c>
    </row>
    <row r="134" spans="1:26" x14ac:dyDescent="0.25">
      <c r="A134">
        <v>2034375763</v>
      </c>
      <c r="B134" t="s">
        <v>682</v>
      </c>
      <c r="C134" t="s">
        <v>335</v>
      </c>
      <c r="D134" t="str">
        <f>CONCATENATE(C134," ",B134)</f>
        <v>DAVID DYBEL</v>
      </c>
      <c r="E134" t="s">
        <v>77</v>
      </c>
      <c r="F134" t="s">
        <v>71</v>
      </c>
      <c r="G134" t="s">
        <v>78</v>
      </c>
      <c r="H134" t="s">
        <v>997</v>
      </c>
      <c r="I134" s="11">
        <v>8977234</v>
      </c>
      <c r="J134" t="s">
        <v>85</v>
      </c>
      <c r="K134" t="s">
        <v>86</v>
      </c>
      <c r="L134" t="str">
        <f>CONCATENATE(K134," ",J134)</f>
        <v>RYAN CALTAGIRONE</v>
      </c>
      <c r="M134" t="s">
        <v>57</v>
      </c>
      <c r="N134" s="1">
        <v>46098</v>
      </c>
      <c r="P134" s="1">
        <v>46220</v>
      </c>
      <c r="Q134" s="2">
        <v>132</v>
      </c>
      <c r="R134" t="s">
        <v>58</v>
      </c>
      <c r="S134" s="3">
        <v>0.9</v>
      </c>
      <c r="T134" t="s">
        <v>60</v>
      </c>
      <c r="U134" t="s">
        <v>239</v>
      </c>
      <c r="V134" s="2">
        <v>118.8</v>
      </c>
      <c r="W134" s="2">
        <v>0</v>
      </c>
      <c r="X134" s="2">
        <v>0</v>
      </c>
      <c r="Y134" t="s">
        <v>238</v>
      </c>
      <c r="Z134" t="s">
        <v>1062</v>
      </c>
    </row>
    <row r="135" spans="1:26" x14ac:dyDescent="0.25">
      <c r="A135">
        <v>2035107759</v>
      </c>
      <c r="B135" t="s">
        <v>426</v>
      </c>
      <c r="C135" t="s">
        <v>80</v>
      </c>
      <c r="D135" t="str">
        <f>CONCATENATE(C135," ",B135)</f>
        <v>GREGORY WALKER</v>
      </c>
      <c r="E135" t="s">
        <v>523</v>
      </c>
      <c r="F135" t="s">
        <v>71</v>
      </c>
      <c r="G135" t="s">
        <v>78</v>
      </c>
      <c r="H135" t="s">
        <v>997</v>
      </c>
      <c r="I135" s="11">
        <v>8307933</v>
      </c>
      <c r="J135" t="s">
        <v>79</v>
      </c>
      <c r="K135" t="s">
        <v>80</v>
      </c>
      <c r="L135" t="str">
        <f>CONCATENATE(K135," ",J135)</f>
        <v>GREGORY TEIPEL</v>
      </c>
      <c r="M135" t="s">
        <v>57</v>
      </c>
      <c r="N135" s="1">
        <v>46143</v>
      </c>
      <c r="P135" s="1">
        <v>46204</v>
      </c>
      <c r="Q135" s="2">
        <v>128.5</v>
      </c>
      <c r="R135" t="s">
        <v>58</v>
      </c>
      <c r="S135" s="3">
        <v>0.9</v>
      </c>
      <c r="T135" t="s">
        <v>60</v>
      </c>
      <c r="U135" t="s">
        <v>239</v>
      </c>
      <c r="V135" s="2">
        <v>115.65</v>
      </c>
      <c r="W135" s="2">
        <v>0</v>
      </c>
      <c r="X135" s="2">
        <v>0</v>
      </c>
      <c r="Y135" t="s">
        <v>238</v>
      </c>
      <c r="Z135" t="s">
        <v>1062</v>
      </c>
    </row>
    <row r="136" spans="1:26" x14ac:dyDescent="0.25">
      <c r="A136">
        <v>2034867128</v>
      </c>
      <c r="B136" t="s">
        <v>702</v>
      </c>
      <c r="C136" t="s">
        <v>703</v>
      </c>
      <c r="D136" t="str">
        <f>CONCATENATE(C136," ",B136)</f>
        <v>DERIC GAYDE</v>
      </c>
      <c r="E136" t="s">
        <v>209</v>
      </c>
      <c r="F136" t="s">
        <v>71</v>
      </c>
      <c r="G136" t="s">
        <v>78</v>
      </c>
      <c r="H136" t="s">
        <v>997</v>
      </c>
      <c r="I136" s="11" t="s">
        <v>1045</v>
      </c>
      <c r="J136" t="s">
        <v>651</v>
      </c>
      <c r="K136" t="s">
        <v>652</v>
      </c>
      <c r="L136" t="str">
        <f>CONCATENATE(K136," ",J136)</f>
        <v>Danna Green</v>
      </c>
      <c r="M136" t="s">
        <v>57</v>
      </c>
      <c r="N136" s="1">
        <v>46129</v>
      </c>
      <c r="P136" s="1">
        <v>46220</v>
      </c>
      <c r="Q136" s="2">
        <v>120.42</v>
      </c>
      <c r="R136" t="s">
        <v>58</v>
      </c>
      <c r="S136" s="3">
        <v>0.9</v>
      </c>
      <c r="T136" t="s">
        <v>60</v>
      </c>
      <c r="U136" t="s">
        <v>239</v>
      </c>
      <c r="V136" s="2">
        <v>108.38</v>
      </c>
      <c r="W136" s="2">
        <v>0</v>
      </c>
      <c r="X136" s="2">
        <v>0</v>
      </c>
      <c r="Y136" t="s">
        <v>238</v>
      </c>
      <c r="Z136" t="s">
        <v>1063</v>
      </c>
    </row>
    <row r="137" spans="1:26" x14ac:dyDescent="0.25">
      <c r="A137">
        <v>2034374843</v>
      </c>
      <c r="B137" t="s">
        <v>679</v>
      </c>
      <c r="C137" t="s">
        <v>680</v>
      </c>
      <c r="D137" t="str">
        <f>CONCATENATE(C137," ",B137)</f>
        <v>ELLIOTT KENNEDY</v>
      </c>
      <c r="E137" t="s">
        <v>681</v>
      </c>
      <c r="F137" t="s">
        <v>71</v>
      </c>
      <c r="G137" t="s">
        <v>78</v>
      </c>
      <c r="H137" t="s">
        <v>997</v>
      </c>
      <c r="I137" s="11">
        <v>8307933</v>
      </c>
      <c r="J137" t="s">
        <v>79</v>
      </c>
      <c r="K137" t="s">
        <v>80</v>
      </c>
      <c r="L137" t="str">
        <f>CONCATENATE(K137," ",J137)</f>
        <v>GREGORY TEIPEL</v>
      </c>
      <c r="M137" t="s">
        <v>57</v>
      </c>
      <c r="N137" s="1">
        <v>46099</v>
      </c>
      <c r="P137" s="1">
        <v>46221</v>
      </c>
      <c r="Q137" s="2">
        <v>95.88</v>
      </c>
      <c r="R137" t="s">
        <v>58</v>
      </c>
      <c r="S137" s="3">
        <v>0.9</v>
      </c>
      <c r="T137" t="s">
        <v>60</v>
      </c>
      <c r="U137" t="s">
        <v>239</v>
      </c>
      <c r="V137" s="2">
        <v>86.29</v>
      </c>
      <c r="W137" s="2">
        <v>0</v>
      </c>
      <c r="X137" s="2">
        <v>0</v>
      </c>
      <c r="Y137" t="s">
        <v>238</v>
      </c>
      <c r="Z137" t="s">
        <v>1062</v>
      </c>
    </row>
    <row r="138" spans="1:26" x14ac:dyDescent="0.25">
      <c r="A138">
        <v>2035017367</v>
      </c>
      <c r="B138" t="s">
        <v>834</v>
      </c>
      <c r="C138" t="s">
        <v>835</v>
      </c>
      <c r="D138" t="str">
        <f>CONCATENATE(C138," ",B138)</f>
        <v>JEANNIE ROSS</v>
      </c>
      <c r="E138" t="s">
        <v>193</v>
      </c>
      <c r="F138" t="s">
        <v>71</v>
      </c>
      <c r="G138" t="s">
        <v>78</v>
      </c>
      <c r="H138" t="s">
        <v>997</v>
      </c>
      <c r="I138" s="11" t="s">
        <v>1021</v>
      </c>
      <c r="J138" t="s">
        <v>195</v>
      </c>
      <c r="K138" t="s">
        <v>196</v>
      </c>
      <c r="L138" t="str">
        <f>CONCATENATE(K138," ",J138)</f>
        <v>Ronald Max</v>
      </c>
      <c r="M138" t="s">
        <v>57</v>
      </c>
      <c r="N138" s="1">
        <v>46158</v>
      </c>
      <c r="P138" s="1">
        <v>46219</v>
      </c>
      <c r="Q138" s="2">
        <v>89.92</v>
      </c>
      <c r="R138" t="s">
        <v>58</v>
      </c>
      <c r="S138" s="3">
        <v>0.9</v>
      </c>
      <c r="T138" t="s">
        <v>60</v>
      </c>
      <c r="U138" t="s">
        <v>239</v>
      </c>
      <c r="V138" s="2">
        <v>80.930000000000007</v>
      </c>
      <c r="W138" s="2">
        <v>0</v>
      </c>
      <c r="X138" s="2">
        <v>0</v>
      </c>
      <c r="Y138" t="s">
        <v>238</v>
      </c>
      <c r="Z138" t="s">
        <v>1062</v>
      </c>
    </row>
    <row r="139" spans="1:26" x14ac:dyDescent="0.25">
      <c r="A139">
        <v>2035476716</v>
      </c>
      <c r="B139" t="s">
        <v>839</v>
      </c>
      <c r="C139" t="s">
        <v>840</v>
      </c>
      <c r="D139" t="str">
        <f>CONCATENATE(C139," ",B139)</f>
        <v>ERMELINDA TORO</v>
      </c>
      <c r="E139" t="s">
        <v>193</v>
      </c>
      <c r="F139" t="s">
        <v>71</v>
      </c>
      <c r="G139" t="s">
        <v>78</v>
      </c>
      <c r="H139" t="s">
        <v>997</v>
      </c>
      <c r="I139" s="11" t="s">
        <v>1043</v>
      </c>
      <c r="J139" t="s">
        <v>137</v>
      </c>
      <c r="K139" t="s">
        <v>138</v>
      </c>
      <c r="L139" t="str">
        <f>CONCATENATE(K139," ",J139)</f>
        <v>Brittany Oliver</v>
      </c>
      <c r="M139" t="s">
        <v>57</v>
      </c>
      <c r="N139" s="1">
        <v>46157</v>
      </c>
      <c r="P139" s="1">
        <v>46218</v>
      </c>
      <c r="Q139" s="2">
        <v>71.010000000000005</v>
      </c>
      <c r="R139" t="s">
        <v>58</v>
      </c>
      <c r="S139" s="3">
        <v>0.9</v>
      </c>
      <c r="T139" t="s">
        <v>60</v>
      </c>
      <c r="U139" t="s">
        <v>239</v>
      </c>
      <c r="V139" s="2">
        <v>63.91</v>
      </c>
      <c r="W139" s="2">
        <v>0</v>
      </c>
      <c r="X139" s="2">
        <v>0</v>
      </c>
      <c r="Y139" t="s">
        <v>238</v>
      </c>
      <c r="Z139" t="s">
        <v>1063</v>
      </c>
    </row>
    <row r="140" spans="1:26" x14ac:dyDescent="0.25">
      <c r="A140">
        <v>2034097891</v>
      </c>
      <c r="B140" t="s">
        <v>281</v>
      </c>
      <c r="C140" t="s">
        <v>76</v>
      </c>
      <c r="D140" t="str">
        <f>CONCATENATE(C140," ",B140)</f>
        <v>STEPHANIE WILKINSON</v>
      </c>
      <c r="E140" t="s">
        <v>145</v>
      </c>
      <c r="F140" t="s">
        <v>71</v>
      </c>
      <c r="G140" t="s">
        <v>78</v>
      </c>
      <c r="H140" t="s">
        <v>997</v>
      </c>
      <c r="I140" s="11">
        <v>8977234</v>
      </c>
      <c r="J140" t="s">
        <v>85</v>
      </c>
      <c r="K140" t="s">
        <v>86</v>
      </c>
      <c r="L140" t="str">
        <f>CONCATENATE(K140," ",J140)</f>
        <v>RYAN CALTAGIRONE</v>
      </c>
      <c r="M140" t="s">
        <v>57</v>
      </c>
      <c r="N140" s="1">
        <v>46127</v>
      </c>
      <c r="P140" s="1">
        <v>46218</v>
      </c>
      <c r="Q140" s="2">
        <v>68.53</v>
      </c>
      <c r="R140" t="s">
        <v>58</v>
      </c>
      <c r="S140" s="3">
        <v>0.9</v>
      </c>
      <c r="T140" t="s">
        <v>60</v>
      </c>
      <c r="U140" t="s">
        <v>239</v>
      </c>
      <c r="V140" s="2">
        <v>61.68</v>
      </c>
      <c r="W140" s="2">
        <v>0</v>
      </c>
      <c r="X140" s="2">
        <v>0</v>
      </c>
      <c r="Y140" t="s">
        <v>238</v>
      </c>
      <c r="Z140" t="s">
        <v>1062</v>
      </c>
    </row>
    <row r="141" spans="1:26" x14ac:dyDescent="0.25">
      <c r="A141">
        <v>2033719311</v>
      </c>
      <c r="B141" t="s">
        <v>658</v>
      </c>
      <c r="C141" t="s">
        <v>659</v>
      </c>
      <c r="D141" t="str">
        <f>CONCATENATE(C141," ",B141)</f>
        <v>CHARISSA BEAVERS</v>
      </c>
      <c r="E141" t="s">
        <v>193</v>
      </c>
      <c r="F141" t="s">
        <v>71</v>
      </c>
      <c r="G141" t="s">
        <v>78</v>
      </c>
      <c r="H141" t="s">
        <v>997</v>
      </c>
      <c r="I141" s="11" t="s">
        <v>1043</v>
      </c>
      <c r="J141" t="s">
        <v>137</v>
      </c>
      <c r="K141" t="s">
        <v>138</v>
      </c>
      <c r="L141" t="str">
        <f>CONCATENATE(K141," ",J141)</f>
        <v>Brittany Oliver</v>
      </c>
      <c r="M141" t="s">
        <v>57</v>
      </c>
      <c r="N141" s="1">
        <v>46072</v>
      </c>
      <c r="P141" s="1">
        <v>46222</v>
      </c>
      <c r="Q141" s="2">
        <v>58.58</v>
      </c>
      <c r="R141" t="s">
        <v>58</v>
      </c>
      <c r="S141" s="3">
        <v>0.9</v>
      </c>
      <c r="T141" t="s">
        <v>60</v>
      </c>
      <c r="U141" t="s">
        <v>239</v>
      </c>
      <c r="V141" s="2">
        <v>52.72</v>
      </c>
      <c r="W141" s="2">
        <v>0</v>
      </c>
      <c r="X141" s="2">
        <v>0</v>
      </c>
      <c r="Y141" t="s">
        <v>238</v>
      </c>
      <c r="Z141" t="s">
        <v>1063</v>
      </c>
    </row>
    <row r="142" spans="1:26" x14ac:dyDescent="0.25">
      <c r="A142">
        <v>2035438824</v>
      </c>
      <c r="B142" t="s">
        <v>739</v>
      </c>
      <c r="C142" t="s">
        <v>740</v>
      </c>
      <c r="D142" t="str">
        <f>CONCATENATE(C142," ",B142)</f>
        <v>TIFFANY MCBRIDE</v>
      </c>
      <c r="E142" t="s">
        <v>245</v>
      </c>
      <c r="F142" t="s">
        <v>71</v>
      </c>
      <c r="G142" t="s">
        <v>78</v>
      </c>
      <c r="H142" t="s">
        <v>997</v>
      </c>
      <c r="I142" s="11">
        <v>8307933</v>
      </c>
      <c r="J142" t="s">
        <v>79</v>
      </c>
      <c r="K142" t="s">
        <v>80</v>
      </c>
      <c r="L142" t="str">
        <f>CONCATENATE(K142," ",J142)</f>
        <v>GREGORY TEIPEL</v>
      </c>
      <c r="M142" t="s">
        <v>57</v>
      </c>
      <c r="N142" s="1">
        <v>46159</v>
      </c>
      <c r="P142" s="1">
        <v>46220</v>
      </c>
      <c r="Q142" s="2">
        <v>57.08</v>
      </c>
      <c r="R142" t="s">
        <v>58</v>
      </c>
      <c r="S142" s="3">
        <v>0.9</v>
      </c>
      <c r="T142" t="s">
        <v>60</v>
      </c>
      <c r="U142" t="s">
        <v>239</v>
      </c>
      <c r="V142" s="2">
        <v>51.37</v>
      </c>
      <c r="W142" s="2">
        <v>0</v>
      </c>
      <c r="X142" s="2">
        <v>0</v>
      </c>
      <c r="Y142" t="s">
        <v>238</v>
      </c>
      <c r="Z142" t="s">
        <v>1062</v>
      </c>
    </row>
    <row r="143" spans="1:26" x14ac:dyDescent="0.25">
      <c r="A143">
        <v>2034542883</v>
      </c>
      <c r="B143" t="s">
        <v>691</v>
      </c>
      <c r="C143" t="s">
        <v>692</v>
      </c>
      <c r="D143" t="str">
        <f>CONCATENATE(C143," ",B143)</f>
        <v>DAKOTA GAITHER</v>
      </c>
      <c r="E143" t="s">
        <v>245</v>
      </c>
      <c r="F143" t="s">
        <v>71</v>
      </c>
      <c r="G143" t="s">
        <v>78</v>
      </c>
      <c r="H143" t="s">
        <v>997</v>
      </c>
      <c r="I143" s="11">
        <v>1706194</v>
      </c>
      <c r="J143" t="s">
        <v>619</v>
      </c>
      <c r="K143" t="s">
        <v>256</v>
      </c>
      <c r="L143" t="str">
        <f>CONCATENATE(K143," ",J143)</f>
        <v>MATTHEW DAUGHERTY</v>
      </c>
      <c r="M143" t="s">
        <v>57</v>
      </c>
      <c r="N143" s="1">
        <v>46118</v>
      </c>
      <c r="P143" s="1">
        <v>46209</v>
      </c>
      <c r="Q143" s="2">
        <v>44.25</v>
      </c>
      <c r="R143" t="s">
        <v>58</v>
      </c>
      <c r="S143" s="3">
        <v>0.9</v>
      </c>
      <c r="T143" t="s">
        <v>60</v>
      </c>
      <c r="U143" t="s">
        <v>239</v>
      </c>
      <c r="V143" s="2">
        <v>39.82</v>
      </c>
      <c r="W143" s="2">
        <v>0</v>
      </c>
      <c r="X143" s="2">
        <v>0</v>
      </c>
      <c r="Y143" t="s">
        <v>238</v>
      </c>
      <c r="Z143" t="s">
        <v>1062</v>
      </c>
    </row>
    <row r="144" spans="1:26" x14ac:dyDescent="0.25">
      <c r="A144">
        <v>2033132189</v>
      </c>
      <c r="B144" t="s">
        <v>629</v>
      </c>
      <c r="C144" t="s">
        <v>630</v>
      </c>
      <c r="D144" t="str">
        <f>CONCATENATE(C144," ",B144)</f>
        <v>ANDREW WATSON</v>
      </c>
      <c r="E144" t="s">
        <v>209</v>
      </c>
      <c r="F144" t="s">
        <v>71</v>
      </c>
      <c r="G144" t="s">
        <v>78</v>
      </c>
      <c r="H144" t="s">
        <v>997</v>
      </c>
      <c r="I144" s="11">
        <v>20724564</v>
      </c>
      <c r="J144" t="s">
        <v>229</v>
      </c>
      <c r="K144" t="s">
        <v>230</v>
      </c>
      <c r="L144" t="str">
        <f>CONCATENATE(K144," ",J144)</f>
        <v>Marsha Sanderock</v>
      </c>
      <c r="M144" t="s">
        <v>57</v>
      </c>
      <c r="N144" s="1">
        <v>46037</v>
      </c>
      <c r="P144" s="1">
        <v>46218</v>
      </c>
      <c r="Q144" s="2">
        <v>33.590000000000003</v>
      </c>
      <c r="R144" t="s">
        <v>58</v>
      </c>
      <c r="S144" s="3">
        <v>0.9</v>
      </c>
      <c r="T144" t="s">
        <v>60</v>
      </c>
      <c r="U144" t="s">
        <v>239</v>
      </c>
      <c r="V144" s="2">
        <v>30.23</v>
      </c>
      <c r="W144" s="2">
        <v>0</v>
      </c>
      <c r="X144" s="2">
        <v>0</v>
      </c>
      <c r="Y144" t="s">
        <v>238</v>
      </c>
      <c r="Z144" t="s">
        <v>1064</v>
      </c>
    </row>
    <row r="145" spans="1:26" x14ac:dyDescent="0.25">
      <c r="A145">
        <v>2033684746</v>
      </c>
      <c r="B145" t="s">
        <v>657</v>
      </c>
      <c r="C145" t="s">
        <v>446</v>
      </c>
      <c r="D145" t="str">
        <f>CONCATENATE(C145," ",B145)</f>
        <v>DANIEL OLAGUE</v>
      </c>
      <c r="E145" t="s">
        <v>305</v>
      </c>
      <c r="F145" t="s">
        <v>71</v>
      </c>
      <c r="G145" t="s">
        <v>78</v>
      </c>
      <c r="H145" t="s">
        <v>997</v>
      </c>
      <c r="I145" s="11" t="s">
        <v>1020</v>
      </c>
      <c r="J145" t="s">
        <v>312</v>
      </c>
      <c r="K145" t="s">
        <v>313</v>
      </c>
      <c r="L145" t="str">
        <f>CONCATENATE(K145," ",J145)</f>
        <v>Heather Geske</v>
      </c>
      <c r="M145" t="s">
        <v>57</v>
      </c>
      <c r="N145" s="1">
        <v>46070</v>
      </c>
      <c r="P145" s="1">
        <v>46220</v>
      </c>
      <c r="Q145" s="2">
        <v>32.630000000000003</v>
      </c>
      <c r="R145" t="s">
        <v>58</v>
      </c>
      <c r="S145" s="3">
        <v>0.9</v>
      </c>
      <c r="T145" t="s">
        <v>60</v>
      </c>
      <c r="U145" t="s">
        <v>239</v>
      </c>
      <c r="V145" s="2">
        <v>29.37</v>
      </c>
      <c r="W145" s="2">
        <v>0</v>
      </c>
      <c r="X145" s="2">
        <v>0</v>
      </c>
      <c r="Y145" t="s">
        <v>238</v>
      </c>
      <c r="Z145" t="s">
        <v>1063</v>
      </c>
    </row>
    <row r="146" spans="1:26" x14ac:dyDescent="0.25">
      <c r="A146">
        <v>2035482790</v>
      </c>
      <c r="B146" t="s">
        <v>841</v>
      </c>
      <c r="C146" t="s">
        <v>172</v>
      </c>
      <c r="D146" t="str">
        <f>CONCATENATE(C146," ",B146)</f>
        <v>THOMAS MCTEAR</v>
      </c>
      <c r="E146" t="s">
        <v>193</v>
      </c>
      <c r="F146" t="s">
        <v>71</v>
      </c>
      <c r="G146" t="s">
        <v>78</v>
      </c>
      <c r="H146" t="s">
        <v>997</v>
      </c>
      <c r="I146" s="11">
        <v>9079571</v>
      </c>
      <c r="J146" t="s">
        <v>64</v>
      </c>
      <c r="K146" t="s">
        <v>236</v>
      </c>
      <c r="L146" t="str">
        <f>CONCATENATE(K146," ",J146)</f>
        <v>ADAM RICHTER</v>
      </c>
      <c r="M146" t="s">
        <v>57</v>
      </c>
      <c r="N146" s="1">
        <v>46157</v>
      </c>
      <c r="P146" s="1">
        <v>46218</v>
      </c>
      <c r="Q146" s="2">
        <v>32.630000000000003</v>
      </c>
      <c r="R146" t="s">
        <v>58</v>
      </c>
      <c r="S146" s="3">
        <v>0.9</v>
      </c>
      <c r="T146" t="s">
        <v>60</v>
      </c>
      <c r="U146" t="s">
        <v>239</v>
      </c>
      <c r="V146" s="2">
        <v>29.37</v>
      </c>
      <c r="W146" s="2">
        <v>0</v>
      </c>
      <c r="X146" s="2">
        <v>0</v>
      </c>
      <c r="Y146" t="s">
        <v>238</v>
      </c>
      <c r="Z146" t="s">
        <v>1062</v>
      </c>
    </row>
    <row r="147" spans="1:26" x14ac:dyDescent="0.25">
      <c r="A147">
        <v>2033088374</v>
      </c>
      <c r="B147" t="s">
        <v>614</v>
      </c>
      <c r="C147" t="s">
        <v>615</v>
      </c>
      <c r="D147" t="str">
        <f>CONCATENATE(C147," ",B147)</f>
        <v>MERISSA WILLIE</v>
      </c>
      <c r="E147" t="s">
        <v>193</v>
      </c>
      <c r="F147" t="s">
        <v>71</v>
      </c>
      <c r="G147" t="s">
        <v>78</v>
      </c>
      <c r="H147" t="s">
        <v>997</v>
      </c>
      <c r="I147" s="11" t="s">
        <v>1021</v>
      </c>
      <c r="J147" t="s">
        <v>195</v>
      </c>
      <c r="K147" t="s">
        <v>196</v>
      </c>
      <c r="L147" t="str">
        <f>CONCATENATE(K147," ",J147)</f>
        <v>Ronald Max</v>
      </c>
      <c r="M147" t="s">
        <v>57</v>
      </c>
      <c r="N147" s="1">
        <v>46038</v>
      </c>
      <c r="P147" s="1">
        <v>46219</v>
      </c>
      <c r="Q147" s="2">
        <v>27.5</v>
      </c>
      <c r="R147" t="s">
        <v>58</v>
      </c>
      <c r="S147" s="3">
        <v>0.9</v>
      </c>
      <c r="T147" t="s">
        <v>60</v>
      </c>
      <c r="U147" t="s">
        <v>239</v>
      </c>
      <c r="V147" s="2">
        <v>24.75</v>
      </c>
      <c r="W147" s="2">
        <v>0</v>
      </c>
      <c r="X147" s="2">
        <v>0</v>
      </c>
      <c r="Y147" t="s">
        <v>238</v>
      </c>
      <c r="Z147" t="s">
        <v>1062</v>
      </c>
    </row>
    <row r="148" spans="1:26" x14ac:dyDescent="0.25">
      <c r="A148">
        <v>2033170077</v>
      </c>
      <c r="B148" t="s">
        <v>636</v>
      </c>
      <c r="C148" t="s">
        <v>477</v>
      </c>
      <c r="D148" t="str">
        <f>CONCATENATE(C148," ",B148)</f>
        <v>KATHERINE CEZAR</v>
      </c>
      <c r="E148" t="s">
        <v>193</v>
      </c>
      <c r="F148" t="s">
        <v>71</v>
      </c>
      <c r="G148" t="s">
        <v>78</v>
      </c>
      <c r="H148" t="s">
        <v>997</v>
      </c>
      <c r="I148" s="11">
        <v>9079571</v>
      </c>
      <c r="J148" t="s">
        <v>64</v>
      </c>
      <c r="K148" t="s">
        <v>236</v>
      </c>
      <c r="L148" t="str">
        <f>CONCATENATE(K148," ",J148)</f>
        <v>ADAM RICHTER</v>
      </c>
      <c r="M148" t="s">
        <v>57</v>
      </c>
      <c r="N148" s="1">
        <v>46038</v>
      </c>
      <c r="P148" s="1">
        <v>46219</v>
      </c>
      <c r="Q148" s="2">
        <v>26.54</v>
      </c>
      <c r="R148" t="s">
        <v>58</v>
      </c>
      <c r="S148" s="3">
        <v>0.9</v>
      </c>
      <c r="T148" t="s">
        <v>60</v>
      </c>
      <c r="U148" t="s">
        <v>239</v>
      </c>
      <c r="V148" s="2">
        <v>23.89</v>
      </c>
      <c r="W148" s="2">
        <v>0</v>
      </c>
      <c r="X148" s="2">
        <v>0</v>
      </c>
      <c r="Y148" t="s">
        <v>238</v>
      </c>
      <c r="Z148" t="s">
        <v>1062</v>
      </c>
    </row>
    <row r="149" spans="1:26" x14ac:dyDescent="0.25">
      <c r="A149">
        <v>2034384323</v>
      </c>
      <c r="B149" t="s">
        <v>683</v>
      </c>
      <c r="C149" t="s">
        <v>256</v>
      </c>
      <c r="D149" t="str">
        <f>CONCATENATE(C149," ",B149)</f>
        <v>MATTHEW TITUS</v>
      </c>
      <c r="E149" t="s">
        <v>245</v>
      </c>
      <c r="F149" t="s">
        <v>71</v>
      </c>
      <c r="G149" t="s">
        <v>78</v>
      </c>
      <c r="H149" t="s">
        <v>997</v>
      </c>
      <c r="I149" s="11">
        <v>21435997</v>
      </c>
      <c r="J149" t="s">
        <v>444</v>
      </c>
      <c r="K149" t="s">
        <v>445</v>
      </c>
      <c r="L149" t="str">
        <f>CONCATENATE(K149," ",J149)</f>
        <v>Christopher Brousseau</v>
      </c>
      <c r="M149" t="s">
        <v>57</v>
      </c>
      <c r="N149" s="1">
        <v>46098</v>
      </c>
      <c r="P149" s="1">
        <v>46220</v>
      </c>
      <c r="Q149" s="2">
        <v>16.940000000000001</v>
      </c>
      <c r="R149" t="s">
        <v>58</v>
      </c>
      <c r="S149" s="3">
        <v>0.9</v>
      </c>
      <c r="T149" t="s">
        <v>60</v>
      </c>
      <c r="U149" t="s">
        <v>239</v>
      </c>
      <c r="V149" s="2">
        <v>15.25</v>
      </c>
      <c r="W149" s="2">
        <v>0</v>
      </c>
      <c r="X149" s="2">
        <v>0</v>
      </c>
      <c r="Y149" t="s">
        <v>238</v>
      </c>
      <c r="Z149" t="s">
        <v>1062</v>
      </c>
    </row>
    <row r="150" spans="1:26" x14ac:dyDescent="0.25">
      <c r="A150">
        <v>2033621992</v>
      </c>
      <c r="B150" t="s">
        <v>187</v>
      </c>
      <c r="C150" t="s">
        <v>650</v>
      </c>
      <c r="D150" t="str">
        <f>CONCATENATE(C150," ",B150)</f>
        <v>SAVANNAH BERRY</v>
      </c>
      <c r="E150" t="s">
        <v>209</v>
      </c>
      <c r="F150" t="s">
        <v>71</v>
      </c>
      <c r="G150" t="s">
        <v>78</v>
      </c>
      <c r="H150" t="s">
        <v>997</v>
      </c>
      <c r="I150" s="11" t="s">
        <v>1045</v>
      </c>
      <c r="J150" t="s">
        <v>651</v>
      </c>
      <c r="K150" t="s">
        <v>652</v>
      </c>
      <c r="L150" t="str">
        <f>CONCATENATE(K150," ",J150)</f>
        <v>Danna Green</v>
      </c>
      <c r="M150" t="s">
        <v>57</v>
      </c>
      <c r="N150" s="1">
        <v>46066</v>
      </c>
      <c r="P150" s="1">
        <v>46216</v>
      </c>
      <c r="Q150" s="2">
        <v>16.600000000000001</v>
      </c>
      <c r="R150" t="s">
        <v>58</v>
      </c>
      <c r="S150" s="3">
        <v>0.9</v>
      </c>
      <c r="T150" t="s">
        <v>60</v>
      </c>
      <c r="U150" t="s">
        <v>239</v>
      </c>
      <c r="V150" s="2">
        <v>14.94</v>
      </c>
      <c r="W150" s="2">
        <v>0</v>
      </c>
      <c r="X150" s="2">
        <v>0</v>
      </c>
      <c r="Y150" t="s">
        <v>238</v>
      </c>
      <c r="Z150" t="s">
        <v>1063</v>
      </c>
    </row>
    <row r="151" spans="1:26" x14ac:dyDescent="0.25">
      <c r="A151">
        <v>2020174611</v>
      </c>
      <c r="B151" t="s">
        <v>297</v>
      </c>
      <c r="C151" t="s">
        <v>298</v>
      </c>
      <c r="D151" t="str">
        <f>CONCATENATE(C151," ",B151)</f>
        <v>DENISE JEROUSEK</v>
      </c>
      <c r="E151" t="s">
        <v>193</v>
      </c>
      <c r="F151" t="s">
        <v>71</v>
      </c>
      <c r="G151" t="s">
        <v>78</v>
      </c>
      <c r="H151" t="s">
        <v>997</v>
      </c>
      <c r="I151" s="11">
        <v>9079571</v>
      </c>
      <c r="J151" t="s">
        <v>64</v>
      </c>
      <c r="K151" t="s">
        <v>236</v>
      </c>
      <c r="L151" t="str">
        <f>CONCATENATE(K151," ",J151)</f>
        <v>ADAM RICHTER</v>
      </c>
      <c r="M151" t="s">
        <v>57</v>
      </c>
      <c r="N151" s="1">
        <v>45214</v>
      </c>
      <c r="P151" s="1">
        <v>46218</v>
      </c>
      <c r="Q151" s="2">
        <v>246.44</v>
      </c>
      <c r="R151" t="s">
        <v>58</v>
      </c>
      <c r="S151" s="3">
        <v>0.1</v>
      </c>
      <c r="T151" t="s">
        <v>238</v>
      </c>
      <c r="U151" t="s">
        <v>239</v>
      </c>
      <c r="V151" s="2">
        <v>24.64</v>
      </c>
      <c r="W151" s="2">
        <v>24.64</v>
      </c>
      <c r="X151" s="2">
        <v>24.64</v>
      </c>
      <c r="Y151" t="s">
        <v>238</v>
      </c>
      <c r="Z151" t="s">
        <v>1062</v>
      </c>
    </row>
    <row r="152" spans="1:26" x14ac:dyDescent="0.25">
      <c r="A152">
        <v>2021470574</v>
      </c>
      <c r="B152" t="s">
        <v>299</v>
      </c>
      <c r="C152" t="s">
        <v>300</v>
      </c>
      <c r="D152" t="str">
        <f>CONCATENATE(C152," ",B152)</f>
        <v>LIUV SUAREZ</v>
      </c>
      <c r="E152" t="s">
        <v>119</v>
      </c>
      <c r="F152" t="s">
        <v>71</v>
      </c>
      <c r="G152" t="s">
        <v>78</v>
      </c>
      <c r="H152" t="s">
        <v>997</v>
      </c>
      <c r="I152" s="11">
        <v>8307933</v>
      </c>
      <c r="J152" t="s">
        <v>79</v>
      </c>
      <c r="K152" t="s">
        <v>80</v>
      </c>
      <c r="L152" t="str">
        <f>CONCATENATE(K152," ",J152)</f>
        <v>GREGORY TEIPEL</v>
      </c>
      <c r="M152" t="s">
        <v>57</v>
      </c>
      <c r="N152" s="1">
        <v>45341</v>
      </c>
      <c r="P152" s="1">
        <v>46222</v>
      </c>
      <c r="Q152" s="2">
        <v>103.16</v>
      </c>
      <c r="R152" t="s">
        <v>58</v>
      </c>
      <c r="S152" s="3">
        <v>0.1</v>
      </c>
      <c r="T152" t="s">
        <v>238</v>
      </c>
      <c r="U152" t="s">
        <v>239</v>
      </c>
      <c r="V152" s="2">
        <v>10.32</v>
      </c>
      <c r="W152" s="2">
        <v>10.32</v>
      </c>
      <c r="X152" s="2">
        <v>10.32</v>
      </c>
      <c r="Y152" t="s">
        <v>238</v>
      </c>
      <c r="Z152" t="s">
        <v>1062</v>
      </c>
    </row>
    <row r="153" spans="1:26" x14ac:dyDescent="0.25">
      <c r="A153">
        <v>2024834573</v>
      </c>
      <c r="B153" t="s">
        <v>301</v>
      </c>
      <c r="C153" t="s">
        <v>252</v>
      </c>
      <c r="D153" t="str">
        <f>CONCATENATE(C153," ",B153)</f>
        <v>SARAH PHILLIPS</v>
      </c>
      <c r="E153" t="s">
        <v>170</v>
      </c>
      <c r="F153" t="s">
        <v>71</v>
      </c>
      <c r="G153" t="s">
        <v>78</v>
      </c>
      <c r="H153" t="s">
        <v>997</v>
      </c>
      <c r="I153" s="11" t="s">
        <v>1016</v>
      </c>
      <c r="J153" t="s">
        <v>171</v>
      </c>
      <c r="K153" t="s">
        <v>172</v>
      </c>
      <c r="L153" t="str">
        <f>CONCATENATE(K153," ",J153)</f>
        <v>THOMAS PARDUE</v>
      </c>
      <c r="M153" t="s">
        <v>57</v>
      </c>
      <c r="N153" s="1">
        <v>45549</v>
      </c>
      <c r="P153" s="1">
        <v>46217</v>
      </c>
      <c r="Q153" s="2">
        <v>41.42</v>
      </c>
      <c r="R153" t="s">
        <v>58</v>
      </c>
      <c r="S153" s="3">
        <v>0.1</v>
      </c>
      <c r="T153" t="s">
        <v>238</v>
      </c>
      <c r="U153" t="s">
        <v>239</v>
      </c>
      <c r="V153" s="2">
        <v>4.1399999999999997</v>
      </c>
      <c r="W153" s="2">
        <v>4.1399999999999997</v>
      </c>
      <c r="X153" s="2">
        <v>4.1399999999999997</v>
      </c>
      <c r="Y153" t="s">
        <v>238</v>
      </c>
      <c r="Z153" t="s">
        <v>1062</v>
      </c>
    </row>
    <row r="154" spans="1:26" x14ac:dyDescent="0.25">
      <c r="A154">
        <v>2025316510</v>
      </c>
      <c r="B154" t="s">
        <v>302</v>
      </c>
      <c r="C154" t="s">
        <v>63</v>
      </c>
      <c r="D154" t="str">
        <f>CONCATENATE(C154," ",B154)</f>
        <v>JORDAN ROWELL</v>
      </c>
      <c r="E154" t="s">
        <v>186</v>
      </c>
      <c r="F154" t="s">
        <v>71</v>
      </c>
      <c r="G154" t="s">
        <v>78</v>
      </c>
      <c r="H154" t="s">
        <v>997</v>
      </c>
      <c r="I154" s="11" t="s">
        <v>1016</v>
      </c>
      <c r="J154" t="s">
        <v>171</v>
      </c>
      <c r="K154" t="s">
        <v>172</v>
      </c>
      <c r="L154" t="str">
        <f>CONCATENATE(K154," ",J154)</f>
        <v>THOMAS PARDUE</v>
      </c>
      <c r="M154" t="s">
        <v>57</v>
      </c>
      <c r="N154" s="1">
        <v>45580</v>
      </c>
      <c r="P154" s="1">
        <v>46218</v>
      </c>
      <c r="Q154" s="2">
        <v>19.309999999999999</v>
      </c>
      <c r="R154" t="s">
        <v>58</v>
      </c>
      <c r="S154" s="3">
        <v>0.1</v>
      </c>
      <c r="T154" t="s">
        <v>238</v>
      </c>
      <c r="U154" t="s">
        <v>239</v>
      </c>
      <c r="V154" s="2">
        <v>1.93</v>
      </c>
      <c r="W154" s="2">
        <v>1.93</v>
      </c>
      <c r="X154" s="2">
        <v>1.93</v>
      </c>
      <c r="Y154" t="s">
        <v>238</v>
      </c>
      <c r="Z154" t="s">
        <v>1062</v>
      </c>
    </row>
    <row r="155" spans="1:26" x14ac:dyDescent="0.25">
      <c r="A155">
        <v>2025820174</v>
      </c>
      <c r="B155" t="s">
        <v>303</v>
      </c>
      <c r="C155" t="s">
        <v>304</v>
      </c>
      <c r="D155" t="str">
        <f>CONCATENATE(C155," ",B155)</f>
        <v>MERIWTHER HARDIE</v>
      </c>
      <c r="E155" t="s">
        <v>305</v>
      </c>
      <c r="F155" t="s">
        <v>71</v>
      </c>
      <c r="G155" t="s">
        <v>78</v>
      </c>
      <c r="H155" t="s">
        <v>997</v>
      </c>
      <c r="I155" s="11">
        <v>21313588</v>
      </c>
      <c r="J155" t="s">
        <v>306</v>
      </c>
      <c r="K155" t="s">
        <v>307</v>
      </c>
      <c r="L155" t="str">
        <f>CONCATENATE(K155," ",J155)</f>
        <v>WILLIAM GESKE</v>
      </c>
      <c r="M155" t="s">
        <v>57</v>
      </c>
      <c r="N155" s="1">
        <v>45615</v>
      </c>
      <c r="P155" s="1">
        <v>46222</v>
      </c>
      <c r="Q155" s="2">
        <v>40.21</v>
      </c>
      <c r="R155" t="s">
        <v>58</v>
      </c>
      <c r="S155" s="3">
        <v>0.1</v>
      </c>
      <c r="T155" t="s">
        <v>238</v>
      </c>
      <c r="U155" t="s">
        <v>239</v>
      </c>
      <c r="V155" s="2">
        <v>4.0199999999999996</v>
      </c>
      <c r="W155" s="2">
        <v>4.0199999999999996</v>
      </c>
      <c r="X155" s="2">
        <v>4.0199999999999996</v>
      </c>
      <c r="Y155" t="s">
        <v>238</v>
      </c>
      <c r="Z155" t="s">
        <v>1062</v>
      </c>
    </row>
    <row r="156" spans="1:26" x14ac:dyDescent="0.25">
      <c r="A156">
        <v>2026617754</v>
      </c>
      <c r="B156" t="s">
        <v>318</v>
      </c>
      <c r="C156" t="s">
        <v>172</v>
      </c>
      <c r="D156" t="str">
        <f>CONCATENATE(C156," ",B156)</f>
        <v>THOMAS CARROLL</v>
      </c>
      <c r="E156" t="s">
        <v>292</v>
      </c>
      <c r="F156" t="s">
        <v>71</v>
      </c>
      <c r="G156" t="s">
        <v>78</v>
      </c>
      <c r="H156" t="s">
        <v>997</v>
      </c>
      <c r="I156" s="11" t="s">
        <v>1016</v>
      </c>
      <c r="J156" t="s">
        <v>171</v>
      </c>
      <c r="K156" t="s">
        <v>172</v>
      </c>
      <c r="L156" t="str">
        <f>CONCATENATE(K156," ",J156)</f>
        <v>THOMAS PARDUE</v>
      </c>
      <c r="M156" t="s">
        <v>57</v>
      </c>
      <c r="N156" s="1">
        <v>45673</v>
      </c>
      <c r="P156" s="1">
        <v>46219</v>
      </c>
      <c r="Q156" s="2">
        <v>72.290000000000006</v>
      </c>
      <c r="R156" t="s">
        <v>58</v>
      </c>
      <c r="S156" s="3">
        <v>0.1</v>
      </c>
      <c r="T156" t="s">
        <v>238</v>
      </c>
      <c r="U156" t="s">
        <v>239</v>
      </c>
      <c r="V156" s="2">
        <v>7.23</v>
      </c>
      <c r="W156" s="2">
        <v>7.23</v>
      </c>
      <c r="X156" s="2">
        <v>7.23</v>
      </c>
      <c r="Y156" t="s">
        <v>238</v>
      </c>
      <c r="Z156" t="s">
        <v>1062</v>
      </c>
    </row>
    <row r="157" spans="1:26" x14ac:dyDescent="0.25">
      <c r="A157">
        <v>2027115500</v>
      </c>
      <c r="B157" t="s">
        <v>319</v>
      </c>
      <c r="C157" t="s">
        <v>320</v>
      </c>
      <c r="D157" t="str">
        <f>CONCATENATE(C157," ",B157)</f>
        <v>MADELYN CLEAVE</v>
      </c>
      <c r="E157" t="s">
        <v>119</v>
      </c>
      <c r="F157" t="s">
        <v>71</v>
      </c>
      <c r="G157" t="s">
        <v>78</v>
      </c>
      <c r="H157" t="s">
        <v>997</v>
      </c>
      <c r="I157" s="11">
        <v>16912722</v>
      </c>
      <c r="J157" t="s">
        <v>321</v>
      </c>
      <c r="K157" t="s">
        <v>94</v>
      </c>
      <c r="L157" t="str">
        <f>CONCATENATE(K157," ",J157)</f>
        <v>ANDREA PETRUNGARO</v>
      </c>
      <c r="M157" t="s">
        <v>57</v>
      </c>
      <c r="N157" s="1">
        <v>45703</v>
      </c>
      <c r="P157" s="1">
        <v>46218</v>
      </c>
      <c r="Q157" s="2">
        <v>13.92</v>
      </c>
      <c r="R157" t="s">
        <v>58</v>
      </c>
      <c r="S157" s="3">
        <v>0.1</v>
      </c>
      <c r="T157" t="s">
        <v>238</v>
      </c>
      <c r="U157" t="s">
        <v>239</v>
      </c>
      <c r="V157" s="2">
        <v>1.39</v>
      </c>
      <c r="W157" s="2">
        <v>1.39</v>
      </c>
      <c r="X157" s="2">
        <v>1.39</v>
      </c>
      <c r="Y157" t="s">
        <v>238</v>
      </c>
      <c r="Z157" t="s">
        <v>1062</v>
      </c>
    </row>
    <row r="158" spans="1:26" x14ac:dyDescent="0.25">
      <c r="A158">
        <v>2028958358</v>
      </c>
      <c r="B158" t="s">
        <v>334</v>
      </c>
      <c r="C158" t="s">
        <v>335</v>
      </c>
      <c r="D158" t="str">
        <f>CONCATENATE(C158," ",B158)</f>
        <v>DAVID WRING</v>
      </c>
      <c r="E158" t="s">
        <v>119</v>
      </c>
      <c r="F158" t="s">
        <v>71</v>
      </c>
      <c r="G158" t="s">
        <v>78</v>
      </c>
      <c r="H158" t="s">
        <v>997</v>
      </c>
      <c r="I158" s="11">
        <v>8977234</v>
      </c>
      <c r="J158" t="s">
        <v>85</v>
      </c>
      <c r="K158" t="s">
        <v>86</v>
      </c>
      <c r="L158" t="str">
        <f>CONCATENATE(K158," ",J158)</f>
        <v>RYAN CALTAGIRONE</v>
      </c>
      <c r="M158" t="s">
        <v>57</v>
      </c>
      <c r="N158" s="1">
        <v>45793</v>
      </c>
      <c r="P158" s="1">
        <v>46219</v>
      </c>
      <c r="Q158" s="2">
        <v>50.96</v>
      </c>
      <c r="R158" t="s">
        <v>58</v>
      </c>
      <c r="S158" s="3">
        <v>0.1</v>
      </c>
      <c r="T158" t="s">
        <v>238</v>
      </c>
      <c r="U158" t="s">
        <v>239</v>
      </c>
      <c r="V158" s="2">
        <v>5.0999999999999996</v>
      </c>
      <c r="W158" s="2">
        <v>5.0999999999999996</v>
      </c>
      <c r="X158" s="2">
        <v>5.0999999999999996</v>
      </c>
      <c r="Y158" t="s">
        <v>238</v>
      </c>
      <c r="Z158" t="s">
        <v>1062</v>
      </c>
    </row>
    <row r="159" spans="1:26" x14ac:dyDescent="0.25">
      <c r="A159">
        <v>2030450006</v>
      </c>
      <c r="B159" t="s">
        <v>351</v>
      </c>
      <c r="C159" t="s">
        <v>352</v>
      </c>
      <c r="D159" t="str">
        <f>CONCATENATE(C159," ",B159)</f>
        <v>URSULA EDELENBOS</v>
      </c>
      <c r="E159" t="s">
        <v>193</v>
      </c>
      <c r="F159" t="s">
        <v>71</v>
      </c>
      <c r="G159" t="s">
        <v>78</v>
      </c>
      <c r="H159" t="s">
        <v>997</v>
      </c>
      <c r="I159" s="11" t="s">
        <v>1021</v>
      </c>
      <c r="J159" t="s">
        <v>195</v>
      </c>
      <c r="K159" t="s">
        <v>196</v>
      </c>
      <c r="L159" t="str">
        <f>CONCATENATE(K159," ",J159)</f>
        <v>Ronald Max</v>
      </c>
      <c r="M159" t="s">
        <v>57</v>
      </c>
      <c r="N159" s="1">
        <v>45888</v>
      </c>
      <c r="P159" s="1">
        <v>46222</v>
      </c>
      <c r="Q159" s="2">
        <v>30.8</v>
      </c>
      <c r="R159" t="s">
        <v>58</v>
      </c>
      <c r="S159" s="3">
        <v>0.9</v>
      </c>
      <c r="T159" t="s">
        <v>60</v>
      </c>
      <c r="U159" t="s">
        <v>239</v>
      </c>
      <c r="V159" s="2">
        <v>27.72</v>
      </c>
      <c r="W159" s="2">
        <v>27.72</v>
      </c>
      <c r="X159" s="2">
        <v>27.72</v>
      </c>
      <c r="Y159" t="s">
        <v>238</v>
      </c>
      <c r="Z159" t="s">
        <v>1062</v>
      </c>
    </row>
    <row r="160" spans="1:26" x14ac:dyDescent="0.25">
      <c r="A160">
        <v>2030463473</v>
      </c>
      <c r="B160" t="s">
        <v>355</v>
      </c>
      <c r="C160" t="s">
        <v>356</v>
      </c>
      <c r="D160" t="str">
        <f>CONCATENATE(C160," ",B160)</f>
        <v>THUHA GIANG</v>
      </c>
      <c r="E160" t="s">
        <v>193</v>
      </c>
      <c r="F160" t="s">
        <v>71</v>
      </c>
      <c r="G160" t="s">
        <v>78</v>
      </c>
      <c r="H160" t="s">
        <v>997</v>
      </c>
      <c r="I160" s="11" t="s">
        <v>1021</v>
      </c>
      <c r="J160" t="s">
        <v>195</v>
      </c>
      <c r="K160" t="s">
        <v>196</v>
      </c>
      <c r="L160" t="str">
        <f>CONCATENATE(K160," ",J160)</f>
        <v>Ronald Max</v>
      </c>
      <c r="M160" t="s">
        <v>57</v>
      </c>
      <c r="N160" s="1">
        <v>45885</v>
      </c>
      <c r="P160" s="1">
        <v>46219</v>
      </c>
      <c r="Q160" s="2">
        <v>149.66999999999999</v>
      </c>
      <c r="R160" t="s">
        <v>58</v>
      </c>
      <c r="S160" s="3">
        <v>0.9</v>
      </c>
      <c r="T160" t="s">
        <v>60</v>
      </c>
      <c r="U160" t="s">
        <v>239</v>
      </c>
      <c r="V160" s="2">
        <v>134.69999999999999</v>
      </c>
      <c r="W160" s="2">
        <v>134.69999999999999</v>
      </c>
      <c r="X160" s="2">
        <v>134.69999999999999</v>
      </c>
      <c r="Y160" t="s">
        <v>238</v>
      </c>
      <c r="Z160" t="s">
        <v>1062</v>
      </c>
    </row>
    <row r="161" spans="1:26" x14ac:dyDescent="0.25">
      <c r="A161">
        <v>2030474901</v>
      </c>
      <c r="B161" t="s">
        <v>357</v>
      </c>
      <c r="C161" t="s">
        <v>358</v>
      </c>
      <c r="D161" t="str">
        <f>CONCATENATE(C161," ",B161)</f>
        <v>LATONYS THOMPSON</v>
      </c>
      <c r="E161" t="s">
        <v>292</v>
      </c>
      <c r="F161" t="s">
        <v>71</v>
      </c>
      <c r="G161" t="s">
        <v>78</v>
      </c>
      <c r="H161" t="s">
        <v>997</v>
      </c>
      <c r="I161" s="11" t="s">
        <v>1022</v>
      </c>
      <c r="J161" t="s">
        <v>171</v>
      </c>
      <c r="K161" t="s">
        <v>172</v>
      </c>
      <c r="L161" t="str">
        <f>CONCATENATE(K161," ",J161)</f>
        <v>THOMAS PARDUE</v>
      </c>
      <c r="M161" t="s">
        <v>57</v>
      </c>
      <c r="N161" s="1">
        <v>45883</v>
      </c>
      <c r="P161" s="1">
        <v>46217</v>
      </c>
      <c r="Q161" s="2">
        <v>104.71</v>
      </c>
      <c r="R161" t="s">
        <v>58</v>
      </c>
      <c r="S161" s="3">
        <v>0.9</v>
      </c>
      <c r="T161" t="s">
        <v>60</v>
      </c>
      <c r="U161" t="s">
        <v>239</v>
      </c>
      <c r="V161" s="2">
        <v>94.24</v>
      </c>
      <c r="W161" s="2">
        <v>94.24</v>
      </c>
      <c r="X161" s="2">
        <v>94.24</v>
      </c>
      <c r="Y161" t="s">
        <v>238</v>
      </c>
      <c r="Z161" t="s">
        <v>1062</v>
      </c>
    </row>
    <row r="162" spans="1:26" x14ac:dyDescent="0.25">
      <c r="A162">
        <v>2030488872</v>
      </c>
      <c r="B162" t="s">
        <v>359</v>
      </c>
      <c r="C162" t="s">
        <v>360</v>
      </c>
      <c r="D162" t="str">
        <f>CONCATENATE(C162," ",B162)</f>
        <v>KAI BARNES</v>
      </c>
      <c r="E162" t="s">
        <v>193</v>
      </c>
      <c r="F162" t="s">
        <v>71</v>
      </c>
      <c r="G162" t="s">
        <v>78</v>
      </c>
      <c r="H162" t="s">
        <v>997</v>
      </c>
      <c r="I162" s="11" t="s">
        <v>1021</v>
      </c>
      <c r="J162" t="s">
        <v>195</v>
      </c>
      <c r="K162" t="s">
        <v>196</v>
      </c>
      <c r="L162" t="str">
        <f>CONCATENATE(K162," ",J162)</f>
        <v>Ronald Max</v>
      </c>
      <c r="M162" t="s">
        <v>57</v>
      </c>
      <c r="N162" s="1">
        <v>45884</v>
      </c>
      <c r="P162" s="1">
        <v>46218</v>
      </c>
      <c r="Q162" s="2">
        <v>46.94</v>
      </c>
      <c r="R162" t="s">
        <v>58</v>
      </c>
      <c r="S162" s="3">
        <v>0.9</v>
      </c>
      <c r="T162" t="s">
        <v>60</v>
      </c>
      <c r="U162" t="s">
        <v>239</v>
      </c>
      <c r="V162" s="2">
        <v>42.25</v>
      </c>
      <c r="W162" s="2">
        <v>42.25</v>
      </c>
      <c r="X162" s="2">
        <v>42.25</v>
      </c>
      <c r="Y162" t="s">
        <v>238</v>
      </c>
      <c r="Z162" t="s">
        <v>1062</v>
      </c>
    </row>
    <row r="163" spans="1:26" x14ac:dyDescent="0.25">
      <c r="A163">
        <v>2030501934</v>
      </c>
      <c r="B163" t="s">
        <v>361</v>
      </c>
      <c r="C163" t="s">
        <v>362</v>
      </c>
      <c r="D163" t="str">
        <f>CONCATENATE(C163," ",B163)</f>
        <v>JAMES LEWIS</v>
      </c>
      <c r="E163" t="s">
        <v>193</v>
      </c>
      <c r="F163" t="s">
        <v>71</v>
      </c>
      <c r="G163" t="s">
        <v>78</v>
      </c>
      <c r="H163" t="s">
        <v>997</v>
      </c>
      <c r="I163" s="11">
        <v>9079571</v>
      </c>
      <c r="J163" t="s">
        <v>64</v>
      </c>
      <c r="K163" t="s">
        <v>236</v>
      </c>
      <c r="L163" t="str">
        <f>CONCATENATE(K163," ",J163)</f>
        <v>ADAM RICHTER</v>
      </c>
      <c r="M163" t="s">
        <v>57</v>
      </c>
      <c r="N163" s="1">
        <v>45884</v>
      </c>
      <c r="P163" s="1">
        <v>46218</v>
      </c>
      <c r="Q163" s="2">
        <v>77.959999999999994</v>
      </c>
      <c r="R163" t="s">
        <v>58</v>
      </c>
      <c r="S163" s="3">
        <v>0.9</v>
      </c>
      <c r="T163" t="s">
        <v>60</v>
      </c>
      <c r="U163" t="s">
        <v>239</v>
      </c>
      <c r="V163" s="2">
        <v>70.16</v>
      </c>
      <c r="W163" s="2">
        <v>70.16</v>
      </c>
      <c r="X163" s="2">
        <v>70.16</v>
      </c>
      <c r="Y163" t="s">
        <v>238</v>
      </c>
      <c r="Z163" t="s">
        <v>1062</v>
      </c>
    </row>
    <row r="164" spans="1:26" x14ac:dyDescent="0.25">
      <c r="A164">
        <v>2031017069</v>
      </c>
      <c r="B164" t="s">
        <v>365</v>
      </c>
      <c r="C164" t="s">
        <v>227</v>
      </c>
      <c r="D164" t="str">
        <f>CONCATENATE(C164," ",B164)</f>
        <v>MICHAEL DECKARD</v>
      </c>
      <c r="E164" t="s">
        <v>209</v>
      </c>
      <c r="F164" t="s">
        <v>71</v>
      </c>
      <c r="G164" t="s">
        <v>78</v>
      </c>
      <c r="H164" t="s">
        <v>997</v>
      </c>
      <c r="I164" s="11" t="s">
        <v>1023</v>
      </c>
      <c r="J164" t="s">
        <v>229</v>
      </c>
      <c r="K164" t="s">
        <v>230</v>
      </c>
      <c r="L164" t="str">
        <f>CONCATENATE(K164," ",J164)</f>
        <v>Marsha Sanderock</v>
      </c>
      <c r="M164" t="s">
        <v>57</v>
      </c>
      <c r="N164" s="1">
        <v>45913</v>
      </c>
      <c r="P164" s="1">
        <v>46216</v>
      </c>
      <c r="Q164" s="2">
        <v>55</v>
      </c>
      <c r="R164" t="s">
        <v>58</v>
      </c>
      <c r="S164" s="3">
        <v>0.9</v>
      </c>
      <c r="T164" t="s">
        <v>60</v>
      </c>
      <c r="U164" t="s">
        <v>239</v>
      </c>
      <c r="V164" s="2">
        <v>49.5</v>
      </c>
      <c r="W164" s="2">
        <v>49.5</v>
      </c>
      <c r="X164" s="2">
        <v>49.5</v>
      </c>
      <c r="Y164" t="s">
        <v>238</v>
      </c>
      <c r="Z164" t="s">
        <v>1062</v>
      </c>
    </row>
    <row r="165" spans="1:26" x14ac:dyDescent="0.25">
      <c r="A165">
        <v>2031593003</v>
      </c>
      <c r="B165" t="s">
        <v>366</v>
      </c>
      <c r="C165" t="s">
        <v>80</v>
      </c>
      <c r="D165" t="str">
        <f>CONCATENATE(C165," ",B165)</f>
        <v>GREGORY ROTILI</v>
      </c>
      <c r="E165" t="s">
        <v>193</v>
      </c>
      <c r="F165" t="s">
        <v>71</v>
      </c>
      <c r="G165" t="s">
        <v>78</v>
      </c>
      <c r="H165" t="s">
        <v>997</v>
      </c>
      <c r="I165" s="11" t="s">
        <v>1021</v>
      </c>
      <c r="J165" t="s">
        <v>195</v>
      </c>
      <c r="K165" t="s">
        <v>196</v>
      </c>
      <c r="L165" t="str">
        <f>CONCATENATE(K165," ",J165)</f>
        <v>Ronald Max</v>
      </c>
      <c r="M165" t="s">
        <v>57</v>
      </c>
      <c r="N165" s="1">
        <v>45944</v>
      </c>
      <c r="P165" s="1">
        <v>46217</v>
      </c>
      <c r="Q165" s="2">
        <v>31.71</v>
      </c>
      <c r="R165" t="s">
        <v>58</v>
      </c>
      <c r="S165" s="3">
        <v>0.9</v>
      </c>
      <c r="T165" t="s">
        <v>60</v>
      </c>
      <c r="U165" t="s">
        <v>239</v>
      </c>
      <c r="V165" s="2">
        <v>28.54</v>
      </c>
      <c r="W165" s="2">
        <v>28.54</v>
      </c>
      <c r="X165" s="2">
        <v>28.54</v>
      </c>
      <c r="Y165" t="s">
        <v>238</v>
      </c>
      <c r="Z165" t="s">
        <v>1062</v>
      </c>
    </row>
    <row r="166" spans="1:26" x14ac:dyDescent="0.25">
      <c r="A166">
        <v>2031713686</v>
      </c>
      <c r="B166" t="s">
        <v>367</v>
      </c>
      <c r="C166" t="s">
        <v>368</v>
      </c>
      <c r="D166" t="str">
        <f>CONCATENATE(C166," ",B166)</f>
        <v>JA'NET RANDALL</v>
      </c>
      <c r="E166" t="s">
        <v>193</v>
      </c>
      <c r="F166" t="s">
        <v>71</v>
      </c>
      <c r="G166" t="s">
        <v>78</v>
      </c>
      <c r="H166" t="s">
        <v>997</v>
      </c>
      <c r="I166" s="11" t="s">
        <v>1021</v>
      </c>
      <c r="J166" t="s">
        <v>195</v>
      </c>
      <c r="K166" t="s">
        <v>196</v>
      </c>
      <c r="L166" t="str">
        <f>CONCATENATE(K166," ",J166)</f>
        <v>Ronald Max</v>
      </c>
      <c r="M166" t="s">
        <v>57</v>
      </c>
      <c r="N166" s="1">
        <v>45969</v>
      </c>
      <c r="P166" s="1">
        <v>46211</v>
      </c>
      <c r="Q166" s="2">
        <v>119.44</v>
      </c>
      <c r="R166" t="s">
        <v>58</v>
      </c>
      <c r="S166" s="3">
        <v>0.9</v>
      </c>
      <c r="T166" t="s">
        <v>60</v>
      </c>
      <c r="U166" t="s">
        <v>239</v>
      </c>
      <c r="V166" s="2">
        <v>107.5</v>
      </c>
      <c r="W166" s="2">
        <v>107.5</v>
      </c>
      <c r="X166" s="2">
        <v>107.5</v>
      </c>
      <c r="Y166" t="s">
        <v>238</v>
      </c>
      <c r="Z166" t="s">
        <v>1062</v>
      </c>
    </row>
    <row r="167" spans="1:26" x14ac:dyDescent="0.25">
      <c r="A167">
        <v>2032017835</v>
      </c>
      <c r="B167" t="s">
        <v>369</v>
      </c>
      <c r="C167" t="s">
        <v>370</v>
      </c>
      <c r="D167" t="str">
        <f>CONCATENATE(C167," ",B167)</f>
        <v>JOSE HERRERA</v>
      </c>
      <c r="E167" t="s">
        <v>193</v>
      </c>
      <c r="F167" t="s">
        <v>71</v>
      </c>
      <c r="G167" t="s">
        <v>78</v>
      </c>
      <c r="H167" t="s">
        <v>997</v>
      </c>
      <c r="I167" s="11" t="s">
        <v>1021</v>
      </c>
      <c r="J167" t="s">
        <v>195</v>
      </c>
      <c r="K167" t="s">
        <v>196</v>
      </c>
      <c r="L167" t="str">
        <f>CONCATENATE(K167," ",J167)</f>
        <v>Ronald Max</v>
      </c>
      <c r="M167" t="s">
        <v>57</v>
      </c>
      <c r="N167" s="1">
        <v>45980</v>
      </c>
      <c r="P167" s="1">
        <v>46222</v>
      </c>
      <c r="Q167" s="2">
        <v>117.08</v>
      </c>
      <c r="R167" t="s">
        <v>58</v>
      </c>
      <c r="S167" s="3">
        <v>0.9</v>
      </c>
      <c r="T167" t="s">
        <v>60</v>
      </c>
      <c r="U167" t="s">
        <v>239</v>
      </c>
      <c r="V167" s="2">
        <v>105.37</v>
      </c>
      <c r="W167" s="2">
        <v>105.37</v>
      </c>
      <c r="X167" s="2">
        <v>105.37</v>
      </c>
      <c r="Y167" t="s">
        <v>238</v>
      </c>
      <c r="Z167" t="s">
        <v>1062</v>
      </c>
    </row>
    <row r="168" spans="1:26" x14ac:dyDescent="0.25">
      <c r="A168">
        <v>2032445034</v>
      </c>
      <c r="B168" t="s">
        <v>384</v>
      </c>
      <c r="C168" t="s">
        <v>307</v>
      </c>
      <c r="D168" t="str">
        <f>CONCATENATE(C168," ",B168)</f>
        <v>WILLIAM RESURRECCION</v>
      </c>
      <c r="E168" t="s">
        <v>119</v>
      </c>
      <c r="F168" t="s">
        <v>71</v>
      </c>
      <c r="G168" t="s">
        <v>78</v>
      </c>
      <c r="H168" t="s">
        <v>997</v>
      </c>
      <c r="I168" s="11" t="s">
        <v>1027</v>
      </c>
      <c r="J168" t="s">
        <v>385</v>
      </c>
      <c r="K168" t="s">
        <v>386</v>
      </c>
      <c r="L168" t="str">
        <f>CONCATENATE(K168," ",J168)</f>
        <v>Andrew Choi</v>
      </c>
      <c r="M168" t="s">
        <v>57</v>
      </c>
      <c r="N168" s="1">
        <v>46006</v>
      </c>
      <c r="P168" s="1">
        <v>46218</v>
      </c>
      <c r="Q168" s="2">
        <v>29.67</v>
      </c>
      <c r="R168" t="s">
        <v>58</v>
      </c>
      <c r="S168" s="3">
        <v>0.9</v>
      </c>
      <c r="T168" t="s">
        <v>60</v>
      </c>
      <c r="U168" t="s">
        <v>239</v>
      </c>
      <c r="V168" s="2">
        <v>26.7</v>
      </c>
      <c r="W168" s="2">
        <v>26.7</v>
      </c>
      <c r="X168" s="2">
        <v>26.7</v>
      </c>
      <c r="Y168" t="s">
        <v>238</v>
      </c>
      <c r="Z168" t="s">
        <v>1064</v>
      </c>
    </row>
    <row r="169" spans="1:26" x14ac:dyDescent="0.25">
      <c r="A169">
        <v>2032692415</v>
      </c>
      <c r="B169" t="s">
        <v>604</v>
      </c>
      <c r="C169" t="s">
        <v>605</v>
      </c>
      <c r="D169" t="str">
        <f>CONCATENATE(C169," ",B169)</f>
        <v>JUSTIN GREENWELL</v>
      </c>
      <c r="E169" t="s">
        <v>193</v>
      </c>
      <c r="F169" t="s">
        <v>71</v>
      </c>
      <c r="G169" t="s">
        <v>78</v>
      </c>
      <c r="H169" t="s">
        <v>997</v>
      </c>
      <c r="I169" s="11" t="s">
        <v>1021</v>
      </c>
      <c r="J169" t="s">
        <v>195</v>
      </c>
      <c r="K169" t="s">
        <v>196</v>
      </c>
      <c r="L169" t="str">
        <f>CONCATENATE(K169," ",J169)</f>
        <v>Ronald Max</v>
      </c>
      <c r="M169" t="s">
        <v>57</v>
      </c>
      <c r="N169" s="1">
        <v>46007</v>
      </c>
      <c r="P169" s="1">
        <v>46219</v>
      </c>
      <c r="Q169" s="2">
        <v>98.92</v>
      </c>
      <c r="R169" t="s">
        <v>58</v>
      </c>
      <c r="S169" s="3">
        <v>0.9</v>
      </c>
      <c r="T169" t="s">
        <v>60</v>
      </c>
      <c r="U169" t="s">
        <v>239</v>
      </c>
      <c r="V169" s="2">
        <v>89.03</v>
      </c>
      <c r="W169" s="2">
        <v>89.03</v>
      </c>
      <c r="X169" s="2">
        <v>89.03</v>
      </c>
      <c r="Y169" t="s">
        <v>238</v>
      </c>
      <c r="Z169" t="s">
        <v>1062</v>
      </c>
    </row>
    <row r="170" spans="1:26" x14ac:dyDescent="0.25">
      <c r="A170">
        <v>2033723210</v>
      </c>
      <c r="B170" t="s">
        <v>660</v>
      </c>
      <c r="C170" t="s">
        <v>661</v>
      </c>
      <c r="D170" t="str">
        <f>CONCATENATE(C170," ",B170)</f>
        <v>BARBARA MILLER</v>
      </c>
      <c r="E170" t="s">
        <v>193</v>
      </c>
      <c r="F170" t="s">
        <v>182</v>
      </c>
      <c r="G170" t="s">
        <v>197</v>
      </c>
      <c r="H170" t="s">
        <v>197</v>
      </c>
      <c r="I170" s="11" t="s">
        <v>1043</v>
      </c>
      <c r="J170" t="s">
        <v>137</v>
      </c>
      <c r="K170" t="s">
        <v>138</v>
      </c>
      <c r="L170" t="str">
        <f>CONCATENATE(K170," ",J170)</f>
        <v>Brittany Oliver</v>
      </c>
      <c r="M170" t="s">
        <v>57</v>
      </c>
      <c r="N170" s="1">
        <v>46072</v>
      </c>
      <c r="P170" s="1">
        <v>46222</v>
      </c>
      <c r="Q170" s="2">
        <v>41.31</v>
      </c>
      <c r="R170" t="s">
        <v>58</v>
      </c>
      <c r="S170" s="3">
        <v>0.42</v>
      </c>
      <c r="T170" t="s">
        <v>60</v>
      </c>
      <c r="U170" t="s">
        <v>239</v>
      </c>
      <c r="V170" s="2">
        <v>17.350000000000001</v>
      </c>
      <c r="W170" s="2">
        <v>0</v>
      </c>
      <c r="X170" s="2">
        <v>0</v>
      </c>
      <c r="Y170" t="s">
        <v>238</v>
      </c>
      <c r="Z170" t="s">
        <v>1063</v>
      </c>
    </row>
    <row r="171" spans="1:26" x14ac:dyDescent="0.25">
      <c r="A171">
        <v>2033124966</v>
      </c>
      <c r="B171" t="s">
        <v>989</v>
      </c>
      <c r="C171" t="s">
        <v>888</v>
      </c>
      <c r="D171" t="str">
        <f>CONCATENATE(C171," ",B171)</f>
        <v>MICHELE LAZZARA</v>
      </c>
      <c r="E171" t="s">
        <v>119</v>
      </c>
      <c r="F171" t="s">
        <v>182</v>
      </c>
      <c r="G171" t="s">
        <v>197</v>
      </c>
      <c r="H171" t="s">
        <v>197</v>
      </c>
      <c r="I171" s="11" t="s">
        <v>1033</v>
      </c>
      <c r="J171" t="s">
        <v>122</v>
      </c>
      <c r="K171" t="s">
        <v>123</v>
      </c>
      <c r="L171" t="str">
        <f>CONCATENATE(K171," ",J171)</f>
        <v>FRANK LISKOVEC</v>
      </c>
      <c r="M171" t="s">
        <v>57</v>
      </c>
      <c r="N171" s="1">
        <v>46036</v>
      </c>
      <c r="P171" s="1">
        <v>46217</v>
      </c>
      <c r="Q171" s="2">
        <v>25.08</v>
      </c>
      <c r="R171" t="s">
        <v>58</v>
      </c>
      <c r="S171" s="3">
        <v>0.42</v>
      </c>
      <c r="T171" t="s">
        <v>60</v>
      </c>
      <c r="U171" t="s">
        <v>239</v>
      </c>
      <c r="V171" s="2">
        <v>10.53</v>
      </c>
      <c r="W171" s="2">
        <v>0</v>
      </c>
      <c r="X171" s="2">
        <v>0</v>
      </c>
      <c r="Y171" t="s">
        <v>238</v>
      </c>
      <c r="Z171" t="s">
        <v>1064</v>
      </c>
    </row>
    <row r="172" spans="1:26" x14ac:dyDescent="0.25">
      <c r="A172">
        <v>2034507831</v>
      </c>
      <c r="B172" t="s">
        <v>533</v>
      </c>
      <c r="C172" t="s">
        <v>690</v>
      </c>
      <c r="D172" t="str">
        <f>CONCATENATE(C172," ",B172)</f>
        <v>TIFFINEE GREEN</v>
      </c>
      <c r="E172" t="s">
        <v>193</v>
      </c>
      <c r="F172" t="s">
        <v>182</v>
      </c>
      <c r="G172" t="s">
        <v>197</v>
      </c>
      <c r="H172" t="s">
        <v>197</v>
      </c>
      <c r="I172" s="11" t="s">
        <v>1043</v>
      </c>
      <c r="J172" t="s">
        <v>137</v>
      </c>
      <c r="K172" t="s">
        <v>138</v>
      </c>
      <c r="L172" t="str">
        <f>CONCATENATE(K172," ",J172)</f>
        <v>Brittany Oliver</v>
      </c>
      <c r="M172" t="s">
        <v>57</v>
      </c>
      <c r="N172" s="1">
        <v>46105</v>
      </c>
      <c r="P172" s="1">
        <v>46197</v>
      </c>
      <c r="Q172" s="2">
        <v>16.7</v>
      </c>
      <c r="R172" t="s">
        <v>58</v>
      </c>
      <c r="S172" s="3">
        <v>0.42</v>
      </c>
      <c r="T172" t="s">
        <v>60</v>
      </c>
      <c r="U172" t="s">
        <v>239</v>
      </c>
      <c r="V172" s="2">
        <v>7.01</v>
      </c>
      <c r="W172" s="2">
        <v>0</v>
      </c>
      <c r="X172" s="2">
        <v>0</v>
      </c>
      <c r="Y172" t="s">
        <v>238</v>
      </c>
      <c r="Z172" t="s">
        <v>1063</v>
      </c>
    </row>
    <row r="173" spans="1:26" x14ac:dyDescent="0.25">
      <c r="A173">
        <v>2035442204</v>
      </c>
      <c r="B173" t="s">
        <v>741</v>
      </c>
      <c r="C173" t="s">
        <v>94</v>
      </c>
      <c r="D173" t="str">
        <f>CONCATENATE(C173," ",B173)</f>
        <v>ANDREA BALDWIN</v>
      </c>
      <c r="E173" t="s">
        <v>162</v>
      </c>
      <c r="F173" t="s">
        <v>182</v>
      </c>
      <c r="G173" t="s">
        <v>197</v>
      </c>
      <c r="H173" t="s">
        <v>197</v>
      </c>
      <c r="I173" s="11" t="s">
        <v>1048</v>
      </c>
      <c r="J173" t="s">
        <v>101</v>
      </c>
      <c r="K173" t="s">
        <v>700</v>
      </c>
      <c r="L173" t="str">
        <f>CONCATENATE(K173," ",J173)</f>
        <v>Heidi Berthelsen</v>
      </c>
      <c r="M173" t="s">
        <v>57</v>
      </c>
      <c r="N173" s="1">
        <v>46155</v>
      </c>
      <c r="P173" s="1">
        <v>46216</v>
      </c>
      <c r="Q173" s="2">
        <v>14.1</v>
      </c>
      <c r="R173" t="s">
        <v>58</v>
      </c>
      <c r="S173" s="3">
        <v>0.42</v>
      </c>
      <c r="T173" t="s">
        <v>60</v>
      </c>
      <c r="U173" t="s">
        <v>239</v>
      </c>
      <c r="V173" s="2">
        <v>5.92</v>
      </c>
      <c r="W173" s="2">
        <v>0</v>
      </c>
      <c r="X173" s="2">
        <v>0</v>
      </c>
      <c r="Y173" t="s">
        <v>238</v>
      </c>
      <c r="Z173" t="s">
        <v>1063</v>
      </c>
    </row>
    <row r="174" spans="1:26" x14ac:dyDescent="0.25">
      <c r="A174">
        <v>2029968822</v>
      </c>
      <c r="B174" t="s">
        <v>172</v>
      </c>
      <c r="C174" t="s">
        <v>80</v>
      </c>
      <c r="D174" t="str">
        <f>CONCATENATE(C174," ",B174)</f>
        <v>GREGORY THOMAS</v>
      </c>
      <c r="E174" t="s">
        <v>119</v>
      </c>
      <c r="F174" t="s">
        <v>182</v>
      </c>
      <c r="G174" t="s">
        <v>197</v>
      </c>
      <c r="H174" t="s">
        <v>197</v>
      </c>
      <c r="I174" s="11" t="s">
        <v>1033</v>
      </c>
      <c r="J174" t="s">
        <v>122</v>
      </c>
      <c r="K174" t="s">
        <v>123</v>
      </c>
      <c r="L174" t="str">
        <f>CONCATENATE(K174," ",J174)</f>
        <v>FRANK LISKOVEC</v>
      </c>
      <c r="M174" t="s">
        <v>57</v>
      </c>
      <c r="N174" s="1">
        <v>45854</v>
      </c>
      <c r="P174" s="1">
        <v>46219</v>
      </c>
      <c r="Q174" s="2">
        <v>25.08</v>
      </c>
      <c r="R174" t="s">
        <v>58</v>
      </c>
      <c r="S174" s="3">
        <v>0.42</v>
      </c>
      <c r="T174" t="s">
        <v>60</v>
      </c>
      <c r="U174" t="s">
        <v>239</v>
      </c>
      <c r="V174" s="2">
        <v>10.53</v>
      </c>
      <c r="W174" s="2">
        <v>10.53</v>
      </c>
      <c r="X174" s="2">
        <v>10.53</v>
      </c>
      <c r="Y174" t="s">
        <v>238</v>
      </c>
      <c r="Z174" t="s">
        <v>1062</v>
      </c>
    </row>
    <row r="175" spans="1:26" x14ac:dyDescent="0.25">
      <c r="A175">
        <v>2030244511</v>
      </c>
      <c r="B175" t="s">
        <v>506</v>
      </c>
      <c r="C175" t="s">
        <v>417</v>
      </c>
      <c r="D175" t="str">
        <f>CONCATENATE(C175," ",B175)</f>
        <v>PAUL HTOO</v>
      </c>
      <c r="E175" t="s">
        <v>119</v>
      </c>
      <c r="F175" t="s">
        <v>182</v>
      </c>
      <c r="G175" t="s">
        <v>197</v>
      </c>
      <c r="H175" t="s">
        <v>197</v>
      </c>
      <c r="I175" s="11" t="s">
        <v>1035</v>
      </c>
      <c r="J175" t="s">
        <v>507</v>
      </c>
      <c r="K175" t="s">
        <v>508</v>
      </c>
      <c r="L175" t="str">
        <f>CONCATENATE(K175," ",J175)</f>
        <v>PATSAMON THANADABOUTH</v>
      </c>
      <c r="M175" t="s">
        <v>57</v>
      </c>
      <c r="N175" s="1">
        <v>45884</v>
      </c>
      <c r="P175" s="1">
        <v>46218</v>
      </c>
      <c r="Q175" s="2">
        <v>42.5</v>
      </c>
      <c r="R175" t="s">
        <v>58</v>
      </c>
      <c r="S175" s="3">
        <v>0.42</v>
      </c>
      <c r="T175" t="s">
        <v>60</v>
      </c>
      <c r="U175" t="s">
        <v>239</v>
      </c>
      <c r="V175" s="2">
        <v>17.850000000000001</v>
      </c>
      <c r="W175" s="2">
        <v>17.850000000000001</v>
      </c>
      <c r="X175" s="2">
        <v>17.850000000000001</v>
      </c>
      <c r="Y175" t="s">
        <v>238</v>
      </c>
      <c r="Z175" t="s">
        <v>1062</v>
      </c>
    </row>
    <row r="176" spans="1:26" x14ac:dyDescent="0.25">
      <c r="A176">
        <v>2030450004</v>
      </c>
      <c r="B176" t="s">
        <v>351</v>
      </c>
      <c r="C176" t="s">
        <v>352</v>
      </c>
      <c r="D176" t="str">
        <f>CONCATENATE(C176," ",B176)</f>
        <v>URSULA EDELENBOS</v>
      </c>
      <c r="E176" t="s">
        <v>193</v>
      </c>
      <c r="F176" t="s">
        <v>182</v>
      </c>
      <c r="G176" t="s">
        <v>197</v>
      </c>
      <c r="H176" t="s">
        <v>197</v>
      </c>
      <c r="I176" s="11" t="s">
        <v>1021</v>
      </c>
      <c r="J176" t="s">
        <v>195</v>
      </c>
      <c r="K176" t="s">
        <v>196</v>
      </c>
      <c r="L176" t="str">
        <f>CONCATENATE(K176," ",J176)</f>
        <v>Ronald Max</v>
      </c>
      <c r="M176" t="s">
        <v>57</v>
      </c>
      <c r="N176" s="1">
        <v>45888</v>
      </c>
      <c r="P176" s="1">
        <v>46222</v>
      </c>
      <c r="Q176" s="2">
        <v>32.81</v>
      </c>
      <c r="R176" t="s">
        <v>58</v>
      </c>
      <c r="S176" s="3">
        <v>0.42</v>
      </c>
      <c r="T176" t="s">
        <v>60</v>
      </c>
      <c r="U176" t="s">
        <v>239</v>
      </c>
      <c r="V176" s="2">
        <v>13.78</v>
      </c>
      <c r="W176" s="2">
        <v>13.78</v>
      </c>
      <c r="X176" s="2">
        <v>13.78</v>
      </c>
      <c r="Y176" t="s">
        <v>238</v>
      </c>
      <c r="Z176" t="s">
        <v>1062</v>
      </c>
    </row>
    <row r="177" spans="1:26" x14ac:dyDescent="0.25">
      <c r="A177">
        <v>2030488871</v>
      </c>
      <c r="B177" t="s">
        <v>359</v>
      </c>
      <c r="C177" t="s">
        <v>360</v>
      </c>
      <c r="D177" t="str">
        <f>CONCATENATE(C177," ",B177)</f>
        <v>KAI BARNES</v>
      </c>
      <c r="E177" t="s">
        <v>193</v>
      </c>
      <c r="F177" t="s">
        <v>182</v>
      </c>
      <c r="G177" t="s">
        <v>197</v>
      </c>
      <c r="H177" t="s">
        <v>197</v>
      </c>
      <c r="I177" s="11" t="s">
        <v>1021</v>
      </c>
      <c r="J177" t="s">
        <v>195</v>
      </c>
      <c r="K177" t="s">
        <v>196</v>
      </c>
      <c r="L177" t="str">
        <f>CONCATENATE(K177," ",J177)</f>
        <v>Ronald Max</v>
      </c>
      <c r="M177" t="s">
        <v>57</v>
      </c>
      <c r="N177" s="1">
        <v>45884</v>
      </c>
      <c r="P177" s="1">
        <v>46218</v>
      </c>
      <c r="Q177" s="2">
        <v>27.8</v>
      </c>
      <c r="R177" t="s">
        <v>58</v>
      </c>
      <c r="S177" s="3">
        <v>0.42</v>
      </c>
      <c r="T177" t="s">
        <v>60</v>
      </c>
      <c r="U177" t="s">
        <v>239</v>
      </c>
      <c r="V177" s="2">
        <v>11.68</v>
      </c>
      <c r="W177" s="2">
        <v>11.68</v>
      </c>
      <c r="X177" s="2">
        <v>11.68</v>
      </c>
      <c r="Y177" t="s">
        <v>238</v>
      </c>
      <c r="Z177" t="s">
        <v>1062</v>
      </c>
    </row>
    <row r="178" spans="1:26" x14ac:dyDescent="0.25">
      <c r="A178">
        <v>2030560164</v>
      </c>
      <c r="B178" t="s">
        <v>518</v>
      </c>
      <c r="C178" t="s">
        <v>519</v>
      </c>
      <c r="D178" t="str">
        <f>CONCATENATE(C178," ",B178)</f>
        <v>GEORGE KNOTTS</v>
      </c>
      <c r="E178" t="s">
        <v>193</v>
      </c>
      <c r="F178" t="s">
        <v>182</v>
      </c>
      <c r="G178" t="s">
        <v>197</v>
      </c>
      <c r="H178" t="s">
        <v>197</v>
      </c>
      <c r="I178" s="11">
        <v>9079571</v>
      </c>
      <c r="J178" t="s">
        <v>64</v>
      </c>
      <c r="K178" t="s">
        <v>236</v>
      </c>
      <c r="L178" t="str">
        <f>CONCATENATE(K178," ",J178)</f>
        <v>ADAM RICHTER</v>
      </c>
      <c r="M178" t="s">
        <v>57</v>
      </c>
      <c r="N178" s="1">
        <v>45888</v>
      </c>
      <c r="P178" s="1">
        <v>46222</v>
      </c>
      <c r="Q178" s="2">
        <v>43.86</v>
      </c>
      <c r="R178" t="s">
        <v>58</v>
      </c>
      <c r="S178" s="3">
        <v>0.42</v>
      </c>
      <c r="T178" t="s">
        <v>60</v>
      </c>
      <c r="U178" t="s">
        <v>239</v>
      </c>
      <c r="V178" s="2">
        <v>18.420000000000002</v>
      </c>
      <c r="W178" s="2">
        <v>18.420000000000002</v>
      </c>
      <c r="X178" s="2">
        <v>18.420000000000002</v>
      </c>
      <c r="Y178" t="s">
        <v>238</v>
      </c>
      <c r="Z178" t="s">
        <v>1062</v>
      </c>
    </row>
    <row r="179" spans="1:26" x14ac:dyDescent="0.25">
      <c r="A179">
        <v>2031921687</v>
      </c>
      <c r="B179" t="s">
        <v>542</v>
      </c>
      <c r="C179" t="s">
        <v>543</v>
      </c>
      <c r="D179" t="str">
        <f>CONCATENATE(C179," ",B179)</f>
        <v>DESIREE GWALTNEY</v>
      </c>
      <c r="E179" t="s">
        <v>193</v>
      </c>
      <c r="F179" t="s">
        <v>182</v>
      </c>
      <c r="G179" t="s">
        <v>197</v>
      </c>
      <c r="H179" t="s">
        <v>197</v>
      </c>
      <c r="I179" s="11" t="s">
        <v>1041</v>
      </c>
      <c r="J179" t="s">
        <v>544</v>
      </c>
      <c r="K179" t="s">
        <v>545</v>
      </c>
      <c r="L179" t="str">
        <f>CONCATENATE(K179," ",J179)</f>
        <v>Robert Adcock</v>
      </c>
      <c r="M179" t="s">
        <v>57</v>
      </c>
      <c r="N179" s="1">
        <v>45976</v>
      </c>
      <c r="P179" s="1">
        <v>46218</v>
      </c>
      <c r="Q179" s="2">
        <v>27.8</v>
      </c>
      <c r="R179" t="s">
        <v>58</v>
      </c>
      <c r="S179" s="3">
        <v>0.42</v>
      </c>
      <c r="T179" t="s">
        <v>60</v>
      </c>
      <c r="U179" t="s">
        <v>239</v>
      </c>
      <c r="V179" s="2">
        <v>11.68</v>
      </c>
      <c r="W179" s="2">
        <v>11.68</v>
      </c>
      <c r="X179" s="2">
        <v>11.68</v>
      </c>
      <c r="Y179" t="s">
        <v>238</v>
      </c>
      <c r="Z179" t="s">
        <v>1062</v>
      </c>
    </row>
    <row r="180" spans="1:26" x14ac:dyDescent="0.25">
      <c r="A180">
        <v>2031949601</v>
      </c>
      <c r="B180" t="s">
        <v>546</v>
      </c>
      <c r="C180" t="s">
        <v>547</v>
      </c>
      <c r="D180" t="str">
        <f>CONCATENATE(C180," ",B180)</f>
        <v>DESEREE PADILLA</v>
      </c>
      <c r="E180" t="s">
        <v>292</v>
      </c>
      <c r="F180" t="s">
        <v>182</v>
      </c>
      <c r="G180" t="s">
        <v>197</v>
      </c>
      <c r="H180" t="s">
        <v>197</v>
      </c>
      <c r="I180" s="11">
        <v>21435997</v>
      </c>
      <c r="J180" t="s">
        <v>444</v>
      </c>
      <c r="K180" t="s">
        <v>445</v>
      </c>
      <c r="L180" t="str">
        <f>CONCATENATE(K180," ",J180)</f>
        <v>Christopher Brousseau</v>
      </c>
      <c r="M180" t="s">
        <v>57</v>
      </c>
      <c r="N180" s="1">
        <v>45969</v>
      </c>
      <c r="P180" s="1">
        <v>46211</v>
      </c>
      <c r="Q180" s="2">
        <v>13.18</v>
      </c>
      <c r="R180" t="s">
        <v>58</v>
      </c>
      <c r="S180" s="3">
        <v>0.42</v>
      </c>
      <c r="T180" t="s">
        <v>60</v>
      </c>
      <c r="U180" t="s">
        <v>239</v>
      </c>
      <c r="V180" s="2">
        <v>5.54</v>
      </c>
      <c r="W180" s="2">
        <v>5.54</v>
      </c>
      <c r="X180" s="2">
        <v>5.54</v>
      </c>
      <c r="Y180" t="s">
        <v>238</v>
      </c>
      <c r="Z180" t="s">
        <v>1062</v>
      </c>
    </row>
    <row r="181" spans="1:26" x14ac:dyDescent="0.25">
      <c r="A181">
        <v>2032017836</v>
      </c>
      <c r="B181" t="s">
        <v>369</v>
      </c>
      <c r="C181" t="s">
        <v>370</v>
      </c>
      <c r="D181" t="str">
        <f>CONCATENATE(C181," ",B181)</f>
        <v>JOSE HERRERA</v>
      </c>
      <c r="E181" t="s">
        <v>193</v>
      </c>
      <c r="F181" t="s">
        <v>182</v>
      </c>
      <c r="G181" t="s">
        <v>197</v>
      </c>
      <c r="H181" t="s">
        <v>197</v>
      </c>
      <c r="I181" s="11" t="s">
        <v>1021</v>
      </c>
      <c r="J181" t="s">
        <v>195</v>
      </c>
      <c r="K181" t="s">
        <v>196</v>
      </c>
      <c r="L181" t="str">
        <f>CONCATENATE(K181," ",J181)</f>
        <v>Ronald Max</v>
      </c>
      <c r="M181" t="s">
        <v>57</v>
      </c>
      <c r="N181" s="1">
        <v>45980</v>
      </c>
      <c r="P181" s="1">
        <v>46222</v>
      </c>
      <c r="Q181" s="2">
        <v>43.86</v>
      </c>
      <c r="R181" t="s">
        <v>58</v>
      </c>
      <c r="S181" s="3">
        <v>0.42</v>
      </c>
      <c r="T181" t="s">
        <v>60</v>
      </c>
      <c r="U181" t="s">
        <v>239</v>
      </c>
      <c r="V181" s="2">
        <v>18.420000000000002</v>
      </c>
      <c r="W181" s="2">
        <v>18.420000000000002</v>
      </c>
      <c r="X181" s="2">
        <v>18.420000000000002</v>
      </c>
      <c r="Y181" t="s">
        <v>238</v>
      </c>
      <c r="Z181" t="s">
        <v>1062</v>
      </c>
    </row>
    <row r="182" spans="1:26" x14ac:dyDescent="0.25">
      <c r="A182">
        <v>2032155019</v>
      </c>
      <c r="B182" t="s">
        <v>560</v>
      </c>
      <c r="C182" t="s">
        <v>561</v>
      </c>
      <c r="D182" t="str">
        <f>CONCATENATE(C182," ",B182)</f>
        <v>KORI CORTHRON</v>
      </c>
      <c r="E182" t="s">
        <v>193</v>
      </c>
      <c r="F182" t="s">
        <v>182</v>
      </c>
      <c r="G182" t="s">
        <v>197</v>
      </c>
      <c r="H182" t="s">
        <v>197</v>
      </c>
      <c r="I182" s="11">
        <v>21128342</v>
      </c>
      <c r="J182" t="s">
        <v>562</v>
      </c>
      <c r="K182" t="s">
        <v>180</v>
      </c>
      <c r="L182" t="str">
        <f>CONCATENATE(K182," ",J182)</f>
        <v>John Karns</v>
      </c>
      <c r="M182" t="s">
        <v>57</v>
      </c>
      <c r="N182" s="1">
        <v>45975</v>
      </c>
      <c r="P182" s="1">
        <v>46217</v>
      </c>
      <c r="Q182" s="2">
        <v>38.85</v>
      </c>
      <c r="R182" t="s">
        <v>58</v>
      </c>
      <c r="S182" s="3">
        <v>0.42</v>
      </c>
      <c r="T182" t="s">
        <v>60</v>
      </c>
      <c r="U182" t="s">
        <v>239</v>
      </c>
      <c r="V182" s="2">
        <v>16.32</v>
      </c>
      <c r="W182" s="2">
        <v>16.32</v>
      </c>
      <c r="X182" s="2">
        <v>16.32</v>
      </c>
      <c r="Y182" t="s">
        <v>238</v>
      </c>
      <c r="Z182" t="s">
        <v>1062</v>
      </c>
    </row>
    <row r="183" spans="1:26" x14ac:dyDescent="0.25">
      <c r="A183">
        <v>2032192506</v>
      </c>
      <c r="B183" t="s">
        <v>573</v>
      </c>
      <c r="C183" t="s">
        <v>574</v>
      </c>
      <c r="D183" t="str">
        <f>CONCATENATE(C183," ",B183)</f>
        <v>FRANKLINE KENAH</v>
      </c>
      <c r="E183" t="s">
        <v>193</v>
      </c>
      <c r="F183" t="s">
        <v>182</v>
      </c>
      <c r="G183" t="s">
        <v>197</v>
      </c>
      <c r="H183" t="s">
        <v>197</v>
      </c>
      <c r="I183" s="11" t="s">
        <v>1043</v>
      </c>
      <c r="J183" t="s">
        <v>137</v>
      </c>
      <c r="K183" t="s">
        <v>138</v>
      </c>
      <c r="L183" t="str">
        <f>CONCATENATE(K183," ",J183)</f>
        <v>Brittany Oliver</v>
      </c>
      <c r="M183" t="s">
        <v>57</v>
      </c>
      <c r="N183" s="1">
        <v>45977</v>
      </c>
      <c r="P183" s="1">
        <v>46219</v>
      </c>
      <c r="Q183" s="2">
        <v>21.08</v>
      </c>
      <c r="R183" t="s">
        <v>58</v>
      </c>
      <c r="S183" s="3">
        <v>0.42</v>
      </c>
      <c r="T183" t="s">
        <v>60</v>
      </c>
      <c r="U183" t="s">
        <v>239</v>
      </c>
      <c r="V183" s="2">
        <v>8.85</v>
      </c>
      <c r="W183" s="2">
        <v>8.85</v>
      </c>
      <c r="X183" s="2">
        <v>8.85</v>
      </c>
      <c r="Y183" t="s">
        <v>238</v>
      </c>
      <c r="Z183" t="s">
        <v>1062</v>
      </c>
    </row>
    <row r="184" spans="1:26" x14ac:dyDescent="0.25">
      <c r="A184">
        <v>2034324487</v>
      </c>
      <c r="B184" t="s">
        <v>857</v>
      </c>
      <c r="C184" t="s">
        <v>858</v>
      </c>
      <c r="D184" t="str">
        <f>CONCATENATE(C184," ",B184)</f>
        <v>MAGDALENA GUTIERREZ</v>
      </c>
      <c r="E184" t="s">
        <v>119</v>
      </c>
      <c r="F184" t="s">
        <v>120</v>
      </c>
      <c r="G184" t="s">
        <v>859</v>
      </c>
      <c r="H184" t="s">
        <v>121</v>
      </c>
      <c r="I184" s="11" t="s">
        <v>1056</v>
      </c>
      <c r="J184" t="s">
        <v>860</v>
      </c>
      <c r="K184" t="s">
        <v>861</v>
      </c>
      <c r="L184" t="str">
        <f>CONCATENATE(K184," ",J184)</f>
        <v>Anthony Hunsberger</v>
      </c>
      <c r="M184" t="s">
        <v>57</v>
      </c>
      <c r="N184" s="1">
        <v>46097</v>
      </c>
      <c r="P184" s="1">
        <v>46219</v>
      </c>
      <c r="Q184" s="2">
        <v>98.41</v>
      </c>
      <c r="R184" t="s">
        <v>58</v>
      </c>
      <c r="S184" s="3">
        <v>0.38</v>
      </c>
      <c r="T184" t="s">
        <v>60</v>
      </c>
      <c r="U184" t="s">
        <v>239</v>
      </c>
      <c r="V184" s="2">
        <v>37.4</v>
      </c>
      <c r="W184" s="2">
        <v>0</v>
      </c>
      <c r="X184" s="2">
        <v>0</v>
      </c>
      <c r="Y184" t="s">
        <v>238</v>
      </c>
      <c r="Z184" t="s">
        <v>1063</v>
      </c>
    </row>
    <row r="185" spans="1:26" x14ac:dyDescent="0.25">
      <c r="A185">
        <v>2033172631</v>
      </c>
      <c r="B185" t="s">
        <v>856</v>
      </c>
      <c r="C185" t="s">
        <v>262</v>
      </c>
      <c r="D185" t="str">
        <f>CONCATENATE(C185," ",B185)</f>
        <v>TIMOTHY BIRCH</v>
      </c>
      <c r="E185" t="s">
        <v>292</v>
      </c>
      <c r="F185" t="s">
        <v>120</v>
      </c>
      <c r="G185" t="s">
        <v>121</v>
      </c>
      <c r="H185" t="s">
        <v>121</v>
      </c>
      <c r="I185" s="11" t="s">
        <v>1043</v>
      </c>
      <c r="J185" t="s">
        <v>137</v>
      </c>
      <c r="K185" t="s">
        <v>138</v>
      </c>
      <c r="L185" t="str">
        <f>CONCATENATE(K185," ",J185)</f>
        <v>Brittany Oliver</v>
      </c>
      <c r="M185" t="s">
        <v>57</v>
      </c>
      <c r="N185" s="1">
        <v>46038</v>
      </c>
      <c r="P185" s="1">
        <v>46219</v>
      </c>
      <c r="Q185" s="2">
        <v>15</v>
      </c>
      <c r="R185" t="s">
        <v>58</v>
      </c>
      <c r="S185" s="3">
        <v>0.38</v>
      </c>
      <c r="T185" t="s">
        <v>60</v>
      </c>
      <c r="U185" t="s">
        <v>239</v>
      </c>
      <c r="V185" s="2">
        <v>5.7</v>
      </c>
      <c r="W185" s="2">
        <v>0</v>
      </c>
      <c r="X185" s="2">
        <v>0</v>
      </c>
      <c r="Y185" t="s">
        <v>238</v>
      </c>
      <c r="Z185" t="s">
        <v>1064</v>
      </c>
    </row>
    <row r="186" spans="1:26" x14ac:dyDescent="0.25">
      <c r="A186">
        <v>2034324488</v>
      </c>
      <c r="B186" t="s">
        <v>857</v>
      </c>
      <c r="C186" t="s">
        <v>858</v>
      </c>
      <c r="D186" t="str">
        <f>CONCATENATE(C186," ",B186)</f>
        <v>MAGDALENA GUTIERREZ</v>
      </c>
      <c r="E186" t="s">
        <v>119</v>
      </c>
      <c r="F186" t="s">
        <v>120</v>
      </c>
      <c r="G186" t="s">
        <v>121</v>
      </c>
      <c r="H186" t="s">
        <v>121</v>
      </c>
      <c r="I186" s="11" t="s">
        <v>1056</v>
      </c>
      <c r="J186" t="s">
        <v>860</v>
      </c>
      <c r="K186" t="s">
        <v>861</v>
      </c>
      <c r="L186" t="str">
        <f>CONCATENATE(K186," ",J186)</f>
        <v>Anthony Hunsberger</v>
      </c>
      <c r="M186" t="s">
        <v>57</v>
      </c>
      <c r="N186" s="1">
        <v>46097</v>
      </c>
      <c r="P186" s="1">
        <v>46219</v>
      </c>
      <c r="Q186" s="2">
        <v>15</v>
      </c>
      <c r="R186" t="s">
        <v>58</v>
      </c>
      <c r="S186" s="3">
        <v>0.38</v>
      </c>
      <c r="T186" t="s">
        <v>60</v>
      </c>
      <c r="U186" t="s">
        <v>239</v>
      </c>
      <c r="V186" s="2">
        <v>5.7</v>
      </c>
      <c r="W186" s="2">
        <v>0</v>
      </c>
      <c r="X186" s="2">
        <v>0</v>
      </c>
      <c r="Y186" t="s">
        <v>238</v>
      </c>
      <c r="Z186" t="s">
        <v>1063</v>
      </c>
    </row>
    <row r="187" spans="1:26" x14ac:dyDescent="0.25">
      <c r="A187">
        <v>2035463448</v>
      </c>
      <c r="B187" t="s">
        <v>726</v>
      </c>
      <c r="C187" t="s">
        <v>862</v>
      </c>
      <c r="D187" t="str">
        <f>CONCATENATE(C187," ",B187)</f>
        <v>NICHOLAS HARVEY</v>
      </c>
      <c r="E187" t="s">
        <v>119</v>
      </c>
      <c r="F187" t="s">
        <v>120</v>
      </c>
      <c r="G187" t="s">
        <v>121</v>
      </c>
      <c r="H187" t="s">
        <v>121</v>
      </c>
      <c r="I187" s="11" t="s">
        <v>1033</v>
      </c>
      <c r="J187" t="s">
        <v>122</v>
      </c>
      <c r="K187" t="s">
        <v>123</v>
      </c>
      <c r="L187" t="str">
        <f>CONCATENATE(K187," ",J187)</f>
        <v>FRANK LISKOVEC</v>
      </c>
      <c r="M187" t="s">
        <v>57</v>
      </c>
      <c r="N187" s="1">
        <v>46157</v>
      </c>
      <c r="P187" s="1">
        <v>46218</v>
      </c>
      <c r="Q187" s="2">
        <v>15</v>
      </c>
      <c r="R187" t="s">
        <v>58</v>
      </c>
      <c r="S187" s="3">
        <v>0.38</v>
      </c>
      <c r="T187" t="s">
        <v>60</v>
      </c>
      <c r="U187" t="s">
        <v>239</v>
      </c>
      <c r="V187" s="2">
        <v>5.7</v>
      </c>
      <c r="W187" s="2">
        <v>0</v>
      </c>
      <c r="X187" s="2">
        <v>0</v>
      </c>
      <c r="Y187" t="s">
        <v>238</v>
      </c>
      <c r="Z187" t="s">
        <v>1063</v>
      </c>
    </row>
    <row r="188" spans="1:26" x14ac:dyDescent="0.25">
      <c r="A188">
        <v>2030028580</v>
      </c>
      <c r="B188" t="s">
        <v>848</v>
      </c>
      <c r="C188" t="s">
        <v>849</v>
      </c>
      <c r="D188" t="str">
        <f>CONCATENATE(C188," ",B188)</f>
        <v>JOEL LOREDO</v>
      </c>
      <c r="E188" t="s">
        <v>119</v>
      </c>
      <c r="F188" t="s">
        <v>120</v>
      </c>
      <c r="G188" t="s">
        <v>121</v>
      </c>
      <c r="H188" t="s">
        <v>121</v>
      </c>
      <c r="I188" s="11" t="s">
        <v>1002</v>
      </c>
      <c r="J188" t="s">
        <v>321</v>
      </c>
      <c r="K188" t="s">
        <v>94</v>
      </c>
      <c r="L188" t="str">
        <f>CONCATENATE(K188," ",J188)</f>
        <v>ANDREA PETRUNGARO</v>
      </c>
      <c r="M188" t="s">
        <v>57</v>
      </c>
      <c r="N188" s="1">
        <v>45857</v>
      </c>
      <c r="P188" s="1">
        <v>46222</v>
      </c>
      <c r="Q188" s="2">
        <v>15</v>
      </c>
      <c r="R188" t="s">
        <v>58</v>
      </c>
      <c r="S188" s="3">
        <v>0.38</v>
      </c>
      <c r="T188" t="s">
        <v>60</v>
      </c>
      <c r="U188" t="s">
        <v>239</v>
      </c>
      <c r="V188" s="2">
        <v>5.7</v>
      </c>
      <c r="W188" s="2">
        <v>5.7</v>
      </c>
      <c r="X188" s="2">
        <v>5.7</v>
      </c>
      <c r="Y188" t="s">
        <v>238</v>
      </c>
      <c r="Z188" t="s">
        <v>1062</v>
      </c>
    </row>
    <row r="189" spans="1:26" x14ac:dyDescent="0.25">
      <c r="A189">
        <v>2030558289</v>
      </c>
      <c r="B189" t="s">
        <v>620</v>
      </c>
      <c r="C189" t="s">
        <v>850</v>
      </c>
      <c r="D189" t="str">
        <f>CONCATENATE(C189," ",B189)</f>
        <v>RICHARD SMITH</v>
      </c>
      <c r="E189" t="s">
        <v>186</v>
      </c>
      <c r="F189" t="s">
        <v>120</v>
      </c>
      <c r="G189" t="s">
        <v>121</v>
      </c>
      <c r="H189" t="s">
        <v>121</v>
      </c>
      <c r="I189" s="11">
        <v>17425766</v>
      </c>
      <c r="J189" t="s">
        <v>158</v>
      </c>
      <c r="K189" t="s">
        <v>159</v>
      </c>
      <c r="L189" t="str">
        <f>CONCATENATE(K189," ",J189)</f>
        <v>CAROL FOLEY</v>
      </c>
      <c r="M189" t="s">
        <v>57</v>
      </c>
      <c r="N189" s="1">
        <v>45888</v>
      </c>
      <c r="P189" s="1">
        <v>46222</v>
      </c>
      <c r="Q189" s="2">
        <v>15</v>
      </c>
      <c r="R189" t="s">
        <v>58</v>
      </c>
      <c r="S189" s="3">
        <v>0.38</v>
      </c>
      <c r="T189" t="s">
        <v>60</v>
      </c>
      <c r="U189" t="s">
        <v>239</v>
      </c>
      <c r="V189" s="2">
        <v>5.7</v>
      </c>
      <c r="W189" s="2">
        <v>5.7</v>
      </c>
      <c r="X189" s="2">
        <v>5.7</v>
      </c>
      <c r="Y189" t="s">
        <v>238</v>
      </c>
      <c r="Z189" t="s">
        <v>1062</v>
      </c>
    </row>
    <row r="190" spans="1:26" x14ac:dyDescent="0.25">
      <c r="A190">
        <v>2031617149</v>
      </c>
      <c r="B190" t="s">
        <v>535</v>
      </c>
      <c r="C190" t="s">
        <v>335</v>
      </c>
      <c r="D190" t="str">
        <f>CONCATENATE(C190," ",B190)</f>
        <v>DAVID WHITE</v>
      </c>
      <c r="E190" t="s">
        <v>119</v>
      </c>
      <c r="F190" t="s">
        <v>120</v>
      </c>
      <c r="G190" t="s">
        <v>121</v>
      </c>
      <c r="H190" t="s">
        <v>121</v>
      </c>
      <c r="I190" s="11" t="s">
        <v>1033</v>
      </c>
      <c r="J190" t="s">
        <v>122</v>
      </c>
      <c r="K190" t="s">
        <v>123</v>
      </c>
      <c r="L190" t="str">
        <f>CONCATENATE(K190," ",J190)</f>
        <v>FRANK LISKOVEC</v>
      </c>
      <c r="M190" t="s">
        <v>57</v>
      </c>
      <c r="N190" s="1">
        <v>45945</v>
      </c>
      <c r="P190" s="1">
        <v>46218</v>
      </c>
      <c r="Q190" s="2">
        <v>15</v>
      </c>
      <c r="R190" t="s">
        <v>58</v>
      </c>
      <c r="S190" s="3">
        <v>0.38</v>
      </c>
      <c r="T190" t="s">
        <v>60</v>
      </c>
      <c r="U190" t="s">
        <v>239</v>
      </c>
      <c r="V190" s="2">
        <v>5.7</v>
      </c>
      <c r="W190" s="2">
        <v>5.7</v>
      </c>
      <c r="X190" s="2">
        <v>5.7</v>
      </c>
      <c r="Y190" t="s">
        <v>238</v>
      </c>
      <c r="Z190" t="s">
        <v>1062</v>
      </c>
    </row>
    <row r="191" spans="1:26" x14ac:dyDescent="0.25">
      <c r="A191">
        <v>2032445035</v>
      </c>
      <c r="B191" t="s">
        <v>384</v>
      </c>
      <c r="C191" t="s">
        <v>307</v>
      </c>
      <c r="D191" t="str">
        <f>CONCATENATE(C191," ",B191)</f>
        <v>WILLIAM RESURRECCION</v>
      </c>
      <c r="E191" t="s">
        <v>119</v>
      </c>
      <c r="F191" t="s">
        <v>120</v>
      </c>
      <c r="G191" t="s">
        <v>121</v>
      </c>
      <c r="H191" t="s">
        <v>121</v>
      </c>
      <c r="I191" s="11" t="s">
        <v>1027</v>
      </c>
      <c r="J191" t="s">
        <v>385</v>
      </c>
      <c r="K191" t="s">
        <v>386</v>
      </c>
      <c r="L191" t="str">
        <f>CONCATENATE(K191," ",J191)</f>
        <v>Andrew Choi</v>
      </c>
      <c r="M191" t="s">
        <v>57</v>
      </c>
      <c r="N191" s="1">
        <v>46006</v>
      </c>
      <c r="P191" s="1">
        <v>46218</v>
      </c>
      <c r="Q191" s="2">
        <v>15</v>
      </c>
      <c r="R191" t="s">
        <v>58</v>
      </c>
      <c r="S191" s="3">
        <v>0.38</v>
      </c>
      <c r="T191" t="s">
        <v>60</v>
      </c>
      <c r="U191" t="s">
        <v>239</v>
      </c>
      <c r="V191" s="2">
        <v>5.7</v>
      </c>
      <c r="W191" s="2">
        <v>5.7</v>
      </c>
      <c r="X191" s="2">
        <v>5.7</v>
      </c>
      <c r="Y191" t="s">
        <v>238</v>
      </c>
      <c r="Z191" t="s">
        <v>1064</v>
      </c>
    </row>
    <row r="192" spans="1:26" x14ac:dyDescent="0.25">
      <c r="A192">
        <v>2033115854</v>
      </c>
      <c r="B192" t="s">
        <v>620</v>
      </c>
      <c r="C192" t="s">
        <v>621</v>
      </c>
      <c r="D192" t="str">
        <f>CONCATENATE(C192," ",B192)</f>
        <v>FELICIA SMITH</v>
      </c>
      <c r="E192" t="s">
        <v>339</v>
      </c>
      <c r="F192" t="s">
        <v>120</v>
      </c>
      <c r="G192" t="s">
        <v>125</v>
      </c>
      <c r="H192" t="s">
        <v>999</v>
      </c>
      <c r="I192" s="11">
        <v>1706194</v>
      </c>
      <c r="J192" t="s">
        <v>619</v>
      </c>
      <c r="K192" t="s">
        <v>256</v>
      </c>
      <c r="L192" t="str">
        <f>CONCATENATE(K192," ",J192)</f>
        <v>MATTHEW DAUGHERTY</v>
      </c>
      <c r="M192" t="s">
        <v>57</v>
      </c>
      <c r="N192" s="1">
        <v>46035</v>
      </c>
      <c r="P192" s="1">
        <v>46216</v>
      </c>
      <c r="Q192" s="2">
        <v>15</v>
      </c>
      <c r="R192" t="s">
        <v>58</v>
      </c>
      <c r="S192" s="3">
        <v>0.28999999999999998</v>
      </c>
      <c r="T192" t="s">
        <v>60</v>
      </c>
      <c r="U192" t="s">
        <v>239</v>
      </c>
      <c r="V192" s="2">
        <v>4.3499999999999996</v>
      </c>
      <c r="W192" s="2">
        <v>0</v>
      </c>
      <c r="X192" s="2">
        <v>0</v>
      </c>
      <c r="Y192" t="s">
        <v>238</v>
      </c>
      <c r="Z192" t="s">
        <v>1062</v>
      </c>
    </row>
    <row r="193" spans="1:26" x14ac:dyDescent="0.25">
      <c r="A193">
        <v>2034097892</v>
      </c>
      <c r="B193" t="s">
        <v>281</v>
      </c>
      <c r="C193" t="s">
        <v>76</v>
      </c>
      <c r="D193" t="str">
        <f>CONCATENATE(C193," ",B193)</f>
        <v>STEPHANIE WILKINSON</v>
      </c>
      <c r="E193" t="s">
        <v>145</v>
      </c>
      <c r="F193" t="s">
        <v>120</v>
      </c>
      <c r="G193" t="s">
        <v>125</v>
      </c>
      <c r="H193" t="s">
        <v>999</v>
      </c>
      <c r="I193" s="11">
        <v>8977234</v>
      </c>
      <c r="J193" t="s">
        <v>85</v>
      </c>
      <c r="K193" t="s">
        <v>86</v>
      </c>
      <c r="L193" t="str">
        <f>CONCATENATE(K193," ",J193)</f>
        <v>RYAN CALTAGIRONE</v>
      </c>
      <c r="M193" t="s">
        <v>57</v>
      </c>
      <c r="N193" s="1">
        <v>46127</v>
      </c>
      <c r="P193" s="1">
        <v>46218</v>
      </c>
      <c r="Q193" s="2">
        <v>15</v>
      </c>
      <c r="R193" t="s">
        <v>58</v>
      </c>
      <c r="S193" s="3">
        <v>0.28999999999999998</v>
      </c>
      <c r="T193" t="s">
        <v>60</v>
      </c>
      <c r="U193" t="s">
        <v>239</v>
      </c>
      <c r="V193" s="2">
        <v>4.3499999999999996</v>
      </c>
      <c r="W193" s="2">
        <v>0</v>
      </c>
      <c r="X193" s="2">
        <v>0</v>
      </c>
      <c r="Y193" t="s">
        <v>238</v>
      </c>
      <c r="Z193" t="s">
        <v>1062</v>
      </c>
    </row>
    <row r="194" spans="1:26" x14ac:dyDescent="0.25">
      <c r="A194">
        <v>2034695181</v>
      </c>
      <c r="B194" t="s">
        <v>693</v>
      </c>
      <c r="C194" t="s">
        <v>694</v>
      </c>
      <c r="D194" t="str">
        <f>CONCATENATE(C194," ",B194)</f>
        <v>MARK YARBOROUGH</v>
      </c>
      <c r="E194" t="s">
        <v>165</v>
      </c>
      <c r="F194" t="s">
        <v>120</v>
      </c>
      <c r="G194" t="s">
        <v>125</v>
      </c>
      <c r="H194" t="s">
        <v>999</v>
      </c>
      <c r="I194" s="11">
        <v>8307933</v>
      </c>
      <c r="J194" t="s">
        <v>79</v>
      </c>
      <c r="K194" t="s">
        <v>80</v>
      </c>
      <c r="L194" t="str">
        <f>CONCATENATE(K194," ",J194)</f>
        <v>GREGORY TEIPEL</v>
      </c>
      <c r="M194" t="s">
        <v>57</v>
      </c>
      <c r="N194" s="1">
        <v>46127</v>
      </c>
      <c r="P194" s="1">
        <v>46218</v>
      </c>
      <c r="Q194" s="2">
        <v>15</v>
      </c>
      <c r="R194" t="s">
        <v>58</v>
      </c>
      <c r="S194" s="3">
        <v>0.28999999999999998</v>
      </c>
      <c r="T194" t="s">
        <v>60</v>
      </c>
      <c r="U194" t="s">
        <v>239</v>
      </c>
      <c r="V194" s="2">
        <v>4.3499999999999996</v>
      </c>
      <c r="W194" s="2">
        <v>0</v>
      </c>
      <c r="X194" s="2">
        <v>0</v>
      </c>
      <c r="Y194" t="s">
        <v>238</v>
      </c>
      <c r="Z194" t="s">
        <v>1062</v>
      </c>
    </row>
    <row r="195" spans="1:26" x14ac:dyDescent="0.25">
      <c r="A195">
        <v>2024372430</v>
      </c>
      <c r="B195" t="s">
        <v>760</v>
      </c>
      <c r="C195" t="s">
        <v>761</v>
      </c>
      <c r="D195" t="str">
        <f>CONCATENATE(C195," ",B195)</f>
        <v>LANDON BRITT</v>
      </c>
      <c r="E195" t="s">
        <v>681</v>
      </c>
      <c r="F195" t="s">
        <v>120</v>
      </c>
      <c r="G195" t="s">
        <v>125</v>
      </c>
      <c r="H195" t="s">
        <v>999</v>
      </c>
      <c r="I195" s="11">
        <v>17437820</v>
      </c>
      <c r="J195" t="s">
        <v>762</v>
      </c>
      <c r="K195" t="s">
        <v>763</v>
      </c>
      <c r="L195" t="str">
        <f>CONCATENATE(K195," ",J195)</f>
        <v>COLLEEN FINNIGAN</v>
      </c>
      <c r="M195" t="s">
        <v>57</v>
      </c>
      <c r="N195" s="1">
        <v>45518</v>
      </c>
      <c r="P195" s="1">
        <v>46217</v>
      </c>
      <c r="Q195" s="2">
        <v>15</v>
      </c>
      <c r="R195" t="s">
        <v>58</v>
      </c>
      <c r="S195" s="3">
        <v>0.28999999999999998</v>
      </c>
      <c r="T195" t="s">
        <v>238</v>
      </c>
      <c r="U195" t="s">
        <v>239</v>
      </c>
      <c r="V195" s="2">
        <v>4.3499999999999996</v>
      </c>
      <c r="W195" s="2">
        <v>4.3499999999999996</v>
      </c>
      <c r="X195" s="2">
        <v>4.3499999999999996</v>
      </c>
      <c r="Y195" t="s">
        <v>238</v>
      </c>
      <c r="Z195" t="s">
        <v>1062</v>
      </c>
    </row>
    <row r="196" spans="1:26" x14ac:dyDescent="0.25">
      <c r="A196">
        <v>2027080634</v>
      </c>
      <c r="B196" t="s">
        <v>843</v>
      </c>
      <c r="C196" t="s">
        <v>844</v>
      </c>
      <c r="D196" t="str">
        <f>CONCATENATE(C196," ",B196)</f>
        <v>MARYANN GALLARELLO</v>
      </c>
      <c r="E196" t="s">
        <v>845</v>
      </c>
      <c r="F196" t="s">
        <v>120</v>
      </c>
      <c r="G196" t="s">
        <v>125</v>
      </c>
      <c r="H196" t="s">
        <v>999</v>
      </c>
      <c r="I196" s="11">
        <v>7470776</v>
      </c>
      <c r="J196" t="s">
        <v>385</v>
      </c>
      <c r="K196" t="s">
        <v>386</v>
      </c>
      <c r="L196" t="str">
        <f>CONCATENATE(K196," ",J196)</f>
        <v>Andrew Choi</v>
      </c>
      <c r="M196" t="s">
        <v>57</v>
      </c>
      <c r="N196" s="1">
        <v>45701</v>
      </c>
      <c r="P196" s="1">
        <v>46216</v>
      </c>
      <c r="Q196" s="2">
        <v>15</v>
      </c>
      <c r="R196" t="s">
        <v>58</v>
      </c>
      <c r="S196" s="3">
        <v>0.28999999999999998</v>
      </c>
      <c r="T196" t="s">
        <v>238</v>
      </c>
      <c r="U196" t="s">
        <v>239</v>
      </c>
      <c r="V196" s="2">
        <v>4.3499999999999996</v>
      </c>
      <c r="W196" s="2">
        <v>4.3499999999999996</v>
      </c>
      <c r="X196" s="2">
        <v>4.3499999999999996</v>
      </c>
      <c r="Y196" t="s">
        <v>238</v>
      </c>
      <c r="Z196" t="s">
        <v>1062</v>
      </c>
    </row>
    <row r="197" spans="1:26" x14ac:dyDescent="0.25">
      <c r="A197">
        <v>2028437289</v>
      </c>
      <c r="B197" t="s">
        <v>846</v>
      </c>
      <c r="C197" t="s">
        <v>847</v>
      </c>
      <c r="D197" t="str">
        <f>CONCATENATE(C197," ",B197)</f>
        <v>GYORGYI NOVAC</v>
      </c>
      <c r="E197" t="s">
        <v>165</v>
      </c>
      <c r="F197" t="s">
        <v>120</v>
      </c>
      <c r="G197" t="s">
        <v>125</v>
      </c>
      <c r="H197" t="s">
        <v>999</v>
      </c>
      <c r="I197" s="11">
        <v>8977234</v>
      </c>
      <c r="J197" t="s">
        <v>85</v>
      </c>
      <c r="K197" t="s">
        <v>86</v>
      </c>
      <c r="L197" t="str">
        <f>CONCATENATE(K197," ",J197)</f>
        <v>RYAN CALTAGIRONE</v>
      </c>
      <c r="M197" t="s">
        <v>57</v>
      </c>
      <c r="N197" s="1">
        <v>45764</v>
      </c>
      <c r="P197" s="1">
        <v>46220</v>
      </c>
      <c r="Q197" s="2">
        <v>15</v>
      </c>
      <c r="R197" t="s">
        <v>58</v>
      </c>
      <c r="S197" s="3">
        <v>0.28999999999999998</v>
      </c>
      <c r="T197" t="s">
        <v>238</v>
      </c>
      <c r="U197" t="s">
        <v>239</v>
      </c>
      <c r="V197" s="2">
        <v>4.3499999999999996</v>
      </c>
      <c r="W197" s="2">
        <v>4.3499999999999996</v>
      </c>
      <c r="X197" s="2">
        <v>4.3499999999999996</v>
      </c>
      <c r="Y197" t="s">
        <v>238</v>
      </c>
      <c r="Z197" t="s">
        <v>1062</v>
      </c>
    </row>
    <row r="198" spans="1:26" x14ac:dyDescent="0.25">
      <c r="A198">
        <v>2032203620</v>
      </c>
      <c r="B198" t="s">
        <v>501</v>
      </c>
      <c r="C198" t="s">
        <v>262</v>
      </c>
      <c r="D198" t="str">
        <f>CONCATENATE(C198," ",B198)</f>
        <v>TIMOTHY LOVING</v>
      </c>
      <c r="E198" t="s">
        <v>95</v>
      </c>
      <c r="F198" t="s">
        <v>120</v>
      </c>
      <c r="G198" t="s">
        <v>125</v>
      </c>
      <c r="H198" t="s">
        <v>999</v>
      </c>
      <c r="I198" s="11">
        <v>21605264</v>
      </c>
      <c r="J198" t="s">
        <v>502</v>
      </c>
      <c r="K198" t="s">
        <v>503</v>
      </c>
      <c r="L198" t="str">
        <f>CONCATENATE(K198," ",J198)</f>
        <v>Erica Solivan</v>
      </c>
      <c r="M198" t="s">
        <v>57</v>
      </c>
      <c r="N198" s="1">
        <v>45978</v>
      </c>
      <c r="P198" s="1">
        <v>46220</v>
      </c>
      <c r="Q198" s="2">
        <v>15</v>
      </c>
      <c r="R198" t="s">
        <v>58</v>
      </c>
      <c r="S198" s="3">
        <v>0.28999999999999998</v>
      </c>
      <c r="T198" t="s">
        <v>60</v>
      </c>
      <c r="U198" t="s">
        <v>239</v>
      </c>
      <c r="V198" s="2">
        <v>4.3499999999999996</v>
      </c>
      <c r="W198" s="2">
        <v>4.3499999999999996</v>
      </c>
      <c r="X198" s="2">
        <v>4.3499999999999996</v>
      </c>
      <c r="Y198" t="s">
        <v>238</v>
      </c>
      <c r="Z198" t="s">
        <v>1062</v>
      </c>
    </row>
    <row r="199" spans="1:26" x14ac:dyDescent="0.25">
      <c r="A199">
        <v>2033132190</v>
      </c>
      <c r="B199" t="s">
        <v>629</v>
      </c>
      <c r="C199" t="s">
        <v>630</v>
      </c>
      <c r="D199" t="str">
        <f>CONCATENATE(C199," ",B199)</f>
        <v>ANDREW WATSON</v>
      </c>
      <c r="E199" t="s">
        <v>209</v>
      </c>
      <c r="F199" t="s">
        <v>120</v>
      </c>
      <c r="G199" t="s">
        <v>817</v>
      </c>
      <c r="H199" t="s">
        <v>817</v>
      </c>
      <c r="I199" s="11">
        <v>20724564</v>
      </c>
      <c r="J199" t="s">
        <v>229</v>
      </c>
      <c r="K199" t="s">
        <v>230</v>
      </c>
      <c r="L199" t="str">
        <f>CONCATENATE(K199," ",J199)</f>
        <v>Marsha Sanderock</v>
      </c>
      <c r="M199" t="s">
        <v>57</v>
      </c>
      <c r="N199" s="1">
        <v>46037</v>
      </c>
      <c r="P199" s="1">
        <v>46218</v>
      </c>
      <c r="Q199" s="2">
        <v>15</v>
      </c>
      <c r="R199" t="s">
        <v>58</v>
      </c>
      <c r="S199" s="3">
        <v>0.19</v>
      </c>
      <c r="T199" t="s">
        <v>60</v>
      </c>
      <c r="U199" t="s">
        <v>239</v>
      </c>
      <c r="V199" s="2">
        <v>2.85</v>
      </c>
      <c r="W199" s="2">
        <v>0</v>
      </c>
      <c r="X199" s="2">
        <v>0</v>
      </c>
      <c r="Y199" t="s">
        <v>238</v>
      </c>
      <c r="Z199" t="s">
        <v>1064</v>
      </c>
    </row>
    <row r="200" spans="1:26" x14ac:dyDescent="0.25">
      <c r="A200">
        <v>2033621993</v>
      </c>
      <c r="B200" t="s">
        <v>187</v>
      </c>
      <c r="C200" t="s">
        <v>650</v>
      </c>
      <c r="D200" t="str">
        <f>CONCATENATE(C200," ",B200)</f>
        <v>SAVANNAH BERRY</v>
      </c>
      <c r="E200" t="s">
        <v>209</v>
      </c>
      <c r="F200" t="s">
        <v>120</v>
      </c>
      <c r="G200" t="s">
        <v>817</v>
      </c>
      <c r="H200" t="s">
        <v>817</v>
      </c>
      <c r="I200" s="11" t="s">
        <v>1045</v>
      </c>
      <c r="J200" t="s">
        <v>651</v>
      </c>
      <c r="K200" t="s">
        <v>652</v>
      </c>
      <c r="L200" t="str">
        <f>CONCATENATE(K200," ",J200)</f>
        <v>Danna Green</v>
      </c>
      <c r="M200" t="s">
        <v>57</v>
      </c>
      <c r="N200" s="1">
        <v>46066</v>
      </c>
      <c r="P200" s="1">
        <v>46216</v>
      </c>
      <c r="Q200" s="2">
        <v>15</v>
      </c>
      <c r="R200" t="s">
        <v>58</v>
      </c>
      <c r="S200" s="3">
        <v>0.19</v>
      </c>
      <c r="T200" t="s">
        <v>60</v>
      </c>
      <c r="U200" t="s">
        <v>239</v>
      </c>
      <c r="V200" s="2">
        <v>2.85</v>
      </c>
      <c r="W200" s="2">
        <v>0</v>
      </c>
      <c r="X200" s="2">
        <v>0</v>
      </c>
      <c r="Y200" t="s">
        <v>238</v>
      </c>
      <c r="Z200" t="s">
        <v>1063</v>
      </c>
    </row>
    <row r="201" spans="1:26" x14ac:dyDescent="0.25">
      <c r="A201">
        <v>2034306135</v>
      </c>
      <c r="B201" t="s">
        <v>675</v>
      </c>
      <c r="C201" t="s">
        <v>227</v>
      </c>
      <c r="D201" t="str">
        <f>CONCATENATE(C201," ",B201)</f>
        <v>MICHAEL KILEY</v>
      </c>
      <c r="E201" t="s">
        <v>209</v>
      </c>
      <c r="F201" t="s">
        <v>120</v>
      </c>
      <c r="G201" t="s">
        <v>817</v>
      </c>
      <c r="H201" t="s">
        <v>817</v>
      </c>
      <c r="I201" s="11">
        <v>8307933</v>
      </c>
      <c r="J201" t="s">
        <v>79</v>
      </c>
      <c r="K201" t="s">
        <v>80</v>
      </c>
      <c r="L201" t="str">
        <f>CONCATENATE(K201," ",J201)</f>
        <v>GREGORY TEIPEL</v>
      </c>
      <c r="M201" t="s">
        <v>57</v>
      </c>
      <c r="N201" s="1">
        <v>46094</v>
      </c>
      <c r="P201" s="1">
        <v>46216</v>
      </c>
      <c r="Q201" s="2">
        <v>15</v>
      </c>
      <c r="R201" t="s">
        <v>58</v>
      </c>
      <c r="S201" s="3">
        <v>0.19</v>
      </c>
      <c r="T201" t="s">
        <v>60</v>
      </c>
      <c r="U201" t="s">
        <v>239</v>
      </c>
      <c r="V201" s="2">
        <v>2.85</v>
      </c>
      <c r="W201" s="2">
        <v>0</v>
      </c>
      <c r="X201" s="2">
        <v>0</v>
      </c>
      <c r="Y201" t="s">
        <v>238</v>
      </c>
      <c r="Z201" t="s">
        <v>1062</v>
      </c>
    </row>
    <row r="202" spans="1:26" x14ac:dyDescent="0.25">
      <c r="A202">
        <v>2034867130</v>
      </c>
      <c r="B202" t="s">
        <v>702</v>
      </c>
      <c r="C202" t="s">
        <v>703</v>
      </c>
      <c r="D202" t="str">
        <f>CONCATENATE(C202," ",B202)</f>
        <v>DERIC GAYDE</v>
      </c>
      <c r="E202" t="s">
        <v>209</v>
      </c>
      <c r="F202" t="s">
        <v>120</v>
      </c>
      <c r="G202" t="s">
        <v>817</v>
      </c>
      <c r="H202" t="s">
        <v>817</v>
      </c>
      <c r="I202" s="11" t="s">
        <v>1045</v>
      </c>
      <c r="J202" t="s">
        <v>651</v>
      </c>
      <c r="K202" t="s">
        <v>652</v>
      </c>
      <c r="L202" t="str">
        <f>CONCATENATE(K202," ",J202)</f>
        <v>Danna Green</v>
      </c>
      <c r="M202" t="s">
        <v>57</v>
      </c>
      <c r="N202" s="1">
        <v>46129</v>
      </c>
      <c r="P202" s="1">
        <v>46220</v>
      </c>
      <c r="Q202" s="2">
        <v>15</v>
      </c>
      <c r="R202" t="s">
        <v>58</v>
      </c>
      <c r="S202" s="3">
        <v>0.19</v>
      </c>
      <c r="T202" t="s">
        <v>60</v>
      </c>
      <c r="U202" t="s">
        <v>239</v>
      </c>
      <c r="V202" s="2">
        <v>2.85</v>
      </c>
      <c r="W202" s="2">
        <v>0</v>
      </c>
      <c r="X202" s="2">
        <v>0</v>
      </c>
      <c r="Y202" t="s">
        <v>238</v>
      </c>
      <c r="Z202" t="s">
        <v>1063</v>
      </c>
    </row>
    <row r="203" spans="1:26" x14ac:dyDescent="0.25">
      <c r="A203">
        <v>2031017071</v>
      </c>
      <c r="B203" t="s">
        <v>365</v>
      </c>
      <c r="C203" t="s">
        <v>227</v>
      </c>
      <c r="D203" t="str">
        <f>CONCATENATE(C203," ",B203)</f>
        <v>MICHAEL DECKARD</v>
      </c>
      <c r="E203" t="s">
        <v>209</v>
      </c>
      <c r="F203" t="s">
        <v>120</v>
      </c>
      <c r="G203" t="s">
        <v>817</v>
      </c>
      <c r="H203" t="s">
        <v>817</v>
      </c>
      <c r="I203" s="11" t="s">
        <v>1023</v>
      </c>
      <c r="J203" t="s">
        <v>229</v>
      </c>
      <c r="K203" t="s">
        <v>230</v>
      </c>
      <c r="L203" t="str">
        <f>CONCATENATE(K203," ",J203)</f>
        <v>Marsha Sanderock</v>
      </c>
      <c r="M203" t="s">
        <v>57</v>
      </c>
      <c r="N203" s="1">
        <v>45913</v>
      </c>
      <c r="P203" s="1">
        <v>46216</v>
      </c>
      <c r="Q203" s="2">
        <v>15</v>
      </c>
      <c r="R203" t="s">
        <v>58</v>
      </c>
      <c r="S203" s="3">
        <v>0.19</v>
      </c>
      <c r="T203" t="s">
        <v>60</v>
      </c>
      <c r="U203" t="s">
        <v>239</v>
      </c>
      <c r="V203" s="2">
        <v>2.85</v>
      </c>
      <c r="W203" s="2">
        <v>2.85</v>
      </c>
      <c r="X203" s="2">
        <v>2.85</v>
      </c>
      <c r="Y203" t="s">
        <v>238</v>
      </c>
      <c r="Z203" t="s">
        <v>1062</v>
      </c>
    </row>
    <row r="204" spans="1:26" x14ac:dyDescent="0.25">
      <c r="A204">
        <v>2031110933</v>
      </c>
      <c r="B204" t="s">
        <v>765</v>
      </c>
      <c r="C204" t="s">
        <v>766</v>
      </c>
      <c r="D204" t="str">
        <f>CONCATENATE(C204," ",B204)</f>
        <v>MAKENNA BERTSCH</v>
      </c>
      <c r="E204" t="s">
        <v>209</v>
      </c>
      <c r="F204" t="s">
        <v>120</v>
      </c>
      <c r="G204" t="s">
        <v>817</v>
      </c>
      <c r="H204" t="s">
        <v>817</v>
      </c>
      <c r="I204" s="11" t="s">
        <v>1023</v>
      </c>
      <c r="J204" t="s">
        <v>229</v>
      </c>
      <c r="K204" t="s">
        <v>230</v>
      </c>
      <c r="L204" t="str">
        <f>CONCATENATE(K204," ",J204)</f>
        <v>Marsha Sanderock</v>
      </c>
      <c r="M204" t="s">
        <v>57</v>
      </c>
      <c r="N204" s="1">
        <v>45918</v>
      </c>
      <c r="P204" s="1">
        <v>46221</v>
      </c>
      <c r="Q204" s="2">
        <v>15</v>
      </c>
      <c r="R204" t="s">
        <v>58</v>
      </c>
      <c r="S204" s="3">
        <v>0.19</v>
      </c>
      <c r="T204" t="s">
        <v>60</v>
      </c>
      <c r="U204" t="s">
        <v>239</v>
      </c>
      <c r="V204" s="2">
        <v>2.85</v>
      </c>
      <c r="W204" s="2">
        <v>2.85</v>
      </c>
      <c r="X204" s="2">
        <v>2.85</v>
      </c>
      <c r="Y204" t="s">
        <v>238</v>
      </c>
      <c r="Z204" t="s">
        <v>1062</v>
      </c>
    </row>
    <row r="205" spans="1:26" x14ac:dyDescent="0.25">
      <c r="A205">
        <v>2032175763</v>
      </c>
      <c r="B205" t="s">
        <v>768</v>
      </c>
      <c r="C205" t="s">
        <v>666</v>
      </c>
      <c r="D205" t="str">
        <f>CONCATENATE(C205," ",B205)</f>
        <v>KRISTEN RIDER</v>
      </c>
      <c r="E205" t="s">
        <v>209</v>
      </c>
      <c r="F205" t="s">
        <v>120</v>
      </c>
      <c r="G205" t="s">
        <v>817</v>
      </c>
      <c r="H205" t="s">
        <v>817</v>
      </c>
      <c r="I205" s="11" t="s">
        <v>1051</v>
      </c>
      <c r="J205" t="s">
        <v>769</v>
      </c>
      <c r="K205" t="s">
        <v>770</v>
      </c>
      <c r="L205" t="str">
        <f>CONCATENATE(K205," ",J205)</f>
        <v>Dominic Lytle</v>
      </c>
      <c r="M205" t="s">
        <v>57</v>
      </c>
      <c r="N205" s="1">
        <v>45976</v>
      </c>
      <c r="P205" s="1">
        <v>46218</v>
      </c>
      <c r="Q205" s="2">
        <v>15</v>
      </c>
      <c r="R205" t="s">
        <v>58</v>
      </c>
      <c r="S205" s="3">
        <v>0.19</v>
      </c>
      <c r="T205" t="s">
        <v>60</v>
      </c>
      <c r="U205" t="s">
        <v>239</v>
      </c>
      <c r="V205" s="2">
        <v>2.85</v>
      </c>
      <c r="W205" s="2">
        <v>2.85</v>
      </c>
      <c r="X205" s="2">
        <v>2.85</v>
      </c>
      <c r="Y205" t="s">
        <v>238</v>
      </c>
      <c r="Z205" t="s">
        <v>1062</v>
      </c>
    </row>
    <row r="206" spans="1:26" x14ac:dyDescent="0.25">
      <c r="A206">
        <v>2035473801</v>
      </c>
      <c r="B206" t="s">
        <v>748</v>
      </c>
      <c r="C206" t="s">
        <v>256</v>
      </c>
      <c r="D206" t="str">
        <f>CONCATENATE(C206," ",B206)</f>
        <v>MATTHEW SANBORN</v>
      </c>
      <c r="E206" t="s">
        <v>83</v>
      </c>
      <c r="F206" t="s">
        <v>120</v>
      </c>
      <c r="G206" t="s">
        <v>132</v>
      </c>
      <c r="H206" t="s">
        <v>132</v>
      </c>
      <c r="I206" s="11">
        <v>19491313</v>
      </c>
      <c r="J206" t="s">
        <v>133</v>
      </c>
      <c r="K206" t="s">
        <v>134</v>
      </c>
      <c r="L206" t="str">
        <f>CONCATENATE(K206," ",J206)</f>
        <v>Steven Brandt</v>
      </c>
      <c r="M206" t="s">
        <v>57</v>
      </c>
      <c r="N206" s="1">
        <v>46157</v>
      </c>
      <c r="P206" s="1">
        <v>46218</v>
      </c>
      <c r="Q206" s="2">
        <v>15</v>
      </c>
      <c r="R206" t="s">
        <v>58</v>
      </c>
      <c r="S206" s="3">
        <v>0.19</v>
      </c>
      <c r="T206" t="s">
        <v>60</v>
      </c>
      <c r="U206" t="s">
        <v>239</v>
      </c>
      <c r="V206" s="2">
        <v>2.85</v>
      </c>
      <c r="W206" s="2">
        <v>0</v>
      </c>
      <c r="X206" s="2">
        <v>0</v>
      </c>
      <c r="Y206" t="s">
        <v>238</v>
      </c>
      <c r="Z206" t="s">
        <v>1062</v>
      </c>
    </row>
    <row r="207" spans="1:26" x14ac:dyDescent="0.25">
      <c r="A207">
        <v>2033127916</v>
      </c>
      <c r="B207" t="s">
        <v>854</v>
      </c>
      <c r="C207" t="s">
        <v>855</v>
      </c>
      <c r="D207" t="str">
        <f>CONCATENATE(C207," ",B207)</f>
        <v>KIMBERLY SMITHSON</v>
      </c>
      <c r="E207" t="s">
        <v>83</v>
      </c>
      <c r="F207" t="s">
        <v>120</v>
      </c>
      <c r="G207" t="s">
        <v>811</v>
      </c>
      <c r="H207" t="s">
        <v>811</v>
      </c>
      <c r="I207" s="11">
        <v>8977234</v>
      </c>
      <c r="J207" t="s">
        <v>85</v>
      </c>
      <c r="K207" t="s">
        <v>86</v>
      </c>
      <c r="L207" t="str">
        <f>CONCATENATE(K207," ",J207)</f>
        <v>RYAN CALTAGIRONE</v>
      </c>
      <c r="M207" t="s">
        <v>57</v>
      </c>
      <c r="N207" s="1">
        <v>46038</v>
      </c>
      <c r="P207" s="1">
        <v>46219</v>
      </c>
      <c r="Q207" s="2">
        <v>15</v>
      </c>
      <c r="R207" t="s">
        <v>58</v>
      </c>
      <c r="S207" s="3">
        <v>0.38</v>
      </c>
      <c r="T207" t="s">
        <v>60</v>
      </c>
      <c r="U207" t="s">
        <v>239</v>
      </c>
      <c r="V207" s="2">
        <v>5.7</v>
      </c>
      <c r="W207" s="2">
        <v>0</v>
      </c>
      <c r="X207" s="2">
        <v>0</v>
      </c>
      <c r="Y207" t="s">
        <v>238</v>
      </c>
      <c r="Z207" t="s">
        <v>1062</v>
      </c>
    </row>
    <row r="208" spans="1:26" x14ac:dyDescent="0.25">
      <c r="A208">
        <v>2034385371</v>
      </c>
      <c r="B208" t="s">
        <v>684</v>
      </c>
      <c r="C208" t="s">
        <v>685</v>
      </c>
      <c r="D208" t="str">
        <f>CONCATENATE(C208," ",B208)</f>
        <v>AXEL CASTELLANOS</v>
      </c>
      <c r="E208" t="s">
        <v>119</v>
      </c>
      <c r="F208" t="s">
        <v>120</v>
      </c>
      <c r="G208" t="s">
        <v>811</v>
      </c>
      <c r="H208" t="s">
        <v>811</v>
      </c>
      <c r="I208" s="11" t="s">
        <v>1038</v>
      </c>
      <c r="J208" t="s">
        <v>521</v>
      </c>
      <c r="K208" t="s">
        <v>370</v>
      </c>
      <c r="L208" t="str">
        <f>CONCATENATE(K208," ",J208)</f>
        <v>JOSE TORRES</v>
      </c>
      <c r="M208" t="s">
        <v>57</v>
      </c>
      <c r="N208" s="1">
        <v>46098</v>
      </c>
      <c r="P208" s="1">
        <v>46220</v>
      </c>
      <c r="Q208" s="2">
        <v>15</v>
      </c>
      <c r="R208" t="s">
        <v>58</v>
      </c>
      <c r="S208" s="3">
        <v>0.38</v>
      </c>
      <c r="T208" t="s">
        <v>60</v>
      </c>
      <c r="U208" t="s">
        <v>239</v>
      </c>
      <c r="V208" s="2">
        <v>5.7</v>
      </c>
      <c r="W208" s="2">
        <v>0</v>
      </c>
      <c r="X208" s="2">
        <v>0</v>
      </c>
      <c r="Y208" t="s">
        <v>238</v>
      </c>
      <c r="Z208" t="s">
        <v>1063</v>
      </c>
    </row>
    <row r="209" spans="1:26" x14ac:dyDescent="0.25">
      <c r="A209">
        <v>2023867556</v>
      </c>
      <c r="B209" t="s">
        <v>80</v>
      </c>
      <c r="C209" t="s">
        <v>842</v>
      </c>
      <c r="D209" t="str">
        <f>CONCATENATE(C209," ",B209)</f>
        <v>JULIAN GREGORY</v>
      </c>
      <c r="E209" t="s">
        <v>52</v>
      </c>
      <c r="F209" t="s">
        <v>120</v>
      </c>
      <c r="G209" t="s">
        <v>811</v>
      </c>
      <c r="H209" t="s">
        <v>811</v>
      </c>
      <c r="I209" s="11">
        <v>17425766</v>
      </c>
      <c r="J209" t="s">
        <v>158</v>
      </c>
      <c r="K209" t="s">
        <v>159</v>
      </c>
      <c r="L209" t="str">
        <f>CONCATENATE(K209," ",J209)</f>
        <v>CAROL FOLEY</v>
      </c>
      <c r="M209" t="s">
        <v>57</v>
      </c>
      <c r="N209" s="1">
        <v>45483</v>
      </c>
      <c r="P209" s="1">
        <v>46213</v>
      </c>
      <c r="Q209" s="2">
        <v>15</v>
      </c>
      <c r="R209" t="s">
        <v>58</v>
      </c>
      <c r="S209" s="3">
        <v>0.1</v>
      </c>
      <c r="T209" t="s">
        <v>238</v>
      </c>
      <c r="U209" t="s">
        <v>239</v>
      </c>
      <c r="V209" s="2">
        <v>1.5</v>
      </c>
      <c r="W209" s="2">
        <v>1.5</v>
      </c>
      <c r="X209" s="2">
        <v>1.5</v>
      </c>
      <c r="Y209" t="s">
        <v>238</v>
      </c>
      <c r="Z209" t="s">
        <v>1062</v>
      </c>
    </row>
    <row r="210" spans="1:26" x14ac:dyDescent="0.25">
      <c r="A210">
        <v>2024853076</v>
      </c>
      <c r="B210" t="s">
        <v>394</v>
      </c>
      <c r="C210" t="s">
        <v>395</v>
      </c>
      <c r="D210" t="str">
        <f>CONCATENATE(C210," ",B210)</f>
        <v>BERNARDO CARVALHO</v>
      </c>
      <c r="E210" t="s">
        <v>95</v>
      </c>
      <c r="F210" t="s">
        <v>120</v>
      </c>
      <c r="G210" t="s">
        <v>811</v>
      </c>
      <c r="H210" t="s">
        <v>811</v>
      </c>
      <c r="I210" s="11">
        <v>17425766</v>
      </c>
      <c r="J210" t="s">
        <v>158</v>
      </c>
      <c r="K210" t="s">
        <v>159</v>
      </c>
      <c r="L210" t="str">
        <f>CONCATENATE(K210," ",J210)</f>
        <v>CAROL FOLEY</v>
      </c>
      <c r="M210" t="s">
        <v>57</v>
      </c>
      <c r="N210" s="1">
        <v>45550</v>
      </c>
      <c r="P210" s="1">
        <v>46218</v>
      </c>
      <c r="Q210" s="2">
        <v>15</v>
      </c>
      <c r="R210" t="s">
        <v>58</v>
      </c>
      <c r="S210" s="3">
        <v>0.1</v>
      </c>
      <c r="T210" t="s">
        <v>238</v>
      </c>
      <c r="U210" t="s">
        <v>239</v>
      </c>
      <c r="V210" s="2">
        <v>1.5</v>
      </c>
      <c r="W210" s="2">
        <v>1.5</v>
      </c>
      <c r="X210" s="2">
        <v>1.5</v>
      </c>
      <c r="Y210" t="s">
        <v>238</v>
      </c>
      <c r="Z210" t="s">
        <v>1062</v>
      </c>
    </row>
    <row r="211" spans="1:26" x14ac:dyDescent="0.25">
      <c r="A211">
        <v>2026586623</v>
      </c>
      <c r="B211" t="s">
        <v>423</v>
      </c>
      <c r="C211" t="s">
        <v>424</v>
      </c>
      <c r="D211" t="str">
        <f>CONCATENATE(C211," ",B211)</f>
        <v>ALEXANDRA STOCKTON</v>
      </c>
      <c r="E211" t="s">
        <v>234</v>
      </c>
      <c r="F211" t="s">
        <v>120</v>
      </c>
      <c r="G211" t="s">
        <v>811</v>
      </c>
      <c r="H211" t="s">
        <v>811</v>
      </c>
      <c r="I211" s="11" t="s">
        <v>1029</v>
      </c>
      <c r="J211" t="s">
        <v>419</v>
      </c>
      <c r="K211" t="s">
        <v>420</v>
      </c>
      <c r="L211" t="str">
        <f>CONCATENATE(K211," ",J211)</f>
        <v>JARED KINYUA</v>
      </c>
      <c r="M211" t="s">
        <v>57</v>
      </c>
      <c r="N211" s="1">
        <v>45672</v>
      </c>
      <c r="P211" s="1">
        <v>46218</v>
      </c>
      <c r="Q211" s="2">
        <v>15</v>
      </c>
      <c r="R211" t="s">
        <v>58</v>
      </c>
      <c r="S211" s="3">
        <v>0.1</v>
      </c>
      <c r="T211" t="s">
        <v>238</v>
      </c>
      <c r="U211" t="s">
        <v>239</v>
      </c>
      <c r="V211" s="2">
        <v>1.5</v>
      </c>
      <c r="W211" s="2">
        <v>1.5</v>
      </c>
      <c r="X211" s="2">
        <v>1.5</v>
      </c>
      <c r="Y211" t="s">
        <v>238</v>
      </c>
      <c r="Z211" t="s">
        <v>1062</v>
      </c>
    </row>
    <row r="212" spans="1:26" x14ac:dyDescent="0.25">
      <c r="A212">
        <v>2027849976</v>
      </c>
      <c r="B212" t="s">
        <v>436</v>
      </c>
      <c r="C212" t="s">
        <v>437</v>
      </c>
      <c r="D212" t="str">
        <f>CONCATENATE(C212," ",B212)</f>
        <v>CHAD DIXON</v>
      </c>
      <c r="E212" t="s">
        <v>438</v>
      </c>
      <c r="F212" t="s">
        <v>120</v>
      </c>
      <c r="G212" t="s">
        <v>811</v>
      </c>
      <c r="H212" t="s">
        <v>811</v>
      </c>
      <c r="I212" s="11">
        <v>17425766</v>
      </c>
      <c r="J212" t="s">
        <v>158</v>
      </c>
      <c r="K212" t="s">
        <v>159</v>
      </c>
      <c r="L212" t="str">
        <f>CONCATENATE(K212," ",J212)</f>
        <v>CAROL FOLEY</v>
      </c>
      <c r="M212" t="s">
        <v>57</v>
      </c>
      <c r="N212" s="1">
        <v>45733</v>
      </c>
      <c r="P212" s="1">
        <v>46220</v>
      </c>
      <c r="Q212" s="2">
        <v>15</v>
      </c>
      <c r="R212" t="s">
        <v>58</v>
      </c>
      <c r="S212" s="3">
        <v>0.1</v>
      </c>
      <c r="T212" t="s">
        <v>238</v>
      </c>
      <c r="U212" t="s">
        <v>239</v>
      </c>
      <c r="V212" s="2">
        <v>1.5</v>
      </c>
      <c r="W212" s="2">
        <v>1.5</v>
      </c>
      <c r="X212" s="2">
        <v>1.5</v>
      </c>
      <c r="Y212" t="s">
        <v>238</v>
      </c>
      <c r="Z212" t="s">
        <v>1062</v>
      </c>
    </row>
    <row r="213" spans="1:26" x14ac:dyDescent="0.25">
      <c r="A213">
        <v>2032695214</v>
      </c>
      <c r="B213" t="s">
        <v>851</v>
      </c>
      <c r="C213" t="s">
        <v>852</v>
      </c>
      <c r="D213" t="str">
        <f>CONCATENATE(C213," ",B213)</f>
        <v>HUNTER BEVERIDGE</v>
      </c>
      <c r="E213" t="s">
        <v>111</v>
      </c>
      <c r="F213" t="s">
        <v>120</v>
      </c>
      <c r="G213" t="s">
        <v>811</v>
      </c>
      <c r="H213" t="s">
        <v>811</v>
      </c>
      <c r="I213" s="11" t="s">
        <v>1044</v>
      </c>
      <c r="J213" t="s">
        <v>595</v>
      </c>
      <c r="K213" t="s">
        <v>596</v>
      </c>
      <c r="L213" t="str">
        <f>CONCATENATE(K213," ",J213)</f>
        <v>Raluca Cheregi</v>
      </c>
      <c r="M213" t="s">
        <v>57</v>
      </c>
      <c r="N213" s="1">
        <v>46007</v>
      </c>
      <c r="P213" s="1">
        <v>46219</v>
      </c>
      <c r="Q213" s="2">
        <v>15</v>
      </c>
      <c r="R213" t="s">
        <v>58</v>
      </c>
      <c r="S213" s="3">
        <v>0.38</v>
      </c>
      <c r="T213" t="s">
        <v>60</v>
      </c>
      <c r="U213" t="s">
        <v>239</v>
      </c>
      <c r="V213" s="2">
        <v>5.7</v>
      </c>
      <c r="W213" s="2">
        <v>5.7</v>
      </c>
      <c r="X213" s="2">
        <v>5.7</v>
      </c>
      <c r="Y213" t="s">
        <v>238</v>
      </c>
      <c r="Z213" t="s">
        <v>1064</v>
      </c>
    </row>
    <row r="214" spans="1:26" x14ac:dyDescent="0.25">
      <c r="A214">
        <v>2032741115</v>
      </c>
      <c r="B214" t="s">
        <v>853</v>
      </c>
      <c r="C214" t="s">
        <v>494</v>
      </c>
      <c r="D214" t="str">
        <f>CONCATENATE(C214," ",B214)</f>
        <v>ROBERT CRISTIAN</v>
      </c>
      <c r="E214" t="s">
        <v>119</v>
      </c>
      <c r="F214" t="s">
        <v>120</v>
      </c>
      <c r="G214" t="s">
        <v>811</v>
      </c>
      <c r="H214" t="s">
        <v>811</v>
      </c>
      <c r="I214" s="11" t="s">
        <v>1044</v>
      </c>
      <c r="J214" t="s">
        <v>595</v>
      </c>
      <c r="K214" t="s">
        <v>596</v>
      </c>
      <c r="L214" t="str">
        <f>CONCATENATE(K214," ",J214)</f>
        <v>Raluca Cheregi</v>
      </c>
      <c r="M214" t="s">
        <v>57</v>
      </c>
      <c r="N214" s="1">
        <v>46009</v>
      </c>
      <c r="P214" s="1">
        <v>46221</v>
      </c>
      <c r="Q214" s="2">
        <v>15</v>
      </c>
      <c r="R214" t="s">
        <v>58</v>
      </c>
      <c r="S214" s="3">
        <v>0.38</v>
      </c>
      <c r="T214" t="s">
        <v>60</v>
      </c>
      <c r="U214" t="s">
        <v>239</v>
      </c>
      <c r="V214" s="2">
        <v>5.7</v>
      </c>
      <c r="W214" s="2">
        <v>5.7</v>
      </c>
      <c r="X214" s="2">
        <v>5.7</v>
      </c>
      <c r="Y214" t="s">
        <v>238</v>
      </c>
      <c r="Z214" t="s">
        <v>1064</v>
      </c>
    </row>
    <row r="215" spans="1:26" x14ac:dyDescent="0.25">
      <c r="A215">
        <v>2034097749</v>
      </c>
      <c r="B215" t="s">
        <v>281</v>
      </c>
      <c r="C215" t="s">
        <v>282</v>
      </c>
      <c r="D215" t="str">
        <f>CONCATENATE(C215," ",B215)</f>
        <v>HEWITT WILKINSON</v>
      </c>
      <c r="E215" t="s">
        <v>145</v>
      </c>
      <c r="F215" t="s">
        <v>173</v>
      </c>
      <c r="G215" t="s">
        <v>181</v>
      </c>
      <c r="H215" t="s">
        <v>1010</v>
      </c>
      <c r="I215" s="11">
        <v>8977234</v>
      </c>
      <c r="J215" t="s">
        <v>85</v>
      </c>
      <c r="K215" t="s">
        <v>86</v>
      </c>
      <c r="L215" t="str">
        <f>CONCATENATE(K215," ",J215)</f>
        <v>RYAN CALTAGIRONE</v>
      </c>
      <c r="M215" t="s">
        <v>57</v>
      </c>
      <c r="N215" s="1">
        <v>46127</v>
      </c>
      <c r="P215" s="1">
        <v>46218</v>
      </c>
      <c r="Q215" s="2">
        <v>218.73</v>
      </c>
      <c r="R215" t="s">
        <v>58</v>
      </c>
      <c r="S215" s="3">
        <v>0.19</v>
      </c>
      <c r="T215" t="s">
        <v>60</v>
      </c>
      <c r="U215" t="s">
        <v>239</v>
      </c>
      <c r="V215" s="2">
        <v>41.56</v>
      </c>
      <c r="W215" s="2">
        <v>0</v>
      </c>
      <c r="X215" s="2">
        <v>0</v>
      </c>
      <c r="Y215" t="s">
        <v>238</v>
      </c>
      <c r="Z215" t="s">
        <v>1062</v>
      </c>
    </row>
    <row r="216" spans="1:26" x14ac:dyDescent="0.25">
      <c r="A216">
        <v>2028958359</v>
      </c>
      <c r="B216" t="s">
        <v>334</v>
      </c>
      <c r="C216" t="s">
        <v>335</v>
      </c>
      <c r="D216" t="str">
        <f>CONCATENATE(C216," ",B216)</f>
        <v>DAVID WRING</v>
      </c>
      <c r="E216" t="s">
        <v>119</v>
      </c>
      <c r="F216" t="s">
        <v>120</v>
      </c>
      <c r="G216" t="s">
        <v>141</v>
      </c>
      <c r="H216" t="s">
        <v>1010</v>
      </c>
      <c r="I216" s="11">
        <v>8977234</v>
      </c>
      <c r="J216" t="s">
        <v>85</v>
      </c>
      <c r="K216" t="s">
        <v>86</v>
      </c>
      <c r="L216" t="str">
        <f>CONCATENATE(K216," ",J216)</f>
        <v>RYAN CALTAGIRONE</v>
      </c>
      <c r="M216" t="s">
        <v>57</v>
      </c>
      <c r="N216" s="1">
        <v>45793</v>
      </c>
      <c r="P216" s="1">
        <v>46219</v>
      </c>
      <c r="Q216" s="2">
        <v>15</v>
      </c>
      <c r="R216" t="s">
        <v>58</v>
      </c>
      <c r="S216" s="3">
        <v>0.05</v>
      </c>
      <c r="T216" t="s">
        <v>238</v>
      </c>
      <c r="U216" t="s">
        <v>239</v>
      </c>
      <c r="V216" s="2">
        <v>0.75</v>
      </c>
      <c r="W216" s="2">
        <v>0.75</v>
      </c>
      <c r="X216" s="2">
        <v>0.75</v>
      </c>
      <c r="Y216" t="s">
        <v>238</v>
      </c>
      <c r="Z216" t="s">
        <v>1062</v>
      </c>
    </row>
    <row r="217" spans="1:26" x14ac:dyDescent="0.25">
      <c r="A217">
        <v>2028958356</v>
      </c>
      <c r="B217" t="s">
        <v>334</v>
      </c>
      <c r="C217" t="s">
        <v>335</v>
      </c>
      <c r="D217" t="str">
        <f>CONCATENATE(C217," ",B217)</f>
        <v>DAVID WRING</v>
      </c>
      <c r="E217" t="s">
        <v>119</v>
      </c>
      <c r="F217" t="s">
        <v>173</v>
      </c>
      <c r="G217" t="s">
        <v>181</v>
      </c>
      <c r="H217" t="s">
        <v>1010</v>
      </c>
      <c r="I217" s="11">
        <v>8977234</v>
      </c>
      <c r="J217" t="s">
        <v>85</v>
      </c>
      <c r="K217" t="s">
        <v>86</v>
      </c>
      <c r="L217" t="str">
        <f>CONCATENATE(K217," ",J217)</f>
        <v>RYAN CALTAGIRONE</v>
      </c>
      <c r="M217" t="s">
        <v>57</v>
      </c>
      <c r="N217" s="1">
        <v>45793</v>
      </c>
      <c r="P217" s="1">
        <v>46219</v>
      </c>
      <c r="Q217" s="2">
        <v>100.48</v>
      </c>
      <c r="R217" t="s">
        <v>58</v>
      </c>
      <c r="S217" s="3">
        <v>0.05</v>
      </c>
      <c r="T217" t="s">
        <v>238</v>
      </c>
      <c r="U217" t="s">
        <v>239</v>
      </c>
      <c r="V217" s="2">
        <v>5.0199999999999996</v>
      </c>
      <c r="W217" s="2">
        <v>5.0199999999999996</v>
      </c>
      <c r="X217" s="2">
        <v>5.0199999999999996</v>
      </c>
      <c r="Y217" t="s">
        <v>238</v>
      </c>
      <c r="Z217" t="s">
        <v>1062</v>
      </c>
    </row>
    <row r="218" spans="1:26" x14ac:dyDescent="0.25">
      <c r="A218">
        <v>2033064593</v>
      </c>
      <c r="B218" t="s">
        <v>793</v>
      </c>
      <c r="C218" t="s">
        <v>794</v>
      </c>
      <c r="D218" t="str">
        <f>CONCATENATE(C218," ",B218)</f>
        <v>SHIRLEY GOTTLIEB</v>
      </c>
      <c r="E218" t="s">
        <v>83</v>
      </c>
      <c r="F218" t="s">
        <v>785</v>
      </c>
      <c r="G218" t="s">
        <v>786</v>
      </c>
      <c r="H218" t="s">
        <v>786</v>
      </c>
      <c r="I218" s="11">
        <v>18142208</v>
      </c>
      <c r="J218" t="s">
        <v>91</v>
      </c>
      <c r="K218" t="s">
        <v>795</v>
      </c>
      <c r="L218" t="str">
        <f>CONCATENATE(K218," ",J218)</f>
        <v>Jill Shepard</v>
      </c>
      <c r="M218" t="s">
        <v>57</v>
      </c>
      <c r="N218" s="1">
        <v>46032</v>
      </c>
      <c r="P218" s="1">
        <v>46213</v>
      </c>
      <c r="Q218" s="2">
        <v>76.209999999999994</v>
      </c>
      <c r="R218" t="s">
        <v>58</v>
      </c>
      <c r="S218" s="3">
        <v>0.47</v>
      </c>
      <c r="T218" t="s">
        <v>60</v>
      </c>
      <c r="U218" t="s">
        <v>239</v>
      </c>
      <c r="V218" s="2">
        <v>35.82</v>
      </c>
      <c r="W218" s="2">
        <v>0</v>
      </c>
      <c r="X218" s="2">
        <v>0</v>
      </c>
      <c r="Y218" t="s">
        <v>238</v>
      </c>
      <c r="Z218" t="s">
        <v>1062</v>
      </c>
    </row>
    <row r="219" spans="1:26" x14ac:dyDescent="0.25">
      <c r="A219">
        <v>2019687400</v>
      </c>
      <c r="B219" t="s">
        <v>783</v>
      </c>
      <c r="C219" t="s">
        <v>784</v>
      </c>
      <c r="D219" t="str">
        <f>CONCATENATE(C219," ",B219)</f>
        <v>TRACI BARTON</v>
      </c>
      <c r="E219" t="s">
        <v>52</v>
      </c>
      <c r="F219" t="s">
        <v>785</v>
      </c>
      <c r="G219" t="s">
        <v>786</v>
      </c>
      <c r="H219" t="s">
        <v>786</v>
      </c>
      <c r="I219" s="11">
        <v>19562245</v>
      </c>
      <c r="J219" t="s">
        <v>787</v>
      </c>
      <c r="K219" t="s">
        <v>704</v>
      </c>
      <c r="L219" t="str">
        <f>CONCATENATE(K219," ",J219)</f>
        <v>KELLY CARRYER</v>
      </c>
      <c r="M219" t="s">
        <v>57</v>
      </c>
      <c r="N219" s="1">
        <v>45150</v>
      </c>
      <c r="P219" s="1">
        <v>46215</v>
      </c>
      <c r="Q219" s="2">
        <v>64.540000000000006</v>
      </c>
      <c r="R219" t="s">
        <v>58</v>
      </c>
      <c r="S219" s="4">
        <v>5.2499999999999998E-2</v>
      </c>
      <c r="T219" t="s">
        <v>238</v>
      </c>
      <c r="U219" t="s">
        <v>239</v>
      </c>
      <c r="V219" s="2">
        <v>3.39</v>
      </c>
      <c r="W219" s="2">
        <v>3.39</v>
      </c>
      <c r="X219" s="2">
        <v>3.39</v>
      </c>
      <c r="Y219" t="s">
        <v>238</v>
      </c>
      <c r="Z219" t="s">
        <v>1062</v>
      </c>
    </row>
    <row r="220" spans="1:26" x14ac:dyDescent="0.25">
      <c r="A220">
        <v>2021761961</v>
      </c>
      <c r="B220" t="s">
        <v>788</v>
      </c>
      <c r="C220" t="s">
        <v>307</v>
      </c>
      <c r="D220" t="str">
        <f>CONCATENATE(C220," ",B220)</f>
        <v>WILLIAM MOMEYER</v>
      </c>
      <c r="E220" t="s">
        <v>52</v>
      </c>
      <c r="F220" t="s">
        <v>785</v>
      </c>
      <c r="G220" t="s">
        <v>786</v>
      </c>
      <c r="H220" t="s">
        <v>786</v>
      </c>
      <c r="I220" s="11">
        <v>17528908</v>
      </c>
      <c r="J220" t="s">
        <v>775</v>
      </c>
      <c r="K220" t="s">
        <v>776</v>
      </c>
      <c r="L220" t="str">
        <f>CONCATENATE(K220," ",J220)</f>
        <v>DEBORAH INSKIPT</v>
      </c>
      <c r="M220" t="s">
        <v>57</v>
      </c>
      <c r="N220" s="1">
        <v>45335</v>
      </c>
      <c r="P220" s="1">
        <v>46216</v>
      </c>
      <c r="Q220" s="2">
        <v>43.59</v>
      </c>
      <c r="R220" t="s">
        <v>58</v>
      </c>
      <c r="S220" s="4">
        <v>5.2499999999999998E-2</v>
      </c>
      <c r="T220" t="s">
        <v>238</v>
      </c>
      <c r="U220" t="s">
        <v>239</v>
      </c>
      <c r="V220" s="2">
        <v>2.29</v>
      </c>
      <c r="W220" s="2">
        <v>2.29</v>
      </c>
      <c r="X220" s="2">
        <v>2.29</v>
      </c>
      <c r="Y220" t="s">
        <v>238</v>
      </c>
      <c r="Z220" t="s">
        <v>1062</v>
      </c>
    </row>
    <row r="221" spans="1:26" x14ac:dyDescent="0.25">
      <c r="A221">
        <v>2026164939</v>
      </c>
      <c r="B221" t="s">
        <v>789</v>
      </c>
      <c r="C221" t="s">
        <v>483</v>
      </c>
      <c r="D221" t="str">
        <f>CONCATENATE(C221," ",B221)</f>
        <v>CHRISTOPHER RIDING</v>
      </c>
      <c r="E221" t="s">
        <v>52</v>
      </c>
      <c r="F221" t="s">
        <v>785</v>
      </c>
      <c r="G221" t="s">
        <v>786</v>
      </c>
      <c r="H221" t="s">
        <v>786</v>
      </c>
      <c r="I221" s="11">
        <v>17528908</v>
      </c>
      <c r="J221" t="s">
        <v>775</v>
      </c>
      <c r="K221" t="s">
        <v>776</v>
      </c>
      <c r="L221" t="str">
        <f>CONCATENATE(K221," ",J221)</f>
        <v>DEBORAH INSKIPT</v>
      </c>
      <c r="M221" t="s">
        <v>57</v>
      </c>
      <c r="N221" s="1">
        <v>45640</v>
      </c>
      <c r="P221" s="1">
        <v>46217</v>
      </c>
      <c r="Q221" s="2">
        <v>122.9</v>
      </c>
      <c r="R221" t="s">
        <v>58</v>
      </c>
      <c r="S221" s="4">
        <v>5.2499999999999998E-2</v>
      </c>
      <c r="T221" t="s">
        <v>238</v>
      </c>
      <c r="U221" t="s">
        <v>239</v>
      </c>
      <c r="V221" s="2">
        <v>6.45</v>
      </c>
      <c r="W221" s="2">
        <v>6.45</v>
      </c>
      <c r="X221" s="2">
        <v>6.45</v>
      </c>
      <c r="Y221" t="s">
        <v>238</v>
      </c>
      <c r="Z221" t="s">
        <v>1062</v>
      </c>
    </row>
    <row r="222" spans="1:26" x14ac:dyDescent="0.25">
      <c r="A222">
        <v>2026572544</v>
      </c>
      <c r="B222" t="s">
        <v>421</v>
      </c>
      <c r="C222" t="s">
        <v>422</v>
      </c>
      <c r="D222" t="str">
        <f>CONCATENATE(C222," ",B222)</f>
        <v>ESTHER HERRERA-LARSEN</v>
      </c>
      <c r="E222" t="s">
        <v>119</v>
      </c>
      <c r="F222" t="s">
        <v>785</v>
      </c>
      <c r="G222" t="s">
        <v>786</v>
      </c>
      <c r="H222" t="s">
        <v>786</v>
      </c>
      <c r="I222" s="11">
        <v>17301495</v>
      </c>
      <c r="J222" t="s">
        <v>421</v>
      </c>
      <c r="K222" t="s">
        <v>422</v>
      </c>
      <c r="L222" t="str">
        <f>CONCATENATE(K222," ",J222)</f>
        <v>ESTHER HERRERA-LARSEN</v>
      </c>
      <c r="M222" t="s">
        <v>57</v>
      </c>
      <c r="N222" s="1">
        <v>45671</v>
      </c>
      <c r="P222" s="1">
        <v>46217</v>
      </c>
      <c r="Q222" s="2">
        <v>55.04</v>
      </c>
      <c r="R222" t="s">
        <v>58</v>
      </c>
      <c r="S222" s="4">
        <v>5.2499999999999998E-2</v>
      </c>
      <c r="T222" t="s">
        <v>238</v>
      </c>
      <c r="U222" t="s">
        <v>239</v>
      </c>
      <c r="V222" s="2">
        <v>2.89</v>
      </c>
      <c r="W222" s="2">
        <v>2.89</v>
      </c>
      <c r="X222" s="2">
        <v>2.89</v>
      </c>
      <c r="Y222" t="s">
        <v>238</v>
      </c>
      <c r="Z222" t="s">
        <v>1062</v>
      </c>
    </row>
    <row r="223" spans="1:26" x14ac:dyDescent="0.25">
      <c r="A223">
        <v>2029358060</v>
      </c>
      <c r="B223" t="s">
        <v>790</v>
      </c>
      <c r="C223" t="s">
        <v>69</v>
      </c>
      <c r="D223" t="str">
        <f>CONCATENATE(C223," ",B223)</f>
        <v>RAYMOND HADDAD</v>
      </c>
      <c r="E223" t="s">
        <v>52</v>
      </c>
      <c r="F223" t="s">
        <v>785</v>
      </c>
      <c r="G223" t="s">
        <v>786</v>
      </c>
      <c r="H223" t="s">
        <v>786</v>
      </c>
      <c r="I223" s="11" t="s">
        <v>1054</v>
      </c>
      <c r="J223" t="s">
        <v>791</v>
      </c>
      <c r="K223" t="s">
        <v>792</v>
      </c>
      <c r="L223" t="str">
        <f>CONCATENATE(K223," ",J223)</f>
        <v>ANNE MARIE KOZACHECK</v>
      </c>
      <c r="M223" t="s">
        <v>57</v>
      </c>
      <c r="N223" s="1">
        <v>45817</v>
      </c>
      <c r="P223" s="1">
        <v>46212</v>
      </c>
      <c r="Q223" s="2">
        <v>60.6</v>
      </c>
      <c r="R223" t="s">
        <v>58</v>
      </c>
      <c r="S223" s="4">
        <v>5.2499999999999998E-2</v>
      </c>
      <c r="T223" t="s">
        <v>238</v>
      </c>
      <c r="U223" t="s">
        <v>239</v>
      </c>
      <c r="V223" s="2">
        <v>3.18</v>
      </c>
      <c r="W223" s="2">
        <v>3.18</v>
      </c>
      <c r="X223" s="2">
        <v>3.18</v>
      </c>
      <c r="Y223" t="s">
        <v>238</v>
      </c>
      <c r="Z223" t="s">
        <v>1062</v>
      </c>
    </row>
    <row r="224" spans="1:26" x14ac:dyDescent="0.25">
      <c r="A224">
        <v>2034110227</v>
      </c>
      <c r="B224" t="s">
        <v>796</v>
      </c>
      <c r="C224" t="s">
        <v>326</v>
      </c>
      <c r="D224" t="str">
        <f>CONCATENATE(C224," ",B224)</f>
        <v>PAMELA FROST</v>
      </c>
      <c r="E224" t="s">
        <v>52</v>
      </c>
      <c r="F224" t="s">
        <v>785</v>
      </c>
      <c r="G224" t="s">
        <v>786</v>
      </c>
      <c r="H224" t="s">
        <v>786</v>
      </c>
      <c r="I224" s="11" t="s">
        <v>1005</v>
      </c>
      <c r="J224" t="s">
        <v>775</v>
      </c>
      <c r="K224" t="s">
        <v>776</v>
      </c>
      <c r="L224" t="str">
        <f>CONCATENATE(K224," ",J224)</f>
        <v>DEBORAH INSKIPT</v>
      </c>
      <c r="M224" t="s">
        <v>57</v>
      </c>
      <c r="N224" s="1">
        <v>46065</v>
      </c>
      <c r="P224" s="1">
        <v>46215</v>
      </c>
      <c r="Q224" s="2">
        <v>54.37</v>
      </c>
      <c r="R224" t="s">
        <v>58</v>
      </c>
      <c r="S224" s="3">
        <v>0.47</v>
      </c>
      <c r="T224" t="s">
        <v>60</v>
      </c>
      <c r="U224" t="s">
        <v>239</v>
      </c>
      <c r="V224" s="2">
        <v>25.55</v>
      </c>
      <c r="W224" s="2">
        <v>25.55</v>
      </c>
      <c r="X224" s="2">
        <v>25.55</v>
      </c>
      <c r="Y224" t="s">
        <v>238</v>
      </c>
      <c r="Z224" t="s">
        <v>1062</v>
      </c>
    </row>
    <row r="225" spans="1:26" x14ac:dyDescent="0.25">
      <c r="A225">
        <v>2035486375</v>
      </c>
      <c r="B225" t="s">
        <v>750</v>
      </c>
      <c r="C225" t="s">
        <v>751</v>
      </c>
      <c r="D225" t="str">
        <f>CONCATENATE(C225," ",B225)</f>
        <v>EMELYN WILLIAMS</v>
      </c>
      <c r="E225" t="s">
        <v>305</v>
      </c>
      <c r="F225" t="s">
        <v>173</v>
      </c>
      <c r="G225" t="s">
        <v>176</v>
      </c>
      <c r="H225" t="s">
        <v>176</v>
      </c>
      <c r="I225" s="11" t="s">
        <v>1036</v>
      </c>
      <c r="J225" t="s">
        <v>510</v>
      </c>
      <c r="K225" t="s">
        <v>511</v>
      </c>
      <c r="L225" t="str">
        <f>CONCATENATE(K225," ",J225)</f>
        <v>Joel Lee</v>
      </c>
      <c r="M225" t="s">
        <v>57</v>
      </c>
      <c r="N225" s="1">
        <v>46157</v>
      </c>
      <c r="P225" s="1">
        <v>46218</v>
      </c>
      <c r="Q225" s="2">
        <v>71.09</v>
      </c>
      <c r="R225" t="s">
        <v>58</v>
      </c>
      <c r="S225" s="3">
        <v>0.38</v>
      </c>
      <c r="T225" t="s">
        <v>60</v>
      </c>
      <c r="U225" t="s">
        <v>239</v>
      </c>
      <c r="V225" s="2">
        <v>27.01</v>
      </c>
      <c r="W225" s="2">
        <v>0</v>
      </c>
      <c r="X225" s="2">
        <v>0</v>
      </c>
      <c r="Y225" t="s">
        <v>238</v>
      </c>
      <c r="Z225" t="s">
        <v>1063</v>
      </c>
    </row>
    <row r="226" spans="1:26" x14ac:dyDescent="0.25">
      <c r="A226">
        <v>2034899049</v>
      </c>
      <c r="B226" t="s">
        <v>286</v>
      </c>
      <c r="C226" t="s">
        <v>287</v>
      </c>
      <c r="D226" t="str">
        <f>CONCATENATE(C226," ",B226)</f>
        <v>SUSAN STAFFORD</v>
      </c>
      <c r="E226" t="s">
        <v>119</v>
      </c>
      <c r="F226" t="s">
        <v>173</v>
      </c>
      <c r="G226" t="s">
        <v>176</v>
      </c>
      <c r="H226" t="s">
        <v>176</v>
      </c>
      <c r="I226" s="11" t="s">
        <v>1014</v>
      </c>
      <c r="J226" t="s">
        <v>189</v>
      </c>
      <c r="K226" t="s">
        <v>190</v>
      </c>
      <c r="L226" t="str">
        <f>CONCATENATE(K226," ",J226)</f>
        <v>Matthew Sherman</v>
      </c>
      <c r="M226" t="s">
        <v>57</v>
      </c>
      <c r="N226" s="1">
        <v>46126</v>
      </c>
      <c r="P226" s="1">
        <v>46217</v>
      </c>
      <c r="Q226" s="2">
        <v>69.260000000000005</v>
      </c>
      <c r="R226" t="s">
        <v>58</v>
      </c>
      <c r="S226" s="3">
        <v>0.38</v>
      </c>
      <c r="T226" t="s">
        <v>60</v>
      </c>
      <c r="U226" t="s">
        <v>239</v>
      </c>
      <c r="V226" s="2">
        <v>26.32</v>
      </c>
      <c r="W226" s="2">
        <v>0</v>
      </c>
      <c r="X226" s="2">
        <v>0</v>
      </c>
      <c r="Y226" t="s">
        <v>238</v>
      </c>
      <c r="Z226" t="s">
        <v>1063</v>
      </c>
    </row>
    <row r="227" spans="1:26" x14ac:dyDescent="0.25">
      <c r="A227">
        <v>2034845878</v>
      </c>
      <c r="B227" t="s">
        <v>701</v>
      </c>
      <c r="C227" t="s">
        <v>287</v>
      </c>
      <c r="D227" t="str">
        <f>CONCATENATE(C227," ",B227)</f>
        <v>SUSAN MCGURKIN</v>
      </c>
      <c r="E227" t="s">
        <v>305</v>
      </c>
      <c r="F227" t="s">
        <v>173</v>
      </c>
      <c r="G227" t="s">
        <v>176</v>
      </c>
      <c r="H227" t="s">
        <v>176</v>
      </c>
      <c r="I227" s="11" t="s">
        <v>1020</v>
      </c>
      <c r="J227" t="s">
        <v>312</v>
      </c>
      <c r="K227" t="s">
        <v>313</v>
      </c>
      <c r="L227" t="str">
        <f>CONCATENATE(K227," ",J227)</f>
        <v>Heather Geske</v>
      </c>
      <c r="M227" t="s">
        <v>57</v>
      </c>
      <c r="N227" s="1">
        <v>46127</v>
      </c>
      <c r="P227" s="1">
        <v>46218</v>
      </c>
      <c r="Q227" s="2">
        <v>61.71</v>
      </c>
      <c r="R227" t="s">
        <v>58</v>
      </c>
      <c r="S227" s="3">
        <v>0.38</v>
      </c>
      <c r="T227" t="s">
        <v>60</v>
      </c>
      <c r="U227" t="s">
        <v>239</v>
      </c>
      <c r="V227" s="2">
        <v>23.45</v>
      </c>
      <c r="W227" s="2">
        <v>0</v>
      </c>
      <c r="X227" s="2">
        <v>0</v>
      </c>
      <c r="Y227" t="s">
        <v>238</v>
      </c>
      <c r="Z227" t="s">
        <v>1063</v>
      </c>
    </row>
    <row r="228" spans="1:26" x14ac:dyDescent="0.25">
      <c r="A228">
        <v>2035438432</v>
      </c>
      <c r="B228" t="s">
        <v>288</v>
      </c>
      <c r="C228" t="s">
        <v>289</v>
      </c>
      <c r="D228" t="str">
        <f>CONCATENATE(C228," ",B228)</f>
        <v>KATHLEEN CARY</v>
      </c>
      <c r="E228" t="s">
        <v>52</v>
      </c>
      <c r="F228" t="s">
        <v>173</v>
      </c>
      <c r="G228" t="s">
        <v>176</v>
      </c>
      <c r="H228" t="s">
        <v>176</v>
      </c>
      <c r="I228" s="11">
        <v>21758900</v>
      </c>
      <c r="J228" t="s">
        <v>179</v>
      </c>
      <c r="K228" t="s">
        <v>180</v>
      </c>
      <c r="L228" t="str">
        <f>CONCATENATE(K228," ",J228)</f>
        <v>John Rader</v>
      </c>
      <c r="M228" t="s">
        <v>57</v>
      </c>
      <c r="N228" s="1">
        <v>46155</v>
      </c>
      <c r="P228" s="1">
        <v>46216</v>
      </c>
      <c r="Q228" s="2">
        <v>61.39</v>
      </c>
      <c r="R228" t="s">
        <v>58</v>
      </c>
      <c r="S228" s="3">
        <v>0.38</v>
      </c>
      <c r="T228" t="s">
        <v>60</v>
      </c>
      <c r="U228" t="s">
        <v>239</v>
      </c>
      <c r="V228" s="2">
        <v>23.33</v>
      </c>
      <c r="W228" s="2">
        <v>0</v>
      </c>
      <c r="X228" s="2">
        <v>0</v>
      </c>
      <c r="Y228" t="s">
        <v>238</v>
      </c>
      <c r="Z228" t="s">
        <v>1062</v>
      </c>
    </row>
    <row r="229" spans="1:26" x14ac:dyDescent="0.25">
      <c r="A229">
        <v>2033700081</v>
      </c>
      <c r="B229" t="s">
        <v>279</v>
      </c>
      <c r="C229" t="s">
        <v>280</v>
      </c>
      <c r="D229" t="str">
        <f>CONCATENATE(C229," ",B229)</f>
        <v>CRISTINA ORTEGA</v>
      </c>
      <c r="E229" t="s">
        <v>119</v>
      </c>
      <c r="F229" t="s">
        <v>173</v>
      </c>
      <c r="G229" t="s">
        <v>176</v>
      </c>
      <c r="H229" t="s">
        <v>176</v>
      </c>
      <c r="I229" s="11" t="s">
        <v>1012</v>
      </c>
      <c r="J229" t="s">
        <v>189</v>
      </c>
      <c r="K229" t="s">
        <v>190</v>
      </c>
      <c r="L229" t="str">
        <f>CONCATENATE(K229," ",J229)</f>
        <v>Matthew Sherman</v>
      </c>
      <c r="M229" t="s">
        <v>57</v>
      </c>
      <c r="N229" s="1">
        <v>46071</v>
      </c>
      <c r="P229" s="1">
        <v>46221</v>
      </c>
      <c r="Q229" s="2">
        <v>55.07</v>
      </c>
      <c r="R229" t="s">
        <v>58</v>
      </c>
      <c r="S229" s="3">
        <v>0.38</v>
      </c>
      <c r="T229" t="s">
        <v>60</v>
      </c>
      <c r="U229" t="s">
        <v>239</v>
      </c>
      <c r="V229" s="2">
        <v>20.93</v>
      </c>
      <c r="W229" s="2">
        <v>0</v>
      </c>
      <c r="X229" s="2">
        <v>0</v>
      </c>
      <c r="Y229" t="s">
        <v>238</v>
      </c>
      <c r="Z229" t="s">
        <v>1063</v>
      </c>
    </row>
    <row r="230" spans="1:26" x14ac:dyDescent="0.25">
      <c r="A230">
        <v>2033171034</v>
      </c>
      <c r="B230" t="s">
        <v>951</v>
      </c>
      <c r="C230" t="s">
        <v>952</v>
      </c>
      <c r="D230" t="str">
        <f>CONCATENATE(C230," ",B230)</f>
        <v>JON SCZEPKOWSKI</v>
      </c>
      <c r="E230" t="s">
        <v>52</v>
      </c>
      <c r="F230" t="s">
        <v>173</v>
      </c>
      <c r="G230" t="s">
        <v>176</v>
      </c>
      <c r="H230" t="s">
        <v>176</v>
      </c>
      <c r="I230" s="11" t="s">
        <v>1011</v>
      </c>
      <c r="J230" t="s">
        <v>55</v>
      </c>
      <c r="K230" t="s">
        <v>56</v>
      </c>
      <c r="L230" t="str">
        <f>CONCATENATE(K230," ",J230)</f>
        <v>JOHN ROKEN</v>
      </c>
      <c r="M230" t="s">
        <v>57</v>
      </c>
      <c r="N230" s="1">
        <v>46038</v>
      </c>
      <c r="P230" s="1">
        <v>46219</v>
      </c>
      <c r="Q230" s="2">
        <v>46.13</v>
      </c>
      <c r="R230" t="s">
        <v>58</v>
      </c>
      <c r="S230" s="3">
        <v>0.38</v>
      </c>
      <c r="T230" t="s">
        <v>60</v>
      </c>
      <c r="U230" t="s">
        <v>239</v>
      </c>
      <c r="V230" s="2">
        <v>17.53</v>
      </c>
      <c r="W230" s="2">
        <v>0</v>
      </c>
      <c r="X230" s="2">
        <v>0</v>
      </c>
      <c r="Y230" t="s">
        <v>238</v>
      </c>
      <c r="Z230" t="s">
        <v>1062</v>
      </c>
    </row>
    <row r="231" spans="1:26" x14ac:dyDescent="0.25">
      <c r="A231">
        <v>2034385370</v>
      </c>
      <c r="B231" t="s">
        <v>684</v>
      </c>
      <c r="C231" t="s">
        <v>685</v>
      </c>
      <c r="D231" t="str">
        <f>CONCATENATE(C231," ",B231)</f>
        <v>AXEL CASTELLANOS</v>
      </c>
      <c r="E231" t="s">
        <v>119</v>
      </c>
      <c r="F231" t="s">
        <v>173</v>
      </c>
      <c r="G231" t="s">
        <v>176</v>
      </c>
      <c r="H231" t="s">
        <v>176</v>
      </c>
      <c r="I231" s="11" t="s">
        <v>1038</v>
      </c>
      <c r="J231" t="s">
        <v>521</v>
      </c>
      <c r="K231" t="s">
        <v>370</v>
      </c>
      <c r="L231" t="str">
        <f>CONCATENATE(K231," ",J231)</f>
        <v>JOSE TORRES</v>
      </c>
      <c r="M231" t="s">
        <v>57</v>
      </c>
      <c r="N231" s="1">
        <v>46098</v>
      </c>
      <c r="P231" s="1">
        <v>46220</v>
      </c>
      <c r="Q231" s="2">
        <v>42.1</v>
      </c>
      <c r="R231" t="s">
        <v>58</v>
      </c>
      <c r="S231" s="3">
        <v>0.38</v>
      </c>
      <c r="T231" t="s">
        <v>60</v>
      </c>
      <c r="U231" t="s">
        <v>239</v>
      </c>
      <c r="V231" s="2">
        <v>16</v>
      </c>
      <c r="W231" s="2">
        <v>0</v>
      </c>
      <c r="X231" s="2">
        <v>0</v>
      </c>
      <c r="Y231" t="s">
        <v>238</v>
      </c>
      <c r="Z231" t="s">
        <v>1063</v>
      </c>
    </row>
    <row r="232" spans="1:26" x14ac:dyDescent="0.25">
      <c r="A232">
        <v>2035393881</v>
      </c>
      <c r="B232" t="s">
        <v>725</v>
      </c>
      <c r="C232" t="s">
        <v>241</v>
      </c>
      <c r="D232" t="str">
        <f>CONCATENATE(C232," ",B232)</f>
        <v>TODD GRANDBOUCHE</v>
      </c>
      <c r="E232" t="s">
        <v>305</v>
      </c>
      <c r="F232" t="s">
        <v>173</v>
      </c>
      <c r="G232" t="s">
        <v>176</v>
      </c>
      <c r="H232" t="s">
        <v>176</v>
      </c>
      <c r="I232" s="11" t="s">
        <v>1020</v>
      </c>
      <c r="J232" t="s">
        <v>312</v>
      </c>
      <c r="K232" t="s">
        <v>313</v>
      </c>
      <c r="L232" t="str">
        <f>CONCATENATE(K232," ",J232)</f>
        <v>Heather Geske</v>
      </c>
      <c r="M232" t="s">
        <v>57</v>
      </c>
      <c r="N232" s="1">
        <v>46157</v>
      </c>
      <c r="P232" s="1">
        <v>46218</v>
      </c>
      <c r="Q232" s="2">
        <v>39.229999999999997</v>
      </c>
      <c r="R232" t="s">
        <v>58</v>
      </c>
      <c r="S232" s="3">
        <v>0.38</v>
      </c>
      <c r="T232" t="s">
        <v>60</v>
      </c>
      <c r="U232" t="s">
        <v>239</v>
      </c>
      <c r="V232" s="2">
        <v>14.91</v>
      </c>
      <c r="W232" s="2">
        <v>0</v>
      </c>
      <c r="X232" s="2">
        <v>0</v>
      </c>
      <c r="Y232" t="s">
        <v>238</v>
      </c>
      <c r="Z232" t="s">
        <v>1063</v>
      </c>
    </row>
    <row r="233" spans="1:26" x14ac:dyDescent="0.25">
      <c r="A233">
        <v>2033172630</v>
      </c>
      <c r="B233" t="s">
        <v>856</v>
      </c>
      <c r="C233" t="s">
        <v>262</v>
      </c>
      <c r="D233" t="str">
        <f>CONCATENATE(C233," ",B233)</f>
        <v>TIMOTHY BIRCH</v>
      </c>
      <c r="E233" t="s">
        <v>292</v>
      </c>
      <c r="F233" t="s">
        <v>173</v>
      </c>
      <c r="G233" t="s">
        <v>176</v>
      </c>
      <c r="H233" t="s">
        <v>176</v>
      </c>
      <c r="I233" s="11" t="s">
        <v>1043</v>
      </c>
      <c r="J233" t="s">
        <v>137</v>
      </c>
      <c r="K233" t="s">
        <v>138</v>
      </c>
      <c r="L233" t="str">
        <f>CONCATENATE(K233," ",J233)</f>
        <v>Brittany Oliver</v>
      </c>
      <c r="M233" t="s">
        <v>57</v>
      </c>
      <c r="N233" s="1">
        <v>46038</v>
      </c>
      <c r="P233" s="1">
        <v>46219</v>
      </c>
      <c r="Q233" s="2">
        <v>32.74</v>
      </c>
      <c r="R233" t="s">
        <v>58</v>
      </c>
      <c r="S233" s="3">
        <v>0.38</v>
      </c>
      <c r="T233" t="s">
        <v>60</v>
      </c>
      <c r="U233" t="s">
        <v>239</v>
      </c>
      <c r="V233" s="2">
        <v>12.44</v>
      </c>
      <c r="W233" s="2">
        <v>0</v>
      </c>
      <c r="X233" s="2">
        <v>0</v>
      </c>
      <c r="Y233" t="s">
        <v>238</v>
      </c>
      <c r="Z233" t="s">
        <v>1064</v>
      </c>
    </row>
    <row r="234" spans="1:26" x14ac:dyDescent="0.25">
      <c r="A234">
        <v>2034917049</v>
      </c>
      <c r="B234" t="s">
        <v>704</v>
      </c>
      <c r="C234" t="s">
        <v>483</v>
      </c>
      <c r="D234" t="str">
        <f>CONCATENATE(C234," ",B234)</f>
        <v>CHRISTOPHER KELLY</v>
      </c>
      <c r="E234" t="s">
        <v>305</v>
      </c>
      <c r="F234" t="s">
        <v>173</v>
      </c>
      <c r="G234" t="s">
        <v>176</v>
      </c>
      <c r="H234" t="s">
        <v>176</v>
      </c>
      <c r="I234" s="11" t="s">
        <v>1020</v>
      </c>
      <c r="J234" t="s">
        <v>312</v>
      </c>
      <c r="K234" t="s">
        <v>313</v>
      </c>
      <c r="L234" t="str">
        <f>CONCATENATE(K234," ",J234)</f>
        <v>Heather Geske</v>
      </c>
      <c r="M234" t="s">
        <v>57</v>
      </c>
      <c r="N234" s="1">
        <v>46127</v>
      </c>
      <c r="P234" s="1">
        <v>46218</v>
      </c>
      <c r="Q234" s="2">
        <v>32.46</v>
      </c>
      <c r="R234" t="s">
        <v>58</v>
      </c>
      <c r="S234" s="3">
        <v>0.38</v>
      </c>
      <c r="T234" t="s">
        <v>60</v>
      </c>
      <c r="U234" t="s">
        <v>239</v>
      </c>
      <c r="V234" s="2">
        <v>12.33</v>
      </c>
      <c r="W234" s="2">
        <v>0</v>
      </c>
      <c r="X234" s="2">
        <v>0</v>
      </c>
      <c r="Y234" t="s">
        <v>238</v>
      </c>
      <c r="Z234" t="s">
        <v>1063</v>
      </c>
    </row>
    <row r="235" spans="1:26" x14ac:dyDescent="0.25">
      <c r="A235">
        <v>2033129762</v>
      </c>
      <c r="B235" t="s">
        <v>275</v>
      </c>
      <c r="C235" t="s">
        <v>276</v>
      </c>
      <c r="D235" t="str">
        <f>CONCATENATE(C235," ",B235)</f>
        <v>DANICA DEVITO</v>
      </c>
      <c r="E235" t="s">
        <v>52</v>
      </c>
      <c r="F235" t="s">
        <v>173</v>
      </c>
      <c r="G235" t="s">
        <v>176</v>
      </c>
      <c r="H235" t="s">
        <v>176</v>
      </c>
      <c r="I235" s="11" t="s">
        <v>1011</v>
      </c>
      <c r="J235" t="s">
        <v>55</v>
      </c>
      <c r="K235" t="s">
        <v>56</v>
      </c>
      <c r="L235" t="str">
        <f>CONCATENATE(K235," ",J235)</f>
        <v>JOHN ROKEN</v>
      </c>
      <c r="M235" t="s">
        <v>57</v>
      </c>
      <c r="N235" s="1">
        <v>46036</v>
      </c>
      <c r="P235" s="1">
        <v>46217</v>
      </c>
      <c r="Q235" s="2">
        <v>27.15</v>
      </c>
      <c r="R235" t="s">
        <v>58</v>
      </c>
      <c r="S235" s="3">
        <v>0.38</v>
      </c>
      <c r="T235" t="s">
        <v>60</v>
      </c>
      <c r="U235" t="s">
        <v>239</v>
      </c>
      <c r="V235" s="2">
        <v>10.32</v>
      </c>
      <c r="W235" s="2">
        <v>0</v>
      </c>
      <c r="X235" s="2">
        <v>0</v>
      </c>
      <c r="Y235" t="s">
        <v>238</v>
      </c>
      <c r="Z235" t="s">
        <v>1062</v>
      </c>
    </row>
    <row r="236" spans="1:26" x14ac:dyDescent="0.25">
      <c r="A236">
        <v>2034404406</v>
      </c>
      <c r="B236" t="s">
        <v>283</v>
      </c>
      <c r="C236" t="s">
        <v>260</v>
      </c>
      <c r="D236" t="str">
        <f>CONCATENATE(C236," ",B236)</f>
        <v>JOSEPH SABA</v>
      </c>
      <c r="E236" t="s">
        <v>52</v>
      </c>
      <c r="F236" t="s">
        <v>173</v>
      </c>
      <c r="G236" t="s">
        <v>176</v>
      </c>
      <c r="H236" t="s">
        <v>176</v>
      </c>
      <c r="I236" s="11">
        <v>15950276</v>
      </c>
      <c r="J236" t="s">
        <v>273</v>
      </c>
      <c r="K236" t="s">
        <v>92</v>
      </c>
      <c r="L236" t="str">
        <f>CONCATENATE(K236," ",J236)</f>
        <v>Ryan Stocker</v>
      </c>
      <c r="M236" t="s">
        <v>57</v>
      </c>
      <c r="N236" s="1">
        <v>46099</v>
      </c>
      <c r="P236" s="1">
        <v>46221</v>
      </c>
      <c r="Q236" s="2">
        <v>27.15</v>
      </c>
      <c r="R236" t="s">
        <v>58</v>
      </c>
      <c r="S236" s="3">
        <v>0.38</v>
      </c>
      <c r="T236" t="s">
        <v>60</v>
      </c>
      <c r="U236" t="s">
        <v>239</v>
      </c>
      <c r="V236" s="2">
        <v>10.32</v>
      </c>
      <c r="W236" s="2">
        <v>0</v>
      </c>
      <c r="X236" s="2">
        <v>0</v>
      </c>
      <c r="Y236" t="s">
        <v>238</v>
      </c>
      <c r="Z236" t="s">
        <v>1062</v>
      </c>
    </row>
    <row r="237" spans="1:26" x14ac:dyDescent="0.25">
      <c r="A237">
        <v>2034260109</v>
      </c>
      <c r="B237" t="s">
        <v>667</v>
      </c>
      <c r="C237" t="s">
        <v>668</v>
      </c>
      <c r="D237" t="str">
        <f>CONCATENATE(C237," ",B237)</f>
        <v>TYLER DOBELBOWER</v>
      </c>
      <c r="E237" t="s">
        <v>305</v>
      </c>
      <c r="F237" t="s">
        <v>173</v>
      </c>
      <c r="G237" t="s">
        <v>176</v>
      </c>
      <c r="H237" t="s">
        <v>176</v>
      </c>
      <c r="I237" s="11" t="s">
        <v>1036</v>
      </c>
      <c r="J237" t="s">
        <v>510</v>
      </c>
      <c r="K237" t="s">
        <v>511</v>
      </c>
      <c r="L237" t="str">
        <f>CONCATENATE(K237," ",J237)</f>
        <v>Joel Lee</v>
      </c>
      <c r="M237" t="s">
        <v>57</v>
      </c>
      <c r="N237" s="1">
        <v>46096</v>
      </c>
      <c r="P237" s="1">
        <v>46218</v>
      </c>
      <c r="Q237" s="2">
        <v>26.85</v>
      </c>
      <c r="R237" t="s">
        <v>58</v>
      </c>
      <c r="S237" s="3">
        <v>0.38</v>
      </c>
      <c r="T237" t="s">
        <v>60</v>
      </c>
      <c r="U237" t="s">
        <v>239</v>
      </c>
      <c r="V237" s="2">
        <v>10.199999999999999</v>
      </c>
      <c r="W237" s="2">
        <v>0</v>
      </c>
      <c r="X237" s="2">
        <v>0</v>
      </c>
      <c r="Y237" t="s">
        <v>238</v>
      </c>
      <c r="Z237" t="s">
        <v>1063</v>
      </c>
    </row>
    <row r="238" spans="1:26" x14ac:dyDescent="0.25">
      <c r="A238">
        <v>2034740922</v>
      </c>
      <c r="B238" t="s">
        <v>697</v>
      </c>
      <c r="C238" t="s">
        <v>698</v>
      </c>
      <c r="D238" t="str">
        <f>CONCATENATE(C238," ",B238)</f>
        <v>DREW LINDLE</v>
      </c>
      <c r="E238" t="s">
        <v>342</v>
      </c>
      <c r="F238" t="s">
        <v>173</v>
      </c>
      <c r="G238" t="s">
        <v>176</v>
      </c>
      <c r="H238" t="s">
        <v>176</v>
      </c>
      <c r="I238" s="11" t="s">
        <v>1020</v>
      </c>
      <c r="J238" t="s">
        <v>312</v>
      </c>
      <c r="K238" t="s">
        <v>313</v>
      </c>
      <c r="L238" t="str">
        <f>CONCATENATE(K238," ",J238)</f>
        <v>Heather Geske</v>
      </c>
      <c r="M238" t="s">
        <v>57</v>
      </c>
      <c r="N238" s="1">
        <v>46127</v>
      </c>
      <c r="P238" s="1">
        <v>46218</v>
      </c>
      <c r="Q238" s="2">
        <v>21.04</v>
      </c>
      <c r="R238" t="s">
        <v>58</v>
      </c>
      <c r="S238" s="3">
        <v>0.38</v>
      </c>
      <c r="T238" t="s">
        <v>60</v>
      </c>
      <c r="U238" t="s">
        <v>239</v>
      </c>
      <c r="V238" s="2">
        <v>8</v>
      </c>
      <c r="W238" s="2">
        <v>0</v>
      </c>
      <c r="X238" s="2">
        <v>0</v>
      </c>
      <c r="Y238" t="s">
        <v>238</v>
      </c>
      <c r="Z238" t="s">
        <v>1063</v>
      </c>
    </row>
    <row r="239" spans="1:26" x14ac:dyDescent="0.25">
      <c r="A239">
        <v>2034986812</v>
      </c>
      <c r="B239" t="s">
        <v>717</v>
      </c>
      <c r="C239" t="s">
        <v>349</v>
      </c>
      <c r="D239" t="str">
        <f>CONCATENATE(C239," ",B239)</f>
        <v>STEPHEN CULLOP</v>
      </c>
      <c r="E239" t="s">
        <v>305</v>
      </c>
      <c r="F239" t="s">
        <v>173</v>
      </c>
      <c r="G239" t="s">
        <v>176</v>
      </c>
      <c r="H239" t="s">
        <v>176</v>
      </c>
      <c r="I239" s="11" t="s">
        <v>1040</v>
      </c>
      <c r="J239" t="s">
        <v>306</v>
      </c>
      <c r="K239" t="s">
        <v>307</v>
      </c>
      <c r="L239" t="str">
        <f>CONCATENATE(K239," ",J239)</f>
        <v>WILLIAM GESKE</v>
      </c>
      <c r="M239" t="s">
        <v>57</v>
      </c>
      <c r="N239" s="1">
        <v>46130</v>
      </c>
      <c r="P239" s="1">
        <v>46221</v>
      </c>
      <c r="Q239" s="2">
        <v>19.100000000000001</v>
      </c>
      <c r="R239" t="s">
        <v>58</v>
      </c>
      <c r="S239" s="3">
        <v>0.38</v>
      </c>
      <c r="T239" t="s">
        <v>60</v>
      </c>
      <c r="U239" t="s">
        <v>239</v>
      </c>
      <c r="V239" s="2">
        <v>7.26</v>
      </c>
      <c r="W239" s="2">
        <v>0</v>
      </c>
      <c r="X239" s="2">
        <v>0</v>
      </c>
      <c r="Y239" t="s">
        <v>238</v>
      </c>
      <c r="Z239" t="s">
        <v>1063</v>
      </c>
    </row>
    <row r="240" spans="1:26" x14ac:dyDescent="0.25">
      <c r="A240">
        <v>2035502622</v>
      </c>
      <c r="B240" t="s">
        <v>357</v>
      </c>
      <c r="C240" t="s">
        <v>753</v>
      </c>
      <c r="D240" t="str">
        <f>CONCATENATE(C240," ",B240)</f>
        <v>DYLAN THOMPSON</v>
      </c>
      <c r="E240" t="s">
        <v>305</v>
      </c>
      <c r="F240" t="s">
        <v>173</v>
      </c>
      <c r="G240" t="s">
        <v>176</v>
      </c>
      <c r="H240" t="s">
        <v>176</v>
      </c>
      <c r="I240" s="11" t="s">
        <v>1040</v>
      </c>
      <c r="J240" t="s">
        <v>306</v>
      </c>
      <c r="K240" t="s">
        <v>307</v>
      </c>
      <c r="L240" t="str">
        <f>CONCATENATE(K240," ",J240)</f>
        <v>WILLIAM GESKE</v>
      </c>
      <c r="M240" t="s">
        <v>57</v>
      </c>
      <c r="N240" s="1">
        <v>46158</v>
      </c>
      <c r="P240" s="1">
        <v>46219</v>
      </c>
      <c r="Q240" s="2">
        <v>19.100000000000001</v>
      </c>
      <c r="R240" t="s">
        <v>58</v>
      </c>
      <c r="S240" s="3">
        <v>0.38</v>
      </c>
      <c r="T240" t="s">
        <v>60</v>
      </c>
      <c r="U240" t="s">
        <v>239</v>
      </c>
      <c r="V240" s="2">
        <v>7.26</v>
      </c>
      <c r="W240" s="2">
        <v>0</v>
      </c>
      <c r="X240" s="2">
        <v>0</v>
      </c>
      <c r="Y240" t="s">
        <v>238</v>
      </c>
      <c r="Z240" t="s">
        <v>1063</v>
      </c>
    </row>
    <row r="241" spans="1:26" x14ac:dyDescent="0.25">
      <c r="A241">
        <v>2033137245</v>
      </c>
      <c r="B241" t="s">
        <v>949</v>
      </c>
      <c r="C241" t="s">
        <v>950</v>
      </c>
      <c r="D241" t="str">
        <f>CONCATENATE(C241," ",B241)</f>
        <v>HAILEY CROWLEY</v>
      </c>
      <c r="E241" t="s">
        <v>714</v>
      </c>
      <c r="F241" t="s">
        <v>173</v>
      </c>
      <c r="G241" t="s">
        <v>176</v>
      </c>
      <c r="H241" t="s">
        <v>176</v>
      </c>
      <c r="I241" s="11" t="s">
        <v>1006</v>
      </c>
      <c r="J241" t="s">
        <v>419</v>
      </c>
      <c r="K241" t="s">
        <v>420</v>
      </c>
      <c r="L241" t="str">
        <f>CONCATENATE(K241," ",J241)</f>
        <v>JARED KINYUA</v>
      </c>
      <c r="M241" t="s">
        <v>57</v>
      </c>
      <c r="N241" s="1">
        <v>46036</v>
      </c>
      <c r="P241" s="1">
        <v>46217</v>
      </c>
      <c r="Q241" s="2">
        <v>17.940000000000001</v>
      </c>
      <c r="R241" t="s">
        <v>58</v>
      </c>
      <c r="S241" s="3">
        <v>0.38</v>
      </c>
      <c r="T241" t="s">
        <v>60</v>
      </c>
      <c r="U241" t="s">
        <v>239</v>
      </c>
      <c r="V241" s="2">
        <v>6.82</v>
      </c>
      <c r="W241" s="2">
        <v>0</v>
      </c>
      <c r="X241" s="2">
        <v>0</v>
      </c>
      <c r="Y241" t="s">
        <v>238</v>
      </c>
      <c r="Z241" t="s">
        <v>1064</v>
      </c>
    </row>
    <row r="242" spans="1:26" x14ac:dyDescent="0.25">
      <c r="A242">
        <v>2033127914</v>
      </c>
      <c r="B242" t="s">
        <v>854</v>
      </c>
      <c r="C242" t="s">
        <v>855</v>
      </c>
      <c r="D242" t="str">
        <f>CONCATENATE(C242," ",B242)</f>
        <v>KIMBERLY SMITHSON</v>
      </c>
      <c r="E242" t="s">
        <v>83</v>
      </c>
      <c r="F242" t="s">
        <v>173</v>
      </c>
      <c r="G242" t="s">
        <v>176</v>
      </c>
      <c r="H242" t="s">
        <v>176</v>
      </c>
      <c r="I242" s="11">
        <v>8977234</v>
      </c>
      <c r="J242" t="s">
        <v>85</v>
      </c>
      <c r="K242" t="s">
        <v>86</v>
      </c>
      <c r="L242" t="str">
        <f>CONCATENATE(K242," ",J242)</f>
        <v>RYAN CALTAGIRONE</v>
      </c>
      <c r="M242" t="s">
        <v>57</v>
      </c>
      <c r="N242" s="1">
        <v>46038</v>
      </c>
      <c r="P242" s="1">
        <v>46219</v>
      </c>
      <c r="Q242" s="2">
        <v>16.87</v>
      </c>
      <c r="R242" t="s">
        <v>58</v>
      </c>
      <c r="S242" s="3">
        <v>0.38</v>
      </c>
      <c r="T242" t="s">
        <v>60</v>
      </c>
      <c r="U242" t="s">
        <v>239</v>
      </c>
      <c r="V242" s="2">
        <v>6.41</v>
      </c>
      <c r="W242" s="2">
        <v>0</v>
      </c>
      <c r="X242" s="2">
        <v>0</v>
      </c>
      <c r="Y242" t="s">
        <v>238</v>
      </c>
      <c r="Z242" t="s">
        <v>1062</v>
      </c>
    </row>
    <row r="243" spans="1:26" x14ac:dyDescent="0.25">
      <c r="A243">
        <v>2033164610</v>
      </c>
      <c r="B243" t="s">
        <v>635</v>
      </c>
      <c r="C243" t="s">
        <v>424</v>
      </c>
      <c r="D243" t="str">
        <f>CONCATENATE(C243," ",B243)</f>
        <v>ALEXANDRA RUFF</v>
      </c>
      <c r="E243" t="s">
        <v>305</v>
      </c>
      <c r="F243" t="s">
        <v>173</v>
      </c>
      <c r="G243" t="s">
        <v>176</v>
      </c>
      <c r="H243" t="s">
        <v>176</v>
      </c>
      <c r="I243" s="11" t="s">
        <v>1020</v>
      </c>
      <c r="J243" t="s">
        <v>312</v>
      </c>
      <c r="K243" t="s">
        <v>313</v>
      </c>
      <c r="L243" t="str">
        <f>CONCATENATE(K243," ",J243)</f>
        <v>Heather Geske</v>
      </c>
      <c r="M243" t="s">
        <v>57</v>
      </c>
      <c r="N243" s="1">
        <v>46038</v>
      </c>
      <c r="P243" s="1">
        <v>46219</v>
      </c>
      <c r="Q243" s="2">
        <v>13.63</v>
      </c>
      <c r="R243" t="s">
        <v>58</v>
      </c>
      <c r="S243" s="3">
        <v>0.38</v>
      </c>
      <c r="T243" t="s">
        <v>60</v>
      </c>
      <c r="U243" t="s">
        <v>239</v>
      </c>
      <c r="V243" s="2">
        <v>5.18</v>
      </c>
      <c r="W243" s="2">
        <v>0</v>
      </c>
      <c r="X243" s="2">
        <v>0</v>
      </c>
      <c r="Y243" t="s">
        <v>238</v>
      </c>
      <c r="Z243" t="s">
        <v>1064</v>
      </c>
    </row>
    <row r="244" spans="1:26" x14ac:dyDescent="0.25">
      <c r="A244">
        <v>2023499224</v>
      </c>
      <c r="B244" t="s">
        <v>243</v>
      </c>
      <c r="C244" t="s">
        <v>244</v>
      </c>
      <c r="D244" t="str">
        <f>CONCATENATE(C244," ",B244)</f>
        <v>RHONDA SURRATT</v>
      </c>
      <c r="E244" t="s">
        <v>245</v>
      </c>
      <c r="F244" t="s">
        <v>173</v>
      </c>
      <c r="G244" t="s">
        <v>176</v>
      </c>
      <c r="H244" t="s">
        <v>176</v>
      </c>
      <c r="I244" s="11" t="s">
        <v>1011</v>
      </c>
      <c r="J244" t="s">
        <v>55</v>
      </c>
      <c r="K244" t="s">
        <v>56</v>
      </c>
      <c r="L244" t="str">
        <f>CONCATENATE(K244," ",J244)</f>
        <v>JOHN ROKEN</v>
      </c>
      <c r="M244" t="s">
        <v>57</v>
      </c>
      <c r="N244" s="1">
        <v>45456</v>
      </c>
      <c r="P244" s="1">
        <v>46216</v>
      </c>
      <c r="Q244" s="2">
        <v>28.12</v>
      </c>
      <c r="R244" t="s">
        <v>58</v>
      </c>
      <c r="S244" s="3">
        <v>0.1</v>
      </c>
      <c r="T244" t="s">
        <v>238</v>
      </c>
      <c r="U244" t="s">
        <v>239</v>
      </c>
      <c r="V244" s="2">
        <v>2.81</v>
      </c>
      <c r="W244" s="2">
        <v>2.81</v>
      </c>
      <c r="X244" s="2">
        <v>2.81</v>
      </c>
      <c r="Y244" t="s">
        <v>238</v>
      </c>
      <c r="Z244" t="s">
        <v>1062</v>
      </c>
    </row>
    <row r="245" spans="1:26" x14ac:dyDescent="0.25">
      <c r="A245">
        <v>2023509943</v>
      </c>
      <c r="B245" t="s">
        <v>246</v>
      </c>
      <c r="C245" t="s">
        <v>247</v>
      </c>
      <c r="D245" t="str">
        <f>CONCATENATE(C245," ",B245)</f>
        <v>NATALIA VOLZ</v>
      </c>
      <c r="E245" t="s">
        <v>52</v>
      </c>
      <c r="F245" t="s">
        <v>173</v>
      </c>
      <c r="G245" t="s">
        <v>176</v>
      </c>
      <c r="H245" t="s">
        <v>176</v>
      </c>
      <c r="I245" s="11" t="s">
        <v>1011</v>
      </c>
      <c r="J245" t="s">
        <v>55</v>
      </c>
      <c r="K245" t="s">
        <v>56</v>
      </c>
      <c r="L245" t="str">
        <f>CONCATENATE(K245," ",J245)</f>
        <v>JOHN ROKEN</v>
      </c>
      <c r="M245" t="s">
        <v>57</v>
      </c>
      <c r="N245" s="1">
        <v>45457</v>
      </c>
      <c r="P245" s="1">
        <v>46217</v>
      </c>
      <c r="Q245" s="2">
        <v>55.16</v>
      </c>
      <c r="R245" t="s">
        <v>58</v>
      </c>
      <c r="S245" s="3">
        <v>0.1</v>
      </c>
      <c r="T245" t="s">
        <v>238</v>
      </c>
      <c r="U245" t="s">
        <v>239</v>
      </c>
      <c r="V245" s="2">
        <v>5.52</v>
      </c>
      <c r="W245" s="2">
        <v>5.52</v>
      </c>
      <c r="X245" s="2">
        <v>5.52</v>
      </c>
      <c r="Y245" t="s">
        <v>238</v>
      </c>
      <c r="Z245" t="s">
        <v>1062</v>
      </c>
    </row>
    <row r="246" spans="1:26" x14ac:dyDescent="0.25">
      <c r="A246">
        <v>2023510923</v>
      </c>
      <c r="B246" t="s">
        <v>249</v>
      </c>
      <c r="C246" t="s">
        <v>250</v>
      </c>
      <c r="D246" t="str">
        <f>CONCATENATE(C246," ",B246)</f>
        <v>CHARLES CAMPBELL</v>
      </c>
      <c r="E246" t="s">
        <v>52</v>
      </c>
      <c r="F246" t="s">
        <v>173</v>
      </c>
      <c r="G246" t="s">
        <v>176</v>
      </c>
      <c r="H246" t="s">
        <v>176</v>
      </c>
      <c r="I246" s="11" t="s">
        <v>1011</v>
      </c>
      <c r="J246" t="s">
        <v>55</v>
      </c>
      <c r="K246" t="s">
        <v>56</v>
      </c>
      <c r="L246" t="str">
        <f>CONCATENATE(K246," ",J246)</f>
        <v>JOHN ROKEN</v>
      </c>
      <c r="M246" t="s">
        <v>57</v>
      </c>
      <c r="N246" s="1">
        <v>45457</v>
      </c>
      <c r="P246" s="1">
        <v>46217</v>
      </c>
      <c r="Q246" s="2">
        <v>55.16</v>
      </c>
      <c r="R246" t="s">
        <v>58</v>
      </c>
      <c r="S246" s="3">
        <v>0.1</v>
      </c>
      <c r="T246" t="s">
        <v>238</v>
      </c>
      <c r="U246" t="s">
        <v>239</v>
      </c>
      <c r="V246" s="2">
        <v>5.52</v>
      </c>
      <c r="W246" s="2">
        <v>5.52</v>
      </c>
      <c r="X246" s="2">
        <v>5.52</v>
      </c>
      <c r="Y246" t="s">
        <v>238</v>
      </c>
      <c r="Z246" t="s">
        <v>1062</v>
      </c>
    </row>
    <row r="247" spans="1:26" x14ac:dyDescent="0.25">
      <c r="A247">
        <v>2023867555</v>
      </c>
      <c r="B247" t="s">
        <v>80</v>
      </c>
      <c r="C247" t="s">
        <v>842</v>
      </c>
      <c r="D247" t="str">
        <f>CONCATENATE(C247," ",B247)</f>
        <v>JULIAN GREGORY</v>
      </c>
      <c r="E247" t="s">
        <v>52</v>
      </c>
      <c r="F247" t="s">
        <v>173</v>
      </c>
      <c r="G247" t="s">
        <v>176</v>
      </c>
      <c r="H247" t="s">
        <v>176</v>
      </c>
      <c r="I247" s="11">
        <v>17425766</v>
      </c>
      <c r="J247" t="s">
        <v>158</v>
      </c>
      <c r="K247" t="s">
        <v>159</v>
      </c>
      <c r="L247" t="str">
        <f>CONCATENATE(K247," ",J247)</f>
        <v>CAROL FOLEY</v>
      </c>
      <c r="M247" t="s">
        <v>57</v>
      </c>
      <c r="N247" s="1">
        <v>45483</v>
      </c>
      <c r="P247" s="1">
        <v>46213</v>
      </c>
      <c r="Q247" s="2">
        <v>53.16</v>
      </c>
      <c r="R247" t="s">
        <v>58</v>
      </c>
      <c r="S247" s="3">
        <v>0.1</v>
      </c>
      <c r="T247" t="s">
        <v>238</v>
      </c>
      <c r="U247" t="s">
        <v>239</v>
      </c>
      <c r="V247" s="2">
        <v>5.32</v>
      </c>
      <c r="W247" s="2">
        <v>5.32</v>
      </c>
      <c r="X247" s="2">
        <v>5.32</v>
      </c>
      <c r="Y247" t="s">
        <v>238</v>
      </c>
      <c r="Z247" t="s">
        <v>1062</v>
      </c>
    </row>
    <row r="248" spans="1:26" x14ac:dyDescent="0.25">
      <c r="A248">
        <v>2024382705</v>
      </c>
      <c r="B248" t="s">
        <v>251</v>
      </c>
      <c r="C248" t="s">
        <v>252</v>
      </c>
      <c r="D248" t="str">
        <f>CONCATENATE(C248," ",B248)</f>
        <v>SARAH LUDDY</v>
      </c>
      <c r="E248" t="s">
        <v>52</v>
      </c>
      <c r="F248" t="s">
        <v>173</v>
      </c>
      <c r="G248" t="s">
        <v>176</v>
      </c>
      <c r="H248" t="s">
        <v>176</v>
      </c>
      <c r="I248" s="11">
        <v>17425766</v>
      </c>
      <c r="J248" t="s">
        <v>158</v>
      </c>
      <c r="K248" t="s">
        <v>159</v>
      </c>
      <c r="L248" t="str">
        <f>CONCATENATE(K248," ",J248)</f>
        <v>CAROL FOLEY</v>
      </c>
      <c r="M248" t="s">
        <v>57</v>
      </c>
      <c r="N248" s="1">
        <v>45519</v>
      </c>
      <c r="P248" s="1">
        <v>46218</v>
      </c>
      <c r="Q248" s="2">
        <v>27.15</v>
      </c>
      <c r="R248" t="s">
        <v>58</v>
      </c>
      <c r="S248" s="3">
        <v>0.1</v>
      </c>
      <c r="T248" t="s">
        <v>238</v>
      </c>
      <c r="U248" t="s">
        <v>239</v>
      </c>
      <c r="V248" s="2">
        <v>2.72</v>
      </c>
      <c r="W248" s="2">
        <v>2.72</v>
      </c>
      <c r="X248" s="2">
        <v>2.72</v>
      </c>
      <c r="Y248" t="s">
        <v>238</v>
      </c>
      <c r="Z248" t="s">
        <v>1062</v>
      </c>
    </row>
    <row r="249" spans="1:26" x14ac:dyDescent="0.25">
      <c r="A249">
        <v>2024853074</v>
      </c>
      <c r="B249" t="s">
        <v>394</v>
      </c>
      <c r="C249" t="s">
        <v>395</v>
      </c>
      <c r="D249" t="str">
        <f>CONCATENATE(C249," ",B249)</f>
        <v>BERNARDO CARVALHO</v>
      </c>
      <c r="E249" t="s">
        <v>95</v>
      </c>
      <c r="F249" t="s">
        <v>173</v>
      </c>
      <c r="G249" t="s">
        <v>176</v>
      </c>
      <c r="H249" t="s">
        <v>176</v>
      </c>
      <c r="I249" s="11">
        <v>17425766</v>
      </c>
      <c r="J249" t="s">
        <v>158</v>
      </c>
      <c r="K249" t="s">
        <v>159</v>
      </c>
      <c r="L249" t="str">
        <f>CONCATENATE(K249," ",J249)</f>
        <v>CAROL FOLEY</v>
      </c>
      <c r="M249" t="s">
        <v>57</v>
      </c>
      <c r="N249" s="1">
        <v>45550</v>
      </c>
      <c r="P249" s="1">
        <v>46218</v>
      </c>
      <c r="Q249" s="2">
        <v>35.06</v>
      </c>
      <c r="R249" t="s">
        <v>58</v>
      </c>
      <c r="S249" s="3">
        <v>0.1</v>
      </c>
      <c r="T249" t="s">
        <v>238</v>
      </c>
      <c r="U249" t="s">
        <v>239</v>
      </c>
      <c r="V249" s="2">
        <v>3.51</v>
      </c>
      <c r="W249" s="2">
        <v>3.51</v>
      </c>
      <c r="X249" s="2">
        <v>3.51</v>
      </c>
      <c r="Y249" t="s">
        <v>238</v>
      </c>
      <c r="Z249" t="s">
        <v>1062</v>
      </c>
    </row>
    <row r="250" spans="1:26" x14ac:dyDescent="0.25">
      <c r="A250">
        <v>2025729949</v>
      </c>
      <c r="B250" t="s">
        <v>942</v>
      </c>
      <c r="C250" t="s">
        <v>307</v>
      </c>
      <c r="D250" t="str">
        <f>CONCATENATE(C250," ",B250)</f>
        <v>WILLIAM MARONSKI</v>
      </c>
      <c r="E250" t="s">
        <v>52</v>
      </c>
      <c r="F250" t="s">
        <v>173</v>
      </c>
      <c r="G250" t="s">
        <v>176</v>
      </c>
      <c r="H250" t="s">
        <v>176</v>
      </c>
      <c r="I250" s="11">
        <v>17425766</v>
      </c>
      <c r="J250" t="s">
        <v>158</v>
      </c>
      <c r="K250" t="s">
        <v>159</v>
      </c>
      <c r="L250" t="str">
        <f>CONCATENATE(K250," ",J250)</f>
        <v>CAROL FOLEY</v>
      </c>
      <c r="M250" t="s">
        <v>57</v>
      </c>
      <c r="N250" s="1">
        <v>45609</v>
      </c>
      <c r="P250" s="1">
        <v>46216</v>
      </c>
      <c r="Q250" s="2">
        <v>53.16</v>
      </c>
      <c r="R250" t="s">
        <v>58</v>
      </c>
      <c r="S250" s="3">
        <v>0.1</v>
      </c>
      <c r="T250" t="s">
        <v>238</v>
      </c>
      <c r="U250" t="s">
        <v>239</v>
      </c>
      <c r="V250" s="2">
        <v>5.32</v>
      </c>
      <c r="W250" s="2">
        <v>5.32</v>
      </c>
      <c r="X250" s="2">
        <v>5.32</v>
      </c>
      <c r="Y250" t="s">
        <v>238</v>
      </c>
      <c r="Z250" t="s">
        <v>1062</v>
      </c>
    </row>
    <row r="251" spans="1:26" x14ac:dyDescent="0.25">
      <c r="A251">
        <v>2025756062</v>
      </c>
      <c r="B251" t="s">
        <v>253</v>
      </c>
      <c r="C251" t="s">
        <v>254</v>
      </c>
      <c r="D251" t="str">
        <f>CONCATENATE(C251," ",B251)</f>
        <v>KEVIN CLOUSE</v>
      </c>
      <c r="E251" t="s">
        <v>52</v>
      </c>
      <c r="F251" t="s">
        <v>173</v>
      </c>
      <c r="G251" t="s">
        <v>176</v>
      </c>
      <c r="H251" t="s">
        <v>176</v>
      </c>
      <c r="I251" s="11">
        <v>17425766</v>
      </c>
      <c r="J251" t="s">
        <v>158</v>
      </c>
      <c r="K251" t="s">
        <v>159</v>
      </c>
      <c r="L251" t="str">
        <f>CONCATENATE(K251," ",J251)</f>
        <v>CAROL FOLEY</v>
      </c>
      <c r="M251" t="s">
        <v>57</v>
      </c>
      <c r="N251" s="1">
        <v>45610</v>
      </c>
      <c r="P251" s="1">
        <v>46217</v>
      </c>
      <c r="Q251" s="2">
        <v>33.51</v>
      </c>
      <c r="R251" t="s">
        <v>58</v>
      </c>
      <c r="S251" s="3">
        <v>0.1</v>
      </c>
      <c r="T251" t="s">
        <v>238</v>
      </c>
      <c r="U251" t="s">
        <v>239</v>
      </c>
      <c r="V251" s="2">
        <v>3.35</v>
      </c>
      <c r="W251" s="2">
        <v>3.35</v>
      </c>
      <c r="X251" s="2">
        <v>3.35</v>
      </c>
      <c r="Y251" t="s">
        <v>238</v>
      </c>
      <c r="Z251" t="s">
        <v>1062</v>
      </c>
    </row>
    <row r="252" spans="1:26" x14ac:dyDescent="0.25">
      <c r="A252">
        <v>2025820172</v>
      </c>
      <c r="B252" t="s">
        <v>303</v>
      </c>
      <c r="C252" t="s">
        <v>304</v>
      </c>
      <c r="D252" t="str">
        <f>CONCATENATE(C252," ",B252)</f>
        <v>MERIWTHER HARDIE</v>
      </c>
      <c r="E252" t="s">
        <v>305</v>
      </c>
      <c r="F252" t="s">
        <v>173</v>
      </c>
      <c r="G252" t="s">
        <v>176</v>
      </c>
      <c r="H252" t="s">
        <v>176</v>
      </c>
      <c r="I252" s="11">
        <v>21313588</v>
      </c>
      <c r="J252" t="s">
        <v>306</v>
      </c>
      <c r="K252" t="s">
        <v>307</v>
      </c>
      <c r="L252" t="str">
        <f>CONCATENATE(K252," ",J252)</f>
        <v>WILLIAM GESKE</v>
      </c>
      <c r="M252" t="s">
        <v>57</v>
      </c>
      <c r="N252" s="1">
        <v>45615</v>
      </c>
      <c r="P252" s="1">
        <v>46222</v>
      </c>
      <c r="Q252" s="2">
        <v>26.43</v>
      </c>
      <c r="R252" t="s">
        <v>58</v>
      </c>
      <c r="S252" s="3">
        <v>0.1</v>
      </c>
      <c r="T252" t="s">
        <v>238</v>
      </c>
      <c r="U252" t="s">
        <v>239</v>
      </c>
      <c r="V252" s="2">
        <v>2.64</v>
      </c>
      <c r="W252" s="2">
        <v>2.64</v>
      </c>
      <c r="X252" s="2">
        <v>2.64</v>
      </c>
      <c r="Y252" t="s">
        <v>238</v>
      </c>
      <c r="Z252" t="s">
        <v>1062</v>
      </c>
    </row>
    <row r="253" spans="1:26" x14ac:dyDescent="0.25">
      <c r="A253">
        <v>2026061219</v>
      </c>
      <c r="B253" t="s">
        <v>308</v>
      </c>
      <c r="C253" t="s">
        <v>260</v>
      </c>
      <c r="D253" t="str">
        <f>CONCATENATE(C253," ",B253)</f>
        <v>JOSEPH HINTZICKER</v>
      </c>
      <c r="E253" t="s">
        <v>305</v>
      </c>
      <c r="F253" t="s">
        <v>173</v>
      </c>
      <c r="G253" t="s">
        <v>176</v>
      </c>
      <c r="H253" t="s">
        <v>176</v>
      </c>
      <c r="I253" s="11">
        <v>21313588</v>
      </c>
      <c r="J253" t="s">
        <v>306</v>
      </c>
      <c r="K253" t="s">
        <v>307</v>
      </c>
      <c r="L253" t="str">
        <f>CONCATENATE(K253," ",J253)</f>
        <v>WILLIAM GESKE</v>
      </c>
      <c r="M253" t="s">
        <v>57</v>
      </c>
      <c r="N253" s="1">
        <v>45641</v>
      </c>
      <c r="P253" s="1">
        <v>46218</v>
      </c>
      <c r="Q253" s="2">
        <v>33.31</v>
      </c>
      <c r="R253" t="s">
        <v>58</v>
      </c>
      <c r="S253" s="3">
        <v>0.1</v>
      </c>
      <c r="T253" t="s">
        <v>238</v>
      </c>
      <c r="U253" t="s">
        <v>239</v>
      </c>
      <c r="V253" s="2">
        <v>3.33</v>
      </c>
      <c r="W253" s="2">
        <v>3.33</v>
      </c>
      <c r="X253" s="2">
        <v>3.33</v>
      </c>
      <c r="Y253" t="s">
        <v>238</v>
      </c>
      <c r="Z253" t="s">
        <v>1062</v>
      </c>
    </row>
    <row r="254" spans="1:26" x14ac:dyDescent="0.25">
      <c r="A254">
        <v>2026586622</v>
      </c>
      <c r="B254" t="s">
        <v>423</v>
      </c>
      <c r="C254" t="s">
        <v>424</v>
      </c>
      <c r="D254" t="str">
        <f>CONCATENATE(C254," ",B254)</f>
        <v>ALEXANDRA STOCKTON</v>
      </c>
      <c r="E254" t="s">
        <v>234</v>
      </c>
      <c r="F254" t="s">
        <v>173</v>
      </c>
      <c r="G254" t="s">
        <v>176</v>
      </c>
      <c r="H254" t="s">
        <v>176</v>
      </c>
      <c r="I254" s="11" t="s">
        <v>1029</v>
      </c>
      <c r="J254" t="s">
        <v>419</v>
      </c>
      <c r="K254" t="s">
        <v>420</v>
      </c>
      <c r="L254" t="str">
        <f>CONCATENATE(K254," ",J254)</f>
        <v>JARED KINYUA</v>
      </c>
      <c r="M254" t="s">
        <v>57</v>
      </c>
      <c r="N254" s="1">
        <v>45672</v>
      </c>
      <c r="P254" s="1">
        <v>46218</v>
      </c>
      <c r="Q254" s="2">
        <v>13.38</v>
      </c>
      <c r="R254" t="s">
        <v>58</v>
      </c>
      <c r="S254" s="3">
        <v>0.1</v>
      </c>
      <c r="T254" t="s">
        <v>238</v>
      </c>
      <c r="U254" t="s">
        <v>239</v>
      </c>
      <c r="V254" s="2">
        <v>1.34</v>
      </c>
      <c r="W254" s="2">
        <v>1.34</v>
      </c>
      <c r="X254" s="2">
        <v>1.34</v>
      </c>
      <c r="Y254" t="s">
        <v>238</v>
      </c>
      <c r="Z254" t="s">
        <v>1062</v>
      </c>
    </row>
    <row r="255" spans="1:26" x14ac:dyDescent="0.25">
      <c r="A255">
        <v>2026603199</v>
      </c>
      <c r="B255" t="s">
        <v>257</v>
      </c>
      <c r="C255" t="s">
        <v>258</v>
      </c>
      <c r="D255" t="str">
        <f>CONCATENATE(C255," ",B255)</f>
        <v>GEOFFREY PETTINE</v>
      </c>
      <c r="E255" t="s">
        <v>52</v>
      </c>
      <c r="F255" t="s">
        <v>173</v>
      </c>
      <c r="G255" t="s">
        <v>176</v>
      </c>
      <c r="H255" t="s">
        <v>176</v>
      </c>
      <c r="I255" s="11" t="s">
        <v>1011</v>
      </c>
      <c r="J255" t="s">
        <v>55</v>
      </c>
      <c r="K255" t="s">
        <v>56</v>
      </c>
      <c r="L255" t="str">
        <f>CONCATENATE(K255," ",J255)</f>
        <v>JOHN ROKEN</v>
      </c>
      <c r="M255" t="s">
        <v>57</v>
      </c>
      <c r="N255" s="1">
        <v>45673</v>
      </c>
      <c r="P255" s="1">
        <v>46219</v>
      </c>
      <c r="Q255" s="2">
        <v>33.51</v>
      </c>
      <c r="R255" t="s">
        <v>58</v>
      </c>
      <c r="S255" s="3">
        <v>0.1</v>
      </c>
      <c r="T255" t="s">
        <v>238</v>
      </c>
      <c r="U255" t="s">
        <v>239</v>
      </c>
      <c r="V255" s="2">
        <v>3.35</v>
      </c>
      <c r="W255" s="2">
        <v>3.35</v>
      </c>
      <c r="X255" s="2">
        <v>3.35</v>
      </c>
      <c r="Y255" t="s">
        <v>238</v>
      </c>
      <c r="Z255" t="s">
        <v>1062</v>
      </c>
    </row>
    <row r="256" spans="1:26" x14ac:dyDescent="0.25">
      <c r="A256">
        <v>2027849973</v>
      </c>
      <c r="B256" t="s">
        <v>436</v>
      </c>
      <c r="C256" t="s">
        <v>437</v>
      </c>
      <c r="D256" t="str">
        <f>CONCATENATE(C256," ",B256)</f>
        <v>CHAD DIXON</v>
      </c>
      <c r="E256" t="s">
        <v>438</v>
      </c>
      <c r="F256" t="s">
        <v>173</v>
      </c>
      <c r="G256" t="s">
        <v>176</v>
      </c>
      <c r="H256" t="s">
        <v>176</v>
      </c>
      <c r="I256" s="11">
        <v>17425766</v>
      </c>
      <c r="J256" t="s">
        <v>158</v>
      </c>
      <c r="K256" t="s">
        <v>159</v>
      </c>
      <c r="L256" t="str">
        <f>CONCATENATE(K256," ",J256)</f>
        <v>CAROL FOLEY</v>
      </c>
      <c r="M256" t="s">
        <v>57</v>
      </c>
      <c r="N256" s="1">
        <v>45733</v>
      </c>
      <c r="P256" s="1">
        <v>46220</v>
      </c>
      <c r="Q256" s="2">
        <v>48.95</v>
      </c>
      <c r="R256" t="s">
        <v>58</v>
      </c>
      <c r="S256" s="3">
        <v>0.1</v>
      </c>
      <c r="T256" t="s">
        <v>238</v>
      </c>
      <c r="U256" t="s">
        <v>239</v>
      </c>
      <c r="V256" s="2">
        <v>4.9000000000000004</v>
      </c>
      <c r="W256" s="2">
        <v>4.9000000000000004</v>
      </c>
      <c r="X256" s="2">
        <v>4.9000000000000004</v>
      </c>
      <c r="Y256" t="s">
        <v>238</v>
      </c>
      <c r="Z256" t="s">
        <v>1062</v>
      </c>
    </row>
    <row r="257" spans="1:26" x14ac:dyDescent="0.25">
      <c r="A257">
        <v>2028488143</v>
      </c>
      <c r="B257" t="s">
        <v>263</v>
      </c>
      <c r="C257" t="s">
        <v>264</v>
      </c>
      <c r="D257" t="str">
        <f>CONCATENATE(C257," ",B257)</f>
        <v>CHELSEA REITENBACH</v>
      </c>
      <c r="E257" t="s">
        <v>52</v>
      </c>
      <c r="F257" t="s">
        <v>173</v>
      </c>
      <c r="G257" t="s">
        <v>176</v>
      </c>
      <c r="H257" t="s">
        <v>176</v>
      </c>
      <c r="I257" s="11" t="s">
        <v>1011</v>
      </c>
      <c r="J257" t="s">
        <v>55</v>
      </c>
      <c r="K257" t="s">
        <v>56</v>
      </c>
      <c r="L257" t="str">
        <f>CONCATENATE(K257," ",J257)</f>
        <v>JOHN ROKEN</v>
      </c>
      <c r="M257" t="s">
        <v>57</v>
      </c>
      <c r="N257" s="1">
        <v>45766</v>
      </c>
      <c r="P257" s="1">
        <v>46222</v>
      </c>
      <c r="Q257" s="2">
        <v>89.62</v>
      </c>
      <c r="R257" t="s">
        <v>58</v>
      </c>
      <c r="S257" s="3">
        <v>0.1</v>
      </c>
      <c r="T257" t="s">
        <v>238</v>
      </c>
      <c r="U257" t="s">
        <v>239</v>
      </c>
      <c r="V257" s="2">
        <v>8.9600000000000009</v>
      </c>
      <c r="W257" s="2">
        <v>8.9600000000000009</v>
      </c>
      <c r="X257" s="2">
        <v>8.9600000000000009</v>
      </c>
      <c r="Y257" t="s">
        <v>238</v>
      </c>
      <c r="Z257" t="s">
        <v>1062</v>
      </c>
    </row>
    <row r="258" spans="1:26" x14ac:dyDescent="0.25">
      <c r="A258">
        <v>2030455579</v>
      </c>
      <c r="B258" t="s">
        <v>353</v>
      </c>
      <c r="C258" t="s">
        <v>354</v>
      </c>
      <c r="D258" t="str">
        <f>CONCATENATE(C258," ",B258)</f>
        <v>JASON TROUT</v>
      </c>
      <c r="E258" t="s">
        <v>305</v>
      </c>
      <c r="F258" t="s">
        <v>173</v>
      </c>
      <c r="G258" t="s">
        <v>176</v>
      </c>
      <c r="H258" t="s">
        <v>176</v>
      </c>
      <c r="I258" s="11" t="s">
        <v>1020</v>
      </c>
      <c r="J258" t="s">
        <v>312</v>
      </c>
      <c r="K258" t="s">
        <v>313</v>
      </c>
      <c r="L258" t="str">
        <f>CONCATENATE(K258," ",J258)</f>
        <v>Heather Geske</v>
      </c>
      <c r="M258" t="s">
        <v>57</v>
      </c>
      <c r="N258" s="1">
        <v>45882</v>
      </c>
      <c r="P258" s="1">
        <v>46216</v>
      </c>
      <c r="Q258" s="2">
        <v>60.5</v>
      </c>
      <c r="R258" t="s">
        <v>58</v>
      </c>
      <c r="S258" s="3">
        <v>0.38</v>
      </c>
      <c r="T258" t="s">
        <v>60</v>
      </c>
      <c r="U258" t="s">
        <v>239</v>
      </c>
      <c r="V258" s="2">
        <v>22.99</v>
      </c>
      <c r="W258" s="2">
        <v>22.99</v>
      </c>
      <c r="X258" s="2">
        <v>22.99</v>
      </c>
      <c r="Y258" t="s">
        <v>238</v>
      </c>
      <c r="Z258" t="s">
        <v>1062</v>
      </c>
    </row>
    <row r="259" spans="1:26" x14ac:dyDescent="0.25">
      <c r="A259">
        <v>2031641176</v>
      </c>
      <c r="B259" t="s">
        <v>946</v>
      </c>
      <c r="C259" t="s">
        <v>452</v>
      </c>
      <c r="D259" t="str">
        <f>CONCATENATE(C259," ",B259)</f>
        <v>ELIZABETH SPROAT</v>
      </c>
      <c r="E259" t="s">
        <v>52</v>
      </c>
      <c r="F259" t="s">
        <v>173</v>
      </c>
      <c r="G259" t="s">
        <v>176</v>
      </c>
      <c r="H259" t="s">
        <v>176</v>
      </c>
      <c r="I259" s="11">
        <v>17425766</v>
      </c>
      <c r="J259" t="s">
        <v>158</v>
      </c>
      <c r="K259" t="s">
        <v>159</v>
      </c>
      <c r="L259" t="str">
        <f>CONCATENATE(K259," ",J259)</f>
        <v>CAROL FOLEY</v>
      </c>
      <c r="M259" t="s">
        <v>57</v>
      </c>
      <c r="N259" s="1">
        <v>45946</v>
      </c>
      <c r="P259" s="1">
        <v>46219</v>
      </c>
      <c r="Q259" s="2">
        <v>61.39</v>
      </c>
      <c r="R259" t="s">
        <v>58</v>
      </c>
      <c r="S259" s="3">
        <v>0.38</v>
      </c>
      <c r="T259" t="s">
        <v>60</v>
      </c>
      <c r="U259" t="s">
        <v>239</v>
      </c>
      <c r="V259" s="2">
        <v>23.33</v>
      </c>
      <c r="W259" s="2">
        <v>23.33</v>
      </c>
      <c r="X259" s="2">
        <v>23.33</v>
      </c>
      <c r="Y259" t="s">
        <v>238</v>
      </c>
      <c r="Z259" t="s">
        <v>1062</v>
      </c>
    </row>
    <row r="260" spans="1:26" x14ac:dyDescent="0.25">
      <c r="A260">
        <v>2032208386</v>
      </c>
      <c r="B260" t="s">
        <v>381</v>
      </c>
      <c r="C260" t="s">
        <v>272</v>
      </c>
      <c r="D260" t="str">
        <f>CONCATENATE(C260," ",B260)</f>
        <v>MARY CARLSON</v>
      </c>
      <c r="E260" t="s">
        <v>305</v>
      </c>
      <c r="F260" t="s">
        <v>173</v>
      </c>
      <c r="G260" t="s">
        <v>176</v>
      </c>
      <c r="H260" t="s">
        <v>176</v>
      </c>
      <c r="I260" s="11" t="s">
        <v>1020</v>
      </c>
      <c r="J260" t="s">
        <v>312</v>
      </c>
      <c r="K260" t="s">
        <v>313</v>
      </c>
      <c r="L260" t="str">
        <f>CONCATENATE(K260," ",J260)</f>
        <v>Heather Geske</v>
      </c>
      <c r="M260" t="s">
        <v>57</v>
      </c>
      <c r="N260" s="1">
        <v>45979</v>
      </c>
      <c r="P260" s="1">
        <v>46221</v>
      </c>
      <c r="Q260" s="2">
        <v>23.63</v>
      </c>
      <c r="R260" t="s">
        <v>58</v>
      </c>
      <c r="S260" s="3">
        <v>0.38</v>
      </c>
      <c r="T260" t="s">
        <v>60</v>
      </c>
      <c r="U260" t="s">
        <v>239</v>
      </c>
      <c r="V260" s="2">
        <v>8.98</v>
      </c>
      <c r="W260" s="2">
        <v>8.98</v>
      </c>
      <c r="X260" s="2">
        <v>8.98</v>
      </c>
      <c r="Y260" t="s">
        <v>238</v>
      </c>
      <c r="Z260" t="s">
        <v>1062</v>
      </c>
    </row>
    <row r="261" spans="1:26" x14ac:dyDescent="0.25">
      <c r="A261">
        <v>2032648207</v>
      </c>
      <c r="B261" t="s">
        <v>947</v>
      </c>
      <c r="C261" t="s">
        <v>948</v>
      </c>
      <c r="D261" t="str">
        <f>CONCATENATE(C261," ",B261)</f>
        <v>THEODORE WIGGINS</v>
      </c>
      <c r="E261" t="s">
        <v>52</v>
      </c>
      <c r="F261" t="s">
        <v>173</v>
      </c>
      <c r="G261" t="s">
        <v>176</v>
      </c>
      <c r="H261" t="s">
        <v>176</v>
      </c>
      <c r="I261" s="11" t="s">
        <v>1011</v>
      </c>
      <c r="J261" t="s">
        <v>55</v>
      </c>
      <c r="K261" t="s">
        <v>56</v>
      </c>
      <c r="L261" t="str">
        <f>CONCATENATE(K261," ",J261)</f>
        <v>JOHN ROKEN</v>
      </c>
      <c r="M261" t="s">
        <v>57</v>
      </c>
      <c r="N261" s="1">
        <v>46004</v>
      </c>
      <c r="P261" s="1">
        <v>46216</v>
      </c>
      <c r="Q261" s="2">
        <v>77.55</v>
      </c>
      <c r="R261" t="s">
        <v>58</v>
      </c>
      <c r="S261" s="3">
        <v>0.38</v>
      </c>
      <c r="T261" t="s">
        <v>60</v>
      </c>
      <c r="U261" t="s">
        <v>239</v>
      </c>
      <c r="V261" s="2">
        <v>29.47</v>
      </c>
      <c r="W261" s="2">
        <v>29.47</v>
      </c>
      <c r="X261" s="2">
        <v>29.47</v>
      </c>
      <c r="Y261" t="s">
        <v>238</v>
      </c>
      <c r="Z261" t="s">
        <v>1062</v>
      </c>
    </row>
    <row r="262" spans="1:26" x14ac:dyDescent="0.25">
      <c r="A262">
        <v>2032676548</v>
      </c>
      <c r="B262" t="s">
        <v>274</v>
      </c>
      <c r="C262" t="s">
        <v>123</v>
      </c>
      <c r="D262" t="str">
        <f>CONCATENATE(C262," ",B262)</f>
        <v>FRANK ANILO</v>
      </c>
      <c r="E262" t="s">
        <v>52</v>
      </c>
      <c r="F262" t="s">
        <v>173</v>
      </c>
      <c r="G262" t="s">
        <v>176</v>
      </c>
      <c r="H262" t="s">
        <v>176</v>
      </c>
      <c r="I262" s="11">
        <v>15950276</v>
      </c>
      <c r="J262" t="s">
        <v>273</v>
      </c>
      <c r="K262" t="s">
        <v>92</v>
      </c>
      <c r="L262" t="str">
        <f>CONCATENATE(K262," ",J262)</f>
        <v>Ryan Stocker</v>
      </c>
      <c r="M262" t="s">
        <v>57</v>
      </c>
      <c r="N262" s="1">
        <v>46005</v>
      </c>
      <c r="P262" s="1">
        <v>46217</v>
      </c>
      <c r="Q262" s="2">
        <v>19.309999999999999</v>
      </c>
      <c r="R262" t="s">
        <v>58</v>
      </c>
      <c r="S262" s="3">
        <v>0.38</v>
      </c>
      <c r="T262" t="s">
        <v>60</v>
      </c>
      <c r="U262" t="s">
        <v>239</v>
      </c>
      <c r="V262" s="2">
        <v>7.34</v>
      </c>
      <c r="W262" s="2">
        <v>7.34</v>
      </c>
      <c r="X262" s="2">
        <v>7.34</v>
      </c>
      <c r="Y262" t="s">
        <v>238</v>
      </c>
      <c r="Z262" t="s">
        <v>1062</v>
      </c>
    </row>
    <row r="263" spans="1:26" x14ac:dyDescent="0.25">
      <c r="A263">
        <v>2032695213</v>
      </c>
      <c r="B263" t="s">
        <v>851</v>
      </c>
      <c r="C263" t="s">
        <v>852</v>
      </c>
      <c r="D263" t="str">
        <f>CONCATENATE(C263," ",B263)</f>
        <v>HUNTER BEVERIDGE</v>
      </c>
      <c r="E263" t="s">
        <v>111</v>
      </c>
      <c r="F263" t="s">
        <v>173</v>
      </c>
      <c r="G263" t="s">
        <v>176</v>
      </c>
      <c r="H263" t="s">
        <v>176</v>
      </c>
      <c r="I263" s="11" t="s">
        <v>1044</v>
      </c>
      <c r="J263" t="s">
        <v>595</v>
      </c>
      <c r="K263" t="s">
        <v>596</v>
      </c>
      <c r="L263" t="str">
        <f>CONCATENATE(K263," ",J263)</f>
        <v>Raluca Cheregi</v>
      </c>
      <c r="M263" t="s">
        <v>57</v>
      </c>
      <c r="N263" s="1">
        <v>46007</v>
      </c>
      <c r="P263" s="1">
        <v>46219</v>
      </c>
      <c r="Q263" s="2">
        <v>20.68</v>
      </c>
      <c r="R263" t="s">
        <v>58</v>
      </c>
      <c r="S263" s="3">
        <v>0.38</v>
      </c>
      <c r="T263" t="s">
        <v>60</v>
      </c>
      <c r="U263" t="s">
        <v>239</v>
      </c>
      <c r="V263" s="2">
        <v>7.86</v>
      </c>
      <c r="W263" s="2">
        <v>7.86</v>
      </c>
      <c r="X263" s="2">
        <v>7.86</v>
      </c>
      <c r="Y263" t="s">
        <v>238</v>
      </c>
      <c r="Z263" t="s">
        <v>1064</v>
      </c>
    </row>
    <row r="264" spans="1:26" x14ac:dyDescent="0.25">
      <c r="A264">
        <v>2032757518</v>
      </c>
      <c r="B264" t="s">
        <v>911</v>
      </c>
      <c r="C264" t="s">
        <v>912</v>
      </c>
      <c r="D264" t="str">
        <f>CONCATENATE(C264," ",B264)</f>
        <v>MERRY LEVIN</v>
      </c>
      <c r="E264" t="s">
        <v>52</v>
      </c>
      <c r="F264" t="s">
        <v>173</v>
      </c>
      <c r="G264" t="s">
        <v>176</v>
      </c>
      <c r="H264" t="s">
        <v>176</v>
      </c>
      <c r="I264" s="11">
        <v>17425766</v>
      </c>
      <c r="J264" t="s">
        <v>158</v>
      </c>
      <c r="K264" t="s">
        <v>159</v>
      </c>
      <c r="L264" t="str">
        <f>CONCATENATE(K264," ",J264)</f>
        <v>CAROL FOLEY</v>
      </c>
      <c r="M264" t="s">
        <v>57</v>
      </c>
      <c r="N264" s="1">
        <v>46010</v>
      </c>
      <c r="P264" s="1">
        <v>46222</v>
      </c>
      <c r="Q264" s="2">
        <v>47.17</v>
      </c>
      <c r="R264" t="s">
        <v>58</v>
      </c>
      <c r="S264" s="3">
        <v>0.38</v>
      </c>
      <c r="T264" t="s">
        <v>60</v>
      </c>
      <c r="U264" t="s">
        <v>239</v>
      </c>
      <c r="V264" s="2">
        <v>17.920000000000002</v>
      </c>
      <c r="W264" s="2">
        <v>17.920000000000002</v>
      </c>
      <c r="X264" s="2">
        <v>17.920000000000002</v>
      </c>
      <c r="Y264" t="s">
        <v>238</v>
      </c>
      <c r="Z264" t="s">
        <v>1062</v>
      </c>
    </row>
    <row r="265" spans="1:26" x14ac:dyDescent="0.25">
      <c r="A265">
        <v>2032774966</v>
      </c>
      <c r="B265" t="s">
        <v>610</v>
      </c>
      <c r="C265" t="s">
        <v>611</v>
      </c>
      <c r="D265" t="str">
        <f>CONCATENATE(C265," ",B265)</f>
        <v>NIKKI SANDOVAL</v>
      </c>
      <c r="E265" t="s">
        <v>305</v>
      </c>
      <c r="F265" t="s">
        <v>173</v>
      </c>
      <c r="G265" t="s">
        <v>176</v>
      </c>
      <c r="H265" t="s">
        <v>176</v>
      </c>
      <c r="I265" s="11" t="s">
        <v>1020</v>
      </c>
      <c r="J265" t="s">
        <v>312</v>
      </c>
      <c r="K265" t="s">
        <v>313</v>
      </c>
      <c r="L265" t="str">
        <f>CONCATENATE(K265," ",J265)</f>
        <v>Heather Geske</v>
      </c>
      <c r="M265" t="s">
        <v>57</v>
      </c>
      <c r="N265" s="1">
        <v>46006</v>
      </c>
      <c r="P265" s="1">
        <v>46218</v>
      </c>
      <c r="Q265" s="2">
        <v>19.100000000000001</v>
      </c>
      <c r="R265" t="s">
        <v>58</v>
      </c>
      <c r="S265" s="3">
        <v>0.38</v>
      </c>
      <c r="T265" t="s">
        <v>60</v>
      </c>
      <c r="U265" t="s">
        <v>239</v>
      </c>
      <c r="V265" s="2">
        <v>7.26</v>
      </c>
      <c r="W265" s="2">
        <v>7.26</v>
      </c>
      <c r="X265" s="2">
        <v>7.26</v>
      </c>
      <c r="Y265" t="s">
        <v>238</v>
      </c>
      <c r="Z265" t="s">
        <v>1064</v>
      </c>
    </row>
    <row r="266" spans="1:26" x14ac:dyDescent="0.25">
      <c r="A266">
        <v>2034867129</v>
      </c>
      <c r="B266" t="s">
        <v>702</v>
      </c>
      <c r="C266" t="s">
        <v>703</v>
      </c>
      <c r="D266" t="str">
        <f>CONCATENATE(C266," ",B266)</f>
        <v>DERIC GAYDE</v>
      </c>
      <c r="E266" t="s">
        <v>209</v>
      </c>
      <c r="F266" t="s">
        <v>220</v>
      </c>
      <c r="G266" t="s">
        <v>228</v>
      </c>
      <c r="H266" t="s">
        <v>998</v>
      </c>
      <c r="I266" s="11" t="s">
        <v>1052</v>
      </c>
      <c r="J266" t="s">
        <v>651</v>
      </c>
      <c r="K266" t="s">
        <v>652</v>
      </c>
      <c r="L266" t="str">
        <f>CONCATENATE(K266," ",J266)</f>
        <v>Danna Green</v>
      </c>
      <c r="M266" t="s">
        <v>57</v>
      </c>
      <c r="N266" s="1">
        <v>46129</v>
      </c>
      <c r="P266" s="1">
        <v>46220</v>
      </c>
      <c r="Q266" s="2">
        <v>730.31</v>
      </c>
      <c r="R266" t="s">
        <v>58</v>
      </c>
      <c r="S266" s="3">
        <v>0.19</v>
      </c>
      <c r="T266" t="s">
        <v>60</v>
      </c>
      <c r="U266" t="s">
        <v>239</v>
      </c>
      <c r="V266" s="2">
        <v>138.76</v>
      </c>
      <c r="W266" s="2">
        <v>0</v>
      </c>
      <c r="X266" s="2">
        <v>0</v>
      </c>
      <c r="Y266" t="s">
        <v>238</v>
      </c>
      <c r="Z266" t="s">
        <v>1062</v>
      </c>
    </row>
    <row r="267" spans="1:26" x14ac:dyDescent="0.25">
      <c r="A267">
        <v>2034966124</v>
      </c>
      <c r="B267" t="s">
        <v>713</v>
      </c>
      <c r="C267" t="s">
        <v>260</v>
      </c>
      <c r="D267" t="str">
        <f>CONCATENATE(C267," ",B267)</f>
        <v>JOSEPH DOWNEY</v>
      </c>
      <c r="E267" t="s">
        <v>714</v>
      </c>
      <c r="F267" t="s">
        <v>220</v>
      </c>
      <c r="G267" t="s">
        <v>777</v>
      </c>
      <c r="H267" t="s">
        <v>998</v>
      </c>
      <c r="I267" s="11">
        <v>8977234</v>
      </c>
      <c r="J267" t="s">
        <v>85</v>
      </c>
      <c r="K267" t="s">
        <v>86</v>
      </c>
      <c r="L267" t="str">
        <f>CONCATENATE(K267," ",J267)</f>
        <v>RYAN CALTAGIRONE</v>
      </c>
      <c r="M267" t="s">
        <v>57</v>
      </c>
      <c r="N267" s="1">
        <v>46129</v>
      </c>
      <c r="P267" s="1">
        <v>46220</v>
      </c>
      <c r="Q267" s="2">
        <v>602.72</v>
      </c>
      <c r="R267" t="s">
        <v>58</v>
      </c>
      <c r="S267" s="3">
        <v>0.19</v>
      </c>
      <c r="T267" t="s">
        <v>60</v>
      </c>
      <c r="U267" t="s">
        <v>239</v>
      </c>
      <c r="V267" s="2">
        <v>114.52</v>
      </c>
      <c r="W267" s="2">
        <v>0</v>
      </c>
      <c r="X267" s="2">
        <v>0</v>
      </c>
      <c r="Y267" t="s">
        <v>238</v>
      </c>
      <c r="Z267" t="s">
        <v>1062</v>
      </c>
    </row>
    <row r="268" spans="1:26" x14ac:dyDescent="0.25">
      <c r="A268">
        <v>2034306134</v>
      </c>
      <c r="B268" t="s">
        <v>675</v>
      </c>
      <c r="C268" t="s">
        <v>227</v>
      </c>
      <c r="D268" t="str">
        <f>CONCATENATE(C268," ",B268)</f>
        <v>MICHAEL KILEY</v>
      </c>
      <c r="E268" t="s">
        <v>209</v>
      </c>
      <c r="F268" t="s">
        <v>220</v>
      </c>
      <c r="G268" t="s">
        <v>228</v>
      </c>
      <c r="H268" t="s">
        <v>998</v>
      </c>
      <c r="I268" s="11">
        <v>8307933</v>
      </c>
      <c r="J268" t="s">
        <v>79</v>
      </c>
      <c r="K268" t="s">
        <v>80</v>
      </c>
      <c r="L268" t="str">
        <f>CONCATENATE(K268," ",J268)</f>
        <v>GREGORY TEIPEL</v>
      </c>
      <c r="M268" t="s">
        <v>57</v>
      </c>
      <c r="N268" s="1">
        <v>46094</v>
      </c>
      <c r="P268" s="1">
        <v>46216</v>
      </c>
      <c r="Q268" s="2">
        <v>479.14</v>
      </c>
      <c r="R268" t="s">
        <v>58</v>
      </c>
      <c r="S268" s="3">
        <v>0.19</v>
      </c>
      <c r="T268" t="s">
        <v>60</v>
      </c>
      <c r="U268" t="s">
        <v>239</v>
      </c>
      <c r="V268" s="2">
        <v>91.04</v>
      </c>
      <c r="W268" s="2">
        <v>0</v>
      </c>
      <c r="X268" s="2">
        <v>0</v>
      </c>
      <c r="Y268" t="s">
        <v>238</v>
      </c>
      <c r="Z268" t="s">
        <v>1062</v>
      </c>
    </row>
    <row r="269" spans="1:26" x14ac:dyDescent="0.25">
      <c r="A269">
        <v>2033132188</v>
      </c>
      <c r="B269" t="s">
        <v>629</v>
      </c>
      <c r="C269" t="s">
        <v>630</v>
      </c>
      <c r="D269" t="str">
        <f>CONCATENATE(C269," ",B269)</f>
        <v>ANDREW WATSON</v>
      </c>
      <c r="E269" t="s">
        <v>209</v>
      </c>
      <c r="F269" t="s">
        <v>220</v>
      </c>
      <c r="G269" t="s">
        <v>228</v>
      </c>
      <c r="H269" t="s">
        <v>998</v>
      </c>
      <c r="I269" s="11">
        <v>20724564</v>
      </c>
      <c r="J269" t="s">
        <v>229</v>
      </c>
      <c r="K269" t="s">
        <v>230</v>
      </c>
      <c r="L269" t="str">
        <f>CONCATENATE(K269," ",J269)</f>
        <v>Marsha Sanderock</v>
      </c>
      <c r="M269" t="s">
        <v>57</v>
      </c>
      <c r="N269" s="1">
        <v>46037</v>
      </c>
      <c r="P269" s="1">
        <v>46218</v>
      </c>
      <c r="Q269" s="2">
        <v>210.54</v>
      </c>
      <c r="R269" t="s">
        <v>58</v>
      </c>
      <c r="S269" s="3">
        <v>0.19</v>
      </c>
      <c r="T269" t="s">
        <v>60</v>
      </c>
      <c r="U269" t="s">
        <v>239</v>
      </c>
      <c r="V269" s="2">
        <v>40</v>
      </c>
      <c r="W269" s="2">
        <v>0</v>
      </c>
      <c r="X269" s="2">
        <v>0</v>
      </c>
      <c r="Y269" t="s">
        <v>238</v>
      </c>
      <c r="Z269" t="s">
        <v>1064</v>
      </c>
    </row>
    <row r="270" spans="1:26" x14ac:dyDescent="0.25">
      <c r="A270">
        <v>2033621990</v>
      </c>
      <c r="B270" t="s">
        <v>187</v>
      </c>
      <c r="C270" t="s">
        <v>650</v>
      </c>
      <c r="D270" t="str">
        <f>CONCATENATE(C270," ",B270)</f>
        <v>SAVANNAH BERRY</v>
      </c>
      <c r="E270" t="s">
        <v>209</v>
      </c>
      <c r="F270" t="s">
        <v>220</v>
      </c>
      <c r="G270" t="s">
        <v>777</v>
      </c>
      <c r="H270" t="s">
        <v>998</v>
      </c>
      <c r="I270" s="11" t="s">
        <v>1052</v>
      </c>
      <c r="J270" t="s">
        <v>651</v>
      </c>
      <c r="K270" t="s">
        <v>652</v>
      </c>
      <c r="L270" t="str">
        <f>CONCATENATE(K270," ",J270)</f>
        <v>Danna Green</v>
      </c>
      <c r="M270" t="s">
        <v>57</v>
      </c>
      <c r="N270" s="1">
        <v>46066</v>
      </c>
      <c r="P270" s="1">
        <v>46216</v>
      </c>
      <c r="Q270" s="2">
        <v>153.04</v>
      </c>
      <c r="R270" t="s">
        <v>58</v>
      </c>
      <c r="S270" s="3">
        <v>0.19</v>
      </c>
      <c r="T270" t="s">
        <v>60</v>
      </c>
      <c r="U270" t="s">
        <v>239</v>
      </c>
      <c r="V270" s="2">
        <v>29.08</v>
      </c>
      <c r="W270" s="2">
        <v>0</v>
      </c>
      <c r="X270" s="2">
        <v>0</v>
      </c>
      <c r="Y270" t="s">
        <v>238</v>
      </c>
      <c r="Z270" t="s">
        <v>1062</v>
      </c>
    </row>
    <row r="271" spans="1:26" x14ac:dyDescent="0.25">
      <c r="A271">
        <v>2031017070</v>
      </c>
      <c r="B271" t="s">
        <v>365</v>
      </c>
      <c r="C271" t="s">
        <v>227</v>
      </c>
      <c r="D271" t="str">
        <f>CONCATENATE(C271," ",B271)</f>
        <v>MICHAEL DECKARD</v>
      </c>
      <c r="E271" t="s">
        <v>209</v>
      </c>
      <c r="F271" t="s">
        <v>220</v>
      </c>
      <c r="G271" t="s">
        <v>764</v>
      </c>
      <c r="H271" t="s">
        <v>998</v>
      </c>
      <c r="I271" s="11" t="s">
        <v>1023</v>
      </c>
      <c r="J271" t="s">
        <v>229</v>
      </c>
      <c r="K271" t="s">
        <v>230</v>
      </c>
      <c r="L271" t="str">
        <f>CONCATENATE(K271," ",J271)</f>
        <v>Marsha Sanderock</v>
      </c>
      <c r="M271" t="s">
        <v>57</v>
      </c>
      <c r="N271" s="1">
        <v>45913</v>
      </c>
      <c r="P271" s="1">
        <v>46216</v>
      </c>
      <c r="Q271" s="2">
        <v>262.94</v>
      </c>
      <c r="R271" t="s">
        <v>58</v>
      </c>
      <c r="S271" s="3">
        <v>0.19</v>
      </c>
      <c r="T271" t="s">
        <v>60</v>
      </c>
      <c r="U271" t="s">
        <v>239</v>
      </c>
      <c r="V271" s="2">
        <v>49.96</v>
      </c>
      <c r="W271" s="2">
        <v>49.96</v>
      </c>
      <c r="X271" s="2">
        <v>49.96</v>
      </c>
      <c r="Y271" t="s">
        <v>238</v>
      </c>
      <c r="Z271" t="s">
        <v>1062</v>
      </c>
    </row>
    <row r="272" spans="1:26" x14ac:dyDescent="0.25">
      <c r="A272">
        <v>2031110932</v>
      </c>
      <c r="B272" t="s">
        <v>765</v>
      </c>
      <c r="C272" t="s">
        <v>766</v>
      </c>
      <c r="D272" t="str">
        <f>CONCATENATE(C272," ",B272)</f>
        <v>MAKENNA BERTSCH</v>
      </c>
      <c r="E272" t="s">
        <v>209</v>
      </c>
      <c r="F272" t="s">
        <v>220</v>
      </c>
      <c r="G272" t="s">
        <v>764</v>
      </c>
      <c r="H272" t="s">
        <v>998</v>
      </c>
      <c r="I272" s="11" t="s">
        <v>1023</v>
      </c>
      <c r="J272" t="s">
        <v>229</v>
      </c>
      <c r="K272" t="s">
        <v>230</v>
      </c>
      <c r="L272" t="str">
        <f>CONCATENATE(K272," ",J272)</f>
        <v>Marsha Sanderock</v>
      </c>
      <c r="M272" t="s">
        <v>57</v>
      </c>
      <c r="N272" s="1">
        <v>45918</v>
      </c>
      <c r="P272" s="1">
        <v>46221</v>
      </c>
      <c r="Q272" s="2">
        <v>271.95999999999998</v>
      </c>
      <c r="R272" t="s">
        <v>58</v>
      </c>
      <c r="S272" s="3">
        <v>0.19</v>
      </c>
      <c r="T272" t="s">
        <v>60</v>
      </c>
      <c r="U272" t="s">
        <v>239</v>
      </c>
      <c r="V272" s="2">
        <v>51.67</v>
      </c>
      <c r="W272" s="2">
        <v>51.67</v>
      </c>
      <c r="X272" s="2">
        <v>51.67</v>
      </c>
      <c r="Y272" t="s">
        <v>238</v>
      </c>
      <c r="Z272" t="s">
        <v>1062</v>
      </c>
    </row>
    <row r="273" spans="1:26" x14ac:dyDescent="0.25">
      <c r="A273">
        <v>2032175762</v>
      </c>
      <c r="B273" t="s">
        <v>768</v>
      </c>
      <c r="C273" t="s">
        <v>666</v>
      </c>
      <c r="D273" t="str">
        <f>CONCATENATE(C273," ",B273)</f>
        <v>KRISTEN RIDER</v>
      </c>
      <c r="E273" t="s">
        <v>209</v>
      </c>
      <c r="F273" t="s">
        <v>220</v>
      </c>
      <c r="G273" t="s">
        <v>764</v>
      </c>
      <c r="H273" t="s">
        <v>998</v>
      </c>
      <c r="I273" s="11" t="s">
        <v>1051</v>
      </c>
      <c r="J273" t="s">
        <v>769</v>
      </c>
      <c r="K273" t="s">
        <v>770</v>
      </c>
      <c r="L273" t="str">
        <f>CONCATENATE(K273," ",J273)</f>
        <v>Dominic Lytle</v>
      </c>
      <c r="M273" t="s">
        <v>57</v>
      </c>
      <c r="N273" s="1">
        <v>45976</v>
      </c>
      <c r="P273" s="1">
        <v>46218</v>
      </c>
      <c r="Q273" s="2">
        <v>164.39</v>
      </c>
      <c r="R273" t="s">
        <v>58</v>
      </c>
      <c r="S273" s="3">
        <v>0.19</v>
      </c>
      <c r="T273" t="s">
        <v>60</v>
      </c>
      <c r="U273" t="s">
        <v>239</v>
      </c>
      <c r="V273" s="2">
        <v>31.23</v>
      </c>
      <c r="W273" s="2">
        <v>31.23</v>
      </c>
      <c r="X273" s="2">
        <v>31.23</v>
      </c>
      <c r="Y273" t="s">
        <v>238</v>
      </c>
      <c r="Z273" t="s">
        <v>1062</v>
      </c>
    </row>
    <row r="274" spans="1:26" x14ac:dyDescent="0.25">
      <c r="A274">
        <v>2035473796</v>
      </c>
      <c r="B274" t="s">
        <v>748</v>
      </c>
      <c r="C274" t="s">
        <v>256</v>
      </c>
      <c r="D274" t="str">
        <f>CONCATENATE(C274," ",B274)</f>
        <v>MATTHEW SANBORN</v>
      </c>
      <c r="E274" t="s">
        <v>83</v>
      </c>
      <c r="F274" t="s">
        <v>220</v>
      </c>
      <c r="G274" t="s">
        <v>223</v>
      </c>
      <c r="H274" t="s">
        <v>223</v>
      </c>
      <c r="I274" s="11">
        <v>19491313</v>
      </c>
      <c r="J274" t="s">
        <v>133</v>
      </c>
      <c r="K274" t="s">
        <v>134</v>
      </c>
      <c r="L274" t="str">
        <f>CONCATENATE(K274," ",J274)</f>
        <v>Steven Brandt</v>
      </c>
      <c r="M274" t="s">
        <v>57</v>
      </c>
      <c r="N274" s="1">
        <v>46157</v>
      </c>
      <c r="P274" s="1">
        <v>46218</v>
      </c>
      <c r="Q274" s="2">
        <v>80.569999999999993</v>
      </c>
      <c r="R274" t="s">
        <v>58</v>
      </c>
      <c r="S274" s="3">
        <v>0.19</v>
      </c>
      <c r="T274" t="s">
        <v>60</v>
      </c>
      <c r="U274" t="s">
        <v>239</v>
      </c>
      <c r="V274" s="2">
        <v>15.31</v>
      </c>
      <c r="W274" s="2">
        <v>0</v>
      </c>
      <c r="X274" s="2">
        <v>0</v>
      </c>
      <c r="Y274" t="s">
        <v>238</v>
      </c>
      <c r="Z274" t="s">
        <v>1062</v>
      </c>
    </row>
    <row r="275" spans="1:26" x14ac:dyDescent="0.25">
      <c r="A275">
        <v>2035473800</v>
      </c>
      <c r="B275" t="s">
        <v>748</v>
      </c>
      <c r="C275" t="s">
        <v>256</v>
      </c>
      <c r="D275" t="str">
        <f>CONCATENATE(C275," ",B275)</f>
        <v>MATTHEW SANBORN</v>
      </c>
      <c r="E275" t="s">
        <v>83</v>
      </c>
      <c r="F275" t="s">
        <v>220</v>
      </c>
      <c r="G275" t="s">
        <v>222</v>
      </c>
      <c r="H275" t="s">
        <v>223</v>
      </c>
      <c r="I275" s="11">
        <v>19491313</v>
      </c>
      <c r="J275" t="s">
        <v>133</v>
      </c>
      <c r="K275" t="s">
        <v>134</v>
      </c>
      <c r="L275" t="str">
        <f>CONCATENATE(K275," ",J275)</f>
        <v>Steven Brandt</v>
      </c>
      <c r="M275" t="s">
        <v>57</v>
      </c>
      <c r="N275" s="1">
        <v>46157</v>
      </c>
      <c r="P275" s="1">
        <v>46218</v>
      </c>
      <c r="Q275" s="2">
        <v>9.9499999999999993</v>
      </c>
      <c r="R275" t="s">
        <v>58</v>
      </c>
      <c r="S275" s="3">
        <v>0.19</v>
      </c>
      <c r="T275" t="s">
        <v>60</v>
      </c>
      <c r="U275" t="s">
        <v>239</v>
      </c>
      <c r="V275" s="2">
        <v>1.89</v>
      </c>
      <c r="W275" s="2">
        <v>0</v>
      </c>
      <c r="X275" s="2">
        <v>0</v>
      </c>
      <c r="Y275" t="s">
        <v>238</v>
      </c>
      <c r="Z275" t="s">
        <v>1062</v>
      </c>
    </row>
    <row r="276" spans="1:26" x14ac:dyDescent="0.25">
      <c r="A276">
        <v>2034097889</v>
      </c>
      <c r="B276" t="s">
        <v>281</v>
      </c>
      <c r="C276" t="s">
        <v>76</v>
      </c>
      <c r="D276" t="str">
        <f>CONCATENATE(C276," ",B276)</f>
        <v>STEPHANIE WILKINSON</v>
      </c>
      <c r="E276" t="s">
        <v>145</v>
      </c>
      <c r="F276" t="s">
        <v>220</v>
      </c>
      <c r="G276" t="s">
        <v>221</v>
      </c>
      <c r="H276" t="s">
        <v>221</v>
      </c>
      <c r="I276" s="11">
        <v>8977234</v>
      </c>
      <c r="J276" t="s">
        <v>85</v>
      </c>
      <c r="K276" t="s">
        <v>86</v>
      </c>
      <c r="L276" t="str">
        <f>CONCATENATE(K276," ",J276)</f>
        <v>RYAN CALTAGIRONE</v>
      </c>
      <c r="M276" t="s">
        <v>57</v>
      </c>
      <c r="N276" s="1">
        <v>46127</v>
      </c>
      <c r="P276" s="1">
        <v>46218</v>
      </c>
      <c r="Q276" s="2">
        <v>539.32000000000005</v>
      </c>
      <c r="R276" t="s">
        <v>58</v>
      </c>
      <c r="S276" s="3">
        <v>0.28999999999999998</v>
      </c>
      <c r="T276" t="s">
        <v>60</v>
      </c>
      <c r="U276" t="s">
        <v>239</v>
      </c>
      <c r="V276" s="2">
        <v>156.4</v>
      </c>
      <c r="W276" s="2">
        <v>0</v>
      </c>
      <c r="X276" s="2">
        <v>0</v>
      </c>
      <c r="Y276" t="s">
        <v>238</v>
      </c>
      <c r="Z276" t="s">
        <v>1062</v>
      </c>
    </row>
    <row r="277" spans="1:26" x14ac:dyDescent="0.25">
      <c r="A277">
        <v>2033115852</v>
      </c>
      <c r="B277" t="s">
        <v>620</v>
      </c>
      <c r="C277" t="s">
        <v>621</v>
      </c>
      <c r="D277" t="str">
        <f>CONCATENATE(C277," ",B277)</f>
        <v>FELICIA SMITH</v>
      </c>
      <c r="E277" t="s">
        <v>339</v>
      </c>
      <c r="F277" t="s">
        <v>220</v>
      </c>
      <c r="G277" t="s">
        <v>221</v>
      </c>
      <c r="H277" t="s">
        <v>221</v>
      </c>
      <c r="I277" s="11">
        <v>1706194</v>
      </c>
      <c r="J277" t="s">
        <v>619</v>
      </c>
      <c r="K277" t="s">
        <v>256</v>
      </c>
      <c r="L277" t="str">
        <f>CONCATENATE(K277," ",J277)</f>
        <v>MATTHEW DAUGHERTY</v>
      </c>
      <c r="M277" t="s">
        <v>57</v>
      </c>
      <c r="N277" s="1">
        <v>46035</v>
      </c>
      <c r="P277" s="1">
        <v>46216</v>
      </c>
      <c r="Q277" s="2">
        <v>422.96</v>
      </c>
      <c r="R277" t="s">
        <v>58</v>
      </c>
      <c r="S277" s="3">
        <v>0.28999999999999998</v>
      </c>
      <c r="T277" t="s">
        <v>60</v>
      </c>
      <c r="U277" t="s">
        <v>239</v>
      </c>
      <c r="V277" s="2">
        <v>122.66</v>
      </c>
      <c r="W277" s="2">
        <v>0</v>
      </c>
      <c r="X277" s="2">
        <v>0</v>
      </c>
      <c r="Y277" t="s">
        <v>238</v>
      </c>
      <c r="Z277" t="s">
        <v>1062</v>
      </c>
    </row>
    <row r="278" spans="1:26" x14ac:dyDescent="0.25">
      <c r="A278">
        <v>2034695178</v>
      </c>
      <c r="B278" t="s">
        <v>693</v>
      </c>
      <c r="C278" t="s">
        <v>694</v>
      </c>
      <c r="D278" t="str">
        <f>CONCATENATE(C278," ",B278)</f>
        <v>MARK YARBOROUGH</v>
      </c>
      <c r="E278" t="s">
        <v>165</v>
      </c>
      <c r="F278" t="s">
        <v>220</v>
      </c>
      <c r="G278" t="s">
        <v>221</v>
      </c>
      <c r="H278" t="s">
        <v>221</v>
      </c>
      <c r="I278" s="11">
        <v>8307933</v>
      </c>
      <c r="J278" t="s">
        <v>79</v>
      </c>
      <c r="K278" t="s">
        <v>80</v>
      </c>
      <c r="L278" t="str">
        <f>CONCATENATE(K278," ",J278)</f>
        <v>GREGORY TEIPEL</v>
      </c>
      <c r="M278" t="s">
        <v>57</v>
      </c>
      <c r="N278" s="1">
        <v>46127</v>
      </c>
      <c r="P278" s="1">
        <v>46218</v>
      </c>
      <c r="Q278" s="2">
        <v>259.60000000000002</v>
      </c>
      <c r="R278" t="s">
        <v>58</v>
      </c>
      <c r="S278" s="3">
        <v>0.28999999999999998</v>
      </c>
      <c r="T278" t="s">
        <v>60</v>
      </c>
      <c r="U278" t="s">
        <v>239</v>
      </c>
      <c r="V278" s="2">
        <v>75.28</v>
      </c>
      <c r="W278" s="2">
        <v>0</v>
      </c>
      <c r="X278" s="2">
        <v>0</v>
      </c>
      <c r="Y278" t="s">
        <v>238</v>
      </c>
      <c r="Z278" t="s">
        <v>1062</v>
      </c>
    </row>
    <row r="279" spans="1:26" x14ac:dyDescent="0.25">
      <c r="A279">
        <v>2034097890</v>
      </c>
      <c r="B279" t="s">
        <v>281</v>
      </c>
      <c r="C279" t="s">
        <v>76</v>
      </c>
      <c r="D279" t="str">
        <f>CONCATENATE(C279," ",B279)</f>
        <v>STEPHANIE WILKINSON</v>
      </c>
      <c r="E279" t="s">
        <v>145</v>
      </c>
      <c r="F279" t="s">
        <v>220</v>
      </c>
      <c r="G279" t="s">
        <v>778</v>
      </c>
      <c r="H279" t="s">
        <v>221</v>
      </c>
      <c r="I279" s="11">
        <v>8977234</v>
      </c>
      <c r="J279" t="s">
        <v>85</v>
      </c>
      <c r="K279" t="s">
        <v>86</v>
      </c>
      <c r="L279" t="str">
        <f>CONCATENATE(K279," ",J279)</f>
        <v>RYAN CALTAGIRONE</v>
      </c>
      <c r="M279" t="s">
        <v>57</v>
      </c>
      <c r="N279" s="1">
        <v>46127</v>
      </c>
      <c r="P279" s="1">
        <v>46218</v>
      </c>
      <c r="Q279" s="2">
        <v>9.9499999999999993</v>
      </c>
      <c r="R279" t="s">
        <v>58</v>
      </c>
      <c r="S279" s="3">
        <v>0.28999999999999998</v>
      </c>
      <c r="T279" t="s">
        <v>60</v>
      </c>
      <c r="U279" t="s">
        <v>239</v>
      </c>
      <c r="V279" s="2">
        <v>2.89</v>
      </c>
      <c r="W279" s="2">
        <v>0</v>
      </c>
      <c r="X279" s="2">
        <v>0</v>
      </c>
      <c r="Y279" t="s">
        <v>238</v>
      </c>
      <c r="Z279" t="s">
        <v>1062</v>
      </c>
    </row>
    <row r="280" spans="1:26" x14ac:dyDescent="0.25">
      <c r="A280">
        <v>2034966125</v>
      </c>
      <c r="B280" t="s">
        <v>713</v>
      </c>
      <c r="C280" t="s">
        <v>260</v>
      </c>
      <c r="D280" t="str">
        <f>CONCATENATE(C280," ",B280)</f>
        <v>JOSEPH DOWNEY</v>
      </c>
      <c r="E280" t="s">
        <v>714</v>
      </c>
      <c r="F280" t="s">
        <v>220</v>
      </c>
      <c r="G280" t="s">
        <v>781</v>
      </c>
      <c r="H280" t="s">
        <v>221</v>
      </c>
      <c r="I280" s="11">
        <v>8977234</v>
      </c>
      <c r="J280" t="s">
        <v>85</v>
      </c>
      <c r="K280" t="s">
        <v>86</v>
      </c>
      <c r="L280" t="str">
        <f>CONCATENATE(K280," ",J280)</f>
        <v>RYAN CALTAGIRONE</v>
      </c>
      <c r="M280" t="s">
        <v>57</v>
      </c>
      <c r="N280" s="1">
        <v>46129</v>
      </c>
      <c r="P280" s="1">
        <v>46220</v>
      </c>
      <c r="Q280" s="2">
        <v>9.9499999999999993</v>
      </c>
      <c r="R280" t="s">
        <v>58</v>
      </c>
      <c r="S280" s="3">
        <v>0.19</v>
      </c>
      <c r="T280" t="s">
        <v>60</v>
      </c>
      <c r="U280" t="s">
        <v>239</v>
      </c>
      <c r="V280" s="2">
        <v>1.89</v>
      </c>
      <c r="W280" s="2">
        <v>0</v>
      </c>
      <c r="X280" s="2">
        <v>0</v>
      </c>
      <c r="Y280" t="s">
        <v>238</v>
      </c>
      <c r="Z280" t="s">
        <v>1062</v>
      </c>
    </row>
    <row r="281" spans="1:26" x14ac:dyDescent="0.25">
      <c r="A281">
        <v>2024372431</v>
      </c>
      <c r="B281" t="s">
        <v>760</v>
      </c>
      <c r="C281" t="s">
        <v>761</v>
      </c>
      <c r="D281" t="str">
        <f>CONCATENATE(C281," ",B281)</f>
        <v>LANDON BRITT</v>
      </c>
      <c r="E281" t="s">
        <v>681</v>
      </c>
      <c r="F281" t="s">
        <v>220</v>
      </c>
      <c r="G281" t="s">
        <v>221</v>
      </c>
      <c r="H281" t="s">
        <v>221</v>
      </c>
      <c r="I281" s="11">
        <v>17437820</v>
      </c>
      <c r="J281" t="s">
        <v>762</v>
      </c>
      <c r="K281" t="s">
        <v>763</v>
      </c>
      <c r="L281" t="str">
        <f>CONCATENATE(K281," ",J281)</f>
        <v>COLLEEN FINNIGAN</v>
      </c>
      <c r="M281" t="s">
        <v>57</v>
      </c>
      <c r="N281" s="1">
        <v>45882</v>
      </c>
      <c r="P281" s="1">
        <v>46216</v>
      </c>
      <c r="Q281" s="2">
        <v>315.83999999999997</v>
      </c>
      <c r="R281" t="s">
        <v>58</v>
      </c>
      <c r="S281" s="3">
        <v>0.28999999999999998</v>
      </c>
      <c r="T281" t="s">
        <v>60</v>
      </c>
      <c r="U281" t="s">
        <v>239</v>
      </c>
      <c r="V281" s="2">
        <v>91.59</v>
      </c>
      <c r="W281" s="2">
        <v>91.59</v>
      </c>
      <c r="X281" s="2">
        <v>91.59</v>
      </c>
      <c r="Y281" t="s">
        <v>238</v>
      </c>
      <c r="Z281" t="s">
        <v>1062</v>
      </c>
    </row>
    <row r="282" spans="1:26" x14ac:dyDescent="0.25">
      <c r="A282">
        <v>2034920732</v>
      </c>
      <c r="B282" t="s">
        <v>660</v>
      </c>
      <c r="C282" t="s">
        <v>779</v>
      </c>
      <c r="D282" t="str">
        <f>CONCATENATE(C282," ",B282)</f>
        <v>JANICE MILLER</v>
      </c>
      <c r="E282" t="s">
        <v>193</v>
      </c>
      <c r="F282" t="s">
        <v>220</v>
      </c>
      <c r="G282" t="s">
        <v>780</v>
      </c>
      <c r="H282" t="s">
        <v>1009</v>
      </c>
      <c r="I282" s="11" t="s">
        <v>1053</v>
      </c>
      <c r="J282" t="s">
        <v>137</v>
      </c>
      <c r="K282" t="s">
        <v>138</v>
      </c>
      <c r="L282" t="str">
        <f>CONCATENATE(K282," ",J282)</f>
        <v>Brittany Oliver</v>
      </c>
      <c r="M282" t="s">
        <v>57</v>
      </c>
      <c r="N282" s="1">
        <v>46127</v>
      </c>
      <c r="P282" s="1">
        <v>46218</v>
      </c>
      <c r="Q282" s="2">
        <v>602.16</v>
      </c>
      <c r="R282" t="s">
        <v>58</v>
      </c>
      <c r="S282" s="3">
        <v>0.27</v>
      </c>
      <c r="T282" t="s">
        <v>60</v>
      </c>
      <c r="U282" t="s">
        <v>239</v>
      </c>
      <c r="V282" s="2">
        <v>162.58000000000001</v>
      </c>
      <c r="W282" s="2">
        <v>0</v>
      </c>
      <c r="X282" s="2">
        <v>0</v>
      </c>
      <c r="Y282" t="s">
        <v>238</v>
      </c>
      <c r="Z282" t="s">
        <v>1062</v>
      </c>
    </row>
    <row r="283" spans="1:26" x14ac:dyDescent="0.25">
      <c r="A283">
        <v>2034920733</v>
      </c>
      <c r="B283" t="s">
        <v>660</v>
      </c>
      <c r="C283" t="s">
        <v>779</v>
      </c>
      <c r="D283" t="str">
        <f>CONCATENATE(C283," ",B283)</f>
        <v>JANICE MILLER</v>
      </c>
      <c r="E283" t="s">
        <v>193</v>
      </c>
      <c r="F283" t="s">
        <v>220</v>
      </c>
      <c r="G283" t="s">
        <v>771</v>
      </c>
      <c r="H283" t="s">
        <v>1009</v>
      </c>
      <c r="I283" s="11" t="s">
        <v>1053</v>
      </c>
      <c r="J283" t="s">
        <v>137</v>
      </c>
      <c r="K283" t="s">
        <v>138</v>
      </c>
      <c r="L283" t="str">
        <f>CONCATENATE(K283," ",J283)</f>
        <v>Brittany Oliver</v>
      </c>
      <c r="M283" t="s">
        <v>57</v>
      </c>
      <c r="N283" s="1">
        <v>46127</v>
      </c>
      <c r="P283" s="1">
        <v>46218</v>
      </c>
      <c r="Q283" s="2">
        <v>9.9499999999999993</v>
      </c>
      <c r="R283" t="s">
        <v>58</v>
      </c>
      <c r="S283" s="3">
        <v>0.27</v>
      </c>
      <c r="T283" t="s">
        <v>60</v>
      </c>
      <c r="U283" t="s">
        <v>239</v>
      </c>
      <c r="V283" s="2">
        <v>2.69</v>
      </c>
      <c r="W283" s="2">
        <v>0</v>
      </c>
      <c r="X283" s="2">
        <v>0</v>
      </c>
      <c r="Y283" t="s">
        <v>238</v>
      </c>
      <c r="Z283" t="s">
        <v>1062</v>
      </c>
    </row>
    <row r="284" spans="1:26" x14ac:dyDescent="0.25">
      <c r="A284">
        <v>2034920734</v>
      </c>
      <c r="B284" t="s">
        <v>660</v>
      </c>
      <c r="C284" t="s">
        <v>779</v>
      </c>
      <c r="D284" t="str">
        <f>CONCATENATE(C284," ",B284)</f>
        <v>JANICE MILLER</v>
      </c>
      <c r="E284" t="s">
        <v>193</v>
      </c>
      <c r="F284" t="s">
        <v>220</v>
      </c>
      <c r="G284" t="s">
        <v>771</v>
      </c>
      <c r="H284" t="s">
        <v>1009</v>
      </c>
      <c r="I284" s="11" t="s">
        <v>1053</v>
      </c>
      <c r="J284" t="s">
        <v>137</v>
      </c>
      <c r="K284" t="s">
        <v>138</v>
      </c>
      <c r="L284" t="str">
        <f>CONCATENATE(K284," ",J284)</f>
        <v>Brittany Oliver</v>
      </c>
      <c r="M284" t="s">
        <v>57</v>
      </c>
      <c r="N284" s="1">
        <v>46127</v>
      </c>
      <c r="P284" s="1">
        <v>46218</v>
      </c>
      <c r="Q284" s="2">
        <v>5</v>
      </c>
      <c r="R284" t="s">
        <v>58</v>
      </c>
      <c r="S284" s="3">
        <v>0.27</v>
      </c>
      <c r="T284" t="s">
        <v>60</v>
      </c>
      <c r="U284" t="s">
        <v>239</v>
      </c>
      <c r="V284" s="2">
        <v>1.35</v>
      </c>
      <c r="W284" s="2">
        <v>0</v>
      </c>
      <c r="X284" s="2">
        <v>0</v>
      </c>
      <c r="Y284" t="s">
        <v>238</v>
      </c>
      <c r="Z284" t="s">
        <v>1062</v>
      </c>
    </row>
    <row r="285" spans="1:26" x14ac:dyDescent="0.25">
      <c r="A285">
        <v>2032192508</v>
      </c>
      <c r="B285" t="s">
        <v>573</v>
      </c>
      <c r="C285" t="s">
        <v>574</v>
      </c>
      <c r="D285" t="str">
        <f>CONCATENATE(C285," ",B285)</f>
        <v>FRANKLINE KENAH</v>
      </c>
      <c r="E285" t="s">
        <v>193</v>
      </c>
      <c r="F285" t="s">
        <v>220</v>
      </c>
      <c r="G285" t="s">
        <v>771</v>
      </c>
      <c r="H285" t="s">
        <v>1009</v>
      </c>
      <c r="I285" s="11" t="s">
        <v>1043</v>
      </c>
      <c r="J285" t="s">
        <v>137</v>
      </c>
      <c r="K285" t="s">
        <v>138</v>
      </c>
      <c r="L285" t="str">
        <f>CONCATENATE(K285," ",J285)</f>
        <v>Brittany Oliver</v>
      </c>
      <c r="M285" t="s">
        <v>57</v>
      </c>
      <c r="N285" s="1">
        <v>45977</v>
      </c>
      <c r="P285" s="1">
        <v>46219</v>
      </c>
      <c r="Q285" s="2">
        <v>9.9499999999999993</v>
      </c>
      <c r="R285" t="s">
        <v>58</v>
      </c>
      <c r="S285" s="3">
        <v>0.27</v>
      </c>
      <c r="T285" t="s">
        <v>60</v>
      </c>
      <c r="U285" t="s">
        <v>239</v>
      </c>
      <c r="V285" s="2">
        <v>2.69</v>
      </c>
      <c r="W285" s="2">
        <v>2.69</v>
      </c>
      <c r="X285" s="2">
        <v>2.69</v>
      </c>
      <c r="Y285" t="s">
        <v>238</v>
      </c>
      <c r="Z285" t="s">
        <v>1062</v>
      </c>
    </row>
    <row r="286" spans="1:26" x14ac:dyDescent="0.25">
      <c r="A286">
        <v>2032192509</v>
      </c>
      <c r="B286" t="s">
        <v>573</v>
      </c>
      <c r="C286" t="s">
        <v>574</v>
      </c>
      <c r="D286" t="str">
        <f>CONCATENATE(C286," ",B286)</f>
        <v>FRANKLINE KENAH</v>
      </c>
      <c r="E286" t="s">
        <v>193</v>
      </c>
      <c r="F286" t="s">
        <v>220</v>
      </c>
      <c r="G286" t="s">
        <v>771</v>
      </c>
      <c r="H286" t="s">
        <v>1009</v>
      </c>
      <c r="I286" s="11" t="s">
        <v>1043</v>
      </c>
      <c r="J286" t="s">
        <v>137</v>
      </c>
      <c r="K286" t="s">
        <v>138</v>
      </c>
      <c r="L286" t="str">
        <f>CONCATENATE(K286," ",J286)</f>
        <v>Brittany Oliver</v>
      </c>
      <c r="M286" t="s">
        <v>57</v>
      </c>
      <c r="N286" s="1">
        <v>45977</v>
      </c>
      <c r="P286" s="1">
        <v>46219</v>
      </c>
      <c r="Q286" s="2">
        <v>5</v>
      </c>
      <c r="R286" t="s">
        <v>58</v>
      </c>
      <c r="S286" s="3">
        <v>0.27</v>
      </c>
      <c r="T286" t="s">
        <v>60</v>
      </c>
      <c r="U286" t="s">
        <v>239</v>
      </c>
      <c r="V286" s="2">
        <v>1.35</v>
      </c>
      <c r="W286" s="2">
        <v>1.35</v>
      </c>
      <c r="X286" s="2">
        <v>1.35</v>
      </c>
      <c r="Y286" t="s">
        <v>238</v>
      </c>
      <c r="Z286" t="s">
        <v>1062</v>
      </c>
    </row>
    <row r="287" spans="1:26" x14ac:dyDescent="0.25">
      <c r="A287">
        <v>2033128047</v>
      </c>
      <c r="B287" t="s">
        <v>627</v>
      </c>
      <c r="C287" t="s">
        <v>628</v>
      </c>
      <c r="D287" t="str">
        <f>CONCATENATE(C287," ",B287)</f>
        <v>TANYA LINTOW</v>
      </c>
      <c r="E287" t="s">
        <v>70</v>
      </c>
      <c r="F287" t="s">
        <v>182</v>
      </c>
      <c r="G287" t="s">
        <v>183</v>
      </c>
      <c r="H287" t="s">
        <v>183</v>
      </c>
      <c r="I287" s="11" t="s">
        <v>1001</v>
      </c>
      <c r="J287" t="s">
        <v>73</v>
      </c>
      <c r="K287" t="s">
        <v>116</v>
      </c>
      <c r="L287" t="str">
        <f>CONCATENATE(K287," ",J287)</f>
        <v>Richard Yale</v>
      </c>
      <c r="M287" t="s">
        <v>57</v>
      </c>
      <c r="N287" s="1">
        <v>46038</v>
      </c>
      <c r="P287" s="1">
        <v>46219</v>
      </c>
      <c r="Q287" s="2">
        <v>299.38</v>
      </c>
      <c r="R287" t="s">
        <v>58</v>
      </c>
      <c r="S287" s="3">
        <v>0.7</v>
      </c>
      <c r="T287" t="s">
        <v>60</v>
      </c>
      <c r="U287" t="s">
        <v>239</v>
      </c>
      <c r="V287" s="2">
        <v>209.57</v>
      </c>
      <c r="W287" s="2">
        <v>0</v>
      </c>
      <c r="X287" s="2">
        <v>0</v>
      </c>
      <c r="Y287" t="s">
        <v>238</v>
      </c>
      <c r="Z287" t="s">
        <v>1064</v>
      </c>
    </row>
    <row r="288" spans="1:26" x14ac:dyDescent="0.25">
      <c r="A288">
        <v>2034839068</v>
      </c>
      <c r="B288" t="s">
        <v>699</v>
      </c>
      <c r="C288" t="s">
        <v>549</v>
      </c>
      <c r="D288" t="str">
        <f>CONCATENATE(C288," ",B288)</f>
        <v>LAURA HEINE</v>
      </c>
      <c r="E288" t="s">
        <v>162</v>
      </c>
      <c r="F288" t="s">
        <v>182</v>
      </c>
      <c r="G288" t="s">
        <v>183</v>
      </c>
      <c r="H288" t="s">
        <v>183</v>
      </c>
      <c r="I288" s="11" t="s">
        <v>1048</v>
      </c>
      <c r="J288" t="s">
        <v>101</v>
      </c>
      <c r="K288" t="s">
        <v>700</v>
      </c>
      <c r="L288" t="str">
        <f>CONCATENATE(K288," ",J288)</f>
        <v>Heidi Berthelsen</v>
      </c>
      <c r="M288" t="s">
        <v>57</v>
      </c>
      <c r="N288" s="1">
        <v>46125</v>
      </c>
      <c r="P288" s="1">
        <v>46216</v>
      </c>
      <c r="Q288" s="2">
        <v>216.13</v>
      </c>
      <c r="R288" t="s">
        <v>58</v>
      </c>
      <c r="S288" s="3">
        <v>0.7</v>
      </c>
      <c r="T288" t="s">
        <v>60</v>
      </c>
      <c r="U288" t="s">
        <v>239</v>
      </c>
      <c r="V288" s="2">
        <v>151.29</v>
      </c>
      <c r="W288" s="2">
        <v>0</v>
      </c>
      <c r="X288" s="2">
        <v>0</v>
      </c>
      <c r="Y288" t="s">
        <v>238</v>
      </c>
      <c r="Z288" t="s">
        <v>1063</v>
      </c>
    </row>
    <row r="289" spans="1:26" x14ac:dyDescent="0.25">
      <c r="A289">
        <v>2034966127</v>
      </c>
      <c r="B289" t="s">
        <v>713</v>
      </c>
      <c r="C289" t="s">
        <v>260</v>
      </c>
      <c r="D289" t="str">
        <f>CONCATENATE(C289," ",B289)</f>
        <v>JOSEPH DOWNEY</v>
      </c>
      <c r="E289" t="s">
        <v>714</v>
      </c>
      <c r="F289" t="s">
        <v>182</v>
      </c>
      <c r="G289" t="s">
        <v>183</v>
      </c>
      <c r="H289" t="s">
        <v>183</v>
      </c>
      <c r="I289" s="11">
        <v>8977234</v>
      </c>
      <c r="J289" t="s">
        <v>85</v>
      </c>
      <c r="K289" t="s">
        <v>86</v>
      </c>
      <c r="L289" t="str">
        <f>CONCATENATE(K289," ",J289)</f>
        <v>RYAN CALTAGIRONE</v>
      </c>
      <c r="M289" t="s">
        <v>57</v>
      </c>
      <c r="N289" s="1">
        <v>46129</v>
      </c>
      <c r="P289" s="1">
        <v>46220</v>
      </c>
      <c r="Q289" s="2">
        <v>216.13</v>
      </c>
      <c r="R289" t="s">
        <v>58</v>
      </c>
      <c r="S289" s="3">
        <v>0.7</v>
      </c>
      <c r="T289" t="s">
        <v>60</v>
      </c>
      <c r="U289" t="s">
        <v>239</v>
      </c>
      <c r="V289" s="2">
        <v>151.29</v>
      </c>
      <c r="W289" s="2">
        <v>0</v>
      </c>
      <c r="X289" s="2">
        <v>0</v>
      </c>
      <c r="Y289" t="s">
        <v>238</v>
      </c>
      <c r="Z289" t="s">
        <v>1062</v>
      </c>
    </row>
    <row r="290" spans="1:26" x14ac:dyDescent="0.25">
      <c r="A290">
        <v>2033195124</v>
      </c>
      <c r="B290" t="s">
        <v>645</v>
      </c>
      <c r="C290" t="s">
        <v>646</v>
      </c>
      <c r="D290" t="str">
        <f>CONCATENATE(C290," ",B290)</f>
        <v>JOE KEENE</v>
      </c>
      <c r="E290" t="s">
        <v>119</v>
      </c>
      <c r="F290" t="s">
        <v>182</v>
      </c>
      <c r="G290" t="s">
        <v>183</v>
      </c>
      <c r="H290" t="s">
        <v>183</v>
      </c>
      <c r="I290" s="11" t="s">
        <v>1017</v>
      </c>
      <c r="J290" t="s">
        <v>328</v>
      </c>
      <c r="K290" t="s">
        <v>329</v>
      </c>
      <c r="L290" t="str">
        <f>CONCATENATE(K290," ",J290)</f>
        <v>CHRISTIAN TAUGNER</v>
      </c>
      <c r="M290" t="s">
        <v>57</v>
      </c>
      <c r="N290" s="1">
        <v>46039</v>
      </c>
      <c r="P290" s="1">
        <v>46220</v>
      </c>
      <c r="Q290" s="2">
        <v>204.04</v>
      </c>
      <c r="R290" t="s">
        <v>58</v>
      </c>
      <c r="S290" s="3">
        <v>0.7</v>
      </c>
      <c r="T290" t="s">
        <v>60</v>
      </c>
      <c r="U290" t="s">
        <v>239</v>
      </c>
      <c r="V290" s="2">
        <v>142.83000000000001</v>
      </c>
      <c r="W290" s="2">
        <v>0</v>
      </c>
      <c r="X290" s="2">
        <v>0</v>
      </c>
      <c r="Y290" t="s">
        <v>238</v>
      </c>
      <c r="Z290" t="s">
        <v>1064</v>
      </c>
    </row>
    <row r="291" spans="1:26" x14ac:dyDescent="0.25">
      <c r="A291">
        <v>2033107247</v>
      </c>
      <c r="B291" t="s">
        <v>986</v>
      </c>
      <c r="C291" t="s">
        <v>638</v>
      </c>
      <c r="D291" t="str">
        <f>CONCATENATE(C291," ",B291)</f>
        <v>JOAN DELABAR</v>
      </c>
      <c r="E291" t="s">
        <v>292</v>
      </c>
      <c r="F291" t="s">
        <v>182</v>
      </c>
      <c r="G291" t="s">
        <v>183</v>
      </c>
      <c r="H291" t="s">
        <v>183</v>
      </c>
      <c r="I291" s="11" t="s">
        <v>1060</v>
      </c>
      <c r="J291" t="s">
        <v>531</v>
      </c>
      <c r="K291" t="s">
        <v>532</v>
      </c>
      <c r="L291" t="str">
        <f>CONCATENATE(K291," ",J291)</f>
        <v>Colleen Jerger</v>
      </c>
      <c r="M291" t="s">
        <v>57</v>
      </c>
      <c r="N291" s="1">
        <v>46035</v>
      </c>
      <c r="P291" s="1">
        <v>46216</v>
      </c>
      <c r="Q291" s="2">
        <v>196.06</v>
      </c>
      <c r="R291" t="s">
        <v>58</v>
      </c>
      <c r="S291" s="3">
        <v>0.7</v>
      </c>
      <c r="T291" t="s">
        <v>60</v>
      </c>
      <c r="U291" t="s">
        <v>239</v>
      </c>
      <c r="V291" s="2">
        <v>137.24</v>
      </c>
      <c r="W291" s="2">
        <v>0</v>
      </c>
      <c r="X291" s="2">
        <v>0</v>
      </c>
      <c r="Y291" t="s">
        <v>238</v>
      </c>
      <c r="Z291" t="s">
        <v>1064</v>
      </c>
    </row>
    <row r="292" spans="1:26" x14ac:dyDescent="0.25">
      <c r="A292">
        <v>2035222292</v>
      </c>
      <c r="B292" t="s">
        <v>724</v>
      </c>
      <c r="C292" t="s">
        <v>307</v>
      </c>
      <c r="D292" t="str">
        <f>CONCATENATE(C292," ",B292)</f>
        <v>WILLIAM JR</v>
      </c>
      <c r="E292" t="s">
        <v>83</v>
      </c>
      <c r="F292" t="s">
        <v>182</v>
      </c>
      <c r="G292" t="s">
        <v>183</v>
      </c>
      <c r="H292" t="s">
        <v>183</v>
      </c>
      <c r="I292" s="11">
        <v>8977234</v>
      </c>
      <c r="J292" t="s">
        <v>85</v>
      </c>
      <c r="K292" t="s">
        <v>86</v>
      </c>
      <c r="L292" t="str">
        <f>CONCATENATE(K292," ",J292)</f>
        <v>RYAN CALTAGIRONE</v>
      </c>
      <c r="M292" t="s">
        <v>57</v>
      </c>
      <c r="N292" s="1">
        <v>46157</v>
      </c>
      <c r="P292" s="1">
        <v>46218</v>
      </c>
      <c r="Q292" s="2">
        <v>187</v>
      </c>
      <c r="R292" t="s">
        <v>58</v>
      </c>
      <c r="S292" s="3">
        <v>0.7</v>
      </c>
      <c r="T292" t="s">
        <v>60</v>
      </c>
      <c r="U292" t="s">
        <v>239</v>
      </c>
      <c r="V292" s="2">
        <v>130.9</v>
      </c>
      <c r="W292" s="2">
        <v>0</v>
      </c>
      <c r="X292" s="2">
        <v>0</v>
      </c>
      <c r="Y292" t="s">
        <v>238</v>
      </c>
      <c r="Z292" t="s">
        <v>1062</v>
      </c>
    </row>
    <row r="293" spans="1:26" x14ac:dyDescent="0.25">
      <c r="A293">
        <v>2035431265</v>
      </c>
      <c r="B293" t="s">
        <v>732</v>
      </c>
      <c r="C293" t="s">
        <v>598</v>
      </c>
      <c r="D293" t="str">
        <f>CONCATENATE(C293," ",B293)</f>
        <v>MARIA MUNOZ</v>
      </c>
      <c r="E293" t="s">
        <v>119</v>
      </c>
      <c r="F293" t="s">
        <v>182</v>
      </c>
      <c r="G293" t="s">
        <v>183</v>
      </c>
      <c r="H293" t="s">
        <v>183</v>
      </c>
      <c r="I293" s="11" t="s">
        <v>1050</v>
      </c>
      <c r="J293" t="s">
        <v>733</v>
      </c>
      <c r="K293" t="s">
        <v>734</v>
      </c>
      <c r="L293" t="str">
        <f>CONCATENATE(K293," ",J293)</f>
        <v>BRIAN STROHMAN</v>
      </c>
      <c r="M293" t="s">
        <v>57</v>
      </c>
      <c r="N293" s="1">
        <v>46155</v>
      </c>
      <c r="P293" s="1">
        <v>46216</v>
      </c>
      <c r="Q293" s="2">
        <v>124.72</v>
      </c>
      <c r="R293" t="s">
        <v>58</v>
      </c>
      <c r="S293" s="3">
        <v>0.7</v>
      </c>
      <c r="T293" t="s">
        <v>60</v>
      </c>
      <c r="U293" t="s">
        <v>239</v>
      </c>
      <c r="V293" s="2">
        <v>87.3</v>
      </c>
      <c r="W293" s="2">
        <v>0</v>
      </c>
      <c r="X293" s="2">
        <v>0</v>
      </c>
      <c r="Y293" t="s">
        <v>238</v>
      </c>
      <c r="Z293" t="s">
        <v>1063</v>
      </c>
    </row>
    <row r="294" spans="1:26" x14ac:dyDescent="0.25">
      <c r="A294">
        <v>2034284252</v>
      </c>
      <c r="B294" t="s">
        <v>669</v>
      </c>
      <c r="C294" t="s">
        <v>670</v>
      </c>
      <c r="D294" t="str">
        <f>CONCATENATE(C294," ",B294)</f>
        <v>DAIMAN BROUSSARD</v>
      </c>
      <c r="E294" t="s">
        <v>339</v>
      </c>
      <c r="F294" t="s">
        <v>182</v>
      </c>
      <c r="G294" t="s">
        <v>183</v>
      </c>
      <c r="H294" t="s">
        <v>183</v>
      </c>
      <c r="I294" s="11" t="s">
        <v>1034</v>
      </c>
      <c r="J294" t="s">
        <v>495</v>
      </c>
      <c r="K294" t="s">
        <v>496</v>
      </c>
      <c r="L294" t="str">
        <f>CONCATENATE(K294," ",J294)</f>
        <v>RICARDO SANTOS</v>
      </c>
      <c r="M294" t="s">
        <v>57</v>
      </c>
      <c r="N294" s="1">
        <v>46097</v>
      </c>
      <c r="P294" s="1">
        <v>46219</v>
      </c>
      <c r="Q294" s="2">
        <v>122.32</v>
      </c>
      <c r="R294" t="s">
        <v>58</v>
      </c>
      <c r="S294" s="3">
        <v>0.7</v>
      </c>
      <c r="T294" t="s">
        <v>60</v>
      </c>
      <c r="U294" t="s">
        <v>239</v>
      </c>
      <c r="V294" s="2">
        <v>85.62</v>
      </c>
      <c r="W294" s="2">
        <v>0</v>
      </c>
      <c r="X294" s="2">
        <v>0</v>
      </c>
      <c r="Y294" t="s">
        <v>238</v>
      </c>
      <c r="Z294" t="s">
        <v>1063</v>
      </c>
    </row>
    <row r="295" spans="1:26" x14ac:dyDescent="0.25">
      <c r="A295">
        <v>2033155462</v>
      </c>
      <c r="B295" t="s">
        <v>633</v>
      </c>
      <c r="C295" t="s">
        <v>634</v>
      </c>
      <c r="D295" t="str">
        <f>CONCATENATE(C295," ",B295)</f>
        <v>MAURICIO RUIZ-TOVAR</v>
      </c>
      <c r="E295" t="s">
        <v>119</v>
      </c>
      <c r="F295" t="s">
        <v>182</v>
      </c>
      <c r="G295" t="s">
        <v>183</v>
      </c>
      <c r="H295" t="s">
        <v>183</v>
      </c>
      <c r="I295" s="11" t="s">
        <v>1018</v>
      </c>
      <c r="J295" t="s">
        <v>332</v>
      </c>
      <c r="K295" t="s">
        <v>333</v>
      </c>
      <c r="L295" t="str">
        <f>CONCATENATE(K295," ",J295)</f>
        <v>Barry Schumann</v>
      </c>
      <c r="M295" t="s">
        <v>57</v>
      </c>
      <c r="N295" s="1">
        <v>46037</v>
      </c>
      <c r="P295" s="1">
        <v>46218</v>
      </c>
      <c r="Q295" s="2">
        <v>105.02</v>
      </c>
      <c r="R295" t="s">
        <v>58</v>
      </c>
      <c r="S295" s="3">
        <v>0.7</v>
      </c>
      <c r="T295" t="s">
        <v>60</v>
      </c>
      <c r="U295" t="s">
        <v>239</v>
      </c>
      <c r="V295" s="2">
        <v>73.510000000000005</v>
      </c>
      <c r="W295" s="2">
        <v>0</v>
      </c>
      <c r="X295" s="2">
        <v>0</v>
      </c>
      <c r="Y295" t="s">
        <v>238</v>
      </c>
      <c r="Z295" t="s">
        <v>1064</v>
      </c>
    </row>
    <row r="296" spans="1:26" x14ac:dyDescent="0.25">
      <c r="A296">
        <v>2035450009</v>
      </c>
      <c r="B296" t="s">
        <v>742</v>
      </c>
      <c r="C296" t="s">
        <v>743</v>
      </c>
      <c r="D296" t="str">
        <f>CONCATENATE(C296," ",B296)</f>
        <v>ANITA REDFORD</v>
      </c>
      <c r="E296" t="s">
        <v>119</v>
      </c>
      <c r="F296" t="s">
        <v>182</v>
      </c>
      <c r="G296" t="s">
        <v>183</v>
      </c>
      <c r="H296" t="s">
        <v>183</v>
      </c>
      <c r="I296" s="11" t="s">
        <v>1031</v>
      </c>
      <c r="J296" t="s">
        <v>473</v>
      </c>
      <c r="K296" t="s">
        <v>474</v>
      </c>
      <c r="L296" t="str">
        <f>CONCATENATE(K296," ",J296)</f>
        <v>James Allen</v>
      </c>
      <c r="M296" t="s">
        <v>57</v>
      </c>
      <c r="N296" s="1">
        <v>46156</v>
      </c>
      <c r="P296" s="1">
        <v>46217</v>
      </c>
      <c r="Q296" s="2">
        <v>95.54</v>
      </c>
      <c r="R296" t="s">
        <v>58</v>
      </c>
      <c r="S296" s="3">
        <v>0.7</v>
      </c>
      <c r="T296" t="s">
        <v>60</v>
      </c>
      <c r="U296" t="s">
        <v>239</v>
      </c>
      <c r="V296" s="2">
        <v>66.88</v>
      </c>
      <c r="W296" s="2">
        <v>0</v>
      </c>
      <c r="X296" s="2">
        <v>0</v>
      </c>
      <c r="Y296" t="s">
        <v>238</v>
      </c>
      <c r="Z296" t="s">
        <v>1063</v>
      </c>
    </row>
    <row r="297" spans="1:26" x14ac:dyDescent="0.25">
      <c r="A297">
        <v>2035420490</v>
      </c>
      <c r="B297" t="s">
        <v>730</v>
      </c>
      <c r="C297" t="s">
        <v>731</v>
      </c>
      <c r="D297" t="str">
        <f>CONCATENATE(C297," ",B297)</f>
        <v>TATYANA MUKHIN</v>
      </c>
      <c r="E297" t="s">
        <v>624</v>
      </c>
      <c r="F297" t="s">
        <v>182</v>
      </c>
      <c r="G297" t="s">
        <v>183</v>
      </c>
      <c r="H297" t="s">
        <v>183</v>
      </c>
      <c r="I297" s="11">
        <v>8307933</v>
      </c>
      <c r="J297" t="s">
        <v>79</v>
      </c>
      <c r="K297" t="s">
        <v>80</v>
      </c>
      <c r="L297" t="str">
        <f>CONCATENATE(K297," ",J297)</f>
        <v>GREGORY TEIPEL</v>
      </c>
      <c r="M297" t="s">
        <v>57</v>
      </c>
      <c r="N297" s="1">
        <v>46158</v>
      </c>
      <c r="P297" s="1">
        <v>46219</v>
      </c>
      <c r="Q297" s="2">
        <v>94.38</v>
      </c>
      <c r="R297" t="s">
        <v>58</v>
      </c>
      <c r="S297" s="3">
        <v>0.7</v>
      </c>
      <c r="T297" t="s">
        <v>60</v>
      </c>
      <c r="U297" t="s">
        <v>239</v>
      </c>
      <c r="V297" s="2">
        <v>66.069999999999993</v>
      </c>
      <c r="W297" s="2">
        <v>0</v>
      </c>
      <c r="X297" s="2">
        <v>0</v>
      </c>
      <c r="Y297" t="s">
        <v>238</v>
      </c>
      <c r="Z297" t="s">
        <v>1062</v>
      </c>
    </row>
    <row r="298" spans="1:26" x14ac:dyDescent="0.25">
      <c r="A298">
        <v>2033054175</v>
      </c>
      <c r="B298" t="s">
        <v>612</v>
      </c>
      <c r="C298" t="s">
        <v>613</v>
      </c>
      <c r="D298" t="str">
        <f>CONCATENATE(C298," ",B298)</f>
        <v>CARLA CULTON</v>
      </c>
      <c r="E298" t="s">
        <v>292</v>
      </c>
      <c r="F298" t="s">
        <v>182</v>
      </c>
      <c r="G298" t="s">
        <v>183</v>
      </c>
      <c r="H298" t="s">
        <v>183</v>
      </c>
      <c r="I298" s="11">
        <v>8307933</v>
      </c>
      <c r="J298" t="s">
        <v>79</v>
      </c>
      <c r="K298" t="s">
        <v>80</v>
      </c>
      <c r="L298" t="str">
        <f>CONCATENATE(K298," ",J298)</f>
        <v>GREGORY TEIPEL</v>
      </c>
      <c r="M298" t="s">
        <v>57</v>
      </c>
      <c r="N298" s="1">
        <v>46038</v>
      </c>
      <c r="P298" s="1">
        <v>46219</v>
      </c>
      <c r="Q298" s="2">
        <v>89.52</v>
      </c>
      <c r="R298" t="s">
        <v>58</v>
      </c>
      <c r="S298" s="3">
        <v>0.7</v>
      </c>
      <c r="T298" t="s">
        <v>60</v>
      </c>
      <c r="U298" t="s">
        <v>239</v>
      </c>
      <c r="V298" s="2">
        <v>62.66</v>
      </c>
      <c r="W298" s="2">
        <v>0</v>
      </c>
      <c r="X298" s="2">
        <v>0</v>
      </c>
      <c r="Y298" t="s">
        <v>238</v>
      </c>
      <c r="Z298" t="s">
        <v>1062</v>
      </c>
    </row>
    <row r="299" spans="1:26" x14ac:dyDescent="0.25">
      <c r="A299">
        <v>2033167656</v>
      </c>
      <c r="B299" t="s">
        <v>990</v>
      </c>
      <c r="C299" t="s">
        <v>991</v>
      </c>
      <c r="D299" t="str">
        <f>CONCATENATE(C299," ",B299)</f>
        <v>AUDERA GUZMAN</v>
      </c>
      <c r="E299" t="s">
        <v>292</v>
      </c>
      <c r="F299" t="s">
        <v>182</v>
      </c>
      <c r="G299" t="s">
        <v>183</v>
      </c>
      <c r="H299" t="s">
        <v>183</v>
      </c>
      <c r="I299" s="11" t="s">
        <v>1061</v>
      </c>
      <c r="J299" t="s">
        <v>992</v>
      </c>
      <c r="K299" t="s">
        <v>993</v>
      </c>
      <c r="L299" t="str">
        <f>CONCATENATE(K299," ",J299)</f>
        <v>Latesha Rose</v>
      </c>
      <c r="M299" t="s">
        <v>57</v>
      </c>
      <c r="N299" s="1">
        <v>46038</v>
      </c>
      <c r="P299" s="1">
        <v>46219</v>
      </c>
      <c r="Q299" s="2">
        <v>89.52</v>
      </c>
      <c r="R299" t="s">
        <v>58</v>
      </c>
      <c r="S299" s="3">
        <v>0.7</v>
      </c>
      <c r="T299" t="s">
        <v>60</v>
      </c>
      <c r="U299" t="s">
        <v>239</v>
      </c>
      <c r="V299" s="2">
        <v>62.66</v>
      </c>
      <c r="W299" s="2">
        <v>0</v>
      </c>
      <c r="X299" s="2">
        <v>0</v>
      </c>
      <c r="Y299" t="s">
        <v>238</v>
      </c>
      <c r="Z299" t="s">
        <v>1064</v>
      </c>
    </row>
    <row r="300" spans="1:26" x14ac:dyDescent="0.25">
      <c r="A300">
        <v>2034985517</v>
      </c>
      <c r="B300" t="s">
        <v>715</v>
      </c>
      <c r="C300" t="s">
        <v>716</v>
      </c>
      <c r="D300" t="str">
        <f>CONCATENATE(C300," ",B300)</f>
        <v>JEFFERY SHADDOCK</v>
      </c>
      <c r="E300" t="s">
        <v>70</v>
      </c>
      <c r="F300" t="s">
        <v>182</v>
      </c>
      <c r="G300" t="s">
        <v>183</v>
      </c>
      <c r="H300" t="s">
        <v>183</v>
      </c>
      <c r="I300" s="11" t="s">
        <v>1044</v>
      </c>
      <c r="J300" t="s">
        <v>595</v>
      </c>
      <c r="K300" t="s">
        <v>596</v>
      </c>
      <c r="L300" t="str">
        <f>CONCATENATE(K300," ",J300)</f>
        <v>Raluca Cheregi</v>
      </c>
      <c r="M300" t="s">
        <v>57</v>
      </c>
      <c r="N300" s="1">
        <v>46130</v>
      </c>
      <c r="P300" s="1">
        <v>46221</v>
      </c>
      <c r="Q300" s="2">
        <v>85.36</v>
      </c>
      <c r="R300" t="s">
        <v>58</v>
      </c>
      <c r="S300" s="3">
        <v>0.7</v>
      </c>
      <c r="T300" t="s">
        <v>60</v>
      </c>
      <c r="U300" t="s">
        <v>239</v>
      </c>
      <c r="V300" s="2">
        <v>59.75</v>
      </c>
      <c r="W300" s="2">
        <v>0</v>
      </c>
      <c r="X300" s="2">
        <v>0</v>
      </c>
      <c r="Y300" t="s">
        <v>238</v>
      </c>
      <c r="Z300" t="s">
        <v>1063</v>
      </c>
    </row>
    <row r="301" spans="1:26" x14ac:dyDescent="0.25">
      <c r="A301">
        <v>2033117676</v>
      </c>
      <c r="B301" t="s">
        <v>622</v>
      </c>
      <c r="C301" t="s">
        <v>623</v>
      </c>
      <c r="D301" t="str">
        <f>CONCATENATE(C301," ",B301)</f>
        <v>CASEY ORR</v>
      </c>
      <c r="E301" t="s">
        <v>624</v>
      </c>
      <c r="F301" t="s">
        <v>182</v>
      </c>
      <c r="G301" t="s">
        <v>183</v>
      </c>
      <c r="H301" t="s">
        <v>183</v>
      </c>
      <c r="I301" s="11">
        <v>8307933</v>
      </c>
      <c r="J301" t="s">
        <v>79</v>
      </c>
      <c r="K301" t="s">
        <v>80</v>
      </c>
      <c r="L301" t="str">
        <f>CONCATENATE(K301," ",J301)</f>
        <v>GREGORY TEIPEL</v>
      </c>
      <c r="M301" t="s">
        <v>57</v>
      </c>
      <c r="N301" s="1">
        <v>46059</v>
      </c>
      <c r="P301" s="1">
        <v>46209</v>
      </c>
      <c r="Q301" s="2">
        <v>80.56</v>
      </c>
      <c r="R301" t="s">
        <v>58</v>
      </c>
      <c r="S301" s="3">
        <v>0.7</v>
      </c>
      <c r="T301" t="s">
        <v>60</v>
      </c>
      <c r="U301" t="s">
        <v>239</v>
      </c>
      <c r="V301" s="2">
        <v>56.39</v>
      </c>
      <c r="W301" s="2">
        <v>0</v>
      </c>
      <c r="X301" s="2">
        <v>0</v>
      </c>
      <c r="Y301" t="s">
        <v>238</v>
      </c>
      <c r="Z301" t="s">
        <v>1062</v>
      </c>
    </row>
    <row r="302" spans="1:26" x14ac:dyDescent="0.25">
      <c r="A302">
        <v>2033124967</v>
      </c>
      <c r="B302" t="s">
        <v>989</v>
      </c>
      <c r="C302" t="s">
        <v>888</v>
      </c>
      <c r="D302" t="str">
        <f>CONCATENATE(C302," ",B302)</f>
        <v>MICHELE LAZZARA</v>
      </c>
      <c r="E302" t="s">
        <v>119</v>
      </c>
      <c r="F302" t="s">
        <v>182</v>
      </c>
      <c r="G302" t="s">
        <v>183</v>
      </c>
      <c r="H302" t="s">
        <v>183</v>
      </c>
      <c r="I302" s="11" t="s">
        <v>1033</v>
      </c>
      <c r="J302" t="s">
        <v>122</v>
      </c>
      <c r="K302" t="s">
        <v>123</v>
      </c>
      <c r="L302" t="str">
        <f>CONCATENATE(K302," ",J302)</f>
        <v>FRANK LISKOVEC</v>
      </c>
      <c r="M302" t="s">
        <v>57</v>
      </c>
      <c r="N302" s="1">
        <v>46036</v>
      </c>
      <c r="P302" s="1">
        <v>46217</v>
      </c>
      <c r="Q302" s="2">
        <v>74</v>
      </c>
      <c r="R302" t="s">
        <v>58</v>
      </c>
      <c r="S302" s="3">
        <v>0.7</v>
      </c>
      <c r="T302" t="s">
        <v>60</v>
      </c>
      <c r="U302" t="s">
        <v>239</v>
      </c>
      <c r="V302" s="2">
        <v>51.8</v>
      </c>
      <c r="W302" s="2">
        <v>0</v>
      </c>
      <c r="X302" s="2">
        <v>0</v>
      </c>
      <c r="Y302" t="s">
        <v>238</v>
      </c>
      <c r="Z302" t="s">
        <v>1064</v>
      </c>
    </row>
    <row r="303" spans="1:26" x14ac:dyDescent="0.25">
      <c r="A303">
        <v>2033137246</v>
      </c>
      <c r="B303" t="s">
        <v>949</v>
      </c>
      <c r="C303" t="s">
        <v>950</v>
      </c>
      <c r="D303" t="str">
        <f>CONCATENATE(C303," ",B303)</f>
        <v>HAILEY CROWLEY</v>
      </c>
      <c r="E303" t="s">
        <v>714</v>
      </c>
      <c r="F303" t="s">
        <v>182</v>
      </c>
      <c r="G303" t="s">
        <v>183</v>
      </c>
      <c r="H303" t="s">
        <v>183</v>
      </c>
      <c r="I303" s="11" t="s">
        <v>1006</v>
      </c>
      <c r="J303" t="s">
        <v>419</v>
      </c>
      <c r="K303" t="s">
        <v>420</v>
      </c>
      <c r="L303" t="str">
        <f>CONCATENATE(K303," ",J303)</f>
        <v>JARED KINYUA</v>
      </c>
      <c r="M303" t="s">
        <v>57</v>
      </c>
      <c r="N303" s="1">
        <v>46036</v>
      </c>
      <c r="P303" s="1">
        <v>46217</v>
      </c>
      <c r="Q303" s="2">
        <v>67.62</v>
      </c>
      <c r="R303" t="s">
        <v>58</v>
      </c>
      <c r="S303" s="3">
        <v>0.7</v>
      </c>
      <c r="T303" t="s">
        <v>60</v>
      </c>
      <c r="U303" t="s">
        <v>239</v>
      </c>
      <c r="V303" s="2">
        <v>47.33</v>
      </c>
      <c r="W303" s="2">
        <v>0</v>
      </c>
      <c r="X303" s="2">
        <v>0</v>
      </c>
      <c r="Y303" t="s">
        <v>238</v>
      </c>
      <c r="Z303" t="s">
        <v>1064</v>
      </c>
    </row>
    <row r="304" spans="1:26" x14ac:dyDescent="0.25">
      <c r="A304">
        <v>2034695179</v>
      </c>
      <c r="B304" t="s">
        <v>693</v>
      </c>
      <c r="C304" t="s">
        <v>694</v>
      </c>
      <c r="D304" t="str">
        <f>CONCATENATE(C304," ",B304)</f>
        <v>MARK YARBOROUGH</v>
      </c>
      <c r="E304" t="s">
        <v>165</v>
      </c>
      <c r="F304" t="s">
        <v>182</v>
      </c>
      <c r="G304" t="s">
        <v>183</v>
      </c>
      <c r="H304" t="s">
        <v>183</v>
      </c>
      <c r="I304" s="11">
        <v>8307933</v>
      </c>
      <c r="J304" t="s">
        <v>79</v>
      </c>
      <c r="K304" t="s">
        <v>80</v>
      </c>
      <c r="L304" t="str">
        <f>CONCATENATE(K304," ",J304)</f>
        <v>GREGORY TEIPEL</v>
      </c>
      <c r="M304" t="s">
        <v>57</v>
      </c>
      <c r="N304" s="1">
        <v>46127</v>
      </c>
      <c r="P304" s="1">
        <v>46218</v>
      </c>
      <c r="Q304" s="2">
        <v>66.86</v>
      </c>
      <c r="R304" t="s">
        <v>58</v>
      </c>
      <c r="S304" s="3">
        <v>0.7</v>
      </c>
      <c r="T304" t="s">
        <v>60</v>
      </c>
      <c r="U304" t="s">
        <v>239</v>
      </c>
      <c r="V304" s="2">
        <v>46.8</v>
      </c>
      <c r="W304" s="2">
        <v>0</v>
      </c>
      <c r="X304" s="2">
        <v>0</v>
      </c>
      <c r="Y304" t="s">
        <v>238</v>
      </c>
      <c r="Z304" t="s">
        <v>1062</v>
      </c>
    </row>
    <row r="305" spans="1:26" x14ac:dyDescent="0.25">
      <c r="A305">
        <v>2034949793</v>
      </c>
      <c r="B305" t="s">
        <v>709</v>
      </c>
      <c r="C305" t="s">
        <v>710</v>
      </c>
      <c r="D305" t="str">
        <f>CONCATENATE(C305," ",B305)</f>
        <v>JENNY STINNETT</v>
      </c>
      <c r="E305" t="s">
        <v>70</v>
      </c>
      <c r="F305" t="s">
        <v>182</v>
      </c>
      <c r="G305" t="s">
        <v>183</v>
      </c>
      <c r="H305" t="s">
        <v>183</v>
      </c>
      <c r="I305" s="11" t="s">
        <v>1044</v>
      </c>
      <c r="J305" t="s">
        <v>595</v>
      </c>
      <c r="K305" t="s">
        <v>596</v>
      </c>
      <c r="L305" t="str">
        <f>CONCATENATE(K305," ",J305)</f>
        <v>Raluca Cheregi</v>
      </c>
      <c r="M305" t="s">
        <v>57</v>
      </c>
      <c r="N305" s="1">
        <v>46128</v>
      </c>
      <c r="P305" s="1">
        <v>46219</v>
      </c>
      <c r="Q305" s="2">
        <v>62.15</v>
      </c>
      <c r="R305" t="s">
        <v>58</v>
      </c>
      <c r="S305" s="3">
        <v>0.7</v>
      </c>
      <c r="T305" t="s">
        <v>60</v>
      </c>
      <c r="U305" t="s">
        <v>239</v>
      </c>
      <c r="V305" s="2">
        <v>43.5</v>
      </c>
      <c r="W305" s="2">
        <v>0</v>
      </c>
      <c r="X305" s="2">
        <v>0</v>
      </c>
      <c r="Y305" t="s">
        <v>238</v>
      </c>
      <c r="Z305" t="s">
        <v>1063</v>
      </c>
    </row>
    <row r="306" spans="1:26" x14ac:dyDescent="0.25">
      <c r="A306">
        <v>2034996462</v>
      </c>
      <c r="B306" t="s">
        <v>718</v>
      </c>
      <c r="C306" t="s">
        <v>483</v>
      </c>
      <c r="D306" t="str">
        <f>CONCATENATE(C306," ",B306)</f>
        <v>CHRISTOPHER ZAMIR</v>
      </c>
      <c r="E306" t="s">
        <v>95</v>
      </c>
      <c r="F306" t="s">
        <v>182</v>
      </c>
      <c r="G306" t="s">
        <v>183</v>
      </c>
      <c r="H306" t="s">
        <v>183</v>
      </c>
      <c r="I306" s="11" t="s">
        <v>1049</v>
      </c>
      <c r="J306" t="s">
        <v>719</v>
      </c>
      <c r="K306" t="s">
        <v>134</v>
      </c>
      <c r="L306" t="str">
        <f>CONCATENATE(K306," ",J306)</f>
        <v>Steven Ubiera</v>
      </c>
      <c r="M306" t="s">
        <v>57</v>
      </c>
      <c r="N306" s="1">
        <v>46130</v>
      </c>
      <c r="P306" s="1">
        <v>46221</v>
      </c>
      <c r="Q306" s="2">
        <v>60.55</v>
      </c>
      <c r="R306" t="s">
        <v>58</v>
      </c>
      <c r="S306" s="3">
        <v>0.7</v>
      </c>
      <c r="T306" t="s">
        <v>60</v>
      </c>
      <c r="U306" t="s">
        <v>239</v>
      </c>
      <c r="V306" s="2">
        <v>42.38</v>
      </c>
      <c r="W306" s="2">
        <v>0</v>
      </c>
      <c r="X306" s="2">
        <v>0</v>
      </c>
      <c r="Y306" t="s">
        <v>238</v>
      </c>
      <c r="Z306" t="s">
        <v>1063</v>
      </c>
    </row>
    <row r="307" spans="1:26" x14ac:dyDescent="0.25">
      <c r="A307">
        <v>2034928887</v>
      </c>
      <c r="B307" t="s">
        <v>707</v>
      </c>
      <c r="C307" t="s">
        <v>708</v>
      </c>
      <c r="D307" t="str">
        <f>CONCATENATE(C307," ",B307)</f>
        <v>DOMINIQUE SILVA</v>
      </c>
      <c r="E307" t="s">
        <v>119</v>
      </c>
      <c r="F307" t="s">
        <v>182</v>
      </c>
      <c r="G307" t="s">
        <v>183</v>
      </c>
      <c r="H307" t="s">
        <v>183</v>
      </c>
      <c r="I307" s="11" t="s">
        <v>1034</v>
      </c>
      <c r="J307" t="s">
        <v>495</v>
      </c>
      <c r="K307" t="s">
        <v>496</v>
      </c>
      <c r="L307" t="str">
        <f>CONCATENATE(K307," ",J307)</f>
        <v>RICARDO SANTOS</v>
      </c>
      <c r="M307" t="s">
        <v>57</v>
      </c>
      <c r="N307" s="1">
        <v>46127</v>
      </c>
      <c r="P307" s="1">
        <v>46218</v>
      </c>
      <c r="Q307" s="2">
        <v>59.4</v>
      </c>
      <c r="R307" t="s">
        <v>58</v>
      </c>
      <c r="S307" s="3">
        <v>0.7</v>
      </c>
      <c r="T307" t="s">
        <v>60</v>
      </c>
      <c r="U307" t="s">
        <v>239</v>
      </c>
      <c r="V307" s="2">
        <v>41.58</v>
      </c>
      <c r="W307" s="2">
        <v>0</v>
      </c>
      <c r="X307" s="2">
        <v>0</v>
      </c>
      <c r="Y307" t="s">
        <v>238</v>
      </c>
      <c r="Z307" t="s">
        <v>1063</v>
      </c>
    </row>
    <row r="308" spans="1:26" x14ac:dyDescent="0.25">
      <c r="A308">
        <v>2034384322</v>
      </c>
      <c r="B308" t="s">
        <v>683</v>
      </c>
      <c r="C308" t="s">
        <v>256</v>
      </c>
      <c r="D308" t="str">
        <f>CONCATENATE(C308," ",B308)</f>
        <v>MATTHEW TITUS</v>
      </c>
      <c r="E308" t="s">
        <v>245</v>
      </c>
      <c r="F308" t="s">
        <v>182</v>
      </c>
      <c r="G308" t="s">
        <v>183</v>
      </c>
      <c r="H308" t="s">
        <v>183</v>
      </c>
      <c r="I308" s="11">
        <v>21435997</v>
      </c>
      <c r="J308" t="s">
        <v>444</v>
      </c>
      <c r="K308" t="s">
        <v>445</v>
      </c>
      <c r="L308" t="str">
        <f>CONCATENATE(K308," ",J308)</f>
        <v>Christopher Brousseau</v>
      </c>
      <c r="M308" t="s">
        <v>57</v>
      </c>
      <c r="N308" s="1">
        <v>46098</v>
      </c>
      <c r="P308" s="1">
        <v>46220</v>
      </c>
      <c r="Q308" s="2">
        <v>59.04</v>
      </c>
      <c r="R308" t="s">
        <v>58</v>
      </c>
      <c r="S308" s="3">
        <v>0.7</v>
      </c>
      <c r="T308" t="s">
        <v>60</v>
      </c>
      <c r="U308" t="s">
        <v>239</v>
      </c>
      <c r="V308" s="2">
        <v>41.33</v>
      </c>
      <c r="W308" s="2">
        <v>0</v>
      </c>
      <c r="X308" s="2">
        <v>0</v>
      </c>
      <c r="Y308" t="s">
        <v>238</v>
      </c>
      <c r="Z308" t="s">
        <v>1062</v>
      </c>
    </row>
    <row r="309" spans="1:26" x14ac:dyDescent="0.25">
      <c r="A309">
        <v>2033177180</v>
      </c>
      <c r="B309" t="s">
        <v>637</v>
      </c>
      <c r="C309" t="s">
        <v>638</v>
      </c>
      <c r="D309" t="str">
        <f>CONCATENATE(C309," ",B309)</f>
        <v>JOAN BENITEZ</v>
      </c>
      <c r="E309" t="s">
        <v>119</v>
      </c>
      <c r="F309" t="s">
        <v>182</v>
      </c>
      <c r="G309" t="s">
        <v>183</v>
      </c>
      <c r="H309" t="s">
        <v>183</v>
      </c>
      <c r="I309" s="11" t="s">
        <v>1001</v>
      </c>
      <c r="J309" t="s">
        <v>73</v>
      </c>
      <c r="K309" t="s">
        <v>116</v>
      </c>
      <c r="L309" t="str">
        <f>CONCATENATE(K309," ",J309)</f>
        <v>Richard Yale</v>
      </c>
      <c r="M309" t="s">
        <v>57</v>
      </c>
      <c r="N309" s="1">
        <v>46040</v>
      </c>
      <c r="P309" s="1">
        <v>46221</v>
      </c>
      <c r="Q309" s="2">
        <v>58.24</v>
      </c>
      <c r="R309" t="s">
        <v>58</v>
      </c>
      <c r="S309" s="3">
        <v>0.7</v>
      </c>
      <c r="T309" t="s">
        <v>60</v>
      </c>
      <c r="U309" t="s">
        <v>239</v>
      </c>
      <c r="V309" s="2">
        <v>40.770000000000003</v>
      </c>
      <c r="W309" s="2">
        <v>0</v>
      </c>
      <c r="X309" s="2">
        <v>0</v>
      </c>
      <c r="Y309" t="s">
        <v>238</v>
      </c>
      <c r="Z309" t="s">
        <v>1064</v>
      </c>
    </row>
    <row r="310" spans="1:26" x14ac:dyDescent="0.25">
      <c r="A310">
        <v>2035473797</v>
      </c>
      <c r="B310" t="s">
        <v>748</v>
      </c>
      <c r="C310" t="s">
        <v>256</v>
      </c>
      <c r="D310" t="str">
        <f>CONCATENATE(C310," ",B310)</f>
        <v>MATTHEW SANBORN</v>
      </c>
      <c r="E310" t="s">
        <v>83</v>
      </c>
      <c r="F310" t="s">
        <v>182</v>
      </c>
      <c r="G310" t="s">
        <v>183</v>
      </c>
      <c r="H310" t="s">
        <v>183</v>
      </c>
      <c r="I310" s="11">
        <v>19491313</v>
      </c>
      <c r="J310" t="s">
        <v>133</v>
      </c>
      <c r="K310" t="s">
        <v>134</v>
      </c>
      <c r="L310" t="str">
        <f>CONCATENATE(K310," ",J310)</f>
        <v>Steven Brandt</v>
      </c>
      <c r="M310" t="s">
        <v>57</v>
      </c>
      <c r="N310" s="1">
        <v>46157</v>
      </c>
      <c r="P310" s="1">
        <v>46218</v>
      </c>
      <c r="Q310" s="2">
        <v>58.18</v>
      </c>
      <c r="R310" t="s">
        <v>58</v>
      </c>
      <c r="S310" s="3">
        <v>0.7</v>
      </c>
      <c r="T310" t="s">
        <v>60</v>
      </c>
      <c r="U310" t="s">
        <v>239</v>
      </c>
      <c r="V310" s="2">
        <v>40.729999999999997</v>
      </c>
      <c r="W310" s="2">
        <v>0</v>
      </c>
      <c r="X310" s="2">
        <v>0</v>
      </c>
      <c r="Y310" t="s">
        <v>238</v>
      </c>
      <c r="Z310" t="s">
        <v>1062</v>
      </c>
    </row>
    <row r="311" spans="1:26" x14ac:dyDescent="0.25">
      <c r="A311">
        <v>2034302043</v>
      </c>
      <c r="B311" t="s">
        <v>673</v>
      </c>
      <c r="C311" t="s">
        <v>86</v>
      </c>
      <c r="D311" t="str">
        <f>CONCATENATE(C311," ",B311)</f>
        <v>RYAN MORRELL</v>
      </c>
      <c r="E311" t="s">
        <v>95</v>
      </c>
      <c r="F311" t="s">
        <v>182</v>
      </c>
      <c r="G311" t="s">
        <v>183</v>
      </c>
      <c r="H311" t="s">
        <v>183</v>
      </c>
      <c r="I311" s="11" t="s">
        <v>1037</v>
      </c>
      <c r="J311" t="s">
        <v>514</v>
      </c>
      <c r="K311" t="s">
        <v>515</v>
      </c>
      <c r="L311" t="str">
        <f>CONCATENATE(K311," ",J311)</f>
        <v>Ines Berg</v>
      </c>
      <c r="M311" t="s">
        <v>57</v>
      </c>
      <c r="N311" s="1">
        <v>46094</v>
      </c>
      <c r="P311" s="1">
        <v>46216</v>
      </c>
      <c r="Q311" s="2">
        <v>57.38</v>
      </c>
      <c r="R311" t="s">
        <v>58</v>
      </c>
      <c r="S311" s="3">
        <v>0.7</v>
      </c>
      <c r="T311" t="s">
        <v>60</v>
      </c>
      <c r="U311" t="s">
        <v>239</v>
      </c>
      <c r="V311" s="2">
        <v>40.17</v>
      </c>
      <c r="W311" s="2">
        <v>0</v>
      </c>
      <c r="X311" s="2">
        <v>0</v>
      </c>
      <c r="Y311" t="s">
        <v>238</v>
      </c>
      <c r="Z311" t="s">
        <v>1063</v>
      </c>
    </row>
    <row r="312" spans="1:26" x14ac:dyDescent="0.25">
      <c r="A312">
        <v>2033126148</v>
      </c>
      <c r="B312" t="s">
        <v>625</v>
      </c>
      <c r="C312" t="s">
        <v>626</v>
      </c>
      <c r="D312" t="str">
        <f>CONCATENATE(C312," ",B312)</f>
        <v>DANE'T THIBEAU</v>
      </c>
      <c r="E312" t="s">
        <v>95</v>
      </c>
      <c r="F312" t="s">
        <v>182</v>
      </c>
      <c r="G312" t="s">
        <v>183</v>
      </c>
      <c r="H312" t="s">
        <v>183</v>
      </c>
      <c r="I312" s="11" t="s">
        <v>1037</v>
      </c>
      <c r="J312" t="s">
        <v>514</v>
      </c>
      <c r="K312" t="s">
        <v>515</v>
      </c>
      <c r="L312" t="str">
        <f>CONCATENATE(K312," ",J312)</f>
        <v>Ines Berg</v>
      </c>
      <c r="M312" t="s">
        <v>57</v>
      </c>
      <c r="N312" s="1">
        <v>46036</v>
      </c>
      <c r="P312" s="1">
        <v>46217</v>
      </c>
      <c r="Q312" s="2">
        <v>57.27</v>
      </c>
      <c r="R312" t="s">
        <v>58</v>
      </c>
      <c r="S312" s="3">
        <v>0.7</v>
      </c>
      <c r="T312" t="s">
        <v>60</v>
      </c>
      <c r="U312" t="s">
        <v>239</v>
      </c>
      <c r="V312" s="2">
        <v>40.090000000000003</v>
      </c>
      <c r="W312" s="2">
        <v>0</v>
      </c>
      <c r="X312" s="2">
        <v>0</v>
      </c>
      <c r="Y312" t="s">
        <v>238</v>
      </c>
      <c r="Z312" t="s">
        <v>1064</v>
      </c>
    </row>
    <row r="313" spans="1:26" x14ac:dyDescent="0.25">
      <c r="A313">
        <v>2033177917</v>
      </c>
      <c r="B313" t="s">
        <v>639</v>
      </c>
      <c r="C313" t="s">
        <v>640</v>
      </c>
      <c r="D313" t="str">
        <f>CONCATENATE(C313," ",B313)</f>
        <v>EMMALINE HINTON</v>
      </c>
      <c r="E313" t="s">
        <v>119</v>
      </c>
      <c r="F313" t="s">
        <v>182</v>
      </c>
      <c r="G313" t="s">
        <v>183</v>
      </c>
      <c r="H313" t="s">
        <v>183</v>
      </c>
      <c r="I313" s="11" t="s">
        <v>1002</v>
      </c>
      <c r="J313" t="s">
        <v>321</v>
      </c>
      <c r="K313" t="s">
        <v>94</v>
      </c>
      <c r="L313" t="str">
        <f>CONCATENATE(K313," ",J313)</f>
        <v>ANDREA PETRUNGARO</v>
      </c>
      <c r="M313" t="s">
        <v>57</v>
      </c>
      <c r="N313" s="1">
        <v>46038</v>
      </c>
      <c r="P313" s="1">
        <v>46219</v>
      </c>
      <c r="Q313" s="2">
        <v>52.31</v>
      </c>
      <c r="R313" t="s">
        <v>58</v>
      </c>
      <c r="S313" s="3">
        <v>0.7</v>
      </c>
      <c r="T313" t="s">
        <v>60</v>
      </c>
      <c r="U313" t="s">
        <v>239</v>
      </c>
      <c r="V313" s="2">
        <v>36.619999999999997</v>
      </c>
      <c r="W313" s="2">
        <v>0</v>
      </c>
      <c r="X313" s="2">
        <v>0</v>
      </c>
      <c r="Y313" t="s">
        <v>238</v>
      </c>
      <c r="Z313" t="s">
        <v>1064</v>
      </c>
    </row>
    <row r="314" spans="1:26" x14ac:dyDescent="0.25">
      <c r="A314">
        <v>2035438823</v>
      </c>
      <c r="B314" t="s">
        <v>739</v>
      </c>
      <c r="C314" t="s">
        <v>740</v>
      </c>
      <c r="D314" t="str">
        <f>CONCATENATE(C314," ",B314)</f>
        <v>TIFFANY MCBRIDE</v>
      </c>
      <c r="E314" t="s">
        <v>245</v>
      </c>
      <c r="F314" t="s">
        <v>182</v>
      </c>
      <c r="G314" t="s">
        <v>183</v>
      </c>
      <c r="H314" t="s">
        <v>183</v>
      </c>
      <c r="I314" s="11">
        <v>8307933</v>
      </c>
      <c r="J314" t="s">
        <v>79</v>
      </c>
      <c r="K314" t="s">
        <v>80</v>
      </c>
      <c r="L314" t="str">
        <f>CONCATENATE(K314," ",J314)</f>
        <v>GREGORY TEIPEL</v>
      </c>
      <c r="M314" t="s">
        <v>57</v>
      </c>
      <c r="N314" s="1">
        <v>46159</v>
      </c>
      <c r="P314" s="1">
        <v>46220</v>
      </c>
      <c r="Q314" s="2">
        <v>51.19</v>
      </c>
      <c r="R314" t="s">
        <v>58</v>
      </c>
      <c r="S314" s="3">
        <v>0.7</v>
      </c>
      <c r="T314" t="s">
        <v>60</v>
      </c>
      <c r="U314" t="s">
        <v>239</v>
      </c>
      <c r="V314" s="2">
        <v>35.83</v>
      </c>
      <c r="W314" s="2">
        <v>0</v>
      </c>
      <c r="X314" s="2">
        <v>0</v>
      </c>
      <c r="Y314" t="s">
        <v>238</v>
      </c>
      <c r="Z314" t="s">
        <v>1062</v>
      </c>
    </row>
    <row r="315" spans="1:26" x14ac:dyDescent="0.25">
      <c r="A315">
        <v>2034113722</v>
      </c>
      <c r="B315" t="s">
        <v>664</v>
      </c>
      <c r="C315" t="s">
        <v>349</v>
      </c>
      <c r="D315" t="str">
        <f>CONCATENATE(C315," ",B315)</f>
        <v>STEPHEN SPERLING</v>
      </c>
      <c r="E315" t="s">
        <v>119</v>
      </c>
      <c r="F315" t="s">
        <v>182</v>
      </c>
      <c r="G315" t="s">
        <v>183</v>
      </c>
      <c r="H315" t="s">
        <v>183</v>
      </c>
      <c r="I315" s="11" t="s">
        <v>1027</v>
      </c>
      <c r="J315" t="s">
        <v>385</v>
      </c>
      <c r="K315" t="s">
        <v>386</v>
      </c>
      <c r="L315" t="str">
        <f>CONCATENATE(K315," ",J315)</f>
        <v>Andrew Choi</v>
      </c>
      <c r="M315" t="s">
        <v>57</v>
      </c>
      <c r="N315" s="1">
        <v>46130</v>
      </c>
      <c r="P315" s="1">
        <v>46221</v>
      </c>
      <c r="Q315" s="2">
        <v>51</v>
      </c>
      <c r="R315" t="s">
        <v>58</v>
      </c>
      <c r="S315" s="3">
        <v>0.7</v>
      </c>
      <c r="T315" t="s">
        <v>60</v>
      </c>
      <c r="U315" t="s">
        <v>239</v>
      </c>
      <c r="V315" s="2">
        <v>35.700000000000003</v>
      </c>
      <c r="W315" s="2">
        <v>0</v>
      </c>
      <c r="X315" s="2">
        <v>0</v>
      </c>
      <c r="Y315" t="s">
        <v>238</v>
      </c>
      <c r="Z315" t="s">
        <v>1063</v>
      </c>
    </row>
    <row r="316" spans="1:26" x14ac:dyDescent="0.25">
      <c r="A316">
        <v>2033190697</v>
      </c>
      <c r="B316" t="s">
        <v>643</v>
      </c>
      <c r="C316" t="s">
        <v>644</v>
      </c>
      <c r="D316" t="str">
        <f>CONCATENATE(C316," ",B316)</f>
        <v>EDDIE MERRELL</v>
      </c>
      <c r="E316" t="s">
        <v>95</v>
      </c>
      <c r="F316" t="s">
        <v>182</v>
      </c>
      <c r="G316" t="s">
        <v>183</v>
      </c>
      <c r="H316" t="s">
        <v>183</v>
      </c>
      <c r="I316" s="11" t="s">
        <v>1037</v>
      </c>
      <c r="J316" t="s">
        <v>514</v>
      </c>
      <c r="K316" t="s">
        <v>515</v>
      </c>
      <c r="L316" t="str">
        <f>CONCATENATE(K316," ",J316)</f>
        <v>Ines Berg</v>
      </c>
      <c r="M316" t="s">
        <v>57</v>
      </c>
      <c r="N316" s="1">
        <v>46039</v>
      </c>
      <c r="P316" s="1">
        <v>46220</v>
      </c>
      <c r="Q316" s="2">
        <v>49.46</v>
      </c>
      <c r="R316" t="s">
        <v>58</v>
      </c>
      <c r="S316" s="3">
        <v>0.7</v>
      </c>
      <c r="T316" t="s">
        <v>60</v>
      </c>
      <c r="U316" t="s">
        <v>239</v>
      </c>
      <c r="V316" s="2">
        <v>34.619999999999997</v>
      </c>
      <c r="W316" s="2">
        <v>0</v>
      </c>
      <c r="X316" s="2">
        <v>0</v>
      </c>
      <c r="Y316" t="s">
        <v>238</v>
      </c>
      <c r="Z316" t="s">
        <v>1064</v>
      </c>
    </row>
    <row r="317" spans="1:26" x14ac:dyDescent="0.25">
      <c r="A317">
        <v>2034918143</v>
      </c>
      <c r="B317" t="s">
        <v>705</v>
      </c>
      <c r="C317" t="s">
        <v>706</v>
      </c>
      <c r="D317" t="str">
        <f>CONCATENATE(C317," ",B317)</f>
        <v>NANCY MAXWELL</v>
      </c>
      <c r="E317" t="s">
        <v>209</v>
      </c>
      <c r="F317" t="s">
        <v>182</v>
      </c>
      <c r="G317" t="s">
        <v>183</v>
      </c>
      <c r="H317" t="s">
        <v>183</v>
      </c>
      <c r="I317" s="11">
        <v>8977234</v>
      </c>
      <c r="J317" t="s">
        <v>85</v>
      </c>
      <c r="K317" t="s">
        <v>86</v>
      </c>
      <c r="L317" t="str">
        <f>CONCATENATE(K317," ",J317)</f>
        <v>RYAN CALTAGIRONE</v>
      </c>
      <c r="M317" t="s">
        <v>57</v>
      </c>
      <c r="N317" s="1">
        <v>46127</v>
      </c>
      <c r="P317" s="1">
        <v>46218</v>
      </c>
      <c r="Q317" s="2">
        <v>47.72</v>
      </c>
      <c r="R317" t="s">
        <v>58</v>
      </c>
      <c r="S317" s="3">
        <v>0.7</v>
      </c>
      <c r="T317" t="s">
        <v>60</v>
      </c>
      <c r="U317" t="s">
        <v>239</v>
      </c>
      <c r="V317" s="2">
        <v>33.4</v>
      </c>
      <c r="W317" s="2">
        <v>0</v>
      </c>
      <c r="X317" s="2">
        <v>0</v>
      </c>
      <c r="Y317" t="s">
        <v>238</v>
      </c>
      <c r="Z317" t="s">
        <v>1062</v>
      </c>
    </row>
    <row r="318" spans="1:26" x14ac:dyDescent="0.25">
      <c r="A318">
        <v>2035480813</v>
      </c>
      <c r="B318" t="s">
        <v>749</v>
      </c>
      <c r="C318" t="s">
        <v>607</v>
      </c>
      <c r="D318" t="str">
        <f>CONCATENATE(C318," ",B318)</f>
        <v>ANGELA BOLZ</v>
      </c>
      <c r="E318" t="s">
        <v>100</v>
      </c>
      <c r="F318" t="s">
        <v>182</v>
      </c>
      <c r="G318" t="s">
        <v>183</v>
      </c>
      <c r="H318" t="s">
        <v>183</v>
      </c>
      <c r="I318" s="11">
        <v>21435997</v>
      </c>
      <c r="J318" t="s">
        <v>444</v>
      </c>
      <c r="K318" t="s">
        <v>445</v>
      </c>
      <c r="L318" t="str">
        <f>CONCATENATE(K318," ",J318)</f>
        <v>Christopher Brousseau</v>
      </c>
      <c r="M318" t="s">
        <v>57</v>
      </c>
      <c r="N318" s="1">
        <v>46158</v>
      </c>
      <c r="P318" s="1">
        <v>46219</v>
      </c>
      <c r="Q318" s="2">
        <v>46.72</v>
      </c>
      <c r="R318" t="s">
        <v>58</v>
      </c>
      <c r="S318" s="3">
        <v>0.7</v>
      </c>
      <c r="T318" t="s">
        <v>60</v>
      </c>
      <c r="U318" t="s">
        <v>239</v>
      </c>
      <c r="V318" s="2">
        <v>32.700000000000003</v>
      </c>
      <c r="W318" s="2">
        <v>0</v>
      </c>
      <c r="X318" s="2">
        <v>0</v>
      </c>
      <c r="Y318" t="s">
        <v>238</v>
      </c>
      <c r="Z318" t="s">
        <v>1062</v>
      </c>
    </row>
    <row r="319" spans="1:26" x14ac:dyDescent="0.25">
      <c r="A319">
        <v>2033118932</v>
      </c>
      <c r="B319" t="s">
        <v>918</v>
      </c>
      <c r="C319" t="s">
        <v>919</v>
      </c>
      <c r="D319" t="str">
        <f>CONCATENATE(C319," ",B319)</f>
        <v>BRAYDEN HARTIGAN</v>
      </c>
      <c r="E319" t="s">
        <v>70</v>
      </c>
      <c r="F319" t="s">
        <v>182</v>
      </c>
      <c r="G319" t="s">
        <v>183</v>
      </c>
      <c r="H319" t="s">
        <v>183</v>
      </c>
      <c r="I319" s="11" t="s">
        <v>1034</v>
      </c>
      <c r="J319" t="s">
        <v>495</v>
      </c>
      <c r="K319" t="s">
        <v>496</v>
      </c>
      <c r="L319" t="str">
        <f>CONCATENATE(K319," ",J319)</f>
        <v>RICARDO SANTOS</v>
      </c>
      <c r="M319" t="s">
        <v>57</v>
      </c>
      <c r="N319" s="1">
        <v>46035</v>
      </c>
      <c r="P319" s="1">
        <v>46216</v>
      </c>
      <c r="Q319" s="2">
        <v>45.46</v>
      </c>
      <c r="R319" t="s">
        <v>58</v>
      </c>
      <c r="S319" s="3">
        <v>0.7</v>
      </c>
      <c r="T319" t="s">
        <v>60</v>
      </c>
      <c r="U319" t="s">
        <v>239</v>
      </c>
      <c r="V319" s="2">
        <v>31.82</v>
      </c>
      <c r="W319" s="2">
        <v>0</v>
      </c>
      <c r="X319" s="2">
        <v>0</v>
      </c>
      <c r="Y319" t="s">
        <v>238</v>
      </c>
      <c r="Z319" t="s">
        <v>1064</v>
      </c>
    </row>
    <row r="320" spans="1:26" x14ac:dyDescent="0.25">
      <c r="A320">
        <v>2034413970</v>
      </c>
      <c r="B320" t="s">
        <v>686</v>
      </c>
      <c r="C320" t="s">
        <v>687</v>
      </c>
      <c r="D320" t="str">
        <f>CONCATENATE(C320," ",B320)</f>
        <v>VERONICA FLORES</v>
      </c>
      <c r="E320" t="s">
        <v>83</v>
      </c>
      <c r="F320" t="s">
        <v>182</v>
      </c>
      <c r="G320" t="s">
        <v>183</v>
      </c>
      <c r="H320" t="s">
        <v>183</v>
      </c>
      <c r="I320" s="11">
        <v>16170994</v>
      </c>
      <c r="J320" t="s">
        <v>91</v>
      </c>
      <c r="K320" t="s">
        <v>92</v>
      </c>
      <c r="L320" t="str">
        <f>CONCATENATE(K320," ",J320)</f>
        <v>Ryan Shepard</v>
      </c>
      <c r="M320" t="s">
        <v>57</v>
      </c>
      <c r="N320" s="1">
        <v>46100</v>
      </c>
      <c r="P320" s="1">
        <v>46222</v>
      </c>
      <c r="Q320" s="2">
        <v>44</v>
      </c>
      <c r="R320" t="s">
        <v>58</v>
      </c>
      <c r="S320" s="3">
        <v>0.7</v>
      </c>
      <c r="T320" t="s">
        <v>60</v>
      </c>
      <c r="U320" t="s">
        <v>239</v>
      </c>
      <c r="V320" s="2">
        <v>30.8</v>
      </c>
      <c r="W320" s="2">
        <v>0</v>
      </c>
      <c r="X320" s="2">
        <v>0</v>
      </c>
      <c r="Y320" t="s">
        <v>238</v>
      </c>
      <c r="Z320" t="s">
        <v>1062</v>
      </c>
    </row>
    <row r="321" spans="1:26" x14ac:dyDescent="0.25">
      <c r="A321">
        <v>2032924844</v>
      </c>
      <c r="B321" t="s">
        <v>980</v>
      </c>
      <c r="C321" t="s">
        <v>981</v>
      </c>
      <c r="D321" t="str">
        <f>CONCATENATE(C321," ",B321)</f>
        <v>STEVE CERRICK</v>
      </c>
      <c r="E321" t="s">
        <v>83</v>
      </c>
      <c r="F321" t="s">
        <v>182</v>
      </c>
      <c r="G321" t="s">
        <v>183</v>
      </c>
      <c r="H321" t="s">
        <v>183</v>
      </c>
      <c r="I321" s="11" t="s">
        <v>1059</v>
      </c>
      <c r="J321" t="s">
        <v>982</v>
      </c>
      <c r="K321" t="s">
        <v>983</v>
      </c>
      <c r="L321" t="str">
        <f>CONCATENATE(K321," ",J321)</f>
        <v>Nathan Weller</v>
      </c>
      <c r="M321" t="s">
        <v>57</v>
      </c>
      <c r="N321" s="1">
        <v>46037</v>
      </c>
      <c r="P321" s="1">
        <v>46218</v>
      </c>
      <c r="Q321" s="2">
        <v>44</v>
      </c>
      <c r="R321" t="s">
        <v>58</v>
      </c>
      <c r="S321" s="3">
        <v>0.7</v>
      </c>
      <c r="T321" t="s">
        <v>60</v>
      </c>
      <c r="U321" t="s">
        <v>239</v>
      </c>
      <c r="V321" s="2">
        <v>30.8</v>
      </c>
      <c r="W321" s="2">
        <v>0</v>
      </c>
      <c r="X321" s="2">
        <v>0</v>
      </c>
      <c r="Y321" t="s">
        <v>238</v>
      </c>
      <c r="Z321" t="s">
        <v>1064</v>
      </c>
    </row>
    <row r="322" spans="1:26" x14ac:dyDescent="0.25">
      <c r="A322">
        <v>2033120369</v>
      </c>
      <c r="B322" t="s">
        <v>987</v>
      </c>
      <c r="C322" t="s">
        <v>988</v>
      </c>
      <c r="D322" t="str">
        <f>CONCATENATE(C322," ",B322)</f>
        <v>JOHANNA NELSON</v>
      </c>
      <c r="E322" t="s">
        <v>95</v>
      </c>
      <c r="F322" t="s">
        <v>182</v>
      </c>
      <c r="G322" t="s">
        <v>183</v>
      </c>
      <c r="H322" t="s">
        <v>183</v>
      </c>
      <c r="I322" s="11">
        <v>9213293</v>
      </c>
      <c r="J322" t="s">
        <v>414</v>
      </c>
      <c r="K322" t="s">
        <v>415</v>
      </c>
      <c r="L322" t="str">
        <f>CONCATENATE(K322," ",J322)</f>
        <v>GARY PORTUGAL</v>
      </c>
      <c r="M322" t="s">
        <v>57</v>
      </c>
      <c r="N322" s="1">
        <v>46036</v>
      </c>
      <c r="P322" s="1">
        <v>46217</v>
      </c>
      <c r="Q322" s="2">
        <v>41.59</v>
      </c>
      <c r="R322" t="s">
        <v>58</v>
      </c>
      <c r="S322" s="3">
        <v>0.7</v>
      </c>
      <c r="T322" t="s">
        <v>60</v>
      </c>
      <c r="U322" t="s">
        <v>239</v>
      </c>
      <c r="V322" s="2">
        <v>29.11</v>
      </c>
      <c r="W322" s="2">
        <v>0</v>
      </c>
      <c r="X322" s="2">
        <v>0</v>
      </c>
      <c r="Y322" t="s">
        <v>238</v>
      </c>
      <c r="Z322" t="s">
        <v>1062</v>
      </c>
    </row>
    <row r="323" spans="1:26" x14ac:dyDescent="0.25">
      <c r="A323">
        <v>2035437448</v>
      </c>
      <c r="B323" t="s">
        <v>737</v>
      </c>
      <c r="C323" t="s">
        <v>738</v>
      </c>
      <c r="D323" t="str">
        <f>CONCATENATE(C323," ",B323)</f>
        <v>CHRISTINE FUNK</v>
      </c>
      <c r="E323" t="s">
        <v>77</v>
      </c>
      <c r="F323" t="s">
        <v>182</v>
      </c>
      <c r="G323" t="s">
        <v>183</v>
      </c>
      <c r="H323" t="s">
        <v>183</v>
      </c>
      <c r="I323" s="11">
        <v>18754354</v>
      </c>
      <c r="J323" t="s">
        <v>105</v>
      </c>
      <c r="K323" t="s">
        <v>106</v>
      </c>
      <c r="L323" t="str">
        <f>CONCATENATE(K323," ",J323)</f>
        <v>JACOB YALE</v>
      </c>
      <c r="M323" t="s">
        <v>57</v>
      </c>
      <c r="N323" s="1">
        <v>46155</v>
      </c>
      <c r="P323" s="1">
        <v>46216</v>
      </c>
      <c r="Q323" s="2">
        <v>38.85</v>
      </c>
      <c r="R323" t="s">
        <v>58</v>
      </c>
      <c r="S323" s="3">
        <v>0.7</v>
      </c>
      <c r="T323" t="s">
        <v>60</v>
      </c>
      <c r="U323" t="s">
        <v>239</v>
      </c>
      <c r="V323" s="2">
        <v>27.2</v>
      </c>
      <c r="W323" s="2">
        <v>0</v>
      </c>
      <c r="X323" s="2">
        <v>0</v>
      </c>
      <c r="Y323" t="s">
        <v>238</v>
      </c>
      <c r="Z323" t="s">
        <v>1062</v>
      </c>
    </row>
    <row r="324" spans="1:26" x14ac:dyDescent="0.25">
      <c r="A324">
        <v>2034867127</v>
      </c>
      <c r="B324" t="s">
        <v>702</v>
      </c>
      <c r="C324" t="s">
        <v>703</v>
      </c>
      <c r="D324" t="str">
        <f>CONCATENATE(C324," ",B324)</f>
        <v>DERIC GAYDE</v>
      </c>
      <c r="E324" t="s">
        <v>209</v>
      </c>
      <c r="F324" t="s">
        <v>182</v>
      </c>
      <c r="G324" t="s">
        <v>183</v>
      </c>
      <c r="H324" t="s">
        <v>183</v>
      </c>
      <c r="I324" s="11" t="s">
        <v>1045</v>
      </c>
      <c r="J324" t="s">
        <v>651</v>
      </c>
      <c r="K324" t="s">
        <v>652</v>
      </c>
      <c r="L324" t="str">
        <f>CONCATENATE(K324," ",J324)</f>
        <v>Danna Green</v>
      </c>
      <c r="M324" t="s">
        <v>57</v>
      </c>
      <c r="N324" s="1">
        <v>46129</v>
      </c>
      <c r="P324" s="1">
        <v>46220</v>
      </c>
      <c r="Q324" s="2">
        <v>37.700000000000003</v>
      </c>
      <c r="R324" t="s">
        <v>58</v>
      </c>
      <c r="S324" s="3">
        <v>0.7</v>
      </c>
      <c r="T324" t="s">
        <v>60</v>
      </c>
      <c r="U324" t="s">
        <v>239</v>
      </c>
      <c r="V324" s="2">
        <v>26.39</v>
      </c>
      <c r="W324" s="2">
        <v>0</v>
      </c>
      <c r="X324" s="2">
        <v>0</v>
      </c>
      <c r="Y324" t="s">
        <v>238</v>
      </c>
      <c r="Z324" t="s">
        <v>1063</v>
      </c>
    </row>
    <row r="325" spans="1:26" x14ac:dyDescent="0.25">
      <c r="A325">
        <v>2034306131</v>
      </c>
      <c r="B325" t="s">
        <v>675</v>
      </c>
      <c r="C325" t="s">
        <v>227</v>
      </c>
      <c r="D325" t="str">
        <f>CONCATENATE(C325," ",B325)</f>
        <v>MICHAEL KILEY</v>
      </c>
      <c r="E325" t="s">
        <v>209</v>
      </c>
      <c r="F325" t="s">
        <v>182</v>
      </c>
      <c r="G325" t="s">
        <v>183</v>
      </c>
      <c r="H325" t="s">
        <v>183</v>
      </c>
      <c r="I325" s="11">
        <v>8307933</v>
      </c>
      <c r="J325" t="s">
        <v>79</v>
      </c>
      <c r="K325" t="s">
        <v>80</v>
      </c>
      <c r="L325" t="str">
        <f>CONCATENATE(K325," ",J325)</f>
        <v>GREGORY TEIPEL</v>
      </c>
      <c r="M325" t="s">
        <v>57</v>
      </c>
      <c r="N325" s="1">
        <v>46094</v>
      </c>
      <c r="P325" s="1">
        <v>46216</v>
      </c>
      <c r="Q325" s="2">
        <v>36.76</v>
      </c>
      <c r="R325" t="s">
        <v>58</v>
      </c>
      <c r="S325" s="3">
        <v>0.7</v>
      </c>
      <c r="T325" t="s">
        <v>60</v>
      </c>
      <c r="U325" t="s">
        <v>239</v>
      </c>
      <c r="V325" s="2">
        <v>25.73</v>
      </c>
      <c r="W325" s="2">
        <v>0</v>
      </c>
      <c r="X325" s="2">
        <v>0</v>
      </c>
      <c r="Y325" t="s">
        <v>238</v>
      </c>
      <c r="Z325" t="s">
        <v>1062</v>
      </c>
    </row>
    <row r="326" spans="1:26" x14ac:dyDescent="0.25">
      <c r="A326">
        <v>2033170438</v>
      </c>
      <c r="B326" t="s">
        <v>994</v>
      </c>
      <c r="C326" t="s">
        <v>995</v>
      </c>
      <c r="D326" t="str">
        <f>CONCATENATE(C326," ",B326)</f>
        <v>LAURALEA KEAYS</v>
      </c>
      <c r="E326" t="s">
        <v>95</v>
      </c>
      <c r="F326" t="s">
        <v>182</v>
      </c>
      <c r="G326" t="s">
        <v>183</v>
      </c>
      <c r="H326" t="s">
        <v>183</v>
      </c>
      <c r="I326" s="11">
        <v>17516272</v>
      </c>
      <c r="J326" t="s">
        <v>921</v>
      </c>
      <c r="K326" t="s">
        <v>922</v>
      </c>
      <c r="L326" t="str">
        <f>CONCATENATE(K326," ",J326)</f>
        <v>Kenneth Weitzman</v>
      </c>
      <c r="M326" t="s">
        <v>57</v>
      </c>
      <c r="N326" s="1">
        <v>46039</v>
      </c>
      <c r="P326" s="1">
        <v>46220</v>
      </c>
      <c r="Q326" s="2">
        <v>33.979999999999997</v>
      </c>
      <c r="R326" t="s">
        <v>58</v>
      </c>
      <c r="S326" s="3">
        <v>0.7</v>
      </c>
      <c r="T326" t="s">
        <v>60</v>
      </c>
      <c r="U326" t="s">
        <v>239</v>
      </c>
      <c r="V326" s="2">
        <v>23.79</v>
      </c>
      <c r="W326" s="2">
        <v>0</v>
      </c>
      <c r="X326" s="2">
        <v>0</v>
      </c>
      <c r="Y326" t="s">
        <v>238</v>
      </c>
      <c r="Z326" t="s">
        <v>1062</v>
      </c>
    </row>
    <row r="327" spans="1:26" x14ac:dyDescent="0.25">
      <c r="A327">
        <v>2034304901</v>
      </c>
      <c r="B327" t="s">
        <v>674</v>
      </c>
      <c r="C327" t="s">
        <v>256</v>
      </c>
      <c r="D327" t="str">
        <f>CONCATENATE(C327," ",B327)</f>
        <v>MATTHEW ABEL</v>
      </c>
      <c r="E327" t="s">
        <v>292</v>
      </c>
      <c r="F327" t="s">
        <v>182</v>
      </c>
      <c r="G327" t="s">
        <v>183</v>
      </c>
      <c r="H327" t="s">
        <v>183</v>
      </c>
      <c r="I327" s="11">
        <v>3333476</v>
      </c>
      <c r="J327" t="s">
        <v>531</v>
      </c>
      <c r="K327" t="s">
        <v>532</v>
      </c>
      <c r="L327" t="str">
        <f>CONCATENATE(K327," ",J327)</f>
        <v>Colleen Jerger</v>
      </c>
      <c r="M327" t="s">
        <v>57</v>
      </c>
      <c r="N327" s="1">
        <v>46094</v>
      </c>
      <c r="P327" s="1">
        <v>46216</v>
      </c>
      <c r="Q327" s="2">
        <v>32.200000000000003</v>
      </c>
      <c r="R327" t="s">
        <v>58</v>
      </c>
      <c r="S327" s="3">
        <v>0.7</v>
      </c>
      <c r="T327" t="s">
        <v>60</v>
      </c>
      <c r="U327" t="s">
        <v>239</v>
      </c>
      <c r="V327" s="2">
        <v>22.54</v>
      </c>
      <c r="W327" s="2">
        <v>0</v>
      </c>
      <c r="X327" s="2">
        <v>0</v>
      </c>
      <c r="Y327" t="s">
        <v>238</v>
      </c>
      <c r="Z327" t="s">
        <v>1062</v>
      </c>
    </row>
    <row r="328" spans="1:26" x14ac:dyDescent="0.25">
      <c r="A328">
        <v>2034740923</v>
      </c>
      <c r="B328" t="s">
        <v>697</v>
      </c>
      <c r="C328" t="s">
        <v>698</v>
      </c>
      <c r="D328" t="str">
        <f>CONCATENATE(C328," ",B328)</f>
        <v>DREW LINDLE</v>
      </c>
      <c r="E328" t="s">
        <v>342</v>
      </c>
      <c r="F328" t="s">
        <v>182</v>
      </c>
      <c r="G328" t="s">
        <v>183</v>
      </c>
      <c r="H328" t="s">
        <v>183</v>
      </c>
      <c r="I328" s="11" t="s">
        <v>1020</v>
      </c>
      <c r="J328" t="s">
        <v>312</v>
      </c>
      <c r="K328" t="s">
        <v>313</v>
      </c>
      <c r="L328" t="str">
        <f>CONCATENATE(K328," ",J328)</f>
        <v>Heather Geske</v>
      </c>
      <c r="M328" t="s">
        <v>57</v>
      </c>
      <c r="N328" s="1">
        <v>46127</v>
      </c>
      <c r="P328" s="1">
        <v>46218</v>
      </c>
      <c r="Q328" s="2">
        <v>31.28</v>
      </c>
      <c r="R328" t="s">
        <v>58</v>
      </c>
      <c r="S328" s="3">
        <v>0.7</v>
      </c>
      <c r="T328" t="s">
        <v>60</v>
      </c>
      <c r="U328" t="s">
        <v>239</v>
      </c>
      <c r="V328" s="2">
        <v>21.9</v>
      </c>
      <c r="W328" s="2">
        <v>0</v>
      </c>
      <c r="X328" s="2">
        <v>0</v>
      </c>
      <c r="Y328" t="s">
        <v>238</v>
      </c>
      <c r="Z328" t="s">
        <v>1063</v>
      </c>
    </row>
    <row r="329" spans="1:26" x14ac:dyDescent="0.25">
      <c r="A329">
        <v>2033144396</v>
      </c>
      <c r="B329" t="s">
        <v>631</v>
      </c>
      <c r="C329" t="s">
        <v>632</v>
      </c>
      <c r="D329" t="str">
        <f>CONCATENATE(C329," ",B329)</f>
        <v>JORDIS LUNDGREN</v>
      </c>
      <c r="E329" t="s">
        <v>100</v>
      </c>
      <c r="F329" t="s">
        <v>182</v>
      </c>
      <c r="G329" t="s">
        <v>183</v>
      </c>
      <c r="H329" t="s">
        <v>183</v>
      </c>
      <c r="I329" s="11">
        <v>8307933</v>
      </c>
      <c r="J329" t="s">
        <v>79</v>
      </c>
      <c r="K329" t="s">
        <v>80</v>
      </c>
      <c r="L329" t="str">
        <f>CONCATENATE(K329," ",J329)</f>
        <v>GREGORY TEIPEL</v>
      </c>
      <c r="M329" t="s">
        <v>57</v>
      </c>
      <c r="N329" s="1">
        <v>46059</v>
      </c>
      <c r="P329" s="1">
        <v>46209</v>
      </c>
      <c r="Q329" s="2">
        <v>31.28</v>
      </c>
      <c r="R329" t="s">
        <v>58</v>
      </c>
      <c r="S329" s="3">
        <v>0.7</v>
      </c>
      <c r="T329" t="s">
        <v>60</v>
      </c>
      <c r="U329" t="s">
        <v>239</v>
      </c>
      <c r="V329" s="2">
        <v>21.9</v>
      </c>
      <c r="W329" s="2">
        <v>0</v>
      </c>
      <c r="X329" s="2">
        <v>0</v>
      </c>
      <c r="Y329" t="s">
        <v>238</v>
      </c>
      <c r="Z329" t="s">
        <v>1062</v>
      </c>
    </row>
    <row r="330" spans="1:26" x14ac:dyDescent="0.25">
      <c r="A330">
        <v>2035462809</v>
      </c>
      <c r="B330" t="s">
        <v>538</v>
      </c>
      <c r="C330" t="s">
        <v>746</v>
      </c>
      <c r="D330" t="str">
        <f>CONCATENATE(C330," ",B330)</f>
        <v>CRAIG BROWN</v>
      </c>
      <c r="E330" t="s">
        <v>696</v>
      </c>
      <c r="F330" t="s">
        <v>182</v>
      </c>
      <c r="G330" t="s">
        <v>183</v>
      </c>
      <c r="H330" t="s">
        <v>183</v>
      </c>
      <c r="I330" s="11" t="s">
        <v>1004</v>
      </c>
      <c r="J330" t="s">
        <v>728</v>
      </c>
      <c r="K330" t="s">
        <v>729</v>
      </c>
      <c r="L330" t="str">
        <f>CONCATENATE(K330," ",J330)</f>
        <v>Alexander Kim</v>
      </c>
      <c r="M330" t="s">
        <v>57</v>
      </c>
      <c r="N330" s="1">
        <v>46156</v>
      </c>
      <c r="P330" s="1">
        <v>46217</v>
      </c>
      <c r="Q330" s="2">
        <v>30.88</v>
      </c>
      <c r="R330" t="s">
        <v>58</v>
      </c>
      <c r="S330" s="3">
        <v>0.7</v>
      </c>
      <c r="T330" t="s">
        <v>60</v>
      </c>
      <c r="U330" t="s">
        <v>239</v>
      </c>
      <c r="V330" s="2">
        <v>21.62</v>
      </c>
      <c r="W330" s="2">
        <v>0</v>
      </c>
      <c r="X330" s="2">
        <v>0</v>
      </c>
      <c r="Y330" t="s">
        <v>238</v>
      </c>
      <c r="Z330" t="s">
        <v>1063</v>
      </c>
    </row>
    <row r="331" spans="1:26" x14ac:dyDescent="0.25">
      <c r="A331">
        <v>2034256766</v>
      </c>
      <c r="B331" t="s">
        <v>232</v>
      </c>
      <c r="C331" t="s">
        <v>666</v>
      </c>
      <c r="D331" t="str">
        <f>CONCATENATE(C331," ",B331)</f>
        <v>KRISTEN JOHNSON</v>
      </c>
      <c r="E331" t="s">
        <v>523</v>
      </c>
      <c r="F331" t="s">
        <v>182</v>
      </c>
      <c r="G331" t="s">
        <v>183</v>
      </c>
      <c r="H331" t="s">
        <v>183</v>
      </c>
      <c r="I331" s="11">
        <v>8307933</v>
      </c>
      <c r="J331" t="s">
        <v>79</v>
      </c>
      <c r="K331" t="s">
        <v>80</v>
      </c>
      <c r="L331" t="str">
        <f>CONCATENATE(K331," ",J331)</f>
        <v>GREGORY TEIPEL</v>
      </c>
      <c r="M331" t="s">
        <v>57</v>
      </c>
      <c r="N331" s="1">
        <v>46096</v>
      </c>
      <c r="P331" s="1">
        <v>46218</v>
      </c>
      <c r="Q331" s="2">
        <v>30.68</v>
      </c>
      <c r="R331" t="s">
        <v>58</v>
      </c>
      <c r="S331" s="3">
        <v>0.7</v>
      </c>
      <c r="T331" t="s">
        <v>60</v>
      </c>
      <c r="U331" t="s">
        <v>239</v>
      </c>
      <c r="V331" s="2">
        <v>21.48</v>
      </c>
      <c r="W331" s="2">
        <v>0</v>
      </c>
      <c r="X331" s="2">
        <v>0</v>
      </c>
      <c r="Y331" t="s">
        <v>238</v>
      </c>
      <c r="Z331" t="s">
        <v>1062</v>
      </c>
    </row>
    <row r="332" spans="1:26" x14ac:dyDescent="0.25">
      <c r="A332">
        <v>2034959529</v>
      </c>
      <c r="B332" t="s">
        <v>711</v>
      </c>
      <c r="C332" t="s">
        <v>712</v>
      </c>
      <c r="D332" t="str">
        <f>CONCATENATE(C332," ",B332)</f>
        <v>NICK ADAMS</v>
      </c>
      <c r="E332" t="s">
        <v>95</v>
      </c>
      <c r="F332" t="s">
        <v>182</v>
      </c>
      <c r="G332" t="s">
        <v>183</v>
      </c>
      <c r="H332" t="s">
        <v>183</v>
      </c>
      <c r="I332" s="11" t="s">
        <v>1037</v>
      </c>
      <c r="J332" t="s">
        <v>514</v>
      </c>
      <c r="K332" t="s">
        <v>515</v>
      </c>
      <c r="L332" t="str">
        <f>CONCATENATE(K332," ",J332)</f>
        <v>Ines Berg</v>
      </c>
      <c r="M332" t="s">
        <v>57</v>
      </c>
      <c r="N332" s="1">
        <v>46129</v>
      </c>
      <c r="P332" s="1">
        <v>46220</v>
      </c>
      <c r="Q332" s="2">
        <v>29.58</v>
      </c>
      <c r="R332" t="s">
        <v>58</v>
      </c>
      <c r="S332" s="3">
        <v>0.7</v>
      </c>
      <c r="T332" t="s">
        <v>60</v>
      </c>
      <c r="U332" t="s">
        <v>239</v>
      </c>
      <c r="V332" s="2">
        <v>20.71</v>
      </c>
      <c r="W332" s="2">
        <v>0</v>
      </c>
      <c r="X332" s="2">
        <v>0</v>
      </c>
      <c r="Y332" t="s">
        <v>238</v>
      </c>
      <c r="Z332" t="s">
        <v>1063</v>
      </c>
    </row>
    <row r="333" spans="1:26" x14ac:dyDescent="0.25">
      <c r="A333">
        <v>2034375764</v>
      </c>
      <c r="B333" t="s">
        <v>682</v>
      </c>
      <c r="C333" t="s">
        <v>335</v>
      </c>
      <c r="D333" t="str">
        <f>CONCATENATE(C333," ",B333)</f>
        <v>DAVID DYBEL</v>
      </c>
      <c r="E333" t="s">
        <v>77</v>
      </c>
      <c r="F333" t="s">
        <v>182</v>
      </c>
      <c r="G333" t="s">
        <v>183</v>
      </c>
      <c r="H333" t="s">
        <v>183</v>
      </c>
      <c r="I333" s="11">
        <v>8977234</v>
      </c>
      <c r="J333" t="s">
        <v>85</v>
      </c>
      <c r="K333" t="s">
        <v>86</v>
      </c>
      <c r="L333" t="str">
        <f>CONCATENATE(K333," ",J333)</f>
        <v>RYAN CALTAGIRONE</v>
      </c>
      <c r="M333" t="s">
        <v>57</v>
      </c>
      <c r="N333" s="1">
        <v>46098</v>
      </c>
      <c r="P333" s="1">
        <v>46220</v>
      </c>
      <c r="Q333" s="2">
        <v>24.78</v>
      </c>
      <c r="R333" t="s">
        <v>58</v>
      </c>
      <c r="S333" s="3">
        <v>0.7</v>
      </c>
      <c r="T333" t="s">
        <v>60</v>
      </c>
      <c r="U333" t="s">
        <v>239</v>
      </c>
      <c r="V333" s="2">
        <v>17.350000000000001</v>
      </c>
      <c r="W333" s="2">
        <v>0</v>
      </c>
      <c r="X333" s="2">
        <v>0</v>
      </c>
      <c r="Y333" t="s">
        <v>238</v>
      </c>
      <c r="Z333" t="s">
        <v>1062</v>
      </c>
    </row>
    <row r="334" spans="1:26" x14ac:dyDescent="0.25">
      <c r="A334">
        <v>2034374842</v>
      </c>
      <c r="B334" t="s">
        <v>679</v>
      </c>
      <c r="C334" t="s">
        <v>680</v>
      </c>
      <c r="D334" t="str">
        <f>CONCATENATE(C334," ",B334)</f>
        <v>ELLIOTT KENNEDY</v>
      </c>
      <c r="E334" t="s">
        <v>681</v>
      </c>
      <c r="F334" t="s">
        <v>182</v>
      </c>
      <c r="G334" t="s">
        <v>183</v>
      </c>
      <c r="H334" t="s">
        <v>183</v>
      </c>
      <c r="I334" s="11">
        <v>8307933</v>
      </c>
      <c r="J334" t="s">
        <v>79</v>
      </c>
      <c r="K334" t="s">
        <v>80</v>
      </c>
      <c r="L334" t="str">
        <f>CONCATENATE(K334," ",J334)</f>
        <v>GREGORY TEIPEL</v>
      </c>
      <c r="M334" t="s">
        <v>57</v>
      </c>
      <c r="N334" s="1">
        <v>46099</v>
      </c>
      <c r="P334" s="1">
        <v>46221</v>
      </c>
      <c r="Q334" s="2">
        <v>23.09</v>
      </c>
      <c r="R334" t="s">
        <v>58</v>
      </c>
      <c r="S334" s="3">
        <v>0.7</v>
      </c>
      <c r="T334" t="s">
        <v>60</v>
      </c>
      <c r="U334" t="s">
        <v>239</v>
      </c>
      <c r="V334" s="2">
        <v>16.16</v>
      </c>
      <c r="W334" s="2">
        <v>0</v>
      </c>
      <c r="X334" s="2">
        <v>0</v>
      </c>
      <c r="Y334" t="s">
        <v>238</v>
      </c>
      <c r="Z334" t="s">
        <v>1062</v>
      </c>
    </row>
    <row r="335" spans="1:26" x14ac:dyDescent="0.25">
      <c r="A335">
        <v>2033682254</v>
      </c>
      <c r="B335" t="s">
        <v>653</v>
      </c>
      <c r="C335" t="s">
        <v>654</v>
      </c>
      <c r="D335" t="str">
        <f>CONCATENATE(C335," ",B335)</f>
        <v>DINA SHALABY</v>
      </c>
      <c r="E335" t="s">
        <v>95</v>
      </c>
      <c r="F335" t="s">
        <v>182</v>
      </c>
      <c r="G335" t="s">
        <v>183</v>
      </c>
      <c r="H335" t="s">
        <v>183</v>
      </c>
      <c r="I335" s="11" t="s">
        <v>1046</v>
      </c>
      <c r="J335" t="s">
        <v>655</v>
      </c>
      <c r="K335" t="s">
        <v>656</v>
      </c>
      <c r="L335" t="str">
        <f>CONCATENATE(K335," ",J335)</f>
        <v>Wendy Sorrentino</v>
      </c>
      <c r="M335" t="s">
        <v>57</v>
      </c>
      <c r="N335" s="1">
        <v>46070</v>
      </c>
      <c r="P335" s="1">
        <v>46220</v>
      </c>
      <c r="Q335" s="2">
        <v>22.83</v>
      </c>
      <c r="R335" t="s">
        <v>58</v>
      </c>
      <c r="S335" s="3">
        <v>0.7</v>
      </c>
      <c r="T335" t="s">
        <v>60</v>
      </c>
      <c r="U335" t="s">
        <v>239</v>
      </c>
      <c r="V335" s="2">
        <v>15.98</v>
      </c>
      <c r="W335" s="2">
        <v>0</v>
      </c>
      <c r="X335" s="2">
        <v>0</v>
      </c>
      <c r="Y335" t="s">
        <v>238</v>
      </c>
      <c r="Z335" t="s">
        <v>1063</v>
      </c>
    </row>
    <row r="336" spans="1:26" x14ac:dyDescent="0.25">
      <c r="A336">
        <v>2033130829</v>
      </c>
      <c r="B336" t="s">
        <v>920</v>
      </c>
      <c r="C336" t="s">
        <v>513</v>
      </c>
      <c r="D336" t="str">
        <f>CONCATENATE(C336," ",B336)</f>
        <v>AMY PRADZIAD</v>
      </c>
      <c r="E336" t="s">
        <v>95</v>
      </c>
      <c r="F336" t="s">
        <v>182</v>
      </c>
      <c r="G336" t="s">
        <v>183</v>
      </c>
      <c r="H336" t="s">
        <v>183</v>
      </c>
      <c r="I336" s="11">
        <v>17516272</v>
      </c>
      <c r="J336" t="s">
        <v>921</v>
      </c>
      <c r="K336" t="s">
        <v>922</v>
      </c>
      <c r="L336" t="str">
        <f>CONCATENATE(K336," ",J336)</f>
        <v>Kenneth Weitzman</v>
      </c>
      <c r="M336" t="s">
        <v>57</v>
      </c>
      <c r="N336" s="1">
        <v>46037</v>
      </c>
      <c r="P336" s="1">
        <v>46218</v>
      </c>
      <c r="Q336" s="2">
        <v>22.72</v>
      </c>
      <c r="R336" t="s">
        <v>58</v>
      </c>
      <c r="S336" s="3">
        <v>0.7</v>
      </c>
      <c r="T336" t="s">
        <v>60</v>
      </c>
      <c r="U336" t="s">
        <v>239</v>
      </c>
      <c r="V336" s="2">
        <v>15.9</v>
      </c>
      <c r="W336" s="2">
        <v>0</v>
      </c>
      <c r="X336" s="2">
        <v>0</v>
      </c>
      <c r="Y336" t="s">
        <v>238</v>
      </c>
      <c r="Z336" t="s">
        <v>1062</v>
      </c>
    </row>
    <row r="337" spans="1:26" x14ac:dyDescent="0.25">
      <c r="A337">
        <v>2033172629</v>
      </c>
      <c r="B337" t="s">
        <v>856</v>
      </c>
      <c r="C337" t="s">
        <v>262</v>
      </c>
      <c r="D337" t="str">
        <f>CONCATENATE(C337," ",B337)</f>
        <v>TIMOTHY BIRCH</v>
      </c>
      <c r="E337" t="s">
        <v>292</v>
      </c>
      <c r="F337" t="s">
        <v>182</v>
      </c>
      <c r="G337" t="s">
        <v>183</v>
      </c>
      <c r="H337" t="s">
        <v>183</v>
      </c>
      <c r="I337" s="11" t="s">
        <v>1043</v>
      </c>
      <c r="J337" t="s">
        <v>137</v>
      </c>
      <c r="K337" t="s">
        <v>138</v>
      </c>
      <c r="L337" t="str">
        <f>CONCATENATE(K337," ",J337)</f>
        <v>Brittany Oliver</v>
      </c>
      <c r="M337" t="s">
        <v>57</v>
      </c>
      <c r="N337" s="1">
        <v>46038</v>
      </c>
      <c r="P337" s="1">
        <v>46219</v>
      </c>
      <c r="Q337" s="2">
        <v>22</v>
      </c>
      <c r="R337" t="s">
        <v>58</v>
      </c>
      <c r="S337" s="3">
        <v>0.7</v>
      </c>
      <c r="T337" t="s">
        <v>60</v>
      </c>
      <c r="U337" t="s">
        <v>239</v>
      </c>
      <c r="V337" s="2">
        <v>15.4</v>
      </c>
      <c r="W337" s="2">
        <v>0</v>
      </c>
      <c r="X337" s="2">
        <v>0</v>
      </c>
      <c r="Y337" t="s">
        <v>238</v>
      </c>
      <c r="Z337" t="s">
        <v>1064</v>
      </c>
    </row>
    <row r="338" spans="1:26" x14ac:dyDescent="0.25">
      <c r="A338">
        <v>2033174368</v>
      </c>
      <c r="B338" t="s">
        <v>818</v>
      </c>
      <c r="C338" t="s">
        <v>250</v>
      </c>
      <c r="D338" t="str">
        <f>CONCATENATE(C338," ",B338)</f>
        <v>CHARLES LEUBBERS</v>
      </c>
      <c r="E338" t="s">
        <v>681</v>
      </c>
      <c r="F338" t="s">
        <v>182</v>
      </c>
      <c r="G338" t="s">
        <v>183</v>
      </c>
      <c r="H338" t="s">
        <v>183</v>
      </c>
      <c r="I338" s="11" t="s">
        <v>1020</v>
      </c>
      <c r="J338" t="s">
        <v>312</v>
      </c>
      <c r="K338" t="s">
        <v>313</v>
      </c>
      <c r="L338" t="str">
        <f>CONCATENATE(K338," ",J338)</f>
        <v>Heather Geske</v>
      </c>
      <c r="M338" t="s">
        <v>57</v>
      </c>
      <c r="N338" s="1">
        <v>46038</v>
      </c>
      <c r="P338" s="1">
        <v>46219</v>
      </c>
      <c r="Q338" s="2">
        <v>20.21</v>
      </c>
      <c r="R338" t="s">
        <v>58</v>
      </c>
      <c r="S338" s="3">
        <v>0.7</v>
      </c>
      <c r="T338" t="s">
        <v>60</v>
      </c>
      <c r="U338" t="s">
        <v>239</v>
      </c>
      <c r="V338" s="2">
        <v>14.15</v>
      </c>
      <c r="W338" s="2">
        <v>0</v>
      </c>
      <c r="X338" s="2">
        <v>0</v>
      </c>
      <c r="Y338" t="s">
        <v>238</v>
      </c>
      <c r="Z338" t="s">
        <v>1064</v>
      </c>
    </row>
    <row r="339" spans="1:26" x14ac:dyDescent="0.25">
      <c r="A339">
        <v>2033176985</v>
      </c>
      <c r="B339" t="s">
        <v>819</v>
      </c>
      <c r="C339" t="s">
        <v>820</v>
      </c>
      <c r="D339" t="str">
        <f>CONCATENATE(C339," ",B339)</f>
        <v>TIRION TOMPKINS</v>
      </c>
      <c r="E339" t="s">
        <v>305</v>
      </c>
      <c r="F339" t="s">
        <v>182</v>
      </c>
      <c r="G339" t="s">
        <v>183</v>
      </c>
      <c r="H339" t="s">
        <v>183</v>
      </c>
      <c r="I339" s="11" t="s">
        <v>1020</v>
      </c>
      <c r="J339" t="s">
        <v>312</v>
      </c>
      <c r="K339" t="s">
        <v>313</v>
      </c>
      <c r="L339" t="str">
        <f>CONCATENATE(K339," ",J339)</f>
        <v>Heather Geske</v>
      </c>
      <c r="M339" t="s">
        <v>57</v>
      </c>
      <c r="N339" s="1">
        <v>46038</v>
      </c>
      <c r="P339" s="1">
        <v>46219</v>
      </c>
      <c r="Q339" s="2">
        <v>19.489999999999998</v>
      </c>
      <c r="R339" t="s">
        <v>58</v>
      </c>
      <c r="S339" s="3">
        <v>0.7</v>
      </c>
      <c r="T339" t="s">
        <v>60</v>
      </c>
      <c r="U339" t="s">
        <v>239</v>
      </c>
      <c r="V339" s="2">
        <v>13.64</v>
      </c>
      <c r="W339" s="2">
        <v>0</v>
      </c>
      <c r="X339" s="2">
        <v>0</v>
      </c>
      <c r="Y339" t="s">
        <v>238</v>
      </c>
      <c r="Z339" t="s">
        <v>1064</v>
      </c>
    </row>
    <row r="340" spans="1:26" x14ac:dyDescent="0.25">
      <c r="A340">
        <v>2035486372</v>
      </c>
      <c r="B340" t="s">
        <v>750</v>
      </c>
      <c r="C340" t="s">
        <v>751</v>
      </c>
      <c r="D340" t="str">
        <f>CONCATENATE(C340," ",B340)</f>
        <v>EMELYN WILLIAMS</v>
      </c>
      <c r="E340" t="s">
        <v>305</v>
      </c>
      <c r="F340" t="s">
        <v>182</v>
      </c>
      <c r="G340" t="s">
        <v>183</v>
      </c>
      <c r="H340" t="s">
        <v>183</v>
      </c>
      <c r="I340" s="11" t="s">
        <v>1036</v>
      </c>
      <c r="J340" t="s">
        <v>510</v>
      </c>
      <c r="K340" t="s">
        <v>511</v>
      </c>
      <c r="L340" t="str">
        <f>CONCATENATE(K340," ",J340)</f>
        <v>Joel Lee</v>
      </c>
      <c r="M340" t="s">
        <v>57</v>
      </c>
      <c r="N340" s="1">
        <v>46157</v>
      </c>
      <c r="P340" s="1">
        <v>46218</v>
      </c>
      <c r="Q340" s="2">
        <v>19.41</v>
      </c>
      <c r="R340" t="s">
        <v>58</v>
      </c>
      <c r="S340" s="3">
        <v>0.7</v>
      </c>
      <c r="T340" t="s">
        <v>60</v>
      </c>
      <c r="U340" t="s">
        <v>239</v>
      </c>
      <c r="V340" s="2">
        <v>13.59</v>
      </c>
      <c r="W340" s="2">
        <v>0</v>
      </c>
      <c r="X340" s="2">
        <v>0</v>
      </c>
      <c r="Y340" t="s">
        <v>238</v>
      </c>
      <c r="Z340" t="s">
        <v>1063</v>
      </c>
    </row>
    <row r="341" spans="1:26" x14ac:dyDescent="0.25">
      <c r="A341">
        <v>2034385369</v>
      </c>
      <c r="B341" t="s">
        <v>684</v>
      </c>
      <c r="C341" t="s">
        <v>685</v>
      </c>
      <c r="D341" t="str">
        <f>CONCATENATE(C341," ",B341)</f>
        <v>AXEL CASTELLANOS</v>
      </c>
      <c r="E341" t="s">
        <v>119</v>
      </c>
      <c r="F341" t="s">
        <v>182</v>
      </c>
      <c r="G341" t="s">
        <v>183</v>
      </c>
      <c r="H341" t="s">
        <v>183</v>
      </c>
      <c r="I341" s="11" t="s">
        <v>1038</v>
      </c>
      <c r="J341" t="s">
        <v>521</v>
      </c>
      <c r="K341" t="s">
        <v>370</v>
      </c>
      <c r="L341" t="str">
        <f>CONCATENATE(K341," ",J341)</f>
        <v>JOSE TORRES</v>
      </c>
      <c r="M341" t="s">
        <v>57</v>
      </c>
      <c r="N341" s="1">
        <v>46098</v>
      </c>
      <c r="P341" s="1">
        <v>46220</v>
      </c>
      <c r="Q341" s="2">
        <v>19</v>
      </c>
      <c r="R341" t="s">
        <v>58</v>
      </c>
      <c r="S341" s="3">
        <v>0.7</v>
      </c>
      <c r="T341" t="s">
        <v>60</v>
      </c>
      <c r="U341" t="s">
        <v>239</v>
      </c>
      <c r="V341" s="2">
        <v>13.3</v>
      </c>
      <c r="W341" s="2">
        <v>0</v>
      </c>
      <c r="X341" s="2">
        <v>0</v>
      </c>
      <c r="Y341" t="s">
        <v>238</v>
      </c>
      <c r="Z341" t="s">
        <v>1063</v>
      </c>
    </row>
    <row r="342" spans="1:26" x14ac:dyDescent="0.25">
      <c r="A342">
        <v>2033084715</v>
      </c>
      <c r="B342" t="s">
        <v>914</v>
      </c>
      <c r="C342" t="s">
        <v>915</v>
      </c>
      <c r="D342" t="str">
        <f>CONCATENATE(C342," ",B342)</f>
        <v>APRIL KESTLER</v>
      </c>
      <c r="E342" t="s">
        <v>119</v>
      </c>
      <c r="F342" t="s">
        <v>182</v>
      </c>
      <c r="G342" t="s">
        <v>183</v>
      </c>
      <c r="H342" t="s">
        <v>183</v>
      </c>
      <c r="I342" s="11">
        <v>21607778</v>
      </c>
      <c r="J342" t="s">
        <v>916</v>
      </c>
      <c r="K342" t="s">
        <v>917</v>
      </c>
      <c r="L342" t="str">
        <f>CONCATENATE(K342," ",J342)</f>
        <v>Noah Dionesotes</v>
      </c>
      <c r="M342" t="s">
        <v>57</v>
      </c>
      <c r="N342" s="1">
        <v>46036</v>
      </c>
      <c r="P342" s="1">
        <v>46217</v>
      </c>
      <c r="Q342" s="2">
        <v>19</v>
      </c>
      <c r="R342" t="s">
        <v>58</v>
      </c>
      <c r="S342" s="3">
        <v>0.7</v>
      </c>
      <c r="T342" t="s">
        <v>60</v>
      </c>
      <c r="U342" t="s">
        <v>239</v>
      </c>
      <c r="V342" s="2">
        <v>13.3</v>
      </c>
      <c r="W342" s="2">
        <v>0</v>
      </c>
      <c r="X342" s="2">
        <v>0</v>
      </c>
      <c r="Y342" t="s">
        <v>238</v>
      </c>
      <c r="Z342" t="s">
        <v>1064</v>
      </c>
    </row>
    <row r="343" spans="1:26" x14ac:dyDescent="0.25">
      <c r="A343">
        <v>2034542882</v>
      </c>
      <c r="B343" t="s">
        <v>691</v>
      </c>
      <c r="C343" t="s">
        <v>692</v>
      </c>
      <c r="D343" t="str">
        <f>CONCATENATE(C343," ",B343)</f>
        <v>DAKOTA GAITHER</v>
      </c>
      <c r="E343" t="s">
        <v>245</v>
      </c>
      <c r="F343" t="s">
        <v>182</v>
      </c>
      <c r="G343" t="s">
        <v>183</v>
      </c>
      <c r="H343" t="s">
        <v>183</v>
      </c>
      <c r="I343" s="11">
        <v>1706194</v>
      </c>
      <c r="J343" t="s">
        <v>619</v>
      </c>
      <c r="K343" t="s">
        <v>256</v>
      </c>
      <c r="L343" t="str">
        <f>CONCATENATE(K343," ",J343)</f>
        <v>MATTHEW DAUGHERTY</v>
      </c>
      <c r="M343" t="s">
        <v>57</v>
      </c>
      <c r="N343" s="1">
        <v>46118</v>
      </c>
      <c r="P343" s="1">
        <v>46209</v>
      </c>
      <c r="Q343" s="2">
        <v>18.37</v>
      </c>
      <c r="R343" t="s">
        <v>58</v>
      </c>
      <c r="S343" s="3">
        <v>0.7</v>
      </c>
      <c r="T343" t="s">
        <v>60</v>
      </c>
      <c r="U343" t="s">
        <v>239</v>
      </c>
      <c r="V343" s="2">
        <v>12.86</v>
      </c>
      <c r="W343" s="2">
        <v>0</v>
      </c>
      <c r="X343" s="2">
        <v>0</v>
      </c>
      <c r="Y343" t="s">
        <v>238</v>
      </c>
      <c r="Z343" t="s">
        <v>1062</v>
      </c>
    </row>
    <row r="344" spans="1:26" x14ac:dyDescent="0.25">
      <c r="A344">
        <v>2034845877</v>
      </c>
      <c r="B344" t="s">
        <v>701</v>
      </c>
      <c r="C344" t="s">
        <v>287</v>
      </c>
      <c r="D344" t="str">
        <f>CONCATENATE(C344," ",B344)</f>
        <v>SUSAN MCGURKIN</v>
      </c>
      <c r="E344" t="s">
        <v>305</v>
      </c>
      <c r="F344" t="s">
        <v>182</v>
      </c>
      <c r="G344" t="s">
        <v>183</v>
      </c>
      <c r="H344" t="s">
        <v>183</v>
      </c>
      <c r="I344" s="11" t="s">
        <v>1020</v>
      </c>
      <c r="J344" t="s">
        <v>312</v>
      </c>
      <c r="K344" t="s">
        <v>313</v>
      </c>
      <c r="L344" t="str">
        <f>CONCATENATE(K344," ",J344)</f>
        <v>Heather Geske</v>
      </c>
      <c r="M344" t="s">
        <v>57</v>
      </c>
      <c r="N344" s="1">
        <v>46127</v>
      </c>
      <c r="P344" s="1">
        <v>46218</v>
      </c>
      <c r="Q344" s="2">
        <v>18.2</v>
      </c>
      <c r="R344" t="s">
        <v>58</v>
      </c>
      <c r="S344" s="3">
        <v>0.7</v>
      </c>
      <c r="T344" t="s">
        <v>60</v>
      </c>
      <c r="U344" t="s">
        <v>239</v>
      </c>
      <c r="V344" s="2">
        <v>12.74</v>
      </c>
      <c r="W344" s="2">
        <v>0</v>
      </c>
      <c r="X344" s="2">
        <v>0</v>
      </c>
      <c r="Y344" t="s">
        <v>238</v>
      </c>
      <c r="Z344" t="s">
        <v>1063</v>
      </c>
    </row>
    <row r="345" spans="1:26" x14ac:dyDescent="0.25">
      <c r="A345">
        <v>2035431362</v>
      </c>
      <c r="B345" t="s">
        <v>735</v>
      </c>
      <c r="C345" t="s">
        <v>736</v>
      </c>
      <c r="D345" t="str">
        <f>CONCATENATE(C345," ",B345)</f>
        <v>MEGAN BERNARD</v>
      </c>
      <c r="E345" t="s">
        <v>119</v>
      </c>
      <c r="F345" t="s">
        <v>182</v>
      </c>
      <c r="G345" t="s">
        <v>183</v>
      </c>
      <c r="H345" t="s">
        <v>183</v>
      </c>
      <c r="I345" s="11" t="s">
        <v>1017</v>
      </c>
      <c r="J345" t="s">
        <v>328</v>
      </c>
      <c r="K345" t="s">
        <v>329</v>
      </c>
      <c r="L345" t="str">
        <f>CONCATENATE(K345," ",J345)</f>
        <v>CHRISTIAN TAUGNER</v>
      </c>
      <c r="M345" t="s">
        <v>57</v>
      </c>
      <c r="N345" s="1">
        <v>46155</v>
      </c>
      <c r="P345" s="1">
        <v>46216</v>
      </c>
      <c r="Q345" s="2">
        <v>15.75</v>
      </c>
      <c r="R345" t="s">
        <v>58</v>
      </c>
      <c r="S345" s="3">
        <v>0.7</v>
      </c>
      <c r="T345" t="s">
        <v>60</v>
      </c>
      <c r="U345" t="s">
        <v>239</v>
      </c>
      <c r="V345" s="2">
        <v>11.02</v>
      </c>
      <c r="W345" s="2">
        <v>0</v>
      </c>
      <c r="X345" s="2">
        <v>0</v>
      </c>
      <c r="Y345" t="s">
        <v>238</v>
      </c>
      <c r="Z345" t="s">
        <v>1063</v>
      </c>
    </row>
    <row r="346" spans="1:26" x14ac:dyDescent="0.25">
      <c r="A346">
        <v>2035401322</v>
      </c>
      <c r="B346" t="s">
        <v>726</v>
      </c>
      <c r="C346" t="s">
        <v>727</v>
      </c>
      <c r="D346" t="str">
        <f>CONCATENATE(C346," ",B346)</f>
        <v>EDWIN HARVEY</v>
      </c>
      <c r="E346" t="s">
        <v>696</v>
      </c>
      <c r="F346" t="s">
        <v>182</v>
      </c>
      <c r="G346" t="s">
        <v>183</v>
      </c>
      <c r="H346" t="s">
        <v>183</v>
      </c>
      <c r="I346" s="11" t="s">
        <v>1004</v>
      </c>
      <c r="J346" t="s">
        <v>728</v>
      </c>
      <c r="K346" t="s">
        <v>729</v>
      </c>
      <c r="L346" t="str">
        <f>CONCATENATE(K346," ",J346)</f>
        <v>Alexander Kim</v>
      </c>
      <c r="M346" t="s">
        <v>57</v>
      </c>
      <c r="N346" s="1">
        <v>46158</v>
      </c>
      <c r="P346" s="1">
        <v>46219</v>
      </c>
      <c r="Q346" s="2">
        <v>15.29</v>
      </c>
      <c r="R346" t="s">
        <v>58</v>
      </c>
      <c r="S346" s="3">
        <v>0.7</v>
      </c>
      <c r="T346" t="s">
        <v>60</v>
      </c>
      <c r="U346" t="s">
        <v>239</v>
      </c>
      <c r="V346" s="2">
        <v>10.7</v>
      </c>
      <c r="W346" s="2">
        <v>0</v>
      </c>
      <c r="X346" s="2">
        <v>0</v>
      </c>
      <c r="Y346" t="s">
        <v>238</v>
      </c>
      <c r="Z346" t="s">
        <v>1063</v>
      </c>
    </row>
    <row r="347" spans="1:26" x14ac:dyDescent="0.25">
      <c r="A347">
        <v>2033621991</v>
      </c>
      <c r="B347" t="s">
        <v>187</v>
      </c>
      <c r="C347" t="s">
        <v>650</v>
      </c>
      <c r="D347" t="str">
        <f>CONCATENATE(C347," ",B347)</f>
        <v>SAVANNAH BERRY</v>
      </c>
      <c r="E347" t="s">
        <v>209</v>
      </c>
      <c r="F347" t="s">
        <v>182</v>
      </c>
      <c r="G347" t="s">
        <v>183</v>
      </c>
      <c r="H347" t="s">
        <v>183</v>
      </c>
      <c r="I347" s="11" t="s">
        <v>1045</v>
      </c>
      <c r="J347" t="s">
        <v>651</v>
      </c>
      <c r="K347" t="s">
        <v>652</v>
      </c>
      <c r="L347" t="str">
        <f>CONCATENATE(K347," ",J347)</f>
        <v>Danna Green</v>
      </c>
      <c r="M347" t="s">
        <v>57</v>
      </c>
      <c r="N347" s="1">
        <v>46066</v>
      </c>
      <c r="P347" s="1">
        <v>46216</v>
      </c>
      <c r="Q347" s="2">
        <v>15.18</v>
      </c>
      <c r="R347" t="s">
        <v>58</v>
      </c>
      <c r="S347" s="3">
        <v>0.7</v>
      </c>
      <c r="T347" t="s">
        <v>60</v>
      </c>
      <c r="U347" t="s">
        <v>239</v>
      </c>
      <c r="V347" s="2">
        <v>10.63</v>
      </c>
      <c r="W347" s="2">
        <v>0</v>
      </c>
      <c r="X347" s="2">
        <v>0</v>
      </c>
      <c r="Y347" t="s">
        <v>238</v>
      </c>
      <c r="Z347" t="s">
        <v>1063</v>
      </c>
    </row>
    <row r="348" spans="1:26" x14ac:dyDescent="0.25">
      <c r="A348">
        <v>2033057488</v>
      </c>
      <c r="B348" t="s">
        <v>913</v>
      </c>
      <c r="C348" t="s">
        <v>609</v>
      </c>
      <c r="D348" t="str">
        <f>CONCATENATE(C348," ",B348)</f>
        <v>TAYLOR MONBRUM</v>
      </c>
      <c r="E348" t="s">
        <v>119</v>
      </c>
      <c r="F348" t="s">
        <v>182</v>
      </c>
      <c r="G348" t="s">
        <v>183</v>
      </c>
      <c r="H348" t="s">
        <v>183</v>
      </c>
      <c r="I348" s="11" t="s">
        <v>1028</v>
      </c>
      <c r="J348" t="s">
        <v>406</v>
      </c>
      <c r="K348" t="s">
        <v>407</v>
      </c>
      <c r="L348" t="str">
        <f>CONCATENATE(K348," ",J348)</f>
        <v>BARRY BRENNER</v>
      </c>
      <c r="M348" t="s">
        <v>57</v>
      </c>
      <c r="N348" s="1">
        <v>46037</v>
      </c>
      <c r="P348" s="1">
        <v>46218</v>
      </c>
      <c r="Q348" s="2">
        <v>11.5</v>
      </c>
      <c r="R348" t="s">
        <v>58</v>
      </c>
      <c r="S348" s="3">
        <v>0.7</v>
      </c>
      <c r="T348" t="s">
        <v>60</v>
      </c>
      <c r="U348" t="s">
        <v>239</v>
      </c>
      <c r="V348" s="2">
        <v>8.0500000000000007</v>
      </c>
      <c r="W348" s="2">
        <v>0</v>
      </c>
      <c r="X348" s="2">
        <v>0</v>
      </c>
      <c r="Y348" t="s">
        <v>238</v>
      </c>
      <c r="Z348" t="s">
        <v>1062</v>
      </c>
    </row>
    <row r="349" spans="1:26" x14ac:dyDescent="0.25">
      <c r="A349">
        <v>2035537660</v>
      </c>
      <c r="B349" t="s">
        <v>754</v>
      </c>
      <c r="C349" t="s">
        <v>755</v>
      </c>
      <c r="D349" t="str">
        <f>CONCATENATE(C349," ",B349)</f>
        <v>BELINDA WILSON</v>
      </c>
      <c r="E349" t="s">
        <v>165</v>
      </c>
      <c r="F349" t="s">
        <v>182</v>
      </c>
      <c r="G349" t="s">
        <v>183</v>
      </c>
      <c r="H349" t="s">
        <v>183</v>
      </c>
      <c r="I349" s="11" t="s">
        <v>1004</v>
      </c>
      <c r="J349" t="s">
        <v>728</v>
      </c>
      <c r="K349" t="s">
        <v>729</v>
      </c>
      <c r="L349" t="str">
        <f>CONCATENATE(K349," ",J349)</f>
        <v>Alexander Kim</v>
      </c>
      <c r="M349" t="s">
        <v>57</v>
      </c>
      <c r="N349" s="1">
        <v>46161</v>
      </c>
      <c r="P349" s="1">
        <v>46222</v>
      </c>
      <c r="Q349" s="2">
        <v>10.82</v>
      </c>
      <c r="R349" t="s">
        <v>58</v>
      </c>
      <c r="S349" s="3">
        <v>0.7</v>
      </c>
      <c r="T349" t="s">
        <v>60</v>
      </c>
      <c r="U349" t="s">
        <v>239</v>
      </c>
      <c r="V349" s="2">
        <v>7.57</v>
      </c>
      <c r="W349" s="2">
        <v>0</v>
      </c>
      <c r="X349" s="2">
        <v>0</v>
      </c>
      <c r="Y349" t="s">
        <v>238</v>
      </c>
      <c r="Z349" t="s">
        <v>1063</v>
      </c>
    </row>
    <row r="350" spans="1:26" x14ac:dyDescent="0.25">
      <c r="A350">
        <v>2034234841</v>
      </c>
      <c r="B350" t="s">
        <v>665</v>
      </c>
      <c r="C350" t="s">
        <v>287</v>
      </c>
      <c r="D350" t="str">
        <f>CONCATENATE(C350," ",B350)</f>
        <v>SUSAN MURLEY</v>
      </c>
      <c r="E350" t="s">
        <v>305</v>
      </c>
      <c r="F350" t="s">
        <v>182</v>
      </c>
      <c r="G350" t="s">
        <v>183</v>
      </c>
      <c r="H350" t="s">
        <v>183</v>
      </c>
      <c r="I350" s="11" t="s">
        <v>1020</v>
      </c>
      <c r="J350" t="s">
        <v>312</v>
      </c>
      <c r="K350" t="s">
        <v>313</v>
      </c>
      <c r="L350" t="str">
        <f>CONCATENATE(K350," ",J350)</f>
        <v>Heather Geske</v>
      </c>
      <c r="M350" t="s">
        <v>57</v>
      </c>
      <c r="N350" s="1">
        <v>46096</v>
      </c>
      <c r="P350" s="1">
        <v>46218</v>
      </c>
      <c r="Q350" s="2">
        <v>9.6999999999999993</v>
      </c>
      <c r="R350" t="s">
        <v>58</v>
      </c>
      <c r="S350" s="3">
        <v>0.7</v>
      </c>
      <c r="T350" t="s">
        <v>60</v>
      </c>
      <c r="U350" t="s">
        <v>239</v>
      </c>
      <c r="V350" s="2">
        <v>6.79</v>
      </c>
      <c r="W350" s="2">
        <v>0</v>
      </c>
      <c r="X350" s="2">
        <v>0</v>
      </c>
      <c r="Y350" t="s">
        <v>238</v>
      </c>
      <c r="Z350" t="s">
        <v>1063</v>
      </c>
    </row>
    <row r="351" spans="1:26" x14ac:dyDescent="0.25">
      <c r="A351">
        <v>2034260110</v>
      </c>
      <c r="B351" t="s">
        <v>667</v>
      </c>
      <c r="C351" t="s">
        <v>668</v>
      </c>
      <c r="D351" t="str">
        <f>CONCATENATE(C351," ",B351)</f>
        <v>TYLER DOBELBOWER</v>
      </c>
      <c r="E351" t="s">
        <v>305</v>
      </c>
      <c r="F351" t="s">
        <v>182</v>
      </c>
      <c r="G351" t="s">
        <v>183</v>
      </c>
      <c r="H351" t="s">
        <v>183</v>
      </c>
      <c r="I351" s="11" t="s">
        <v>1036</v>
      </c>
      <c r="J351" t="s">
        <v>510</v>
      </c>
      <c r="K351" t="s">
        <v>511</v>
      </c>
      <c r="L351" t="str">
        <f>CONCATENATE(K351," ",J351)</f>
        <v>Joel Lee</v>
      </c>
      <c r="M351" t="s">
        <v>57</v>
      </c>
      <c r="N351" s="1">
        <v>46096</v>
      </c>
      <c r="P351" s="1">
        <v>46218</v>
      </c>
      <c r="Q351" s="2">
        <v>9.6999999999999993</v>
      </c>
      <c r="R351" t="s">
        <v>58</v>
      </c>
      <c r="S351" s="3">
        <v>0.7</v>
      </c>
      <c r="T351" t="s">
        <v>60</v>
      </c>
      <c r="U351" t="s">
        <v>239</v>
      </c>
      <c r="V351" s="2">
        <v>6.79</v>
      </c>
      <c r="W351" s="2">
        <v>0</v>
      </c>
      <c r="X351" s="2">
        <v>0</v>
      </c>
      <c r="Y351" t="s">
        <v>238</v>
      </c>
      <c r="Z351" t="s">
        <v>1063</v>
      </c>
    </row>
    <row r="352" spans="1:26" x14ac:dyDescent="0.25">
      <c r="A352">
        <v>2035464772</v>
      </c>
      <c r="B352" t="s">
        <v>747</v>
      </c>
      <c r="C352" t="s">
        <v>110</v>
      </c>
      <c r="D352" t="str">
        <f>CONCATENATE(C352," ",B352)</f>
        <v>WALTER BLANKENSHIP</v>
      </c>
      <c r="E352" t="s">
        <v>305</v>
      </c>
      <c r="F352" t="s">
        <v>182</v>
      </c>
      <c r="G352" t="s">
        <v>183</v>
      </c>
      <c r="H352" t="s">
        <v>183</v>
      </c>
      <c r="I352" s="11" t="s">
        <v>1040</v>
      </c>
      <c r="J352" t="s">
        <v>306</v>
      </c>
      <c r="K352" t="s">
        <v>307</v>
      </c>
      <c r="L352" t="str">
        <f>CONCATENATE(K352," ",J352)</f>
        <v>WILLIAM GESKE</v>
      </c>
      <c r="M352" t="s">
        <v>57</v>
      </c>
      <c r="N352" s="1">
        <v>46156</v>
      </c>
      <c r="P352" s="1">
        <v>46217</v>
      </c>
      <c r="Q352" s="2">
        <v>9.6999999999999993</v>
      </c>
      <c r="R352" t="s">
        <v>58</v>
      </c>
      <c r="S352" s="3">
        <v>0.7</v>
      </c>
      <c r="T352" t="s">
        <v>60</v>
      </c>
      <c r="U352" t="s">
        <v>239</v>
      </c>
      <c r="V352" s="2">
        <v>6.79</v>
      </c>
      <c r="W352" s="2">
        <v>0</v>
      </c>
      <c r="X352" s="2">
        <v>0</v>
      </c>
      <c r="Y352" t="s">
        <v>238</v>
      </c>
      <c r="Z352" t="s">
        <v>1063</v>
      </c>
    </row>
    <row r="353" spans="1:26" x14ac:dyDescent="0.25">
      <c r="A353">
        <v>2033684745</v>
      </c>
      <c r="B353" t="s">
        <v>657</v>
      </c>
      <c r="C353" t="s">
        <v>446</v>
      </c>
      <c r="D353" t="str">
        <f>CONCATENATE(C353," ",B353)</f>
        <v>DANIEL OLAGUE</v>
      </c>
      <c r="E353" t="s">
        <v>305</v>
      </c>
      <c r="F353" t="s">
        <v>182</v>
      </c>
      <c r="G353" t="s">
        <v>183</v>
      </c>
      <c r="H353" t="s">
        <v>183</v>
      </c>
      <c r="I353" s="11" t="s">
        <v>1020</v>
      </c>
      <c r="J353" t="s">
        <v>312</v>
      </c>
      <c r="K353" t="s">
        <v>313</v>
      </c>
      <c r="L353" t="str">
        <f>CONCATENATE(K353," ",J353)</f>
        <v>Heather Geske</v>
      </c>
      <c r="M353" t="s">
        <v>57</v>
      </c>
      <c r="N353" s="1">
        <v>46070</v>
      </c>
      <c r="P353" s="1">
        <v>46220</v>
      </c>
      <c r="Q353" s="2">
        <v>9.1</v>
      </c>
      <c r="R353" t="s">
        <v>58</v>
      </c>
      <c r="S353" s="3">
        <v>0.7</v>
      </c>
      <c r="T353" t="s">
        <v>60</v>
      </c>
      <c r="U353" t="s">
        <v>239</v>
      </c>
      <c r="V353" s="2">
        <v>6.37</v>
      </c>
      <c r="W353" s="2">
        <v>0</v>
      </c>
      <c r="X353" s="2">
        <v>0</v>
      </c>
      <c r="Y353" t="s">
        <v>238</v>
      </c>
      <c r="Z353" t="s">
        <v>1063</v>
      </c>
    </row>
    <row r="354" spans="1:26" x14ac:dyDescent="0.25">
      <c r="A354">
        <v>2034917052</v>
      </c>
      <c r="B354" t="s">
        <v>704</v>
      </c>
      <c r="C354" t="s">
        <v>483</v>
      </c>
      <c r="D354" t="str">
        <f>CONCATENATE(C354," ",B354)</f>
        <v>CHRISTOPHER KELLY</v>
      </c>
      <c r="E354" t="s">
        <v>305</v>
      </c>
      <c r="F354" t="s">
        <v>182</v>
      </c>
      <c r="G354" t="s">
        <v>183</v>
      </c>
      <c r="H354" t="s">
        <v>183</v>
      </c>
      <c r="I354" s="11" t="s">
        <v>1020</v>
      </c>
      <c r="J354" t="s">
        <v>312</v>
      </c>
      <c r="K354" t="s">
        <v>313</v>
      </c>
      <c r="L354" t="str">
        <f>CONCATENATE(K354," ",J354)</f>
        <v>Heather Geske</v>
      </c>
      <c r="M354" t="s">
        <v>57</v>
      </c>
      <c r="N354" s="1">
        <v>46127</v>
      </c>
      <c r="P354" s="1">
        <v>46218</v>
      </c>
      <c r="Q354" s="2">
        <v>9.1</v>
      </c>
      <c r="R354" t="s">
        <v>58</v>
      </c>
      <c r="S354" s="3">
        <v>0.7</v>
      </c>
      <c r="T354" t="s">
        <v>60</v>
      </c>
      <c r="U354" t="s">
        <v>239</v>
      </c>
      <c r="V354" s="2">
        <v>6.37</v>
      </c>
      <c r="W354" s="2">
        <v>0</v>
      </c>
      <c r="X354" s="2">
        <v>0</v>
      </c>
      <c r="Y354" t="s">
        <v>238</v>
      </c>
      <c r="Z354" t="s">
        <v>1063</v>
      </c>
    </row>
    <row r="355" spans="1:26" x14ac:dyDescent="0.25">
      <c r="A355">
        <v>2034986811</v>
      </c>
      <c r="B355" t="s">
        <v>717</v>
      </c>
      <c r="C355" t="s">
        <v>349</v>
      </c>
      <c r="D355" t="str">
        <f>CONCATENATE(C355," ",B355)</f>
        <v>STEPHEN CULLOP</v>
      </c>
      <c r="E355" t="s">
        <v>305</v>
      </c>
      <c r="F355" t="s">
        <v>182</v>
      </c>
      <c r="G355" t="s">
        <v>183</v>
      </c>
      <c r="H355" t="s">
        <v>183</v>
      </c>
      <c r="I355" s="11" t="s">
        <v>1040</v>
      </c>
      <c r="J355" t="s">
        <v>306</v>
      </c>
      <c r="K355" t="s">
        <v>307</v>
      </c>
      <c r="L355" t="str">
        <f>CONCATENATE(K355," ",J355)</f>
        <v>WILLIAM GESKE</v>
      </c>
      <c r="M355" t="s">
        <v>57</v>
      </c>
      <c r="N355" s="1">
        <v>46130</v>
      </c>
      <c r="P355" s="1">
        <v>46221</v>
      </c>
      <c r="Q355" s="2">
        <v>9.1</v>
      </c>
      <c r="R355" t="s">
        <v>58</v>
      </c>
      <c r="S355" s="3">
        <v>0.7</v>
      </c>
      <c r="T355" t="s">
        <v>60</v>
      </c>
      <c r="U355" t="s">
        <v>239</v>
      </c>
      <c r="V355" s="2">
        <v>6.37</v>
      </c>
      <c r="W355" s="2">
        <v>0</v>
      </c>
      <c r="X355" s="2">
        <v>0</v>
      </c>
      <c r="Y355" t="s">
        <v>238</v>
      </c>
      <c r="Z355" t="s">
        <v>1063</v>
      </c>
    </row>
    <row r="356" spans="1:26" x14ac:dyDescent="0.25">
      <c r="A356">
        <v>2035502623</v>
      </c>
      <c r="B356" t="s">
        <v>357</v>
      </c>
      <c r="C356" t="s">
        <v>753</v>
      </c>
      <c r="D356" t="str">
        <f>CONCATENATE(C356," ",B356)</f>
        <v>DYLAN THOMPSON</v>
      </c>
      <c r="E356" t="s">
        <v>305</v>
      </c>
      <c r="F356" t="s">
        <v>182</v>
      </c>
      <c r="G356" t="s">
        <v>183</v>
      </c>
      <c r="H356" t="s">
        <v>183</v>
      </c>
      <c r="I356" s="11" t="s">
        <v>1040</v>
      </c>
      <c r="J356" t="s">
        <v>306</v>
      </c>
      <c r="K356" t="s">
        <v>307</v>
      </c>
      <c r="L356" t="str">
        <f>CONCATENATE(K356," ",J356)</f>
        <v>WILLIAM GESKE</v>
      </c>
      <c r="M356" t="s">
        <v>57</v>
      </c>
      <c r="N356" s="1">
        <v>46158</v>
      </c>
      <c r="P356" s="1">
        <v>46219</v>
      </c>
      <c r="Q356" s="2">
        <v>9.1</v>
      </c>
      <c r="R356" t="s">
        <v>58</v>
      </c>
      <c r="S356" s="3">
        <v>0.7</v>
      </c>
      <c r="T356" t="s">
        <v>60</v>
      </c>
      <c r="U356" t="s">
        <v>239</v>
      </c>
      <c r="V356" s="2">
        <v>6.37</v>
      </c>
      <c r="W356" s="2">
        <v>0</v>
      </c>
      <c r="X356" s="2">
        <v>0</v>
      </c>
      <c r="Y356" t="s">
        <v>238</v>
      </c>
      <c r="Z356" t="s">
        <v>1063</v>
      </c>
    </row>
    <row r="357" spans="1:26" x14ac:dyDescent="0.25">
      <c r="A357">
        <v>2033164608</v>
      </c>
      <c r="B357" t="s">
        <v>635</v>
      </c>
      <c r="C357" t="s">
        <v>424</v>
      </c>
      <c r="D357" t="str">
        <f>CONCATENATE(C357," ",B357)</f>
        <v>ALEXANDRA RUFF</v>
      </c>
      <c r="E357" t="s">
        <v>305</v>
      </c>
      <c r="F357" t="s">
        <v>182</v>
      </c>
      <c r="G357" t="s">
        <v>183</v>
      </c>
      <c r="H357" t="s">
        <v>183</v>
      </c>
      <c r="I357" s="11" t="s">
        <v>1020</v>
      </c>
      <c r="J357" t="s">
        <v>312</v>
      </c>
      <c r="K357" t="s">
        <v>313</v>
      </c>
      <c r="L357" t="str">
        <f>CONCATENATE(K357," ",J357)</f>
        <v>Heather Geske</v>
      </c>
      <c r="M357" t="s">
        <v>57</v>
      </c>
      <c r="N357" s="1">
        <v>46038</v>
      </c>
      <c r="P357" s="1">
        <v>46219</v>
      </c>
      <c r="Q357" s="2">
        <v>9.1</v>
      </c>
      <c r="R357" t="s">
        <v>58</v>
      </c>
      <c r="S357" s="3">
        <v>0.7</v>
      </c>
      <c r="T357" t="s">
        <v>60</v>
      </c>
      <c r="U357" t="s">
        <v>239</v>
      </c>
      <c r="V357" s="2">
        <v>6.37</v>
      </c>
      <c r="W357" s="2">
        <v>0</v>
      </c>
      <c r="X357" s="2">
        <v>0</v>
      </c>
      <c r="Y357" t="s">
        <v>238</v>
      </c>
      <c r="Z357" t="s">
        <v>1064</v>
      </c>
    </row>
    <row r="358" spans="1:26" x14ac:dyDescent="0.25">
      <c r="A358">
        <v>2035393882</v>
      </c>
      <c r="B358" t="s">
        <v>725</v>
      </c>
      <c r="C358" t="s">
        <v>241</v>
      </c>
      <c r="D358" t="str">
        <f>CONCATENATE(C358," ",B358)</f>
        <v>TODD GRANDBOUCHE</v>
      </c>
      <c r="E358" t="s">
        <v>305</v>
      </c>
      <c r="F358" t="s">
        <v>182</v>
      </c>
      <c r="G358" t="s">
        <v>183</v>
      </c>
      <c r="H358" t="s">
        <v>183</v>
      </c>
      <c r="I358" s="11" t="s">
        <v>1020</v>
      </c>
      <c r="J358" t="s">
        <v>312</v>
      </c>
      <c r="K358" t="s">
        <v>313</v>
      </c>
      <c r="L358" t="str">
        <f>CONCATENATE(K358," ",J358)</f>
        <v>Heather Geske</v>
      </c>
      <c r="M358" t="s">
        <v>57</v>
      </c>
      <c r="N358" s="1">
        <v>46157</v>
      </c>
      <c r="P358" s="1">
        <v>46218</v>
      </c>
      <c r="Q358" s="2">
        <v>8.49</v>
      </c>
      <c r="R358" t="s">
        <v>58</v>
      </c>
      <c r="S358" s="3">
        <v>0.7</v>
      </c>
      <c r="T358" t="s">
        <v>60</v>
      </c>
      <c r="U358" t="s">
        <v>239</v>
      </c>
      <c r="V358" s="2">
        <v>5.94</v>
      </c>
      <c r="W358" s="2">
        <v>0</v>
      </c>
      <c r="X358" s="2">
        <v>0</v>
      </c>
      <c r="Y358" t="s">
        <v>238</v>
      </c>
      <c r="Z358" t="s">
        <v>1063</v>
      </c>
    </row>
    <row r="359" spans="1:26" x14ac:dyDescent="0.25">
      <c r="A359">
        <v>2024834572</v>
      </c>
      <c r="B359" t="s">
        <v>301</v>
      </c>
      <c r="C359" t="s">
        <v>252</v>
      </c>
      <c r="D359" t="str">
        <f>CONCATENATE(C359," ",B359)</f>
        <v>SARAH PHILLIPS</v>
      </c>
      <c r="E359" t="s">
        <v>170</v>
      </c>
      <c r="F359" t="s">
        <v>182</v>
      </c>
      <c r="G359" t="s">
        <v>183</v>
      </c>
      <c r="H359" t="s">
        <v>183</v>
      </c>
      <c r="I359" s="11" t="s">
        <v>1016</v>
      </c>
      <c r="J359" t="s">
        <v>171</v>
      </c>
      <c r="K359" t="s">
        <v>172</v>
      </c>
      <c r="L359" t="str">
        <f>CONCATENATE(K359," ",J359)</f>
        <v>THOMAS PARDUE</v>
      </c>
      <c r="M359" t="s">
        <v>57</v>
      </c>
      <c r="N359" s="1">
        <v>45549</v>
      </c>
      <c r="P359" s="1">
        <v>46217</v>
      </c>
      <c r="Q359" s="2">
        <v>87.77</v>
      </c>
      <c r="R359" t="s">
        <v>58</v>
      </c>
      <c r="S359" s="3">
        <v>0.15</v>
      </c>
      <c r="T359" t="s">
        <v>238</v>
      </c>
      <c r="U359" t="s">
        <v>239</v>
      </c>
      <c r="V359" s="2">
        <v>13.17</v>
      </c>
      <c r="W359" s="2">
        <v>13.17</v>
      </c>
      <c r="X359" s="2">
        <v>13.17</v>
      </c>
      <c r="Y359" t="s">
        <v>238</v>
      </c>
      <c r="Z359" t="s">
        <v>1062</v>
      </c>
    </row>
    <row r="360" spans="1:26" x14ac:dyDescent="0.25">
      <c r="A360">
        <v>2024853075</v>
      </c>
      <c r="B360" t="s">
        <v>394</v>
      </c>
      <c r="C360" t="s">
        <v>395</v>
      </c>
      <c r="D360" t="str">
        <f>CONCATENATE(C360," ",B360)</f>
        <v>BERNARDO CARVALHO</v>
      </c>
      <c r="E360" t="s">
        <v>95</v>
      </c>
      <c r="F360" t="s">
        <v>182</v>
      </c>
      <c r="G360" t="s">
        <v>183</v>
      </c>
      <c r="H360" t="s">
        <v>183</v>
      </c>
      <c r="I360" s="11">
        <v>17425766</v>
      </c>
      <c r="J360" t="s">
        <v>158</v>
      </c>
      <c r="K360" t="s">
        <v>159</v>
      </c>
      <c r="L360" t="str">
        <f>CONCATENATE(K360," ",J360)</f>
        <v>CAROL FOLEY</v>
      </c>
      <c r="M360" t="s">
        <v>57</v>
      </c>
      <c r="N360" s="1">
        <v>45550</v>
      </c>
      <c r="P360" s="1">
        <v>46218</v>
      </c>
      <c r="Q360" s="2">
        <v>22.7</v>
      </c>
      <c r="R360" t="s">
        <v>58</v>
      </c>
      <c r="S360" s="3">
        <v>0.15</v>
      </c>
      <c r="T360" t="s">
        <v>238</v>
      </c>
      <c r="U360" t="s">
        <v>239</v>
      </c>
      <c r="V360" s="2">
        <v>3.4</v>
      </c>
      <c r="W360" s="2">
        <v>3.4</v>
      </c>
      <c r="X360" s="2">
        <v>3.4</v>
      </c>
      <c r="Y360" t="s">
        <v>238</v>
      </c>
      <c r="Z360" t="s">
        <v>1062</v>
      </c>
    </row>
    <row r="361" spans="1:26" x14ac:dyDescent="0.25">
      <c r="A361">
        <v>2024905824</v>
      </c>
      <c r="B361" t="s">
        <v>396</v>
      </c>
      <c r="C361" t="s">
        <v>397</v>
      </c>
      <c r="D361" t="str">
        <f>CONCATENATE(C361," ",B361)</f>
        <v>BATTSENGEL TOGMID</v>
      </c>
      <c r="E361" t="s">
        <v>119</v>
      </c>
      <c r="F361" t="s">
        <v>182</v>
      </c>
      <c r="G361" t="s">
        <v>183</v>
      </c>
      <c r="H361" t="s">
        <v>183</v>
      </c>
      <c r="I361" s="11">
        <v>16912722</v>
      </c>
      <c r="J361" t="s">
        <v>321</v>
      </c>
      <c r="K361" t="s">
        <v>94</v>
      </c>
      <c r="L361" t="str">
        <f>CONCATENATE(K361," ",J361)</f>
        <v>ANDREA PETRUNGARO</v>
      </c>
      <c r="M361" t="s">
        <v>57</v>
      </c>
      <c r="N361" s="1">
        <v>45553</v>
      </c>
      <c r="P361" s="1">
        <v>46221</v>
      </c>
      <c r="Q361" s="2">
        <v>40.74</v>
      </c>
      <c r="R361" t="s">
        <v>58</v>
      </c>
      <c r="S361" s="3">
        <v>0.15</v>
      </c>
      <c r="T361" t="s">
        <v>238</v>
      </c>
      <c r="U361" t="s">
        <v>239</v>
      </c>
      <c r="V361" s="2">
        <v>6.11</v>
      </c>
      <c r="W361" s="2">
        <v>6.11</v>
      </c>
      <c r="X361" s="2">
        <v>6.11</v>
      </c>
      <c r="Y361" t="s">
        <v>238</v>
      </c>
      <c r="Z361" t="s">
        <v>1062</v>
      </c>
    </row>
    <row r="362" spans="1:26" x14ac:dyDescent="0.25">
      <c r="A362">
        <v>2025316509</v>
      </c>
      <c r="B362" t="s">
        <v>302</v>
      </c>
      <c r="C362" t="s">
        <v>63</v>
      </c>
      <c r="D362" t="str">
        <f>CONCATENATE(C362," ",B362)</f>
        <v>JORDAN ROWELL</v>
      </c>
      <c r="E362" t="s">
        <v>186</v>
      </c>
      <c r="F362" t="s">
        <v>182</v>
      </c>
      <c r="G362" t="s">
        <v>183</v>
      </c>
      <c r="H362" t="s">
        <v>183</v>
      </c>
      <c r="I362" s="11" t="s">
        <v>1016</v>
      </c>
      <c r="J362" t="s">
        <v>171</v>
      </c>
      <c r="K362" t="s">
        <v>172</v>
      </c>
      <c r="L362" t="str">
        <f>CONCATENATE(K362," ",J362)</f>
        <v>THOMAS PARDUE</v>
      </c>
      <c r="M362" t="s">
        <v>57</v>
      </c>
      <c r="N362" s="1">
        <v>45580</v>
      </c>
      <c r="P362" s="1">
        <v>46218</v>
      </c>
      <c r="Q362" s="2">
        <v>46.36</v>
      </c>
      <c r="R362" t="s">
        <v>58</v>
      </c>
      <c r="S362" s="3">
        <v>0.15</v>
      </c>
      <c r="T362" t="s">
        <v>238</v>
      </c>
      <c r="U362" t="s">
        <v>239</v>
      </c>
      <c r="V362" s="2">
        <v>6.95</v>
      </c>
      <c r="W362" s="2">
        <v>6.95</v>
      </c>
      <c r="X362" s="2">
        <v>6.95</v>
      </c>
      <c r="Y362" t="s">
        <v>238</v>
      </c>
      <c r="Z362" t="s">
        <v>1062</v>
      </c>
    </row>
    <row r="363" spans="1:26" x14ac:dyDescent="0.25">
      <c r="A363">
        <v>2025621632</v>
      </c>
      <c r="B363" t="s">
        <v>400</v>
      </c>
      <c r="C363" t="s">
        <v>401</v>
      </c>
      <c r="D363" t="str">
        <f>CONCATENATE(C363," ",B363)</f>
        <v>MUNKHSAIKHAN OCHIR</v>
      </c>
      <c r="E363" t="s">
        <v>119</v>
      </c>
      <c r="F363" t="s">
        <v>182</v>
      </c>
      <c r="G363" t="s">
        <v>183</v>
      </c>
      <c r="H363" t="s">
        <v>183</v>
      </c>
      <c r="I363" s="11">
        <v>20999157</v>
      </c>
      <c r="J363" t="s">
        <v>402</v>
      </c>
      <c r="K363" t="s">
        <v>403</v>
      </c>
      <c r="L363" t="str">
        <f>CONCATENATE(K363," ",J363)</f>
        <v>ODMAA ENKHTUR</v>
      </c>
      <c r="M363" t="s">
        <v>57</v>
      </c>
      <c r="N363" s="1">
        <v>45611</v>
      </c>
      <c r="P363" s="1">
        <v>46218</v>
      </c>
      <c r="Q363" s="2">
        <v>34</v>
      </c>
      <c r="R363" t="s">
        <v>58</v>
      </c>
      <c r="S363" s="3">
        <v>0.15</v>
      </c>
      <c r="T363" t="s">
        <v>238</v>
      </c>
      <c r="U363" t="s">
        <v>239</v>
      </c>
      <c r="V363" s="2">
        <v>5.0999999999999996</v>
      </c>
      <c r="W363" s="2">
        <v>5.0999999999999996</v>
      </c>
      <c r="X363" s="2">
        <v>5.0999999999999996</v>
      </c>
      <c r="Y363" t="s">
        <v>238</v>
      </c>
      <c r="Z363" t="s">
        <v>1064</v>
      </c>
    </row>
    <row r="364" spans="1:26" x14ac:dyDescent="0.25">
      <c r="A364">
        <v>2025744022</v>
      </c>
      <c r="B364" t="s">
        <v>404</v>
      </c>
      <c r="C364" t="s">
        <v>405</v>
      </c>
      <c r="D364" t="str">
        <f>CONCATENATE(C364," ",B364)</f>
        <v>GLORIA PANGAN</v>
      </c>
      <c r="E364" t="s">
        <v>119</v>
      </c>
      <c r="F364" t="s">
        <v>182</v>
      </c>
      <c r="G364" t="s">
        <v>183</v>
      </c>
      <c r="H364" t="s">
        <v>183</v>
      </c>
      <c r="I364" s="11" t="s">
        <v>1028</v>
      </c>
      <c r="J364" t="s">
        <v>406</v>
      </c>
      <c r="K364" t="s">
        <v>407</v>
      </c>
      <c r="L364" t="str">
        <f>CONCATENATE(K364," ",J364)</f>
        <v>BARRY BRENNER</v>
      </c>
      <c r="M364" t="s">
        <v>57</v>
      </c>
      <c r="N364" s="1">
        <v>45609</v>
      </c>
      <c r="P364" s="1">
        <v>46216</v>
      </c>
      <c r="Q364" s="2">
        <v>118</v>
      </c>
      <c r="R364" t="s">
        <v>58</v>
      </c>
      <c r="S364" s="3">
        <v>0.15</v>
      </c>
      <c r="T364" t="s">
        <v>238</v>
      </c>
      <c r="U364" t="s">
        <v>239</v>
      </c>
      <c r="V364" s="2">
        <v>17.7</v>
      </c>
      <c r="W364" s="2">
        <v>17.7</v>
      </c>
      <c r="X364" s="2">
        <v>17.7</v>
      </c>
      <c r="Y364" t="s">
        <v>238</v>
      </c>
      <c r="Z364" t="s">
        <v>1062</v>
      </c>
    </row>
    <row r="365" spans="1:26" x14ac:dyDescent="0.25">
      <c r="A365">
        <v>2025820173</v>
      </c>
      <c r="B365" t="s">
        <v>303</v>
      </c>
      <c r="C365" t="s">
        <v>304</v>
      </c>
      <c r="D365" t="str">
        <f>CONCATENATE(C365," ",B365)</f>
        <v>MERIWTHER HARDIE</v>
      </c>
      <c r="E365" t="s">
        <v>305</v>
      </c>
      <c r="F365" t="s">
        <v>182</v>
      </c>
      <c r="G365" t="s">
        <v>183</v>
      </c>
      <c r="H365" t="s">
        <v>183</v>
      </c>
      <c r="I365" s="11">
        <v>21313588</v>
      </c>
      <c r="J365" t="s">
        <v>306</v>
      </c>
      <c r="K365" t="s">
        <v>307</v>
      </c>
      <c r="L365" t="str">
        <f>CONCATENATE(K365," ",J365)</f>
        <v>WILLIAM GESKE</v>
      </c>
      <c r="M365" t="s">
        <v>57</v>
      </c>
      <c r="N365" s="1">
        <v>45615</v>
      </c>
      <c r="P365" s="1">
        <v>46222</v>
      </c>
      <c r="Q365" s="2">
        <v>9.6999999999999993</v>
      </c>
      <c r="R365" t="s">
        <v>58</v>
      </c>
      <c r="S365" s="3">
        <v>0.15</v>
      </c>
      <c r="T365" t="s">
        <v>238</v>
      </c>
      <c r="U365" t="s">
        <v>239</v>
      </c>
      <c r="V365" s="2">
        <v>1.46</v>
      </c>
      <c r="W365" s="2">
        <v>1.46</v>
      </c>
      <c r="X365" s="2">
        <v>1.46</v>
      </c>
      <c r="Y365" t="s">
        <v>238</v>
      </c>
      <c r="Z365" t="s">
        <v>1062</v>
      </c>
    </row>
    <row r="366" spans="1:26" x14ac:dyDescent="0.25">
      <c r="A366">
        <v>2026061217</v>
      </c>
      <c r="B366" t="s">
        <v>308</v>
      </c>
      <c r="C366" t="s">
        <v>260</v>
      </c>
      <c r="D366" t="str">
        <f>CONCATENATE(C366," ",B366)</f>
        <v>JOSEPH HINTZICKER</v>
      </c>
      <c r="E366" t="s">
        <v>305</v>
      </c>
      <c r="F366" t="s">
        <v>182</v>
      </c>
      <c r="G366" t="s">
        <v>183</v>
      </c>
      <c r="H366" t="s">
        <v>183</v>
      </c>
      <c r="I366" s="11">
        <v>21313588</v>
      </c>
      <c r="J366" t="s">
        <v>306</v>
      </c>
      <c r="K366" t="s">
        <v>307</v>
      </c>
      <c r="L366" t="str">
        <f>CONCATENATE(K366," ",J366)</f>
        <v>WILLIAM GESKE</v>
      </c>
      <c r="M366" t="s">
        <v>57</v>
      </c>
      <c r="N366" s="1">
        <v>45641</v>
      </c>
      <c r="P366" s="1">
        <v>46218</v>
      </c>
      <c r="Q366" s="2">
        <v>7.89</v>
      </c>
      <c r="R366" t="s">
        <v>58</v>
      </c>
      <c r="S366" s="3">
        <v>0.15</v>
      </c>
      <c r="T366" t="s">
        <v>238</v>
      </c>
      <c r="U366" t="s">
        <v>239</v>
      </c>
      <c r="V366" s="2">
        <v>1.18</v>
      </c>
      <c r="W366" s="2">
        <v>1.18</v>
      </c>
      <c r="X366" s="2">
        <v>1.18</v>
      </c>
      <c r="Y366" t="s">
        <v>238</v>
      </c>
      <c r="Z366" t="s">
        <v>1062</v>
      </c>
    </row>
    <row r="367" spans="1:26" x14ac:dyDescent="0.25">
      <c r="A367">
        <v>2026179999</v>
      </c>
      <c r="B367" t="s">
        <v>412</v>
      </c>
      <c r="C367" t="s">
        <v>413</v>
      </c>
      <c r="D367" t="str">
        <f>CONCATENATE(C367," ",B367)</f>
        <v>ROMAN PRUNCZAK</v>
      </c>
      <c r="E367" t="s">
        <v>119</v>
      </c>
      <c r="F367" t="s">
        <v>182</v>
      </c>
      <c r="G367" t="s">
        <v>183</v>
      </c>
      <c r="H367" t="s">
        <v>183</v>
      </c>
      <c r="I367" s="11">
        <v>9213293</v>
      </c>
      <c r="J367" t="s">
        <v>414</v>
      </c>
      <c r="K367" t="s">
        <v>415</v>
      </c>
      <c r="L367" t="str">
        <f>CONCATENATE(K367," ",J367)</f>
        <v>GARY PORTUGAL</v>
      </c>
      <c r="M367" t="s">
        <v>57</v>
      </c>
      <c r="N367" s="1">
        <v>45641</v>
      </c>
      <c r="P367" s="1">
        <v>46218</v>
      </c>
      <c r="Q367" s="2">
        <v>31.6</v>
      </c>
      <c r="R367" t="s">
        <v>58</v>
      </c>
      <c r="S367" s="3">
        <v>0.15</v>
      </c>
      <c r="T367" t="s">
        <v>238</v>
      </c>
      <c r="U367" t="s">
        <v>239</v>
      </c>
      <c r="V367" s="2">
        <v>4.74</v>
      </c>
      <c r="W367" s="2">
        <v>4.74</v>
      </c>
      <c r="X367" s="2">
        <v>4.74</v>
      </c>
      <c r="Y367" t="s">
        <v>238</v>
      </c>
      <c r="Z367" t="s">
        <v>1062</v>
      </c>
    </row>
    <row r="368" spans="1:26" x14ac:dyDescent="0.25">
      <c r="A368">
        <v>2026180757</v>
      </c>
      <c r="B368" t="s">
        <v>310</v>
      </c>
      <c r="C368" t="s">
        <v>311</v>
      </c>
      <c r="D368" t="str">
        <f>CONCATENATE(C368," ",B368)</f>
        <v>CARRIE DOBSCH</v>
      </c>
      <c r="E368" t="s">
        <v>305</v>
      </c>
      <c r="F368" t="s">
        <v>182</v>
      </c>
      <c r="G368" t="s">
        <v>183</v>
      </c>
      <c r="H368" t="s">
        <v>183</v>
      </c>
      <c r="I368" s="11">
        <v>16865615</v>
      </c>
      <c r="J368" t="s">
        <v>312</v>
      </c>
      <c r="K368" t="s">
        <v>313</v>
      </c>
      <c r="L368" t="str">
        <f>CONCATENATE(K368," ",J368)</f>
        <v>Heather Geske</v>
      </c>
      <c r="M368" t="s">
        <v>57</v>
      </c>
      <c r="N368" s="1">
        <v>45641</v>
      </c>
      <c r="P368" s="1">
        <v>46218</v>
      </c>
      <c r="Q368" s="2">
        <v>9.1</v>
      </c>
      <c r="R368" t="s">
        <v>58</v>
      </c>
      <c r="S368" s="3">
        <v>0.15</v>
      </c>
      <c r="T368" t="s">
        <v>238</v>
      </c>
      <c r="U368" t="s">
        <v>239</v>
      </c>
      <c r="V368" s="2">
        <v>1.36</v>
      </c>
      <c r="W368" s="2">
        <v>1.36</v>
      </c>
      <c r="X368" s="2">
        <v>1.36</v>
      </c>
      <c r="Y368" t="s">
        <v>238</v>
      </c>
      <c r="Z368" t="s">
        <v>1062</v>
      </c>
    </row>
    <row r="369" spans="1:26" x14ac:dyDescent="0.25">
      <c r="A369">
        <v>2026184417</v>
      </c>
      <c r="B369" t="s">
        <v>314</v>
      </c>
      <c r="C369" t="s">
        <v>315</v>
      </c>
      <c r="D369" t="str">
        <f>CONCATENATE(C369," ",B369)</f>
        <v>DAWN FELOSA</v>
      </c>
      <c r="E369" t="s">
        <v>305</v>
      </c>
      <c r="F369" t="s">
        <v>182</v>
      </c>
      <c r="G369" t="s">
        <v>183</v>
      </c>
      <c r="H369" t="s">
        <v>183</v>
      </c>
      <c r="I369" s="11">
        <v>16865615</v>
      </c>
      <c r="J369" t="s">
        <v>312</v>
      </c>
      <c r="K369" t="s">
        <v>313</v>
      </c>
      <c r="L369" t="str">
        <f>CONCATENATE(K369," ",J369)</f>
        <v>Heather Geske</v>
      </c>
      <c r="M369" t="s">
        <v>57</v>
      </c>
      <c r="N369" s="1">
        <v>45641</v>
      </c>
      <c r="P369" s="1">
        <v>46218</v>
      </c>
      <c r="Q369" s="2">
        <v>9.1</v>
      </c>
      <c r="R369" t="s">
        <v>58</v>
      </c>
      <c r="S369" s="3">
        <v>0.15</v>
      </c>
      <c r="T369" t="s">
        <v>238</v>
      </c>
      <c r="U369" t="s">
        <v>239</v>
      </c>
      <c r="V369" s="2">
        <v>1.36</v>
      </c>
      <c r="W369" s="2">
        <v>1.36</v>
      </c>
      <c r="X369" s="2">
        <v>1.36</v>
      </c>
      <c r="Y369" t="s">
        <v>238</v>
      </c>
      <c r="Z369" t="s">
        <v>1062</v>
      </c>
    </row>
    <row r="370" spans="1:26" x14ac:dyDescent="0.25">
      <c r="A370">
        <v>2026568865</v>
      </c>
      <c r="B370" t="s">
        <v>418</v>
      </c>
      <c r="C370" t="s">
        <v>372</v>
      </c>
      <c r="D370" t="str">
        <f>CONCATENATE(C370," ",B370)</f>
        <v>RACHEL YOUNG</v>
      </c>
      <c r="E370" t="s">
        <v>186</v>
      </c>
      <c r="F370" t="s">
        <v>182</v>
      </c>
      <c r="G370" t="s">
        <v>183</v>
      </c>
      <c r="H370" t="s">
        <v>183</v>
      </c>
      <c r="I370" s="11" t="s">
        <v>1029</v>
      </c>
      <c r="J370" t="s">
        <v>419</v>
      </c>
      <c r="K370" t="s">
        <v>420</v>
      </c>
      <c r="L370" t="str">
        <f>CONCATENATE(K370," ",J370)</f>
        <v>JARED KINYUA</v>
      </c>
      <c r="M370" t="s">
        <v>57</v>
      </c>
      <c r="N370" s="1">
        <v>45671</v>
      </c>
      <c r="P370" s="1">
        <v>46217</v>
      </c>
      <c r="Q370" s="2">
        <v>45.97</v>
      </c>
      <c r="R370" t="s">
        <v>58</v>
      </c>
      <c r="S370" s="3">
        <v>0.15</v>
      </c>
      <c r="T370" t="s">
        <v>238</v>
      </c>
      <c r="U370" t="s">
        <v>239</v>
      </c>
      <c r="V370" s="2">
        <v>6.9</v>
      </c>
      <c r="W370" s="2">
        <v>6.9</v>
      </c>
      <c r="X370" s="2">
        <v>6.9</v>
      </c>
      <c r="Y370" t="s">
        <v>238</v>
      </c>
      <c r="Z370" t="s">
        <v>1062</v>
      </c>
    </row>
    <row r="371" spans="1:26" x14ac:dyDescent="0.25">
      <c r="A371">
        <v>2026572545</v>
      </c>
      <c r="B371" t="s">
        <v>421</v>
      </c>
      <c r="C371" t="s">
        <v>422</v>
      </c>
      <c r="D371" t="str">
        <f>CONCATENATE(C371," ",B371)</f>
        <v>ESTHER HERRERA-LARSEN</v>
      </c>
      <c r="E371" t="s">
        <v>119</v>
      </c>
      <c r="F371" t="s">
        <v>182</v>
      </c>
      <c r="G371" t="s">
        <v>183</v>
      </c>
      <c r="H371" t="s">
        <v>183</v>
      </c>
      <c r="I371" s="11">
        <v>17301495</v>
      </c>
      <c r="J371" t="s">
        <v>421</v>
      </c>
      <c r="K371" t="s">
        <v>422</v>
      </c>
      <c r="L371" t="str">
        <f>CONCATENATE(K371," ",J371)</f>
        <v>ESTHER HERRERA-LARSEN</v>
      </c>
      <c r="M371" t="s">
        <v>57</v>
      </c>
      <c r="N371" s="1">
        <v>45671</v>
      </c>
      <c r="P371" s="1">
        <v>46217</v>
      </c>
      <c r="Q371" s="2">
        <v>26.5</v>
      </c>
      <c r="R371" t="s">
        <v>58</v>
      </c>
      <c r="S371" s="3">
        <v>0.15</v>
      </c>
      <c r="T371" t="s">
        <v>238</v>
      </c>
      <c r="U371" t="s">
        <v>239</v>
      </c>
      <c r="V371" s="2">
        <v>3.98</v>
      </c>
      <c r="W371" s="2">
        <v>3.98</v>
      </c>
      <c r="X371" s="2">
        <v>3.98</v>
      </c>
      <c r="Y371" t="s">
        <v>238</v>
      </c>
      <c r="Z371" t="s">
        <v>1062</v>
      </c>
    </row>
    <row r="372" spans="1:26" x14ac:dyDescent="0.25">
      <c r="A372">
        <v>2026586620</v>
      </c>
      <c r="B372" t="s">
        <v>423</v>
      </c>
      <c r="C372" t="s">
        <v>424</v>
      </c>
      <c r="D372" t="str">
        <f>CONCATENATE(C372," ",B372)</f>
        <v>ALEXANDRA STOCKTON</v>
      </c>
      <c r="E372" t="s">
        <v>234</v>
      </c>
      <c r="F372" t="s">
        <v>182</v>
      </c>
      <c r="G372" t="s">
        <v>183</v>
      </c>
      <c r="H372" t="s">
        <v>183</v>
      </c>
      <c r="I372" s="11" t="s">
        <v>1029</v>
      </c>
      <c r="J372" t="s">
        <v>419</v>
      </c>
      <c r="K372" t="s">
        <v>420</v>
      </c>
      <c r="L372" t="str">
        <f>CONCATENATE(K372," ",J372)</f>
        <v>JARED KINYUA</v>
      </c>
      <c r="M372" t="s">
        <v>57</v>
      </c>
      <c r="N372" s="1">
        <v>45672</v>
      </c>
      <c r="P372" s="1">
        <v>46218</v>
      </c>
      <c r="Q372" s="2">
        <v>15.29</v>
      </c>
      <c r="R372" t="s">
        <v>58</v>
      </c>
      <c r="S372" s="3">
        <v>0.15</v>
      </c>
      <c r="T372" t="s">
        <v>238</v>
      </c>
      <c r="U372" t="s">
        <v>239</v>
      </c>
      <c r="V372" s="2">
        <v>2.29</v>
      </c>
      <c r="W372" s="2">
        <v>2.29</v>
      </c>
      <c r="X372" s="2">
        <v>2.29</v>
      </c>
      <c r="Y372" t="s">
        <v>238</v>
      </c>
      <c r="Z372" t="s">
        <v>1062</v>
      </c>
    </row>
    <row r="373" spans="1:26" x14ac:dyDescent="0.25">
      <c r="A373">
        <v>2026608909</v>
      </c>
      <c r="B373" t="s">
        <v>425</v>
      </c>
      <c r="C373" t="s">
        <v>424</v>
      </c>
      <c r="D373" t="str">
        <f>CONCATENATE(C373," ",B373)</f>
        <v>ALEXANDRA KIMBRUE</v>
      </c>
      <c r="E373" t="s">
        <v>119</v>
      </c>
      <c r="F373" t="s">
        <v>182</v>
      </c>
      <c r="G373" t="s">
        <v>183</v>
      </c>
      <c r="H373" t="s">
        <v>183</v>
      </c>
      <c r="I373" s="11" t="s">
        <v>1019</v>
      </c>
      <c r="J373" t="s">
        <v>336</v>
      </c>
      <c r="K373" t="s">
        <v>337</v>
      </c>
      <c r="L373" t="str">
        <f>CONCATENATE(K373," ",J373)</f>
        <v>VICTOR FUENTES</v>
      </c>
      <c r="M373" t="s">
        <v>57</v>
      </c>
      <c r="N373" s="1">
        <v>45673</v>
      </c>
      <c r="P373" s="1">
        <v>46219</v>
      </c>
      <c r="Q373" s="2">
        <v>58.24</v>
      </c>
      <c r="R373" t="s">
        <v>58</v>
      </c>
      <c r="S373" s="3">
        <v>0.15</v>
      </c>
      <c r="T373" t="s">
        <v>238</v>
      </c>
      <c r="U373" t="s">
        <v>239</v>
      </c>
      <c r="V373" s="2">
        <v>8.74</v>
      </c>
      <c r="W373" s="2">
        <v>8.74</v>
      </c>
      <c r="X373" s="2">
        <v>8.74</v>
      </c>
      <c r="Y373" t="s">
        <v>238</v>
      </c>
      <c r="Z373" t="s">
        <v>1062</v>
      </c>
    </row>
    <row r="374" spans="1:26" x14ac:dyDescent="0.25">
      <c r="A374">
        <v>2026625854</v>
      </c>
      <c r="B374" t="s">
        <v>426</v>
      </c>
      <c r="C374" t="s">
        <v>427</v>
      </c>
      <c r="D374" t="str">
        <f>CONCATENATE(C374," ",B374)</f>
        <v>ELDON WALKER</v>
      </c>
      <c r="E374" t="s">
        <v>170</v>
      </c>
      <c r="F374" t="s">
        <v>182</v>
      </c>
      <c r="G374" t="s">
        <v>183</v>
      </c>
      <c r="H374" t="s">
        <v>183</v>
      </c>
      <c r="I374" s="11" t="s">
        <v>1016</v>
      </c>
      <c r="J374" t="s">
        <v>171</v>
      </c>
      <c r="K374" t="s">
        <v>172</v>
      </c>
      <c r="L374" t="str">
        <f>CONCATENATE(K374," ",J374)</f>
        <v>THOMAS PARDUE</v>
      </c>
      <c r="M374" t="s">
        <v>57</v>
      </c>
      <c r="N374" s="1">
        <v>45674</v>
      </c>
      <c r="P374" s="1">
        <v>46220</v>
      </c>
      <c r="Q374" s="2">
        <v>114</v>
      </c>
      <c r="R374" t="s">
        <v>58</v>
      </c>
      <c r="S374" s="3">
        <v>0.15</v>
      </c>
      <c r="T374" t="s">
        <v>238</v>
      </c>
      <c r="U374" t="s">
        <v>239</v>
      </c>
      <c r="V374" s="2">
        <v>17.100000000000001</v>
      </c>
      <c r="W374" s="2">
        <v>17.100000000000001</v>
      </c>
      <c r="X374" s="2">
        <v>17.100000000000001</v>
      </c>
      <c r="Y374" t="s">
        <v>238</v>
      </c>
      <c r="Z374" t="s">
        <v>1062</v>
      </c>
    </row>
    <row r="375" spans="1:26" x14ac:dyDescent="0.25">
      <c r="A375">
        <v>2026659432</v>
      </c>
      <c r="B375" t="s">
        <v>428</v>
      </c>
      <c r="C375" t="s">
        <v>288</v>
      </c>
      <c r="D375" t="str">
        <f>CONCATENATE(C375," ",B375)</f>
        <v>CARY MCCALL</v>
      </c>
      <c r="E375" t="s">
        <v>119</v>
      </c>
      <c r="F375" t="s">
        <v>182</v>
      </c>
      <c r="G375" t="s">
        <v>183</v>
      </c>
      <c r="H375" t="s">
        <v>183</v>
      </c>
      <c r="I375" s="11">
        <v>19681796</v>
      </c>
      <c r="J375" t="s">
        <v>328</v>
      </c>
      <c r="K375" t="s">
        <v>329</v>
      </c>
      <c r="L375" t="str">
        <f>CONCATENATE(K375," ",J375)</f>
        <v>CHRISTIAN TAUGNER</v>
      </c>
      <c r="M375" t="s">
        <v>57</v>
      </c>
      <c r="N375" s="1">
        <v>45675</v>
      </c>
      <c r="P375" s="1">
        <v>46221</v>
      </c>
      <c r="Q375" s="2">
        <v>355.56</v>
      </c>
      <c r="R375" t="s">
        <v>58</v>
      </c>
      <c r="S375" s="3">
        <v>0.15</v>
      </c>
      <c r="T375" t="s">
        <v>238</v>
      </c>
      <c r="U375" t="s">
        <v>239</v>
      </c>
      <c r="V375" s="2">
        <v>53.33</v>
      </c>
      <c r="W375" s="2">
        <v>53.33</v>
      </c>
      <c r="X375" s="2">
        <v>53.33</v>
      </c>
      <c r="Y375" t="s">
        <v>238</v>
      </c>
      <c r="Z375" t="s">
        <v>1062</v>
      </c>
    </row>
    <row r="376" spans="1:26" x14ac:dyDescent="0.25">
      <c r="A376">
        <v>2027072202</v>
      </c>
      <c r="B376" t="s">
        <v>429</v>
      </c>
      <c r="C376" t="s">
        <v>430</v>
      </c>
      <c r="D376" t="str">
        <f>CONCATENATE(C376," ",B376)</f>
        <v>JACKSON CARSON</v>
      </c>
      <c r="E376" t="s">
        <v>305</v>
      </c>
      <c r="F376" t="s">
        <v>182</v>
      </c>
      <c r="G376" t="s">
        <v>183</v>
      </c>
      <c r="H376" t="s">
        <v>183</v>
      </c>
      <c r="I376" s="11">
        <v>16865615</v>
      </c>
      <c r="J376" t="s">
        <v>312</v>
      </c>
      <c r="K376" t="s">
        <v>313</v>
      </c>
      <c r="L376" t="str">
        <f>CONCATENATE(K376," ",J376)</f>
        <v>Heather Geske</v>
      </c>
      <c r="M376" t="s">
        <v>57</v>
      </c>
      <c r="N376" s="1">
        <v>45703</v>
      </c>
      <c r="P376" s="1">
        <v>46218</v>
      </c>
      <c r="Q376" s="2">
        <v>18.2</v>
      </c>
      <c r="R376" t="s">
        <v>58</v>
      </c>
      <c r="S376" s="3">
        <v>0.15</v>
      </c>
      <c r="T376" t="s">
        <v>238</v>
      </c>
      <c r="U376" t="s">
        <v>239</v>
      </c>
      <c r="V376" s="2">
        <v>2.73</v>
      </c>
      <c r="W376" s="2">
        <v>2.73</v>
      </c>
      <c r="X376" s="2">
        <v>2.73</v>
      </c>
      <c r="Y376" t="s">
        <v>238</v>
      </c>
      <c r="Z376" t="s">
        <v>1062</v>
      </c>
    </row>
    <row r="377" spans="1:26" x14ac:dyDescent="0.25">
      <c r="A377">
        <v>2027106748</v>
      </c>
      <c r="B377" t="s">
        <v>431</v>
      </c>
      <c r="C377" t="s">
        <v>420</v>
      </c>
      <c r="D377" t="str">
        <f>CONCATENATE(C377," ",B377)</f>
        <v>JARED DOWDY</v>
      </c>
      <c r="E377" t="s">
        <v>119</v>
      </c>
      <c r="F377" t="s">
        <v>182</v>
      </c>
      <c r="G377" t="s">
        <v>183</v>
      </c>
      <c r="H377" t="s">
        <v>183</v>
      </c>
      <c r="I377" s="11" t="s">
        <v>1019</v>
      </c>
      <c r="J377" t="s">
        <v>336</v>
      </c>
      <c r="K377" t="s">
        <v>337</v>
      </c>
      <c r="L377" t="str">
        <f>CONCATENATE(K377," ",J377)</f>
        <v>VICTOR FUENTES</v>
      </c>
      <c r="M377" t="s">
        <v>57</v>
      </c>
      <c r="N377" s="1">
        <v>45703</v>
      </c>
      <c r="P377" s="1">
        <v>46218</v>
      </c>
      <c r="Q377" s="2">
        <v>11.5</v>
      </c>
      <c r="R377" t="s">
        <v>58</v>
      </c>
      <c r="S377" s="3">
        <v>0.15</v>
      </c>
      <c r="T377" t="s">
        <v>238</v>
      </c>
      <c r="U377" t="s">
        <v>239</v>
      </c>
      <c r="V377" s="2">
        <v>1.72</v>
      </c>
      <c r="W377" s="2">
        <v>1.72</v>
      </c>
      <c r="X377" s="2">
        <v>1.72</v>
      </c>
      <c r="Y377" t="s">
        <v>238</v>
      </c>
      <c r="Z377" t="s">
        <v>1062</v>
      </c>
    </row>
    <row r="378" spans="1:26" x14ac:dyDescent="0.25">
      <c r="A378">
        <v>2027115501</v>
      </c>
      <c r="B378" t="s">
        <v>319</v>
      </c>
      <c r="C378" t="s">
        <v>320</v>
      </c>
      <c r="D378" t="str">
        <f>CONCATENATE(C378," ",B378)</f>
        <v>MADELYN CLEAVE</v>
      </c>
      <c r="E378" t="s">
        <v>119</v>
      </c>
      <c r="F378" t="s">
        <v>182</v>
      </c>
      <c r="G378" t="s">
        <v>183</v>
      </c>
      <c r="H378" t="s">
        <v>183</v>
      </c>
      <c r="I378" s="11">
        <v>16912722</v>
      </c>
      <c r="J378" t="s">
        <v>321</v>
      </c>
      <c r="K378" t="s">
        <v>94</v>
      </c>
      <c r="L378" t="str">
        <f>CONCATENATE(K378," ",J378)</f>
        <v>ANDREA PETRUNGARO</v>
      </c>
      <c r="M378" t="s">
        <v>57</v>
      </c>
      <c r="N378" s="1">
        <v>45703</v>
      </c>
      <c r="P378" s="1">
        <v>46218</v>
      </c>
      <c r="Q378" s="2">
        <v>41.44</v>
      </c>
      <c r="R378" t="s">
        <v>58</v>
      </c>
      <c r="S378" s="3">
        <v>0.15</v>
      </c>
      <c r="T378" t="s">
        <v>238</v>
      </c>
      <c r="U378" t="s">
        <v>239</v>
      </c>
      <c r="V378" s="2">
        <v>6.22</v>
      </c>
      <c r="W378" s="2">
        <v>6.22</v>
      </c>
      <c r="X378" s="2">
        <v>6.22</v>
      </c>
      <c r="Y378" t="s">
        <v>238</v>
      </c>
      <c r="Z378" t="s">
        <v>1062</v>
      </c>
    </row>
    <row r="379" spans="1:26" x14ac:dyDescent="0.25">
      <c r="A379">
        <v>2027167305</v>
      </c>
      <c r="B379" t="s">
        <v>432</v>
      </c>
      <c r="C379" t="s">
        <v>433</v>
      </c>
      <c r="D379" t="str">
        <f>CONCATENATE(C379," ",B379)</f>
        <v>KHUNSHAGAI BATTULGA</v>
      </c>
      <c r="E379" t="s">
        <v>119</v>
      </c>
      <c r="F379" t="s">
        <v>182</v>
      </c>
      <c r="G379" t="s">
        <v>183</v>
      </c>
      <c r="H379" t="s">
        <v>183</v>
      </c>
      <c r="I379" s="11">
        <v>20220688</v>
      </c>
      <c r="J379" t="s">
        <v>216</v>
      </c>
      <c r="K379" t="s">
        <v>217</v>
      </c>
      <c r="L379" t="str">
        <f>CONCATENATE(K379," ",J379)</f>
        <v>NASANDELGER ZANA</v>
      </c>
      <c r="M379" t="s">
        <v>57</v>
      </c>
      <c r="N379" s="1">
        <v>45706</v>
      </c>
      <c r="P379" s="1">
        <v>46221</v>
      </c>
      <c r="Q379" s="2">
        <v>35.700000000000003</v>
      </c>
      <c r="R379" t="s">
        <v>58</v>
      </c>
      <c r="S379" s="3">
        <v>0.15</v>
      </c>
      <c r="T379" t="s">
        <v>238</v>
      </c>
      <c r="U379" t="s">
        <v>239</v>
      </c>
      <c r="V379" s="2">
        <v>5.36</v>
      </c>
      <c r="W379" s="2">
        <v>5.36</v>
      </c>
      <c r="X379" s="2">
        <v>5.36</v>
      </c>
      <c r="Y379" t="s">
        <v>238</v>
      </c>
      <c r="Z379" t="s">
        <v>1062</v>
      </c>
    </row>
    <row r="380" spans="1:26" x14ac:dyDescent="0.25">
      <c r="A380">
        <v>2027767677</v>
      </c>
      <c r="B380" t="s">
        <v>434</v>
      </c>
      <c r="C380" t="s">
        <v>435</v>
      </c>
      <c r="D380" t="str">
        <f>CONCATENATE(C380," ",B380)</f>
        <v>BLAKE LARSEN</v>
      </c>
      <c r="E380" t="s">
        <v>327</v>
      </c>
      <c r="F380" t="s">
        <v>182</v>
      </c>
      <c r="G380" t="s">
        <v>183</v>
      </c>
      <c r="H380" t="s">
        <v>183</v>
      </c>
      <c r="I380" s="11">
        <v>17301495</v>
      </c>
      <c r="J380" t="s">
        <v>421</v>
      </c>
      <c r="K380" t="s">
        <v>422</v>
      </c>
      <c r="L380" t="str">
        <f>CONCATENATE(K380," ",J380)</f>
        <v>ESTHER HERRERA-LARSEN</v>
      </c>
      <c r="M380" t="s">
        <v>57</v>
      </c>
      <c r="N380" s="1">
        <v>45729</v>
      </c>
      <c r="P380" s="1">
        <v>46216</v>
      </c>
      <c r="Q380" s="2">
        <v>56.55</v>
      </c>
      <c r="R380" t="s">
        <v>58</v>
      </c>
      <c r="S380" s="3">
        <v>0.15</v>
      </c>
      <c r="T380" t="s">
        <v>238</v>
      </c>
      <c r="U380" t="s">
        <v>239</v>
      </c>
      <c r="V380" s="2">
        <v>8.48</v>
      </c>
      <c r="W380" s="2">
        <v>8.48</v>
      </c>
      <c r="X380" s="2">
        <v>8.48</v>
      </c>
      <c r="Y380" t="s">
        <v>238</v>
      </c>
      <c r="Z380" t="s">
        <v>1062</v>
      </c>
    </row>
    <row r="381" spans="1:26" x14ac:dyDescent="0.25">
      <c r="A381">
        <v>2027849974</v>
      </c>
      <c r="B381" t="s">
        <v>436</v>
      </c>
      <c r="C381" t="s">
        <v>437</v>
      </c>
      <c r="D381" t="str">
        <f>CONCATENATE(C381," ",B381)</f>
        <v>CHAD DIXON</v>
      </c>
      <c r="E381" t="s">
        <v>438</v>
      </c>
      <c r="F381" t="s">
        <v>182</v>
      </c>
      <c r="G381" t="s">
        <v>183</v>
      </c>
      <c r="H381" t="s">
        <v>183</v>
      </c>
      <c r="I381" s="11">
        <v>17425766</v>
      </c>
      <c r="J381" t="s">
        <v>158</v>
      </c>
      <c r="K381" t="s">
        <v>159</v>
      </c>
      <c r="L381" t="str">
        <f>CONCATENATE(K381," ",J381)</f>
        <v>CAROL FOLEY</v>
      </c>
      <c r="M381" t="s">
        <v>57</v>
      </c>
      <c r="N381" s="1">
        <v>45733</v>
      </c>
      <c r="P381" s="1">
        <v>46220</v>
      </c>
      <c r="Q381" s="2">
        <v>50.96</v>
      </c>
      <c r="R381" t="s">
        <v>58</v>
      </c>
      <c r="S381" s="3">
        <v>0.15</v>
      </c>
      <c r="T381" t="s">
        <v>238</v>
      </c>
      <c r="U381" t="s">
        <v>239</v>
      </c>
      <c r="V381" s="2">
        <v>7.64</v>
      </c>
      <c r="W381" s="2">
        <v>7.64</v>
      </c>
      <c r="X381" s="2">
        <v>7.64</v>
      </c>
      <c r="Y381" t="s">
        <v>238</v>
      </c>
      <c r="Z381" t="s">
        <v>1062</v>
      </c>
    </row>
    <row r="382" spans="1:26" x14ac:dyDescent="0.25">
      <c r="A382">
        <v>2028470693</v>
      </c>
      <c r="B382" t="s">
        <v>325</v>
      </c>
      <c r="C382" t="s">
        <v>326</v>
      </c>
      <c r="D382" t="str">
        <f>CONCATENATE(C382," ",B382)</f>
        <v>PAMELA MITCHELL</v>
      </c>
      <c r="E382" t="s">
        <v>327</v>
      </c>
      <c r="F382" t="s">
        <v>182</v>
      </c>
      <c r="G382" t="s">
        <v>183</v>
      </c>
      <c r="H382" t="s">
        <v>183</v>
      </c>
      <c r="I382" s="11" t="s">
        <v>1017</v>
      </c>
      <c r="J382" t="s">
        <v>328</v>
      </c>
      <c r="K382" t="s">
        <v>329</v>
      </c>
      <c r="L382" t="str">
        <f>CONCATENATE(K382," ",J382)</f>
        <v>CHRISTIAN TAUGNER</v>
      </c>
      <c r="M382" t="s">
        <v>57</v>
      </c>
      <c r="N382" s="1">
        <v>45765</v>
      </c>
      <c r="P382" s="1">
        <v>46221</v>
      </c>
      <c r="Q382" s="2">
        <v>159.16999999999999</v>
      </c>
      <c r="R382" t="s">
        <v>58</v>
      </c>
      <c r="S382" s="3">
        <v>0.15</v>
      </c>
      <c r="T382" t="s">
        <v>238</v>
      </c>
      <c r="U382" t="s">
        <v>239</v>
      </c>
      <c r="V382" s="2">
        <v>23.88</v>
      </c>
      <c r="W382" s="2">
        <v>23.88</v>
      </c>
      <c r="X382" s="2">
        <v>23.88</v>
      </c>
      <c r="Y382" t="s">
        <v>238</v>
      </c>
      <c r="Z382" t="s">
        <v>1062</v>
      </c>
    </row>
    <row r="383" spans="1:26" x14ac:dyDescent="0.25">
      <c r="A383">
        <v>2028471502</v>
      </c>
      <c r="B383" t="s">
        <v>441</v>
      </c>
      <c r="C383" t="s">
        <v>199</v>
      </c>
      <c r="D383" t="str">
        <f>CONCATENATE(C383," ",B383)</f>
        <v>FRANCIS SLIFKA</v>
      </c>
      <c r="E383" t="s">
        <v>327</v>
      </c>
      <c r="F383" t="s">
        <v>182</v>
      </c>
      <c r="G383" t="s">
        <v>183</v>
      </c>
      <c r="H383" t="s">
        <v>183</v>
      </c>
      <c r="I383" s="11" t="s">
        <v>1017</v>
      </c>
      <c r="J383" t="s">
        <v>328</v>
      </c>
      <c r="K383" t="s">
        <v>329</v>
      </c>
      <c r="L383" t="str">
        <f>CONCATENATE(K383," ",J383)</f>
        <v>CHRISTIAN TAUGNER</v>
      </c>
      <c r="M383" t="s">
        <v>57</v>
      </c>
      <c r="N383" s="1">
        <v>45765</v>
      </c>
      <c r="P383" s="1">
        <v>46221</v>
      </c>
      <c r="Q383" s="2">
        <v>41.98</v>
      </c>
      <c r="R383" t="s">
        <v>58</v>
      </c>
      <c r="S383" s="3">
        <v>0.15</v>
      </c>
      <c r="T383" t="s">
        <v>238</v>
      </c>
      <c r="U383" t="s">
        <v>239</v>
      </c>
      <c r="V383" s="2">
        <v>6.3</v>
      </c>
      <c r="W383" s="2">
        <v>6.3</v>
      </c>
      <c r="X383" s="2">
        <v>6.3</v>
      </c>
      <c r="Y383" t="s">
        <v>238</v>
      </c>
      <c r="Z383" t="s">
        <v>1062</v>
      </c>
    </row>
    <row r="384" spans="1:26" x14ac:dyDescent="0.25">
      <c r="A384">
        <v>2028471687</v>
      </c>
      <c r="B384" t="s">
        <v>322</v>
      </c>
      <c r="C384" t="s">
        <v>323</v>
      </c>
      <c r="D384" t="str">
        <f>CONCATENATE(C384," ",B384)</f>
        <v>DALE WALENGA</v>
      </c>
      <c r="E384" t="s">
        <v>119</v>
      </c>
      <c r="F384" t="s">
        <v>182</v>
      </c>
      <c r="G384" t="s">
        <v>183</v>
      </c>
      <c r="H384" t="s">
        <v>183</v>
      </c>
      <c r="I384" s="11" t="s">
        <v>1026</v>
      </c>
      <c r="J384" t="s">
        <v>128</v>
      </c>
      <c r="K384" t="s">
        <v>129</v>
      </c>
      <c r="L384" t="str">
        <f>CONCATENATE(K384," ",J384)</f>
        <v>Dale Walenga</v>
      </c>
      <c r="M384" t="s">
        <v>57</v>
      </c>
      <c r="N384" s="1">
        <v>45765</v>
      </c>
      <c r="P384" s="1">
        <v>46221</v>
      </c>
      <c r="Q384" s="2">
        <v>51</v>
      </c>
      <c r="R384" t="s">
        <v>58</v>
      </c>
      <c r="S384" s="3">
        <v>0.15</v>
      </c>
      <c r="T384" t="s">
        <v>238</v>
      </c>
      <c r="U384" t="s">
        <v>239</v>
      </c>
      <c r="V384" s="2">
        <v>7.65</v>
      </c>
      <c r="W384" s="2">
        <v>7.65</v>
      </c>
      <c r="X384" s="2">
        <v>7.65</v>
      </c>
      <c r="Y384" t="s">
        <v>238</v>
      </c>
      <c r="Z384" t="s">
        <v>1062</v>
      </c>
    </row>
    <row r="385" spans="1:26" x14ac:dyDescent="0.25">
      <c r="A385">
        <v>2028782159</v>
      </c>
      <c r="B385" t="s">
        <v>442</v>
      </c>
      <c r="C385" t="s">
        <v>443</v>
      </c>
      <c r="D385" t="str">
        <f>CONCATENATE(C385," ",B385)</f>
        <v>LESLIE KEE</v>
      </c>
      <c r="E385" t="s">
        <v>292</v>
      </c>
      <c r="F385" t="s">
        <v>182</v>
      </c>
      <c r="G385" t="s">
        <v>183</v>
      </c>
      <c r="H385" t="s">
        <v>183</v>
      </c>
      <c r="I385" s="11">
        <v>21435997</v>
      </c>
      <c r="J385" t="s">
        <v>444</v>
      </c>
      <c r="K385" t="s">
        <v>445</v>
      </c>
      <c r="L385" t="str">
        <f>CONCATENATE(K385," ",J385)</f>
        <v>Christopher Brousseau</v>
      </c>
      <c r="M385" t="s">
        <v>57</v>
      </c>
      <c r="N385" s="1">
        <v>45792</v>
      </c>
      <c r="P385" s="1">
        <v>46218</v>
      </c>
      <c r="Q385" s="2">
        <v>48.76</v>
      </c>
      <c r="R385" t="s">
        <v>58</v>
      </c>
      <c r="S385" s="3">
        <v>0.15</v>
      </c>
      <c r="T385" t="s">
        <v>238</v>
      </c>
      <c r="U385" t="s">
        <v>239</v>
      </c>
      <c r="V385" s="2">
        <v>7.31</v>
      </c>
      <c r="W385" s="2">
        <v>7.31</v>
      </c>
      <c r="X385" s="2">
        <v>7.31</v>
      </c>
      <c r="Y385" t="s">
        <v>238</v>
      </c>
      <c r="Z385" t="s">
        <v>1062</v>
      </c>
    </row>
    <row r="386" spans="1:26" x14ac:dyDescent="0.25">
      <c r="A386">
        <v>2028881458</v>
      </c>
      <c r="B386" t="s">
        <v>446</v>
      </c>
      <c r="C386" t="s">
        <v>447</v>
      </c>
      <c r="D386" t="str">
        <f>CONCATENATE(C386," ",B386)</f>
        <v>NORA DANIEL</v>
      </c>
      <c r="E386" t="s">
        <v>119</v>
      </c>
      <c r="F386" t="s">
        <v>182</v>
      </c>
      <c r="G386" t="s">
        <v>183</v>
      </c>
      <c r="H386" t="s">
        <v>183</v>
      </c>
      <c r="I386" s="11">
        <v>9213293</v>
      </c>
      <c r="J386" t="s">
        <v>414</v>
      </c>
      <c r="K386" t="s">
        <v>415</v>
      </c>
      <c r="L386" t="str">
        <f>CONCATENATE(K386," ",J386)</f>
        <v>GARY PORTUGAL</v>
      </c>
      <c r="M386" t="s">
        <v>57</v>
      </c>
      <c r="N386" s="1">
        <v>45793</v>
      </c>
      <c r="P386" s="1">
        <v>46219</v>
      </c>
      <c r="Q386" s="2">
        <v>27.19</v>
      </c>
      <c r="R386" t="s">
        <v>58</v>
      </c>
      <c r="S386" s="3">
        <v>0.15</v>
      </c>
      <c r="T386" t="s">
        <v>238</v>
      </c>
      <c r="U386" t="s">
        <v>239</v>
      </c>
      <c r="V386" s="2">
        <v>4.08</v>
      </c>
      <c r="W386" s="2">
        <v>4.08</v>
      </c>
      <c r="X386" s="2">
        <v>4.08</v>
      </c>
      <c r="Y386" t="s">
        <v>238</v>
      </c>
      <c r="Z386" t="s">
        <v>1062</v>
      </c>
    </row>
    <row r="387" spans="1:26" x14ac:dyDescent="0.25">
      <c r="A387">
        <v>2028912654</v>
      </c>
      <c r="B387" t="s">
        <v>448</v>
      </c>
      <c r="C387" t="s">
        <v>254</v>
      </c>
      <c r="D387" t="str">
        <f>CONCATENATE(C387," ",B387)</f>
        <v>KEVIN II</v>
      </c>
      <c r="E387" t="s">
        <v>292</v>
      </c>
      <c r="F387" t="s">
        <v>182</v>
      </c>
      <c r="G387" t="s">
        <v>183</v>
      </c>
      <c r="H387" t="s">
        <v>183</v>
      </c>
      <c r="I387" s="11" t="s">
        <v>1001</v>
      </c>
      <c r="J387" t="s">
        <v>73</v>
      </c>
      <c r="K387" t="s">
        <v>116</v>
      </c>
      <c r="L387" t="str">
        <f>CONCATENATE(K387," ",J387)</f>
        <v>Richard Yale</v>
      </c>
      <c r="M387" t="s">
        <v>57</v>
      </c>
      <c r="N387" s="1">
        <v>45791</v>
      </c>
      <c r="P387" s="1">
        <v>46217</v>
      </c>
      <c r="Q387" s="2">
        <v>150.66</v>
      </c>
      <c r="R387" t="s">
        <v>58</v>
      </c>
      <c r="S387" s="3">
        <v>0.15</v>
      </c>
      <c r="T387" t="s">
        <v>238</v>
      </c>
      <c r="U387" t="s">
        <v>239</v>
      </c>
      <c r="V387" s="2">
        <v>22.6</v>
      </c>
      <c r="W387" s="2">
        <v>22.6</v>
      </c>
      <c r="X387" s="2">
        <v>22.6</v>
      </c>
      <c r="Y387" t="s">
        <v>238</v>
      </c>
      <c r="Z387" t="s">
        <v>1062</v>
      </c>
    </row>
    <row r="388" spans="1:26" x14ac:dyDescent="0.25">
      <c r="A388">
        <v>2028930864</v>
      </c>
      <c r="B388" t="s">
        <v>449</v>
      </c>
      <c r="C388" t="s">
        <v>450</v>
      </c>
      <c r="D388" t="str">
        <f>CONCATENATE(C388," ",B388)</f>
        <v>CORAL COOPER</v>
      </c>
      <c r="E388" t="s">
        <v>327</v>
      </c>
      <c r="F388" t="s">
        <v>182</v>
      </c>
      <c r="G388" t="s">
        <v>183</v>
      </c>
      <c r="H388" t="s">
        <v>183</v>
      </c>
      <c r="I388" s="11" t="s">
        <v>1017</v>
      </c>
      <c r="J388" t="s">
        <v>328</v>
      </c>
      <c r="K388" t="s">
        <v>329</v>
      </c>
      <c r="L388" t="str">
        <f>CONCATENATE(K388," ",J388)</f>
        <v>CHRISTIAN TAUGNER</v>
      </c>
      <c r="M388" t="s">
        <v>57</v>
      </c>
      <c r="N388" s="1">
        <v>45793</v>
      </c>
      <c r="P388" s="1">
        <v>46219</v>
      </c>
      <c r="Q388" s="2">
        <v>107.87</v>
      </c>
      <c r="R388" t="s">
        <v>58</v>
      </c>
      <c r="S388" s="3">
        <v>0.15</v>
      </c>
      <c r="T388" t="s">
        <v>238</v>
      </c>
      <c r="U388" t="s">
        <v>239</v>
      </c>
      <c r="V388" s="2">
        <v>16.18</v>
      </c>
      <c r="W388" s="2">
        <v>16.18</v>
      </c>
      <c r="X388" s="2">
        <v>16.18</v>
      </c>
      <c r="Y388" t="s">
        <v>238</v>
      </c>
      <c r="Z388" t="s">
        <v>1062</v>
      </c>
    </row>
    <row r="389" spans="1:26" x14ac:dyDescent="0.25">
      <c r="A389">
        <v>2028931111</v>
      </c>
      <c r="B389" t="s">
        <v>451</v>
      </c>
      <c r="C389" t="s">
        <v>452</v>
      </c>
      <c r="D389" t="str">
        <f>CONCATENATE(C389," ",B389)</f>
        <v>ELIZABETH BURI</v>
      </c>
      <c r="E389" t="s">
        <v>327</v>
      </c>
      <c r="F389" t="s">
        <v>182</v>
      </c>
      <c r="G389" t="s">
        <v>183</v>
      </c>
      <c r="H389" t="s">
        <v>183</v>
      </c>
      <c r="I389" s="11" t="s">
        <v>1017</v>
      </c>
      <c r="J389" t="s">
        <v>328</v>
      </c>
      <c r="K389" t="s">
        <v>329</v>
      </c>
      <c r="L389" t="str">
        <f>CONCATENATE(K389," ",J389)</f>
        <v>CHRISTIAN TAUGNER</v>
      </c>
      <c r="M389" t="s">
        <v>57</v>
      </c>
      <c r="N389" s="1">
        <v>45793</v>
      </c>
      <c r="P389" s="1">
        <v>46219</v>
      </c>
      <c r="Q389" s="2">
        <v>107.87</v>
      </c>
      <c r="R389" t="s">
        <v>58</v>
      </c>
      <c r="S389" s="3">
        <v>0.15</v>
      </c>
      <c r="T389" t="s">
        <v>238</v>
      </c>
      <c r="U389" t="s">
        <v>239</v>
      </c>
      <c r="V389" s="2">
        <v>16.18</v>
      </c>
      <c r="W389" s="2">
        <v>16.18</v>
      </c>
      <c r="X389" s="2">
        <v>16.18</v>
      </c>
      <c r="Y389" t="s">
        <v>238</v>
      </c>
      <c r="Z389" t="s">
        <v>1062</v>
      </c>
    </row>
    <row r="390" spans="1:26" x14ac:dyDescent="0.25">
      <c r="A390">
        <v>2028935095</v>
      </c>
      <c r="B390" t="s">
        <v>330</v>
      </c>
      <c r="C390" t="s">
        <v>331</v>
      </c>
      <c r="D390" t="str">
        <f>CONCATENATE(C390," ",B390)</f>
        <v>JUANITA SINGH</v>
      </c>
      <c r="E390" t="s">
        <v>95</v>
      </c>
      <c r="F390" t="s">
        <v>182</v>
      </c>
      <c r="G390" t="s">
        <v>183</v>
      </c>
      <c r="H390" t="s">
        <v>183</v>
      </c>
      <c r="I390" s="11" t="s">
        <v>1018</v>
      </c>
      <c r="J390" t="s">
        <v>332</v>
      </c>
      <c r="K390" t="s">
        <v>333</v>
      </c>
      <c r="L390" t="str">
        <f>CONCATENATE(K390," ",J390)</f>
        <v>Barry Schumann</v>
      </c>
      <c r="M390" t="s">
        <v>57</v>
      </c>
      <c r="N390" s="1">
        <v>45792</v>
      </c>
      <c r="P390" s="1">
        <v>46218</v>
      </c>
      <c r="Q390" s="2">
        <v>12.83</v>
      </c>
      <c r="R390" t="s">
        <v>58</v>
      </c>
      <c r="S390" s="3">
        <v>0.15</v>
      </c>
      <c r="T390" t="s">
        <v>238</v>
      </c>
      <c r="U390" t="s">
        <v>239</v>
      </c>
      <c r="V390" s="2">
        <v>1.92</v>
      </c>
      <c r="W390" s="2">
        <v>1.92</v>
      </c>
      <c r="X390" s="2">
        <v>1.92</v>
      </c>
      <c r="Y390" t="s">
        <v>238</v>
      </c>
      <c r="Z390" t="s">
        <v>1062</v>
      </c>
    </row>
    <row r="391" spans="1:26" x14ac:dyDescent="0.25">
      <c r="A391">
        <v>2028937037</v>
      </c>
      <c r="B391" t="s">
        <v>453</v>
      </c>
      <c r="C391" t="s">
        <v>454</v>
      </c>
      <c r="D391" t="str">
        <f>CONCATENATE(C391," ",B391)</f>
        <v>HOLLY STAMPER</v>
      </c>
      <c r="E391" t="s">
        <v>327</v>
      </c>
      <c r="F391" t="s">
        <v>182</v>
      </c>
      <c r="G391" t="s">
        <v>183</v>
      </c>
      <c r="H391" t="s">
        <v>183</v>
      </c>
      <c r="I391" s="11" t="s">
        <v>1017</v>
      </c>
      <c r="J391" t="s">
        <v>328</v>
      </c>
      <c r="K391" t="s">
        <v>329</v>
      </c>
      <c r="L391" t="str">
        <f>CONCATENATE(K391," ",J391)</f>
        <v>CHRISTIAN TAUGNER</v>
      </c>
      <c r="M391" t="s">
        <v>57</v>
      </c>
      <c r="N391" s="1">
        <v>45793</v>
      </c>
      <c r="P391" s="1">
        <v>46219</v>
      </c>
      <c r="Q391" s="2">
        <v>107.87</v>
      </c>
      <c r="R391" t="s">
        <v>58</v>
      </c>
      <c r="S391" s="3">
        <v>0.15</v>
      </c>
      <c r="T391" t="s">
        <v>238</v>
      </c>
      <c r="U391" t="s">
        <v>239</v>
      </c>
      <c r="V391" s="2">
        <v>16.18</v>
      </c>
      <c r="W391" s="2">
        <v>16.18</v>
      </c>
      <c r="X391" s="2">
        <v>16.18</v>
      </c>
      <c r="Y391" t="s">
        <v>238</v>
      </c>
      <c r="Z391" t="s">
        <v>1062</v>
      </c>
    </row>
    <row r="392" spans="1:26" x14ac:dyDescent="0.25">
      <c r="A392">
        <v>2028946855</v>
      </c>
      <c r="B392" t="s">
        <v>458</v>
      </c>
      <c r="C392" t="s">
        <v>459</v>
      </c>
      <c r="D392" t="str">
        <f>CONCATENATE(C392," ",B392)</f>
        <v>GAGE PANTEL</v>
      </c>
      <c r="E392" t="s">
        <v>327</v>
      </c>
      <c r="F392" t="s">
        <v>182</v>
      </c>
      <c r="G392" t="s">
        <v>183</v>
      </c>
      <c r="H392" t="s">
        <v>183</v>
      </c>
      <c r="I392" s="11" t="s">
        <v>1017</v>
      </c>
      <c r="J392" t="s">
        <v>328</v>
      </c>
      <c r="K392" t="s">
        <v>329</v>
      </c>
      <c r="L392" t="str">
        <f>CONCATENATE(K392," ",J392)</f>
        <v>CHRISTIAN TAUGNER</v>
      </c>
      <c r="M392" t="s">
        <v>57</v>
      </c>
      <c r="N392" s="1">
        <v>45793</v>
      </c>
      <c r="P392" s="1">
        <v>46219</v>
      </c>
      <c r="Q392" s="2">
        <v>19</v>
      </c>
      <c r="R392" t="s">
        <v>58</v>
      </c>
      <c r="S392" s="3">
        <v>0.15</v>
      </c>
      <c r="T392" t="s">
        <v>238</v>
      </c>
      <c r="U392" t="s">
        <v>239</v>
      </c>
      <c r="V392" s="2">
        <v>2.85</v>
      </c>
      <c r="W392" s="2">
        <v>2.85</v>
      </c>
      <c r="X392" s="2">
        <v>2.85</v>
      </c>
      <c r="Y392" t="s">
        <v>238</v>
      </c>
      <c r="Z392" t="s">
        <v>1062</v>
      </c>
    </row>
    <row r="393" spans="1:26" x14ac:dyDescent="0.25">
      <c r="A393">
        <v>2028958357</v>
      </c>
      <c r="B393" t="s">
        <v>334</v>
      </c>
      <c r="C393" t="s">
        <v>335</v>
      </c>
      <c r="D393" t="str">
        <f>CONCATENATE(C393," ",B393)</f>
        <v>DAVID WRING</v>
      </c>
      <c r="E393" t="s">
        <v>119</v>
      </c>
      <c r="F393" t="s">
        <v>182</v>
      </c>
      <c r="G393" t="s">
        <v>183</v>
      </c>
      <c r="H393" t="s">
        <v>183</v>
      </c>
      <c r="I393" s="11">
        <v>8977234</v>
      </c>
      <c r="J393" t="s">
        <v>85</v>
      </c>
      <c r="K393" t="s">
        <v>86</v>
      </c>
      <c r="L393" t="str">
        <f>CONCATENATE(K393," ",J393)</f>
        <v>RYAN CALTAGIRONE</v>
      </c>
      <c r="M393" t="s">
        <v>57</v>
      </c>
      <c r="N393" s="1">
        <v>45793</v>
      </c>
      <c r="P393" s="1">
        <v>46219</v>
      </c>
      <c r="Q393" s="2">
        <v>118.33</v>
      </c>
      <c r="R393" t="s">
        <v>58</v>
      </c>
      <c r="S393" s="3">
        <v>0.15</v>
      </c>
      <c r="T393" t="s">
        <v>238</v>
      </c>
      <c r="U393" t="s">
        <v>239</v>
      </c>
      <c r="V393" s="2">
        <v>17.75</v>
      </c>
      <c r="W393" s="2">
        <v>17.75</v>
      </c>
      <c r="X393" s="2">
        <v>17.75</v>
      </c>
      <c r="Y393" t="s">
        <v>238</v>
      </c>
      <c r="Z393" t="s">
        <v>1062</v>
      </c>
    </row>
    <row r="394" spans="1:26" x14ac:dyDescent="0.25">
      <c r="A394">
        <v>2028962513</v>
      </c>
      <c r="B394" t="s">
        <v>460</v>
      </c>
      <c r="C394" t="s">
        <v>127</v>
      </c>
      <c r="D394" t="str">
        <f>CONCATENATE(C394," ",B394)</f>
        <v>JENNIFER PATTEN</v>
      </c>
      <c r="E394" t="s">
        <v>95</v>
      </c>
      <c r="F394" t="s">
        <v>182</v>
      </c>
      <c r="G394" t="s">
        <v>183</v>
      </c>
      <c r="H394" t="s">
        <v>183</v>
      </c>
      <c r="I394" s="11" t="s">
        <v>1028</v>
      </c>
      <c r="J394" t="s">
        <v>406</v>
      </c>
      <c r="K394" t="s">
        <v>407</v>
      </c>
      <c r="L394" t="str">
        <f>CONCATENATE(K394," ",J394)</f>
        <v>BARRY BRENNER</v>
      </c>
      <c r="M394" t="s">
        <v>57</v>
      </c>
      <c r="N394" s="1">
        <v>45793</v>
      </c>
      <c r="P394" s="1">
        <v>46219</v>
      </c>
      <c r="Q394" s="2">
        <v>25.36</v>
      </c>
      <c r="R394" t="s">
        <v>58</v>
      </c>
      <c r="S394" s="3">
        <v>0.15</v>
      </c>
      <c r="T394" t="s">
        <v>238</v>
      </c>
      <c r="U394" t="s">
        <v>239</v>
      </c>
      <c r="V394" s="2">
        <v>3.8</v>
      </c>
      <c r="W394" s="2">
        <v>3.8</v>
      </c>
      <c r="X394" s="2">
        <v>3.8</v>
      </c>
      <c r="Y394" t="s">
        <v>238</v>
      </c>
      <c r="Z394" t="s">
        <v>1062</v>
      </c>
    </row>
    <row r="395" spans="1:26" x14ac:dyDescent="0.25">
      <c r="A395">
        <v>2028963797</v>
      </c>
      <c r="B395" t="s">
        <v>461</v>
      </c>
      <c r="C395" t="s">
        <v>446</v>
      </c>
      <c r="D395" t="str">
        <f>CONCATENATE(C395," ",B395)</f>
        <v>DANIEL NINO</v>
      </c>
      <c r="E395" t="s">
        <v>119</v>
      </c>
      <c r="F395" t="s">
        <v>182</v>
      </c>
      <c r="G395" t="s">
        <v>183</v>
      </c>
      <c r="H395" t="s">
        <v>183</v>
      </c>
      <c r="I395" s="11" t="s">
        <v>1028</v>
      </c>
      <c r="J395" t="s">
        <v>406</v>
      </c>
      <c r="K395" t="s">
        <v>407</v>
      </c>
      <c r="L395" t="str">
        <f>CONCATENATE(K395," ",J395)</f>
        <v>BARRY BRENNER</v>
      </c>
      <c r="M395" t="s">
        <v>57</v>
      </c>
      <c r="N395" s="1">
        <v>45793</v>
      </c>
      <c r="P395" s="1">
        <v>46219</v>
      </c>
      <c r="Q395" s="2">
        <v>11.5</v>
      </c>
      <c r="R395" t="s">
        <v>58</v>
      </c>
      <c r="S395" s="3">
        <v>0.15</v>
      </c>
      <c r="T395" t="s">
        <v>238</v>
      </c>
      <c r="U395" t="s">
        <v>239</v>
      </c>
      <c r="V395" s="2">
        <v>1.72</v>
      </c>
      <c r="W395" s="2">
        <v>1.72</v>
      </c>
      <c r="X395" s="2">
        <v>1.72</v>
      </c>
      <c r="Y395" t="s">
        <v>238</v>
      </c>
      <c r="Z395" t="s">
        <v>1062</v>
      </c>
    </row>
    <row r="396" spans="1:26" x14ac:dyDescent="0.25">
      <c r="A396">
        <v>2028965776</v>
      </c>
      <c r="B396" t="s">
        <v>336</v>
      </c>
      <c r="C396" t="s">
        <v>208</v>
      </c>
      <c r="D396" t="str">
        <f>CONCATENATE(C396," ",B396)</f>
        <v>MELISSA FUENTES</v>
      </c>
      <c r="E396" t="s">
        <v>119</v>
      </c>
      <c r="F396" t="s">
        <v>182</v>
      </c>
      <c r="G396" t="s">
        <v>183</v>
      </c>
      <c r="H396" t="s">
        <v>183</v>
      </c>
      <c r="I396" s="11" t="s">
        <v>1019</v>
      </c>
      <c r="J396" t="s">
        <v>336</v>
      </c>
      <c r="K396" t="s">
        <v>337</v>
      </c>
      <c r="L396" t="str">
        <f>CONCATENATE(K396," ",J396)</f>
        <v>VICTOR FUENTES</v>
      </c>
      <c r="M396" t="s">
        <v>57</v>
      </c>
      <c r="N396" s="1">
        <v>45793</v>
      </c>
      <c r="P396" s="1">
        <v>46219</v>
      </c>
      <c r="Q396" s="2">
        <v>58.24</v>
      </c>
      <c r="R396" t="s">
        <v>58</v>
      </c>
      <c r="S396" s="3">
        <v>0.15</v>
      </c>
      <c r="T396" t="s">
        <v>238</v>
      </c>
      <c r="U396" t="s">
        <v>239</v>
      </c>
      <c r="V396" s="2">
        <v>8.74</v>
      </c>
      <c r="W396" s="2">
        <v>8.74</v>
      </c>
      <c r="X396" s="2">
        <v>8.74</v>
      </c>
      <c r="Y396" t="s">
        <v>238</v>
      </c>
      <c r="Z396" t="s">
        <v>1062</v>
      </c>
    </row>
    <row r="397" spans="1:26" x14ac:dyDescent="0.25">
      <c r="A397">
        <v>2028965822</v>
      </c>
      <c r="B397" t="s">
        <v>462</v>
      </c>
      <c r="C397" t="s">
        <v>463</v>
      </c>
      <c r="D397" t="str">
        <f>CONCATENATE(C397," ",B397)</f>
        <v>OLIVIA FUENTES-DIETSCH</v>
      </c>
      <c r="E397" t="s">
        <v>339</v>
      </c>
      <c r="F397" t="s">
        <v>182</v>
      </c>
      <c r="G397" t="s">
        <v>183</v>
      </c>
      <c r="H397" t="s">
        <v>183</v>
      </c>
      <c r="I397" s="11" t="s">
        <v>1019</v>
      </c>
      <c r="J397" t="s">
        <v>336</v>
      </c>
      <c r="K397" t="s">
        <v>337</v>
      </c>
      <c r="L397" t="str">
        <f>CONCATENATE(K397," ",J397)</f>
        <v>VICTOR FUENTES</v>
      </c>
      <c r="M397" t="s">
        <v>57</v>
      </c>
      <c r="N397" s="1">
        <v>45793</v>
      </c>
      <c r="P397" s="1">
        <v>46219</v>
      </c>
      <c r="Q397" s="2">
        <v>34</v>
      </c>
      <c r="R397" t="s">
        <v>58</v>
      </c>
      <c r="S397" s="3">
        <v>0.15</v>
      </c>
      <c r="T397" t="s">
        <v>238</v>
      </c>
      <c r="U397" t="s">
        <v>239</v>
      </c>
      <c r="V397" s="2">
        <v>5.0999999999999996</v>
      </c>
      <c r="W397" s="2">
        <v>5.0999999999999996</v>
      </c>
      <c r="X397" s="2">
        <v>5.0999999999999996</v>
      </c>
      <c r="Y397" t="s">
        <v>238</v>
      </c>
      <c r="Z397" t="s">
        <v>1062</v>
      </c>
    </row>
    <row r="398" spans="1:26" x14ac:dyDescent="0.25">
      <c r="A398">
        <v>2028977072</v>
      </c>
      <c r="B398" t="s">
        <v>464</v>
      </c>
      <c r="C398" t="s">
        <v>388</v>
      </c>
      <c r="D398" t="str">
        <f>CONCATENATE(C398," ",B398)</f>
        <v>SYDNEY WEBSTER</v>
      </c>
      <c r="E398" t="s">
        <v>186</v>
      </c>
      <c r="F398" t="s">
        <v>182</v>
      </c>
      <c r="G398" t="s">
        <v>183</v>
      </c>
      <c r="H398" t="s">
        <v>183</v>
      </c>
      <c r="I398" s="11" t="s">
        <v>1030</v>
      </c>
      <c r="J398" t="s">
        <v>465</v>
      </c>
      <c r="K398" t="s">
        <v>466</v>
      </c>
      <c r="L398" t="str">
        <f>CONCATENATE(K398," ",J398)</f>
        <v>Kirk Tigue</v>
      </c>
      <c r="M398" t="s">
        <v>57</v>
      </c>
      <c r="N398" s="1">
        <v>45794</v>
      </c>
      <c r="P398" s="1">
        <v>46220</v>
      </c>
      <c r="Q398" s="2">
        <v>50.6</v>
      </c>
      <c r="R398" t="s">
        <v>58</v>
      </c>
      <c r="S398" s="3">
        <v>0.15</v>
      </c>
      <c r="T398" t="s">
        <v>238</v>
      </c>
      <c r="U398" t="s">
        <v>239</v>
      </c>
      <c r="V398" s="2">
        <v>7.59</v>
      </c>
      <c r="W398" s="2">
        <v>7.59</v>
      </c>
      <c r="X398" s="2">
        <v>7.59</v>
      </c>
      <c r="Y398" t="s">
        <v>238</v>
      </c>
      <c r="Z398" t="s">
        <v>1062</v>
      </c>
    </row>
    <row r="399" spans="1:26" x14ac:dyDescent="0.25">
      <c r="A399">
        <v>2028995188</v>
      </c>
      <c r="B399" t="s">
        <v>467</v>
      </c>
      <c r="C399" t="s">
        <v>468</v>
      </c>
      <c r="D399" t="str">
        <f>CONCATENATE(C399," ",B399)</f>
        <v>JODY SCHNEIDERMAN</v>
      </c>
      <c r="E399" t="s">
        <v>119</v>
      </c>
      <c r="F399" t="s">
        <v>182</v>
      </c>
      <c r="G399" t="s">
        <v>183</v>
      </c>
      <c r="H399" t="s">
        <v>183</v>
      </c>
      <c r="I399" s="11">
        <v>9213293</v>
      </c>
      <c r="J399" t="s">
        <v>414</v>
      </c>
      <c r="K399" t="s">
        <v>415</v>
      </c>
      <c r="L399" t="str">
        <f>CONCATENATE(K399," ",J399)</f>
        <v>GARY PORTUGAL</v>
      </c>
      <c r="M399" t="s">
        <v>57</v>
      </c>
      <c r="N399" s="1">
        <v>45795</v>
      </c>
      <c r="P399" s="1">
        <v>46221</v>
      </c>
      <c r="Q399" s="2">
        <v>27.5</v>
      </c>
      <c r="R399" t="s">
        <v>58</v>
      </c>
      <c r="S399" s="3">
        <v>0.15</v>
      </c>
      <c r="T399" t="s">
        <v>238</v>
      </c>
      <c r="U399" t="s">
        <v>239</v>
      </c>
      <c r="V399" s="2">
        <v>4.12</v>
      </c>
      <c r="W399" s="2">
        <v>4.12</v>
      </c>
      <c r="X399" s="2">
        <v>4.12</v>
      </c>
      <c r="Y399" t="s">
        <v>238</v>
      </c>
      <c r="Z399" t="s">
        <v>1062</v>
      </c>
    </row>
    <row r="400" spans="1:26" x14ac:dyDescent="0.25">
      <c r="A400">
        <v>2029185272</v>
      </c>
      <c r="B400" t="s">
        <v>340</v>
      </c>
      <c r="C400" t="s">
        <v>341</v>
      </c>
      <c r="D400" t="str">
        <f>CONCATENATE(C400," ",B400)</f>
        <v>JILL MCKEE</v>
      </c>
      <c r="E400" t="s">
        <v>342</v>
      </c>
      <c r="F400" t="s">
        <v>182</v>
      </c>
      <c r="G400" t="s">
        <v>183</v>
      </c>
      <c r="H400" t="s">
        <v>183</v>
      </c>
      <c r="I400" s="11">
        <v>8977234</v>
      </c>
      <c r="J400" t="s">
        <v>85</v>
      </c>
      <c r="K400" t="s">
        <v>86</v>
      </c>
      <c r="L400" t="str">
        <f>CONCATENATE(K400," ",J400)</f>
        <v>RYAN CALTAGIRONE</v>
      </c>
      <c r="M400" t="s">
        <v>57</v>
      </c>
      <c r="N400" s="1">
        <v>45825</v>
      </c>
      <c r="P400" s="1">
        <v>46220</v>
      </c>
      <c r="Q400" s="2">
        <v>10.82</v>
      </c>
      <c r="R400" t="s">
        <v>58</v>
      </c>
      <c r="S400" s="3">
        <v>0.15</v>
      </c>
      <c r="T400" t="s">
        <v>238</v>
      </c>
      <c r="U400" t="s">
        <v>239</v>
      </c>
      <c r="V400" s="2">
        <v>1.62</v>
      </c>
      <c r="W400" s="2">
        <v>1.62</v>
      </c>
      <c r="X400" s="2">
        <v>1.62</v>
      </c>
      <c r="Y400" t="s">
        <v>238</v>
      </c>
      <c r="Z400" t="s">
        <v>1062</v>
      </c>
    </row>
    <row r="401" spans="1:26" x14ac:dyDescent="0.25">
      <c r="A401">
        <v>2029402295</v>
      </c>
      <c r="B401" t="s">
        <v>471</v>
      </c>
      <c r="C401" t="s">
        <v>472</v>
      </c>
      <c r="D401" t="str">
        <f>CONCATENATE(C401," ",B401)</f>
        <v>MARIELLE FARIA</v>
      </c>
      <c r="E401" t="s">
        <v>119</v>
      </c>
      <c r="F401" t="s">
        <v>182</v>
      </c>
      <c r="G401" t="s">
        <v>183</v>
      </c>
      <c r="H401" t="s">
        <v>183</v>
      </c>
      <c r="I401" s="11" t="s">
        <v>1031</v>
      </c>
      <c r="J401" t="s">
        <v>473</v>
      </c>
      <c r="K401" t="s">
        <v>474</v>
      </c>
      <c r="L401" t="str">
        <f>CONCATENATE(K401," ",J401)</f>
        <v>James Allen</v>
      </c>
      <c r="M401" t="s">
        <v>57</v>
      </c>
      <c r="N401" s="1">
        <v>45821</v>
      </c>
      <c r="P401" s="1">
        <v>46216</v>
      </c>
      <c r="Q401" s="2">
        <v>42.38</v>
      </c>
      <c r="R401" t="s">
        <v>58</v>
      </c>
      <c r="S401" s="3">
        <v>0.15</v>
      </c>
      <c r="T401" t="s">
        <v>238</v>
      </c>
      <c r="U401" t="s">
        <v>239</v>
      </c>
      <c r="V401" s="2">
        <v>6.36</v>
      </c>
      <c r="W401" s="2">
        <v>6.36</v>
      </c>
      <c r="X401" s="2">
        <v>6.36</v>
      </c>
      <c r="Y401" t="s">
        <v>238</v>
      </c>
      <c r="Z401" t="s">
        <v>1062</v>
      </c>
    </row>
    <row r="402" spans="1:26" x14ac:dyDescent="0.25">
      <c r="A402">
        <v>2029432398</v>
      </c>
      <c r="B402" t="s">
        <v>475</v>
      </c>
      <c r="C402" t="s">
        <v>476</v>
      </c>
      <c r="D402" t="str">
        <f>CONCATENATE(C402," ",B402)</f>
        <v>TSENGELMAA DORJKHAND</v>
      </c>
      <c r="E402" t="s">
        <v>119</v>
      </c>
      <c r="F402" t="s">
        <v>182</v>
      </c>
      <c r="G402" t="s">
        <v>183</v>
      </c>
      <c r="H402" t="s">
        <v>183</v>
      </c>
      <c r="I402" s="11" t="s">
        <v>1032</v>
      </c>
      <c r="J402" t="s">
        <v>216</v>
      </c>
      <c r="K402" t="s">
        <v>217</v>
      </c>
      <c r="L402" t="str">
        <f>CONCATENATE(K402," ",J402)</f>
        <v>NASANDELGER ZANA</v>
      </c>
      <c r="M402" t="s">
        <v>57</v>
      </c>
      <c r="N402" s="1">
        <v>45821</v>
      </c>
      <c r="P402" s="1">
        <v>46216</v>
      </c>
      <c r="Q402" s="2">
        <v>19</v>
      </c>
      <c r="R402" t="s">
        <v>58</v>
      </c>
      <c r="S402" s="3">
        <v>0.15</v>
      </c>
      <c r="T402" t="s">
        <v>238</v>
      </c>
      <c r="U402" t="s">
        <v>239</v>
      </c>
      <c r="V402" s="2">
        <v>2.85</v>
      </c>
      <c r="W402" s="2">
        <v>2.85</v>
      </c>
      <c r="X402" s="2">
        <v>2.85</v>
      </c>
      <c r="Y402" t="s">
        <v>238</v>
      </c>
      <c r="Z402" t="s">
        <v>1062</v>
      </c>
    </row>
    <row r="403" spans="1:26" x14ac:dyDescent="0.25">
      <c r="A403">
        <v>2029434655</v>
      </c>
      <c r="B403" t="s">
        <v>200</v>
      </c>
      <c r="C403" t="s">
        <v>477</v>
      </c>
      <c r="D403" t="str">
        <f>CONCATENATE(C403," ",B403)</f>
        <v>KATHERINE BALLARD</v>
      </c>
      <c r="E403" t="s">
        <v>95</v>
      </c>
      <c r="F403" t="s">
        <v>182</v>
      </c>
      <c r="G403" t="s">
        <v>183</v>
      </c>
      <c r="H403" t="s">
        <v>183</v>
      </c>
      <c r="I403" s="11">
        <v>18754354</v>
      </c>
      <c r="J403" t="s">
        <v>105</v>
      </c>
      <c r="K403" t="s">
        <v>106</v>
      </c>
      <c r="L403" t="str">
        <f>CONCATENATE(K403," ",J403)</f>
        <v>JACOB YALE</v>
      </c>
      <c r="M403" t="s">
        <v>57</v>
      </c>
      <c r="N403" s="1">
        <v>45821</v>
      </c>
      <c r="P403" s="1">
        <v>46216</v>
      </c>
      <c r="Q403" s="2">
        <v>100.52</v>
      </c>
      <c r="R403" t="s">
        <v>58</v>
      </c>
      <c r="S403" s="3">
        <v>0.15</v>
      </c>
      <c r="T403" t="s">
        <v>238</v>
      </c>
      <c r="U403" t="s">
        <v>239</v>
      </c>
      <c r="V403" s="2">
        <v>15.08</v>
      </c>
      <c r="W403" s="2">
        <v>15.08</v>
      </c>
      <c r="X403" s="2">
        <v>15.08</v>
      </c>
      <c r="Y403" t="s">
        <v>238</v>
      </c>
      <c r="Z403" t="s">
        <v>1062</v>
      </c>
    </row>
    <row r="404" spans="1:26" x14ac:dyDescent="0.25">
      <c r="A404">
        <v>2029481266</v>
      </c>
      <c r="B404" t="s">
        <v>478</v>
      </c>
      <c r="C404" t="s">
        <v>479</v>
      </c>
      <c r="D404" t="str">
        <f>CONCATENATE(C404," ",B404)</f>
        <v>AMBER FLATT</v>
      </c>
      <c r="E404" t="s">
        <v>209</v>
      </c>
      <c r="F404" t="s">
        <v>182</v>
      </c>
      <c r="G404" t="s">
        <v>183</v>
      </c>
      <c r="H404" t="s">
        <v>183</v>
      </c>
      <c r="I404" s="11" t="s">
        <v>1023</v>
      </c>
      <c r="J404" t="s">
        <v>229</v>
      </c>
      <c r="K404" t="s">
        <v>230</v>
      </c>
      <c r="L404" t="str">
        <f>CONCATENATE(K404," ",J404)</f>
        <v>Marsha Sanderock</v>
      </c>
      <c r="M404" t="s">
        <v>57</v>
      </c>
      <c r="N404" s="1">
        <v>45825</v>
      </c>
      <c r="P404" s="1">
        <v>46220</v>
      </c>
      <c r="Q404" s="2">
        <v>3.52</v>
      </c>
      <c r="R404" t="s">
        <v>58</v>
      </c>
      <c r="S404" s="3">
        <v>0.15</v>
      </c>
      <c r="T404" t="s">
        <v>238</v>
      </c>
      <c r="U404" t="s">
        <v>239</v>
      </c>
      <c r="V404" s="2">
        <v>0.53</v>
      </c>
      <c r="W404" s="2">
        <v>0.53</v>
      </c>
      <c r="X404" s="2">
        <v>0.53</v>
      </c>
      <c r="Y404" t="s">
        <v>238</v>
      </c>
      <c r="Z404" t="s">
        <v>1062</v>
      </c>
    </row>
    <row r="405" spans="1:26" x14ac:dyDescent="0.25">
      <c r="A405">
        <v>2029511428</v>
      </c>
      <c r="B405" t="s">
        <v>105</v>
      </c>
      <c r="C405" t="s">
        <v>437</v>
      </c>
      <c r="D405" t="str">
        <f>CONCATENATE(C405," ",B405)</f>
        <v>CHAD YALE</v>
      </c>
      <c r="E405" t="s">
        <v>119</v>
      </c>
      <c r="F405" t="s">
        <v>182</v>
      </c>
      <c r="G405" t="s">
        <v>183</v>
      </c>
      <c r="H405" t="s">
        <v>183</v>
      </c>
      <c r="I405" s="11" t="s">
        <v>1001</v>
      </c>
      <c r="J405" t="s">
        <v>73</v>
      </c>
      <c r="K405" t="s">
        <v>116</v>
      </c>
      <c r="L405" t="str">
        <f>CONCATENATE(K405," ",J405)</f>
        <v>Richard Yale</v>
      </c>
      <c r="M405" t="s">
        <v>57</v>
      </c>
      <c r="N405" s="1">
        <v>45826</v>
      </c>
      <c r="P405" s="1">
        <v>46221</v>
      </c>
      <c r="Q405" s="2">
        <v>11.5</v>
      </c>
      <c r="R405" t="s">
        <v>58</v>
      </c>
      <c r="S405" s="3">
        <v>0.15</v>
      </c>
      <c r="T405" t="s">
        <v>238</v>
      </c>
      <c r="U405" t="s">
        <v>239</v>
      </c>
      <c r="V405" s="2">
        <v>1.72</v>
      </c>
      <c r="W405" s="2">
        <v>1.72</v>
      </c>
      <c r="X405" s="2">
        <v>1.72</v>
      </c>
      <c r="Y405" t="s">
        <v>238</v>
      </c>
      <c r="Z405" t="s">
        <v>1062</v>
      </c>
    </row>
    <row r="406" spans="1:26" x14ac:dyDescent="0.25">
      <c r="A406">
        <v>2029878252</v>
      </c>
      <c r="B406" t="s">
        <v>343</v>
      </c>
      <c r="C406" t="s">
        <v>106</v>
      </c>
      <c r="D406" t="str">
        <f>CONCATENATE(C406," ",B406)</f>
        <v>JACOB DEUSER</v>
      </c>
      <c r="E406" t="s">
        <v>119</v>
      </c>
      <c r="F406" t="s">
        <v>182</v>
      </c>
      <c r="G406" t="s">
        <v>183</v>
      </c>
      <c r="H406" t="s">
        <v>183</v>
      </c>
      <c r="I406" s="11">
        <v>19396223</v>
      </c>
      <c r="J406" t="s">
        <v>344</v>
      </c>
      <c r="K406" t="s">
        <v>345</v>
      </c>
      <c r="L406" t="str">
        <f>CONCATENATE(K406," ",J406)</f>
        <v>Saadia Abdul</v>
      </c>
      <c r="M406" t="s">
        <v>57</v>
      </c>
      <c r="N406" s="1">
        <v>45853</v>
      </c>
      <c r="P406" s="1">
        <v>46218</v>
      </c>
      <c r="Q406" s="2">
        <v>39.25</v>
      </c>
      <c r="R406" t="s">
        <v>58</v>
      </c>
      <c r="S406" s="3">
        <v>0.7</v>
      </c>
      <c r="T406" t="s">
        <v>60</v>
      </c>
      <c r="U406" t="s">
        <v>239</v>
      </c>
      <c r="V406" s="2">
        <v>27.48</v>
      </c>
      <c r="W406" s="2">
        <v>27.48</v>
      </c>
      <c r="X406" s="2">
        <v>27.48</v>
      </c>
      <c r="Y406" t="s">
        <v>238</v>
      </c>
      <c r="Z406" t="s">
        <v>1062</v>
      </c>
    </row>
    <row r="407" spans="1:26" x14ac:dyDescent="0.25">
      <c r="A407">
        <v>2029935514</v>
      </c>
      <c r="B407" t="s">
        <v>484</v>
      </c>
      <c r="C407" t="s">
        <v>485</v>
      </c>
      <c r="D407" t="str">
        <f>CONCATENATE(C407," ",B407)</f>
        <v>TERRIE PALAZZO</v>
      </c>
      <c r="E407" t="s">
        <v>327</v>
      </c>
      <c r="F407" t="s">
        <v>182</v>
      </c>
      <c r="G407" t="s">
        <v>183</v>
      </c>
      <c r="H407" t="s">
        <v>183</v>
      </c>
      <c r="I407" s="11">
        <v>18581063</v>
      </c>
      <c r="J407" t="s">
        <v>486</v>
      </c>
      <c r="K407" t="s">
        <v>487</v>
      </c>
      <c r="L407" t="str">
        <f>CONCATENATE(K407," ",J407)</f>
        <v>Timothy Hodgman</v>
      </c>
      <c r="M407" t="s">
        <v>57</v>
      </c>
      <c r="N407" s="1">
        <v>45853</v>
      </c>
      <c r="P407" s="1">
        <v>46218</v>
      </c>
      <c r="Q407" s="2">
        <v>155.81</v>
      </c>
      <c r="R407" t="s">
        <v>58</v>
      </c>
      <c r="S407" s="3">
        <v>0.7</v>
      </c>
      <c r="T407" t="s">
        <v>60</v>
      </c>
      <c r="U407" t="s">
        <v>239</v>
      </c>
      <c r="V407" s="2">
        <v>109.07</v>
      </c>
      <c r="W407" s="2">
        <v>109.07</v>
      </c>
      <c r="X407" s="2">
        <v>109.07</v>
      </c>
      <c r="Y407" t="s">
        <v>238</v>
      </c>
      <c r="Z407" t="s">
        <v>1062</v>
      </c>
    </row>
    <row r="408" spans="1:26" x14ac:dyDescent="0.25">
      <c r="A408">
        <v>2029951924</v>
      </c>
      <c r="B408" t="s">
        <v>346</v>
      </c>
      <c r="C408" t="s">
        <v>347</v>
      </c>
      <c r="D408" t="str">
        <f>CONCATENATE(C408," ",B408)</f>
        <v>URIEL MARTINEZ</v>
      </c>
      <c r="E408" t="s">
        <v>119</v>
      </c>
      <c r="F408" t="s">
        <v>182</v>
      </c>
      <c r="G408" t="s">
        <v>183</v>
      </c>
      <c r="H408" t="s">
        <v>183</v>
      </c>
      <c r="I408" s="11">
        <v>19396223</v>
      </c>
      <c r="J408" t="s">
        <v>344</v>
      </c>
      <c r="K408" t="s">
        <v>345</v>
      </c>
      <c r="L408" t="str">
        <f>CONCATENATE(K408," ",J408)</f>
        <v>Saadia Abdul</v>
      </c>
      <c r="M408" t="s">
        <v>57</v>
      </c>
      <c r="N408" s="1">
        <v>45853</v>
      </c>
      <c r="P408" s="1">
        <v>46218</v>
      </c>
      <c r="Q408" s="2">
        <v>41.5</v>
      </c>
      <c r="R408" t="s">
        <v>58</v>
      </c>
      <c r="S408" s="3">
        <v>0.7</v>
      </c>
      <c r="T408" t="s">
        <v>60</v>
      </c>
      <c r="U408" t="s">
        <v>239</v>
      </c>
      <c r="V408" s="2">
        <v>29.05</v>
      </c>
      <c r="W408" s="2">
        <v>29.05</v>
      </c>
      <c r="X408" s="2">
        <v>29.05</v>
      </c>
      <c r="Y408" t="s">
        <v>238</v>
      </c>
      <c r="Z408" t="s">
        <v>1062</v>
      </c>
    </row>
    <row r="409" spans="1:26" x14ac:dyDescent="0.25">
      <c r="A409">
        <v>2029957806</v>
      </c>
      <c r="B409" t="s">
        <v>488</v>
      </c>
      <c r="C409" t="s">
        <v>489</v>
      </c>
      <c r="D409" t="str">
        <f>CONCATENATE(C409," ",B409)</f>
        <v>JULIE JENSEN</v>
      </c>
      <c r="E409" t="s">
        <v>209</v>
      </c>
      <c r="F409" t="s">
        <v>182</v>
      </c>
      <c r="G409" t="s">
        <v>183</v>
      </c>
      <c r="H409" t="s">
        <v>183</v>
      </c>
      <c r="I409" s="11" t="s">
        <v>1023</v>
      </c>
      <c r="J409" t="s">
        <v>229</v>
      </c>
      <c r="K409" t="s">
        <v>230</v>
      </c>
      <c r="L409" t="str">
        <f>CONCATENATE(K409," ",J409)</f>
        <v>Marsha Sanderock</v>
      </c>
      <c r="M409" t="s">
        <v>57</v>
      </c>
      <c r="N409" s="1">
        <v>45854</v>
      </c>
      <c r="P409" s="1">
        <v>46219</v>
      </c>
      <c r="Q409" s="2">
        <v>12.4</v>
      </c>
      <c r="R409" t="s">
        <v>58</v>
      </c>
      <c r="S409" s="3">
        <v>0.7</v>
      </c>
      <c r="T409" t="s">
        <v>60</v>
      </c>
      <c r="U409" t="s">
        <v>239</v>
      </c>
      <c r="V409" s="2">
        <v>8.68</v>
      </c>
      <c r="W409" s="2">
        <v>8.68</v>
      </c>
      <c r="X409" s="2">
        <v>8.68</v>
      </c>
      <c r="Y409" t="s">
        <v>238</v>
      </c>
      <c r="Z409" t="s">
        <v>1062</v>
      </c>
    </row>
    <row r="410" spans="1:26" x14ac:dyDescent="0.25">
      <c r="A410">
        <v>2029963379</v>
      </c>
      <c r="B410" t="s">
        <v>490</v>
      </c>
      <c r="C410" t="s">
        <v>491</v>
      </c>
      <c r="D410" t="str">
        <f>CONCATENATE(C410," ",B410)</f>
        <v>BATTSETSEG TUMENBAYAR</v>
      </c>
      <c r="E410" t="s">
        <v>119</v>
      </c>
      <c r="F410" t="s">
        <v>182</v>
      </c>
      <c r="G410" t="s">
        <v>183</v>
      </c>
      <c r="H410" t="s">
        <v>183</v>
      </c>
      <c r="I410" s="11" t="s">
        <v>1032</v>
      </c>
      <c r="J410" t="s">
        <v>216</v>
      </c>
      <c r="K410" t="s">
        <v>217</v>
      </c>
      <c r="L410" t="str">
        <f>CONCATENATE(K410," ",J410)</f>
        <v>NASANDELGER ZANA</v>
      </c>
      <c r="M410" t="s">
        <v>57</v>
      </c>
      <c r="N410" s="1">
        <v>45854</v>
      </c>
      <c r="P410" s="1">
        <v>46219</v>
      </c>
      <c r="Q410" s="2">
        <v>20.56</v>
      </c>
      <c r="R410" t="s">
        <v>58</v>
      </c>
      <c r="S410" s="3">
        <v>0.7</v>
      </c>
      <c r="T410" t="s">
        <v>60</v>
      </c>
      <c r="U410" t="s">
        <v>239</v>
      </c>
      <c r="V410" s="2">
        <v>14.39</v>
      </c>
      <c r="W410" s="2">
        <v>14.39</v>
      </c>
      <c r="X410" s="2">
        <v>14.39</v>
      </c>
      <c r="Y410" t="s">
        <v>238</v>
      </c>
      <c r="Z410" t="s">
        <v>1062</v>
      </c>
    </row>
    <row r="411" spans="1:26" x14ac:dyDescent="0.25">
      <c r="A411">
        <v>2029968823</v>
      </c>
      <c r="B411" t="s">
        <v>172</v>
      </c>
      <c r="C411" t="s">
        <v>80</v>
      </c>
      <c r="D411" t="str">
        <f>CONCATENATE(C411," ",B411)</f>
        <v>GREGORY THOMAS</v>
      </c>
      <c r="E411" t="s">
        <v>119</v>
      </c>
      <c r="F411" t="s">
        <v>182</v>
      </c>
      <c r="G411" t="s">
        <v>183</v>
      </c>
      <c r="H411" t="s">
        <v>183</v>
      </c>
      <c r="I411" s="11" t="s">
        <v>1033</v>
      </c>
      <c r="J411" t="s">
        <v>122</v>
      </c>
      <c r="K411" t="s">
        <v>123</v>
      </c>
      <c r="L411" t="str">
        <f>CONCATENATE(K411," ",J411)</f>
        <v>FRANK LISKOVEC</v>
      </c>
      <c r="M411" t="s">
        <v>57</v>
      </c>
      <c r="N411" s="1">
        <v>45854</v>
      </c>
      <c r="P411" s="1">
        <v>46219</v>
      </c>
      <c r="Q411" s="2">
        <v>62.8</v>
      </c>
      <c r="R411" t="s">
        <v>58</v>
      </c>
      <c r="S411" s="3">
        <v>0.7</v>
      </c>
      <c r="T411" t="s">
        <v>60</v>
      </c>
      <c r="U411" t="s">
        <v>239</v>
      </c>
      <c r="V411" s="2">
        <v>43.96</v>
      </c>
      <c r="W411" s="2">
        <v>43.96</v>
      </c>
      <c r="X411" s="2">
        <v>43.96</v>
      </c>
      <c r="Y411" t="s">
        <v>238</v>
      </c>
      <c r="Z411" t="s">
        <v>1062</v>
      </c>
    </row>
    <row r="412" spans="1:26" x14ac:dyDescent="0.25">
      <c r="A412">
        <v>2029969604</v>
      </c>
      <c r="B412" t="s">
        <v>348</v>
      </c>
      <c r="C412" t="s">
        <v>349</v>
      </c>
      <c r="D412" t="str">
        <f>CONCATENATE(C412," ",B412)</f>
        <v>STEPHEN DUNCAN</v>
      </c>
      <c r="E412" t="s">
        <v>305</v>
      </c>
      <c r="F412" t="s">
        <v>182</v>
      </c>
      <c r="G412" t="s">
        <v>183</v>
      </c>
      <c r="H412" t="s">
        <v>183</v>
      </c>
      <c r="I412" s="11" t="s">
        <v>1020</v>
      </c>
      <c r="J412" t="s">
        <v>312</v>
      </c>
      <c r="K412" t="s">
        <v>313</v>
      </c>
      <c r="L412" t="str">
        <f>CONCATENATE(K412," ",J412)</f>
        <v>Heather Geske</v>
      </c>
      <c r="M412" t="s">
        <v>57</v>
      </c>
      <c r="N412" s="1">
        <v>45854</v>
      </c>
      <c r="P412" s="1">
        <v>46219</v>
      </c>
      <c r="Q412" s="2">
        <v>9.1</v>
      </c>
      <c r="R412" t="s">
        <v>58</v>
      </c>
      <c r="S412" s="3">
        <v>0.7</v>
      </c>
      <c r="T412" t="s">
        <v>60</v>
      </c>
      <c r="U412" t="s">
        <v>239</v>
      </c>
      <c r="V412" s="2">
        <v>6.37</v>
      </c>
      <c r="W412" s="2">
        <v>6.37</v>
      </c>
      <c r="X412" s="2">
        <v>6.37</v>
      </c>
      <c r="Y412" t="s">
        <v>238</v>
      </c>
      <c r="Z412" t="s">
        <v>1062</v>
      </c>
    </row>
    <row r="413" spans="1:26" x14ac:dyDescent="0.25">
      <c r="A413">
        <v>2029971479</v>
      </c>
      <c r="B413" t="s">
        <v>492</v>
      </c>
      <c r="C413" t="s">
        <v>262</v>
      </c>
      <c r="D413" t="str">
        <f>CONCATENATE(C413," ",B413)</f>
        <v>TIMOTHY HODGMAN</v>
      </c>
      <c r="E413" t="s">
        <v>327</v>
      </c>
      <c r="F413" t="s">
        <v>182</v>
      </c>
      <c r="G413" t="s">
        <v>183</v>
      </c>
      <c r="H413" t="s">
        <v>183</v>
      </c>
      <c r="I413" s="11">
        <v>18581063</v>
      </c>
      <c r="J413" t="s">
        <v>486</v>
      </c>
      <c r="K413" t="s">
        <v>487</v>
      </c>
      <c r="L413" t="str">
        <f>CONCATENATE(K413," ",J413)</f>
        <v>Timothy Hodgman</v>
      </c>
      <c r="M413" t="s">
        <v>57</v>
      </c>
      <c r="N413" s="1">
        <v>45854</v>
      </c>
      <c r="P413" s="1">
        <v>46219</v>
      </c>
      <c r="Q413" s="2">
        <v>15.75</v>
      </c>
      <c r="R413" t="s">
        <v>58</v>
      </c>
      <c r="S413" s="3">
        <v>0.7</v>
      </c>
      <c r="T413" t="s">
        <v>60</v>
      </c>
      <c r="U413" t="s">
        <v>239</v>
      </c>
      <c r="V413" s="2">
        <v>11.02</v>
      </c>
      <c r="W413" s="2">
        <v>11.02</v>
      </c>
      <c r="X413" s="2">
        <v>11.02</v>
      </c>
      <c r="Y413" t="s">
        <v>238</v>
      </c>
      <c r="Z413" t="s">
        <v>1062</v>
      </c>
    </row>
    <row r="414" spans="1:26" x14ac:dyDescent="0.25">
      <c r="A414">
        <v>2029973759</v>
      </c>
      <c r="B414" t="s">
        <v>493</v>
      </c>
      <c r="C414" t="s">
        <v>494</v>
      </c>
      <c r="D414" t="str">
        <f>CONCATENATE(C414," ",B414)</f>
        <v>ROBERT TOBIAS</v>
      </c>
      <c r="E414" t="s">
        <v>327</v>
      </c>
      <c r="F414" t="s">
        <v>182</v>
      </c>
      <c r="G414" t="s">
        <v>183</v>
      </c>
      <c r="H414" t="s">
        <v>183</v>
      </c>
      <c r="I414" s="11" t="s">
        <v>1034</v>
      </c>
      <c r="J414" t="s">
        <v>495</v>
      </c>
      <c r="K414" t="s">
        <v>496</v>
      </c>
      <c r="L414" t="str">
        <f>CONCATENATE(K414," ",J414)</f>
        <v>RICARDO SANTOS</v>
      </c>
      <c r="M414" t="s">
        <v>57</v>
      </c>
      <c r="N414" s="1">
        <v>45854</v>
      </c>
      <c r="P414" s="1">
        <v>46219</v>
      </c>
      <c r="Q414" s="2">
        <v>115.98</v>
      </c>
      <c r="R414" t="s">
        <v>58</v>
      </c>
      <c r="S414" s="3">
        <v>0.7</v>
      </c>
      <c r="T414" t="s">
        <v>60</v>
      </c>
      <c r="U414" t="s">
        <v>239</v>
      </c>
      <c r="V414" s="2">
        <v>81.19</v>
      </c>
      <c r="W414" s="2">
        <v>81.19</v>
      </c>
      <c r="X414" s="2">
        <v>81.19</v>
      </c>
      <c r="Y414" t="s">
        <v>238</v>
      </c>
      <c r="Z414" t="s">
        <v>1062</v>
      </c>
    </row>
    <row r="415" spans="1:26" x14ac:dyDescent="0.25">
      <c r="A415">
        <v>2029980505</v>
      </c>
      <c r="B415" t="s">
        <v>244</v>
      </c>
      <c r="C415" t="s">
        <v>350</v>
      </c>
      <c r="D415" t="str">
        <f>CONCATENATE(C415," ",B415)</f>
        <v>STALLKAMP RHONDA</v>
      </c>
      <c r="E415" t="s">
        <v>83</v>
      </c>
      <c r="F415" t="s">
        <v>182</v>
      </c>
      <c r="G415" t="s">
        <v>183</v>
      </c>
      <c r="H415" t="s">
        <v>183</v>
      </c>
      <c r="I415" s="11">
        <v>8977234</v>
      </c>
      <c r="J415" t="s">
        <v>85</v>
      </c>
      <c r="K415" t="s">
        <v>86</v>
      </c>
      <c r="L415" t="str">
        <f>CONCATENATE(K415," ",J415)</f>
        <v>RYAN CALTAGIRONE</v>
      </c>
      <c r="M415" t="s">
        <v>57</v>
      </c>
      <c r="N415" s="1">
        <v>45884</v>
      </c>
      <c r="P415" s="1">
        <v>46218</v>
      </c>
      <c r="Q415" s="2">
        <v>24</v>
      </c>
      <c r="R415" t="s">
        <v>58</v>
      </c>
      <c r="S415" s="3">
        <v>0.7</v>
      </c>
      <c r="T415" t="s">
        <v>60</v>
      </c>
      <c r="U415" t="s">
        <v>239</v>
      </c>
      <c r="V415" s="2">
        <v>16.8</v>
      </c>
      <c r="W415" s="2">
        <v>16.8</v>
      </c>
      <c r="X415" s="2">
        <v>16.8</v>
      </c>
      <c r="Y415" t="s">
        <v>238</v>
      </c>
      <c r="Z415" t="s">
        <v>1062</v>
      </c>
    </row>
    <row r="416" spans="1:26" x14ac:dyDescent="0.25">
      <c r="A416">
        <v>2029985852</v>
      </c>
      <c r="B416" t="s">
        <v>498</v>
      </c>
      <c r="C416" t="s">
        <v>94</v>
      </c>
      <c r="D416" t="str">
        <f>CONCATENATE(C416," ",B416)</f>
        <v>ANDREA ACHIMAS</v>
      </c>
      <c r="E416" t="s">
        <v>119</v>
      </c>
      <c r="F416" t="s">
        <v>182</v>
      </c>
      <c r="G416" t="s">
        <v>183</v>
      </c>
      <c r="H416" t="s">
        <v>183</v>
      </c>
      <c r="I416" s="11" t="s">
        <v>1001</v>
      </c>
      <c r="J416" t="s">
        <v>73</v>
      </c>
      <c r="K416" t="s">
        <v>116</v>
      </c>
      <c r="L416" t="str">
        <f>CONCATENATE(K416," ",J416)</f>
        <v>Richard Yale</v>
      </c>
      <c r="M416" t="s">
        <v>57</v>
      </c>
      <c r="N416" s="1">
        <v>45855</v>
      </c>
      <c r="P416" s="1">
        <v>46220</v>
      </c>
      <c r="Q416" s="2">
        <v>15.75</v>
      </c>
      <c r="R416" t="s">
        <v>58</v>
      </c>
      <c r="S416" s="3">
        <v>0.7</v>
      </c>
      <c r="T416" t="s">
        <v>60</v>
      </c>
      <c r="U416" t="s">
        <v>239</v>
      </c>
      <c r="V416" s="2">
        <v>11.02</v>
      </c>
      <c r="W416" s="2">
        <v>11.02</v>
      </c>
      <c r="X416" s="2">
        <v>11.02</v>
      </c>
      <c r="Y416" t="s">
        <v>238</v>
      </c>
      <c r="Z416" t="s">
        <v>1062</v>
      </c>
    </row>
    <row r="417" spans="1:26" x14ac:dyDescent="0.25">
      <c r="A417">
        <v>2029994615</v>
      </c>
      <c r="B417" t="s">
        <v>499</v>
      </c>
      <c r="C417" t="s">
        <v>500</v>
      </c>
      <c r="D417" t="str">
        <f>CONCATENATE(C417," ",B417)</f>
        <v>STACIE GIBSON</v>
      </c>
      <c r="E417" t="s">
        <v>186</v>
      </c>
      <c r="F417" t="s">
        <v>182</v>
      </c>
      <c r="G417" t="s">
        <v>183</v>
      </c>
      <c r="H417" t="s">
        <v>183</v>
      </c>
      <c r="I417" s="11" t="s">
        <v>1017</v>
      </c>
      <c r="J417" t="s">
        <v>328</v>
      </c>
      <c r="K417" t="s">
        <v>329</v>
      </c>
      <c r="L417" t="str">
        <f>CONCATENATE(K417," ",J417)</f>
        <v>CHRISTIAN TAUGNER</v>
      </c>
      <c r="M417" t="s">
        <v>57</v>
      </c>
      <c r="N417" s="1">
        <v>45855</v>
      </c>
      <c r="P417" s="1">
        <v>46220</v>
      </c>
      <c r="Q417" s="2">
        <v>28.45</v>
      </c>
      <c r="R417" t="s">
        <v>58</v>
      </c>
      <c r="S417" s="3">
        <v>0.7</v>
      </c>
      <c r="T417" t="s">
        <v>60</v>
      </c>
      <c r="U417" t="s">
        <v>239</v>
      </c>
      <c r="V417" s="2">
        <v>19.920000000000002</v>
      </c>
      <c r="W417" s="2">
        <v>19.920000000000002</v>
      </c>
      <c r="X417" s="2">
        <v>19.920000000000002</v>
      </c>
      <c r="Y417" t="s">
        <v>238</v>
      </c>
      <c r="Z417" t="s">
        <v>1062</v>
      </c>
    </row>
    <row r="418" spans="1:26" x14ac:dyDescent="0.25">
      <c r="A418">
        <v>2030016857</v>
      </c>
      <c r="B418" t="s">
        <v>216</v>
      </c>
      <c r="C418" t="s">
        <v>217</v>
      </c>
      <c r="D418" t="str">
        <f>CONCATENATE(C418," ",B418)</f>
        <v>NASANDELGER ZANA</v>
      </c>
      <c r="E418" t="s">
        <v>119</v>
      </c>
      <c r="F418" t="s">
        <v>182</v>
      </c>
      <c r="G418" t="s">
        <v>183</v>
      </c>
      <c r="H418" t="s">
        <v>183</v>
      </c>
      <c r="I418" s="11" t="s">
        <v>1032</v>
      </c>
      <c r="J418" t="s">
        <v>216</v>
      </c>
      <c r="K418" t="s">
        <v>217</v>
      </c>
      <c r="L418" t="str">
        <f>CONCATENATE(K418," ",J418)</f>
        <v>NASANDELGER ZANA</v>
      </c>
      <c r="M418" t="s">
        <v>57</v>
      </c>
      <c r="N418" s="1">
        <v>45856</v>
      </c>
      <c r="P418" s="1">
        <v>46221</v>
      </c>
      <c r="Q418" s="2">
        <v>51</v>
      </c>
      <c r="R418" t="s">
        <v>58</v>
      </c>
      <c r="S418" s="3">
        <v>0.7</v>
      </c>
      <c r="T418" t="s">
        <v>60</v>
      </c>
      <c r="U418" t="s">
        <v>239</v>
      </c>
      <c r="V418" s="2">
        <v>35.700000000000003</v>
      </c>
      <c r="W418" s="2">
        <v>35.700000000000003</v>
      </c>
      <c r="X418" s="2">
        <v>35.700000000000003</v>
      </c>
      <c r="Y418" t="s">
        <v>238</v>
      </c>
      <c r="Z418" t="s">
        <v>1062</v>
      </c>
    </row>
    <row r="419" spans="1:26" x14ac:dyDescent="0.25">
      <c r="A419">
        <v>2030017049</v>
      </c>
      <c r="B419" t="s">
        <v>504</v>
      </c>
      <c r="C419" t="s">
        <v>505</v>
      </c>
      <c r="D419" t="str">
        <f>CONCATENATE(C419," ",B419)</f>
        <v>MUNKHJARGAL CHULUUNBAT</v>
      </c>
      <c r="E419" t="s">
        <v>119</v>
      </c>
      <c r="F419" t="s">
        <v>182</v>
      </c>
      <c r="G419" t="s">
        <v>183</v>
      </c>
      <c r="H419" t="s">
        <v>183</v>
      </c>
      <c r="I419" s="11" t="s">
        <v>1032</v>
      </c>
      <c r="J419" t="s">
        <v>216</v>
      </c>
      <c r="K419" t="s">
        <v>217</v>
      </c>
      <c r="L419" t="str">
        <f>CONCATENATE(K419," ",J419)</f>
        <v>NASANDELGER ZANA</v>
      </c>
      <c r="M419" t="s">
        <v>57</v>
      </c>
      <c r="N419" s="1">
        <v>45856</v>
      </c>
      <c r="P419" s="1">
        <v>46221</v>
      </c>
      <c r="Q419" s="2">
        <v>34</v>
      </c>
      <c r="R419" t="s">
        <v>58</v>
      </c>
      <c r="S419" s="3">
        <v>0.7</v>
      </c>
      <c r="T419" t="s">
        <v>60</v>
      </c>
      <c r="U419" t="s">
        <v>239</v>
      </c>
      <c r="V419" s="2">
        <v>23.8</v>
      </c>
      <c r="W419" s="2">
        <v>23.8</v>
      </c>
      <c r="X419" s="2">
        <v>23.8</v>
      </c>
      <c r="Y419" t="s">
        <v>238</v>
      </c>
      <c r="Z419" t="s">
        <v>1062</v>
      </c>
    </row>
    <row r="420" spans="1:26" x14ac:dyDescent="0.25">
      <c r="A420">
        <v>2030452962</v>
      </c>
      <c r="B420" t="s">
        <v>509</v>
      </c>
      <c r="C420" t="s">
        <v>56</v>
      </c>
      <c r="D420" t="str">
        <f>CONCATENATE(C420," ",B420)</f>
        <v>JOHN ANDERSON</v>
      </c>
      <c r="E420" t="s">
        <v>305</v>
      </c>
      <c r="F420" t="s">
        <v>182</v>
      </c>
      <c r="G420" t="s">
        <v>183</v>
      </c>
      <c r="H420" t="s">
        <v>183</v>
      </c>
      <c r="I420" s="11" t="s">
        <v>1036</v>
      </c>
      <c r="J420" t="s">
        <v>510</v>
      </c>
      <c r="K420" t="s">
        <v>511</v>
      </c>
      <c r="L420" t="str">
        <f>CONCATENATE(K420," ",J420)</f>
        <v>Joel Lee</v>
      </c>
      <c r="M420" t="s">
        <v>57</v>
      </c>
      <c r="N420" s="1">
        <v>45882</v>
      </c>
      <c r="P420" s="1">
        <v>46216</v>
      </c>
      <c r="Q420" s="2">
        <v>29.2</v>
      </c>
      <c r="R420" t="s">
        <v>58</v>
      </c>
      <c r="S420" s="3">
        <v>0.7</v>
      </c>
      <c r="T420" t="s">
        <v>60</v>
      </c>
      <c r="U420" t="s">
        <v>239</v>
      </c>
      <c r="V420" s="2">
        <v>20.440000000000001</v>
      </c>
      <c r="W420" s="2">
        <v>20.440000000000001</v>
      </c>
      <c r="X420" s="2">
        <v>20.440000000000001</v>
      </c>
      <c r="Y420" t="s">
        <v>238</v>
      </c>
      <c r="Z420" t="s">
        <v>1062</v>
      </c>
    </row>
    <row r="421" spans="1:26" x14ac:dyDescent="0.25">
      <c r="A421">
        <v>2030455581</v>
      </c>
      <c r="B421" t="s">
        <v>353</v>
      </c>
      <c r="C421" t="s">
        <v>354</v>
      </c>
      <c r="D421" t="str">
        <f>CONCATENATE(C421," ",B421)</f>
        <v>JASON TROUT</v>
      </c>
      <c r="E421" t="s">
        <v>305</v>
      </c>
      <c r="F421" t="s">
        <v>182</v>
      </c>
      <c r="G421" t="s">
        <v>183</v>
      </c>
      <c r="H421" t="s">
        <v>183</v>
      </c>
      <c r="I421" s="11" t="s">
        <v>1020</v>
      </c>
      <c r="J421" t="s">
        <v>312</v>
      </c>
      <c r="K421" t="s">
        <v>313</v>
      </c>
      <c r="L421" t="str">
        <f>CONCATENATE(K421," ",J421)</f>
        <v>Heather Geske</v>
      </c>
      <c r="M421" t="s">
        <v>57</v>
      </c>
      <c r="N421" s="1">
        <v>45882</v>
      </c>
      <c r="P421" s="1">
        <v>46216</v>
      </c>
      <c r="Q421" s="2">
        <v>27.38</v>
      </c>
      <c r="R421" t="s">
        <v>58</v>
      </c>
      <c r="S421" s="3">
        <v>0.7</v>
      </c>
      <c r="T421" t="s">
        <v>60</v>
      </c>
      <c r="U421" t="s">
        <v>239</v>
      </c>
      <c r="V421" s="2">
        <v>19.170000000000002</v>
      </c>
      <c r="W421" s="2">
        <v>19.170000000000002</v>
      </c>
      <c r="X421" s="2">
        <v>19.170000000000002</v>
      </c>
      <c r="Y421" t="s">
        <v>238</v>
      </c>
      <c r="Z421" t="s">
        <v>1062</v>
      </c>
    </row>
    <row r="422" spans="1:26" x14ac:dyDescent="0.25">
      <c r="A422">
        <v>2030474678</v>
      </c>
      <c r="B422" t="s">
        <v>512</v>
      </c>
      <c r="C422" t="s">
        <v>513</v>
      </c>
      <c r="D422" t="str">
        <f>CONCATENATE(C422," ",B422)</f>
        <v>AMY PITTMAN</v>
      </c>
      <c r="E422" t="s">
        <v>95</v>
      </c>
      <c r="F422" t="s">
        <v>182</v>
      </c>
      <c r="G422" t="s">
        <v>183</v>
      </c>
      <c r="H422" t="s">
        <v>183</v>
      </c>
      <c r="I422" s="11" t="s">
        <v>1037</v>
      </c>
      <c r="J422" t="s">
        <v>514</v>
      </c>
      <c r="K422" t="s">
        <v>515</v>
      </c>
      <c r="L422" t="str">
        <f>CONCATENATE(K422," ",J422)</f>
        <v>Ines Berg</v>
      </c>
      <c r="M422" t="s">
        <v>57</v>
      </c>
      <c r="N422" s="1">
        <v>45884</v>
      </c>
      <c r="P422" s="1">
        <v>46218</v>
      </c>
      <c r="Q422" s="2">
        <v>55.61</v>
      </c>
      <c r="R422" t="s">
        <v>58</v>
      </c>
      <c r="S422" s="3">
        <v>0.7</v>
      </c>
      <c r="T422" t="s">
        <v>60</v>
      </c>
      <c r="U422" t="s">
        <v>239</v>
      </c>
      <c r="V422" s="2">
        <v>38.93</v>
      </c>
      <c r="W422" s="2">
        <v>38.93</v>
      </c>
      <c r="X422" s="2">
        <v>38.93</v>
      </c>
      <c r="Y422" t="s">
        <v>238</v>
      </c>
      <c r="Z422" t="s">
        <v>1062</v>
      </c>
    </row>
    <row r="423" spans="1:26" x14ac:dyDescent="0.25">
      <c r="A423">
        <v>2030474774</v>
      </c>
      <c r="B423" t="s">
        <v>516</v>
      </c>
      <c r="C423" t="s">
        <v>517</v>
      </c>
      <c r="D423" t="str">
        <f>CONCATENATE(C423," ",B423)</f>
        <v>RISTAN SOTIRI</v>
      </c>
      <c r="E423" t="s">
        <v>83</v>
      </c>
      <c r="F423" t="s">
        <v>182</v>
      </c>
      <c r="G423" t="s">
        <v>183</v>
      </c>
      <c r="H423" t="s">
        <v>183</v>
      </c>
      <c r="I423" s="11">
        <v>8977234</v>
      </c>
      <c r="J423" t="s">
        <v>85</v>
      </c>
      <c r="K423" t="s">
        <v>86</v>
      </c>
      <c r="L423" t="str">
        <f>CONCATENATE(K423," ",J423)</f>
        <v>RYAN CALTAGIRONE</v>
      </c>
      <c r="M423" t="s">
        <v>57</v>
      </c>
      <c r="N423" s="1">
        <v>45883</v>
      </c>
      <c r="P423" s="1">
        <v>46217</v>
      </c>
      <c r="Q423" s="2">
        <v>122.88</v>
      </c>
      <c r="R423" t="s">
        <v>58</v>
      </c>
      <c r="S423" s="3">
        <v>0.7</v>
      </c>
      <c r="T423" t="s">
        <v>60</v>
      </c>
      <c r="U423" t="s">
        <v>239</v>
      </c>
      <c r="V423" s="2">
        <v>86.02</v>
      </c>
      <c r="W423" s="2">
        <v>86.02</v>
      </c>
      <c r="X423" s="2">
        <v>86.02</v>
      </c>
      <c r="Y423" t="s">
        <v>238</v>
      </c>
      <c r="Z423" t="s">
        <v>1062</v>
      </c>
    </row>
    <row r="424" spans="1:26" x14ac:dyDescent="0.25">
      <c r="A424">
        <v>2030945328</v>
      </c>
      <c r="B424" t="s">
        <v>520</v>
      </c>
      <c r="C424" t="s">
        <v>227</v>
      </c>
      <c r="D424" t="str">
        <f>CONCATENATE(C424," ",B424)</f>
        <v>MICHAEL ITURBE</v>
      </c>
      <c r="E424" t="s">
        <v>119</v>
      </c>
      <c r="F424" t="s">
        <v>182</v>
      </c>
      <c r="G424" t="s">
        <v>183</v>
      </c>
      <c r="H424" t="s">
        <v>183</v>
      </c>
      <c r="I424" s="11" t="s">
        <v>1038</v>
      </c>
      <c r="J424" t="s">
        <v>521</v>
      </c>
      <c r="K424" t="s">
        <v>370</v>
      </c>
      <c r="L424" t="str">
        <f>CONCATENATE(K424," ",J424)</f>
        <v>JOSE TORRES</v>
      </c>
      <c r="M424" t="s">
        <v>57</v>
      </c>
      <c r="N424" s="1">
        <v>45915</v>
      </c>
      <c r="P424" s="1">
        <v>46218</v>
      </c>
      <c r="Q424" s="2">
        <v>27.5</v>
      </c>
      <c r="R424" t="s">
        <v>58</v>
      </c>
      <c r="S424" s="3">
        <v>0.7</v>
      </c>
      <c r="T424" t="s">
        <v>60</v>
      </c>
      <c r="U424" t="s">
        <v>239</v>
      </c>
      <c r="V424" s="2">
        <v>19.25</v>
      </c>
      <c r="W424" s="2">
        <v>19.25</v>
      </c>
      <c r="X424" s="2">
        <v>19.25</v>
      </c>
      <c r="Y424" t="s">
        <v>238</v>
      </c>
      <c r="Z424" t="s">
        <v>1062</v>
      </c>
    </row>
    <row r="425" spans="1:26" x14ac:dyDescent="0.25">
      <c r="A425">
        <v>2030982991</v>
      </c>
      <c r="B425" t="s">
        <v>363</v>
      </c>
      <c r="C425" t="s">
        <v>364</v>
      </c>
      <c r="D425" t="str">
        <f>CONCATENATE(C425," ",B425)</f>
        <v>STUART ELMAN</v>
      </c>
      <c r="E425" t="s">
        <v>95</v>
      </c>
      <c r="F425" t="s">
        <v>182</v>
      </c>
      <c r="G425" t="s">
        <v>183</v>
      </c>
      <c r="H425" t="s">
        <v>183</v>
      </c>
      <c r="I425" s="11" t="s">
        <v>1001</v>
      </c>
      <c r="J425" t="s">
        <v>73</v>
      </c>
      <c r="K425" t="s">
        <v>116</v>
      </c>
      <c r="L425" t="str">
        <f>CONCATENATE(K425," ",J425)</f>
        <v>Richard Yale</v>
      </c>
      <c r="M425" t="s">
        <v>57</v>
      </c>
      <c r="N425" s="1">
        <v>45915</v>
      </c>
      <c r="P425" s="1">
        <v>46218</v>
      </c>
      <c r="Q425" s="2">
        <v>94.01</v>
      </c>
      <c r="R425" t="s">
        <v>58</v>
      </c>
      <c r="S425" s="3">
        <v>0.7</v>
      </c>
      <c r="T425" t="s">
        <v>60</v>
      </c>
      <c r="U425" t="s">
        <v>239</v>
      </c>
      <c r="V425" s="2">
        <v>65.81</v>
      </c>
      <c r="W425" s="2">
        <v>65.81</v>
      </c>
      <c r="X425" s="2">
        <v>65.81</v>
      </c>
      <c r="Y425" t="s">
        <v>238</v>
      </c>
      <c r="Z425" t="s">
        <v>1062</v>
      </c>
    </row>
    <row r="426" spans="1:26" x14ac:dyDescent="0.25">
      <c r="A426">
        <v>2031017068</v>
      </c>
      <c r="B426" t="s">
        <v>365</v>
      </c>
      <c r="C426" t="s">
        <v>227</v>
      </c>
      <c r="D426" t="str">
        <f>CONCATENATE(C426," ",B426)</f>
        <v>MICHAEL DECKARD</v>
      </c>
      <c r="E426" t="s">
        <v>209</v>
      </c>
      <c r="F426" t="s">
        <v>182</v>
      </c>
      <c r="G426" t="s">
        <v>183</v>
      </c>
      <c r="H426" t="s">
        <v>183</v>
      </c>
      <c r="I426" s="11" t="s">
        <v>1023</v>
      </c>
      <c r="J426" t="s">
        <v>229</v>
      </c>
      <c r="K426" t="s">
        <v>230</v>
      </c>
      <c r="L426" t="str">
        <f>CONCATENATE(K426," ",J426)</f>
        <v>Marsha Sanderock</v>
      </c>
      <c r="M426" t="s">
        <v>57</v>
      </c>
      <c r="N426" s="1">
        <v>45913</v>
      </c>
      <c r="P426" s="1">
        <v>46216</v>
      </c>
      <c r="Q426" s="2">
        <v>14.92</v>
      </c>
      <c r="R426" t="s">
        <v>58</v>
      </c>
      <c r="S426" s="3">
        <v>0.7</v>
      </c>
      <c r="T426" t="s">
        <v>60</v>
      </c>
      <c r="U426" t="s">
        <v>239</v>
      </c>
      <c r="V426" s="2">
        <v>10.44</v>
      </c>
      <c r="W426" s="2">
        <v>10.44</v>
      </c>
      <c r="X426" s="2">
        <v>10.44</v>
      </c>
      <c r="Y426" t="s">
        <v>238</v>
      </c>
      <c r="Z426" t="s">
        <v>1062</v>
      </c>
    </row>
    <row r="427" spans="1:26" x14ac:dyDescent="0.25">
      <c r="A427">
        <v>2031057792</v>
      </c>
      <c r="B427" t="s">
        <v>522</v>
      </c>
      <c r="C427" t="s">
        <v>56</v>
      </c>
      <c r="D427" t="str">
        <f>CONCATENATE(C427," ",B427)</f>
        <v>JOHN ORT</v>
      </c>
      <c r="E427" t="s">
        <v>523</v>
      </c>
      <c r="F427" t="s">
        <v>182</v>
      </c>
      <c r="G427" t="s">
        <v>183</v>
      </c>
      <c r="H427" t="s">
        <v>183</v>
      </c>
      <c r="I427" s="11" t="s">
        <v>1039</v>
      </c>
      <c r="J427" t="s">
        <v>73</v>
      </c>
      <c r="K427" t="s">
        <v>74</v>
      </c>
      <c r="L427" t="str">
        <f>CONCATENATE(K427," ",J427)</f>
        <v>Chad Yale</v>
      </c>
      <c r="M427" t="s">
        <v>57</v>
      </c>
      <c r="N427" s="1">
        <v>45915</v>
      </c>
      <c r="P427" s="1">
        <v>46218</v>
      </c>
      <c r="Q427" s="2">
        <v>30.68</v>
      </c>
      <c r="R427" t="s">
        <v>58</v>
      </c>
      <c r="S427" s="3">
        <v>0.7</v>
      </c>
      <c r="T427" t="s">
        <v>60</v>
      </c>
      <c r="U427" t="s">
        <v>239</v>
      </c>
      <c r="V427" s="2">
        <v>21.48</v>
      </c>
      <c r="W427" s="2">
        <v>21.48</v>
      </c>
      <c r="X427" s="2">
        <v>21.48</v>
      </c>
      <c r="Y427" t="s">
        <v>238</v>
      </c>
      <c r="Z427" t="s">
        <v>1062</v>
      </c>
    </row>
    <row r="428" spans="1:26" x14ac:dyDescent="0.25">
      <c r="A428">
        <v>2031073871</v>
      </c>
      <c r="B428" t="s">
        <v>524</v>
      </c>
      <c r="C428" t="s">
        <v>525</v>
      </c>
      <c r="D428" t="str">
        <f>CONCATENATE(C428," ",B428)</f>
        <v>ENKHJARGAL NYAMJAV</v>
      </c>
      <c r="E428" t="s">
        <v>119</v>
      </c>
      <c r="F428" t="s">
        <v>182</v>
      </c>
      <c r="G428" t="s">
        <v>183</v>
      </c>
      <c r="H428" t="s">
        <v>183</v>
      </c>
      <c r="I428" s="11" t="s">
        <v>1032</v>
      </c>
      <c r="J428" t="s">
        <v>216</v>
      </c>
      <c r="K428" t="s">
        <v>217</v>
      </c>
      <c r="L428" t="str">
        <f>CONCATENATE(K428," ",J428)</f>
        <v>NASANDELGER ZANA</v>
      </c>
      <c r="M428" t="s">
        <v>57</v>
      </c>
      <c r="N428" s="1">
        <v>45916</v>
      </c>
      <c r="P428" s="1">
        <v>46219</v>
      </c>
      <c r="Q428" s="2">
        <v>96</v>
      </c>
      <c r="R428" t="s">
        <v>58</v>
      </c>
      <c r="S428" s="3">
        <v>0.7</v>
      </c>
      <c r="T428" t="s">
        <v>60</v>
      </c>
      <c r="U428" t="s">
        <v>239</v>
      </c>
      <c r="V428" s="2">
        <v>67.2</v>
      </c>
      <c r="W428" s="2">
        <v>67.2</v>
      </c>
      <c r="X428" s="2">
        <v>67.2</v>
      </c>
      <c r="Y428" t="s">
        <v>238</v>
      </c>
      <c r="Z428" t="s">
        <v>1062</v>
      </c>
    </row>
    <row r="429" spans="1:26" x14ac:dyDescent="0.25">
      <c r="A429">
        <v>2031110050</v>
      </c>
      <c r="B429" t="s">
        <v>526</v>
      </c>
      <c r="C429" t="s">
        <v>527</v>
      </c>
      <c r="D429" t="str">
        <f>CONCATENATE(C429," ",B429)</f>
        <v>EMUJIN ENKHBOLD</v>
      </c>
      <c r="E429" t="s">
        <v>119</v>
      </c>
      <c r="F429" t="s">
        <v>182</v>
      </c>
      <c r="G429" t="s">
        <v>183</v>
      </c>
      <c r="H429" t="s">
        <v>183</v>
      </c>
      <c r="I429" s="11" t="s">
        <v>1032</v>
      </c>
      <c r="J429" t="s">
        <v>216</v>
      </c>
      <c r="K429" t="s">
        <v>217</v>
      </c>
      <c r="L429" t="str">
        <f>CONCATENATE(K429," ",J429)</f>
        <v>NASANDELGER ZANA</v>
      </c>
      <c r="M429" t="s">
        <v>57</v>
      </c>
      <c r="N429" s="1">
        <v>45918</v>
      </c>
      <c r="P429" s="1">
        <v>46221</v>
      </c>
      <c r="Q429" s="2">
        <v>18.45</v>
      </c>
      <c r="R429" t="s">
        <v>58</v>
      </c>
      <c r="S429" s="3">
        <v>0.7</v>
      </c>
      <c r="T429" t="s">
        <v>60</v>
      </c>
      <c r="U429" t="s">
        <v>239</v>
      </c>
      <c r="V429" s="2">
        <v>12.92</v>
      </c>
      <c r="W429" s="2">
        <v>12.92</v>
      </c>
      <c r="X429" s="2">
        <v>12.92</v>
      </c>
      <c r="Y429" t="s">
        <v>238</v>
      </c>
      <c r="Z429" t="s">
        <v>1062</v>
      </c>
    </row>
    <row r="430" spans="1:26" x14ac:dyDescent="0.25">
      <c r="A430">
        <v>2031606882</v>
      </c>
      <c r="B430" t="s">
        <v>533</v>
      </c>
      <c r="C430" t="s">
        <v>534</v>
      </c>
      <c r="D430" t="str">
        <f>CONCATENATE(C430," ",B430)</f>
        <v>EMILY GREEN</v>
      </c>
      <c r="E430" t="s">
        <v>305</v>
      </c>
      <c r="F430" t="s">
        <v>182</v>
      </c>
      <c r="G430" t="s">
        <v>183</v>
      </c>
      <c r="H430" t="s">
        <v>183</v>
      </c>
      <c r="I430" s="11" t="s">
        <v>1040</v>
      </c>
      <c r="J430" t="s">
        <v>306</v>
      </c>
      <c r="K430" t="s">
        <v>307</v>
      </c>
      <c r="L430" t="str">
        <f>CONCATENATE(K430," ",J430)</f>
        <v>WILLIAM GESKE</v>
      </c>
      <c r="M430" t="s">
        <v>57</v>
      </c>
      <c r="N430" s="1">
        <v>45944</v>
      </c>
      <c r="P430" s="1">
        <v>46217</v>
      </c>
      <c r="Q430" s="2">
        <v>9.1</v>
      </c>
      <c r="R430" t="s">
        <v>58</v>
      </c>
      <c r="S430" s="3">
        <v>0.7</v>
      </c>
      <c r="T430" t="s">
        <v>60</v>
      </c>
      <c r="U430" t="s">
        <v>239</v>
      </c>
      <c r="V430" s="2">
        <v>6.37</v>
      </c>
      <c r="W430" s="2">
        <v>6.37</v>
      </c>
      <c r="X430" s="2">
        <v>6.37</v>
      </c>
      <c r="Y430" t="s">
        <v>238</v>
      </c>
      <c r="Z430" t="s">
        <v>1062</v>
      </c>
    </row>
    <row r="431" spans="1:26" x14ac:dyDescent="0.25">
      <c r="A431">
        <v>2031617148</v>
      </c>
      <c r="B431" t="s">
        <v>535</v>
      </c>
      <c r="C431" t="s">
        <v>335</v>
      </c>
      <c r="D431" t="str">
        <f>CONCATENATE(C431," ",B431)</f>
        <v>DAVID WHITE</v>
      </c>
      <c r="E431" t="s">
        <v>119</v>
      </c>
      <c r="F431" t="s">
        <v>182</v>
      </c>
      <c r="G431" t="s">
        <v>183</v>
      </c>
      <c r="H431" t="s">
        <v>183</v>
      </c>
      <c r="I431" s="11" t="s">
        <v>1033</v>
      </c>
      <c r="J431" t="s">
        <v>122</v>
      </c>
      <c r="K431" t="s">
        <v>123</v>
      </c>
      <c r="L431" t="str">
        <f>CONCATENATE(K431," ",J431)</f>
        <v>FRANK LISKOVEC</v>
      </c>
      <c r="M431" t="s">
        <v>57</v>
      </c>
      <c r="N431" s="1">
        <v>45945</v>
      </c>
      <c r="P431" s="1">
        <v>46218</v>
      </c>
      <c r="Q431" s="2">
        <v>86.32</v>
      </c>
      <c r="R431" t="s">
        <v>58</v>
      </c>
      <c r="S431" s="3">
        <v>0.7</v>
      </c>
      <c r="T431" t="s">
        <v>60</v>
      </c>
      <c r="U431" t="s">
        <v>239</v>
      </c>
      <c r="V431" s="2">
        <v>60.42</v>
      </c>
      <c r="W431" s="2">
        <v>60.42</v>
      </c>
      <c r="X431" s="2">
        <v>60.42</v>
      </c>
      <c r="Y431" t="s">
        <v>238</v>
      </c>
      <c r="Z431" t="s">
        <v>1062</v>
      </c>
    </row>
    <row r="432" spans="1:26" x14ac:dyDescent="0.25">
      <c r="A432">
        <v>2031647899</v>
      </c>
      <c r="B432" t="s">
        <v>538</v>
      </c>
      <c r="C432" t="s">
        <v>539</v>
      </c>
      <c r="D432" t="str">
        <f>CONCATENATE(C432," ",B432)</f>
        <v>NATHAN BROWN</v>
      </c>
      <c r="E432" t="s">
        <v>119</v>
      </c>
      <c r="F432" t="s">
        <v>182</v>
      </c>
      <c r="G432" t="s">
        <v>183</v>
      </c>
      <c r="H432" t="s">
        <v>183</v>
      </c>
      <c r="I432" s="11" t="s">
        <v>1001</v>
      </c>
      <c r="J432" t="s">
        <v>73</v>
      </c>
      <c r="K432" t="s">
        <v>116</v>
      </c>
      <c r="L432" t="str">
        <f>CONCATENATE(K432," ",J432)</f>
        <v>Richard Yale</v>
      </c>
      <c r="M432" t="s">
        <v>57</v>
      </c>
      <c r="N432" s="1">
        <v>45948</v>
      </c>
      <c r="P432" s="1">
        <v>46221</v>
      </c>
      <c r="Q432" s="2">
        <v>97.26</v>
      </c>
      <c r="R432" t="s">
        <v>58</v>
      </c>
      <c r="S432" s="3">
        <v>0.7</v>
      </c>
      <c r="T432" t="s">
        <v>60</v>
      </c>
      <c r="U432" t="s">
        <v>239</v>
      </c>
      <c r="V432" s="2">
        <v>68.08</v>
      </c>
      <c r="W432" s="2">
        <v>68.08</v>
      </c>
      <c r="X432" s="2">
        <v>68.08</v>
      </c>
      <c r="Y432" t="s">
        <v>238</v>
      </c>
      <c r="Z432" t="s">
        <v>1062</v>
      </c>
    </row>
    <row r="433" spans="1:26" x14ac:dyDescent="0.25">
      <c r="A433">
        <v>2031949600</v>
      </c>
      <c r="B433" t="s">
        <v>546</v>
      </c>
      <c r="C433" t="s">
        <v>547</v>
      </c>
      <c r="D433" t="str">
        <f>CONCATENATE(C433," ",B433)</f>
        <v>DESEREE PADILLA</v>
      </c>
      <c r="E433" t="s">
        <v>292</v>
      </c>
      <c r="F433" t="s">
        <v>182</v>
      </c>
      <c r="G433" t="s">
        <v>183</v>
      </c>
      <c r="H433" t="s">
        <v>183</v>
      </c>
      <c r="I433" s="11">
        <v>21435997</v>
      </c>
      <c r="J433" t="s">
        <v>444</v>
      </c>
      <c r="K433" t="s">
        <v>445</v>
      </c>
      <c r="L433" t="str">
        <f>CONCATENATE(K433," ",J433)</f>
        <v>Christopher Brousseau</v>
      </c>
      <c r="M433" t="s">
        <v>57</v>
      </c>
      <c r="N433" s="1">
        <v>45969</v>
      </c>
      <c r="P433" s="1">
        <v>46211</v>
      </c>
      <c r="Q433" s="2">
        <v>28.38</v>
      </c>
      <c r="R433" t="s">
        <v>58</v>
      </c>
      <c r="S433" s="3">
        <v>0.7</v>
      </c>
      <c r="T433" t="s">
        <v>60</v>
      </c>
      <c r="U433" t="s">
        <v>239</v>
      </c>
      <c r="V433" s="2">
        <v>19.87</v>
      </c>
      <c r="W433" s="2">
        <v>19.87</v>
      </c>
      <c r="X433" s="2">
        <v>19.87</v>
      </c>
      <c r="Y433" t="s">
        <v>238</v>
      </c>
      <c r="Z433" t="s">
        <v>1062</v>
      </c>
    </row>
    <row r="434" spans="1:26" x14ac:dyDescent="0.25">
      <c r="A434">
        <v>2032084100</v>
      </c>
      <c r="B434" t="s">
        <v>548</v>
      </c>
      <c r="C434" t="s">
        <v>549</v>
      </c>
      <c r="D434" t="str">
        <f>CONCATENATE(C434," ",B434)</f>
        <v>LAURA VURA</v>
      </c>
      <c r="E434" t="s">
        <v>95</v>
      </c>
      <c r="F434" t="s">
        <v>182</v>
      </c>
      <c r="G434" t="s">
        <v>183</v>
      </c>
      <c r="H434" t="s">
        <v>183</v>
      </c>
      <c r="I434" s="11" t="s">
        <v>1018</v>
      </c>
      <c r="J434" t="s">
        <v>332</v>
      </c>
      <c r="K434" t="s">
        <v>333</v>
      </c>
      <c r="L434" t="str">
        <f>CONCATENATE(K434," ",J434)</f>
        <v>Barry Schumann</v>
      </c>
      <c r="M434" t="s">
        <v>57</v>
      </c>
      <c r="N434" s="1">
        <v>45976</v>
      </c>
      <c r="P434" s="1">
        <v>46218</v>
      </c>
      <c r="Q434" s="2">
        <v>38.64</v>
      </c>
      <c r="R434" t="s">
        <v>58</v>
      </c>
      <c r="S434" s="3">
        <v>0.7</v>
      </c>
      <c r="T434" t="s">
        <v>60</v>
      </c>
      <c r="U434" t="s">
        <v>239</v>
      </c>
      <c r="V434" s="2">
        <v>27.05</v>
      </c>
      <c r="W434" s="2">
        <v>27.05</v>
      </c>
      <c r="X434" s="2">
        <v>27.05</v>
      </c>
      <c r="Y434" t="s">
        <v>238</v>
      </c>
      <c r="Z434" t="s">
        <v>1062</v>
      </c>
    </row>
    <row r="435" spans="1:26" x14ac:dyDescent="0.25">
      <c r="A435">
        <v>2032105227</v>
      </c>
      <c r="B435" t="s">
        <v>371</v>
      </c>
      <c r="C435" t="s">
        <v>372</v>
      </c>
      <c r="D435" t="str">
        <f>CONCATENATE(C435," ",B435)</f>
        <v>RACHEL ROSENBERG</v>
      </c>
      <c r="E435" t="s">
        <v>119</v>
      </c>
      <c r="F435" t="s">
        <v>182</v>
      </c>
      <c r="G435" t="s">
        <v>183</v>
      </c>
      <c r="H435" t="s">
        <v>183</v>
      </c>
      <c r="I435" s="11" t="s">
        <v>1001</v>
      </c>
      <c r="J435" t="s">
        <v>73</v>
      </c>
      <c r="K435" t="s">
        <v>116</v>
      </c>
      <c r="L435" t="str">
        <f>CONCATENATE(K435," ",J435)</f>
        <v>Richard Yale</v>
      </c>
      <c r="M435" t="s">
        <v>57</v>
      </c>
      <c r="N435" s="1">
        <v>45975</v>
      </c>
      <c r="P435" s="1">
        <v>46217</v>
      </c>
      <c r="Q435" s="2">
        <v>95.92</v>
      </c>
      <c r="R435" t="s">
        <v>58</v>
      </c>
      <c r="S435" s="3">
        <v>0.7</v>
      </c>
      <c r="T435" t="s">
        <v>60</v>
      </c>
      <c r="U435" t="s">
        <v>239</v>
      </c>
      <c r="V435" s="2">
        <v>67.14</v>
      </c>
      <c r="W435" s="2">
        <v>67.14</v>
      </c>
      <c r="X435" s="2">
        <v>67.14</v>
      </c>
      <c r="Y435" t="s">
        <v>238</v>
      </c>
      <c r="Z435" t="s">
        <v>1062</v>
      </c>
    </row>
    <row r="436" spans="1:26" x14ac:dyDescent="0.25">
      <c r="A436">
        <v>2032115127</v>
      </c>
      <c r="B436" t="s">
        <v>552</v>
      </c>
      <c r="C436" t="s">
        <v>260</v>
      </c>
      <c r="D436" t="str">
        <f>CONCATENATE(C436," ",B436)</f>
        <v>JOSEPH MATHEW</v>
      </c>
      <c r="E436" t="s">
        <v>119</v>
      </c>
      <c r="F436" t="s">
        <v>182</v>
      </c>
      <c r="G436" t="s">
        <v>183</v>
      </c>
      <c r="H436" t="s">
        <v>183</v>
      </c>
      <c r="I436" s="11">
        <v>8307933</v>
      </c>
      <c r="J436" t="s">
        <v>79</v>
      </c>
      <c r="K436" t="s">
        <v>80</v>
      </c>
      <c r="L436" t="str">
        <f>CONCATENATE(K436," ",J436)</f>
        <v>GREGORY TEIPEL</v>
      </c>
      <c r="M436" t="s">
        <v>57</v>
      </c>
      <c r="N436" s="1">
        <v>45976</v>
      </c>
      <c r="P436" s="1">
        <v>46218</v>
      </c>
      <c r="Q436" s="2">
        <v>96</v>
      </c>
      <c r="R436" t="s">
        <v>58</v>
      </c>
      <c r="S436" s="3">
        <v>0.7</v>
      </c>
      <c r="T436" t="s">
        <v>60</v>
      </c>
      <c r="U436" t="s">
        <v>239</v>
      </c>
      <c r="V436" s="2">
        <v>67.2</v>
      </c>
      <c r="W436" s="2">
        <v>67.2</v>
      </c>
      <c r="X436" s="2">
        <v>67.2</v>
      </c>
      <c r="Y436" t="s">
        <v>238</v>
      </c>
      <c r="Z436" t="s">
        <v>1062</v>
      </c>
    </row>
    <row r="437" spans="1:26" x14ac:dyDescent="0.25">
      <c r="A437">
        <v>2032116642</v>
      </c>
      <c r="B437" t="s">
        <v>373</v>
      </c>
      <c r="C437" t="s">
        <v>236</v>
      </c>
      <c r="D437" t="str">
        <f>CONCATENATE(C437," ",B437)</f>
        <v>ADAM BOSSOV</v>
      </c>
      <c r="E437" t="s">
        <v>119</v>
      </c>
      <c r="F437" t="s">
        <v>182</v>
      </c>
      <c r="G437" t="s">
        <v>183</v>
      </c>
      <c r="H437" t="s">
        <v>183</v>
      </c>
      <c r="I437" s="11" t="s">
        <v>1024</v>
      </c>
      <c r="J437" t="s">
        <v>73</v>
      </c>
      <c r="K437" t="s">
        <v>116</v>
      </c>
      <c r="L437" t="str">
        <f>CONCATENATE(K437," ",J437)</f>
        <v>Richard Yale</v>
      </c>
      <c r="M437" t="s">
        <v>57</v>
      </c>
      <c r="N437" s="1">
        <v>45976</v>
      </c>
      <c r="P437" s="1">
        <v>46218</v>
      </c>
      <c r="Q437" s="2">
        <v>109.2</v>
      </c>
      <c r="R437" t="s">
        <v>58</v>
      </c>
      <c r="S437" s="3">
        <v>0.7</v>
      </c>
      <c r="T437" t="s">
        <v>60</v>
      </c>
      <c r="U437" t="s">
        <v>239</v>
      </c>
      <c r="V437" s="2">
        <v>76.44</v>
      </c>
      <c r="W437" s="2">
        <v>76.44</v>
      </c>
      <c r="X437" s="2">
        <v>76.44</v>
      </c>
      <c r="Y437" t="s">
        <v>238</v>
      </c>
      <c r="Z437" t="s">
        <v>1062</v>
      </c>
    </row>
    <row r="438" spans="1:26" x14ac:dyDescent="0.25">
      <c r="A438">
        <v>2032151221</v>
      </c>
      <c r="B438" t="s">
        <v>558</v>
      </c>
      <c r="C438" t="s">
        <v>559</v>
      </c>
      <c r="D438" t="str">
        <f>CONCATENATE(C438," ",B438)</f>
        <v>CHRIS GIGLIO</v>
      </c>
      <c r="E438" t="s">
        <v>119</v>
      </c>
      <c r="F438" t="s">
        <v>182</v>
      </c>
      <c r="G438" t="s">
        <v>183</v>
      </c>
      <c r="H438" t="s">
        <v>183</v>
      </c>
      <c r="I438" s="11" t="s">
        <v>1028</v>
      </c>
      <c r="J438" t="s">
        <v>406</v>
      </c>
      <c r="K438" t="s">
        <v>407</v>
      </c>
      <c r="L438" t="str">
        <f>CONCATENATE(K438," ",J438)</f>
        <v>BARRY BRENNER</v>
      </c>
      <c r="M438" t="s">
        <v>57</v>
      </c>
      <c r="N438" s="1">
        <v>45975</v>
      </c>
      <c r="P438" s="1">
        <v>46217</v>
      </c>
      <c r="Q438" s="2">
        <v>58.24</v>
      </c>
      <c r="R438" t="s">
        <v>58</v>
      </c>
      <c r="S438" s="3">
        <v>0.7</v>
      </c>
      <c r="T438" t="s">
        <v>60</v>
      </c>
      <c r="U438" t="s">
        <v>239</v>
      </c>
      <c r="V438" s="2">
        <v>40.770000000000003</v>
      </c>
      <c r="W438" s="2">
        <v>40.770000000000003</v>
      </c>
      <c r="X438" s="2">
        <v>40.770000000000003</v>
      </c>
      <c r="Y438" t="s">
        <v>238</v>
      </c>
      <c r="Z438" t="s">
        <v>1062</v>
      </c>
    </row>
    <row r="439" spans="1:26" x14ac:dyDescent="0.25">
      <c r="A439">
        <v>2032159933</v>
      </c>
      <c r="B439" t="s">
        <v>563</v>
      </c>
      <c r="C439" t="s">
        <v>564</v>
      </c>
      <c r="D439" t="str">
        <f>CONCATENATE(C439," ",B439)</f>
        <v>ERIC SCHAENZER</v>
      </c>
      <c r="E439" t="s">
        <v>70</v>
      </c>
      <c r="F439" t="s">
        <v>182</v>
      </c>
      <c r="G439" t="s">
        <v>183</v>
      </c>
      <c r="H439" t="s">
        <v>183</v>
      </c>
      <c r="I439" s="11">
        <v>21435997</v>
      </c>
      <c r="J439" t="s">
        <v>444</v>
      </c>
      <c r="K439" t="s">
        <v>445</v>
      </c>
      <c r="L439" t="str">
        <f>CONCATENATE(K439," ",J439)</f>
        <v>Christopher Brousseau</v>
      </c>
      <c r="M439" t="s">
        <v>57</v>
      </c>
      <c r="N439" s="1">
        <v>45976</v>
      </c>
      <c r="P439" s="1">
        <v>46218</v>
      </c>
      <c r="Q439" s="2">
        <v>45.46</v>
      </c>
      <c r="R439" t="s">
        <v>58</v>
      </c>
      <c r="S439" s="3">
        <v>0.7</v>
      </c>
      <c r="T439" t="s">
        <v>60</v>
      </c>
      <c r="U439" t="s">
        <v>239</v>
      </c>
      <c r="V439" s="2">
        <v>31.82</v>
      </c>
      <c r="W439" s="2">
        <v>31.82</v>
      </c>
      <c r="X439" s="2">
        <v>31.82</v>
      </c>
      <c r="Y439" t="s">
        <v>238</v>
      </c>
      <c r="Z439" t="s">
        <v>1062</v>
      </c>
    </row>
    <row r="440" spans="1:26" x14ac:dyDescent="0.25">
      <c r="A440">
        <v>2032172865</v>
      </c>
      <c r="B440" t="s">
        <v>565</v>
      </c>
      <c r="C440" t="s">
        <v>566</v>
      </c>
      <c r="D440" t="str">
        <f>CONCATENATE(C440," ",B440)</f>
        <v>BOLORMAA TSERENGOMBO</v>
      </c>
      <c r="E440" t="s">
        <v>119</v>
      </c>
      <c r="F440" t="s">
        <v>182</v>
      </c>
      <c r="G440" t="s">
        <v>183</v>
      </c>
      <c r="H440" t="s">
        <v>183</v>
      </c>
      <c r="I440" s="11" t="s">
        <v>1032</v>
      </c>
      <c r="J440" t="s">
        <v>216</v>
      </c>
      <c r="K440" t="s">
        <v>217</v>
      </c>
      <c r="L440" t="str">
        <f>CONCATENATE(K440," ",J440)</f>
        <v>NASANDELGER ZANA</v>
      </c>
      <c r="M440" t="s">
        <v>57</v>
      </c>
      <c r="N440" s="1">
        <v>45976</v>
      </c>
      <c r="P440" s="1">
        <v>46218</v>
      </c>
      <c r="Q440" s="2">
        <v>32.200000000000003</v>
      </c>
      <c r="R440" t="s">
        <v>58</v>
      </c>
      <c r="S440" s="3">
        <v>0.7</v>
      </c>
      <c r="T440" t="s">
        <v>60</v>
      </c>
      <c r="U440" t="s">
        <v>239</v>
      </c>
      <c r="V440" s="2">
        <v>22.54</v>
      </c>
      <c r="W440" s="2">
        <v>22.54</v>
      </c>
      <c r="X440" s="2">
        <v>22.54</v>
      </c>
      <c r="Y440" t="s">
        <v>238</v>
      </c>
      <c r="Z440" t="s">
        <v>1062</v>
      </c>
    </row>
    <row r="441" spans="1:26" x14ac:dyDescent="0.25">
      <c r="A441">
        <v>2032173640</v>
      </c>
      <c r="B441" t="s">
        <v>567</v>
      </c>
      <c r="C441" t="s">
        <v>568</v>
      </c>
      <c r="D441" t="str">
        <f>CONCATENATE(C441," ",B441)</f>
        <v>SELENGE MYAGMARSUREN</v>
      </c>
      <c r="E441" t="s">
        <v>119</v>
      </c>
      <c r="F441" t="s">
        <v>182</v>
      </c>
      <c r="G441" t="s">
        <v>183</v>
      </c>
      <c r="H441" t="s">
        <v>183</v>
      </c>
      <c r="I441" s="11" t="s">
        <v>1032</v>
      </c>
      <c r="J441" t="s">
        <v>216</v>
      </c>
      <c r="K441" t="s">
        <v>217</v>
      </c>
      <c r="L441" t="str">
        <f>CONCATENATE(K441," ",J441)</f>
        <v>NASANDELGER ZANA</v>
      </c>
      <c r="M441" t="s">
        <v>57</v>
      </c>
      <c r="N441" s="1">
        <v>45976</v>
      </c>
      <c r="P441" s="1">
        <v>46218</v>
      </c>
      <c r="Q441" s="2">
        <v>48.19</v>
      </c>
      <c r="R441" t="s">
        <v>58</v>
      </c>
      <c r="S441" s="3">
        <v>0.7</v>
      </c>
      <c r="T441" t="s">
        <v>60</v>
      </c>
      <c r="U441" t="s">
        <v>239</v>
      </c>
      <c r="V441" s="2">
        <v>33.729999999999997</v>
      </c>
      <c r="W441" s="2">
        <v>33.729999999999997</v>
      </c>
      <c r="X441" s="2">
        <v>33.729999999999997</v>
      </c>
      <c r="Y441" t="s">
        <v>238</v>
      </c>
      <c r="Z441" t="s">
        <v>1062</v>
      </c>
    </row>
    <row r="442" spans="1:26" x14ac:dyDescent="0.25">
      <c r="A442">
        <v>2032175460</v>
      </c>
      <c r="B442" t="s">
        <v>569</v>
      </c>
      <c r="C442" t="s">
        <v>570</v>
      </c>
      <c r="D442" t="str">
        <f>CONCATENATE(C442," ",B442)</f>
        <v>KRISTINA CAMPAGNA</v>
      </c>
      <c r="E442" t="s">
        <v>119</v>
      </c>
      <c r="F442" t="s">
        <v>182</v>
      </c>
      <c r="G442" t="s">
        <v>183</v>
      </c>
      <c r="H442" t="s">
        <v>183</v>
      </c>
      <c r="I442" s="11" t="s">
        <v>1028</v>
      </c>
      <c r="J442" t="s">
        <v>406</v>
      </c>
      <c r="K442" t="s">
        <v>407</v>
      </c>
      <c r="L442" t="str">
        <f>CONCATENATE(K442," ",J442)</f>
        <v>BARRY BRENNER</v>
      </c>
      <c r="M442" t="s">
        <v>57</v>
      </c>
      <c r="N442" s="1">
        <v>45976</v>
      </c>
      <c r="P442" s="1">
        <v>46218</v>
      </c>
      <c r="Q442" s="2">
        <v>11.5</v>
      </c>
      <c r="R442" t="s">
        <v>58</v>
      </c>
      <c r="S442" s="3">
        <v>0.7</v>
      </c>
      <c r="T442" t="s">
        <v>60</v>
      </c>
      <c r="U442" t="s">
        <v>239</v>
      </c>
      <c r="V442" s="2">
        <v>8.0500000000000007</v>
      </c>
      <c r="W442" s="2">
        <v>8.0500000000000007</v>
      </c>
      <c r="X442" s="2">
        <v>8.0500000000000007</v>
      </c>
      <c r="Y442" t="s">
        <v>238</v>
      </c>
      <c r="Z442" t="s">
        <v>1062</v>
      </c>
    </row>
    <row r="443" spans="1:26" x14ac:dyDescent="0.25">
      <c r="A443">
        <v>2032178545</v>
      </c>
      <c r="B443" t="s">
        <v>571</v>
      </c>
      <c r="C443" t="s">
        <v>572</v>
      </c>
      <c r="D443" t="str">
        <f>CONCATENATE(C443," ",B443)</f>
        <v>JOANNA STOZEK</v>
      </c>
      <c r="E443" t="s">
        <v>186</v>
      </c>
      <c r="F443" t="s">
        <v>182</v>
      </c>
      <c r="G443" t="s">
        <v>183</v>
      </c>
      <c r="H443" t="s">
        <v>183</v>
      </c>
      <c r="I443" s="11" t="s">
        <v>1017</v>
      </c>
      <c r="J443" t="s">
        <v>328</v>
      </c>
      <c r="K443" t="s">
        <v>329</v>
      </c>
      <c r="L443" t="str">
        <f>CONCATENATE(K443," ",J443)</f>
        <v>CHRISTIAN TAUGNER</v>
      </c>
      <c r="M443" t="s">
        <v>57</v>
      </c>
      <c r="N443" s="1">
        <v>45976</v>
      </c>
      <c r="P443" s="1">
        <v>46218</v>
      </c>
      <c r="Q443" s="2">
        <v>54.3</v>
      </c>
      <c r="R443" t="s">
        <v>58</v>
      </c>
      <c r="S443" s="3">
        <v>0.7</v>
      </c>
      <c r="T443" t="s">
        <v>60</v>
      </c>
      <c r="U443" t="s">
        <v>239</v>
      </c>
      <c r="V443" s="2">
        <v>38.01</v>
      </c>
      <c r="W443" s="2">
        <v>38.01</v>
      </c>
      <c r="X443" s="2">
        <v>38.01</v>
      </c>
      <c r="Y443" t="s">
        <v>238</v>
      </c>
      <c r="Z443" t="s">
        <v>1062</v>
      </c>
    </row>
    <row r="444" spans="1:26" x14ac:dyDescent="0.25">
      <c r="A444">
        <v>2032204649</v>
      </c>
      <c r="B444" t="s">
        <v>378</v>
      </c>
      <c r="C444" t="s">
        <v>151</v>
      </c>
      <c r="D444" t="str">
        <f>CONCATENATE(C444," ",B444)</f>
        <v>DANIELLE TEREZA</v>
      </c>
      <c r="E444" t="s">
        <v>119</v>
      </c>
      <c r="F444" t="s">
        <v>182</v>
      </c>
      <c r="G444" t="s">
        <v>183</v>
      </c>
      <c r="H444" t="s">
        <v>183</v>
      </c>
      <c r="I444" s="11" t="s">
        <v>1026</v>
      </c>
      <c r="J444" t="s">
        <v>128</v>
      </c>
      <c r="K444" t="s">
        <v>129</v>
      </c>
      <c r="L444" t="str">
        <f>CONCATENATE(K444," ",J444)</f>
        <v>Dale Walenga</v>
      </c>
      <c r="M444" t="s">
        <v>57</v>
      </c>
      <c r="N444" s="1">
        <v>45979</v>
      </c>
      <c r="P444" s="1">
        <v>46221</v>
      </c>
      <c r="Q444" s="2">
        <v>26.5</v>
      </c>
      <c r="R444" t="s">
        <v>58</v>
      </c>
      <c r="S444" s="3">
        <v>0.7</v>
      </c>
      <c r="T444" t="s">
        <v>60</v>
      </c>
      <c r="U444" t="s">
        <v>239</v>
      </c>
      <c r="V444" s="2">
        <v>18.55</v>
      </c>
      <c r="W444" s="2">
        <v>18.55</v>
      </c>
      <c r="X444" s="2">
        <v>18.55</v>
      </c>
      <c r="Y444" t="s">
        <v>238</v>
      </c>
      <c r="Z444" t="s">
        <v>1062</v>
      </c>
    </row>
    <row r="445" spans="1:26" x14ac:dyDescent="0.25">
      <c r="A445">
        <v>2032208234</v>
      </c>
      <c r="B445" t="s">
        <v>379</v>
      </c>
      <c r="C445" t="s">
        <v>380</v>
      </c>
      <c r="D445" t="str">
        <f>CONCATENATE(C445," ",B445)</f>
        <v>COLEEN VELMS</v>
      </c>
      <c r="E445" t="s">
        <v>95</v>
      </c>
      <c r="F445" t="s">
        <v>182</v>
      </c>
      <c r="G445" t="s">
        <v>183</v>
      </c>
      <c r="H445" t="s">
        <v>183</v>
      </c>
      <c r="I445" s="11" t="s">
        <v>1025</v>
      </c>
      <c r="J445" t="s">
        <v>205</v>
      </c>
      <c r="K445" t="s">
        <v>206</v>
      </c>
      <c r="L445" t="str">
        <f>CONCATENATE(K445," ",J445)</f>
        <v>Jake Shulman</v>
      </c>
      <c r="M445" t="s">
        <v>57</v>
      </c>
      <c r="N445" s="1">
        <v>45979</v>
      </c>
      <c r="P445" s="1">
        <v>46221</v>
      </c>
      <c r="Q445" s="2">
        <v>8.58</v>
      </c>
      <c r="R445" t="s">
        <v>58</v>
      </c>
      <c r="S445" s="3">
        <v>0.7</v>
      </c>
      <c r="T445" t="s">
        <v>60</v>
      </c>
      <c r="U445" t="s">
        <v>239</v>
      </c>
      <c r="V445" s="2">
        <v>6.01</v>
      </c>
      <c r="W445" s="2">
        <v>6.01</v>
      </c>
      <c r="X445" s="2">
        <v>6.01</v>
      </c>
      <c r="Y445" t="s">
        <v>238</v>
      </c>
      <c r="Z445" t="s">
        <v>1062</v>
      </c>
    </row>
    <row r="446" spans="1:26" x14ac:dyDescent="0.25">
      <c r="A446">
        <v>2032208387</v>
      </c>
      <c r="B446" t="s">
        <v>381</v>
      </c>
      <c r="C446" t="s">
        <v>272</v>
      </c>
      <c r="D446" t="str">
        <f>CONCATENATE(C446," ",B446)</f>
        <v>MARY CARLSON</v>
      </c>
      <c r="E446" t="s">
        <v>305</v>
      </c>
      <c r="F446" t="s">
        <v>182</v>
      </c>
      <c r="G446" t="s">
        <v>183</v>
      </c>
      <c r="H446" t="s">
        <v>183</v>
      </c>
      <c r="I446" s="11" t="s">
        <v>1020</v>
      </c>
      <c r="J446" t="s">
        <v>312</v>
      </c>
      <c r="K446" t="s">
        <v>313</v>
      </c>
      <c r="L446" t="str">
        <f>CONCATENATE(K446," ",J446)</f>
        <v>Heather Geske</v>
      </c>
      <c r="M446" t="s">
        <v>57</v>
      </c>
      <c r="N446" s="1">
        <v>45979</v>
      </c>
      <c r="P446" s="1">
        <v>46221</v>
      </c>
      <c r="Q446" s="2">
        <v>9.1</v>
      </c>
      <c r="R446" t="s">
        <v>58</v>
      </c>
      <c r="S446" s="3">
        <v>0.7</v>
      </c>
      <c r="T446" t="s">
        <v>60</v>
      </c>
      <c r="U446" t="s">
        <v>239</v>
      </c>
      <c r="V446" s="2">
        <v>6.37</v>
      </c>
      <c r="W446" s="2">
        <v>6.37</v>
      </c>
      <c r="X446" s="2">
        <v>6.37</v>
      </c>
      <c r="Y446" t="s">
        <v>238</v>
      </c>
      <c r="Z446" t="s">
        <v>1062</v>
      </c>
    </row>
    <row r="447" spans="1:26" x14ac:dyDescent="0.25">
      <c r="A447">
        <v>2032222104</v>
      </c>
      <c r="B447" t="s">
        <v>576</v>
      </c>
      <c r="C447" t="s">
        <v>250</v>
      </c>
      <c r="D447" t="str">
        <f>CONCATENATE(C447," ",B447)</f>
        <v>CHARLES NEEDLE</v>
      </c>
      <c r="E447" t="s">
        <v>305</v>
      </c>
      <c r="F447" t="s">
        <v>182</v>
      </c>
      <c r="G447" t="s">
        <v>183</v>
      </c>
      <c r="H447" t="s">
        <v>183</v>
      </c>
      <c r="I447" s="11" t="s">
        <v>1020</v>
      </c>
      <c r="J447" t="s">
        <v>312</v>
      </c>
      <c r="K447" t="s">
        <v>313</v>
      </c>
      <c r="L447" t="str">
        <f>CONCATENATE(K447," ",J447)</f>
        <v>Heather Geske</v>
      </c>
      <c r="M447" t="s">
        <v>57</v>
      </c>
      <c r="N447" s="1">
        <v>45979</v>
      </c>
      <c r="P447" s="1">
        <v>46221</v>
      </c>
      <c r="Q447" s="2">
        <v>18.2</v>
      </c>
      <c r="R447" t="s">
        <v>58</v>
      </c>
      <c r="S447" s="3">
        <v>0.7</v>
      </c>
      <c r="T447" t="s">
        <v>60</v>
      </c>
      <c r="U447" t="s">
        <v>239</v>
      </c>
      <c r="V447" s="2">
        <v>12.74</v>
      </c>
      <c r="W447" s="2">
        <v>12.74</v>
      </c>
      <c r="X447" s="2">
        <v>12.74</v>
      </c>
      <c r="Y447" t="s">
        <v>238</v>
      </c>
      <c r="Z447" t="s">
        <v>1062</v>
      </c>
    </row>
    <row r="448" spans="1:26" x14ac:dyDescent="0.25">
      <c r="A448">
        <v>2032222373</v>
      </c>
      <c r="B448" t="s">
        <v>577</v>
      </c>
      <c r="C448" t="s">
        <v>578</v>
      </c>
      <c r="D448" t="str">
        <f>CONCATENATE(C448," ",B448)</f>
        <v>AUBREY CROCKER</v>
      </c>
      <c r="E448" t="s">
        <v>70</v>
      </c>
      <c r="F448" t="s">
        <v>182</v>
      </c>
      <c r="G448" t="s">
        <v>183</v>
      </c>
      <c r="H448" t="s">
        <v>183</v>
      </c>
      <c r="I448" s="11">
        <v>21435997</v>
      </c>
      <c r="J448" t="s">
        <v>444</v>
      </c>
      <c r="K448" t="s">
        <v>445</v>
      </c>
      <c r="L448" t="str">
        <f>CONCATENATE(K448," ",J448)</f>
        <v>Christopher Brousseau</v>
      </c>
      <c r="M448" t="s">
        <v>57</v>
      </c>
      <c r="N448" s="1">
        <v>45979</v>
      </c>
      <c r="P448" s="1">
        <v>46221</v>
      </c>
      <c r="Q448" s="2">
        <v>45.46</v>
      </c>
      <c r="R448" t="s">
        <v>58</v>
      </c>
      <c r="S448" s="3">
        <v>0.7</v>
      </c>
      <c r="T448" t="s">
        <v>60</v>
      </c>
      <c r="U448" t="s">
        <v>239</v>
      </c>
      <c r="V448" s="2">
        <v>31.82</v>
      </c>
      <c r="W448" s="2">
        <v>31.82</v>
      </c>
      <c r="X448" s="2">
        <v>31.82</v>
      </c>
      <c r="Y448" t="s">
        <v>238</v>
      </c>
      <c r="Z448" t="s">
        <v>1062</v>
      </c>
    </row>
    <row r="449" spans="1:26" x14ac:dyDescent="0.25">
      <c r="A449">
        <v>2032223333</v>
      </c>
      <c r="B449" t="s">
        <v>577</v>
      </c>
      <c r="C449" t="s">
        <v>579</v>
      </c>
      <c r="D449" t="str">
        <f>CONCATENATE(C449," ",B449)</f>
        <v>CATHERINE CROCKER</v>
      </c>
      <c r="E449" t="s">
        <v>70</v>
      </c>
      <c r="F449" t="s">
        <v>182</v>
      </c>
      <c r="G449" t="s">
        <v>183</v>
      </c>
      <c r="H449" t="s">
        <v>183</v>
      </c>
      <c r="I449" s="11">
        <v>21435997</v>
      </c>
      <c r="J449" t="s">
        <v>444</v>
      </c>
      <c r="K449" t="s">
        <v>445</v>
      </c>
      <c r="L449" t="str">
        <f>CONCATENATE(K449," ",J449)</f>
        <v>Christopher Brousseau</v>
      </c>
      <c r="M449" t="s">
        <v>57</v>
      </c>
      <c r="N449" s="1">
        <v>45980</v>
      </c>
      <c r="P449" s="1">
        <v>46222</v>
      </c>
      <c r="Q449" s="2">
        <v>85.36</v>
      </c>
      <c r="R449" t="s">
        <v>58</v>
      </c>
      <c r="S449" s="3">
        <v>0.7</v>
      </c>
      <c r="T449" t="s">
        <v>60</v>
      </c>
      <c r="U449" t="s">
        <v>239</v>
      </c>
      <c r="V449" s="2">
        <v>59.75</v>
      </c>
      <c r="W449" s="2">
        <v>59.75</v>
      </c>
      <c r="X449" s="2">
        <v>59.75</v>
      </c>
      <c r="Y449" t="s">
        <v>238</v>
      </c>
      <c r="Z449" t="s">
        <v>1062</v>
      </c>
    </row>
    <row r="450" spans="1:26" x14ac:dyDescent="0.25">
      <c r="A450">
        <v>2032229006</v>
      </c>
      <c r="B450" t="s">
        <v>580</v>
      </c>
      <c r="C450" t="s">
        <v>581</v>
      </c>
      <c r="D450" t="str">
        <f>CONCATENATE(C450," ",B450)</f>
        <v>KATHRYN SWENSON</v>
      </c>
      <c r="E450" t="s">
        <v>119</v>
      </c>
      <c r="F450" t="s">
        <v>182</v>
      </c>
      <c r="G450" t="s">
        <v>183</v>
      </c>
      <c r="H450" t="s">
        <v>183</v>
      </c>
      <c r="I450" s="11" t="s">
        <v>1028</v>
      </c>
      <c r="J450" t="s">
        <v>406</v>
      </c>
      <c r="K450" t="s">
        <v>407</v>
      </c>
      <c r="L450" t="str">
        <f>CONCATENATE(K450," ",J450)</f>
        <v>BARRY BRENNER</v>
      </c>
      <c r="M450" t="s">
        <v>57</v>
      </c>
      <c r="N450" s="1">
        <v>45980</v>
      </c>
      <c r="P450" s="1">
        <v>46222</v>
      </c>
      <c r="Q450" s="2">
        <v>58.24</v>
      </c>
      <c r="R450" t="s">
        <v>58</v>
      </c>
      <c r="S450" s="3">
        <v>0.7</v>
      </c>
      <c r="T450" t="s">
        <v>60</v>
      </c>
      <c r="U450" t="s">
        <v>239</v>
      </c>
      <c r="V450" s="2">
        <v>40.770000000000003</v>
      </c>
      <c r="W450" s="2">
        <v>40.770000000000003</v>
      </c>
      <c r="X450" s="2">
        <v>40.770000000000003</v>
      </c>
      <c r="Y450" t="s">
        <v>238</v>
      </c>
      <c r="Z450" t="s">
        <v>1062</v>
      </c>
    </row>
    <row r="451" spans="1:26" x14ac:dyDescent="0.25">
      <c r="A451">
        <v>2032236389</v>
      </c>
      <c r="B451" t="s">
        <v>583</v>
      </c>
      <c r="C451" t="s">
        <v>584</v>
      </c>
      <c r="D451" t="str">
        <f>CONCATENATE(C451," ",B451)</f>
        <v>ASHLEY CHESTANG</v>
      </c>
      <c r="E451" t="s">
        <v>585</v>
      </c>
      <c r="F451" t="s">
        <v>182</v>
      </c>
      <c r="G451" t="s">
        <v>183</v>
      </c>
      <c r="H451" t="s">
        <v>183</v>
      </c>
      <c r="I451" s="11" t="s">
        <v>1022</v>
      </c>
      <c r="J451" t="s">
        <v>171</v>
      </c>
      <c r="K451" t="s">
        <v>172</v>
      </c>
      <c r="L451" t="str">
        <f>CONCATENATE(K451," ",J451)</f>
        <v>THOMAS PARDUE</v>
      </c>
      <c r="M451" t="s">
        <v>57</v>
      </c>
      <c r="N451" s="1">
        <v>45980</v>
      </c>
      <c r="P451" s="1">
        <v>46222</v>
      </c>
      <c r="Q451" s="2">
        <v>55.68</v>
      </c>
      <c r="R451" t="s">
        <v>58</v>
      </c>
      <c r="S451" s="3">
        <v>0.7</v>
      </c>
      <c r="T451" t="s">
        <v>60</v>
      </c>
      <c r="U451" t="s">
        <v>239</v>
      </c>
      <c r="V451" s="2">
        <v>38.979999999999997</v>
      </c>
      <c r="W451" s="2">
        <v>38.979999999999997</v>
      </c>
      <c r="X451" s="2">
        <v>38.979999999999997</v>
      </c>
      <c r="Y451" t="s">
        <v>238</v>
      </c>
      <c r="Z451" t="s">
        <v>1062</v>
      </c>
    </row>
    <row r="452" spans="1:26" x14ac:dyDescent="0.25">
      <c r="A452">
        <v>2032256023</v>
      </c>
      <c r="B452" t="s">
        <v>586</v>
      </c>
      <c r="C452" t="s">
        <v>494</v>
      </c>
      <c r="D452" t="str">
        <f>CONCATENATE(C452," ",B452)</f>
        <v>ROBERT DAVIS</v>
      </c>
      <c r="E452" t="s">
        <v>305</v>
      </c>
      <c r="F452" t="s">
        <v>182</v>
      </c>
      <c r="G452" t="s">
        <v>183</v>
      </c>
      <c r="H452" t="s">
        <v>183</v>
      </c>
      <c r="I452" s="11" t="s">
        <v>1040</v>
      </c>
      <c r="J452" t="s">
        <v>306</v>
      </c>
      <c r="K452" t="s">
        <v>307</v>
      </c>
      <c r="L452" t="str">
        <f>CONCATENATE(K452," ",J452)</f>
        <v>WILLIAM GESKE</v>
      </c>
      <c r="M452" t="s">
        <v>57</v>
      </c>
      <c r="N452" s="1">
        <v>45981</v>
      </c>
      <c r="P452" s="1">
        <v>46193</v>
      </c>
      <c r="Q452" s="2">
        <v>-9.1</v>
      </c>
      <c r="R452" t="s">
        <v>58</v>
      </c>
      <c r="S452" s="3">
        <v>0.7</v>
      </c>
      <c r="T452" t="s">
        <v>60</v>
      </c>
      <c r="U452" t="s">
        <v>239</v>
      </c>
      <c r="V452" s="2">
        <v>-6.37</v>
      </c>
      <c r="W452" s="2">
        <v>-6.37</v>
      </c>
      <c r="X452" s="2">
        <v>-6.37</v>
      </c>
      <c r="Y452" t="s">
        <v>238</v>
      </c>
      <c r="Z452" t="s">
        <v>1062</v>
      </c>
    </row>
    <row r="453" spans="1:26" x14ac:dyDescent="0.25">
      <c r="A453">
        <v>2032256023</v>
      </c>
      <c r="B453" t="s">
        <v>586</v>
      </c>
      <c r="C453" t="s">
        <v>494</v>
      </c>
      <c r="D453" t="str">
        <f>CONCATENATE(C453," ",B453)</f>
        <v>ROBERT DAVIS</v>
      </c>
      <c r="E453" t="s">
        <v>305</v>
      </c>
      <c r="F453" t="s">
        <v>182</v>
      </c>
      <c r="G453" t="s">
        <v>183</v>
      </c>
      <c r="H453" t="s">
        <v>183</v>
      </c>
      <c r="I453" s="11" t="s">
        <v>1040</v>
      </c>
      <c r="J453" t="s">
        <v>306</v>
      </c>
      <c r="K453" t="s">
        <v>307</v>
      </c>
      <c r="L453" t="str">
        <f>CONCATENATE(K453," ",J453)</f>
        <v>WILLIAM GESKE</v>
      </c>
      <c r="M453" t="s">
        <v>57</v>
      </c>
      <c r="N453" s="1">
        <v>45981</v>
      </c>
      <c r="P453" s="1">
        <v>46193</v>
      </c>
      <c r="Q453" s="2">
        <v>-9.1</v>
      </c>
      <c r="R453" t="s">
        <v>58</v>
      </c>
      <c r="S453" s="3">
        <v>0.7</v>
      </c>
      <c r="T453" t="s">
        <v>60</v>
      </c>
      <c r="U453" t="s">
        <v>239</v>
      </c>
      <c r="V453" s="2">
        <v>-6.37</v>
      </c>
      <c r="W453" s="2">
        <v>-6.37</v>
      </c>
      <c r="X453" s="2">
        <v>-6.37</v>
      </c>
      <c r="Y453" t="s">
        <v>238</v>
      </c>
      <c r="Z453" t="s">
        <v>1062</v>
      </c>
    </row>
    <row r="454" spans="1:26" x14ac:dyDescent="0.25">
      <c r="A454">
        <v>2032256023</v>
      </c>
      <c r="B454" t="s">
        <v>586</v>
      </c>
      <c r="C454" t="s">
        <v>494</v>
      </c>
      <c r="D454" t="str">
        <f>CONCATENATE(C454," ",B454)</f>
        <v>ROBERT DAVIS</v>
      </c>
      <c r="E454" t="s">
        <v>305</v>
      </c>
      <c r="F454" t="s">
        <v>182</v>
      </c>
      <c r="G454" t="s">
        <v>183</v>
      </c>
      <c r="H454" t="s">
        <v>183</v>
      </c>
      <c r="I454" s="11" t="s">
        <v>1040</v>
      </c>
      <c r="J454" t="s">
        <v>306</v>
      </c>
      <c r="K454" t="s">
        <v>307</v>
      </c>
      <c r="L454" t="str">
        <f>CONCATENATE(K454," ",J454)</f>
        <v>WILLIAM GESKE</v>
      </c>
      <c r="M454" t="s">
        <v>57</v>
      </c>
      <c r="N454" s="1">
        <v>45981</v>
      </c>
      <c r="P454" s="1">
        <v>46193</v>
      </c>
      <c r="Q454" s="2">
        <v>-9.1</v>
      </c>
      <c r="R454" t="s">
        <v>58</v>
      </c>
      <c r="S454" s="3">
        <v>0.7</v>
      </c>
      <c r="T454" t="s">
        <v>60</v>
      </c>
      <c r="U454" t="s">
        <v>239</v>
      </c>
      <c r="V454" s="2">
        <v>-6.37</v>
      </c>
      <c r="W454" s="2">
        <v>-6.37</v>
      </c>
      <c r="X454" s="2">
        <v>-6.37</v>
      </c>
      <c r="Y454" t="s">
        <v>238</v>
      </c>
      <c r="Z454" t="s">
        <v>1062</v>
      </c>
    </row>
    <row r="455" spans="1:26" x14ac:dyDescent="0.25">
      <c r="A455">
        <v>2032256023</v>
      </c>
      <c r="B455" t="s">
        <v>586</v>
      </c>
      <c r="C455" t="s">
        <v>494</v>
      </c>
      <c r="D455" t="str">
        <f>CONCATENATE(C455," ",B455)</f>
        <v>ROBERT DAVIS</v>
      </c>
      <c r="E455" t="s">
        <v>305</v>
      </c>
      <c r="F455" t="s">
        <v>182</v>
      </c>
      <c r="G455" t="s">
        <v>183</v>
      </c>
      <c r="H455" t="s">
        <v>183</v>
      </c>
      <c r="I455" s="11" t="s">
        <v>1040</v>
      </c>
      <c r="J455" t="s">
        <v>306</v>
      </c>
      <c r="K455" t="s">
        <v>307</v>
      </c>
      <c r="L455" t="str">
        <f>CONCATENATE(K455," ",J455)</f>
        <v>WILLIAM GESKE</v>
      </c>
      <c r="M455" t="s">
        <v>57</v>
      </c>
      <c r="N455" s="1">
        <v>45981</v>
      </c>
      <c r="P455" s="1">
        <v>46193</v>
      </c>
      <c r="Q455" s="2">
        <v>-9.1</v>
      </c>
      <c r="R455" t="s">
        <v>58</v>
      </c>
      <c r="S455" s="3">
        <v>0.7</v>
      </c>
      <c r="T455" t="s">
        <v>60</v>
      </c>
      <c r="U455" t="s">
        <v>239</v>
      </c>
      <c r="V455" s="2">
        <v>-6.37</v>
      </c>
      <c r="W455" s="2">
        <v>-6.37</v>
      </c>
      <c r="X455" s="2">
        <v>-6.37</v>
      </c>
      <c r="Y455" t="s">
        <v>238</v>
      </c>
      <c r="Z455" t="s">
        <v>1062</v>
      </c>
    </row>
    <row r="456" spans="1:26" x14ac:dyDescent="0.25">
      <c r="A456">
        <v>2032256023</v>
      </c>
      <c r="B456" t="s">
        <v>586</v>
      </c>
      <c r="C456" t="s">
        <v>494</v>
      </c>
      <c r="D456" t="str">
        <f>CONCATENATE(C456," ",B456)</f>
        <v>ROBERT DAVIS</v>
      </c>
      <c r="E456" t="s">
        <v>305</v>
      </c>
      <c r="F456" t="s">
        <v>182</v>
      </c>
      <c r="G456" t="s">
        <v>183</v>
      </c>
      <c r="H456" t="s">
        <v>183</v>
      </c>
      <c r="I456" s="11" t="s">
        <v>1040</v>
      </c>
      <c r="J456" t="s">
        <v>306</v>
      </c>
      <c r="K456" t="s">
        <v>307</v>
      </c>
      <c r="L456" t="str">
        <f>CONCATENATE(K456," ",J456)</f>
        <v>WILLIAM GESKE</v>
      </c>
      <c r="M456" t="s">
        <v>57</v>
      </c>
      <c r="N456" s="1">
        <v>45981</v>
      </c>
      <c r="P456" s="1">
        <v>46193</v>
      </c>
      <c r="Q456" s="2">
        <v>27.3</v>
      </c>
      <c r="R456" t="s">
        <v>58</v>
      </c>
      <c r="S456" s="3">
        <v>0.7</v>
      </c>
      <c r="T456" t="s">
        <v>60</v>
      </c>
      <c r="U456" t="s">
        <v>239</v>
      </c>
      <c r="V456" s="2">
        <v>19.11</v>
      </c>
      <c r="W456" s="2">
        <v>19.11</v>
      </c>
      <c r="X456" s="2">
        <v>19.11</v>
      </c>
      <c r="Y456" t="s">
        <v>238</v>
      </c>
      <c r="Z456" t="s">
        <v>1062</v>
      </c>
    </row>
    <row r="457" spans="1:26" x14ac:dyDescent="0.25">
      <c r="A457">
        <v>2032445033</v>
      </c>
      <c r="B457" t="s">
        <v>384</v>
      </c>
      <c r="C457" t="s">
        <v>307</v>
      </c>
      <c r="D457" t="str">
        <f>CONCATENATE(C457," ",B457)</f>
        <v>WILLIAM RESURRECCION</v>
      </c>
      <c r="E457" t="s">
        <v>119</v>
      </c>
      <c r="F457" t="s">
        <v>182</v>
      </c>
      <c r="G457" t="s">
        <v>183</v>
      </c>
      <c r="H457" t="s">
        <v>183</v>
      </c>
      <c r="I457" s="11" t="s">
        <v>1027</v>
      </c>
      <c r="J457" t="s">
        <v>385</v>
      </c>
      <c r="K457" t="s">
        <v>386</v>
      </c>
      <c r="L457" t="str">
        <f>CONCATENATE(K457," ",J457)</f>
        <v>Andrew Choi</v>
      </c>
      <c r="M457" t="s">
        <v>57</v>
      </c>
      <c r="N457" s="1">
        <v>46006</v>
      </c>
      <c r="P457" s="1">
        <v>46218</v>
      </c>
      <c r="Q457" s="2">
        <v>22</v>
      </c>
      <c r="R457" t="s">
        <v>58</v>
      </c>
      <c r="S457" s="3">
        <v>0.7</v>
      </c>
      <c r="T457" t="s">
        <v>60</v>
      </c>
      <c r="U457" t="s">
        <v>239</v>
      </c>
      <c r="V457" s="2">
        <v>15.4</v>
      </c>
      <c r="W457" s="2">
        <v>15.4</v>
      </c>
      <c r="X457" s="2">
        <v>15.4</v>
      </c>
      <c r="Y457" t="s">
        <v>238</v>
      </c>
      <c r="Z457" t="s">
        <v>1064</v>
      </c>
    </row>
    <row r="458" spans="1:26" x14ac:dyDescent="0.25">
      <c r="A458">
        <v>2032569048</v>
      </c>
      <c r="B458" t="s">
        <v>587</v>
      </c>
      <c r="C458" t="s">
        <v>588</v>
      </c>
      <c r="D458" t="str">
        <f>CONCATENATE(C458," ",B458)</f>
        <v>BRIDGET GORMAN</v>
      </c>
      <c r="E458" t="s">
        <v>170</v>
      </c>
      <c r="F458" t="s">
        <v>182</v>
      </c>
      <c r="G458" t="s">
        <v>183</v>
      </c>
      <c r="H458" t="s">
        <v>183</v>
      </c>
      <c r="I458" s="11" t="s">
        <v>1022</v>
      </c>
      <c r="J458" t="s">
        <v>171</v>
      </c>
      <c r="K458" t="s">
        <v>172</v>
      </c>
      <c r="L458" t="str">
        <f>CONCATENATE(K458," ",J458)</f>
        <v>THOMAS PARDUE</v>
      </c>
      <c r="M458" t="s">
        <v>57</v>
      </c>
      <c r="N458" s="1">
        <v>46004</v>
      </c>
      <c r="P458" s="1">
        <v>46216</v>
      </c>
      <c r="Q458" s="2">
        <v>167.54</v>
      </c>
      <c r="R458" t="s">
        <v>58</v>
      </c>
      <c r="S458" s="3">
        <v>0.7</v>
      </c>
      <c r="T458" t="s">
        <v>60</v>
      </c>
      <c r="U458" t="s">
        <v>239</v>
      </c>
      <c r="V458" s="2">
        <v>117.28</v>
      </c>
      <c r="W458" s="2">
        <v>117.28</v>
      </c>
      <c r="X458" s="2">
        <v>117.28</v>
      </c>
      <c r="Y458" t="s">
        <v>238</v>
      </c>
      <c r="Z458" t="s">
        <v>1064</v>
      </c>
    </row>
    <row r="459" spans="1:26" x14ac:dyDescent="0.25">
      <c r="A459">
        <v>2032605394</v>
      </c>
      <c r="B459" t="s">
        <v>589</v>
      </c>
      <c r="C459" t="s">
        <v>590</v>
      </c>
      <c r="D459" t="str">
        <f>CONCATENATE(C459," ",B459)</f>
        <v>DIANE TENZINGER</v>
      </c>
      <c r="E459" t="s">
        <v>119</v>
      </c>
      <c r="F459" t="s">
        <v>182</v>
      </c>
      <c r="G459" t="s">
        <v>183</v>
      </c>
      <c r="H459" t="s">
        <v>183</v>
      </c>
      <c r="I459" s="11">
        <v>9213293</v>
      </c>
      <c r="J459" t="s">
        <v>414</v>
      </c>
      <c r="K459" t="s">
        <v>415</v>
      </c>
      <c r="L459" t="str">
        <f>CONCATENATE(K459," ",J459)</f>
        <v>GARY PORTUGAL</v>
      </c>
      <c r="M459" t="s">
        <v>57</v>
      </c>
      <c r="N459" s="1">
        <v>46008</v>
      </c>
      <c r="P459" s="1">
        <v>46220</v>
      </c>
      <c r="Q459" s="2">
        <v>37.18</v>
      </c>
      <c r="R459" t="s">
        <v>58</v>
      </c>
      <c r="S459" s="3">
        <v>0.7</v>
      </c>
      <c r="T459" t="s">
        <v>60</v>
      </c>
      <c r="U459" t="s">
        <v>239</v>
      </c>
      <c r="V459" s="2">
        <v>26.03</v>
      </c>
      <c r="W459" s="2">
        <v>26.03</v>
      </c>
      <c r="X459" s="2">
        <v>26.03</v>
      </c>
      <c r="Y459" t="s">
        <v>238</v>
      </c>
      <c r="Z459" t="s">
        <v>1062</v>
      </c>
    </row>
    <row r="460" spans="1:26" x14ac:dyDescent="0.25">
      <c r="A460">
        <v>2032616561</v>
      </c>
      <c r="B460" t="s">
        <v>387</v>
      </c>
      <c r="C460" t="s">
        <v>388</v>
      </c>
      <c r="D460" t="str">
        <f>CONCATENATE(C460," ",B460)</f>
        <v>SYDNEY BOHNE</v>
      </c>
      <c r="E460" t="s">
        <v>119</v>
      </c>
      <c r="F460" t="s">
        <v>182</v>
      </c>
      <c r="G460" t="s">
        <v>183</v>
      </c>
      <c r="H460" t="s">
        <v>183</v>
      </c>
      <c r="I460" s="11" t="s">
        <v>1001</v>
      </c>
      <c r="J460" t="s">
        <v>73</v>
      </c>
      <c r="K460" t="s">
        <v>116</v>
      </c>
      <c r="L460" t="str">
        <f>CONCATENATE(K460," ",J460)</f>
        <v>Richard Yale</v>
      </c>
      <c r="M460" t="s">
        <v>57</v>
      </c>
      <c r="N460" s="1">
        <v>46005</v>
      </c>
      <c r="P460" s="1">
        <v>46217</v>
      </c>
      <c r="Q460" s="2">
        <v>56.07</v>
      </c>
      <c r="R460" t="s">
        <v>58</v>
      </c>
      <c r="S460" s="3">
        <v>0.7</v>
      </c>
      <c r="T460" t="s">
        <v>60</v>
      </c>
      <c r="U460" t="s">
        <v>239</v>
      </c>
      <c r="V460" s="2">
        <v>39.25</v>
      </c>
      <c r="W460" s="2">
        <v>39.25</v>
      </c>
      <c r="X460" s="2">
        <v>39.25</v>
      </c>
      <c r="Y460" t="s">
        <v>238</v>
      </c>
      <c r="Z460" t="s">
        <v>1064</v>
      </c>
    </row>
    <row r="461" spans="1:26" x14ac:dyDescent="0.25">
      <c r="A461">
        <v>2032634716</v>
      </c>
      <c r="B461" t="s">
        <v>389</v>
      </c>
      <c r="C461" t="s">
        <v>390</v>
      </c>
      <c r="D461" t="str">
        <f>CONCATENATE(C461," ",B461)</f>
        <v>LENA PLAYER</v>
      </c>
      <c r="E461" t="s">
        <v>305</v>
      </c>
      <c r="F461" t="s">
        <v>182</v>
      </c>
      <c r="G461" t="s">
        <v>183</v>
      </c>
      <c r="H461" t="s">
        <v>183</v>
      </c>
      <c r="I461" s="11" t="s">
        <v>1020</v>
      </c>
      <c r="J461" t="s">
        <v>312</v>
      </c>
      <c r="K461" t="s">
        <v>313</v>
      </c>
      <c r="L461" t="str">
        <f>CONCATENATE(K461," ",J461)</f>
        <v>Heather Geske</v>
      </c>
      <c r="M461" t="s">
        <v>57</v>
      </c>
      <c r="N461" s="1">
        <v>46006</v>
      </c>
      <c r="P461" s="1">
        <v>46218</v>
      </c>
      <c r="Q461" s="2">
        <v>18.2</v>
      </c>
      <c r="R461" t="s">
        <v>58</v>
      </c>
      <c r="S461" s="3">
        <v>0.7</v>
      </c>
      <c r="T461" t="s">
        <v>60</v>
      </c>
      <c r="U461" t="s">
        <v>239</v>
      </c>
      <c r="V461" s="2">
        <v>12.74</v>
      </c>
      <c r="W461" s="2">
        <v>12.74</v>
      </c>
      <c r="X461" s="2">
        <v>12.74</v>
      </c>
      <c r="Y461" t="s">
        <v>238</v>
      </c>
      <c r="Z461" t="s">
        <v>1064</v>
      </c>
    </row>
    <row r="462" spans="1:26" x14ac:dyDescent="0.25">
      <c r="A462">
        <v>2032645668</v>
      </c>
      <c r="B462" t="s">
        <v>591</v>
      </c>
      <c r="C462" t="s">
        <v>592</v>
      </c>
      <c r="D462" t="str">
        <f>CONCATENATE(C462," ",B462)</f>
        <v>MARICEL GUERRA</v>
      </c>
      <c r="E462" t="s">
        <v>186</v>
      </c>
      <c r="F462" t="s">
        <v>182</v>
      </c>
      <c r="G462" t="s">
        <v>183</v>
      </c>
      <c r="H462" t="s">
        <v>183</v>
      </c>
      <c r="I462" s="11" t="s">
        <v>1017</v>
      </c>
      <c r="J462" t="s">
        <v>328</v>
      </c>
      <c r="K462" t="s">
        <v>329</v>
      </c>
      <c r="L462" t="str">
        <f>CONCATENATE(K462," ",J462)</f>
        <v>CHRISTIAN TAUGNER</v>
      </c>
      <c r="M462" t="s">
        <v>57</v>
      </c>
      <c r="N462" s="1">
        <v>46004</v>
      </c>
      <c r="P462" s="1">
        <v>46216</v>
      </c>
      <c r="Q462" s="2">
        <v>27.18</v>
      </c>
      <c r="R462" t="s">
        <v>58</v>
      </c>
      <c r="S462" s="3">
        <v>0.7</v>
      </c>
      <c r="T462" t="s">
        <v>60</v>
      </c>
      <c r="U462" t="s">
        <v>239</v>
      </c>
      <c r="V462" s="2">
        <v>19.03</v>
      </c>
      <c r="W462" s="2">
        <v>19.03</v>
      </c>
      <c r="X462" s="2">
        <v>19.03</v>
      </c>
      <c r="Y462" t="s">
        <v>238</v>
      </c>
      <c r="Z462" t="s">
        <v>1064</v>
      </c>
    </row>
    <row r="463" spans="1:26" x14ac:dyDescent="0.25">
      <c r="A463">
        <v>2032647790</v>
      </c>
      <c r="B463" t="s">
        <v>593</v>
      </c>
      <c r="C463" t="s">
        <v>594</v>
      </c>
      <c r="D463" t="str">
        <f>CONCATENATE(C463," ",B463)</f>
        <v>WADE BAUNE</v>
      </c>
      <c r="E463" t="s">
        <v>70</v>
      </c>
      <c r="F463" t="s">
        <v>182</v>
      </c>
      <c r="G463" t="s">
        <v>183</v>
      </c>
      <c r="H463" t="s">
        <v>183</v>
      </c>
      <c r="I463" s="11" t="s">
        <v>1044</v>
      </c>
      <c r="J463" t="s">
        <v>595</v>
      </c>
      <c r="K463" t="s">
        <v>596</v>
      </c>
      <c r="L463" t="str">
        <f>CONCATENATE(K463," ",J463)</f>
        <v>Raluca Cheregi</v>
      </c>
      <c r="M463" t="s">
        <v>57</v>
      </c>
      <c r="N463" s="1">
        <v>46004</v>
      </c>
      <c r="P463" s="1">
        <v>46216</v>
      </c>
      <c r="Q463" s="2">
        <v>79.17</v>
      </c>
      <c r="R463" t="s">
        <v>58</v>
      </c>
      <c r="S463" s="3">
        <v>0.7</v>
      </c>
      <c r="T463" t="s">
        <v>60</v>
      </c>
      <c r="U463" t="s">
        <v>239</v>
      </c>
      <c r="V463" s="2">
        <v>55.42</v>
      </c>
      <c r="W463" s="2">
        <v>55.42</v>
      </c>
      <c r="X463" s="2">
        <v>55.42</v>
      </c>
      <c r="Y463" t="s">
        <v>238</v>
      </c>
      <c r="Z463" t="s">
        <v>1064</v>
      </c>
    </row>
    <row r="464" spans="1:26" x14ac:dyDescent="0.25">
      <c r="A464">
        <v>2032650556</v>
      </c>
      <c r="B464" t="s">
        <v>597</v>
      </c>
      <c r="C464" t="s">
        <v>598</v>
      </c>
      <c r="D464" t="str">
        <f>CONCATENATE(C464," ",B464)</f>
        <v>MARIA REYNA</v>
      </c>
      <c r="E464" t="s">
        <v>95</v>
      </c>
      <c r="F464" t="s">
        <v>182</v>
      </c>
      <c r="G464" t="s">
        <v>183</v>
      </c>
      <c r="H464" t="s">
        <v>183</v>
      </c>
      <c r="I464" s="11" t="s">
        <v>1028</v>
      </c>
      <c r="J464" t="s">
        <v>406</v>
      </c>
      <c r="K464" t="s">
        <v>407</v>
      </c>
      <c r="L464" t="str">
        <f>CONCATENATE(K464," ",J464)</f>
        <v>BARRY BRENNER</v>
      </c>
      <c r="M464" t="s">
        <v>57</v>
      </c>
      <c r="N464" s="1">
        <v>46004</v>
      </c>
      <c r="P464" s="1">
        <v>46216</v>
      </c>
      <c r="Q464" s="2">
        <v>33.979999999999997</v>
      </c>
      <c r="R464" t="s">
        <v>58</v>
      </c>
      <c r="S464" s="3">
        <v>0.7</v>
      </c>
      <c r="T464" t="s">
        <v>60</v>
      </c>
      <c r="U464" t="s">
        <v>239</v>
      </c>
      <c r="V464" s="2">
        <v>23.79</v>
      </c>
      <c r="W464" s="2">
        <v>23.79</v>
      </c>
      <c r="X464" s="2">
        <v>23.79</v>
      </c>
      <c r="Y464" t="s">
        <v>238</v>
      </c>
      <c r="Z464" t="s">
        <v>1062</v>
      </c>
    </row>
    <row r="465" spans="1:26" x14ac:dyDescent="0.25">
      <c r="A465">
        <v>2032652629</v>
      </c>
      <c r="B465" t="s">
        <v>391</v>
      </c>
      <c r="C465" t="s">
        <v>392</v>
      </c>
      <c r="D465" t="str">
        <f>CONCATENATE(C465," ",B465)</f>
        <v>NICOLE KUCHAR</v>
      </c>
      <c r="E465" t="s">
        <v>186</v>
      </c>
      <c r="F465" t="s">
        <v>182</v>
      </c>
      <c r="G465" t="s">
        <v>183</v>
      </c>
      <c r="H465" t="s">
        <v>183</v>
      </c>
      <c r="I465" s="11" t="s">
        <v>1017</v>
      </c>
      <c r="J465" t="s">
        <v>328</v>
      </c>
      <c r="K465" t="s">
        <v>329</v>
      </c>
      <c r="L465" t="str">
        <f>CONCATENATE(K465," ",J465)</f>
        <v>CHRISTIAN TAUGNER</v>
      </c>
      <c r="M465" t="s">
        <v>57</v>
      </c>
      <c r="N465" s="1">
        <v>46004</v>
      </c>
      <c r="P465" s="1">
        <v>46216</v>
      </c>
      <c r="Q465" s="2">
        <v>89.8</v>
      </c>
      <c r="R465" t="s">
        <v>58</v>
      </c>
      <c r="S465" s="3">
        <v>0.7</v>
      </c>
      <c r="T465" t="s">
        <v>60</v>
      </c>
      <c r="U465" t="s">
        <v>239</v>
      </c>
      <c r="V465" s="2">
        <v>62.86</v>
      </c>
      <c r="W465" s="2">
        <v>62.86</v>
      </c>
      <c r="X465" s="2">
        <v>62.86</v>
      </c>
      <c r="Y465" t="s">
        <v>238</v>
      </c>
      <c r="Z465" t="s">
        <v>1064</v>
      </c>
    </row>
    <row r="466" spans="1:26" x14ac:dyDescent="0.25">
      <c r="A466">
        <v>2032657543</v>
      </c>
      <c r="B466" t="s">
        <v>599</v>
      </c>
      <c r="C466" t="s">
        <v>600</v>
      </c>
      <c r="D466" t="str">
        <f>CONCATENATE(C466," ",B466)</f>
        <v>AWA SALL</v>
      </c>
      <c r="E466" t="s">
        <v>119</v>
      </c>
      <c r="F466" t="s">
        <v>182</v>
      </c>
      <c r="G466" t="s">
        <v>183</v>
      </c>
      <c r="H466" t="s">
        <v>183</v>
      </c>
      <c r="I466" s="11" t="s">
        <v>1028</v>
      </c>
      <c r="J466" t="s">
        <v>406</v>
      </c>
      <c r="K466" t="s">
        <v>407</v>
      </c>
      <c r="L466" t="str">
        <f>CONCATENATE(K466," ",J466)</f>
        <v>BARRY BRENNER</v>
      </c>
      <c r="M466" t="s">
        <v>57</v>
      </c>
      <c r="N466" s="1">
        <v>46004</v>
      </c>
      <c r="P466" s="1">
        <v>46216</v>
      </c>
      <c r="Q466" s="2">
        <v>58.24</v>
      </c>
      <c r="R466" t="s">
        <v>58</v>
      </c>
      <c r="S466" s="3">
        <v>0.7</v>
      </c>
      <c r="T466" t="s">
        <v>60</v>
      </c>
      <c r="U466" t="s">
        <v>239</v>
      </c>
      <c r="V466" s="2">
        <v>40.770000000000003</v>
      </c>
      <c r="W466" s="2">
        <v>40.770000000000003</v>
      </c>
      <c r="X466" s="2">
        <v>40.770000000000003</v>
      </c>
      <c r="Y466" t="s">
        <v>238</v>
      </c>
      <c r="Z466" t="s">
        <v>1062</v>
      </c>
    </row>
    <row r="467" spans="1:26" x14ac:dyDescent="0.25">
      <c r="A467">
        <v>2032657984</v>
      </c>
      <c r="B467" t="s">
        <v>393</v>
      </c>
      <c r="C467" t="s">
        <v>264</v>
      </c>
      <c r="D467" t="str">
        <f>CONCATENATE(C467," ",B467)</f>
        <v>CHELSEA THRIFT</v>
      </c>
      <c r="E467" t="s">
        <v>95</v>
      </c>
      <c r="F467" t="s">
        <v>182</v>
      </c>
      <c r="G467" t="s">
        <v>183</v>
      </c>
      <c r="H467" t="s">
        <v>183</v>
      </c>
      <c r="I467" s="11" t="s">
        <v>1002</v>
      </c>
      <c r="J467" t="s">
        <v>321</v>
      </c>
      <c r="K467" t="s">
        <v>94</v>
      </c>
      <c r="L467" t="str">
        <f>CONCATENATE(K467," ",J467)</f>
        <v>ANDREA PETRUNGARO</v>
      </c>
      <c r="M467" t="s">
        <v>57</v>
      </c>
      <c r="N467" s="1">
        <v>46023</v>
      </c>
      <c r="P467" s="1">
        <v>46235</v>
      </c>
      <c r="Q467" s="2">
        <v>29.79</v>
      </c>
      <c r="R467" t="s">
        <v>58</v>
      </c>
      <c r="S467" s="3">
        <v>0.7</v>
      </c>
      <c r="T467" t="s">
        <v>60</v>
      </c>
      <c r="U467" t="s">
        <v>239</v>
      </c>
      <c r="V467" s="2">
        <v>20.85</v>
      </c>
      <c r="W467" s="2">
        <v>20.85</v>
      </c>
      <c r="X467" s="2">
        <v>20.85</v>
      </c>
      <c r="Y467" t="s">
        <v>238</v>
      </c>
      <c r="Z467" t="s">
        <v>1064</v>
      </c>
    </row>
    <row r="468" spans="1:26" x14ac:dyDescent="0.25">
      <c r="A468">
        <v>2033401871</v>
      </c>
      <c r="B468" t="s">
        <v>647</v>
      </c>
      <c r="C468" t="s">
        <v>513</v>
      </c>
      <c r="D468" t="str">
        <f>CONCATENATE(C468," ",B468)</f>
        <v>AMY DIDONNE</v>
      </c>
      <c r="E468" t="s">
        <v>95</v>
      </c>
      <c r="F468" t="s">
        <v>182</v>
      </c>
      <c r="G468" t="s">
        <v>183</v>
      </c>
      <c r="H468" t="s">
        <v>183</v>
      </c>
      <c r="I468" s="11" t="s">
        <v>1037</v>
      </c>
      <c r="J468" t="s">
        <v>514</v>
      </c>
      <c r="K468" t="s">
        <v>515</v>
      </c>
      <c r="L468" t="str">
        <f>CONCATENATE(K468," ",J468)</f>
        <v>Ines Berg</v>
      </c>
      <c r="M468" t="s">
        <v>57</v>
      </c>
      <c r="N468" s="1">
        <v>46054</v>
      </c>
      <c r="P468" s="1">
        <v>46174</v>
      </c>
      <c r="Q468" s="2">
        <v>-19.100000000000001</v>
      </c>
      <c r="R468" t="s">
        <v>58</v>
      </c>
      <c r="S468" s="3">
        <v>0.7</v>
      </c>
      <c r="T468" t="s">
        <v>60</v>
      </c>
      <c r="U468" t="s">
        <v>239</v>
      </c>
      <c r="V468" s="2">
        <v>-13.37</v>
      </c>
      <c r="W468" s="2">
        <v>-13.37</v>
      </c>
      <c r="X468" s="2">
        <v>-13.37</v>
      </c>
      <c r="Y468" t="s">
        <v>238</v>
      </c>
      <c r="Z468" t="s">
        <v>1063</v>
      </c>
    </row>
    <row r="469" spans="1:26" x14ac:dyDescent="0.25">
      <c r="A469">
        <v>2033404742</v>
      </c>
      <c r="B469" t="s">
        <v>647</v>
      </c>
      <c r="C469" t="s">
        <v>607</v>
      </c>
      <c r="D469" t="str">
        <f>CONCATENATE(C469," ",B469)</f>
        <v>ANGELA DIDONNE</v>
      </c>
      <c r="E469" t="s">
        <v>95</v>
      </c>
      <c r="F469" t="s">
        <v>182</v>
      </c>
      <c r="G469" t="s">
        <v>183</v>
      </c>
      <c r="H469" t="s">
        <v>183</v>
      </c>
      <c r="I469" s="11" t="s">
        <v>1037</v>
      </c>
      <c r="J469" t="s">
        <v>514</v>
      </c>
      <c r="K469" t="s">
        <v>515</v>
      </c>
      <c r="L469" t="str">
        <f>CONCATENATE(K469," ",J469)</f>
        <v>Ines Berg</v>
      </c>
      <c r="M469" t="s">
        <v>57</v>
      </c>
      <c r="N469" s="1">
        <v>46054</v>
      </c>
      <c r="P469" s="1">
        <v>46174</v>
      </c>
      <c r="Q469" s="2">
        <v>-19.100000000000001</v>
      </c>
      <c r="R469" t="s">
        <v>58</v>
      </c>
      <c r="S469" s="3">
        <v>0.7</v>
      </c>
      <c r="T469" t="s">
        <v>60</v>
      </c>
      <c r="U469" t="s">
        <v>239</v>
      </c>
      <c r="V469" s="2">
        <v>-13.37</v>
      </c>
      <c r="W469" s="2">
        <v>-13.37</v>
      </c>
      <c r="X469" s="2">
        <v>-13.37</v>
      </c>
      <c r="Y469" t="s">
        <v>238</v>
      </c>
      <c r="Z469" t="s">
        <v>1063</v>
      </c>
    </row>
    <row r="470" spans="1:26" x14ac:dyDescent="0.25">
      <c r="A470">
        <v>2033406248</v>
      </c>
      <c r="B470" t="s">
        <v>648</v>
      </c>
      <c r="C470" t="s">
        <v>649</v>
      </c>
      <c r="D470" t="str">
        <f>CONCATENATE(C470," ",B470)</f>
        <v>AMLIZ RIVERA</v>
      </c>
      <c r="E470" t="s">
        <v>95</v>
      </c>
      <c r="F470" t="s">
        <v>182</v>
      </c>
      <c r="G470" t="s">
        <v>183</v>
      </c>
      <c r="H470" t="s">
        <v>183</v>
      </c>
      <c r="I470" s="11" t="s">
        <v>1037</v>
      </c>
      <c r="J470" t="s">
        <v>514</v>
      </c>
      <c r="K470" t="s">
        <v>515</v>
      </c>
      <c r="L470" t="str">
        <f>CONCATENATE(K470," ",J470)</f>
        <v>Ines Berg</v>
      </c>
      <c r="M470" t="s">
        <v>57</v>
      </c>
      <c r="N470" s="1">
        <v>46054</v>
      </c>
      <c r="P470" s="1">
        <v>46174</v>
      </c>
      <c r="Q470" s="2">
        <v>-11.74</v>
      </c>
      <c r="R470" t="s">
        <v>58</v>
      </c>
      <c r="S470" s="3">
        <v>0.7</v>
      </c>
      <c r="T470" t="s">
        <v>60</v>
      </c>
      <c r="U470" t="s">
        <v>239</v>
      </c>
      <c r="V470" s="2">
        <v>-8.2200000000000006</v>
      </c>
      <c r="W470" s="2">
        <v>-8.2200000000000006</v>
      </c>
      <c r="X470" s="2">
        <v>-8.2200000000000006</v>
      </c>
      <c r="Y470" t="s">
        <v>238</v>
      </c>
      <c r="Z470" t="s">
        <v>1063</v>
      </c>
    </row>
    <row r="471" spans="1:26" x14ac:dyDescent="0.25">
      <c r="A471">
        <v>2035865269</v>
      </c>
      <c r="B471" t="s">
        <v>758</v>
      </c>
      <c r="C471" t="s">
        <v>123</v>
      </c>
      <c r="D471" t="str">
        <f>CONCATENATE(C471," ",B471)</f>
        <v>FRANK ELSWICK</v>
      </c>
      <c r="E471" t="s">
        <v>70</v>
      </c>
      <c r="F471" t="s">
        <v>182</v>
      </c>
      <c r="G471" t="s">
        <v>183</v>
      </c>
      <c r="H471" t="s">
        <v>183</v>
      </c>
      <c r="I471" s="11">
        <v>20003537</v>
      </c>
      <c r="J471" t="s">
        <v>73</v>
      </c>
      <c r="K471" t="s">
        <v>74</v>
      </c>
      <c r="L471" t="str">
        <f>CONCATENATE(K471," ",J471)</f>
        <v>Chad Yale</v>
      </c>
      <c r="M471" t="s">
        <v>57</v>
      </c>
      <c r="N471" s="1">
        <v>46204</v>
      </c>
      <c r="P471" s="1">
        <v>46235</v>
      </c>
      <c r="Q471" s="2">
        <v>-66.02</v>
      </c>
      <c r="R471" t="s">
        <v>58</v>
      </c>
      <c r="S471" s="3">
        <v>0.7</v>
      </c>
      <c r="T471" t="s">
        <v>60</v>
      </c>
      <c r="U471" t="s">
        <v>239</v>
      </c>
      <c r="V471" s="2">
        <v>-46.21</v>
      </c>
      <c r="W471" s="2">
        <v>-46.21</v>
      </c>
      <c r="X471" s="2">
        <v>-46.21</v>
      </c>
      <c r="Y471" t="s">
        <v>238</v>
      </c>
      <c r="Z471" t="s">
        <v>1062</v>
      </c>
    </row>
    <row r="472" spans="1:26" x14ac:dyDescent="0.25">
      <c r="A472">
        <v>2017630350</v>
      </c>
      <c r="B472" t="s">
        <v>959</v>
      </c>
      <c r="C472" t="s">
        <v>287</v>
      </c>
      <c r="D472" t="str">
        <f>CONCATENATE(C472," ",B472)</f>
        <v>SUSAN HIGGINS</v>
      </c>
      <c r="E472" t="s">
        <v>165</v>
      </c>
      <c r="F472" t="s">
        <v>182</v>
      </c>
      <c r="G472" t="s">
        <v>183</v>
      </c>
      <c r="H472" t="s">
        <v>183</v>
      </c>
      <c r="I472" s="11">
        <v>20436896</v>
      </c>
      <c r="J472" t="s">
        <v>85</v>
      </c>
      <c r="K472" t="s">
        <v>866</v>
      </c>
      <c r="L472" t="str">
        <f>CONCATENATE(K472," ",J472)</f>
        <v>KATELENN CALTAGIRONE</v>
      </c>
      <c r="M472" t="s">
        <v>57</v>
      </c>
      <c r="N472" s="1">
        <v>45001</v>
      </c>
      <c r="P472" s="1">
        <v>46219</v>
      </c>
      <c r="Q472" s="2">
        <v>140.25</v>
      </c>
      <c r="R472" t="s">
        <v>58</v>
      </c>
      <c r="S472" s="3">
        <v>0.15</v>
      </c>
      <c r="T472" t="s">
        <v>238</v>
      </c>
      <c r="U472" t="s">
        <v>239</v>
      </c>
      <c r="V472" s="2">
        <v>21.04</v>
      </c>
      <c r="W472" s="2">
        <v>21.04</v>
      </c>
      <c r="X472" s="2">
        <v>21.04</v>
      </c>
      <c r="Y472" t="s">
        <v>238</v>
      </c>
      <c r="Z472" t="s">
        <v>1062</v>
      </c>
    </row>
    <row r="473" spans="1:26" x14ac:dyDescent="0.25">
      <c r="A473">
        <v>2024356429</v>
      </c>
      <c r="B473" t="s">
        <v>876</v>
      </c>
      <c r="C473" t="s">
        <v>877</v>
      </c>
      <c r="D473" t="str">
        <f>CONCATENATE(C473," ",B473)</f>
        <v>SEAN KAPANGA</v>
      </c>
      <c r="E473" t="s">
        <v>119</v>
      </c>
      <c r="F473" t="s">
        <v>182</v>
      </c>
      <c r="G473" t="s">
        <v>183</v>
      </c>
      <c r="H473" t="s">
        <v>183</v>
      </c>
      <c r="I473" s="11" t="s">
        <v>1016</v>
      </c>
      <c r="J473" t="s">
        <v>171</v>
      </c>
      <c r="K473" t="s">
        <v>172</v>
      </c>
      <c r="L473" t="str">
        <f>CONCATENATE(K473," ",J473)</f>
        <v>THOMAS PARDUE</v>
      </c>
      <c r="M473" t="s">
        <v>57</v>
      </c>
      <c r="N473" s="1">
        <v>45517</v>
      </c>
      <c r="P473" s="1">
        <v>46216</v>
      </c>
      <c r="Q473" s="2">
        <v>28.9</v>
      </c>
      <c r="R473" t="s">
        <v>58</v>
      </c>
      <c r="S473" s="3">
        <v>0.15</v>
      </c>
      <c r="T473" t="s">
        <v>238</v>
      </c>
      <c r="U473" t="s">
        <v>239</v>
      </c>
      <c r="V473" s="2">
        <v>4.34</v>
      </c>
      <c r="W473" s="2">
        <v>4.34</v>
      </c>
      <c r="X473" s="2">
        <v>4.34</v>
      </c>
      <c r="Y473" t="s">
        <v>238</v>
      </c>
      <c r="Z473" t="s">
        <v>1062</v>
      </c>
    </row>
    <row r="474" spans="1:26" x14ac:dyDescent="0.25">
      <c r="A474">
        <v>2032665457</v>
      </c>
      <c r="B474" t="s">
        <v>968</v>
      </c>
      <c r="C474" t="s">
        <v>969</v>
      </c>
      <c r="D474" t="str">
        <f>CONCATENATE(C474," ",B474)</f>
        <v>JEREMY BRYAN</v>
      </c>
      <c r="E474" t="s">
        <v>292</v>
      </c>
      <c r="F474" t="s">
        <v>182</v>
      </c>
      <c r="G474" t="s">
        <v>183</v>
      </c>
      <c r="H474" t="s">
        <v>183</v>
      </c>
      <c r="I474" s="11" t="s">
        <v>1044</v>
      </c>
      <c r="J474" t="s">
        <v>595</v>
      </c>
      <c r="K474" t="s">
        <v>596</v>
      </c>
      <c r="L474" t="str">
        <f>CONCATENATE(K474," ",J474)</f>
        <v>Raluca Cheregi</v>
      </c>
      <c r="M474" t="s">
        <v>57</v>
      </c>
      <c r="N474" s="1">
        <v>46004</v>
      </c>
      <c r="P474" s="1">
        <v>46216</v>
      </c>
      <c r="Q474" s="2">
        <v>48.76</v>
      </c>
      <c r="R474" t="s">
        <v>58</v>
      </c>
      <c r="S474" s="3">
        <v>0.7</v>
      </c>
      <c r="T474" t="s">
        <v>60</v>
      </c>
      <c r="U474" t="s">
        <v>239</v>
      </c>
      <c r="V474" s="2">
        <v>34.130000000000003</v>
      </c>
      <c r="W474" s="2">
        <v>34.130000000000003</v>
      </c>
      <c r="X474" s="2">
        <v>34.130000000000003</v>
      </c>
      <c r="Y474" t="s">
        <v>238</v>
      </c>
      <c r="Z474" t="s">
        <v>1064</v>
      </c>
    </row>
    <row r="475" spans="1:26" x14ac:dyDescent="0.25">
      <c r="A475">
        <v>2032667003</v>
      </c>
      <c r="B475" t="s">
        <v>601</v>
      </c>
      <c r="C475" t="s">
        <v>602</v>
      </c>
      <c r="D475" t="str">
        <f>CONCATENATE(C475," ",B475)</f>
        <v>KOREY CASTILLO</v>
      </c>
      <c r="E475" t="s">
        <v>70</v>
      </c>
      <c r="F475" t="s">
        <v>182</v>
      </c>
      <c r="G475" t="s">
        <v>183</v>
      </c>
      <c r="H475" t="s">
        <v>183</v>
      </c>
      <c r="I475" s="11" t="s">
        <v>1025</v>
      </c>
      <c r="J475" t="s">
        <v>205</v>
      </c>
      <c r="K475" t="s">
        <v>206</v>
      </c>
      <c r="L475" t="str">
        <f>CONCATENATE(K475," ",J475)</f>
        <v>Jake Shulman</v>
      </c>
      <c r="M475" t="s">
        <v>57</v>
      </c>
      <c r="N475" s="1">
        <v>46004</v>
      </c>
      <c r="P475" s="1">
        <v>46216</v>
      </c>
      <c r="Q475" s="2">
        <v>143.38</v>
      </c>
      <c r="R475" t="s">
        <v>58</v>
      </c>
      <c r="S475" s="3">
        <v>0.7</v>
      </c>
      <c r="T475" t="s">
        <v>60</v>
      </c>
      <c r="U475" t="s">
        <v>239</v>
      </c>
      <c r="V475" s="2">
        <v>100.37</v>
      </c>
      <c r="W475" s="2">
        <v>100.37</v>
      </c>
      <c r="X475" s="2">
        <v>100.37</v>
      </c>
      <c r="Y475" t="s">
        <v>238</v>
      </c>
      <c r="Z475" t="s">
        <v>1064</v>
      </c>
    </row>
    <row r="476" spans="1:26" x14ac:dyDescent="0.25">
      <c r="A476">
        <v>2032669964</v>
      </c>
      <c r="B476" t="s">
        <v>908</v>
      </c>
      <c r="C476" t="s">
        <v>909</v>
      </c>
      <c r="D476" t="str">
        <f>CONCATENATE(C476," ",B476)</f>
        <v>IVY TOPEL</v>
      </c>
      <c r="E476" t="s">
        <v>119</v>
      </c>
      <c r="F476" t="s">
        <v>182</v>
      </c>
      <c r="G476" t="s">
        <v>183</v>
      </c>
      <c r="H476" t="s">
        <v>183</v>
      </c>
      <c r="I476" s="11" t="s">
        <v>1017</v>
      </c>
      <c r="J476" t="s">
        <v>328</v>
      </c>
      <c r="K476" t="s">
        <v>329</v>
      </c>
      <c r="L476" t="str">
        <f>CONCATENATE(K476," ",J476)</f>
        <v>CHRISTIAN TAUGNER</v>
      </c>
      <c r="M476" t="s">
        <v>57</v>
      </c>
      <c r="N476" s="1">
        <v>46005</v>
      </c>
      <c r="P476" s="1">
        <v>46217</v>
      </c>
      <c r="Q476" s="2">
        <v>18.45</v>
      </c>
      <c r="R476" t="s">
        <v>58</v>
      </c>
      <c r="S476" s="3">
        <v>0.7</v>
      </c>
      <c r="T476" t="s">
        <v>60</v>
      </c>
      <c r="U476" t="s">
        <v>239</v>
      </c>
      <c r="V476" s="2">
        <v>12.92</v>
      </c>
      <c r="W476" s="2">
        <v>12.92</v>
      </c>
      <c r="X476" s="2">
        <v>12.92</v>
      </c>
      <c r="Y476" t="s">
        <v>238</v>
      </c>
      <c r="Z476" t="s">
        <v>1064</v>
      </c>
    </row>
    <row r="477" spans="1:26" x14ac:dyDescent="0.25">
      <c r="A477">
        <v>2032677762</v>
      </c>
      <c r="B477" t="s">
        <v>970</v>
      </c>
      <c r="C477" t="s">
        <v>971</v>
      </c>
      <c r="D477" t="str">
        <f>CONCATENATE(C477," ",B477)</f>
        <v>BOLD BADARCH</v>
      </c>
      <c r="E477" t="s">
        <v>119</v>
      </c>
      <c r="F477" t="s">
        <v>182</v>
      </c>
      <c r="G477" t="s">
        <v>183</v>
      </c>
      <c r="H477" t="s">
        <v>183</v>
      </c>
      <c r="I477" s="11" t="s">
        <v>1032</v>
      </c>
      <c r="J477" t="s">
        <v>216</v>
      </c>
      <c r="K477" t="s">
        <v>217</v>
      </c>
      <c r="L477" t="str">
        <f>CONCATENATE(K477," ",J477)</f>
        <v>NASANDELGER ZANA</v>
      </c>
      <c r="M477" t="s">
        <v>57</v>
      </c>
      <c r="N477" s="1">
        <v>46005</v>
      </c>
      <c r="P477" s="1">
        <v>46217</v>
      </c>
      <c r="Q477" s="2">
        <v>51</v>
      </c>
      <c r="R477" t="s">
        <v>58</v>
      </c>
      <c r="S477" s="3">
        <v>0.7</v>
      </c>
      <c r="T477" t="s">
        <v>60</v>
      </c>
      <c r="U477" t="s">
        <v>239</v>
      </c>
      <c r="V477" s="2">
        <v>35.700000000000003</v>
      </c>
      <c r="W477" s="2">
        <v>35.700000000000003</v>
      </c>
      <c r="X477" s="2">
        <v>35.700000000000003</v>
      </c>
      <c r="Y477" t="s">
        <v>238</v>
      </c>
      <c r="Z477" t="s">
        <v>1064</v>
      </c>
    </row>
    <row r="478" spans="1:26" x14ac:dyDescent="0.25">
      <c r="A478">
        <v>2032679124</v>
      </c>
      <c r="B478" t="s">
        <v>972</v>
      </c>
      <c r="C478" t="s">
        <v>513</v>
      </c>
      <c r="D478" t="str">
        <f>CONCATENATE(C478," ",B478)</f>
        <v>AMY CHAO</v>
      </c>
      <c r="E478" t="s">
        <v>119</v>
      </c>
      <c r="F478" t="s">
        <v>182</v>
      </c>
      <c r="G478" t="s">
        <v>183</v>
      </c>
      <c r="H478" t="s">
        <v>183</v>
      </c>
      <c r="I478" s="11">
        <v>9213293</v>
      </c>
      <c r="J478" t="s">
        <v>414</v>
      </c>
      <c r="K478" t="s">
        <v>415</v>
      </c>
      <c r="L478" t="str">
        <f>CONCATENATE(K478," ",J478)</f>
        <v>GARY PORTUGAL</v>
      </c>
      <c r="M478" t="s">
        <v>57</v>
      </c>
      <c r="N478" s="1">
        <v>46006</v>
      </c>
      <c r="P478" s="1">
        <v>46218</v>
      </c>
      <c r="Q478" s="2">
        <v>39.35</v>
      </c>
      <c r="R478" t="s">
        <v>58</v>
      </c>
      <c r="S478" s="3">
        <v>0.7</v>
      </c>
      <c r="T478" t="s">
        <v>60</v>
      </c>
      <c r="U478" t="s">
        <v>239</v>
      </c>
      <c r="V478" s="2">
        <v>27.54</v>
      </c>
      <c r="W478" s="2">
        <v>27.54</v>
      </c>
      <c r="X478" s="2">
        <v>27.54</v>
      </c>
      <c r="Y478" t="s">
        <v>238</v>
      </c>
      <c r="Z478" t="s">
        <v>1062</v>
      </c>
    </row>
    <row r="479" spans="1:26" x14ac:dyDescent="0.25">
      <c r="A479">
        <v>2032687359</v>
      </c>
      <c r="B479" t="s">
        <v>603</v>
      </c>
      <c r="C479" t="s">
        <v>175</v>
      </c>
      <c r="D479" t="str">
        <f>CONCATENATE(C479," ",B479)</f>
        <v>SCOTT PETERS</v>
      </c>
      <c r="E479" t="s">
        <v>119</v>
      </c>
      <c r="F479" t="s">
        <v>182</v>
      </c>
      <c r="G479" t="s">
        <v>183</v>
      </c>
      <c r="H479" t="s">
        <v>183</v>
      </c>
      <c r="I479" s="11" t="s">
        <v>1001</v>
      </c>
      <c r="J479" t="s">
        <v>73</v>
      </c>
      <c r="K479" t="s">
        <v>116</v>
      </c>
      <c r="L479" t="str">
        <f>CONCATENATE(K479," ",J479)</f>
        <v>Richard Yale</v>
      </c>
      <c r="M479" t="s">
        <v>57</v>
      </c>
      <c r="N479" s="1">
        <v>46010</v>
      </c>
      <c r="P479" s="1">
        <v>46222</v>
      </c>
      <c r="Q479" s="2">
        <v>209.78</v>
      </c>
      <c r="R479" t="s">
        <v>58</v>
      </c>
      <c r="S479" s="3">
        <v>0.7</v>
      </c>
      <c r="T479" t="s">
        <v>60</v>
      </c>
      <c r="U479" t="s">
        <v>239</v>
      </c>
      <c r="V479" s="2">
        <v>146.85</v>
      </c>
      <c r="W479" s="2">
        <v>146.85</v>
      </c>
      <c r="X479" s="2">
        <v>146.85</v>
      </c>
      <c r="Y479" t="s">
        <v>238</v>
      </c>
      <c r="Z479" t="s">
        <v>1064</v>
      </c>
    </row>
    <row r="480" spans="1:26" x14ac:dyDescent="0.25">
      <c r="A480">
        <v>2032688675</v>
      </c>
      <c r="B480" t="s">
        <v>973</v>
      </c>
      <c r="C480" t="s">
        <v>974</v>
      </c>
      <c r="D480" t="str">
        <f>CONCATENATE(C480," ",B480)</f>
        <v>BATTUYA BAVUUDORJ</v>
      </c>
      <c r="E480" t="s">
        <v>119</v>
      </c>
      <c r="F480" t="s">
        <v>182</v>
      </c>
      <c r="G480" t="s">
        <v>183</v>
      </c>
      <c r="H480" t="s">
        <v>183</v>
      </c>
      <c r="I480" s="11" t="s">
        <v>1032</v>
      </c>
      <c r="J480" t="s">
        <v>216</v>
      </c>
      <c r="K480" t="s">
        <v>217</v>
      </c>
      <c r="L480" t="str">
        <f>CONCATENATE(K480," ",J480)</f>
        <v>NASANDELGER ZANA</v>
      </c>
      <c r="M480" t="s">
        <v>57</v>
      </c>
      <c r="N480" s="1">
        <v>46007</v>
      </c>
      <c r="P480" s="1">
        <v>46219</v>
      </c>
      <c r="Q480" s="2">
        <v>24.65</v>
      </c>
      <c r="R480" t="s">
        <v>58</v>
      </c>
      <c r="S480" s="3">
        <v>0.7</v>
      </c>
      <c r="T480" t="s">
        <v>60</v>
      </c>
      <c r="U480" t="s">
        <v>239</v>
      </c>
      <c r="V480" s="2">
        <v>17.260000000000002</v>
      </c>
      <c r="W480" s="2">
        <v>17.260000000000002</v>
      </c>
      <c r="X480" s="2">
        <v>17.260000000000002</v>
      </c>
      <c r="Y480" t="s">
        <v>238</v>
      </c>
      <c r="Z480" t="s">
        <v>1064</v>
      </c>
    </row>
    <row r="481" spans="1:26" x14ac:dyDescent="0.25">
      <c r="A481">
        <v>2032689734</v>
      </c>
      <c r="B481" t="s">
        <v>975</v>
      </c>
      <c r="C481" t="s">
        <v>256</v>
      </c>
      <c r="D481" t="str">
        <f>CONCATENATE(C481," ",B481)</f>
        <v>MATTHEW MONAGHAN</v>
      </c>
      <c r="E481" t="s">
        <v>95</v>
      </c>
      <c r="F481" t="s">
        <v>182</v>
      </c>
      <c r="G481" t="s">
        <v>183</v>
      </c>
      <c r="H481" t="s">
        <v>183</v>
      </c>
      <c r="I481" s="11" t="s">
        <v>1037</v>
      </c>
      <c r="J481" t="s">
        <v>514</v>
      </c>
      <c r="K481" t="s">
        <v>515</v>
      </c>
      <c r="L481" t="str">
        <f>CONCATENATE(K481," ",J481)</f>
        <v>Ines Berg</v>
      </c>
      <c r="M481" t="s">
        <v>57</v>
      </c>
      <c r="N481" s="1">
        <v>46007</v>
      </c>
      <c r="P481" s="1">
        <v>46219</v>
      </c>
      <c r="Q481" s="2">
        <v>22.83</v>
      </c>
      <c r="R481" t="s">
        <v>58</v>
      </c>
      <c r="S481" s="3">
        <v>0.7</v>
      </c>
      <c r="T481" t="s">
        <v>60</v>
      </c>
      <c r="U481" t="s">
        <v>239</v>
      </c>
      <c r="V481" s="2">
        <v>15.98</v>
      </c>
      <c r="W481" s="2">
        <v>15.98</v>
      </c>
      <c r="X481" s="2">
        <v>15.98</v>
      </c>
      <c r="Y481" t="s">
        <v>238</v>
      </c>
      <c r="Z481" t="s">
        <v>1064</v>
      </c>
    </row>
    <row r="482" spans="1:26" x14ac:dyDescent="0.25">
      <c r="A482">
        <v>2032693409</v>
      </c>
      <c r="B482" t="s">
        <v>606</v>
      </c>
      <c r="C482" t="s">
        <v>607</v>
      </c>
      <c r="D482" t="str">
        <f>CONCATENATE(C482," ",B482)</f>
        <v>ANGELA TILLEY</v>
      </c>
      <c r="E482" t="s">
        <v>305</v>
      </c>
      <c r="F482" t="s">
        <v>182</v>
      </c>
      <c r="G482" t="s">
        <v>183</v>
      </c>
      <c r="H482" t="s">
        <v>183</v>
      </c>
      <c r="I482" s="11" t="s">
        <v>1020</v>
      </c>
      <c r="J482" t="s">
        <v>312</v>
      </c>
      <c r="K482" t="s">
        <v>313</v>
      </c>
      <c r="L482" t="str">
        <f>CONCATENATE(K482," ",J482)</f>
        <v>Heather Geske</v>
      </c>
      <c r="M482" t="s">
        <v>57</v>
      </c>
      <c r="N482" s="1">
        <v>46007</v>
      </c>
      <c r="P482" s="1">
        <v>46219</v>
      </c>
      <c r="Q482" s="2">
        <v>9.1</v>
      </c>
      <c r="R482" t="s">
        <v>58</v>
      </c>
      <c r="S482" s="3">
        <v>0.7</v>
      </c>
      <c r="T482" t="s">
        <v>60</v>
      </c>
      <c r="U482" t="s">
        <v>239</v>
      </c>
      <c r="V482" s="2">
        <v>6.37</v>
      </c>
      <c r="W482" s="2">
        <v>6.37</v>
      </c>
      <c r="X482" s="2">
        <v>6.37</v>
      </c>
      <c r="Y482" t="s">
        <v>238</v>
      </c>
      <c r="Z482" t="s">
        <v>1064</v>
      </c>
    </row>
    <row r="483" spans="1:26" x14ac:dyDescent="0.25">
      <c r="A483">
        <v>2032702300</v>
      </c>
      <c r="B483" t="s">
        <v>608</v>
      </c>
      <c r="C483" t="s">
        <v>609</v>
      </c>
      <c r="D483" t="str">
        <f>CONCATENATE(C483," ",B483)</f>
        <v>TAYLOR REEVES</v>
      </c>
      <c r="E483" t="s">
        <v>209</v>
      </c>
      <c r="F483" t="s">
        <v>182</v>
      </c>
      <c r="G483" t="s">
        <v>183</v>
      </c>
      <c r="H483" t="s">
        <v>183</v>
      </c>
      <c r="I483" s="11" t="s">
        <v>1001</v>
      </c>
      <c r="J483" t="s">
        <v>73</v>
      </c>
      <c r="K483" t="s">
        <v>116</v>
      </c>
      <c r="L483" t="str">
        <f>CONCATENATE(K483," ",J483)</f>
        <v>Richard Yale</v>
      </c>
      <c r="M483" t="s">
        <v>57</v>
      </c>
      <c r="N483" s="1">
        <v>46010</v>
      </c>
      <c r="P483" s="1">
        <v>46222</v>
      </c>
      <c r="Q483" s="2">
        <v>17.38</v>
      </c>
      <c r="R483" t="s">
        <v>58</v>
      </c>
      <c r="S483" s="3">
        <v>0.7</v>
      </c>
      <c r="T483" t="s">
        <v>60</v>
      </c>
      <c r="U483" t="s">
        <v>239</v>
      </c>
      <c r="V483" s="2">
        <v>12.17</v>
      </c>
      <c r="W483" s="2">
        <v>12.17</v>
      </c>
      <c r="X483" s="2">
        <v>12.17</v>
      </c>
      <c r="Y483" t="s">
        <v>238</v>
      </c>
      <c r="Z483" t="s">
        <v>1064</v>
      </c>
    </row>
    <row r="484" spans="1:26" x14ac:dyDescent="0.25">
      <c r="A484">
        <v>2032715766</v>
      </c>
      <c r="B484" t="s">
        <v>910</v>
      </c>
      <c r="C484" t="s">
        <v>392</v>
      </c>
      <c r="D484" t="str">
        <f>CONCATENATE(C484," ",B484)</f>
        <v>NICOLE MOURILLON</v>
      </c>
      <c r="E484" t="s">
        <v>119</v>
      </c>
      <c r="F484" t="s">
        <v>182</v>
      </c>
      <c r="G484" t="s">
        <v>183</v>
      </c>
      <c r="H484" t="s">
        <v>183</v>
      </c>
      <c r="I484" s="11" t="s">
        <v>1001</v>
      </c>
      <c r="J484" t="s">
        <v>73</v>
      </c>
      <c r="K484" t="s">
        <v>116</v>
      </c>
      <c r="L484" t="str">
        <f>CONCATENATE(K484," ",J484)</f>
        <v>Richard Yale</v>
      </c>
      <c r="M484" t="s">
        <v>57</v>
      </c>
      <c r="N484" s="1">
        <v>46008</v>
      </c>
      <c r="P484" s="1">
        <v>46220</v>
      </c>
      <c r="Q484" s="2">
        <v>11.5</v>
      </c>
      <c r="R484" t="s">
        <v>58</v>
      </c>
      <c r="S484" s="3">
        <v>0.7</v>
      </c>
      <c r="T484" t="s">
        <v>60</v>
      </c>
      <c r="U484" t="s">
        <v>239</v>
      </c>
      <c r="V484" s="2">
        <v>8.0500000000000007</v>
      </c>
      <c r="W484" s="2">
        <v>8.0500000000000007</v>
      </c>
      <c r="X484" s="2">
        <v>8.0500000000000007</v>
      </c>
      <c r="Y484" t="s">
        <v>238</v>
      </c>
      <c r="Z484" t="s">
        <v>1064</v>
      </c>
    </row>
    <row r="485" spans="1:26" x14ac:dyDescent="0.25">
      <c r="A485">
        <v>2032740681</v>
      </c>
      <c r="B485" t="s">
        <v>976</v>
      </c>
      <c r="C485" t="s">
        <v>607</v>
      </c>
      <c r="D485" t="str">
        <f>CONCATENATE(C485," ",B485)</f>
        <v>ANGELA TALBURT</v>
      </c>
      <c r="E485" t="s">
        <v>70</v>
      </c>
      <c r="F485" t="s">
        <v>182</v>
      </c>
      <c r="G485" t="s">
        <v>183</v>
      </c>
      <c r="H485" t="s">
        <v>183</v>
      </c>
      <c r="I485" s="11" t="s">
        <v>1044</v>
      </c>
      <c r="J485" t="s">
        <v>595</v>
      </c>
      <c r="K485" t="s">
        <v>596</v>
      </c>
      <c r="L485" t="str">
        <f>CONCATENATE(K485," ",J485)</f>
        <v>Raluca Cheregi</v>
      </c>
      <c r="M485" t="s">
        <v>57</v>
      </c>
      <c r="N485" s="1">
        <v>46009</v>
      </c>
      <c r="P485" s="1">
        <v>46221</v>
      </c>
      <c r="Q485" s="2">
        <v>101.99</v>
      </c>
      <c r="R485" t="s">
        <v>58</v>
      </c>
      <c r="S485" s="3">
        <v>0.7</v>
      </c>
      <c r="T485" t="s">
        <v>60</v>
      </c>
      <c r="U485" t="s">
        <v>239</v>
      </c>
      <c r="V485" s="2">
        <v>71.39</v>
      </c>
      <c r="W485" s="2">
        <v>71.39</v>
      </c>
      <c r="X485" s="2">
        <v>71.39</v>
      </c>
      <c r="Y485" t="s">
        <v>238</v>
      </c>
      <c r="Z485" t="s">
        <v>1064</v>
      </c>
    </row>
    <row r="486" spans="1:26" x14ac:dyDescent="0.25">
      <c r="A486">
        <v>2032750530</v>
      </c>
      <c r="B486" t="s">
        <v>977</v>
      </c>
      <c r="C486" t="s">
        <v>311</v>
      </c>
      <c r="D486" t="str">
        <f>CONCATENATE(C486," ",B486)</f>
        <v>CARRIE HARRIS</v>
      </c>
      <c r="E486" t="s">
        <v>523</v>
      </c>
      <c r="F486" t="s">
        <v>182</v>
      </c>
      <c r="G486" t="s">
        <v>183</v>
      </c>
      <c r="H486" t="s">
        <v>183</v>
      </c>
      <c r="I486" s="11" t="s">
        <v>1011</v>
      </c>
      <c r="J486" t="s">
        <v>55</v>
      </c>
      <c r="K486" t="s">
        <v>56</v>
      </c>
      <c r="L486" t="str">
        <f>CONCATENATE(K486," ",J486)</f>
        <v>JOHN ROKEN</v>
      </c>
      <c r="M486" t="s">
        <v>57</v>
      </c>
      <c r="N486" s="1">
        <v>46010</v>
      </c>
      <c r="P486" s="1">
        <v>46222</v>
      </c>
      <c r="Q486" s="2">
        <v>77.180000000000007</v>
      </c>
      <c r="R486" t="s">
        <v>58</v>
      </c>
      <c r="S486" s="3">
        <v>0.7</v>
      </c>
      <c r="T486" t="s">
        <v>60</v>
      </c>
      <c r="U486" t="s">
        <v>239</v>
      </c>
      <c r="V486" s="2">
        <v>54.03</v>
      </c>
      <c r="W486" s="2">
        <v>54.03</v>
      </c>
      <c r="X486" s="2">
        <v>54.03</v>
      </c>
      <c r="Y486" t="s">
        <v>238</v>
      </c>
      <c r="Z486" t="s">
        <v>1062</v>
      </c>
    </row>
    <row r="487" spans="1:26" x14ac:dyDescent="0.25">
      <c r="A487">
        <v>2032758148</v>
      </c>
      <c r="B487" t="s">
        <v>978</v>
      </c>
      <c r="C487" t="s">
        <v>979</v>
      </c>
      <c r="D487" t="str">
        <f>CONCATENATE(C487," ",B487)</f>
        <v>FREDERICK MEYER</v>
      </c>
      <c r="E487" t="s">
        <v>119</v>
      </c>
      <c r="F487" t="s">
        <v>182</v>
      </c>
      <c r="G487" t="s">
        <v>183</v>
      </c>
      <c r="H487" t="s">
        <v>183</v>
      </c>
      <c r="I487" s="11" t="s">
        <v>1028</v>
      </c>
      <c r="J487" t="s">
        <v>406</v>
      </c>
      <c r="K487" t="s">
        <v>407</v>
      </c>
      <c r="L487" t="str">
        <f>CONCATENATE(K487," ",J487)</f>
        <v>BARRY BRENNER</v>
      </c>
      <c r="M487" t="s">
        <v>57</v>
      </c>
      <c r="N487" s="1">
        <v>46010</v>
      </c>
      <c r="P487" s="1">
        <v>46222</v>
      </c>
      <c r="Q487" s="2">
        <v>58.24</v>
      </c>
      <c r="R487" t="s">
        <v>58</v>
      </c>
      <c r="S487" s="3">
        <v>0.7</v>
      </c>
      <c r="T487" t="s">
        <v>60</v>
      </c>
      <c r="U487" t="s">
        <v>239</v>
      </c>
      <c r="V487" s="2">
        <v>40.770000000000003</v>
      </c>
      <c r="W487" s="2">
        <v>40.770000000000003</v>
      </c>
      <c r="X487" s="2">
        <v>40.770000000000003</v>
      </c>
      <c r="Y487" t="s">
        <v>238</v>
      </c>
      <c r="Z487" t="s">
        <v>1062</v>
      </c>
    </row>
    <row r="488" spans="1:26" x14ac:dyDescent="0.25">
      <c r="A488">
        <v>2032774965</v>
      </c>
      <c r="B488" t="s">
        <v>610</v>
      </c>
      <c r="C488" t="s">
        <v>611</v>
      </c>
      <c r="D488" t="str">
        <f>CONCATENATE(C488," ",B488)</f>
        <v>NIKKI SANDOVAL</v>
      </c>
      <c r="E488" t="s">
        <v>305</v>
      </c>
      <c r="F488" t="s">
        <v>182</v>
      </c>
      <c r="G488" t="s">
        <v>183</v>
      </c>
      <c r="H488" t="s">
        <v>183</v>
      </c>
      <c r="I488" s="11" t="s">
        <v>1020</v>
      </c>
      <c r="J488" t="s">
        <v>312</v>
      </c>
      <c r="K488" t="s">
        <v>313</v>
      </c>
      <c r="L488" t="str">
        <f>CONCATENATE(K488," ",J488)</f>
        <v>Heather Geske</v>
      </c>
      <c r="M488" t="s">
        <v>57</v>
      </c>
      <c r="N488" s="1">
        <v>46006</v>
      </c>
      <c r="P488" s="1">
        <v>46218</v>
      </c>
      <c r="Q488" s="2">
        <v>9.1</v>
      </c>
      <c r="R488" t="s">
        <v>58</v>
      </c>
      <c r="S488" s="3">
        <v>0.7</v>
      </c>
      <c r="T488" t="s">
        <v>60</v>
      </c>
      <c r="U488" t="s">
        <v>239</v>
      </c>
      <c r="V488" s="2">
        <v>6.37</v>
      </c>
      <c r="W488" s="2">
        <v>6.37</v>
      </c>
      <c r="X488" s="2">
        <v>6.37</v>
      </c>
      <c r="Y488" t="s">
        <v>238</v>
      </c>
      <c r="Z488" t="s">
        <v>1064</v>
      </c>
    </row>
    <row r="489" spans="1:26" x14ac:dyDescent="0.25">
      <c r="A489">
        <v>2034113721</v>
      </c>
      <c r="B489" t="s">
        <v>664</v>
      </c>
      <c r="C489" t="s">
        <v>349</v>
      </c>
      <c r="D489" t="str">
        <f>CONCATENATE(C489," ",B489)</f>
        <v>STEPHEN SPERLING</v>
      </c>
      <c r="E489" t="s">
        <v>119</v>
      </c>
      <c r="F489" t="s">
        <v>146</v>
      </c>
      <c r="G489" t="s">
        <v>147</v>
      </c>
      <c r="H489" t="s">
        <v>147</v>
      </c>
      <c r="I489" s="11" t="s">
        <v>1027</v>
      </c>
      <c r="J489" t="s">
        <v>385</v>
      </c>
      <c r="K489" t="s">
        <v>386</v>
      </c>
      <c r="L489" t="str">
        <f>CONCATENATE(K489," ",J489)</f>
        <v>Andrew Choi</v>
      </c>
      <c r="M489" t="s">
        <v>57</v>
      </c>
      <c r="N489" s="1">
        <v>46130</v>
      </c>
      <c r="P489" s="1">
        <v>46221</v>
      </c>
      <c r="Q489" s="2">
        <v>261.47000000000003</v>
      </c>
      <c r="R489" t="s">
        <v>58</v>
      </c>
      <c r="S489" s="4">
        <v>0.375</v>
      </c>
      <c r="T489" t="s">
        <v>60</v>
      </c>
      <c r="U489" t="s">
        <v>239</v>
      </c>
      <c r="V489" s="2">
        <v>98.05</v>
      </c>
      <c r="W489" s="2">
        <v>0</v>
      </c>
      <c r="X489" s="2">
        <v>0</v>
      </c>
      <c r="Y489" t="s">
        <v>238</v>
      </c>
      <c r="Z489" t="s">
        <v>1063</v>
      </c>
    </row>
    <row r="490" spans="1:26" x14ac:dyDescent="0.25">
      <c r="A490">
        <v>2033174415</v>
      </c>
      <c r="B490" t="s">
        <v>750</v>
      </c>
      <c r="C490" t="s">
        <v>925</v>
      </c>
      <c r="D490" t="str">
        <f>CONCATENATE(C490," ",B490)</f>
        <v>GARETH WILLIAMS</v>
      </c>
      <c r="E490" t="s">
        <v>305</v>
      </c>
      <c r="F490" t="s">
        <v>146</v>
      </c>
      <c r="G490" t="s">
        <v>147</v>
      </c>
      <c r="H490" t="s">
        <v>147</v>
      </c>
      <c r="I490" s="11" t="s">
        <v>1040</v>
      </c>
      <c r="J490" t="s">
        <v>306</v>
      </c>
      <c r="K490" t="s">
        <v>307</v>
      </c>
      <c r="L490" t="str">
        <f>CONCATENATE(K490," ",J490)</f>
        <v>WILLIAM GESKE</v>
      </c>
      <c r="M490" t="s">
        <v>57</v>
      </c>
      <c r="N490" s="1">
        <v>46039</v>
      </c>
      <c r="P490" s="1">
        <v>46220</v>
      </c>
      <c r="Q490" s="2">
        <v>192.66</v>
      </c>
      <c r="R490" t="s">
        <v>58</v>
      </c>
      <c r="S490" s="4">
        <v>0.375</v>
      </c>
      <c r="T490" t="s">
        <v>60</v>
      </c>
      <c r="U490" t="s">
        <v>239</v>
      </c>
      <c r="V490" s="2">
        <v>72.25</v>
      </c>
      <c r="W490" s="2">
        <v>0</v>
      </c>
      <c r="X490" s="2">
        <v>0</v>
      </c>
      <c r="Y490" t="s">
        <v>238</v>
      </c>
      <c r="Z490" t="s">
        <v>1064</v>
      </c>
    </row>
    <row r="491" spans="1:26" x14ac:dyDescent="0.25">
      <c r="A491">
        <v>2033128046</v>
      </c>
      <c r="B491" t="s">
        <v>627</v>
      </c>
      <c r="C491" t="s">
        <v>628</v>
      </c>
      <c r="D491" t="str">
        <f>CONCATENATE(C491," ",B491)</f>
        <v>TANYA LINTOW</v>
      </c>
      <c r="E491" t="s">
        <v>70</v>
      </c>
      <c r="F491" t="s">
        <v>146</v>
      </c>
      <c r="G491" t="s">
        <v>147</v>
      </c>
      <c r="H491" t="s">
        <v>147</v>
      </c>
      <c r="I491" s="11" t="s">
        <v>1001</v>
      </c>
      <c r="J491" t="s">
        <v>73</v>
      </c>
      <c r="K491" t="s">
        <v>116</v>
      </c>
      <c r="L491" t="str">
        <f>CONCATENATE(K491," ",J491)</f>
        <v>Richard Yale</v>
      </c>
      <c r="M491" t="s">
        <v>57</v>
      </c>
      <c r="N491" s="1">
        <v>46038</v>
      </c>
      <c r="P491" s="1">
        <v>46219</v>
      </c>
      <c r="Q491" s="2">
        <v>174.25</v>
      </c>
      <c r="R491" t="s">
        <v>58</v>
      </c>
      <c r="S491" s="4">
        <v>0.375</v>
      </c>
      <c r="T491" t="s">
        <v>60</v>
      </c>
      <c r="U491" t="s">
        <v>239</v>
      </c>
      <c r="V491" s="2">
        <v>65.34</v>
      </c>
      <c r="W491" s="2">
        <v>0</v>
      </c>
      <c r="X491" s="2">
        <v>0</v>
      </c>
      <c r="Y491" t="s">
        <v>238</v>
      </c>
      <c r="Z491" t="s">
        <v>1064</v>
      </c>
    </row>
    <row r="492" spans="1:26" x14ac:dyDescent="0.25">
      <c r="A492">
        <v>2034839067</v>
      </c>
      <c r="B492" t="s">
        <v>699</v>
      </c>
      <c r="C492" t="s">
        <v>549</v>
      </c>
      <c r="D492" t="str">
        <f>CONCATENATE(C492," ",B492)</f>
        <v>LAURA HEINE</v>
      </c>
      <c r="E492" t="s">
        <v>162</v>
      </c>
      <c r="F492" t="s">
        <v>146</v>
      </c>
      <c r="G492" t="s">
        <v>147</v>
      </c>
      <c r="H492" t="s">
        <v>147</v>
      </c>
      <c r="I492" s="11" t="s">
        <v>1048</v>
      </c>
      <c r="J492" t="s">
        <v>101</v>
      </c>
      <c r="K492" t="s">
        <v>700</v>
      </c>
      <c r="L492" t="str">
        <f>CONCATENATE(K492," ",J492)</f>
        <v>Heidi Berthelsen</v>
      </c>
      <c r="M492" t="s">
        <v>57</v>
      </c>
      <c r="N492" s="1">
        <v>46125</v>
      </c>
      <c r="P492" s="1">
        <v>46216</v>
      </c>
      <c r="Q492" s="2">
        <v>173.85</v>
      </c>
      <c r="R492" t="s">
        <v>58</v>
      </c>
      <c r="S492" s="4">
        <v>0.375</v>
      </c>
      <c r="T492" t="s">
        <v>60</v>
      </c>
      <c r="U492" t="s">
        <v>239</v>
      </c>
      <c r="V492" s="2">
        <v>65.19</v>
      </c>
      <c r="W492" s="2">
        <v>0</v>
      </c>
      <c r="X492" s="2">
        <v>0</v>
      </c>
      <c r="Y492" t="s">
        <v>238</v>
      </c>
      <c r="Z492" t="s">
        <v>1063</v>
      </c>
    </row>
    <row r="493" spans="1:26" x14ac:dyDescent="0.25">
      <c r="A493">
        <v>2035486374</v>
      </c>
      <c r="B493" t="s">
        <v>750</v>
      </c>
      <c r="C493" t="s">
        <v>751</v>
      </c>
      <c r="D493" t="str">
        <f>CONCATENATE(C493," ",B493)</f>
        <v>EMELYN WILLIAMS</v>
      </c>
      <c r="E493" t="s">
        <v>305</v>
      </c>
      <c r="F493" t="s">
        <v>146</v>
      </c>
      <c r="G493" t="s">
        <v>147</v>
      </c>
      <c r="H493" t="s">
        <v>147</v>
      </c>
      <c r="I493" s="11" t="s">
        <v>1036</v>
      </c>
      <c r="J493" t="s">
        <v>510</v>
      </c>
      <c r="K493" t="s">
        <v>511</v>
      </c>
      <c r="L493" t="str">
        <f>CONCATENATE(K493," ",J493)</f>
        <v>Joel Lee</v>
      </c>
      <c r="M493" t="s">
        <v>57</v>
      </c>
      <c r="N493" s="1">
        <v>46157</v>
      </c>
      <c r="P493" s="1">
        <v>46218</v>
      </c>
      <c r="Q493" s="2">
        <v>106.74</v>
      </c>
      <c r="R493" t="s">
        <v>58</v>
      </c>
      <c r="S493" s="4">
        <v>0.375</v>
      </c>
      <c r="T493" t="s">
        <v>60</v>
      </c>
      <c r="U493" t="s">
        <v>239</v>
      </c>
      <c r="V493" s="2">
        <v>40.03</v>
      </c>
      <c r="W493" s="2">
        <v>0</v>
      </c>
      <c r="X493" s="2">
        <v>0</v>
      </c>
      <c r="Y493" t="s">
        <v>238</v>
      </c>
      <c r="Z493" t="s">
        <v>1063</v>
      </c>
    </row>
    <row r="494" spans="1:26" x14ac:dyDescent="0.25">
      <c r="A494">
        <v>2035437449</v>
      </c>
      <c r="B494" t="s">
        <v>737</v>
      </c>
      <c r="C494" t="s">
        <v>738</v>
      </c>
      <c r="D494" t="str">
        <f>CONCATENATE(C494," ",B494)</f>
        <v>CHRISTINE FUNK</v>
      </c>
      <c r="E494" t="s">
        <v>77</v>
      </c>
      <c r="F494" t="s">
        <v>146</v>
      </c>
      <c r="G494" t="s">
        <v>147</v>
      </c>
      <c r="H494" t="s">
        <v>147</v>
      </c>
      <c r="I494" s="11">
        <v>18754354</v>
      </c>
      <c r="J494" t="s">
        <v>105</v>
      </c>
      <c r="K494" t="s">
        <v>106</v>
      </c>
      <c r="L494" t="str">
        <f>CONCATENATE(K494," ",J494)</f>
        <v>JACOB YALE</v>
      </c>
      <c r="M494" t="s">
        <v>57</v>
      </c>
      <c r="N494" s="1">
        <v>46155</v>
      </c>
      <c r="P494" s="1">
        <v>46216</v>
      </c>
      <c r="Q494" s="2">
        <v>103.8</v>
      </c>
      <c r="R494" t="s">
        <v>58</v>
      </c>
      <c r="S494" s="4">
        <v>0.375</v>
      </c>
      <c r="T494" t="s">
        <v>60</v>
      </c>
      <c r="U494" t="s">
        <v>239</v>
      </c>
      <c r="V494" s="2">
        <v>38.92</v>
      </c>
      <c r="W494" s="2">
        <v>0</v>
      </c>
      <c r="X494" s="2">
        <v>0</v>
      </c>
      <c r="Y494" t="s">
        <v>238</v>
      </c>
      <c r="Z494" t="s">
        <v>1062</v>
      </c>
    </row>
    <row r="495" spans="1:26" x14ac:dyDescent="0.25">
      <c r="A495">
        <v>2033176987</v>
      </c>
      <c r="B495" t="s">
        <v>819</v>
      </c>
      <c r="C495" t="s">
        <v>820</v>
      </c>
      <c r="D495" t="str">
        <f>CONCATENATE(C495," ",B495)</f>
        <v>TIRION TOMPKINS</v>
      </c>
      <c r="E495" t="s">
        <v>305</v>
      </c>
      <c r="F495" t="s">
        <v>146</v>
      </c>
      <c r="G495" t="s">
        <v>147</v>
      </c>
      <c r="H495" t="s">
        <v>147</v>
      </c>
      <c r="I495" s="11" t="s">
        <v>1020</v>
      </c>
      <c r="J495" t="s">
        <v>312</v>
      </c>
      <c r="K495" t="s">
        <v>313</v>
      </c>
      <c r="L495" t="str">
        <f>CONCATENATE(K495," ",J495)</f>
        <v>Heather Geske</v>
      </c>
      <c r="M495" t="s">
        <v>57</v>
      </c>
      <c r="N495" s="1">
        <v>46038</v>
      </c>
      <c r="P495" s="1">
        <v>46219</v>
      </c>
      <c r="Q495" s="2">
        <v>99.33</v>
      </c>
      <c r="R495" t="s">
        <v>58</v>
      </c>
      <c r="S495" s="4">
        <v>0.375</v>
      </c>
      <c r="T495" t="s">
        <v>60</v>
      </c>
      <c r="U495" t="s">
        <v>239</v>
      </c>
      <c r="V495" s="2">
        <v>37.25</v>
      </c>
      <c r="W495" s="2">
        <v>0</v>
      </c>
      <c r="X495" s="2">
        <v>0</v>
      </c>
      <c r="Y495" t="s">
        <v>238</v>
      </c>
      <c r="Z495" t="s">
        <v>1064</v>
      </c>
    </row>
    <row r="496" spans="1:26" x14ac:dyDescent="0.25">
      <c r="A496">
        <v>2034304900</v>
      </c>
      <c r="B496" t="s">
        <v>674</v>
      </c>
      <c r="C496" t="s">
        <v>256</v>
      </c>
      <c r="D496" t="str">
        <f>CONCATENATE(C496," ",B496)</f>
        <v>MATTHEW ABEL</v>
      </c>
      <c r="E496" t="s">
        <v>292</v>
      </c>
      <c r="F496" t="s">
        <v>146</v>
      </c>
      <c r="G496" t="s">
        <v>147</v>
      </c>
      <c r="H496" t="s">
        <v>147</v>
      </c>
      <c r="I496" s="11">
        <v>3333476</v>
      </c>
      <c r="J496" t="s">
        <v>531</v>
      </c>
      <c r="K496" t="s">
        <v>532</v>
      </c>
      <c r="L496" t="str">
        <f>CONCATENATE(K496," ",J496)</f>
        <v>Colleen Jerger</v>
      </c>
      <c r="M496" t="s">
        <v>57</v>
      </c>
      <c r="N496" s="1">
        <v>46094</v>
      </c>
      <c r="P496" s="1">
        <v>46216</v>
      </c>
      <c r="Q496" s="2">
        <v>83.15</v>
      </c>
      <c r="R496" t="s">
        <v>58</v>
      </c>
      <c r="S496" s="4">
        <v>0.375</v>
      </c>
      <c r="T496" t="s">
        <v>60</v>
      </c>
      <c r="U496" t="s">
        <v>239</v>
      </c>
      <c r="V496" s="2">
        <v>31.18</v>
      </c>
      <c r="W496" s="2">
        <v>0</v>
      </c>
      <c r="X496" s="2">
        <v>0</v>
      </c>
      <c r="Y496" t="s">
        <v>238</v>
      </c>
      <c r="Z496" t="s">
        <v>1062</v>
      </c>
    </row>
    <row r="497" spans="1:26" x14ac:dyDescent="0.25">
      <c r="A497">
        <v>2033118931</v>
      </c>
      <c r="B497" t="s">
        <v>918</v>
      </c>
      <c r="C497" t="s">
        <v>919</v>
      </c>
      <c r="D497" t="str">
        <f>CONCATENATE(C497," ",B497)</f>
        <v>BRAYDEN HARTIGAN</v>
      </c>
      <c r="E497" t="s">
        <v>70</v>
      </c>
      <c r="F497" t="s">
        <v>146</v>
      </c>
      <c r="G497" t="s">
        <v>147</v>
      </c>
      <c r="H497" t="s">
        <v>147</v>
      </c>
      <c r="I497" s="11" t="s">
        <v>1034</v>
      </c>
      <c r="J497" t="s">
        <v>495</v>
      </c>
      <c r="K497" t="s">
        <v>496</v>
      </c>
      <c r="L497" t="str">
        <f>CONCATENATE(K497," ",J497)</f>
        <v>RICARDO SANTOS</v>
      </c>
      <c r="M497" t="s">
        <v>57</v>
      </c>
      <c r="N497" s="1">
        <v>46035</v>
      </c>
      <c r="P497" s="1">
        <v>46216</v>
      </c>
      <c r="Q497" s="2">
        <v>81.22</v>
      </c>
      <c r="R497" t="s">
        <v>58</v>
      </c>
      <c r="S497" s="4">
        <v>0.375</v>
      </c>
      <c r="T497" t="s">
        <v>60</v>
      </c>
      <c r="U497" t="s">
        <v>239</v>
      </c>
      <c r="V497" s="2">
        <v>30.46</v>
      </c>
      <c r="W497" s="2">
        <v>0</v>
      </c>
      <c r="X497" s="2">
        <v>0</v>
      </c>
      <c r="Y497" t="s">
        <v>238</v>
      </c>
      <c r="Z497" t="s">
        <v>1064</v>
      </c>
    </row>
    <row r="498" spans="1:26" x14ac:dyDescent="0.25">
      <c r="A498">
        <v>2034401982</v>
      </c>
      <c r="B498" t="s">
        <v>931</v>
      </c>
      <c r="C498" t="s">
        <v>932</v>
      </c>
      <c r="D498" t="str">
        <f>CONCATENATE(C498," ",B498)</f>
        <v>DYWREN OATS</v>
      </c>
      <c r="E498" t="s">
        <v>170</v>
      </c>
      <c r="F498" t="s">
        <v>146</v>
      </c>
      <c r="G498" t="s">
        <v>147</v>
      </c>
      <c r="H498" t="s">
        <v>147</v>
      </c>
      <c r="I498" s="11" t="s">
        <v>1047</v>
      </c>
      <c r="J498" t="s">
        <v>171</v>
      </c>
      <c r="K498" t="s">
        <v>172</v>
      </c>
      <c r="L498" t="str">
        <f>CONCATENATE(K498," ",J498)</f>
        <v>THOMAS PARDUE</v>
      </c>
      <c r="M498" t="s">
        <v>57</v>
      </c>
      <c r="N498" s="1">
        <v>46099</v>
      </c>
      <c r="P498" s="1">
        <v>46221</v>
      </c>
      <c r="Q498" s="2">
        <v>79.5</v>
      </c>
      <c r="R498" t="s">
        <v>58</v>
      </c>
      <c r="S498" s="4">
        <v>0.375</v>
      </c>
      <c r="T498" t="s">
        <v>60</v>
      </c>
      <c r="U498" t="s">
        <v>239</v>
      </c>
      <c r="V498" s="2">
        <v>29.81</v>
      </c>
      <c r="W498" s="2">
        <v>0</v>
      </c>
      <c r="X498" s="2">
        <v>0</v>
      </c>
      <c r="Y498" t="s">
        <v>238</v>
      </c>
      <c r="Z498" t="s">
        <v>1063</v>
      </c>
    </row>
    <row r="499" spans="1:26" x14ac:dyDescent="0.25">
      <c r="A499">
        <v>2033084716</v>
      </c>
      <c r="B499" t="s">
        <v>914</v>
      </c>
      <c r="C499" t="s">
        <v>915</v>
      </c>
      <c r="D499" t="str">
        <f>CONCATENATE(C499," ",B499)</f>
        <v>APRIL KESTLER</v>
      </c>
      <c r="E499" t="s">
        <v>119</v>
      </c>
      <c r="F499" t="s">
        <v>146</v>
      </c>
      <c r="G499" t="s">
        <v>147</v>
      </c>
      <c r="H499" t="s">
        <v>147</v>
      </c>
      <c r="I499" s="11">
        <v>21607778</v>
      </c>
      <c r="J499" t="s">
        <v>916</v>
      </c>
      <c r="K499" t="s">
        <v>917</v>
      </c>
      <c r="L499" t="str">
        <f>CONCATENATE(K499," ",J499)</f>
        <v>Noah Dionesotes</v>
      </c>
      <c r="M499" t="s">
        <v>57</v>
      </c>
      <c r="N499" s="1">
        <v>46036</v>
      </c>
      <c r="P499" s="1">
        <v>46217</v>
      </c>
      <c r="Q499" s="2">
        <v>78.760000000000005</v>
      </c>
      <c r="R499" t="s">
        <v>58</v>
      </c>
      <c r="S499" s="4">
        <v>0.375</v>
      </c>
      <c r="T499" t="s">
        <v>60</v>
      </c>
      <c r="U499" t="s">
        <v>239</v>
      </c>
      <c r="V499" s="2">
        <v>29.54</v>
      </c>
      <c r="W499" s="2">
        <v>0</v>
      </c>
      <c r="X499" s="2">
        <v>0</v>
      </c>
      <c r="Y499" t="s">
        <v>238</v>
      </c>
      <c r="Z499" t="s">
        <v>1064</v>
      </c>
    </row>
    <row r="500" spans="1:26" x14ac:dyDescent="0.25">
      <c r="A500">
        <v>2034928886</v>
      </c>
      <c r="B500" t="s">
        <v>707</v>
      </c>
      <c r="C500" t="s">
        <v>708</v>
      </c>
      <c r="D500" t="str">
        <f>CONCATENATE(C500," ",B500)</f>
        <v>DOMINIQUE SILVA</v>
      </c>
      <c r="E500" t="s">
        <v>119</v>
      </c>
      <c r="F500" t="s">
        <v>146</v>
      </c>
      <c r="G500" t="s">
        <v>147</v>
      </c>
      <c r="H500" t="s">
        <v>147</v>
      </c>
      <c r="I500" s="11" t="s">
        <v>1034</v>
      </c>
      <c r="J500" t="s">
        <v>495</v>
      </c>
      <c r="K500" t="s">
        <v>496</v>
      </c>
      <c r="L500" t="str">
        <f>CONCATENATE(K500," ",J500)</f>
        <v>RICARDO SANTOS</v>
      </c>
      <c r="M500" t="s">
        <v>57</v>
      </c>
      <c r="N500" s="1">
        <v>46127</v>
      </c>
      <c r="P500" s="1">
        <v>46218</v>
      </c>
      <c r="Q500" s="2">
        <v>78.760000000000005</v>
      </c>
      <c r="R500" t="s">
        <v>58</v>
      </c>
      <c r="S500" s="4">
        <v>0.375</v>
      </c>
      <c r="T500" t="s">
        <v>60</v>
      </c>
      <c r="U500" t="s">
        <v>239</v>
      </c>
      <c r="V500" s="2">
        <v>29.54</v>
      </c>
      <c r="W500" s="2">
        <v>0</v>
      </c>
      <c r="X500" s="2">
        <v>0</v>
      </c>
      <c r="Y500" t="s">
        <v>238</v>
      </c>
      <c r="Z500" t="s">
        <v>1063</v>
      </c>
    </row>
    <row r="501" spans="1:26" x14ac:dyDescent="0.25">
      <c r="A501">
        <v>2033401870</v>
      </c>
      <c r="B501" t="s">
        <v>647</v>
      </c>
      <c r="C501" t="s">
        <v>513</v>
      </c>
      <c r="D501" t="str">
        <f>CONCATENATE(C501," ",B501)</f>
        <v>AMY DIDONNE</v>
      </c>
      <c r="E501" t="s">
        <v>95</v>
      </c>
      <c r="F501" t="s">
        <v>146</v>
      </c>
      <c r="G501" t="s">
        <v>147</v>
      </c>
      <c r="H501" t="s">
        <v>147</v>
      </c>
      <c r="I501" s="11" t="s">
        <v>1037</v>
      </c>
      <c r="J501" t="s">
        <v>514</v>
      </c>
      <c r="K501" t="s">
        <v>515</v>
      </c>
      <c r="L501" t="str">
        <f>CONCATENATE(K501," ",J501)</f>
        <v>Ines Berg</v>
      </c>
      <c r="M501" t="s">
        <v>57</v>
      </c>
      <c r="N501" s="1">
        <v>46054</v>
      </c>
      <c r="P501" s="1">
        <v>46174</v>
      </c>
      <c r="Q501" s="2">
        <v>77.27</v>
      </c>
      <c r="R501" t="s">
        <v>58</v>
      </c>
      <c r="S501" s="4">
        <v>0.375</v>
      </c>
      <c r="T501" t="s">
        <v>60</v>
      </c>
      <c r="U501" t="s">
        <v>239</v>
      </c>
      <c r="V501" s="2">
        <v>27.44</v>
      </c>
      <c r="W501" s="2">
        <v>1.54</v>
      </c>
      <c r="X501" s="2">
        <v>1.54</v>
      </c>
      <c r="Y501" t="s">
        <v>238</v>
      </c>
      <c r="Z501" t="s">
        <v>1063</v>
      </c>
    </row>
    <row r="502" spans="1:26" x14ac:dyDescent="0.25">
      <c r="A502">
        <v>2033106167</v>
      </c>
      <c r="B502" t="s">
        <v>617</v>
      </c>
      <c r="C502" t="s">
        <v>618</v>
      </c>
      <c r="D502" t="str">
        <f>CONCATENATE(C502," ",B502)</f>
        <v>VALENTIN BACHVAROV</v>
      </c>
      <c r="E502" t="s">
        <v>70</v>
      </c>
      <c r="F502" t="s">
        <v>146</v>
      </c>
      <c r="G502" t="s">
        <v>147</v>
      </c>
      <c r="H502" t="s">
        <v>147</v>
      </c>
      <c r="I502" s="11">
        <v>1706194</v>
      </c>
      <c r="J502" t="s">
        <v>619</v>
      </c>
      <c r="K502" t="s">
        <v>256</v>
      </c>
      <c r="L502" t="str">
        <f>CONCATENATE(K502," ",J502)</f>
        <v>MATTHEW DAUGHERTY</v>
      </c>
      <c r="M502" t="s">
        <v>57</v>
      </c>
      <c r="N502" s="1">
        <v>46035</v>
      </c>
      <c r="P502" s="1">
        <v>46216</v>
      </c>
      <c r="Q502" s="2">
        <v>71.22</v>
      </c>
      <c r="R502" t="s">
        <v>58</v>
      </c>
      <c r="S502" s="4">
        <v>0.375</v>
      </c>
      <c r="T502" t="s">
        <v>60</v>
      </c>
      <c r="U502" t="s">
        <v>239</v>
      </c>
      <c r="V502" s="2">
        <v>26.71</v>
      </c>
      <c r="W502" s="2">
        <v>0</v>
      </c>
      <c r="X502" s="2">
        <v>0</v>
      </c>
      <c r="Y502" t="s">
        <v>238</v>
      </c>
      <c r="Z502" t="s">
        <v>1062</v>
      </c>
    </row>
    <row r="503" spans="1:26" x14ac:dyDescent="0.25">
      <c r="A503">
        <v>2035055787</v>
      </c>
      <c r="B503" t="s">
        <v>939</v>
      </c>
      <c r="C503" t="s">
        <v>940</v>
      </c>
      <c r="D503" t="str">
        <f>CONCATENATE(C503," ",B503)</f>
        <v>JEAN FULLWOOD</v>
      </c>
      <c r="E503" t="s">
        <v>162</v>
      </c>
      <c r="F503" t="s">
        <v>146</v>
      </c>
      <c r="G503" t="s">
        <v>147</v>
      </c>
      <c r="H503" t="s">
        <v>147</v>
      </c>
      <c r="I503" s="11" t="s">
        <v>1048</v>
      </c>
      <c r="J503" t="s">
        <v>101</v>
      </c>
      <c r="K503" t="s">
        <v>700</v>
      </c>
      <c r="L503" t="str">
        <f>CONCATENATE(K503," ",J503)</f>
        <v>Heidi Berthelsen</v>
      </c>
      <c r="M503" t="s">
        <v>57</v>
      </c>
      <c r="N503" s="1">
        <v>46130</v>
      </c>
      <c r="P503" s="1">
        <v>46221</v>
      </c>
      <c r="Q503" s="2">
        <v>67.959999999999994</v>
      </c>
      <c r="R503" t="s">
        <v>58</v>
      </c>
      <c r="S503" s="4">
        <v>0.375</v>
      </c>
      <c r="T503" t="s">
        <v>60</v>
      </c>
      <c r="U503" t="s">
        <v>239</v>
      </c>
      <c r="V503" s="2">
        <v>25.48</v>
      </c>
      <c r="W503" s="2">
        <v>0</v>
      </c>
      <c r="X503" s="2">
        <v>0</v>
      </c>
      <c r="Y503" t="s">
        <v>238</v>
      </c>
      <c r="Z503" t="s">
        <v>1063</v>
      </c>
    </row>
    <row r="504" spans="1:26" x14ac:dyDescent="0.25">
      <c r="A504">
        <v>2034260108</v>
      </c>
      <c r="B504" t="s">
        <v>667</v>
      </c>
      <c r="C504" t="s">
        <v>668</v>
      </c>
      <c r="D504" t="str">
        <f>CONCATENATE(C504," ",B504)</f>
        <v>TYLER DOBELBOWER</v>
      </c>
      <c r="E504" t="s">
        <v>305</v>
      </c>
      <c r="F504" t="s">
        <v>146</v>
      </c>
      <c r="G504" t="s">
        <v>147</v>
      </c>
      <c r="H504" t="s">
        <v>147</v>
      </c>
      <c r="I504" s="11" t="s">
        <v>1036</v>
      </c>
      <c r="J504" t="s">
        <v>510</v>
      </c>
      <c r="K504" t="s">
        <v>511</v>
      </c>
      <c r="L504" t="str">
        <f>CONCATENATE(K504," ",J504)</f>
        <v>Joel Lee</v>
      </c>
      <c r="M504" t="s">
        <v>57</v>
      </c>
      <c r="N504" s="1">
        <v>46096</v>
      </c>
      <c r="P504" s="1">
        <v>46218</v>
      </c>
      <c r="Q504" s="2">
        <v>64.84</v>
      </c>
      <c r="R504" t="s">
        <v>58</v>
      </c>
      <c r="S504" s="4">
        <v>0.375</v>
      </c>
      <c r="T504" t="s">
        <v>60</v>
      </c>
      <c r="U504" t="s">
        <v>239</v>
      </c>
      <c r="V504" s="2">
        <v>24.32</v>
      </c>
      <c r="W504" s="2">
        <v>0</v>
      </c>
      <c r="X504" s="2">
        <v>0</v>
      </c>
      <c r="Y504" t="s">
        <v>238</v>
      </c>
      <c r="Z504" t="s">
        <v>1063</v>
      </c>
    </row>
    <row r="505" spans="1:26" x14ac:dyDescent="0.25">
      <c r="A505">
        <v>2034917048</v>
      </c>
      <c r="B505" t="s">
        <v>704</v>
      </c>
      <c r="C505" t="s">
        <v>483</v>
      </c>
      <c r="D505" t="str">
        <f>CONCATENATE(C505," ",B505)</f>
        <v>CHRISTOPHER KELLY</v>
      </c>
      <c r="E505" t="s">
        <v>305</v>
      </c>
      <c r="F505" t="s">
        <v>146</v>
      </c>
      <c r="G505" t="s">
        <v>147</v>
      </c>
      <c r="H505" t="s">
        <v>147</v>
      </c>
      <c r="I505" s="11" t="s">
        <v>1020</v>
      </c>
      <c r="J505" t="s">
        <v>312</v>
      </c>
      <c r="K505" t="s">
        <v>313</v>
      </c>
      <c r="L505" t="str">
        <f>CONCATENATE(K505," ",J505)</f>
        <v>Heather Geske</v>
      </c>
      <c r="M505" t="s">
        <v>57</v>
      </c>
      <c r="N505" s="1">
        <v>46127</v>
      </c>
      <c r="P505" s="1">
        <v>46218</v>
      </c>
      <c r="Q505" s="2">
        <v>64.84</v>
      </c>
      <c r="R505" t="s">
        <v>58</v>
      </c>
      <c r="S505" s="4">
        <v>0.375</v>
      </c>
      <c r="T505" t="s">
        <v>60</v>
      </c>
      <c r="U505" t="s">
        <v>239</v>
      </c>
      <c r="V505" s="2">
        <v>24.32</v>
      </c>
      <c r="W505" s="2">
        <v>0</v>
      </c>
      <c r="X505" s="2">
        <v>0</v>
      </c>
      <c r="Y505" t="s">
        <v>238</v>
      </c>
      <c r="Z505" t="s">
        <v>1063</v>
      </c>
    </row>
    <row r="506" spans="1:26" x14ac:dyDescent="0.25">
      <c r="A506">
        <v>2034416508</v>
      </c>
      <c r="B506" t="s">
        <v>933</v>
      </c>
      <c r="C506" t="s">
        <v>934</v>
      </c>
      <c r="D506" t="str">
        <f>CONCATENATE(C506," ",B506)</f>
        <v>ASHLEN CORDES</v>
      </c>
      <c r="E506" t="s">
        <v>119</v>
      </c>
      <c r="F506" t="s">
        <v>146</v>
      </c>
      <c r="G506" t="s">
        <v>147</v>
      </c>
      <c r="H506" t="s">
        <v>147</v>
      </c>
      <c r="I506" s="11" t="s">
        <v>1047</v>
      </c>
      <c r="J506" t="s">
        <v>171</v>
      </c>
      <c r="K506" t="s">
        <v>172</v>
      </c>
      <c r="L506" t="str">
        <f>CONCATENATE(K506," ",J506)</f>
        <v>THOMAS PARDUE</v>
      </c>
      <c r="M506" t="s">
        <v>57</v>
      </c>
      <c r="N506" s="1">
        <v>46100</v>
      </c>
      <c r="P506" s="1">
        <v>46222</v>
      </c>
      <c r="Q506" s="2">
        <v>64.349999999999994</v>
      </c>
      <c r="R506" t="s">
        <v>58</v>
      </c>
      <c r="S506" s="4">
        <v>0.375</v>
      </c>
      <c r="T506" t="s">
        <v>60</v>
      </c>
      <c r="U506" t="s">
        <v>239</v>
      </c>
      <c r="V506" s="2">
        <v>24.13</v>
      </c>
      <c r="W506" s="2">
        <v>0</v>
      </c>
      <c r="X506" s="2">
        <v>0</v>
      </c>
      <c r="Y506" t="s">
        <v>238</v>
      </c>
      <c r="Z506" t="s">
        <v>1063</v>
      </c>
    </row>
    <row r="507" spans="1:26" x14ac:dyDescent="0.25">
      <c r="A507">
        <v>2035462808</v>
      </c>
      <c r="B507" t="s">
        <v>538</v>
      </c>
      <c r="C507" t="s">
        <v>746</v>
      </c>
      <c r="D507" t="str">
        <f>CONCATENATE(C507," ",B507)</f>
        <v>CRAIG BROWN</v>
      </c>
      <c r="E507" t="s">
        <v>696</v>
      </c>
      <c r="F507" t="s">
        <v>146</v>
      </c>
      <c r="G507" t="s">
        <v>147</v>
      </c>
      <c r="H507" t="s">
        <v>147</v>
      </c>
      <c r="I507" s="11" t="s">
        <v>1004</v>
      </c>
      <c r="J507" t="s">
        <v>728</v>
      </c>
      <c r="K507" t="s">
        <v>729</v>
      </c>
      <c r="L507" t="str">
        <f>CONCATENATE(K507," ",J507)</f>
        <v>Alexander Kim</v>
      </c>
      <c r="M507" t="s">
        <v>57</v>
      </c>
      <c r="N507" s="1">
        <v>46156</v>
      </c>
      <c r="P507" s="1">
        <v>46217</v>
      </c>
      <c r="Q507" s="2">
        <v>61.83</v>
      </c>
      <c r="R507" t="s">
        <v>58</v>
      </c>
      <c r="S507" s="4">
        <v>0.375</v>
      </c>
      <c r="T507" t="s">
        <v>60</v>
      </c>
      <c r="U507" t="s">
        <v>239</v>
      </c>
      <c r="V507" s="2">
        <v>23.19</v>
      </c>
      <c r="W507" s="2">
        <v>0</v>
      </c>
      <c r="X507" s="2">
        <v>0</v>
      </c>
      <c r="Y507" t="s">
        <v>238</v>
      </c>
      <c r="Z507" t="s">
        <v>1063</v>
      </c>
    </row>
    <row r="508" spans="1:26" x14ac:dyDescent="0.25">
      <c r="A508">
        <v>2035449419</v>
      </c>
      <c r="B508" t="s">
        <v>290</v>
      </c>
      <c r="C508" t="s">
        <v>291</v>
      </c>
      <c r="D508" t="str">
        <f>CONCATENATE(C508," ",B508)</f>
        <v>BASIA CARPENTIER</v>
      </c>
      <c r="E508" t="s">
        <v>292</v>
      </c>
      <c r="F508" t="s">
        <v>146</v>
      </c>
      <c r="G508" t="s">
        <v>147</v>
      </c>
      <c r="H508" t="s">
        <v>147</v>
      </c>
      <c r="I508" s="11" t="s">
        <v>1015</v>
      </c>
      <c r="J508" t="s">
        <v>293</v>
      </c>
      <c r="K508" t="s">
        <v>294</v>
      </c>
      <c r="L508" t="str">
        <f>CONCATENATE(K508," ",J508)</f>
        <v>Kara Evenson</v>
      </c>
      <c r="M508" t="s">
        <v>57</v>
      </c>
      <c r="N508" s="1">
        <v>46156</v>
      </c>
      <c r="P508" s="1">
        <v>46217</v>
      </c>
      <c r="Q508" s="2">
        <v>61.4</v>
      </c>
      <c r="R508" t="s">
        <v>58</v>
      </c>
      <c r="S508" s="4">
        <v>0.375</v>
      </c>
      <c r="T508" t="s">
        <v>60</v>
      </c>
      <c r="U508" t="s">
        <v>239</v>
      </c>
      <c r="V508" s="2">
        <v>23.02</v>
      </c>
      <c r="W508" s="2">
        <v>0</v>
      </c>
      <c r="X508" s="2">
        <v>0</v>
      </c>
      <c r="Y508" t="s">
        <v>238</v>
      </c>
      <c r="Z508" t="s">
        <v>1063</v>
      </c>
    </row>
    <row r="509" spans="1:26" x14ac:dyDescent="0.25">
      <c r="A509">
        <v>2033127915</v>
      </c>
      <c r="B509" t="s">
        <v>854</v>
      </c>
      <c r="C509" t="s">
        <v>855</v>
      </c>
      <c r="D509" t="str">
        <f>CONCATENATE(C509," ",B509)</f>
        <v>KIMBERLY SMITHSON</v>
      </c>
      <c r="E509" t="s">
        <v>83</v>
      </c>
      <c r="F509" t="s">
        <v>146</v>
      </c>
      <c r="G509" t="s">
        <v>147</v>
      </c>
      <c r="H509" t="s">
        <v>147</v>
      </c>
      <c r="I509" s="11">
        <v>8977234</v>
      </c>
      <c r="J509" t="s">
        <v>85</v>
      </c>
      <c r="K509" t="s">
        <v>86</v>
      </c>
      <c r="L509" t="str">
        <f>CONCATENATE(K509," ",J509)</f>
        <v>RYAN CALTAGIRONE</v>
      </c>
      <c r="M509" t="s">
        <v>57</v>
      </c>
      <c r="N509" s="1">
        <v>46038</v>
      </c>
      <c r="P509" s="1">
        <v>46219</v>
      </c>
      <c r="Q509" s="2">
        <v>58.11</v>
      </c>
      <c r="R509" t="s">
        <v>58</v>
      </c>
      <c r="S509" s="4">
        <v>0.375</v>
      </c>
      <c r="T509" t="s">
        <v>60</v>
      </c>
      <c r="U509" t="s">
        <v>239</v>
      </c>
      <c r="V509" s="2">
        <v>21.79</v>
      </c>
      <c r="W509" s="2">
        <v>0</v>
      </c>
      <c r="X509" s="2">
        <v>0</v>
      </c>
      <c r="Y509" t="s">
        <v>238</v>
      </c>
      <c r="Z509" t="s">
        <v>1062</v>
      </c>
    </row>
    <row r="510" spans="1:26" x14ac:dyDescent="0.25">
      <c r="A510">
        <v>2033190698</v>
      </c>
      <c r="B510" t="s">
        <v>643</v>
      </c>
      <c r="C510" t="s">
        <v>644</v>
      </c>
      <c r="D510" t="str">
        <f>CONCATENATE(C510," ",B510)</f>
        <v>EDDIE MERRELL</v>
      </c>
      <c r="E510" t="s">
        <v>95</v>
      </c>
      <c r="F510" t="s">
        <v>146</v>
      </c>
      <c r="G510" t="s">
        <v>147</v>
      </c>
      <c r="H510" t="s">
        <v>147</v>
      </c>
      <c r="I510" s="11" t="s">
        <v>1037</v>
      </c>
      <c r="J510" t="s">
        <v>514</v>
      </c>
      <c r="K510" t="s">
        <v>515</v>
      </c>
      <c r="L510" t="str">
        <f>CONCATENATE(K510," ",J510)</f>
        <v>Ines Berg</v>
      </c>
      <c r="M510" t="s">
        <v>57</v>
      </c>
      <c r="N510" s="1">
        <v>46039</v>
      </c>
      <c r="P510" s="1">
        <v>46220</v>
      </c>
      <c r="Q510" s="2">
        <v>54.95</v>
      </c>
      <c r="R510" t="s">
        <v>58</v>
      </c>
      <c r="S510" s="4">
        <v>0.375</v>
      </c>
      <c r="T510" t="s">
        <v>60</v>
      </c>
      <c r="U510" t="s">
        <v>239</v>
      </c>
      <c r="V510" s="2">
        <v>20.61</v>
      </c>
      <c r="W510" s="2">
        <v>0</v>
      </c>
      <c r="X510" s="2">
        <v>0</v>
      </c>
      <c r="Y510" t="s">
        <v>238</v>
      </c>
      <c r="Z510" t="s">
        <v>1064</v>
      </c>
    </row>
    <row r="511" spans="1:26" x14ac:dyDescent="0.25">
      <c r="A511">
        <v>2033057489</v>
      </c>
      <c r="B511" t="s">
        <v>913</v>
      </c>
      <c r="C511" t="s">
        <v>609</v>
      </c>
      <c r="D511" t="str">
        <f>CONCATENATE(C511," ",B511)</f>
        <v>TAYLOR MONBRUM</v>
      </c>
      <c r="E511" t="s">
        <v>119</v>
      </c>
      <c r="F511" t="s">
        <v>146</v>
      </c>
      <c r="G511" t="s">
        <v>147</v>
      </c>
      <c r="H511" t="s">
        <v>147</v>
      </c>
      <c r="I511" s="11" t="s">
        <v>1028</v>
      </c>
      <c r="J511" t="s">
        <v>406</v>
      </c>
      <c r="K511" t="s">
        <v>407</v>
      </c>
      <c r="L511" t="str">
        <f>CONCATENATE(K511," ",J511)</f>
        <v>BARRY BRENNER</v>
      </c>
      <c r="M511" t="s">
        <v>57</v>
      </c>
      <c r="N511" s="1">
        <v>46037</v>
      </c>
      <c r="P511" s="1">
        <v>46218</v>
      </c>
      <c r="Q511" s="2">
        <v>54.7</v>
      </c>
      <c r="R511" t="s">
        <v>58</v>
      </c>
      <c r="S511" s="4">
        <v>0.375</v>
      </c>
      <c r="T511" t="s">
        <v>60</v>
      </c>
      <c r="U511" t="s">
        <v>239</v>
      </c>
      <c r="V511" s="2">
        <v>20.51</v>
      </c>
      <c r="W511" s="2">
        <v>0</v>
      </c>
      <c r="X511" s="2">
        <v>0</v>
      </c>
      <c r="Y511" t="s">
        <v>238</v>
      </c>
      <c r="Z511" t="s">
        <v>1062</v>
      </c>
    </row>
    <row r="512" spans="1:26" x14ac:dyDescent="0.25">
      <c r="A512">
        <v>2034306133</v>
      </c>
      <c r="B512" t="s">
        <v>675</v>
      </c>
      <c r="C512" t="s">
        <v>227</v>
      </c>
      <c r="D512" t="str">
        <f>CONCATENATE(C512," ",B512)</f>
        <v>MICHAEL KILEY</v>
      </c>
      <c r="E512" t="s">
        <v>209</v>
      </c>
      <c r="F512" t="s">
        <v>146</v>
      </c>
      <c r="G512" t="s">
        <v>147</v>
      </c>
      <c r="H512" t="s">
        <v>147</v>
      </c>
      <c r="I512" s="11">
        <v>8307933</v>
      </c>
      <c r="J512" t="s">
        <v>79</v>
      </c>
      <c r="K512" t="s">
        <v>80</v>
      </c>
      <c r="L512" t="str">
        <f>CONCATENATE(K512," ",J512)</f>
        <v>GREGORY TEIPEL</v>
      </c>
      <c r="M512" t="s">
        <v>57</v>
      </c>
      <c r="N512" s="1">
        <v>46094</v>
      </c>
      <c r="P512" s="1">
        <v>46216</v>
      </c>
      <c r="Q512" s="2">
        <v>53.44</v>
      </c>
      <c r="R512" t="s">
        <v>58</v>
      </c>
      <c r="S512" s="4">
        <v>0.375</v>
      </c>
      <c r="T512" t="s">
        <v>60</v>
      </c>
      <c r="U512" t="s">
        <v>239</v>
      </c>
      <c r="V512" s="2">
        <v>20.04</v>
      </c>
      <c r="W512" s="2">
        <v>0</v>
      </c>
      <c r="X512" s="2">
        <v>0</v>
      </c>
      <c r="Y512" t="s">
        <v>238</v>
      </c>
      <c r="Z512" t="s">
        <v>1062</v>
      </c>
    </row>
    <row r="513" spans="1:26" x14ac:dyDescent="0.25">
      <c r="A513">
        <v>2033489593</v>
      </c>
      <c r="B513" t="s">
        <v>926</v>
      </c>
      <c r="C513" t="s">
        <v>227</v>
      </c>
      <c r="D513" t="str">
        <f>CONCATENATE(C513," ",B513)</f>
        <v>MICHAEL DELBOSQUE</v>
      </c>
      <c r="E513" t="s">
        <v>292</v>
      </c>
      <c r="F513" t="s">
        <v>146</v>
      </c>
      <c r="G513" t="s">
        <v>147</v>
      </c>
      <c r="H513" t="s">
        <v>147</v>
      </c>
      <c r="I513" s="11" t="s">
        <v>1057</v>
      </c>
      <c r="J513" t="s">
        <v>336</v>
      </c>
      <c r="K513" t="s">
        <v>337</v>
      </c>
      <c r="L513" t="str">
        <f>CONCATENATE(K513," ",J513)</f>
        <v>VICTOR FUENTES</v>
      </c>
      <c r="M513" t="s">
        <v>57</v>
      </c>
      <c r="N513" s="1">
        <v>46058</v>
      </c>
      <c r="P513" s="1">
        <v>46208</v>
      </c>
      <c r="Q513" s="2">
        <v>51.4</v>
      </c>
      <c r="R513" t="s">
        <v>58</v>
      </c>
      <c r="S513" s="4">
        <v>0.375</v>
      </c>
      <c r="T513" t="s">
        <v>60</v>
      </c>
      <c r="U513" t="s">
        <v>239</v>
      </c>
      <c r="V513" s="2">
        <v>19.28</v>
      </c>
      <c r="W513" s="2">
        <v>0</v>
      </c>
      <c r="X513" s="2">
        <v>0</v>
      </c>
      <c r="Y513" t="s">
        <v>238</v>
      </c>
      <c r="Z513" t="s">
        <v>1063</v>
      </c>
    </row>
    <row r="514" spans="1:26" x14ac:dyDescent="0.25">
      <c r="A514">
        <v>2033174367</v>
      </c>
      <c r="B514" t="s">
        <v>818</v>
      </c>
      <c r="C514" t="s">
        <v>250</v>
      </c>
      <c r="D514" t="str">
        <f>CONCATENATE(C514," ",B514)</f>
        <v>CHARLES LEUBBERS</v>
      </c>
      <c r="E514" t="s">
        <v>681</v>
      </c>
      <c r="F514" t="s">
        <v>146</v>
      </c>
      <c r="G514" t="s">
        <v>147</v>
      </c>
      <c r="H514" t="s">
        <v>147</v>
      </c>
      <c r="I514" s="11" t="s">
        <v>1020</v>
      </c>
      <c r="J514" t="s">
        <v>312</v>
      </c>
      <c r="K514" t="s">
        <v>313</v>
      </c>
      <c r="L514" t="str">
        <f>CONCATENATE(K514," ",J514)</f>
        <v>Heather Geske</v>
      </c>
      <c r="M514" t="s">
        <v>57</v>
      </c>
      <c r="N514" s="1">
        <v>46038</v>
      </c>
      <c r="P514" s="1">
        <v>46219</v>
      </c>
      <c r="Q514" s="2">
        <v>50.81</v>
      </c>
      <c r="R514" t="s">
        <v>58</v>
      </c>
      <c r="S514" s="4">
        <v>0.375</v>
      </c>
      <c r="T514" t="s">
        <v>60</v>
      </c>
      <c r="U514" t="s">
        <v>239</v>
      </c>
      <c r="V514" s="2">
        <v>19.05</v>
      </c>
      <c r="W514" s="2">
        <v>0</v>
      </c>
      <c r="X514" s="2">
        <v>0</v>
      </c>
      <c r="Y514" t="s">
        <v>238</v>
      </c>
      <c r="Z514" t="s">
        <v>1064</v>
      </c>
    </row>
    <row r="515" spans="1:26" x14ac:dyDescent="0.25">
      <c r="A515">
        <v>2034234840</v>
      </c>
      <c r="B515" t="s">
        <v>665</v>
      </c>
      <c r="C515" t="s">
        <v>287</v>
      </c>
      <c r="D515" t="str">
        <f>CONCATENATE(C515," ",B515)</f>
        <v>SUSAN MURLEY</v>
      </c>
      <c r="E515" t="s">
        <v>305</v>
      </c>
      <c r="F515" t="s">
        <v>146</v>
      </c>
      <c r="G515" t="s">
        <v>147</v>
      </c>
      <c r="H515" t="s">
        <v>147</v>
      </c>
      <c r="I515" s="11" t="s">
        <v>1020</v>
      </c>
      <c r="J515" t="s">
        <v>312</v>
      </c>
      <c r="K515" t="s">
        <v>313</v>
      </c>
      <c r="L515" t="str">
        <f>CONCATENATE(K515," ",J515)</f>
        <v>Heather Geske</v>
      </c>
      <c r="M515" t="s">
        <v>57</v>
      </c>
      <c r="N515" s="1">
        <v>46096</v>
      </c>
      <c r="P515" s="1">
        <v>46218</v>
      </c>
      <c r="Q515" s="2">
        <v>48.17</v>
      </c>
      <c r="R515" t="s">
        <v>58</v>
      </c>
      <c r="S515" s="4">
        <v>0.375</v>
      </c>
      <c r="T515" t="s">
        <v>60</v>
      </c>
      <c r="U515" t="s">
        <v>239</v>
      </c>
      <c r="V515" s="2">
        <v>18.059999999999999</v>
      </c>
      <c r="W515" s="2">
        <v>0</v>
      </c>
      <c r="X515" s="2">
        <v>0</v>
      </c>
      <c r="Y515" t="s">
        <v>238</v>
      </c>
      <c r="Z515" t="s">
        <v>1063</v>
      </c>
    </row>
    <row r="516" spans="1:26" x14ac:dyDescent="0.25">
      <c r="A516">
        <v>2034374844</v>
      </c>
      <c r="B516" t="s">
        <v>679</v>
      </c>
      <c r="C516" t="s">
        <v>680</v>
      </c>
      <c r="D516" t="str">
        <f>CONCATENATE(C516," ",B516)</f>
        <v>ELLIOTT KENNEDY</v>
      </c>
      <c r="E516" t="s">
        <v>681</v>
      </c>
      <c r="F516" t="s">
        <v>146</v>
      </c>
      <c r="G516" t="s">
        <v>147</v>
      </c>
      <c r="H516" t="s">
        <v>147</v>
      </c>
      <c r="I516" s="11">
        <v>8307933</v>
      </c>
      <c r="J516" t="s">
        <v>79</v>
      </c>
      <c r="K516" t="s">
        <v>80</v>
      </c>
      <c r="L516" t="str">
        <f>CONCATENATE(K516," ",J516)</f>
        <v>GREGORY TEIPEL</v>
      </c>
      <c r="M516" t="s">
        <v>57</v>
      </c>
      <c r="N516" s="1">
        <v>46099</v>
      </c>
      <c r="P516" s="1">
        <v>46221</v>
      </c>
      <c r="Q516" s="2">
        <v>48.15</v>
      </c>
      <c r="R516" t="s">
        <v>58</v>
      </c>
      <c r="S516" s="4">
        <v>0.375</v>
      </c>
      <c r="T516" t="s">
        <v>60</v>
      </c>
      <c r="U516" t="s">
        <v>239</v>
      </c>
      <c r="V516" s="2">
        <v>18.059999999999999</v>
      </c>
      <c r="W516" s="2">
        <v>0</v>
      </c>
      <c r="X516" s="2">
        <v>0</v>
      </c>
      <c r="Y516" t="s">
        <v>238</v>
      </c>
      <c r="Z516" t="s">
        <v>1062</v>
      </c>
    </row>
    <row r="517" spans="1:26" x14ac:dyDescent="0.25">
      <c r="A517">
        <v>2034986810</v>
      </c>
      <c r="B517" t="s">
        <v>717</v>
      </c>
      <c r="C517" t="s">
        <v>349</v>
      </c>
      <c r="D517" t="str">
        <f>CONCATENATE(C517," ",B517)</f>
        <v>STEPHEN CULLOP</v>
      </c>
      <c r="E517" t="s">
        <v>305</v>
      </c>
      <c r="F517" t="s">
        <v>146</v>
      </c>
      <c r="G517" t="s">
        <v>147</v>
      </c>
      <c r="H517" t="s">
        <v>147</v>
      </c>
      <c r="I517" s="11" t="s">
        <v>1040</v>
      </c>
      <c r="J517" t="s">
        <v>306</v>
      </c>
      <c r="K517" t="s">
        <v>307</v>
      </c>
      <c r="L517" t="str">
        <f>CONCATENATE(K517," ",J517)</f>
        <v>WILLIAM GESKE</v>
      </c>
      <c r="M517" t="s">
        <v>57</v>
      </c>
      <c r="N517" s="1">
        <v>46130</v>
      </c>
      <c r="P517" s="1">
        <v>46221</v>
      </c>
      <c r="Q517" s="2">
        <v>48.17</v>
      </c>
      <c r="R517" t="s">
        <v>58</v>
      </c>
      <c r="S517" s="4">
        <v>0.375</v>
      </c>
      <c r="T517" t="s">
        <v>60</v>
      </c>
      <c r="U517" t="s">
        <v>239</v>
      </c>
      <c r="V517" s="2">
        <v>18.059999999999999</v>
      </c>
      <c r="W517" s="2">
        <v>0</v>
      </c>
      <c r="X517" s="2">
        <v>0</v>
      </c>
      <c r="Y517" t="s">
        <v>238</v>
      </c>
      <c r="Z517" t="s">
        <v>1063</v>
      </c>
    </row>
    <row r="518" spans="1:26" x14ac:dyDescent="0.25">
      <c r="A518">
        <v>2033144398</v>
      </c>
      <c r="B518" t="s">
        <v>631</v>
      </c>
      <c r="C518" t="s">
        <v>632</v>
      </c>
      <c r="D518" t="str">
        <f>CONCATENATE(C518," ",B518)</f>
        <v>JORDIS LUNDGREN</v>
      </c>
      <c r="E518" t="s">
        <v>100</v>
      </c>
      <c r="F518" t="s">
        <v>146</v>
      </c>
      <c r="G518" t="s">
        <v>147</v>
      </c>
      <c r="H518" t="s">
        <v>147</v>
      </c>
      <c r="I518" s="11">
        <v>8307933</v>
      </c>
      <c r="J518" t="s">
        <v>79</v>
      </c>
      <c r="K518" t="s">
        <v>80</v>
      </c>
      <c r="L518" t="str">
        <f>CONCATENATE(K518," ",J518)</f>
        <v>GREGORY TEIPEL</v>
      </c>
      <c r="M518" t="s">
        <v>57</v>
      </c>
      <c r="N518" s="1">
        <v>46059</v>
      </c>
      <c r="P518" s="1">
        <v>46209</v>
      </c>
      <c r="Q518" s="2">
        <v>45.42</v>
      </c>
      <c r="R518" t="s">
        <v>58</v>
      </c>
      <c r="S518" s="4">
        <v>0.375</v>
      </c>
      <c r="T518" t="s">
        <v>60</v>
      </c>
      <c r="U518" t="s">
        <v>239</v>
      </c>
      <c r="V518" s="2">
        <v>17.03</v>
      </c>
      <c r="W518" s="2">
        <v>0</v>
      </c>
      <c r="X518" s="2">
        <v>0</v>
      </c>
      <c r="Y518" t="s">
        <v>238</v>
      </c>
      <c r="Z518" t="s">
        <v>1062</v>
      </c>
    </row>
    <row r="519" spans="1:26" x14ac:dyDescent="0.25">
      <c r="A519">
        <v>2035401321</v>
      </c>
      <c r="B519" t="s">
        <v>726</v>
      </c>
      <c r="C519" t="s">
        <v>727</v>
      </c>
      <c r="D519" t="str">
        <f>CONCATENATE(C519," ",B519)</f>
        <v>EDWIN HARVEY</v>
      </c>
      <c r="E519" t="s">
        <v>696</v>
      </c>
      <c r="F519" t="s">
        <v>146</v>
      </c>
      <c r="G519" t="s">
        <v>147</v>
      </c>
      <c r="H519" t="s">
        <v>147</v>
      </c>
      <c r="I519" s="11" t="s">
        <v>1004</v>
      </c>
      <c r="J519" t="s">
        <v>728</v>
      </c>
      <c r="K519" t="s">
        <v>729</v>
      </c>
      <c r="L519" t="str">
        <f>CONCATENATE(K519," ",J519)</f>
        <v>Alexander Kim</v>
      </c>
      <c r="M519" t="s">
        <v>57</v>
      </c>
      <c r="N519" s="1">
        <v>46158</v>
      </c>
      <c r="P519" s="1">
        <v>46219</v>
      </c>
      <c r="Q519" s="2">
        <v>39.17</v>
      </c>
      <c r="R519" t="s">
        <v>58</v>
      </c>
      <c r="S519" s="4">
        <v>0.375</v>
      </c>
      <c r="T519" t="s">
        <v>60</v>
      </c>
      <c r="U519" t="s">
        <v>239</v>
      </c>
      <c r="V519" s="2">
        <v>14.69</v>
      </c>
      <c r="W519" s="2">
        <v>0</v>
      </c>
      <c r="X519" s="2">
        <v>0</v>
      </c>
      <c r="Y519" t="s">
        <v>238</v>
      </c>
      <c r="Z519" t="s">
        <v>1063</v>
      </c>
    </row>
    <row r="520" spans="1:26" x14ac:dyDescent="0.25">
      <c r="A520">
        <v>2035464771</v>
      </c>
      <c r="B520" t="s">
        <v>747</v>
      </c>
      <c r="C520" t="s">
        <v>110</v>
      </c>
      <c r="D520" t="str">
        <f>CONCATENATE(C520," ",B520)</f>
        <v>WALTER BLANKENSHIP</v>
      </c>
      <c r="E520" t="s">
        <v>305</v>
      </c>
      <c r="F520" t="s">
        <v>146</v>
      </c>
      <c r="G520" t="s">
        <v>147</v>
      </c>
      <c r="H520" t="s">
        <v>147</v>
      </c>
      <c r="I520" s="11" t="s">
        <v>1040</v>
      </c>
      <c r="J520" t="s">
        <v>306</v>
      </c>
      <c r="K520" t="s">
        <v>307</v>
      </c>
      <c r="L520" t="str">
        <f>CONCATENATE(K520," ",J520)</f>
        <v>WILLIAM GESKE</v>
      </c>
      <c r="M520" t="s">
        <v>57</v>
      </c>
      <c r="N520" s="1">
        <v>46156</v>
      </c>
      <c r="P520" s="1">
        <v>46217</v>
      </c>
      <c r="Q520" s="2">
        <v>38.18</v>
      </c>
      <c r="R520" t="s">
        <v>58</v>
      </c>
      <c r="S520" s="4">
        <v>0.375</v>
      </c>
      <c r="T520" t="s">
        <v>60</v>
      </c>
      <c r="U520" t="s">
        <v>239</v>
      </c>
      <c r="V520" s="2">
        <v>14.32</v>
      </c>
      <c r="W520" s="2">
        <v>0</v>
      </c>
      <c r="X520" s="2">
        <v>0</v>
      </c>
      <c r="Y520" t="s">
        <v>238</v>
      </c>
      <c r="Z520" t="s">
        <v>1063</v>
      </c>
    </row>
    <row r="521" spans="1:26" x14ac:dyDescent="0.25">
      <c r="A521">
        <v>2034404405</v>
      </c>
      <c r="B521" t="s">
        <v>283</v>
      </c>
      <c r="C521" t="s">
        <v>260</v>
      </c>
      <c r="D521" t="str">
        <f>CONCATENATE(C521," ",B521)</f>
        <v>JOSEPH SABA</v>
      </c>
      <c r="E521" t="s">
        <v>52</v>
      </c>
      <c r="F521" t="s">
        <v>146</v>
      </c>
      <c r="G521" t="s">
        <v>147</v>
      </c>
      <c r="H521" t="s">
        <v>147</v>
      </c>
      <c r="I521" s="11">
        <v>15950276</v>
      </c>
      <c r="J521" t="s">
        <v>273</v>
      </c>
      <c r="K521" t="s">
        <v>92</v>
      </c>
      <c r="L521" t="str">
        <f>CONCATENATE(K521," ",J521)</f>
        <v>Ryan Stocker</v>
      </c>
      <c r="M521" t="s">
        <v>57</v>
      </c>
      <c r="N521" s="1">
        <v>46099</v>
      </c>
      <c r="P521" s="1">
        <v>46221</v>
      </c>
      <c r="Q521" s="2">
        <v>37.32</v>
      </c>
      <c r="R521" t="s">
        <v>58</v>
      </c>
      <c r="S521" s="4">
        <v>0.375</v>
      </c>
      <c r="T521" t="s">
        <v>60</v>
      </c>
      <c r="U521" t="s">
        <v>239</v>
      </c>
      <c r="V521" s="2">
        <v>14</v>
      </c>
      <c r="W521" s="2">
        <v>0</v>
      </c>
      <c r="X521" s="2">
        <v>0</v>
      </c>
      <c r="Y521" t="s">
        <v>238</v>
      </c>
      <c r="Z521" t="s">
        <v>1062</v>
      </c>
    </row>
    <row r="522" spans="1:26" x14ac:dyDescent="0.25">
      <c r="A522">
        <v>2034413969</v>
      </c>
      <c r="B522" t="s">
        <v>686</v>
      </c>
      <c r="C522" t="s">
        <v>687</v>
      </c>
      <c r="D522" t="str">
        <f>CONCATENATE(C522," ",B522)</f>
        <v>VERONICA FLORES</v>
      </c>
      <c r="E522" t="s">
        <v>83</v>
      </c>
      <c r="F522" t="s">
        <v>146</v>
      </c>
      <c r="G522" t="s">
        <v>147</v>
      </c>
      <c r="H522" t="s">
        <v>147</v>
      </c>
      <c r="I522" s="11">
        <v>16170994</v>
      </c>
      <c r="J522" t="s">
        <v>91</v>
      </c>
      <c r="K522" t="s">
        <v>92</v>
      </c>
      <c r="L522" t="str">
        <f>CONCATENATE(K522," ",J522)</f>
        <v>Ryan Shepard</v>
      </c>
      <c r="M522" t="s">
        <v>57</v>
      </c>
      <c r="N522" s="1">
        <v>46100</v>
      </c>
      <c r="P522" s="1">
        <v>46222</v>
      </c>
      <c r="Q522" s="2">
        <v>34.39</v>
      </c>
      <c r="R522" t="s">
        <v>58</v>
      </c>
      <c r="S522" s="4">
        <v>0.375</v>
      </c>
      <c r="T522" t="s">
        <v>60</v>
      </c>
      <c r="U522" t="s">
        <v>239</v>
      </c>
      <c r="V522" s="2">
        <v>12.9</v>
      </c>
      <c r="W522" s="2">
        <v>0</v>
      </c>
      <c r="X522" s="2">
        <v>0</v>
      </c>
      <c r="Y522" t="s">
        <v>238</v>
      </c>
      <c r="Z522" t="s">
        <v>1062</v>
      </c>
    </row>
    <row r="523" spans="1:26" x14ac:dyDescent="0.25">
      <c r="A523">
        <v>2033170282</v>
      </c>
      <c r="B523" t="s">
        <v>923</v>
      </c>
      <c r="C523" t="s">
        <v>924</v>
      </c>
      <c r="D523" t="str">
        <f>CONCATENATE(C523," ",B523)</f>
        <v>MARGARET NGUM</v>
      </c>
      <c r="E523" t="s">
        <v>170</v>
      </c>
      <c r="F523" t="s">
        <v>146</v>
      </c>
      <c r="G523" t="s">
        <v>147</v>
      </c>
      <c r="H523" t="s">
        <v>147</v>
      </c>
      <c r="I523" s="11" t="s">
        <v>1022</v>
      </c>
      <c r="J523" t="s">
        <v>171</v>
      </c>
      <c r="K523" t="s">
        <v>172</v>
      </c>
      <c r="L523" t="str">
        <f>CONCATENATE(K523," ",J523)</f>
        <v>THOMAS PARDUE</v>
      </c>
      <c r="M523" t="s">
        <v>57</v>
      </c>
      <c r="N523" s="1">
        <v>46038</v>
      </c>
      <c r="P523" s="1">
        <v>46219</v>
      </c>
      <c r="Q523" s="2">
        <v>33.89</v>
      </c>
      <c r="R523" t="s">
        <v>58</v>
      </c>
      <c r="S523" s="4">
        <v>0.375</v>
      </c>
      <c r="T523" t="s">
        <v>60</v>
      </c>
      <c r="U523" t="s">
        <v>239</v>
      </c>
      <c r="V523" s="2">
        <v>12.71</v>
      </c>
      <c r="W523" s="2">
        <v>0</v>
      </c>
      <c r="X523" s="2">
        <v>0</v>
      </c>
      <c r="Y523" t="s">
        <v>238</v>
      </c>
      <c r="Z523" t="s">
        <v>1064</v>
      </c>
    </row>
    <row r="524" spans="1:26" x14ac:dyDescent="0.25">
      <c r="A524">
        <v>2034957102</v>
      </c>
      <c r="B524" t="s">
        <v>937</v>
      </c>
      <c r="C524" t="s">
        <v>938</v>
      </c>
      <c r="D524" t="str">
        <f>CONCATENATE(C524," ",B524)</f>
        <v>MAKENZIE GAWRONSKI</v>
      </c>
      <c r="E524" t="s">
        <v>145</v>
      </c>
      <c r="F524" t="s">
        <v>146</v>
      </c>
      <c r="G524" t="s">
        <v>147</v>
      </c>
      <c r="H524" t="s">
        <v>147</v>
      </c>
      <c r="I524" s="11">
        <v>21658262</v>
      </c>
      <c r="J524" t="s">
        <v>148</v>
      </c>
      <c r="K524" t="s">
        <v>149</v>
      </c>
      <c r="L524" t="str">
        <f>CONCATENATE(K524," ",J524)</f>
        <v>Erin Byrne</v>
      </c>
      <c r="M524" t="s">
        <v>57</v>
      </c>
      <c r="N524" s="1">
        <v>46129</v>
      </c>
      <c r="P524" s="1">
        <v>46220</v>
      </c>
      <c r="Q524" s="2">
        <v>31.2</v>
      </c>
      <c r="R524" t="s">
        <v>58</v>
      </c>
      <c r="S524" s="4">
        <v>0.375</v>
      </c>
      <c r="T524" t="s">
        <v>60</v>
      </c>
      <c r="U524" t="s">
        <v>239</v>
      </c>
      <c r="V524" s="2">
        <v>11.7</v>
      </c>
      <c r="W524" s="2">
        <v>0</v>
      </c>
      <c r="X524" s="2">
        <v>0</v>
      </c>
      <c r="Y524" t="s">
        <v>238</v>
      </c>
      <c r="Z524" t="s">
        <v>1062</v>
      </c>
    </row>
    <row r="525" spans="1:26" x14ac:dyDescent="0.25">
      <c r="A525">
        <v>2033164607</v>
      </c>
      <c r="B525" t="s">
        <v>635</v>
      </c>
      <c r="C525" t="s">
        <v>424</v>
      </c>
      <c r="D525" t="str">
        <f>CONCATENATE(C525," ",B525)</f>
        <v>ALEXANDRA RUFF</v>
      </c>
      <c r="E525" t="s">
        <v>305</v>
      </c>
      <c r="F525" t="s">
        <v>146</v>
      </c>
      <c r="G525" t="s">
        <v>147</v>
      </c>
      <c r="H525" t="s">
        <v>147</v>
      </c>
      <c r="I525" s="11" t="s">
        <v>1020</v>
      </c>
      <c r="J525" t="s">
        <v>312</v>
      </c>
      <c r="K525" t="s">
        <v>313</v>
      </c>
      <c r="L525" t="str">
        <f>CONCATENATE(K525," ",J525)</f>
        <v>Heather Geske</v>
      </c>
      <c r="M525" t="s">
        <v>57</v>
      </c>
      <c r="N525" s="1">
        <v>46038</v>
      </c>
      <c r="P525" s="1">
        <v>46219</v>
      </c>
      <c r="Q525" s="2">
        <v>30.49</v>
      </c>
      <c r="R525" t="s">
        <v>58</v>
      </c>
      <c r="S525" s="4">
        <v>0.375</v>
      </c>
      <c r="T525" t="s">
        <v>60</v>
      </c>
      <c r="U525" t="s">
        <v>239</v>
      </c>
      <c r="V525" s="2">
        <v>11.43</v>
      </c>
      <c r="W525" s="2">
        <v>0</v>
      </c>
      <c r="X525" s="2">
        <v>0</v>
      </c>
      <c r="Y525" t="s">
        <v>238</v>
      </c>
      <c r="Z525" t="s">
        <v>1064</v>
      </c>
    </row>
    <row r="526" spans="1:26" x14ac:dyDescent="0.25">
      <c r="A526">
        <v>2035502620</v>
      </c>
      <c r="B526" t="s">
        <v>357</v>
      </c>
      <c r="C526" t="s">
        <v>753</v>
      </c>
      <c r="D526" t="str">
        <f>CONCATENATE(C526," ",B526)</f>
        <v>DYLAN THOMPSON</v>
      </c>
      <c r="E526" t="s">
        <v>305</v>
      </c>
      <c r="F526" t="s">
        <v>146</v>
      </c>
      <c r="G526" t="s">
        <v>147</v>
      </c>
      <c r="H526" t="s">
        <v>147</v>
      </c>
      <c r="I526" s="11" t="s">
        <v>1040</v>
      </c>
      <c r="J526" t="s">
        <v>306</v>
      </c>
      <c r="K526" t="s">
        <v>307</v>
      </c>
      <c r="L526" t="str">
        <f>CONCATENATE(K526," ",J526)</f>
        <v>WILLIAM GESKE</v>
      </c>
      <c r="M526" t="s">
        <v>57</v>
      </c>
      <c r="N526" s="1">
        <v>46158</v>
      </c>
      <c r="P526" s="1">
        <v>46219</v>
      </c>
      <c r="Q526" s="2">
        <v>30.49</v>
      </c>
      <c r="R526" t="s">
        <v>58</v>
      </c>
      <c r="S526" s="4">
        <v>0.375</v>
      </c>
      <c r="T526" t="s">
        <v>60</v>
      </c>
      <c r="U526" t="s">
        <v>239</v>
      </c>
      <c r="V526" s="2">
        <v>11.43</v>
      </c>
      <c r="W526" s="2">
        <v>0</v>
      </c>
      <c r="X526" s="2">
        <v>0</v>
      </c>
      <c r="Y526" t="s">
        <v>238</v>
      </c>
      <c r="Z526" t="s">
        <v>1063</v>
      </c>
    </row>
    <row r="527" spans="1:26" x14ac:dyDescent="0.25">
      <c r="A527">
        <v>2035509866</v>
      </c>
      <c r="B527" t="s">
        <v>941</v>
      </c>
      <c r="C527" t="s">
        <v>704</v>
      </c>
      <c r="D527" t="str">
        <f>CONCATENATE(C527," ",B527)</f>
        <v>KELLY BERGMAN</v>
      </c>
      <c r="E527" t="s">
        <v>170</v>
      </c>
      <c r="F527" t="s">
        <v>146</v>
      </c>
      <c r="G527" t="s">
        <v>147</v>
      </c>
      <c r="H527" t="s">
        <v>147</v>
      </c>
      <c r="I527" s="11" t="s">
        <v>1047</v>
      </c>
      <c r="J527" t="s">
        <v>171</v>
      </c>
      <c r="K527" t="s">
        <v>172</v>
      </c>
      <c r="L527" t="str">
        <f>CONCATENATE(K527," ",J527)</f>
        <v>THOMAS PARDUE</v>
      </c>
      <c r="M527" t="s">
        <v>57</v>
      </c>
      <c r="N527" s="1">
        <v>46158</v>
      </c>
      <c r="P527" s="1">
        <v>46219</v>
      </c>
      <c r="Q527" s="2">
        <v>29.93</v>
      </c>
      <c r="R527" t="s">
        <v>58</v>
      </c>
      <c r="S527" s="4">
        <v>0.375</v>
      </c>
      <c r="T527" t="s">
        <v>60</v>
      </c>
      <c r="U527" t="s">
        <v>239</v>
      </c>
      <c r="V527" s="2">
        <v>11.22</v>
      </c>
      <c r="W527" s="2">
        <v>0</v>
      </c>
      <c r="X527" s="2">
        <v>0</v>
      </c>
      <c r="Y527" t="s">
        <v>238</v>
      </c>
      <c r="Z527" t="s">
        <v>1063</v>
      </c>
    </row>
    <row r="528" spans="1:26" x14ac:dyDescent="0.25">
      <c r="A528">
        <v>2034375766</v>
      </c>
      <c r="B528" t="s">
        <v>682</v>
      </c>
      <c r="C528" t="s">
        <v>335</v>
      </c>
      <c r="D528" t="str">
        <f>CONCATENATE(C528," ",B528)</f>
        <v>DAVID DYBEL</v>
      </c>
      <c r="E528" t="s">
        <v>77</v>
      </c>
      <c r="F528" t="s">
        <v>146</v>
      </c>
      <c r="G528" t="s">
        <v>147</v>
      </c>
      <c r="H528" t="s">
        <v>147</v>
      </c>
      <c r="I528" s="11">
        <v>8977234</v>
      </c>
      <c r="J528" t="s">
        <v>85</v>
      </c>
      <c r="K528" t="s">
        <v>86</v>
      </c>
      <c r="L528" t="str">
        <f>CONCATENATE(K528," ",J528)</f>
        <v>RYAN CALTAGIRONE</v>
      </c>
      <c r="M528" t="s">
        <v>57</v>
      </c>
      <c r="N528" s="1">
        <v>46098</v>
      </c>
      <c r="P528" s="1">
        <v>46220</v>
      </c>
      <c r="Q528" s="2">
        <v>28.91</v>
      </c>
      <c r="R528" t="s">
        <v>58</v>
      </c>
      <c r="S528" s="4">
        <v>0.375</v>
      </c>
      <c r="T528" t="s">
        <v>60</v>
      </c>
      <c r="U528" t="s">
        <v>239</v>
      </c>
      <c r="V528" s="2">
        <v>10.84</v>
      </c>
      <c r="W528" s="2">
        <v>0</v>
      </c>
      <c r="X528" s="2">
        <v>0</v>
      </c>
      <c r="Y528" t="s">
        <v>238</v>
      </c>
      <c r="Z528" t="s">
        <v>1062</v>
      </c>
    </row>
    <row r="529" spans="1:26" x14ac:dyDescent="0.25">
      <c r="A529">
        <v>2034343274</v>
      </c>
      <c r="B529" t="s">
        <v>927</v>
      </c>
      <c r="C529" t="s">
        <v>227</v>
      </c>
      <c r="D529" t="str">
        <f>CONCATENATE(C529," ",B529)</f>
        <v>MICHAEL FUSCHETTO</v>
      </c>
      <c r="E529" t="s">
        <v>95</v>
      </c>
      <c r="F529" t="s">
        <v>146</v>
      </c>
      <c r="G529" t="s">
        <v>147</v>
      </c>
      <c r="H529" t="s">
        <v>147</v>
      </c>
      <c r="I529" s="11" t="s">
        <v>1047</v>
      </c>
      <c r="J529" t="s">
        <v>171</v>
      </c>
      <c r="K529" t="s">
        <v>172</v>
      </c>
      <c r="L529" t="str">
        <f>CONCATENATE(K529," ",J529)</f>
        <v>THOMAS PARDUE</v>
      </c>
      <c r="M529" t="s">
        <v>57</v>
      </c>
      <c r="N529" s="1">
        <v>46095</v>
      </c>
      <c r="P529" s="1">
        <v>46217</v>
      </c>
      <c r="Q529" s="2">
        <v>28.87</v>
      </c>
      <c r="R529" t="s">
        <v>58</v>
      </c>
      <c r="S529" s="4">
        <v>0.375</v>
      </c>
      <c r="T529" t="s">
        <v>60</v>
      </c>
      <c r="U529" t="s">
        <v>239</v>
      </c>
      <c r="V529" s="2">
        <v>10.83</v>
      </c>
      <c r="W529" s="2">
        <v>0</v>
      </c>
      <c r="X529" s="2">
        <v>0</v>
      </c>
      <c r="Y529" t="s">
        <v>238</v>
      </c>
      <c r="Z529" t="s">
        <v>1063</v>
      </c>
    </row>
    <row r="530" spans="1:26" x14ac:dyDescent="0.25">
      <c r="A530">
        <v>2033130830</v>
      </c>
      <c r="B530" t="s">
        <v>920</v>
      </c>
      <c r="C530" t="s">
        <v>513</v>
      </c>
      <c r="D530" t="str">
        <f>CONCATENATE(C530," ",B530)</f>
        <v>AMY PRADZIAD</v>
      </c>
      <c r="E530" t="s">
        <v>95</v>
      </c>
      <c r="F530" t="s">
        <v>146</v>
      </c>
      <c r="G530" t="s">
        <v>147</v>
      </c>
      <c r="H530" t="s">
        <v>147</v>
      </c>
      <c r="I530" s="11">
        <v>17516272</v>
      </c>
      <c r="J530" t="s">
        <v>921</v>
      </c>
      <c r="K530" t="s">
        <v>922</v>
      </c>
      <c r="L530" t="str">
        <f>CONCATENATE(K530," ",J530)</f>
        <v>Kenneth Weitzman</v>
      </c>
      <c r="M530" t="s">
        <v>57</v>
      </c>
      <c r="N530" s="1">
        <v>46037</v>
      </c>
      <c r="P530" s="1">
        <v>46218</v>
      </c>
      <c r="Q530" s="2">
        <v>24.54</v>
      </c>
      <c r="R530" t="s">
        <v>58</v>
      </c>
      <c r="S530" s="4">
        <v>0.375</v>
      </c>
      <c r="T530" t="s">
        <v>60</v>
      </c>
      <c r="U530" t="s">
        <v>239</v>
      </c>
      <c r="V530" s="2">
        <v>9.1999999999999993</v>
      </c>
      <c r="W530" s="2">
        <v>0</v>
      </c>
      <c r="X530" s="2">
        <v>0</v>
      </c>
      <c r="Y530" t="s">
        <v>238</v>
      </c>
      <c r="Z530" t="s">
        <v>1062</v>
      </c>
    </row>
    <row r="531" spans="1:26" x14ac:dyDescent="0.25">
      <c r="A531">
        <v>2034431421</v>
      </c>
      <c r="B531" t="s">
        <v>935</v>
      </c>
      <c r="C531" t="s">
        <v>598</v>
      </c>
      <c r="D531" t="str">
        <f>CONCATENATE(C531," ",B531)</f>
        <v>MARIA ROBY</v>
      </c>
      <c r="E531" t="s">
        <v>292</v>
      </c>
      <c r="F531" t="s">
        <v>146</v>
      </c>
      <c r="G531" t="s">
        <v>147</v>
      </c>
      <c r="H531" t="s">
        <v>147</v>
      </c>
      <c r="I531" s="11" t="s">
        <v>1058</v>
      </c>
      <c r="J531" t="s">
        <v>936</v>
      </c>
      <c r="K531" t="s">
        <v>474</v>
      </c>
      <c r="L531" t="str">
        <f>CONCATENATE(K531," ",J531)</f>
        <v>James Whitman</v>
      </c>
      <c r="M531" t="s">
        <v>57</v>
      </c>
      <c r="N531" s="1">
        <v>46100</v>
      </c>
      <c r="P531" s="1">
        <v>46222</v>
      </c>
      <c r="Q531" s="2">
        <v>23.9</v>
      </c>
      <c r="R531" t="s">
        <v>58</v>
      </c>
      <c r="S531" s="4">
        <v>0.375</v>
      </c>
      <c r="T531" t="s">
        <v>60</v>
      </c>
      <c r="U531" t="s">
        <v>239</v>
      </c>
      <c r="V531" s="2">
        <v>8.9600000000000009</v>
      </c>
      <c r="W531" s="2">
        <v>0</v>
      </c>
      <c r="X531" s="2">
        <v>0</v>
      </c>
      <c r="Y531" t="s">
        <v>238</v>
      </c>
      <c r="Z531" t="s">
        <v>1063</v>
      </c>
    </row>
    <row r="532" spans="1:26" x14ac:dyDescent="0.25">
      <c r="A532">
        <v>2016549422</v>
      </c>
      <c r="B532" t="s">
        <v>863</v>
      </c>
      <c r="C532" t="s">
        <v>354</v>
      </c>
      <c r="D532" t="str">
        <f>CONCATENATE(C532," ",B532)</f>
        <v>JASON RISING</v>
      </c>
      <c r="E532" t="s">
        <v>52</v>
      </c>
      <c r="F532" t="s">
        <v>146</v>
      </c>
      <c r="G532" t="s">
        <v>147</v>
      </c>
      <c r="H532" t="s">
        <v>147</v>
      </c>
      <c r="I532" s="11">
        <v>16509456</v>
      </c>
      <c r="J532" t="s">
        <v>64</v>
      </c>
      <c r="K532" t="s">
        <v>65</v>
      </c>
      <c r="L532" t="str">
        <f>CONCATENATE(K532," ",J532)</f>
        <v>PETER RICHTER</v>
      </c>
      <c r="M532" t="s">
        <v>57</v>
      </c>
      <c r="N532" s="1">
        <v>44849</v>
      </c>
      <c r="P532" s="1">
        <v>46218</v>
      </c>
      <c r="Q532" s="2">
        <v>149.46</v>
      </c>
      <c r="R532" t="s">
        <v>58</v>
      </c>
      <c r="S532" s="3">
        <v>0.06</v>
      </c>
      <c r="T532" t="s">
        <v>238</v>
      </c>
      <c r="U532" t="s">
        <v>239</v>
      </c>
      <c r="V532" s="2">
        <v>8.9700000000000006</v>
      </c>
      <c r="W532" s="2">
        <v>8.9700000000000006</v>
      </c>
      <c r="X532" s="2">
        <v>8.9700000000000006</v>
      </c>
      <c r="Y532" t="s">
        <v>238</v>
      </c>
      <c r="Z532" t="s">
        <v>1062</v>
      </c>
    </row>
    <row r="533" spans="1:26" x14ac:dyDescent="0.25">
      <c r="A533">
        <v>2017069747</v>
      </c>
      <c r="B533" t="s">
        <v>864</v>
      </c>
      <c r="C533" t="s">
        <v>227</v>
      </c>
      <c r="D533" t="str">
        <f>CONCATENATE(C533," ",B533)</f>
        <v>MICHAEL DIGREGORIO</v>
      </c>
      <c r="E533" t="s">
        <v>52</v>
      </c>
      <c r="F533" t="s">
        <v>146</v>
      </c>
      <c r="G533" t="s">
        <v>147</v>
      </c>
      <c r="H533" t="s">
        <v>147</v>
      </c>
      <c r="I533" s="11">
        <v>16509456</v>
      </c>
      <c r="J533" t="s">
        <v>64</v>
      </c>
      <c r="K533" t="s">
        <v>65</v>
      </c>
      <c r="L533" t="str">
        <f>CONCATENATE(K533," ",J533)</f>
        <v>PETER RICHTER</v>
      </c>
      <c r="M533" t="s">
        <v>57</v>
      </c>
      <c r="N533" s="1">
        <v>44909</v>
      </c>
      <c r="P533" s="1">
        <v>46217</v>
      </c>
      <c r="Q533" s="2">
        <v>36.65</v>
      </c>
      <c r="R533" t="s">
        <v>58</v>
      </c>
      <c r="S533" s="3">
        <v>0.06</v>
      </c>
      <c r="T533" t="s">
        <v>238</v>
      </c>
      <c r="U533" t="s">
        <v>239</v>
      </c>
      <c r="V533" s="2">
        <v>2.2000000000000002</v>
      </c>
      <c r="W533" s="2">
        <v>2.2000000000000002</v>
      </c>
      <c r="X533" s="2">
        <v>2.2000000000000002</v>
      </c>
      <c r="Y533" t="s">
        <v>238</v>
      </c>
      <c r="Z533" t="s">
        <v>1062</v>
      </c>
    </row>
    <row r="534" spans="1:26" x14ac:dyDescent="0.25">
      <c r="A534">
        <v>2017683726</v>
      </c>
      <c r="B534" t="s">
        <v>381</v>
      </c>
      <c r="C534" t="s">
        <v>865</v>
      </c>
      <c r="D534" t="str">
        <f>CONCATENATE(C534," ",B534)</f>
        <v>ARTHUR CARLSON</v>
      </c>
      <c r="E534" t="s">
        <v>95</v>
      </c>
      <c r="F534" t="s">
        <v>146</v>
      </c>
      <c r="G534" t="s">
        <v>147</v>
      </c>
      <c r="H534" t="s">
        <v>147</v>
      </c>
      <c r="I534" s="11">
        <v>20436896</v>
      </c>
      <c r="J534" t="s">
        <v>85</v>
      </c>
      <c r="K534" t="s">
        <v>866</v>
      </c>
      <c r="L534" t="str">
        <f>CONCATENATE(K534," ",J534)</f>
        <v>KATELENN CALTAGIRONE</v>
      </c>
      <c r="M534" t="s">
        <v>57</v>
      </c>
      <c r="N534" s="1">
        <v>44974</v>
      </c>
      <c r="P534" s="1">
        <v>46220</v>
      </c>
      <c r="Q534" s="2">
        <v>31.88</v>
      </c>
      <c r="R534" t="s">
        <v>58</v>
      </c>
      <c r="S534" s="3">
        <v>0.06</v>
      </c>
      <c r="T534" t="s">
        <v>238</v>
      </c>
      <c r="U534" t="s">
        <v>239</v>
      </c>
      <c r="V534" s="2">
        <v>1.91</v>
      </c>
      <c r="W534" s="2">
        <v>1.91</v>
      </c>
      <c r="X534" s="2">
        <v>1.91</v>
      </c>
      <c r="Y534" t="s">
        <v>238</v>
      </c>
      <c r="Z534" t="s">
        <v>1062</v>
      </c>
    </row>
    <row r="535" spans="1:26" x14ac:dyDescent="0.25">
      <c r="A535">
        <v>2019352254</v>
      </c>
      <c r="B535" t="s">
        <v>867</v>
      </c>
      <c r="C535" t="s">
        <v>868</v>
      </c>
      <c r="D535" t="str">
        <f>CONCATENATE(C535," ",B535)</f>
        <v>BRITTANY FRISHKORN</v>
      </c>
      <c r="E535" t="s">
        <v>52</v>
      </c>
      <c r="F535" t="s">
        <v>146</v>
      </c>
      <c r="G535" t="s">
        <v>147</v>
      </c>
      <c r="H535" t="s">
        <v>147</v>
      </c>
      <c r="I535" s="11" t="s">
        <v>1054</v>
      </c>
      <c r="J535" t="s">
        <v>791</v>
      </c>
      <c r="K535" t="s">
        <v>792</v>
      </c>
      <c r="L535" t="str">
        <f>CONCATENATE(K535," ",J535)</f>
        <v>ANNE MARIE KOZACHECK</v>
      </c>
      <c r="M535" t="s">
        <v>57</v>
      </c>
      <c r="N535" s="1">
        <v>45120</v>
      </c>
      <c r="P535" s="1">
        <v>46216</v>
      </c>
      <c r="Q535" s="2">
        <v>49.98</v>
      </c>
      <c r="R535" t="s">
        <v>58</v>
      </c>
      <c r="S535" s="3">
        <v>0.06</v>
      </c>
      <c r="T535" t="s">
        <v>238</v>
      </c>
      <c r="U535" t="s">
        <v>239</v>
      </c>
      <c r="V535" s="2">
        <v>3</v>
      </c>
      <c r="W535" s="2">
        <v>3</v>
      </c>
      <c r="X535" s="2">
        <v>3</v>
      </c>
      <c r="Y535" t="s">
        <v>238</v>
      </c>
      <c r="Z535" t="s">
        <v>1062</v>
      </c>
    </row>
    <row r="536" spans="1:26" x14ac:dyDescent="0.25">
      <c r="A536">
        <v>2019766639</v>
      </c>
      <c r="B536" t="s">
        <v>869</v>
      </c>
      <c r="C536" t="s">
        <v>734</v>
      </c>
      <c r="D536" t="str">
        <f>CONCATENATE(C536," ",B536)</f>
        <v>BRIAN PISTORIUS</v>
      </c>
      <c r="E536" t="s">
        <v>119</v>
      </c>
      <c r="F536" t="s">
        <v>146</v>
      </c>
      <c r="G536" t="s">
        <v>147</v>
      </c>
      <c r="H536" t="s">
        <v>147</v>
      </c>
      <c r="I536" s="11">
        <v>8977234</v>
      </c>
      <c r="J536" t="s">
        <v>85</v>
      </c>
      <c r="K536" t="s">
        <v>86</v>
      </c>
      <c r="L536" t="str">
        <f>CONCATENATE(K536," ",J536)</f>
        <v>RYAN CALTAGIRONE</v>
      </c>
      <c r="M536" t="s">
        <v>57</v>
      </c>
      <c r="N536" s="1">
        <v>45157</v>
      </c>
      <c r="P536" s="1">
        <v>46222</v>
      </c>
      <c r="Q536" s="2">
        <v>72.77</v>
      </c>
      <c r="R536" t="s">
        <v>58</v>
      </c>
      <c r="S536" s="3">
        <v>0.06</v>
      </c>
      <c r="T536" t="s">
        <v>238</v>
      </c>
      <c r="U536" t="s">
        <v>239</v>
      </c>
      <c r="V536" s="2">
        <v>4.37</v>
      </c>
      <c r="W536" s="2">
        <v>4.37</v>
      </c>
      <c r="X536" s="2">
        <v>4.37</v>
      </c>
      <c r="Y536" t="s">
        <v>238</v>
      </c>
      <c r="Z536" t="s">
        <v>1062</v>
      </c>
    </row>
    <row r="537" spans="1:26" x14ac:dyDescent="0.25">
      <c r="A537">
        <v>2020037859</v>
      </c>
      <c r="B537" t="s">
        <v>870</v>
      </c>
      <c r="C537" t="s">
        <v>227</v>
      </c>
      <c r="D537" t="str">
        <f>CONCATENATE(C537," ",B537)</f>
        <v>MICHAEL SCHAAL</v>
      </c>
      <c r="E537" t="s">
        <v>52</v>
      </c>
      <c r="F537" t="s">
        <v>146</v>
      </c>
      <c r="G537" t="s">
        <v>147</v>
      </c>
      <c r="H537" t="s">
        <v>147</v>
      </c>
      <c r="I537" s="11">
        <v>8971826</v>
      </c>
      <c r="J537" t="s">
        <v>555</v>
      </c>
      <c r="K537" t="s">
        <v>175</v>
      </c>
      <c r="L537" t="str">
        <f>CONCATENATE(K537," ",J537)</f>
        <v>SCOTT AGUGLIA</v>
      </c>
      <c r="M537" t="s">
        <v>57</v>
      </c>
      <c r="N537" s="1">
        <v>45182</v>
      </c>
      <c r="P537" s="1">
        <v>46216</v>
      </c>
      <c r="Q537" s="2">
        <v>151.88</v>
      </c>
      <c r="R537" t="s">
        <v>58</v>
      </c>
      <c r="S537" s="3">
        <v>0.06</v>
      </c>
      <c r="T537" t="s">
        <v>238</v>
      </c>
      <c r="U537" t="s">
        <v>239</v>
      </c>
      <c r="V537" s="2">
        <v>9.11</v>
      </c>
      <c r="W537" s="2">
        <v>9.11</v>
      </c>
      <c r="X537" s="2">
        <v>9.11</v>
      </c>
      <c r="Y537" t="s">
        <v>238</v>
      </c>
      <c r="Z537" t="s">
        <v>1062</v>
      </c>
    </row>
    <row r="538" spans="1:26" x14ac:dyDescent="0.25">
      <c r="A538">
        <v>2020039861</v>
      </c>
      <c r="B538" t="s">
        <v>535</v>
      </c>
      <c r="C538" t="s">
        <v>871</v>
      </c>
      <c r="D538" t="str">
        <f>CONCATENATE(C538," ",B538)</f>
        <v>CHANTAL WHITE</v>
      </c>
      <c r="E538" t="s">
        <v>119</v>
      </c>
      <c r="F538" t="s">
        <v>146</v>
      </c>
      <c r="G538" t="s">
        <v>147</v>
      </c>
      <c r="H538" t="s">
        <v>147</v>
      </c>
      <c r="I538" s="11">
        <v>8977234</v>
      </c>
      <c r="J538" t="s">
        <v>85</v>
      </c>
      <c r="K538" t="s">
        <v>86</v>
      </c>
      <c r="L538" t="str">
        <f>CONCATENATE(K538," ",J538)</f>
        <v>RYAN CALTAGIRONE</v>
      </c>
      <c r="M538" t="s">
        <v>57</v>
      </c>
      <c r="N538" s="1">
        <v>45182</v>
      </c>
      <c r="P538" s="1">
        <v>46216</v>
      </c>
      <c r="Q538" s="2">
        <v>53.57</v>
      </c>
      <c r="R538" t="s">
        <v>58</v>
      </c>
      <c r="S538" s="3">
        <v>0.06</v>
      </c>
      <c r="T538" t="s">
        <v>238</v>
      </c>
      <c r="U538" t="s">
        <v>239</v>
      </c>
      <c r="V538" s="2">
        <v>3.21</v>
      </c>
      <c r="W538" s="2">
        <v>3.21</v>
      </c>
      <c r="X538" s="2">
        <v>3.21</v>
      </c>
      <c r="Y538" t="s">
        <v>238</v>
      </c>
      <c r="Z538" t="s">
        <v>1062</v>
      </c>
    </row>
    <row r="539" spans="1:26" x14ac:dyDescent="0.25">
      <c r="A539">
        <v>2020776384</v>
      </c>
      <c r="B539" t="s">
        <v>872</v>
      </c>
      <c r="C539" t="s">
        <v>873</v>
      </c>
      <c r="D539" t="str">
        <f>CONCATENATE(C539," ",B539)</f>
        <v>SHANNON STANIECH</v>
      </c>
      <c r="E539" t="s">
        <v>52</v>
      </c>
      <c r="F539" t="s">
        <v>146</v>
      </c>
      <c r="G539" t="s">
        <v>147</v>
      </c>
      <c r="H539" t="s">
        <v>147</v>
      </c>
      <c r="I539" s="11">
        <v>8971826</v>
      </c>
      <c r="J539" t="s">
        <v>555</v>
      </c>
      <c r="K539" t="s">
        <v>175</v>
      </c>
      <c r="L539" t="str">
        <f>CONCATENATE(K539," ",J539)</f>
        <v>SCOTT AGUGLIA</v>
      </c>
      <c r="M539" t="s">
        <v>57</v>
      </c>
      <c r="N539" s="1">
        <v>45244</v>
      </c>
      <c r="P539" s="1">
        <v>46217</v>
      </c>
      <c r="Q539" s="2">
        <v>119.58</v>
      </c>
      <c r="R539" t="s">
        <v>58</v>
      </c>
      <c r="S539" s="3">
        <v>0.06</v>
      </c>
      <c r="T539" t="s">
        <v>238</v>
      </c>
      <c r="U539" t="s">
        <v>239</v>
      </c>
      <c r="V539" s="2">
        <v>7.17</v>
      </c>
      <c r="W539" s="2">
        <v>7.17</v>
      </c>
      <c r="X539" s="2">
        <v>7.17</v>
      </c>
      <c r="Y539" t="s">
        <v>238</v>
      </c>
      <c r="Z539" t="s">
        <v>1062</v>
      </c>
    </row>
    <row r="540" spans="1:26" x14ac:dyDescent="0.25">
      <c r="A540">
        <v>2023316630</v>
      </c>
      <c r="B540" t="s">
        <v>874</v>
      </c>
      <c r="C540" t="s">
        <v>875</v>
      </c>
      <c r="D540" t="str">
        <f>CONCATENATE(C540," ",B540)</f>
        <v>DONNA SHIPP</v>
      </c>
      <c r="E540" t="s">
        <v>209</v>
      </c>
      <c r="F540" t="s">
        <v>146</v>
      </c>
      <c r="G540" t="s">
        <v>147</v>
      </c>
      <c r="H540" t="s">
        <v>147</v>
      </c>
      <c r="I540" s="11">
        <v>8977234</v>
      </c>
      <c r="J540" t="s">
        <v>85</v>
      </c>
      <c r="K540" t="s">
        <v>86</v>
      </c>
      <c r="L540" t="str">
        <f>CONCATENATE(K540," ",J540)</f>
        <v>RYAN CALTAGIRONE</v>
      </c>
      <c r="M540" t="s">
        <v>57</v>
      </c>
      <c r="N540" s="1">
        <v>45461</v>
      </c>
      <c r="P540" s="1">
        <v>46221</v>
      </c>
      <c r="Q540" s="2">
        <v>50.33</v>
      </c>
      <c r="R540" t="s">
        <v>58</v>
      </c>
      <c r="S540" s="3">
        <v>0.06</v>
      </c>
      <c r="T540" t="s">
        <v>238</v>
      </c>
      <c r="U540" t="s">
        <v>239</v>
      </c>
      <c r="V540" s="2">
        <v>3.02</v>
      </c>
      <c r="W540" s="2">
        <v>3.02</v>
      </c>
      <c r="X540" s="2">
        <v>3.02</v>
      </c>
      <c r="Y540" t="s">
        <v>238</v>
      </c>
      <c r="Z540" t="s">
        <v>1062</v>
      </c>
    </row>
    <row r="541" spans="1:26" x14ac:dyDescent="0.25">
      <c r="A541">
        <v>2023499226</v>
      </c>
      <c r="B541" t="s">
        <v>243</v>
      </c>
      <c r="C541" t="s">
        <v>244</v>
      </c>
      <c r="D541" t="str">
        <f>CONCATENATE(C541," ",B541)</f>
        <v>RHONDA SURRATT</v>
      </c>
      <c r="E541" t="s">
        <v>245</v>
      </c>
      <c r="F541" t="s">
        <v>146</v>
      </c>
      <c r="G541" t="s">
        <v>147</v>
      </c>
      <c r="H541" t="s">
        <v>147</v>
      </c>
      <c r="I541" s="11" t="s">
        <v>1011</v>
      </c>
      <c r="J541" t="s">
        <v>55</v>
      </c>
      <c r="K541" t="s">
        <v>56</v>
      </c>
      <c r="L541" t="str">
        <f>CONCATENATE(K541," ",J541)</f>
        <v>JOHN ROKEN</v>
      </c>
      <c r="M541" t="s">
        <v>57</v>
      </c>
      <c r="N541" s="1">
        <v>45456</v>
      </c>
      <c r="P541" s="1">
        <v>46216</v>
      </c>
      <c r="Q541" s="2">
        <v>33.479999999999997</v>
      </c>
      <c r="R541" t="s">
        <v>58</v>
      </c>
      <c r="S541" s="3">
        <v>0.06</v>
      </c>
      <c r="T541" t="s">
        <v>238</v>
      </c>
      <c r="U541" t="s">
        <v>239</v>
      </c>
      <c r="V541" s="2">
        <v>2.0099999999999998</v>
      </c>
      <c r="W541" s="2">
        <v>2.0099999999999998</v>
      </c>
      <c r="X541" s="2">
        <v>2.0099999999999998</v>
      </c>
      <c r="Y541" t="s">
        <v>238</v>
      </c>
      <c r="Z541" t="s">
        <v>1062</v>
      </c>
    </row>
    <row r="542" spans="1:26" x14ac:dyDescent="0.25">
      <c r="A542">
        <v>2024356430</v>
      </c>
      <c r="B542" t="s">
        <v>876</v>
      </c>
      <c r="C542" t="s">
        <v>877</v>
      </c>
      <c r="D542" t="str">
        <f>CONCATENATE(C542," ",B542)</f>
        <v>SEAN KAPANGA</v>
      </c>
      <c r="E542" t="s">
        <v>119</v>
      </c>
      <c r="F542" t="s">
        <v>146</v>
      </c>
      <c r="G542" t="s">
        <v>147</v>
      </c>
      <c r="H542" t="s">
        <v>147</v>
      </c>
      <c r="I542" s="11" t="s">
        <v>1016</v>
      </c>
      <c r="J542" t="s">
        <v>171</v>
      </c>
      <c r="K542" t="s">
        <v>172</v>
      </c>
      <c r="L542" t="str">
        <f>CONCATENATE(K542," ",J542)</f>
        <v>THOMAS PARDUE</v>
      </c>
      <c r="M542" t="s">
        <v>57</v>
      </c>
      <c r="N542" s="1">
        <v>45517</v>
      </c>
      <c r="P542" s="1">
        <v>46216</v>
      </c>
      <c r="Q542" s="2">
        <v>27.22</v>
      </c>
      <c r="R542" t="s">
        <v>58</v>
      </c>
      <c r="S542" s="3">
        <v>0.06</v>
      </c>
      <c r="T542" t="s">
        <v>238</v>
      </c>
      <c r="U542" t="s">
        <v>239</v>
      </c>
      <c r="V542" s="2">
        <v>1.63</v>
      </c>
      <c r="W542" s="2">
        <v>1.63</v>
      </c>
      <c r="X542" s="2">
        <v>1.63</v>
      </c>
      <c r="Y542" t="s">
        <v>238</v>
      </c>
      <c r="Z542" t="s">
        <v>1062</v>
      </c>
    </row>
    <row r="543" spans="1:26" x14ac:dyDescent="0.25">
      <c r="A543">
        <v>2024834571</v>
      </c>
      <c r="B543" t="s">
        <v>301</v>
      </c>
      <c r="C543" t="s">
        <v>252</v>
      </c>
      <c r="D543" t="str">
        <f>CONCATENATE(C543," ",B543)</f>
        <v>SARAH PHILLIPS</v>
      </c>
      <c r="E543" t="s">
        <v>170</v>
      </c>
      <c r="F543" t="s">
        <v>146</v>
      </c>
      <c r="G543" t="s">
        <v>147</v>
      </c>
      <c r="H543" t="s">
        <v>147</v>
      </c>
      <c r="I543" s="11" t="s">
        <v>1016</v>
      </c>
      <c r="J543" t="s">
        <v>171</v>
      </c>
      <c r="K543" t="s">
        <v>172</v>
      </c>
      <c r="L543" t="str">
        <f>CONCATENATE(K543," ",J543)</f>
        <v>THOMAS PARDUE</v>
      </c>
      <c r="M543" t="s">
        <v>57</v>
      </c>
      <c r="N543" s="1">
        <v>45549</v>
      </c>
      <c r="P543" s="1">
        <v>46217</v>
      </c>
      <c r="Q543" s="2">
        <v>75.599999999999994</v>
      </c>
      <c r="R543" t="s">
        <v>58</v>
      </c>
      <c r="S543" s="3">
        <v>0.06</v>
      </c>
      <c r="T543" t="s">
        <v>238</v>
      </c>
      <c r="U543" t="s">
        <v>239</v>
      </c>
      <c r="V543" s="2">
        <v>4.54</v>
      </c>
      <c r="W543" s="2">
        <v>4.54</v>
      </c>
      <c r="X543" s="2">
        <v>4.54</v>
      </c>
      <c r="Y543" t="s">
        <v>238</v>
      </c>
      <c r="Z543" t="s">
        <v>1062</v>
      </c>
    </row>
    <row r="544" spans="1:26" x14ac:dyDescent="0.25">
      <c r="A544">
        <v>2024853073</v>
      </c>
      <c r="B544" t="s">
        <v>394</v>
      </c>
      <c r="C544" t="s">
        <v>395</v>
      </c>
      <c r="D544" t="str">
        <f>CONCATENATE(C544," ",B544)</f>
        <v>BERNARDO CARVALHO</v>
      </c>
      <c r="E544" t="s">
        <v>95</v>
      </c>
      <c r="F544" t="s">
        <v>146</v>
      </c>
      <c r="G544" t="s">
        <v>147</v>
      </c>
      <c r="H544" t="s">
        <v>147</v>
      </c>
      <c r="I544" s="11">
        <v>17425766</v>
      </c>
      <c r="J544" t="s">
        <v>158</v>
      </c>
      <c r="K544" t="s">
        <v>159</v>
      </c>
      <c r="L544" t="str">
        <f>CONCATENATE(K544," ",J544)</f>
        <v>CAROL FOLEY</v>
      </c>
      <c r="M544" t="s">
        <v>57</v>
      </c>
      <c r="N544" s="1">
        <v>45550</v>
      </c>
      <c r="P544" s="1">
        <v>46218</v>
      </c>
      <c r="Q544" s="2">
        <v>56.53</v>
      </c>
      <c r="R544" t="s">
        <v>58</v>
      </c>
      <c r="S544" s="3">
        <v>0.06</v>
      </c>
      <c r="T544" t="s">
        <v>238</v>
      </c>
      <c r="U544" t="s">
        <v>239</v>
      </c>
      <c r="V544" s="2">
        <v>3.39</v>
      </c>
      <c r="W544" s="2">
        <v>3.39</v>
      </c>
      <c r="X544" s="2">
        <v>3.39</v>
      </c>
      <c r="Y544" t="s">
        <v>238</v>
      </c>
      <c r="Z544" t="s">
        <v>1062</v>
      </c>
    </row>
    <row r="545" spans="1:26" x14ac:dyDescent="0.25">
      <c r="A545">
        <v>2024865456</v>
      </c>
      <c r="B545" t="s">
        <v>878</v>
      </c>
      <c r="C545" t="s">
        <v>362</v>
      </c>
      <c r="D545" t="str">
        <f>CONCATENATE(C545," ",B545)</f>
        <v>JAMES JENNINGS</v>
      </c>
      <c r="E545" t="s">
        <v>100</v>
      </c>
      <c r="F545" t="s">
        <v>146</v>
      </c>
      <c r="G545" t="s">
        <v>147</v>
      </c>
      <c r="H545" t="s">
        <v>147</v>
      </c>
      <c r="I545" s="11" t="s">
        <v>1016</v>
      </c>
      <c r="J545" t="s">
        <v>171</v>
      </c>
      <c r="K545" t="s">
        <v>172</v>
      </c>
      <c r="L545" t="str">
        <f>CONCATENATE(K545," ",J545)</f>
        <v>THOMAS PARDUE</v>
      </c>
      <c r="M545" t="s">
        <v>57</v>
      </c>
      <c r="N545" s="1">
        <v>45549</v>
      </c>
      <c r="P545" s="1">
        <v>46217</v>
      </c>
      <c r="Q545" s="2">
        <v>27.67</v>
      </c>
      <c r="R545" t="s">
        <v>58</v>
      </c>
      <c r="S545" s="3">
        <v>0.06</v>
      </c>
      <c r="T545" t="s">
        <v>238</v>
      </c>
      <c r="U545" t="s">
        <v>239</v>
      </c>
      <c r="V545" s="2">
        <v>1.66</v>
      </c>
      <c r="W545" s="2">
        <v>1.66</v>
      </c>
      <c r="X545" s="2">
        <v>1.66</v>
      </c>
      <c r="Y545" t="s">
        <v>238</v>
      </c>
      <c r="Z545" t="s">
        <v>1062</v>
      </c>
    </row>
    <row r="546" spans="1:26" x14ac:dyDescent="0.25">
      <c r="A546">
        <v>2025316508</v>
      </c>
      <c r="B546" t="s">
        <v>302</v>
      </c>
      <c r="C546" t="s">
        <v>63</v>
      </c>
      <c r="D546" t="str">
        <f>CONCATENATE(C546," ",B546)</f>
        <v>JORDAN ROWELL</v>
      </c>
      <c r="E546" t="s">
        <v>186</v>
      </c>
      <c r="F546" t="s">
        <v>146</v>
      </c>
      <c r="G546" t="s">
        <v>147</v>
      </c>
      <c r="H546" t="s">
        <v>147</v>
      </c>
      <c r="I546" s="11" t="s">
        <v>1016</v>
      </c>
      <c r="J546" t="s">
        <v>171</v>
      </c>
      <c r="K546" t="s">
        <v>172</v>
      </c>
      <c r="L546" t="str">
        <f>CONCATENATE(K546," ",J546)</f>
        <v>THOMAS PARDUE</v>
      </c>
      <c r="M546" t="s">
        <v>57</v>
      </c>
      <c r="N546" s="1">
        <v>45580</v>
      </c>
      <c r="P546" s="1">
        <v>46218</v>
      </c>
      <c r="Q546" s="2">
        <v>14.84</v>
      </c>
      <c r="R546" t="s">
        <v>58</v>
      </c>
      <c r="S546" s="3">
        <v>0.06</v>
      </c>
      <c r="T546" t="s">
        <v>238</v>
      </c>
      <c r="U546" t="s">
        <v>239</v>
      </c>
      <c r="V546" s="2">
        <v>0.89</v>
      </c>
      <c r="W546" s="2">
        <v>0.89</v>
      </c>
      <c r="X546" s="2">
        <v>0.89</v>
      </c>
      <c r="Y546" t="s">
        <v>238</v>
      </c>
      <c r="Z546" t="s">
        <v>1062</v>
      </c>
    </row>
    <row r="547" spans="1:26" x14ac:dyDescent="0.25">
      <c r="A547">
        <v>2025358290</v>
      </c>
      <c r="B547" t="s">
        <v>879</v>
      </c>
      <c r="C547" t="s">
        <v>494</v>
      </c>
      <c r="D547" t="str">
        <f>CONCATENATE(C547," ",B547)</f>
        <v>ROBERT TREFTZ</v>
      </c>
      <c r="E547" t="s">
        <v>52</v>
      </c>
      <c r="F547" t="s">
        <v>146</v>
      </c>
      <c r="G547" t="s">
        <v>147</v>
      </c>
      <c r="H547" t="s">
        <v>147</v>
      </c>
      <c r="I547" s="11" t="s">
        <v>1054</v>
      </c>
      <c r="J547" t="s">
        <v>791</v>
      </c>
      <c r="K547" t="s">
        <v>792</v>
      </c>
      <c r="L547" t="str">
        <f>CONCATENATE(K547," ",J547)</f>
        <v>ANNE MARIE KOZACHECK</v>
      </c>
      <c r="M547" t="s">
        <v>57</v>
      </c>
      <c r="N547" s="1">
        <v>45583</v>
      </c>
      <c r="P547" s="1">
        <v>46221</v>
      </c>
      <c r="Q547" s="2">
        <v>39.979999999999997</v>
      </c>
      <c r="R547" t="s">
        <v>58</v>
      </c>
      <c r="S547" s="3">
        <v>0.06</v>
      </c>
      <c r="T547" t="s">
        <v>238</v>
      </c>
      <c r="U547" t="s">
        <v>239</v>
      </c>
      <c r="V547" s="2">
        <v>2.4</v>
      </c>
      <c r="W547" s="2">
        <v>2.4</v>
      </c>
      <c r="X547" s="2">
        <v>2.4</v>
      </c>
      <c r="Y547" t="s">
        <v>238</v>
      </c>
      <c r="Z547" t="s">
        <v>1062</v>
      </c>
    </row>
    <row r="548" spans="1:26" x14ac:dyDescent="0.25">
      <c r="A548">
        <v>2025738648</v>
      </c>
      <c r="B548" t="s">
        <v>880</v>
      </c>
      <c r="C548" t="s">
        <v>881</v>
      </c>
      <c r="D548" t="str">
        <f>CONCATENATE(C548," ",B548)</f>
        <v>MASON MOREAU</v>
      </c>
      <c r="E548" t="s">
        <v>170</v>
      </c>
      <c r="F548" t="s">
        <v>146</v>
      </c>
      <c r="G548" t="s">
        <v>147</v>
      </c>
      <c r="H548" t="s">
        <v>147</v>
      </c>
      <c r="I548" s="11" t="s">
        <v>1016</v>
      </c>
      <c r="J548" t="s">
        <v>171</v>
      </c>
      <c r="K548" t="s">
        <v>172</v>
      </c>
      <c r="L548" t="str">
        <f>CONCATENATE(K548," ",J548)</f>
        <v>THOMAS PARDUE</v>
      </c>
      <c r="M548" t="s">
        <v>57</v>
      </c>
      <c r="N548" s="1">
        <v>45609</v>
      </c>
      <c r="P548" s="1">
        <v>46216</v>
      </c>
      <c r="Q548" s="2">
        <v>18.66</v>
      </c>
      <c r="R548" t="s">
        <v>58</v>
      </c>
      <c r="S548" s="3">
        <v>0.06</v>
      </c>
      <c r="T548" t="s">
        <v>238</v>
      </c>
      <c r="U548" t="s">
        <v>239</v>
      </c>
      <c r="V548" s="2">
        <v>1.1200000000000001</v>
      </c>
      <c r="W548" s="2">
        <v>1.1200000000000001</v>
      </c>
      <c r="X548" s="2">
        <v>1.1200000000000001</v>
      </c>
      <c r="Y548" t="s">
        <v>238</v>
      </c>
      <c r="Z548" t="s">
        <v>1062</v>
      </c>
    </row>
    <row r="549" spans="1:26" x14ac:dyDescent="0.25">
      <c r="A549">
        <v>2026141665</v>
      </c>
      <c r="B549" t="s">
        <v>882</v>
      </c>
      <c r="C549" t="s">
        <v>883</v>
      </c>
      <c r="D549" t="str">
        <f>CONCATENATE(C549," ",B549)</f>
        <v>NIDA HUSSAIN</v>
      </c>
      <c r="E549" t="s">
        <v>119</v>
      </c>
      <c r="F549" t="s">
        <v>146</v>
      </c>
      <c r="G549" t="s">
        <v>147</v>
      </c>
      <c r="H549" t="s">
        <v>147</v>
      </c>
      <c r="I549" s="11">
        <v>8307933</v>
      </c>
      <c r="J549" t="s">
        <v>79</v>
      </c>
      <c r="K549" t="s">
        <v>80</v>
      </c>
      <c r="L549" t="str">
        <f>CONCATENATE(K549," ",J549)</f>
        <v>GREGORY TEIPEL</v>
      </c>
      <c r="M549" t="s">
        <v>57</v>
      </c>
      <c r="N549" s="1">
        <v>45641</v>
      </c>
      <c r="P549" s="1">
        <v>46218</v>
      </c>
      <c r="Q549" s="2">
        <v>101.87</v>
      </c>
      <c r="R549" t="s">
        <v>58</v>
      </c>
      <c r="S549" s="3">
        <v>0.06</v>
      </c>
      <c r="T549" t="s">
        <v>238</v>
      </c>
      <c r="U549" t="s">
        <v>239</v>
      </c>
      <c r="V549" s="2">
        <v>6.11</v>
      </c>
      <c r="W549" s="2">
        <v>6.11</v>
      </c>
      <c r="X549" s="2">
        <v>6.11</v>
      </c>
      <c r="Y549" t="s">
        <v>238</v>
      </c>
      <c r="Z549" t="s">
        <v>1062</v>
      </c>
    </row>
    <row r="550" spans="1:26" x14ac:dyDescent="0.25">
      <c r="A550">
        <v>2026146921</v>
      </c>
      <c r="B550" t="s">
        <v>884</v>
      </c>
      <c r="C550" t="s">
        <v>885</v>
      </c>
      <c r="D550" t="str">
        <f>CONCATENATE(C550," ",B550)</f>
        <v>VINCE MACCARELLI</v>
      </c>
      <c r="E550" t="s">
        <v>52</v>
      </c>
      <c r="F550" t="s">
        <v>146</v>
      </c>
      <c r="G550" t="s">
        <v>147</v>
      </c>
      <c r="H550" t="s">
        <v>147</v>
      </c>
      <c r="I550" s="11">
        <v>17528908</v>
      </c>
      <c r="J550" t="s">
        <v>775</v>
      </c>
      <c r="K550" t="s">
        <v>776</v>
      </c>
      <c r="L550" t="str">
        <f>CONCATENATE(K550," ",J550)</f>
        <v>DEBORAH INSKIPT</v>
      </c>
      <c r="M550" t="s">
        <v>57</v>
      </c>
      <c r="N550" s="1">
        <v>45639</v>
      </c>
      <c r="P550" s="1">
        <v>46216</v>
      </c>
      <c r="Q550" s="2">
        <v>39.979999999999997</v>
      </c>
      <c r="R550" t="s">
        <v>58</v>
      </c>
      <c r="S550" s="3">
        <v>0.06</v>
      </c>
      <c r="T550" t="s">
        <v>238</v>
      </c>
      <c r="U550" t="s">
        <v>239</v>
      </c>
      <c r="V550" s="2">
        <v>2.4</v>
      </c>
      <c r="W550" s="2">
        <v>2.4</v>
      </c>
      <c r="X550" s="2">
        <v>2.4</v>
      </c>
      <c r="Y550" t="s">
        <v>238</v>
      </c>
      <c r="Z550" t="s">
        <v>1062</v>
      </c>
    </row>
    <row r="551" spans="1:26" x14ac:dyDescent="0.25">
      <c r="A551">
        <v>2026213887</v>
      </c>
      <c r="B551" t="s">
        <v>886</v>
      </c>
      <c r="C551" t="s">
        <v>335</v>
      </c>
      <c r="D551" t="str">
        <f>CONCATENATE(C551," ",B551)</f>
        <v>DAVID MOUGHALIAN</v>
      </c>
      <c r="E551" t="s">
        <v>52</v>
      </c>
      <c r="F551" t="s">
        <v>146</v>
      </c>
      <c r="G551" t="s">
        <v>147</v>
      </c>
      <c r="H551" t="s">
        <v>147</v>
      </c>
      <c r="I551" s="11" t="s">
        <v>1011</v>
      </c>
      <c r="J551" t="s">
        <v>55</v>
      </c>
      <c r="K551" t="s">
        <v>56</v>
      </c>
      <c r="L551" t="str">
        <f>CONCATENATE(K551," ",J551)</f>
        <v>JOHN ROKEN</v>
      </c>
      <c r="M551" t="s">
        <v>57</v>
      </c>
      <c r="N551" s="1">
        <v>45644</v>
      </c>
      <c r="P551" s="1">
        <v>46221</v>
      </c>
      <c r="Q551" s="2">
        <v>39.979999999999997</v>
      </c>
      <c r="R551" t="s">
        <v>58</v>
      </c>
      <c r="S551" s="3">
        <v>0.06</v>
      </c>
      <c r="T551" t="s">
        <v>238</v>
      </c>
      <c r="U551" t="s">
        <v>239</v>
      </c>
      <c r="V551" s="2">
        <v>2.4</v>
      </c>
      <c r="W551" s="2">
        <v>2.4</v>
      </c>
      <c r="X551" s="2">
        <v>2.4</v>
      </c>
      <c r="Y551" t="s">
        <v>238</v>
      </c>
      <c r="Z551" t="s">
        <v>1062</v>
      </c>
    </row>
    <row r="552" spans="1:26" x14ac:dyDescent="0.25">
      <c r="A552">
        <v>2026585511</v>
      </c>
      <c r="B552" t="s">
        <v>887</v>
      </c>
      <c r="C552" t="s">
        <v>888</v>
      </c>
      <c r="D552" t="str">
        <f>CONCATENATE(C552," ",B552)</f>
        <v>MICHELE LIBERATORE</v>
      </c>
      <c r="E552" t="s">
        <v>52</v>
      </c>
      <c r="F552" t="s">
        <v>146</v>
      </c>
      <c r="G552" t="s">
        <v>147</v>
      </c>
      <c r="H552" t="s">
        <v>147</v>
      </c>
      <c r="I552" s="11" t="s">
        <v>1005</v>
      </c>
      <c r="J552" t="s">
        <v>775</v>
      </c>
      <c r="K552" t="s">
        <v>776</v>
      </c>
      <c r="L552" t="str">
        <f>CONCATENATE(K552," ",J552)</f>
        <v>DEBORAH INSKIPT</v>
      </c>
      <c r="M552" t="s">
        <v>57</v>
      </c>
      <c r="N552" s="1">
        <v>45672</v>
      </c>
      <c r="P552" s="1">
        <v>46218</v>
      </c>
      <c r="Q552" s="2">
        <v>149.46</v>
      </c>
      <c r="R552" t="s">
        <v>58</v>
      </c>
      <c r="S552" s="3">
        <v>0.06</v>
      </c>
      <c r="T552" t="s">
        <v>238</v>
      </c>
      <c r="U552" t="s">
        <v>239</v>
      </c>
      <c r="V552" s="2">
        <v>8.9700000000000006</v>
      </c>
      <c r="W552" s="2">
        <v>8.9700000000000006</v>
      </c>
      <c r="X552" s="2">
        <v>8.9700000000000006</v>
      </c>
      <c r="Y552" t="s">
        <v>238</v>
      </c>
      <c r="Z552" t="s">
        <v>1062</v>
      </c>
    </row>
    <row r="553" spans="1:26" x14ac:dyDescent="0.25">
      <c r="A553">
        <v>2026615682</v>
      </c>
      <c r="B553" t="s">
        <v>889</v>
      </c>
      <c r="C553" t="s">
        <v>86</v>
      </c>
      <c r="D553" t="str">
        <f>CONCATENATE(C553," ",B553)</f>
        <v>RYAN GALLOWAY</v>
      </c>
      <c r="E553" t="s">
        <v>170</v>
      </c>
      <c r="F553" t="s">
        <v>146</v>
      </c>
      <c r="G553" t="s">
        <v>147</v>
      </c>
      <c r="H553" t="s">
        <v>147</v>
      </c>
      <c r="I553" s="11" t="s">
        <v>1016</v>
      </c>
      <c r="J553" t="s">
        <v>171</v>
      </c>
      <c r="K553" t="s">
        <v>172</v>
      </c>
      <c r="L553" t="str">
        <f>CONCATENATE(K553," ",J553)</f>
        <v>THOMAS PARDUE</v>
      </c>
      <c r="M553" t="s">
        <v>57</v>
      </c>
      <c r="N553" s="1">
        <v>45673</v>
      </c>
      <c r="P553" s="1">
        <v>46219</v>
      </c>
      <c r="Q553" s="2">
        <v>29.08</v>
      </c>
      <c r="R553" t="s">
        <v>58</v>
      </c>
      <c r="S553" s="3">
        <v>0.06</v>
      </c>
      <c r="T553" t="s">
        <v>238</v>
      </c>
      <c r="U553" t="s">
        <v>239</v>
      </c>
      <c r="V553" s="2">
        <v>1.74</v>
      </c>
      <c r="W553" s="2">
        <v>1.74</v>
      </c>
      <c r="X553" s="2">
        <v>1.74</v>
      </c>
      <c r="Y553" t="s">
        <v>238</v>
      </c>
      <c r="Z553" t="s">
        <v>1062</v>
      </c>
    </row>
    <row r="554" spans="1:26" x14ac:dyDescent="0.25">
      <c r="A554">
        <v>2026625853</v>
      </c>
      <c r="B554" t="s">
        <v>426</v>
      </c>
      <c r="C554" t="s">
        <v>427</v>
      </c>
      <c r="D554" t="str">
        <f>CONCATENATE(C554," ",B554)</f>
        <v>ELDON WALKER</v>
      </c>
      <c r="E554" t="s">
        <v>170</v>
      </c>
      <c r="F554" t="s">
        <v>146</v>
      </c>
      <c r="G554" t="s">
        <v>147</v>
      </c>
      <c r="H554" t="s">
        <v>147</v>
      </c>
      <c r="I554" s="11" t="s">
        <v>1016</v>
      </c>
      <c r="J554" t="s">
        <v>171</v>
      </c>
      <c r="K554" t="s">
        <v>172</v>
      </c>
      <c r="L554" t="str">
        <f>CONCATENATE(K554," ",J554)</f>
        <v>THOMAS PARDUE</v>
      </c>
      <c r="M554" t="s">
        <v>57</v>
      </c>
      <c r="N554" s="1">
        <v>45674</v>
      </c>
      <c r="P554" s="1">
        <v>46220</v>
      </c>
      <c r="Q554" s="2">
        <v>24.71</v>
      </c>
      <c r="R554" t="s">
        <v>58</v>
      </c>
      <c r="S554" s="3">
        <v>0.06</v>
      </c>
      <c r="T554" t="s">
        <v>238</v>
      </c>
      <c r="U554" t="s">
        <v>239</v>
      </c>
      <c r="V554" s="2">
        <v>1.48</v>
      </c>
      <c r="W554" s="2">
        <v>1.48</v>
      </c>
      <c r="X554" s="2">
        <v>1.48</v>
      </c>
      <c r="Y554" t="s">
        <v>238</v>
      </c>
      <c r="Z554" t="s">
        <v>1062</v>
      </c>
    </row>
    <row r="555" spans="1:26" x14ac:dyDescent="0.25">
      <c r="A555">
        <v>2027072201</v>
      </c>
      <c r="B555" t="s">
        <v>429</v>
      </c>
      <c r="C555" t="s">
        <v>430</v>
      </c>
      <c r="D555" t="str">
        <f>CONCATENATE(C555," ",B555)</f>
        <v>JACKSON CARSON</v>
      </c>
      <c r="E555" t="s">
        <v>305</v>
      </c>
      <c r="F555" t="s">
        <v>146</v>
      </c>
      <c r="G555" t="s">
        <v>147</v>
      </c>
      <c r="H555" t="s">
        <v>147</v>
      </c>
      <c r="I555" s="11">
        <v>16865615</v>
      </c>
      <c r="J555" t="s">
        <v>312</v>
      </c>
      <c r="K555" t="s">
        <v>313</v>
      </c>
      <c r="L555" t="str">
        <f>CONCATENATE(K555," ",J555)</f>
        <v>Heather Geske</v>
      </c>
      <c r="M555" t="s">
        <v>57</v>
      </c>
      <c r="N555" s="1">
        <v>45703</v>
      </c>
      <c r="P555" s="1">
        <v>46218</v>
      </c>
      <c r="Q555" s="2">
        <v>102.21</v>
      </c>
      <c r="R555" t="s">
        <v>58</v>
      </c>
      <c r="S555" s="3">
        <v>0.06</v>
      </c>
      <c r="T555" t="s">
        <v>238</v>
      </c>
      <c r="U555" t="s">
        <v>239</v>
      </c>
      <c r="V555" s="2">
        <v>6.13</v>
      </c>
      <c r="W555" s="2">
        <v>6.13</v>
      </c>
      <c r="X555" s="2">
        <v>6.13</v>
      </c>
      <c r="Y555" t="s">
        <v>238</v>
      </c>
      <c r="Z555" t="s">
        <v>1062</v>
      </c>
    </row>
    <row r="556" spans="1:26" x14ac:dyDescent="0.25">
      <c r="A556">
        <v>2027106747</v>
      </c>
      <c r="B556" t="s">
        <v>431</v>
      </c>
      <c r="C556" t="s">
        <v>420</v>
      </c>
      <c r="D556" t="str">
        <f>CONCATENATE(C556," ",B556)</f>
        <v>JARED DOWDY</v>
      </c>
      <c r="E556" t="s">
        <v>119</v>
      </c>
      <c r="F556" t="s">
        <v>146</v>
      </c>
      <c r="G556" t="s">
        <v>147</v>
      </c>
      <c r="H556" t="s">
        <v>147</v>
      </c>
      <c r="I556" s="11" t="s">
        <v>1019</v>
      </c>
      <c r="J556" t="s">
        <v>336</v>
      </c>
      <c r="K556" t="s">
        <v>337</v>
      </c>
      <c r="L556" t="str">
        <f>CONCATENATE(K556," ",J556)</f>
        <v>VICTOR FUENTES</v>
      </c>
      <c r="M556" t="s">
        <v>57</v>
      </c>
      <c r="N556" s="1">
        <v>45703</v>
      </c>
      <c r="P556" s="1">
        <v>46218</v>
      </c>
      <c r="Q556" s="2">
        <v>48.61</v>
      </c>
      <c r="R556" t="s">
        <v>58</v>
      </c>
      <c r="S556" s="3">
        <v>0.06</v>
      </c>
      <c r="T556" t="s">
        <v>238</v>
      </c>
      <c r="U556" t="s">
        <v>239</v>
      </c>
      <c r="V556" s="2">
        <v>2.92</v>
      </c>
      <c r="W556" s="2">
        <v>2.92</v>
      </c>
      <c r="X556" s="2">
        <v>2.92</v>
      </c>
      <c r="Y556" t="s">
        <v>238</v>
      </c>
      <c r="Z556" t="s">
        <v>1062</v>
      </c>
    </row>
    <row r="557" spans="1:26" x14ac:dyDescent="0.25">
      <c r="A557">
        <v>2027111487</v>
      </c>
      <c r="B557" t="s">
        <v>890</v>
      </c>
      <c r="C557" t="s">
        <v>335</v>
      </c>
      <c r="D557" t="str">
        <f>CONCATENATE(C557," ",B557)</f>
        <v>DAVID WESCOTT</v>
      </c>
      <c r="E557" t="s">
        <v>119</v>
      </c>
      <c r="F557" t="s">
        <v>146</v>
      </c>
      <c r="G557" t="s">
        <v>147</v>
      </c>
      <c r="H557" t="s">
        <v>147</v>
      </c>
      <c r="I557" s="11">
        <v>7146581</v>
      </c>
      <c r="J557" t="s">
        <v>860</v>
      </c>
      <c r="K557" t="s">
        <v>861</v>
      </c>
      <c r="L557" t="str">
        <f>CONCATENATE(K557," ",J557)</f>
        <v>Anthony Hunsberger</v>
      </c>
      <c r="M557" t="s">
        <v>57</v>
      </c>
      <c r="N557" s="1">
        <v>45703</v>
      </c>
      <c r="P557" s="1">
        <v>46218</v>
      </c>
      <c r="Q557" s="2">
        <v>60.94</v>
      </c>
      <c r="R557" t="s">
        <v>58</v>
      </c>
      <c r="S557" s="3">
        <v>0.06</v>
      </c>
      <c r="T557" t="s">
        <v>238</v>
      </c>
      <c r="U557" t="s">
        <v>239</v>
      </c>
      <c r="V557" s="2">
        <v>3.66</v>
      </c>
      <c r="W557" s="2">
        <v>3.66</v>
      </c>
      <c r="X557" s="2">
        <v>3.66</v>
      </c>
      <c r="Y557" t="s">
        <v>238</v>
      </c>
      <c r="Z557" t="s">
        <v>1062</v>
      </c>
    </row>
    <row r="558" spans="1:26" x14ac:dyDescent="0.25">
      <c r="A558">
        <v>2027182058</v>
      </c>
      <c r="B558" t="s">
        <v>408</v>
      </c>
      <c r="C558" t="s">
        <v>411</v>
      </c>
      <c r="D558" t="str">
        <f>CONCATENATE(C558," ",B558)</f>
        <v>KEGHAN CARLTON</v>
      </c>
      <c r="E558" t="s">
        <v>410</v>
      </c>
      <c r="F558" t="s">
        <v>146</v>
      </c>
      <c r="G558" t="s">
        <v>147</v>
      </c>
      <c r="H558" t="s">
        <v>147</v>
      </c>
      <c r="I558" s="11" t="s">
        <v>1016</v>
      </c>
      <c r="J558" t="s">
        <v>171</v>
      </c>
      <c r="K558" t="s">
        <v>172</v>
      </c>
      <c r="L558" t="str">
        <f>CONCATENATE(K558," ",J558)</f>
        <v>THOMAS PARDUE</v>
      </c>
      <c r="M558" t="s">
        <v>57</v>
      </c>
      <c r="N558" s="1">
        <v>45707</v>
      </c>
      <c r="P558" s="1">
        <v>46222</v>
      </c>
      <c r="Q558" s="2">
        <v>36.69</v>
      </c>
      <c r="R558" t="s">
        <v>58</v>
      </c>
      <c r="S558" s="3">
        <v>0.06</v>
      </c>
      <c r="T558" t="s">
        <v>238</v>
      </c>
      <c r="U558" t="s">
        <v>239</v>
      </c>
      <c r="V558" s="2">
        <v>2.2000000000000002</v>
      </c>
      <c r="W558" s="2">
        <v>2.2000000000000002</v>
      </c>
      <c r="X558" s="2">
        <v>2.2000000000000002</v>
      </c>
      <c r="Y558" t="s">
        <v>238</v>
      </c>
      <c r="Z558" t="s">
        <v>1062</v>
      </c>
    </row>
    <row r="559" spans="1:26" x14ac:dyDescent="0.25">
      <c r="A559">
        <v>2027767676</v>
      </c>
      <c r="B559" t="s">
        <v>434</v>
      </c>
      <c r="C559" t="s">
        <v>435</v>
      </c>
      <c r="D559" t="str">
        <f>CONCATENATE(C559," ",B559)</f>
        <v>BLAKE LARSEN</v>
      </c>
      <c r="E559" t="s">
        <v>327</v>
      </c>
      <c r="F559" t="s">
        <v>146</v>
      </c>
      <c r="G559" t="s">
        <v>147</v>
      </c>
      <c r="H559" t="s">
        <v>147</v>
      </c>
      <c r="I559" s="11">
        <v>17301495</v>
      </c>
      <c r="J559" t="s">
        <v>421</v>
      </c>
      <c r="K559" t="s">
        <v>422</v>
      </c>
      <c r="L559" t="str">
        <f>CONCATENATE(K559," ",J559)</f>
        <v>ESTHER HERRERA-LARSEN</v>
      </c>
      <c r="M559" t="s">
        <v>57</v>
      </c>
      <c r="N559" s="1">
        <v>45729</v>
      </c>
      <c r="P559" s="1">
        <v>46216</v>
      </c>
      <c r="Q559" s="2">
        <v>66.650000000000006</v>
      </c>
      <c r="R559" t="s">
        <v>58</v>
      </c>
      <c r="S559" s="3">
        <v>0.06</v>
      </c>
      <c r="T559" t="s">
        <v>238</v>
      </c>
      <c r="U559" t="s">
        <v>239</v>
      </c>
      <c r="V559" s="2">
        <v>4</v>
      </c>
      <c r="W559" s="2">
        <v>4</v>
      </c>
      <c r="X559" s="2">
        <v>4</v>
      </c>
      <c r="Y559" t="s">
        <v>238</v>
      </c>
      <c r="Z559" t="s">
        <v>1062</v>
      </c>
    </row>
    <row r="560" spans="1:26" x14ac:dyDescent="0.25">
      <c r="A560">
        <v>2027849004</v>
      </c>
      <c r="B560" t="s">
        <v>603</v>
      </c>
      <c r="C560" t="s">
        <v>891</v>
      </c>
      <c r="D560" t="str">
        <f>CONCATENATE(C560," ",B560)</f>
        <v>JAMIE PETERS</v>
      </c>
      <c r="E560" t="s">
        <v>119</v>
      </c>
      <c r="F560" t="s">
        <v>146</v>
      </c>
      <c r="G560" t="s">
        <v>147</v>
      </c>
      <c r="H560" t="s">
        <v>147</v>
      </c>
      <c r="I560" s="11" t="s">
        <v>1039</v>
      </c>
      <c r="J560" t="s">
        <v>73</v>
      </c>
      <c r="K560" t="s">
        <v>74</v>
      </c>
      <c r="L560" t="str">
        <f>CONCATENATE(K560," ",J560)</f>
        <v>Chad Yale</v>
      </c>
      <c r="M560" t="s">
        <v>57</v>
      </c>
      <c r="N560" s="1">
        <v>45733</v>
      </c>
      <c r="P560" s="1">
        <v>46220</v>
      </c>
      <c r="Q560" s="2">
        <v>182.73</v>
      </c>
      <c r="R560" t="s">
        <v>58</v>
      </c>
      <c r="S560" s="3">
        <v>0.06</v>
      </c>
      <c r="T560" t="s">
        <v>238</v>
      </c>
      <c r="U560" t="s">
        <v>239</v>
      </c>
      <c r="V560" s="2">
        <v>10.96</v>
      </c>
      <c r="W560" s="2">
        <v>10.96</v>
      </c>
      <c r="X560" s="2">
        <v>10.96</v>
      </c>
      <c r="Y560" t="s">
        <v>238</v>
      </c>
      <c r="Z560" t="s">
        <v>1062</v>
      </c>
    </row>
    <row r="561" spans="1:26" x14ac:dyDescent="0.25">
      <c r="A561">
        <v>2027849975</v>
      </c>
      <c r="B561" t="s">
        <v>436</v>
      </c>
      <c r="C561" t="s">
        <v>437</v>
      </c>
      <c r="D561" t="str">
        <f>CONCATENATE(C561," ",B561)</f>
        <v>CHAD DIXON</v>
      </c>
      <c r="E561" t="s">
        <v>438</v>
      </c>
      <c r="F561" t="s">
        <v>146</v>
      </c>
      <c r="G561" t="s">
        <v>147</v>
      </c>
      <c r="H561" t="s">
        <v>147</v>
      </c>
      <c r="I561" s="11">
        <v>17425766</v>
      </c>
      <c r="J561" t="s">
        <v>158</v>
      </c>
      <c r="K561" t="s">
        <v>159</v>
      </c>
      <c r="L561" t="str">
        <f>CONCATENATE(K561," ",J561)</f>
        <v>CAROL FOLEY</v>
      </c>
      <c r="M561" t="s">
        <v>57</v>
      </c>
      <c r="N561" s="1">
        <v>45733</v>
      </c>
      <c r="P561" s="1">
        <v>46220</v>
      </c>
      <c r="Q561" s="2">
        <v>102.55</v>
      </c>
      <c r="R561" t="s">
        <v>58</v>
      </c>
      <c r="S561" s="3">
        <v>0.06</v>
      </c>
      <c r="T561" t="s">
        <v>238</v>
      </c>
      <c r="U561" t="s">
        <v>239</v>
      </c>
      <c r="V561" s="2">
        <v>6.15</v>
      </c>
      <c r="W561" s="2">
        <v>6.15</v>
      </c>
      <c r="X561" s="2">
        <v>6.15</v>
      </c>
      <c r="Y561" t="s">
        <v>238</v>
      </c>
      <c r="Z561" t="s">
        <v>1062</v>
      </c>
    </row>
    <row r="562" spans="1:26" x14ac:dyDescent="0.25">
      <c r="A562">
        <v>2027869113</v>
      </c>
      <c r="B562" t="s">
        <v>439</v>
      </c>
      <c r="C562" t="s">
        <v>440</v>
      </c>
      <c r="D562" t="str">
        <f>CONCATENATE(C562," ",B562)</f>
        <v>THI DINH</v>
      </c>
      <c r="E562" t="s">
        <v>145</v>
      </c>
      <c r="F562" t="s">
        <v>146</v>
      </c>
      <c r="G562" t="s">
        <v>147</v>
      </c>
      <c r="H562" t="s">
        <v>147</v>
      </c>
      <c r="I562" s="11">
        <v>8977234</v>
      </c>
      <c r="J562" t="s">
        <v>85</v>
      </c>
      <c r="K562" t="s">
        <v>86</v>
      </c>
      <c r="L562" t="str">
        <f>CONCATENATE(K562," ",J562)</f>
        <v>RYAN CALTAGIRONE</v>
      </c>
      <c r="M562" t="s">
        <v>57</v>
      </c>
      <c r="N562" s="1">
        <v>45734</v>
      </c>
      <c r="P562" s="1">
        <v>46221</v>
      </c>
      <c r="Q562" s="2">
        <v>45.77</v>
      </c>
      <c r="R562" t="s">
        <v>58</v>
      </c>
      <c r="S562" s="3">
        <v>0.06</v>
      </c>
      <c r="T562" t="s">
        <v>238</v>
      </c>
      <c r="U562" t="s">
        <v>239</v>
      </c>
      <c r="V562" s="2">
        <v>2.75</v>
      </c>
      <c r="W562" s="2">
        <v>2.75</v>
      </c>
      <c r="X562" s="2">
        <v>2.75</v>
      </c>
      <c r="Y562" t="s">
        <v>238</v>
      </c>
      <c r="Z562" t="s">
        <v>1062</v>
      </c>
    </row>
    <row r="563" spans="1:26" x14ac:dyDescent="0.25">
      <c r="A563">
        <v>2028450758</v>
      </c>
      <c r="B563" t="s">
        <v>892</v>
      </c>
      <c r="C563" t="s">
        <v>893</v>
      </c>
      <c r="D563" t="str">
        <f>CONCATENATE(C563," ",B563)</f>
        <v>BARTLOMIEJ KARAS</v>
      </c>
      <c r="E563" t="s">
        <v>119</v>
      </c>
      <c r="F563" t="s">
        <v>146</v>
      </c>
      <c r="G563" t="s">
        <v>147</v>
      </c>
      <c r="H563" t="s">
        <v>147</v>
      </c>
      <c r="I563" s="11">
        <v>18754354</v>
      </c>
      <c r="J563" t="s">
        <v>105</v>
      </c>
      <c r="K563" t="s">
        <v>106</v>
      </c>
      <c r="L563" t="str">
        <f>CONCATENATE(K563," ",J563)</f>
        <v>JACOB YALE</v>
      </c>
      <c r="M563" t="s">
        <v>57</v>
      </c>
      <c r="N563" s="1">
        <v>45764</v>
      </c>
      <c r="P563" s="1">
        <v>46220</v>
      </c>
      <c r="Q563" s="2">
        <v>51.01</v>
      </c>
      <c r="R563" t="s">
        <v>58</v>
      </c>
      <c r="S563" s="3">
        <v>0.06</v>
      </c>
      <c r="T563" t="s">
        <v>238</v>
      </c>
      <c r="U563" t="s">
        <v>239</v>
      </c>
      <c r="V563" s="2">
        <v>3.06</v>
      </c>
      <c r="W563" s="2">
        <v>3.06</v>
      </c>
      <c r="X563" s="2">
        <v>3.06</v>
      </c>
      <c r="Y563" t="s">
        <v>238</v>
      </c>
      <c r="Z563" t="s">
        <v>1062</v>
      </c>
    </row>
    <row r="564" spans="1:26" x14ac:dyDescent="0.25">
      <c r="A564">
        <v>2028942059</v>
      </c>
      <c r="B564" t="s">
        <v>894</v>
      </c>
      <c r="C564" t="s">
        <v>895</v>
      </c>
      <c r="D564" t="str">
        <f>CONCATENATE(C564," ",B564)</f>
        <v>AMARJARGAL CHIMEDTSEREN</v>
      </c>
      <c r="E564" t="s">
        <v>119</v>
      </c>
      <c r="F564" t="s">
        <v>146</v>
      </c>
      <c r="G564" t="s">
        <v>147</v>
      </c>
      <c r="H564" t="s">
        <v>147</v>
      </c>
      <c r="I564" s="11" t="s">
        <v>1032</v>
      </c>
      <c r="J564" t="s">
        <v>216</v>
      </c>
      <c r="K564" t="s">
        <v>217</v>
      </c>
      <c r="L564" t="str">
        <f>CONCATENATE(K564," ",J564)</f>
        <v>NASANDELGER ZANA</v>
      </c>
      <c r="M564" t="s">
        <v>57</v>
      </c>
      <c r="N564" s="1">
        <v>45792</v>
      </c>
      <c r="P564" s="1">
        <v>46218</v>
      </c>
      <c r="Q564" s="2">
        <v>22.52</v>
      </c>
      <c r="R564" t="s">
        <v>58</v>
      </c>
      <c r="S564" s="3">
        <v>0.06</v>
      </c>
      <c r="T564" t="s">
        <v>238</v>
      </c>
      <c r="U564" t="s">
        <v>239</v>
      </c>
      <c r="V564" s="2">
        <v>1.35</v>
      </c>
      <c r="W564" s="2">
        <v>1.35</v>
      </c>
      <c r="X564" s="2">
        <v>1.35</v>
      </c>
      <c r="Y564" t="s">
        <v>238</v>
      </c>
      <c r="Z564" t="s">
        <v>1062</v>
      </c>
    </row>
    <row r="565" spans="1:26" x14ac:dyDescent="0.25">
      <c r="A565">
        <v>2028963798</v>
      </c>
      <c r="B565" t="s">
        <v>461</v>
      </c>
      <c r="C565" t="s">
        <v>446</v>
      </c>
      <c r="D565" t="str">
        <f>CONCATENATE(C565," ",B565)</f>
        <v>DANIEL NINO</v>
      </c>
      <c r="E565" t="s">
        <v>119</v>
      </c>
      <c r="F565" t="s">
        <v>146</v>
      </c>
      <c r="G565" t="s">
        <v>147</v>
      </c>
      <c r="H565" t="s">
        <v>147</v>
      </c>
      <c r="I565" s="11" t="s">
        <v>1028</v>
      </c>
      <c r="J565" t="s">
        <v>406</v>
      </c>
      <c r="K565" t="s">
        <v>407</v>
      </c>
      <c r="L565" t="str">
        <f>CONCATENATE(K565," ",J565)</f>
        <v>BARRY BRENNER</v>
      </c>
      <c r="M565" t="s">
        <v>57</v>
      </c>
      <c r="N565" s="1">
        <v>45793</v>
      </c>
      <c r="P565" s="1">
        <v>46219</v>
      </c>
      <c r="Q565" s="2">
        <v>57.19</v>
      </c>
      <c r="R565" t="s">
        <v>58</v>
      </c>
      <c r="S565" s="3">
        <v>0.06</v>
      </c>
      <c r="T565" t="s">
        <v>238</v>
      </c>
      <c r="U565" t="s">
        <v>239</v>
      </c>
      <c r="V565" s="2">
        <v>3.43</v>
      </c>
      <c r="W565" s="2">
        <v>3.43</v>
      </c>
      <c r="X565" s="2">
        <v>3.43</v>
      </c>
      <c r="Y565" t="s">
        <v>238</v>
      </c>
      <c r="Z565" t="s">
        <v>1062</v>
      </c>
    </row>
    <row r="566" spans="1:26" x14ac:dyDescent="0.25">
      <c r="A566">
        <v>2028977071</v>
      </c>
      <c r="B566" t="s">
        <v>464</v>
      </c>
      <c r="C566" t="s">
        <v>388</v>
      </c>
      <c r="D566" t="str">
        <f>CONCATENATE(C566," ",B566)</f>
        <v>SYDNEY WEBSTER</v>
      </c>
      <c r="E566" t="s">
        <v>186</v>
      </c>
      <c r="F566" t="s">
        <v>146</v>
      </c>
      <c r="G566" t="s">
        <v>147</v>
      </c>
      <c r="H566" t="s">
        <v>147</v>
      </c>
      <c r="I566" s="11" t="s">
        <v>1030</v>
      </c>
      <c r="J566" t="s">
        <v>465</v>
      </c>
      <c r="K566" t="s">
        <v>466</v>
      </c>
      <c r="L566" t="str">
        <f>CONCATENATE(K566," ",J566)</f>
        <v>Kirk Tigue</v>
      </c>
      <c r="M566" t="s">
        <v>57</v>
      </c>
      <c r="N566" s="1">
        <v>45794</v>
      </c>
      <c r="P566" s="1">
        <v>46220</v>
      </c>
      <c r="Q566" s="2">
        <v>23.34</v>
      </c>
      <c r="R566" t="s">
        <v>58</v>
      </c>
      <c r="S566" s="3">
        <v>0.06</v>
      </c>
      <c r="T566" t="s">
        <v>238</v>
      </c>
      <c r="U566" t="s">
        <v>239</v>
      </c>
      <c r="V566" s="2">
        <v>1.4</v>
      </c>
      <c r="W566" s="2">
        <v>1.4</v>
      </c>
      <c r="X566" s="2">
        <v>1.4</v>
      </c>
      <c r="Y566" t="s">
        <v>238</v>
      </c>
      <c r="Z566" t="s">
        <v>1062</v>
      </c>
    </row>
    <row r="567" spans="1:26" x14ac:dyDescent="0.25">
      <c r="A567">
        <v>2028985824</v>
      </c>
      <c r="B567" t="s">
        <v>896</v>
      </c>
      <c r="C567" t="s">
        <v>897</v>
      </c>
      <c r="D567" t="str">
        <f>CONCATENATE(C567," ",B567)</f>
        <v>COKISHA JONES</v>
      </c>
      <c r="E567" t="s">
        <v>186</v>
      </c>
      <c r="F567" t="s">
        <v>146</v>
      </c>
      <c r="G567" t="s">
        <v>147</v>
      </c>
      <c r="H567" t="s">
        <v>147</v>
      </c>
      <c r="I567" s="11" t="s">
        <v>1030</v>
      </c>
      <c r="J567" t="s">
        <v>465</v>
      </c>
      <c r="K567" t="s">
        <v>466</v>
      </c>
      <c r="L567" t="str">
        <f>CONCATENATE(K567," ",J567)</f>
        <v>Kirk Tigue</v>
      </c>
      <c r="M567" t="s">
        <v>57</v>
      </c>
      <c r="N567" s="1">
        <v>45794</v>
      </c>
      <c r="P567" s="1">
        <v>46220</v>
      </c>
      <c r="Q567" s="2">
        <v>72.86</v>
      </c>
      <c r="R567" t="s">
        <v>58</v>
      </c>
      <c r="S567" s="3">
        <v>0.06</v>
      </c>
      <c r="T567" t="s">
        <v>238</v>
      </c>
      <c r="U567" t="s">
        <v>239</v>
      </c>
      <c r="V567" s="2">
        <v>4.37</v>
      </c>
      <c r="W567" s="2">
        <v>4.37</v>
      </c>
      <c r="X567" s="2">
        <v>4.37</v>
      </c>
      <c r="Y567" t="s">
        <v>238</v>
      </c>
      <c r="Z567" t="s">
        <v>1062</v>
      </c>
    </row>
    <row r="568" spans="1:26" x14ac:dyDescent="0.25">
      <c r="A568">
        <v>2028995187</v>
      </c>
      <c r="B568" t="s">
        <v>467</v>
      </c>
      <c r="C568" t="s">
        <v>468</v>
      </c>
      <c r="D568" t="str">
        <f>CONCATENATE(C568," ",B568)</f>
        <v>JODY SCHNEIDERMAN</v>
      </c>
      <c r="E568" t="s">
        <v>119</v>
      </c>
      <c r="F568" t="s">
        <v>146</v>
      </c>
      <c r="G568" t="s">
        <v>147</v>
      </c>
      <c r="H568" t="s">
        <v>147</v>
      </c>
      <c r="I568" s="11">
        <v>9213293</v>
      </c>
      <c r="J568" t="s">
        <v>414</v>
      </c>
      <c r="K568" t="s">
        <v>415</v>
      </c>
      <c r="L568" t="str">
        <f>CONCATENATE(K568," ",J568)</f>
        <v>GARY PORTUGAL</v>
      </c>
      <c r="M568" t="s">
        <v>57</v>
      </c>
      <c r="N568" s="1">
        <v>45795</v>
      </c>
      <c r="P568" s="1">
        <v>46221</v>
      </c>
      <c r="Q568" s="2">
        <v>147.41</v>
      </c>
      <c r="R568" t="s">
        <v>58</v>
      </c>
      <c r="S568" s="3">
        <v>0.06</v>
      </c>
      <c r="T568" t="s">
        <v>238</v>
      </c>
      <c r="U568" t="s">
        <v>239</v>
      </c>
      <c r="V568" s="2">
        <v>8.84</v>
      </c>
      <c r="W568" s="2">
        <v>8.84</v>
      </c>
      <c r="X568" s="2">
        <v>8.84</v>
      </c>
      <c r="Y568" t="s">
        <v>238</v>
      </c>
      <c r="Z568" t="s">
        <v>1062</v>
      </c>
    </row>
    <row r="569" spans="1:26" x14ac:dyDescent="0.25">
      <c r="A569">
        <v>2029481265</v>
      </c>
      <c r="B569" t="s">
        <v>478</v>
      </c>
      <c r="C569" t="s">
        <v>479</v>
      </c>
      <c r="D569" t="str">
        <f>CONCATENATE(C569," ",B569)</f>
        <v>AMBER FLATT</v>
      </c>
      <c r="E569" t="s">
        <v>209</v>
      </c>
      <c r="F569" t="s">
        <v>146</v>
      </c>
      <c r="G569" t="s">
        <v>147</v>
      </c>
      <c r="H569" t="s">
        <v>147</v>
      </c>
      <c r="I569" s="11" t="s">
        <v>1023</v>
      </c>
      <c r="J569" t="s">
        <v>229</v>
      </c>
      <c r="K569" t="s">
        <v>230</v>
      </c>
      <c r="L569" t="str">
        <f>CONCATENATE(K569," ",J569)</f>
        <v>Marsha Sanderock</v>
      </c>
      <c r="M569" t="s">
        <v>57</v>
      </c>
      <c r="N569" s="1">
        <v>45825</v>
      </c>
      <c r="P569" s="1">
        <v>46220</v>
      </c>
      <c r="Q569" s="2">
        <v>58.15</v>
      </c>
      <c r="R569" t="s">
        <v>58</v>
      </c>
      <c r="S569" s="3">
        <v>0.06</v>
      </c>
      <c r="T569" t="s">
        <v>238</v>
      </c>
      <c r="U569" t="s">
        <v>239</v>
      </c>
      <c r="V569" s="2">
        <v>3.49</v>
      </c>
      <c r="W569" s="2">
        <v>3.49</v>
      </c>
      <c r="X569" s="2">
        <v>3.49</v>
      </c>
      <c r="Y569" t="s">
        <v>238</v>
      </c>
      <c r="Z569" t="s">
        <v>1062</v>
      </c>
    </row>
    <row r="570" spans="1:26" x14ac:dyDescent="0.25">
      <c r="A570">
        <v>2029511427</v>
      </c>
      <c r="B570" t="s">
        <v>105</v>
      </c>
      <c r="C570" t="s">
        <v>437</v>
      </c>
      <c r="D570" t="str">
        <f>CONCATENATE(C570," ",B570)</f>
        <v>CHAD YALE</v>
      </c>
      <c r="E570" t="s">
        <v>119</v>
      </c>
      <c r="F570" t="s">
        <v>146</v>
      </c>
      <c r="G570" t="s">
        <v>147</v>
      </c>
      <c r="H570" t="s">
        <v>147</v>
      </c>
      <c r="I570" s="11" t="s">
        <v>1001</v>
      </c>
      <c r="J570" t="s">
        <v>73</v>
      </c>
      <c r="K570" t="s">
        <v>116</v>
      </c>
      <c r="L570" t="str">
        <f>CONCATENATE(K570," ",J570)</f>
        <v>Richard Yale</v>
      </c>
      <c r="M570" t="s">
        <v>57</v>
      </c>
      <c r="N570" s="1">
        <v>45826</v>
      </c>
      <c r="P570" s="1">
        <v>46221</v>
      </c>
      <c r="Q570" s="2">
        <v>57.19</v>
      </c>
      <c r="R570" t="s">
        <v>58</v>
      </c>
      <c r="S570" s="3">
        <v>0.06</v>
      </c>
      <c r="T570" t="s">
        <v>238</v>
      </c>
      <c r="U570" t="s">
        <v>239</v>
      </c>
      <c r="V570" s="2">
        <v>3.43</v>
      </c>
      <c r="W570" s="2">
        <v>3.43</v>
      </c>
      <c r="X570" s="2">
        <v>3.43</v>
      </c>
      <c r="Y570" t="s">
        <v>238</v>
      </c>
      <c r="Z570" t="s">
        <v>1062</v>
      </c>
    </row>
    <row r="571" spans="1:26" x14ac:dyDescent="0.25">
      <c r="A571">
        <v>2029951923</v>
      </c>
      <c r="B571" t="s">
        <v>346</v>
      </c>
      <c r="C571" t="s">
        <v>347</v>
      </c>
      <c r="D571" t="str">
        <f>CONCATENATE(C571," ",B571)</f>
        <v>URIEL MARTINEZ</v>
      </c>
      <c r="E571" t="s">
        <v>119</v>
      </c>
      <c r="F571" t="s">
        <v>146</v>
      </c>
      <c r="G571" t="s">
        <v>147</v>
      </c>
      <c r="H571" t="s">
        <v>147</v>
      </c>
      <c r="I571" s="11">
        <v>19396223</v>
      </c>
      <c r="J571" t="s">
        <v>344</v>
      </c>
      <c r="K571" t="s">
        <v>345</v>
      </c>
      <c r="L571" t="str">
        <f>CONCATENATE(K571," ",J571)</f>
        <v>Saadia Abdul</v>
      </c>
      <c r="M571" t="s">
        <v>57</v>
      </c>
      <c r="N571" s="1">
        <v>45853</v>
      </c>
      <c r="P571" s="1">
        <v>46218</v>
      </c>
      <c r="Q571" s="2">
        <v>77.48</v>
      </c>
      <c r="R571" t="s">
        <v>58</v>
      </c>
      <c r="S571" s="4">
        <v>0.375</v>
      </c>
      <c r="T571" t="s">
        <v>60</v>
      </c>
      <c r="U571" t="s">
        <v>239</v>
      </c>
      <c r="V571" s="2">
        <v>29.06</v>
      </c>
      <c r="W571" s="2">
        <v>29.06</v>
      </c>
      <c r="X571" s="2">
        <v>29.06</v>
      </c>
      <c r="Y571" t="s">
        <v>238</v>
      </c>
      <c r="Z571" t="s">
        <v>1062</v>
      </c>
    </row>
    <row r="572" spans="1:26" x14ac:dyDescent="0.25">
      <c r="A572">
        <v>2029957805</v>
      </c>
      <c r="B572" t="s">
        <v>488</v>
      </c>
      <c r="C572" t="s">
        <v>489</v>
      </c>
      <c r="D572" t="str">
        <f>CONCATENATE(C572," ",B572)</f>
        <v>JULIE JENSEN</v>
      </c>
      <c r="E572" t="s">
        <v>209</v>
      </c>
      <c r="F572" t="s">
        <v>146</v>
      </c>
      <c r="G572" t="s">
        <v>147</v>
      </c>
      <c r="H572" t="s">
        <v>147</v>
      </c>
      <c r="I572" s="11" t="s">
        <v>1023</v>
      </c>
      <c r="J572" t="s">
        <v>229</v>
      </c>
      <c r="K572" t="s">
        <v>230</v>
      </c>
      <c r="L572" t="str">
        <f>CONCATENATE(K572," ",J572)</f>
        <v>Marsha Sanderock</v>
      </c>
      <c r="M572" t="s">
        <v>57</v>
      </c>
      <c r="N572" s="1">
        <v>45854</v>
      </c>
      <c r="P572" s="1">
        <v>46219</v>
      </c>
      <c r="Q572" s="2">
        <v>58.15</v>
      </c>
      <c r="R572" t="s">
        <v>58</v>
      </c>
      <c r="S572" s="4">
        <v>0.375</v>
      </c>
      <c r="T572" t="s">
        <v>60</v>
      </c>
      <c r="U572" t="s">
        <v>239</v>
      </c>
      <c r="V572" s="2">
        <v>21.81</v>
      </c>
      <c r="W572" s="2">
        <v>21.81</v>
      </c>
      <c r="X572" s="2">
        <v>21.81</v>
      </c>
      <c r="Y572" t="s">
        <v>238</v>
      </c>
      <c r="Z572" t="s">
        <v>1062</v>
      </c>
    </row>
    <row r="573" spans="1:26" x14ac:dyDescent="0.25">
      <c r="A573">
        <v>2029969606</v>
      </c>
      <c r="B573" t="s">
        <v>348</v>
      </c>
      <c r="C573" t="s">
        <v>349</v>
      </c>
      <c r="D573" t="str">
        <f>CONCATENATE(C573," ",B573)</f>
        <v>STEPHEN DUNCAN</v>
      </c>
      <c r="E573" t="s">
        <v>305</v>
      </c>
      <c r="F573" t="s">
        <v>146</v>
      </c>
      <c r="G573" t="s">
        <v>147</v>
      </c>
      <c r="H573" t="s">
        <v>147</v>
      </c>
      <c r="I573" s="11" t="s">
        <v>1020</v>
      </c>
      <c r="J573" t="s">
        <v>312</v>
      </c>
      <c r="K573" t="s">
        <v>313</v>
      </c>
      <c r="L573" t="str">
        <f>CONCATENATE(K573," ",J573)</f>
        <v>Heather Geske</v>
      </c>
      <c r="M573" t="s">
        <v>57</v>
      </c>
      <c r="N573" s="1">
        <v>45854</v>
      </c>
      <c r="P573" s="1">
        <v>46219</v>
      </c>
      <c r="Q573" s="2">
        <v>63.62</v>
      </c>
      <c r="R573" t="s">
        <v>58</v>
      </c>
      <c r="S573" s="4">
        <v>0.375</v>
      </c>
      <c r="T573" t="s">
        <v>60</v>
      </c>
      <c r="U573" t="s">
        <v>239</v>
      </c>
      <c r="V573" s="2">
        <v>23.86</v>
      </c>
      <c r="W573" s="2">
        <v>23.86</v>
      </c>
      <c r="X573" s="2">
        <v>23.86</v>
      </c>
      <c r="Y573" t="s">
        <v>238</v>
      </c>
      <c r="Z573" t="s">
        <v>1062</v>
      </c>
    </row>
    <row r="574" spans="1:26" x14ac:dyDescent="0.25">
      <c r="A574">
        <v>2029971480</v>
      </c>
      <c r="B574" t="s">
        <v>492</v>
      </c>
      <c r="C574" t="s">
        <v>262</v>
      </c>
      <c r="D574" t="str">
        <f>CONCATENATE(C574," ",B574)</f>
        <v>TIMOTHY HODGMAN</v>
      </c>
      <c r="E574" t="s">
        <v>327</v>
      </c>
      <c r="F574" t="s">
        <v>146</v>
      </c>
      <c r="G574" t="s">
        <v>147</v>
      </c>
      <c r="H574" t="s">
        <v>147</v>
      </c>
      <c r="I574" s="11">
        <v>18581063</v>
      </c>
      <c r="J574" t="s">
        <v>486</v>
      </c>
      <c r="K574" t="s">
        <v>487</v>
      </c>
      <c r="L574" t="str">
        <f>CONCATENATE(K574," ",J574)</f>
        <v>Timothy Hodgman</v>
      </c>
      <c r="M574" t="s">
        <v>57</v>
      </c>
      <c r="N574" s="1">
        <v>45854</v>
      </c>
      <c r="P574" s="1">
        <v>46219</v>
      </c>
      <c r="Q574" s="2">
        <v>188.04</v>
      </c>
      <c r="R574" t="s">
        <v>58</v>
      </c>
      <c r="S574" s="4">
        <v>0.375</v>
      </c>
      <c r="T574" t="s">
        <v>60</v>
      </c>
      <c r="U574" t="s">
        <v>239</v>
      </c>
      <c r="V574" s="2">
        <v>70.52</v>
      </c>
      <c r="W574" s="2">
        <v>70.52</v>
      </c>
      <c r="X574" s="2">
        <v>70.52</v>
      </c>
      <c r="Y574" t="s">
        <v>238</v>
      </c>
      <c r="Z574" t="s">
        <v>1062</v>
      </c>
    </row>
    <row r="575" spans="1:26" x14ac:dyDescent="0.25">
      <c r="A575">
        <v>2029985851</v>
      </c>
      <c r="B575" t="s">
        <v>498</v>
      </c>
      <c r="C575" t="s">
        <v>94</v>
      </c>
      <c r="D575" t="str">
        <f>CONCATENATE(C575," ",B575)</f>
        <v>ANDREA ACHIMAS</v>
      </c>
      <c r="E575" t="s">
        <v>119</v>
      </c>
      <c r="F575" t="s">
        <v>146</v>
      </c>
      <c r="G575" t="s">
        <v>147</v>
      </c>
      <c r="H575" t="s">
        <v>147</v>
      </c>
      <c r="I575" s="11" t="s">
        <v>1001</v>
      </c>
      <c r="J575" t="s">
        <v>73</v>
      </c>
      <c r="K575" t="s">
        <v>116</v>
      </c>
      <c r="L575" t="str">
        <f>CONCATENATE(K575," ",J575)</f>
        <v>Richard Yale</v>
      </c>
      <c r="M575" t="s">
        <v>57</v>
      </c>
      <c r="N575" s="1">
        <v>45855</v>
      </c>
      <c r="P575" s="1">
        <v>46220</v>
      </c>
      <c r="Q575" s="2">
        <v>149.87</v>
      </c>
      <c r="R575" t="s">
        <v>58</v>
      </c>
      <c r="S575" s="4">
        <v>0.375</v>
      </c>
      <c r="T575" t="s">
        <v>60</v>
      </c>
      <c r="U575" t="s">
        <v>239</v>
      </c>
      <c r="V575" s="2">
        <v>56.2</v>
      </c>
      <c r="W575" s="2">
        <v>56.2</v>
      </c>
      <c r="X575" s="2">
        <v>56.2</v>
      </c>
      <c r="Y575" t="s">
        <v>238</v>
      </c>
      <c r="Z575" t="s">
        <v>1062</v>
      </c>
    </row>
    <row r="576" spans="1:26" x14ac:dyDescent="0.25">
      <c r="A576">
        <v>2030452963</v>
      </c>
      <c r="B576" t="s">
        <v>509</v>
      </c>
      <c r="C576" t="s">
        <v>56</v>
      </c>
      <c r="D576" t="str">
        <f>CONCATENATE(C576," ",B576)</f>
        <v>JOHN ANDERSON</v>
      </c>
      <c r="E576" t="s">
        <v>305</v>
      </c>
      <c r="F576" t="s">
        <v>146</v>
      </c>
      <c r="G576" t="s">
        <v>147</v>
      </c>
      <c r="H576" t="s">
        <v>147</v>
      </c>
      <c r="I576" s="11" t="s">
        <v>1036</v>
      </c>
      <c r="J576" t="s">
        <v>510</v>
      </c>
      <c r="K576" t="s">
        <v>511</v>
      </c>
      <c r="L576" t="str">
        <f>CONCATENATE(K576," ",J576)</f>
        <v>Joel Lee</v>
      </c>
      <c r="M576" t="s">
        <v>57</v>
      </c>
      <c r="N576" s="1">
        <v>45882</v>
      </c>
      <c r="P576" s="1">
        <v>46216</v>
      </c>
      <c r="Q576" s="2">
        <v>205.33</v>
      </c>
      <c r="R576" t="s">
        <v>58</v>
      </c>
      <c r="S576" s="4">
        <v>0.375</v>
      </c>
      <c r="T576" t="s">
        <v>60</v>
      </c>
      <c r="U576" t="s">
        <v>239</v>
      </c>
      <c r="V576" s="2">
        <v>77</v>
      </c>
      <c r="W576" s="2">
        <v>77</v>
      </c>
      <c r="X576" s="2">
        <v>77</v>
      </c>
      <c r="Y576" t="s">
        <v>238</v>
      </c>
      <c r="Z576" t="s">
        <v>1062</v>
      </c>
    </row>
    <row r="577" spans="1:26" x14ac:dyDescent="0.25">
      <c r="A577">
        <v>2030455580</v>
      </c>
      <c r="B577" t="s">
        <v>353</v>
      </c>
      <c r="C577" t="s">
        <v>354</v>
      </c>
      <c r="D577" t="str">
        <f>CONCATENATE(C577," ",B577)</f>
        <v>JASON TROUT</v>
      </c>
      <c r="E577" t="s">
        <v>305</v>
      </c>
      <c r="F577" t="s">
        <v>146</v>
      </c>
      <c r="G577" t="s">
        <v>147</v>
      </c>
      <c r="H577" t="s">
        <v>147</v>
      </c>
      <c r="I577" s="11" t="s">
        <v>1020</v>
      </c>
      <c r="J577" t="s">
        <v>312</v>
      </c>
      <c r="K577" t="s">
        <v>313</v>
      </c>
      <c r="L577" t="str">
        <f>CONCATENATE(K577," ",J577)</f>
        <v>Heather Geske</v>
      </c>
      <c r="M577" t="s">
        <v>57</v>
      </c>
      <c r="N577" s="1">
        <v>45882</v>
      </c>
      <c r="P577" s="1">
        <v>46216</v>
      </c>
      <c r="Q577" s="2">
        <v>110.89</v>
      </c>
      <c r="R577" t="s">
        <v>58</v>
      </c>
      <c r="S577" s="4">
        <v>0.375</v>
      </c>
      <c r="T577" t="s">
        <v>60</v>
      </c>
      <c r="U577" t="s">
        <v>239</v>
      </c>
      <c r="V577" s="2">
        <v>41.58</v>
      </c>
      <c r="W577" s="2">
        <v>41.58</v>
      </c>
      <c r="X577" s="2">
        <v>41.58</v>
      </c>
      <c r="Y577" t="s">
        <v>238</v>
      </c>
      <c r="Z577" t="s">
        <v>1062</v>
      </c>
    </row>
    <row r="578" spans="1:26" x14ac:dyDescent="0.25">
      <c r="A578">
        <v>2030982990</v>
      </c>
      <c r="B578" t="s">
        <v>363</v>
      </c>
      <c r="C578" t="s">
        <v>364</v>
      </c>
      <c r="D578" t="str">
        <f>CONCATENATE(C578," ",B578)</f>
        <v>STUART ELMAN</v>
      </c>
      <c r="E578" t="s">
        <v>95</v>
      </c>
      <c r="F578" t="s">
        <v>146</v>
      </c>
      <c r="G578" t="s">
        <v>147</v>
      </c>
      <c r="H578" t="s">
        <v>147</v>
      </c>
      <c r="I578" s="11" t="s">
        <v>1001</v>
      </c>
      <c r="J578" t="s">
        <v>73</v>
      </c>
      <c r="K578" t="s">
        <v>116</v>
      </c>
      <c r="L578" t="str">
        <f>CONCATENATE(K578," ",J578)</f>
        <v>Richard Yale</v>
      </c>
      <c r="M578" t="s">
        <v>57</v>
      </c>
      <c r="N578" s="1">
        <v>45915</v>
      </c>
      <c r="P578" s="1">
        <v>46218</v>
      </c>
      <c r="Q578" s="2">
        <v>243.49</v>
      </c>
      <c r="R578" t="s">
        <v>58</v>
      </c>
      <c r="S578" s="4">
        <v>0.375</v>
      </c>
      <c r="T578" t="s">
        <v>60</v>
      </c>
      <c r="U578" t="s">
        <v>239</v>
      </c>
      <c r="V578" s="2">
        <v>91.31</v>
      </c>
      <c r="W578" s="2">
        <v>91.31</v>
      </c>
      <c r="X578" s="2">
        <v>91.31</v>
      </c>
      <c r="Y578" t="s">
        <v>238</v>
      </c>
      <c r="Z578" t="s">
        <v>1062</v>
      </c>
    </row>
    <row r="579" spans="1:26" x14ac:dyDescent="0.25">
      <c r="A579">
        <v>2030999705</v>
      </c>
      <c r="B579" t="s">
        <v>898</v>
      </c>
      <c r="C579" t="s">
        <v>899</v>
      </c>
      <c r="D579" t="str">
        <f>CONCATENATE(C579," ",B579)</f>
        <v>RAJIV ZAVERI</v>
      </c>
      <c r="E579" t="s">
        <v>245</v>
      </c>
      <c r="F579" t="s">
        <v>146</v>
      </c>
      <c r="G579" t="s">
        <v>147</v>
      </c>
      <c r="H579" t="s">
        <v>147</v>
      </c>
      <c r="I579" s="11">
        <v>8307933</v>
      </c>
      <c r="J579" t="s">
        <v>79</v>
      </c>
      <c r="K579" t="s">
        <v>80</v>
      </c>
      <c r="L579" t="str">
        <f>CONCATENATE(K579," ",J579)</f>
        <v>GREGORY TEIPEL</v>
      </c>
      <c r="M579" t="s">
        <v>57</v>
      </c>
      <c r="N579" s="1">
        <v>45913</v>
      </c>
      <c r="P579" s="1">
        <v>46216</v>
      </c>
      <c r="Q579" s="2">
        <v>46.27</v>
      </c>
      <c r="R579" t="s">
        <v>58</v>
      </c>
      <c r="S579" s="4">
        <v>0.375</v>
      </c>
      <c r="T579" t="s">
        <v>60</v>
      </c>
      <c r="U579" t="s">
        <v>239</v>
      </c>
      <c r="V579" s="2">
        <v>17.350000000000001</v>
      </c>
      <c r="W579" s="2">
        <v>17.350000000000001</v>
      </c>
      <c r="X579" s="2">
        <v>17.350000000000001</v>
      </c>
      <c r="Y579" t="s">
        <v>238</v>
      </c>
      <c r="Z579" t="s">
        <v>1062</v>
      </c>
    </row>
    <row r="580" spans="1:26" x14ac:dyDescent="0.25">
      <c r="A580">
        <v>2031017067</v>
      </c>
      <c r="B580" t="s">
        <v>365</v>
      </c>
      <c r="C580" t="s">
        <v>227</v>
      </c>
      <c r="D580" t="str">
        <f>CONCATENATE(C580," ",B580)</f>
        <v>MICHAEL DECKARD</v>
      </c>
      <c r="E580" t="s">
        <v>209</v>
      </c>
      <c r="F580" t="s">
        <v>146</v>
      </c>
      <c r="G580" t="s">
        <v>147</v>
      </c>
      <c r="H580" t="s">
        <v>147</v>
      </c>
      <c r="I580" s="11" t="s">
        <v>1023</v>
      </c>
      <c r="J580" t="s">
        <v>229</v>
      </c>
      <c r="K580" t="s">
        <v>230</v>
      </c>
      <c r="L580" t="str">
        <f>CONCATENATE(K580," ",J580)</f>
        <v>Marsha Sanderock</v>
      </c>
      <c r="M580" t="s">
        <v>57</v>
      </c>
      <c r="N580" s="1">
        <v>45913</v>
      </c>
      <c r="P580" s="1">
        <v>46216</v>
      </c>
      <c r="Q580" s="2">
        <v>58.15</v>
      </c>
      <c r="R580" t="s">
        <v>58</v>
      </c>
      <c r="S580" s="4">
        <v>0.375</v>
      </c>
      <c r="T580" t="s">
        <v>60</v>
      </c>
      <c r="U580" t="s">
        <v>239</v>
      </c>
      <c r="V580" s="2">
        <v>21.81</v>
      </c>
      <c r="W580" s="2">
        <v>21.81</v>
      </c>
      <c r="X580" s="2">
        <v>21.81</v>
      </c>
      <c r="Y580" t="s">
        <v>238</v>
      </c>
      <c r="Z580" t="s">
        <v>1062</v>
      </c>
    </row>
    <row r="581" spans="1:26" x14ac:dyDescent="0.25">
      <c r="A581">
        <v>2031142845</v>
      </c>
      <c r="B581" t="s">
        <v>528</v>
      </c>
      <c r="C581" t="s">
        <v>529</v>
      </c>
      <c r="D581" t="str">
        <f>CONCATENATE(C581," ",B581)</f>
        <v>LUCINDA OCHOA</v>
      </c>
      <c r="E581" t="s">
        <v>165</v>
      </c>
      <c r="F581" t="s">
        <v>146</v>
      </c>
      <c r="G581" t="s">
        <v>147</v>
      </c>
      <c r="H581" t="s">
        <v>147</v>
      </c>
      <c r="I581" s="11" t="s">
        <v>1022</v>
      </c>
      <c r="J581" t="s">
        <v>171</v>
      </c>
      <c r="K581" t="s">
        <v>172</v>
      </c>
      <c r="L581" t="str">
        <f>CONCATENATE(K581," ",J581)</f>
        <v>THOMAS PARDUE</v>
      </c>
      <c r="M581" t="s">
        <v>57</v>
      </c>
      <c r="N581" s="1">
        <v>45919</v>
      </c>
      <c r="P581" s="1">
        <v>46222</v>
      </c>
      <c r="Q581" s="2">
        <v>35.14</v>
      </c>
      <c r="R581" t="s">
        <v>58</v>
      </c>
      <c r="S581" s="4">
        <v>0.375</v>
      </c>
      <c r="T581" t="s">
        <v>60</v>
      </c>
      <c r="U581" t="s">
        <v>239</v>
      </c>
      <c r="V581" s="2">
        <v>13.18</v>
      </c>
      <c r="W581" s="2">
        <v>13.18</v>
      </c>
      <c r="X581" s="2">
        <v>13.18</v>
      </c>
      <c r="Y581" t="s">
        <v>238</v>
      </c>
      <c r="Z581" t="s">
        <v>1062</v>
      </c>
    </row>
    <row r="582" spans="1:26" x14ac:dyDescent="0.25">
      <c r="A582">
        <v>2031143403</v>
      </c>
      <c r="B582" t="s">
        <v>346</v>
      </c>
      <c r="C582" t="s">
        <v>236</v>
      </c>
      <c r="D582" t="str">
        <f>CONCATENATE(C582," ",B582)</f>
        <v>ADAM MARTINEZ</v>
      </c>
      <c r="E582" t="s">
        <v>292</v>
      </c>
      <c r="F582" t="s">
        <v>146</v>
      </c>
      <c r="G582" t="s">
        <v>147</v>
      </c>
      <c r="H582" t="s">
        <v>147</v>
      </c>
      <c r="I582" s="11" t="s">
        <v>1022</v>
      </c>
      <c r="J582" t="s">
        <v>171</v>
      </c>
      <c r="K582" t="s">
        <v>172</v>
      </c>
      <c r="L582" t="str">
        <f>CONCATENATE(K582," ",J582)</f>
        <v>THOMAS PARDUE</v>
      </c>
      <c r="M582" t="s">
        <v>57</v>
      </c>
      <c r="N582" s="1">
        <v>45919</v>
      </c>
      <c r="P582" s="1">
        <v>46222</v>
      </c>
      <c r="Q582" s="2">
        <v>88.79</v>
      </c>
      <c r="R582" t="s">
        <v>58</v>
      </c>
      <c r="S582" s="4">
        <v>0.375</v>
      </c>
      <c r="T582" t="s">
        <v>60</v>
      </c>
      <c r="U582" t="s">
        <v>239</v>
      </c>
      <c r="V582" s="2">
        <v>33.299999999999997</v>
      </c>
      <c r="W582" s="2">
        <v>33.299999999999997</v>
      </c>
      <c r="X582" s="2">
        <v>33.299999999999997</v>
      </c>
      <c r="Y582" t="s">
        <v>238</v>
      </c>
      <c r="Z582" t="s">
        <v>1062</v>
      </c>
    </row>
    <row r="583" spans="1:26" x14ac:dyDescent="0.25">
      <c r="A583">
        <v>2031608493</v>
      </c>
      <c r="B583" t="s">
        <v>900</v>
      </c>
      <c r="C583" t="s">
        <v>901</v>
      </c>
      <c r="D583" t="str">
        <f>CONCATENATE(C583," ",B583)</f>
        <v>KLAY SHEFFIELD</v>
      </c>
      <c r="E583" t="s">
        <v>292</v>
      </c>
      <c r="F583" t="s">
        <v>146</v>
      </c>
      <c r="G583" t="s">
        <v>147</v>
      </c>
      <c r="H583" t="s">
        <v>147</v>
      </c>
      <c r="I583" s="11" t="s">
        <v>1022</v>
      </c>
      <c r="J583" t="s">
        <v>171</v>
      </c>
      <c r="K583" t="s">
        <v>172</v>
      </c>
      <c r="L583" t="str">
        <f>CONCATENATE(K583," ",J583)</f>
        <v>THOMAS PARDUE</v>
      </c>
      <c r="M583" t="s">
        <v>57</v>
      </c>
      <c r="N583" s="1">
        <v>45944</v>
      </c>
      <c r="P583" s="1">
        <v>46217</v>
      </c>
      <c r="Q583" s="2">
        <v>33.39</v>
      </c>
      <c r="R583" t="s">
        <v>58</v>
      </c>
      <c r="S583" s="4">
        <v>0.375</v>
      </c>
      <c r="T583" t="s">
        <v>60</v>
      </c>
      <c r="U583" t="s">
        <v>239</v>
      </c>
      <c r="V583" s="2">
        <v>12.52</v>
      </c>
      <c r="W583" s="2">
        <v>12.52</v>
      </c>
      <c r="X583" s="2">
        <v>12.52</v>
      </c>
      <c r="Y583" t="s">
        <v>238</v>
      </c>
      <c r="Z583" t="s">
        <v>1062</v>
      </c>
    </row>
    <row r="584" spans="1:26" x14ac:dyDescent="0.25">
      <c r="A584">
        <v>2031641423</v>
      </c>
      <c r="B584" t="s">
        <v>536</v>
      </c>
      <c r="C584" t="s">
        <v>537</v>
      </c>
      <c r="D584" t="str">
        <f>CONCATENATE(C584," ",B584)</f>
        <v>PEYTTON STROUP</v>
      </c>
      <c r="E584" t="s">
        <v>292</v>
      </c>
      <c r="F584" t="s">
        <v>146</v>
      </c>
      <c r="G584" t="s">
        <v>147</v>
      </c>
      <c r="H584" t="s">
        <v>147</v>
      </c>
      <c r="I584" s="11" t="s">
        <v>1022</v>
      </c>
      <c r="J584" t="s">
        <v>171</v>
      </c>
      <c r="K584" t="s">
        <v>172</v>
      </c>
      <c r="L584" t="str">
        <f>CONCATENATE(K584," ",J584)</f>
        <v>THOMAS PARDUE</v>
      </c>
      <c r="M584" t="s">
        <v>57</v>
      </c>
      <c r="N584" s="1">
        <v>45946</v>
      </c>
      <c r="P584" s="1">
        <v>46219</v>
      </c>
      <c r="Q584" s="2">
        <v>28.38</v>
      </c>
      <c r="R584" t="s">
        <v>58</v>
      </c>
      <c r="S584" s="4">
        <v>0.375</v>
      </c>
      <c r="T584" t="s">
        <v>60</v>
      </c>
      <c r="U584" t="s">
        <v>239</v>
      </c>
      <c r="V584" s="2">
        <v>10.64</v>
      </c>
      <c r="W584" s="2">
        <v>10.64</v>
      </c>
      <c r="X584" s="2">
        <v>10.64</v>
      </c>
      <c r="Y584" t="s">
        <v>238</v>
      </c>
      <c r="Z584" t="s">
        <v>1062</v>
      </c>
    </row>
    <row r="585" spans="1:26" x14ac:dyDescent="0.25">
      <c r="A585">
        <v>2031647898</v>
      </c>
      <c r="B585" t="s">
        <v>538</v>
      </c>
      <c r="C585" t="s">
        <v>539</v>
      </c>
      <c r="D585" t="str">
        <f>CONCATENATE(C585," ",B585)</f>
        <v>NATHAN BROWN</v>
      </c>
      <c r="E585" t="s">
        <v>119</v>
      </c>
      <c r="F585" t="s">
        <v>146</v>
      </c>
      <c r="G585" t="s">
        <v>147</v>
      </c>
      <c r="H585" t="s">
        <v>147</v>
      </c>
      <c r="I585" s="11" t="s">
        <v>1001</v>
      </c>
      <c r="J585" t="s">
        <v>73</v>
      </c>
      <c r="K585" t="s">
        <v>116</v>
      </c>
      <c r="L585" t="str">
        <f>CONCATENATE(K585," ",J585)</f>
        <v>Richard Yale</v>
      </c>
      <c r="M585" t="s">
        <v>57</v>
      </c>
      <c r="N585" s="1">
        <v>45948</v>
      </c>
      <c r="P585" s="1">
        <v>46221</v>
      </c>
      <c r="Q585" s="2">
        <v>184.58</v>
      </c>
      <c r="R585" t="s">
        <v>58</v>
      </c>
      <c r="S585" s="4">
        <v>0.375</v>
      </c>
      <c r="T585" t="s">
        <v>60</v>
      </c>
      <c r="U585" t="s">
        <v>239</v>
      </c>
      <c r="V585" s="2">
        <v>69.22</v>
      </c>
      <c r="W585" s="2">
        <v>69.22</v>
      </c>
      <c r="X585" s="2">
        <v>69.22</v>
      </c>
      <c r="Y585" t="s">
        <v>238</v>
      </c>
      <c r="Z585" t="s">
        <v>1062</v>
      </c>
    </row>
    <row r="586" spans="1:26" x14ac:dyDescent="0.25">
      <c r="A586">
        <v>2031654839</v>
      </c>
      <c r="B586" t="s">
        <v>902</v>
      </c>
      <c r="C586" t="s">
        <v>903</v>
      </c>
      <c r="D586" t="str">
        <f>CONCATENATE(C586," ",B586)</f>
        <v>DARRIN EICK</v>
      </c>
      <c r="E586" t="s">
        <v>95</v>
      </c>
      <c r="F586" t="s">
        <v>146</v>
      </c>
      <c r="G586" t="s">
        <v>147</v>
      </c>
      <c r="H586" t="s">
        <v>147</v>
      </c>
      <c r="I586" s="11" t="s">
        <v>1022</v>
      </c>
      <c r="J586" t="s">
        <v>171</v>
      </c>
      <c r="K586" t="s">
        <v>172</v>
      </c>
      <c r="L586" t="str">
        <f>CONCATENATE(K586," ",J586)</f>
        <v>THOMAS PARDUE</v>
      </c>
      <c r="M586" t="s">
        <v>57</v>
      </c>
      <c r="N586" s="1">
        <v>45947</v>
      </c>
      <c r="P586" s="1">
        <v>46220</v>
      </c>
      <c r="Q586" s="2">
        <v>51.77</v>
      </c>
      <c r="R586" t="s">
        <v>58</v>
      </c>
      <c r="S586" s="4">
        <v>0.375</v>
      </c>
      <c r="T586" t="s">
        <v>60</v>
      </c>
      <c r="U586" t="s">
        <v>239</v>
      </c>
      <c r="V586" s="2">
        <v>19.41</v>
      </c>
      <c r="W586" s="2">
        <v>19.41</v>
      </c>
      <c r="X586" s="2">
        <v>19.41</v>
      </c>
      <c r="Y586" t="s">
        <v>238</v>
      </c>
      <c r="Z586" t="s">
        <v>1062</v>
      </c>
    </row>
    <row r="587" spans="1:26" x14ac:dyDescent="0.25">
      <c r="A587">
        <v>2032116644</v>
      </c>
      <c r="B587" t="s">
        <v>373</v>
      </c>
      <c r="C587" t="s">
        <v>236</v>
      </c>
      <c r="D587" t="str">
        <f>CONCATENATE(C587," ",B587)</f>
        <v>ADAM BOSSOV</v>
      </c>
      <c r="E587" t="s">
        <v>119</v>
      </c>
      <c r="F587" t="s">
        <v>146</v>
      </c>
      <c r="G587" t="s">
        <v>147</v>
      </c>
      <c r="H587" t="s">
        <v>147</v>
      </c>
      <c r="I587" s="11" t="s">
        <v>1024</v>
      </c>
      <c r="J587" t="s">
        <v>73</v>
      </c>
      <c r="K587" t="s">
        <v>116</v>
      </c>
      <c r="L587" t="str">
        <f>CONCATENATE(K587," ",J587)</f>
        <v>Richard Yale</v>
      </c>
      <c r="M587" t="s">
        <v>57</v>
      </c>
      <c r="N587" s="1">
        <v>45976</v>
      </c>
      <c r="P587" s="1">
        <v>46218</v>
      </c>
      <c r="Q587" s="2">
        <v>77.48</v>
      </c>
      <c r="R587" t="s">
        <v>58</v>
      </c>
      <c r="S587" s="4">
        <v>0.375</v>
      </c>
      <c r="T587" t="s">
        <v>60</v>
      </c>
      <c r="U587" t="s">
        <v>239</v>
      </c>
      <c r="V587" s="2">
        <v>29.06</v>
      </c>
      <c r="W587" s="2">
        <v>29.06</v>
      </c>
      <c r="X587" s="2">
        <v>29.06</v>
      </c>
      <c r="Y587" t="s">
        <v>238</v>
      </c>
      <c r="Z587" t="s">
        <v>1062</v>
      </c>
    </row>
    <row r="588" spans="1:26" x14ac:dyDescent="0.25">
      <c r="A588">
        <v>2032159934</v>
      </c>
      <c r="B588" t="s">
        <v>563</v>
      </c>
      <c r="C588" t="s">
        <v>564</v>
      </c>
      <c r="D588" t="str">
        <f>CONCATENATE(C588," ",B588)</f>
        <v>ERIC SCHAENZER</v>
      </c>
      <c r="E588" t="s">
        <v>70</v>
      </c>
      <c r="F588" t="s">
        <v>146</v>
      </c>
      <c r="G588" t="s">
        <v>147</v>
      </c>
      <c r="H588" t="s">
        <v>147</v>
      </c>
      <c r="I588" s="11">
        <v>21435997</v>
      </c>
      <c r="J588" t="s">
        <v>444</v>
      </c>
      <c r="K588" t="s">
        <v>445</v>
      </c>
      <c r="L588" t="str">
        <f>CONCATENATE(K588," ",J588)</f>
        <v>Christopher Brousseau</v>
      </c>
      <c r="M588" t="s">
        <v>57</v>
      </c>
      <c r="N588" s="1">
        <v>45976</v>
      </c>
      <c r="P588" s="1">
        <v>46218</v>
      </c>
      <c r="Q588" s="2">
        <v>36.36</v>
      </c>
      <c r="R588" t="s">
        <v>58</v>
      </c>
      <c r="S588" s="4">
        <v>0.375</v>
      </c>
      <c r="T588" t="s">
        <v>60</v>
      </c>
      <c r="U588" t="s">
        <v>239</v>
      </c>
      <c r="V588" s="2">
        <v>13.64</v>
      </c>
      <c r="W588" s="2">
        <v>13.64</v>
      </c>
      <c r="X588" s="2">
        <v>13.64</v>
      </c>
      <c r="Y588" t="s">
        <v>238</v>
      </c>
      <c r="Z588" t="s">
        <v>1062</v>
      </c>
    </row>
    <row r="589" spans="1:26" x14ac:dyDescent="0.25">
      <c r="A589">
        <v>2032175461</v>
      </c>
      <c r="B589" t="s">
        <v>569</v>
      </c>
      <c r="C589" t="s">
        <v>570</v>
      </c>
      <c r="D589" t="str">
        <f>CONCATENATE(C589," ",B589)</f>
        <v>KRISTINA CAMPAGNA</v>
      </c>
      <c r="E589" t="s">
        <v>119</v>
      </c>
      <c r="F589" t="s">
        <v>146</v>
      </c>
      <c r="G589" t="s">
        <v>147</v>
      </c>
      <c r="H589" t="s">
        <v>147</v>
      </c>
      <c r="I589" s="11" t="s">
        <v>1028</v>
      </c>
      <c r="J589" t="s">
        <v>406</v>
      </c>
      <c r="K589" t="s">
        <v>407</v>
      </c>
      <c r="L589" t="str">
        <f>CONCATENATE(K589," ",J589)</f>
        <v>BARRY BRENNER</v>
      </c>
      <c r="M589" t="s">
        <v>57</v>
      </c>
      <c r="N589" s="1">
        <v>45976</v>
      </c>
      <c r="P589" s="1">
        <v>46218</v>
      </c>
      <c r="Q589" s="2">
        <v>61.64</v>
      </c>
      <c r="R589" t="s">
        <v>58</v>
      </c>
      <c r="S589" s="4">
        <v>0.375</v>
      </c>
      <c r="T589" t="s">
        <v>60</v>
      </c>
      <c r="U589" t="s">
        <v>239</v>
      </c>
      <c r="V589" s="2">
        <v>23.12</v>
      </c>
      <c r="W589" s="2">
        <v>23.12</v>
      </c>
      <c r="X589" s="2">
        <v>23.12</v>
      </c>
      <c r="Y589" t="s">
        <v>238</v>
      </c>
      <c r="Z589" t="s">
        <v>1062</v>
      </c>
    </row>
    <row r="590" spans="1:26" x14ac:dyDescent="0.25">
      <c r="A590">
        <v>2032175761</v>
      </c>
      <c r="B590" t="s">
        <v>768</v>
      </c>
      <c r="C590" t="s">
        <v>666</v>
      </c>
      <c r="D590" t="str">
        <f>CONCATENATE(C590," ",B590)</f>
        <v>KRISTEN RIDER</v>
      </c>
      <c r="E590" t="s">
        <v>209</v>
      </c>
      <c r="F590" t="s">
        <v>146</v>
      </c>
      <c r="G590" t="s">
        <v>147</v>
      </c>
      <c r="H590" t="s">
        <v>147</v>
      </c>
      <c r="I590" s="11" t="s">
        <v>1051</v>
      </c>
      <c r="J590" t="s">
        <v>769</v>
      </c>
      <c r="K590" t="s">
        <v>770</v>
      </c>
      <c r="L590" t="str">
        <f>CONCATENATE(K590," ",J590)</f>
        <v>Dominic Lytle</v>
      </c>
      <c r="M590" t="s">
        <v>57</v>
      </c>
      <c r="N590" s="1">
        <v>45976</v>
      </c>
      <c r="P590" s="1">
        <v>46218</v>
      </c>
      <c r="Q590" s="2">
        <v>58.15</v>
      </c>
      <c r="R590" t="s">
        <v>58</v>
      </c>
      <c r="S590" s="4">
        <v>0.375</v>
      </c>
      <c r="T590" t="s">
        <v>60</v>
      </c>
      <c r="U590" t="s">
        <v>239</v>
      </c>
      <c r="V590" s="2">
        <v>21.81</v>
      </c>
      <c r="W590" s="2">
        <v>21.81</v>
      </c>
      <c r="X590" s="2">
        <v>21.81</v>
      </c>
      <c r="Y590" t="s">
        <v>238</v>
      </c>
      <c r="Z590" t="s">
        <v>1062</v>
      </c>
    </row>
    <row r="591" spans="1:26" x14ac:dyDescent="0.25">
      <c r="A591">
        <v>2032206790</v>
      </c>
      <c r="B591" t="s">
        <v>904</v>
      </c>
      <c r="C591" t="s">
        <v>268</v>
      </c>
      <c r="D591" t="str">
        <f>CONCATENATE(C591," ",B591)</f>
        <v>JESSE HERMAN</v>
      </c>
      <c r="E591" t="s">
        <v>52</v>
      </c>
      <c r="F591" t="s">
        <v>146</v>
      </c>
      <c r="G591" t="s">
        <v>147</v>
      </c>
      <c r="H591" t="s">
        <v>147</v>
      </c>
      <c r="I591" s="11" t="s">
        <v>1011</v>
      </c>
      <c r="J591" t="s">
        <v>55</v>
      </c>
      <c r="K591" t="s">
        <v>56</v>
      </c>
      <c r="L591" t="str">
        <f>CONCATENATE(K591," ",J591)</f>
        <v>JOHN ROKEN</v>
      </c>
      <c r="M591" t="s">
        <v>57</v>
      </c>
      <c r="N591" s="1">
        <v>45979</v>
      </c>
      <c r="P591" s="1">
        <v>46221</v>
      </c>
      <c r="Q591" s="2">
        <v>37.549999999999997</v>
      </c>
      <c r="R591" t="s">
        <v>58</v>
      </c>
      <c r="S591" s="4">
        <v>0.375</v>
      </c>
      <c r="T591" t="s">
        <v>60</v>
      </c>
      <c r="U591" t="s">
        <v>239</v>
      </c>
      <c r="V591" s="2">
        <v>14.08</v>
      </c>
      <c r="W591" s="2">
        <v>14.08</v>
      </c>
      <c r="X591" s="2">
        <v>14.08</v>
      </c>
      <c r="Y591" t="s">
        <v>238</v>
      </c>
      <c r="Z591" t="s">
        <v>1062</v>
      </c>
    </row>
    <row r="592" spans="1:26" x14ac:dyDescent="0.25">
      <c r="A592">
        <v>2032206979</v>
      </c>
      <c r="B592" t="s">
        <v>575</v>
      </c>
      <c r="C592" t="s">
        <v>349</v>
      </c>
      <c r="D592" t="str">
        <f>CONCATENATE(C592," ",B592)</f>
        <v>STEPHEN MATTINGLY</v>
      </c>
      <c r="E592" t="s">
        <v>145</v>
      </c>
      <c r="F592" t="s">
        <v>146</v>
      </c>
      <c r="G592" t="s">
        <v>147</v>
      </c>
      <c r="H592" t="s">
        <v>147</v>
      </c>
      <c r="I592" s="11">
        <v>9213293</v>
      </c>
      <c r="J592" t="s">
        <v>414</v>
      </c>
      <c r="K592" t="s">
        <v>415</v>
      </c>
      <c r="L592" t="str">
        <f>CONCATENATE(K592," ",J592)</f>
        <v>GARY PORTUGAL</v>
      </c>
      <c r="M592" t="s">
        <v>57</v>
      </c>
      <c r="N592" s="1">
        <v>45979</v>
      </c>
      <c r="P592" s="1">
        <v>46221</v>
      </c>
      <c r="Q592" s="2">
        <v>54.83</v>
      </c>
      <c r="R592" t="s">
        <v>58</v>
      </c>
      <c r="S592" s="4">
        <v>0.375</v>
      </c>
      <c r="T592" t="s">
        <v>60</v>
      </c>
      <c r="U592" t="s">
        <v>239</v>
      </c>
      <c r="V592" s="2">
        <v>20.56</v>
      </c>
      <c r="W592" s="2">
        <v>20.56</v>
      </c>
      <c r="X592" s="2">
        <v>20.56</v>
      </c>
      <c r="Y592" t="s">
        <v>238</v>
      </c>
      <c r="Z592" t="s">
        <v>1062</v>
      </c>
    </row>
    <row r="593" spans="1:26" x14ac:dyDescent="0.25">
      <c r="A593">
        <v>2032208389</v>
      </c>
      <c r="B593" t="s">
        <v>381</v>
      </c>
      <c r="C593" t="s">
        <v>272</v>
      </c>
      <c r="D593" t="str">
        <f>CONCATENATE(C593," ",B593)</f>
        <v>MARY CARLSON</v>
      </c>
      <c r="E593" t="s">
        <v>305</v>
      </c>
      <c r="F593" t="s">
        <v>146</v>
      </c>
      <c r="G593" t="s">
        <v>147</v>
      </c>
      <c r="H593" t="s">
        <v>147</v>
      </c>
      <c r="I593" s="11" t="s">
        <v>1020</v>
      </c>
      <c r="J593" t="s">
        <v>312</v>
      </c>
      <c r="K593" t="s">
        <v>313</v>
      </c>
      <c r="L593" t="str">
        <f>CONCATENATE(K593," ",J593)</f>
        <v>Heather Geske</v>
      </c>
      <c r="M593" t="s">
        <v>57</v>
      </c>
      <c r="N593" s="1">
        <v>45979</v>
      </c>
      <c r="P593" s="1">
        <v>46221</v>
      </c>
      <c r="Q593" s="2">
        <v>47.28</v>
      </c>
      <c r="R593" t="s">
        <v>58</v>
      </c>
      <c r="S593" s="4">
        <v>0.375</v>
      </c>
      <c r="T593" t="s">
        <v>60</v>
      </c>
      <c r="U593" t="s">
        <v>239</v>
      </c>
      <c r="V593" s="2">
        <v>17.73</v>
      </c>
      <c r="W593" s="2">
        <v>17.73</v>
      </c>
      <c r="X593" s="2">
        <v>17.73</v>
      </c>
      <c r="Y593" t="s">
        <v>238</v>
      </c>
      <c r="Z593" t="s">
        <v>1062</v>
      </c>
    </row>
    <row r="594" spans="1:26" x14ac:dyDescent="0.25">
      <c r="A594">
        <v>2032222105</v>
      </c>
      <c r="B594" t="s">
        <v>576</v>
      </c>
      <c r="C594" t="s">
        <v>250</v>
      </c>
      <c r="D594" t="str">
        <f>CONCATENATE(C594," ",B594)</f>
        <v>CHARLES NEEDLE</v>
      </c>
      <c r="E594" t="s">
        <v>305</v>
      </c>
      <c r="F594" t="s">
        <v>146</v>
      </c>
      <c r="G594" t="s">
        <v>147</v>
      </c>
      <c r="H594" t="s">
        <v>147</v>
      </c>
      <c r="I594" s="11" t="s">
        <v>1020</v>
      </c>
      <c r="J594" t="s">
        <v>312</v>
      </c>
      <c r="K594" t="s">
        <v>313</v>
      </c>
      <c r="L594" t="str">
        <f>CONCATENATE(K594," ",J594)</f>
        <v>Heather Geske</v>
      </c>
      <c r="M594" t="s">
        <v>57</v>
      </c>
      <c r="N594" s="1">
        <v>45979</v>
      </c>
      <c r="P594" s="1">
        <v>46221</v>
      </c>
      <c r="Q594" s="2">
        <v>138.78</v>
      </c>
      <c r="R594" t="s">
        <v>58</v>
      </c>
      <c r="S594" s="4">
        <v>0.375</v>
      </c>
      <c r="T594" t="s">
        <v>60</v>
      </c>
      <c r="U594" t="s">
        <v>239</v>
      </c>
      <c r="V594" s="2">
        <v>52.04</v>
      </c>
      <c r="W594" s="2">
        <v>52.04</v>
      </c>
      <c r="X594" s="2">
        <v>52.04</v>
      </c>
      <c r="Y594" t="s">
        <v>238</v>
      </c>
      <c r="Z594" t="s">
        <v>1062</v>
      </c>
    </row>
    <row r="595" spans="1:26" x14ac:dyDescent="0.25">
      <c r="A595">
        <v>2032223334</v>
      </c>
      <c r="B595" t="s">
        <v>577</v>
      </c>
      <c r="C595" t="s">
        <v>579</v>
      </c>
      <c r="D595" t="str">
        <f>CONCATENATE(C595," ",B595)</f>
        <v>CATHERINE CROCKER</v>
      </c>
      <c r="E595" t="s">
        <v>70</v>
      </c>
      <c r="F595" t="s">
        <v>146</v>
      </c>
      <c r="G595" t="s">
        <v>147</v>
      </c>
      <c r="H595" t="s">
        <v>147</v>
      </c>
      <c r="I595" s="11">
        <v>21435997</v>
      </c>
      <c r="J595" t="s">
        <v>444</v>
      </c>
      <c r="K595" t="s">
        <v>445</v>
      </c>
      <c r="L595" t="str">
        <f>CONCATENATE(K595," ",J595)</f>
        <v>Christopher Brousseau</v>
      </c>
      <c r="M595" t="s">
        <v>57</v>
      </c>
      <c r="N595" s="1">
        <v>45980</v>
      </c>
      <c r="P595" s="1">
        <v>46222</v>
      </c>
      <c r="Q595" s="2">
        <v>44.86</v>
      </c>
      <c r="R595" t="s">
        <v>58</v>
      </c>
      <c r="S595" s="4">
        <v>0.375</v>
      </c>
      <c r="T595" t="s">
        <v>60</v>
      </c>
      <c r="U595" t="s">
        <v>239</v>
      </c>
      <c r="V595" s="2">
        <v>16.82</v>
      </c>
      <c r="W595" s="2">
        <v>16.82</v>
      </c>
      <c r="X595" s="2">
        <v>16.82</v>
      </c>
      <c r="Y595" t="s">
        <v>238</v>
      </c>
      <c r="Z595" t="s">
        <v>1062</v>
      </c>
    </row>
    <row r="596" spans="1:26" x14ac:dyDescent="0.25">
      <c r="A596">
        <v>2032256024</v>
      </c>
      <c r="B596" t="s">
        <v>586</v>
      </c>
      <c r="C596" t="s">
        <v>494</v>
      </c>
      <c r="D596" t="str">
        <f>CONCATENATE(C596," ",B596)</f>
        <v>ROBERT DAVIS</v>
      </c>
      <c r="E596" t="s">
        <v>305</v>
      </c>
      <c r="F596" t="s">
        <v>146</v>
      </c>
      <c r="G596" t="s">
        <v>147</v>
      </c>
      <c r="H596" t="s">
        <v>147</v>
      </c>
      <c r="I596" s="11" t="s">
        <v>1040</v>
      </c>
      <c r="J596" t="s">
        <v>306</v>
      </c>
      <c r="K596" t="s">
        <v>307</v>
      </c>
      <c r="L596" t="str">
        <f>CONCATENATE(K596," ",J596)</f>
        <v>WILLIAM GESKE</v>
      </c>
      <c r="M596" t="s">
        <v>57</v>
      </c>
      <c r="N596" s="1">
        <v>45981</v>
      </c>
      <c r="P596" s="1">
        <v>46193</v>
      </c>
      <c r="Q596" s="2">
        <v>-71.760000000000005</v>
      </c>
      <c r="R596" t="s">
        <v>58</v>
      </c>
      <c r="S596" s="4">
        <v>0.375</v>
      </c>
      <c r="T596" t="s">
        <v>60</v>
      </c>
      <c r="U596" t="s">
        <v>239</v>
      </c>
      <c r="V596" s="2">
        <v>-26.91</v>
      </c>
      <c r="W596" s="2">
        <v>-26.91</v>
      </c>
      <c r="X596" s="2">
        <v>-26.91</v>
      </c>
      <c r="Y596" t="s">
        <v>238</v>
      </c>
      <c r="Z596" t="s">
        <v>1062</v>
      </c>
    </row>
    <row r="597" spans="1:26" x14ac:dyDescent="0.25">
      <c r="A597">
        <v>2032256024</v>
      </c>
      <c r="B597" t="s">
        <v>586</v>
      </c>
      <c r="C597" t="s">
        <v>494</v>
      </c>
      <c r="D597" t="str">
        <f>CONCATENATE(C597," ",B597)</f>
        <v>ROBERT DAVIS</v>
      </c>
      <c r="E597" t="s">
        <v>305</v>
      </c>
      <c r="F597" t="s">
        <v>146</v>
      </c>
      <c r="G597" t="s">
        <v>147</v>
      </c>
      <c r="H597" t="s">
        <v>147</v>
      </c>
      <c r="I597" s="11" t="s">
        <v>1040</v>
      </c>
      <c r="J597" t="s">
        <v>306</v>
      </c>
      <c r="K597" t="s">
        <v>307</v>
      </c>
      <c r="L597" t="str">
        <f>CONCATENATE(K597," ",J597)</f>
        <v>WILLIAM GESKE</v>
      </c>
      <c r="M597" t="s">
        <v>57</v>
      </c>
      <c r="N597" s="1">
        <v>45981</v>
      </c>
      <c r="P597" s="1">
        <v>46193</v>
      </c>
      <c r="Q597" s="2">
        <v>-71.760000000000005</v>
      </c>
      <c r="R597" t="s">
        <v>58</v>
      </c>
      <c r="S597" s="4">
        <v>0.375</v>
      </c>
      <c r="T597" t="s">
        <v>60</v>
      </c>
      <c r="U597" t="s">
        <v>239</v>
      </c>
      <c r="V597" s="2">
        <v>-26.91</v>
      </c>
      <c r="W597" s="2">
        <v>-26.91</v>
      </c>
      <c r="X597" s="2">
        <v>-26.91</v>
      </c>
      <c r="Y597" t="s">
        <v>238</v>
      </c>
      <c r="Z597" t="s">
        <v>1062</v>
      </c>
    </row>
    <row r="598" spans="1:26" x14ac:dyDescent="0.25">
      <c r="A598">
        <v>2032256024</v>
      </c>
      <c r="B598" t="s">
        <v>586</v>
      </c>
      <c r="C598" t="s">
        <v>494</v>
      </c>
      <c r="D598" t="str">
        <f>CONCATENATE(C598," ",B598)</f>
        <v>ROBERT DAVIS</v>
      </c>
      <c r="E598" t="s">
        <v>305</v>
      </c>
      <c r="F598" t="s">
        <v>146</v>
      </c>
      <c r="G598" t="s">
        <v>147</v>
      </c>
      <c r="H598" t="s">
        <v>147</v>
      </c>
      <c r="I598" s="11" t="s">
        <v>1040</v>
      </c>
      <c r="J598" t="s">
        <v>306</v>
      </c>
      <c r="K598" t="s">
        <v>307</v>
      </c>
      <c r="L598" t="str">
        <f>CONCATENATE(K598," ",J598)</f>
        <v>WILLIAM GESKE</v>
      </c>
      <c r="M598" t="s">
        <v>57</v>
      </c>
      <c r="N598" s="1">
        <v>45981</v>
      </c>
      <c r="P598" s="1">
        <v>46193</v>
      </c>
      <c r="Q598" s="2">
        <v>-71.760000000000005</v>
      </c>
      <c r="R598" t="s">
        <v>58</v>
      </c>
      <c r="S598" s="4">
        <v>0.375</v>
      </c>
      <c r="T598" t="s">
        <v>60</v>
      </c>
      <c r="U598" t="s">
        <v>239</v>
      </c>
      <c r="V598" s="2">
        <v>-26.91</v>
      </c>
      <c r="W598" s="2">
        <v>-26.91</v>
      </c>
      <c r="X598" s="2">
        <v>-26.91</v>
      </c>
      <c r="Y598" t="s">
        <v>238</v>
      </c>
      <c r="Z598" t="s">
        <v>1062</v>
      </c>
    </row>
    <row r="599" spans="1:26" x14ac:dyDescent="0.25">
      <c r="A599">
        <v>2032256024</v>
      </c>
      <c r="B599" t="s">
        <v>586</v>
      </c>
      <c r="C599" t="s">
        <v>494</v>
      </c>
      <c r="D599" t="str">
        <f>CONCATENATE(C599," ",B599)</f>
        <v>ROBERT DAVIS</v>
      </c>
      <c r="E599" t="s">
        <v>305</v>
      </c>
      <c r="F599" t="s">
        <v>146</v>
      </c>
      <c r="G599" t="s">
        <v>147</v>
      </c>
      <c r="H599" t="s">
        <v>147</v>
      </c>
      <c r="I599" s="11" t="s">
        <v>1040</v>
      </c>
      <c r="J599" t="s">
        <v>306</v>
      </c>
      <c r="K599" t="s">
        <v>307</v>
      </c>
      <c r="L599" t="str">
        <f>CONCATENATE(K599," ",J599)</f>
        <v>WILLIAM GESKE</v>
      </c>
      <c r="M599" t="s">
        <v>57</v>
      </c>
      <c r="N599" s="1">
        <v>45981</v>
      </c>
      <c r="P599" s="1">
        <v>46193</v>
      </c>
      <c r="Q599" s="2">
        <v>215.28</v>
      </c>
      <c r="R599" t="s">
        <v>58</v>
      </c>
      <c r="S599" s="4">
        <v>0.375</v>
      </c>
      <c r="T599" t="s">
        <v>60</v>
      </c>
      <c r="U599" t="s">
        <v>239</v>
      </c>
      <c r="V599" s="2">
        <v>80.73</v>
      </c>
      <c r="W599" s="2">
        <v>80.73</v>
      </c>
      <c r="X599" s="2">
        <v>80.73</v>
      </c>
      <c r="Y599" t="s">
        <v>238</v>
      </c>
      <c r="Z599" t="s">
        <v>1062</v>
      </c>
    </row>
    <row r="600" spans="1:26" x14ac:dyDescent="0.25">
      <c r="A600">
        <v>2032256024</v>
      </c>
      <c r="B600" t="s">
        <v>586</v>
      </c>
      <c r="C600" t="s">
        <v>494</v>
      </c>
      <c r="D600" t="str">
        <f>CONCATENATE(C600," ",B600)</f>
        <v>ROBERT DAVIS</v>
      </c>
      <c r="E600" t="s">
        <v>305</v>
      </c>
      <c r="F600" t="s">
        <v>146</v>
      </c>
      <c r="G600" t="s">
        <v>147</v>
      </c>
      <c r="H600" t="s">
        <v>147</v>
      </c>
      <c r="I600" s="11" t="s">
        <v>1040</v>
      </c>
      <c r="J600" t="s">
        <v>306</v>
      </c>
      <c r="K600" t="s">
        <v>307</v>
      </c>
      <c r="L600" t="str">
        <f>CONCATENATE(K600," ",J600)</f>
        <v>WILLIAM GESKE</v>
      </c>
      <c r="M600" t="s">
        <v>57</v>
      </c>
      <c r="N600" s="1">
        <v>45981</v>
      </c>
      <c r="P600" s="1">
        <v>46193</v>
      </c>
      <c r="Q600" s="2">
        <v>-71.760000000000005</v>
      </c>
      <c r="R600" t="s">
        <v>58</v>
      </c>
      <c r="S600" s="4">
        <v>0.375</v>
      </c>
      <c r="T600" t="s">
        <v>60</v>
      </c>
      <c r="U600" t="s">
        <v>239</v>
      </c>
      <c r="V600" s="2">
        <v>-26.91</v>
      </c>
      <c r="W600" s="2">
        <v>-26.91</v>
      </c>
      <c r="X600" s="2">
        <v>-26.91</v>
      </c>
      <c r="Y600" t="s">
        <v>238</v>
      </c>
      <c r="Z600" t="s">
        <v>1062</v>
      </c>
    </row>
    <row r="601" spans="1:26" x14ac:dyDescent="0.25">
      <c r="A601">
        <v>2032484434</v>
      </c>
      <c r="B601" t="s">
        <v>905</v>
      </c>
      <c r="C601" t="s">
        <v>906</v>
      </c>
      <c r="D601" t="str">
        <f>CONCATENATE(C601," ",B601)</f>
        <v>BEN LOPEZ</v>
      </c>
      <c r="E601" t="s">
        <v>165</v>
      </c>
      <c r="F601" t="s">
        <v>146</v>
      </c>
      <c r="G601" t="s">
        <v>147</v>
      </c>
      <c r="H601" t="s">
        <v>147</v>
      </c>
      <c r="I601" s="11" t="s">
        <v>1022</v>
      </c>
      <c r="J601" t="s">
        <v>171</v>
      </c>
      <c r="K601" t="s">
        <v>172</v>
      </c>
      <c r="L601" t="str">
        <f>CONCATENATE(K601," ",J601)</f>
        <v>THOMAS PARDUE</v>
      </c>
      <c r="M601" t="s">
        <v>57</v>
      </c>
      <c r="N601" s="1">
        <v>46004</v>
      </c>
      <c r="P601" s="1">
        <v>46216</v>
      </c>
      <c r="Q601" s="2">
        <v>32.340000000000003</v>
      </c>
      <c r="R601" t="s">
        <v>58</v>
      </c>
      <c r="S601" s="4">
        <v>0.375</v>
      </c>
      <c r="T601" t="s">
        <v>60</v>
      </c>
      <c r="U601" t="s">
        <v>239</v>
      </c>
      <c r="V601" s="2">
        <v>12.13</v>
      </c>
      <c r="W601" s="2">
        <v>12.13</v>
      </c>
      <c r="X601" s="2">
        <v>12.13</v>
      </c>
      <c r="Y601" t="s">
        <v>238</v>
      </c>
      <c r="Z601" t="s">
        <v>1064</v>
      </c>
    </row>
    <row r="602" spans="1:26" x14ac:dyDescent="0.25">
      <c r="A602">
        <v>2032634715</v>
      </c>
      <c r="B602" t="s">
        <v>389</v>
      </c>
      <c r="C602" t="s">
        <v>390</v>
      </c>
      <c r="D602" t="str">
        <f>CONCATENATE(C602," ",B602)</f>
        <v>LENA PLAYER</v>
      </c>
      <c r="E602" t="s">
        <v>305</v>
      </c>
      <c r="F602" t="s">
        <v>146</v>
      </c>
      <c r="G602" t="s">
        <v>147</v>
      </c>
      <c r="H602" t="s">
        <v>147</v>
      </c>
      <c r="I602" s="11" t="s">
        <v>1020</v>
      </c>
      <c r="J602" t="s">
        <v>312</v>
      </c>
      <c r="K602" t="s">
        <v>313</v>
      </c>
      <c r="L602" t="str">
        <f>CONCATENATE(K602," ",J602)</f>
        <v>Heather Geske</v>
      </c>
      <c r="M602" t="s">
        <v>57</v>
      </c>
      <c r="N602" s="1">
        <v>46006</v>
      </c>
      <c r="P602" s="1">
        <v>46218</v>
      </c>
      <c r="Q602" s="2">
        <v>138.78</v>
      </c>
      <c r="R602" t="s">
        <v>58</v>
      </c>
      <c r="S602" s="4">
        <v>0.375</v>
      </c>
      <c r="T602" t="s">
        <v>60</v>
      </c>
      <c r="U602" t="s">
        <v>239</v>
      </c>
      <c r="V602" s="2">
        <v>52.04</v>
      </c>
      <c r="W602" s="2">
        <v>52.04</v>
      </c>
      <c r="X602" s="2">
        <v>52.04</v>
      </c>
      <c r="Y602" t="s">
        <v>238</v>
      </c>
      <c r="Z602" t="s">
        <v>1064</v>
      </c>
    </row>
    <row r="603" spans="1:26" x14ac:dyDescent="0.25">
      <c r="A603">
        <v>2032658994</v>
      </c>
      <c r="B603" t="s">
        <v>369</v>
      </c>
      <c r="C603" t="s">
        <v>907</v>
      </c>
      <c r="D603" t="str">
        <f>CONCATENATE(C603," ",B603)</f>
        <v>ANDRES HERRERA</v>
      </c>
      <c r="E603" t="s">
        <v>170</v>
      </c>
      <c r="F603" t="s">
        <v>146</v>
      </c>
      <c r="G603" t="s">
        <v>147</v>
      </c>
      <c r="H603" t="s">
        <v>147</v>
      </c>
      <c r="I603" s="11" t="s">
        <v>1022</v>
      </c>
      <c r="J603" t="s">
        <v>171</v>
      </c>
      <c r="K603" t="s">
        <v>172</v>
      </c>
      <c r="L603" t="str">
        <f>CONCATENATE(K603," ",J603)</f>
        <v>THOMAS PARDUE</v>
      </c>
      <c r="M603" t="s">
        <v>57</v>
      </c>
      <c r="N603" s="1">
        <v>46004</v>
      </c>
      <c r="P603" s="1">
        <v>46216</v>
      </c>
      <c r="Q603" s="2">
        <v>29.5</v>
      </c>
      <c r="R603" t="s">
        <v>58</v>
      </c>
      <c r="S603" s="4">
        <v>0.375</v>
      </c>
      <c r="T603" t="s">
        <v>60</v>
      </c>
      <c r="U603" t="s">
        <v>239</v>
      </c>
      <c r="V603" s="2">
        <v>11.06</v>
      </c>
      <c r="W603" s="2">
        <v>11.06</v>
      </c>
      <c r="X603" s="2">
        <v>11.06</v>
      </c>
      <c r="Y603" t="s">
        <v>238</v>
      </c>
      <c r="Z603" t="s">
        <v>1064</v>
      </c>
    </row>
    <row r="604" spans="1:26" x14ac:dyDescent="0.25">
      <c r="A604">
        <v>2032669963</v>
      </c>
      <c r="B604" t="s">
        <v>908</v>
      </c>
      <c r="C604" t="s">
        <v>909</v>
      </c>
      <c r="D604" t="str">
        <f>CONCATENATE(C604," ",B604)</f>
        <v>IVY TOPEL</v>
      </c>
      <c r="E604" t="s">
        <v>119</v>
      </c>
      <c r="F604" t="s">
        <v>146</v>
      </c>
      <c r="G604" t="s">
        <v>147</v>
      </c>
      <c r="H604" t="s">
        <v>147</v>
      </c>
      <c r="I604" s="11" t="s">
        <v>1017</v>
      </c>
      <c r="J604" t="s">
        <v>328</v>
      </c>
      <c r="K604" t="s">
        <v>329</v>
      </c>
      <c r="L604" t="str">
        <f>CONCATENATE(K604," ",J604)</f>
        <v>CHRISTIAN TAUGNER</v>
      </c>
      <c r="M604" t="s">
        <v>57</v>
      </c>
      <c r="N604" s="1">
        <v>46005</v>
      </c>
      <c r="P604" s="1">
        <v>46217</v>
      </c>
      <c r="Q604" s="2">
        <v>53.87</v>
      </c>
      <c r="R604" t="s">
        <v>58</v>
      </c>
      <c r="S604" s="4">
        <v>0.375</v>
      </c>
      <c r="T604" t="s">
        <v>60</v>
      </c>
      <c r="U604" t="s">
        <v>239</v>
      </c>
      <c r="V604" s="2">
        <v>20.2</v>
      </c>
      <c r="W604" s="2">
        <v>20.2</v>
      </c>
      <c r="X604" s="2">
        <v>20.2</v>
      </c>
      <c r="Y604" t="s">
        <v>238</v>
      </c>
      <c r="Z604" t="s">
        <v>1064</v>
      </c>
    </row>
    <row r="605" spans="1:26" x14ac:dyDescent="0.25">
      <c r="A605">
        <v>2032676547</v>
      </c>
      <c r="B605" t="s">
        <v>274</v>
      </c>
      <c r="C605" t="s">
        <v>123</v>
      </c>
      <c r="D605" t="str">
        <f>CONCATENATE(C605," ",B605)</f>
        <v>FRANK ANILO</v>
      </c>
      <c r="E605" t="s">
        <v>52</v>
      </c>
      <c r="F605" t="s">
        <v>146</v>
      </c>
      <c r="G605" t="s">
        <v>147</v>
      </c>
      <c r="H605" t="s">
        <v>147</v>
      </c>
      <c r="I605" s="11">
        <v>15950276</v>
      </c>
      <c r="J605" t="s">
        <v>273</v>
      </c>
      <c r="K605" t="s">
        <v>92</v>
      </c>
      <c r="L605" t="str">
        <f>CONCATENATE(K605," ",J605)</f>
        <v>Ryan Stocker</v>
      </c>
      <c r="M605" t="s">
        <v>57</v>
      </c>
      <c r="N605" s="1">
        <v>46005</v>
      </c>
      <c r="P605" s="1">
        <v>46217</v>
      </c>
      <c r="Q605" s="2">
        <v>37.32</v>
      </c>
      <c r="R605" t="s">
        <v>58</v>
      </c>
      <c r="S605" s="4">
        <v>0.375</v>
      </c>
      <c r="T605" t="s">
        <v>60</v>
      </c>
      <c r="U605" t="s">
        <v>239</v>
      </c>
      <c r="V605" s="2">
        <v>14</v>
      </c>
      <c r="W605" s="2">
        <v>14</v>
      </c>
      <c r="X605" s="2">
        <v>14</v>
      </c>
      <c r="Y605" t="s">
        <v>238</v>
      </c>
      <c r="Z605" t="s">
        <v>1062</v>
      </c>
    </row>
    <row r="606" spans="1:26" x14ac:dyDescent="0.25">
      <c r="A606">
        <v>2032693408</v>
      </c>
      <c r="B606" t="s">
        <v>606</v>
      </c>
      <c r="C606" t="s">
        <v>607</v>
      </c>
      <c r="D606" t="str">
        <f>CONCATENATE(C606," ",B606)</f>
        <v>ANGELA TILLEY</v>
      </c>
      <c r="E606" t="s">
        <v>305</v>
      </c>
      <c r="F606" t="s">
        <v>146</v>
      </c>
      <c r="G606" t="s">
        <v>147</v>
      </c>
      <c r="H606" t="s">
        <v>147</v>
      </c>
      <c r="I606" s="11" t="s">
        <v>1020</v>
      </c>
      <c r="J606" t="s">
        <v>312</v>
      </c>
      <c r="K606" t="s">
        <v>313</v>
      </c>
      <c r="L606" t="str">
        <f>CONCATENATE(K606," ",J606)</f>
        <v>Heather Geske</v>
      </c>
      <c r="M606" t="s">
        <v>57</v>
      </c>
      <c r="N606" s="1">
        <v>46007</v>
      </c>
      <c r="P606" s="1">
        <v>46219</v>
      </c>
      <c r="Q606" s="2">
        <v>47.28</v>
      </c>
      <c r="R606" t="s">
        <v>58</v>
      </c>
      <c r="S606" s="4">
        <v>0.375</v>
      </c>
      <c r="T606" t="s">
        <v>60</v>
      </c>
      <c r="U606" t="s">
        <v>239</v>
      </c>
      <c r="V606" s="2">
        <v>17.73</v>
      </c>
      <c r="W606" s="2">
        <v>17.73</v>
      </c>
      <c r="X606" s="2">
        <v>17.73</v>
      </c>
      <c r="Y606" t="s">
        <v>238</v>
      </c>
      <c r="Z606" t="s">
        <v>1064</v>
      </c>
    </row>
    <row r="607" spans="1:26" x14ac:dyDescent="0.25">
      <c r="A607">
        <v>2032715765</v>
      </c>
      <c r="B607" t="s">
        <v>910</v>
      </c>
      <c r="C607" t="s">
        <v>392</v>
      </c>
      <c r="D607" t="str">
        <f>CONCATENATE(C607," ",B607)</f>
        <v>NICOLE MOURILLON</v>
      </c>
      <c r="E607" t="s">
        <v>119</v>
      </c>
      <c r="F607" t="s">
        <v>146</v>
      </c>
      <c r="G607" t="s">
        <v>147</v>
      </c>
      <c r="H607" t="s">
        <v>147</v>
      </c>
      <c r="I607" s="11" t="s">
        <v>1001</v>
      </c>
      <c r="J607" t="s">
        <v>73</v>
      </c>
      <c r="K607" t="s">
        <v>116</v>
      </c>
      <c r="L607" t="str">
        <f>CONCATENATE(K607," ",J607)</f>
        <v>Richard Yale</v>
      </c>
      <c r="M607" t="s">
        <v>57</v>
      </c>
      <c r="N607" s="1">
        <v>46008</v>
      </c>
      <c r="P607" s="1">
        <v>46220</v>
      </c>
      <c r="Q607" s="2">
        <v>77.48</v>
      </c>
      <c r="R607" t="s">
        <v>58</v>
      </c>
      <c r="S607" s="4">
        <v>0.375</v>
      </c>
      <c r="T607" t="s">
        <v>60</v>
      </c>
      <c r="U607" t="s">
        <v>239</v>
      </c>
      <c r="V607" s="2">
        <v>29.06</v>
      </c>
      <c r="W607" s="2">
        <v>29.06</v>
      </c>
      <c r="X607" s="2">
        <v>29.06</v>
      </c>
      <c r="Y607" t="s">
        <v>238</v>
      </c>
      <c r="Z607" t="s">
        <v>1064</v>
      </c>
    </row>
    <row r="608" spans="1:26" x14ac:dyDescent="0.25">
      <c r="A608">
        <v>2032741113</v>
      </c>
      <c r="B608" t="s">
        <v>853</v>
      </c>
      <c r="C608" t="s">
        <v>494</v>
      </c>
      <c r="D608" t="str">
        <f>CONCATENATE(C608," ",B608)</f>
        <v>ROBERT CRISTIAN</v>
      </c>
      <c r="E608" t="s">
        <v>119</v>
      </c>
      <c r="F608" t="s">
        <v>146</v>
      </c>
      <c r="G608" t="s">
        <v>147</v>
      </c>
      <c r="H608" t="s">
        <v>147</v>
      </c>
      <c r="I608" s="11" t="s">
        <v>1044</v>
      </c>
      <c r="J608" t="s">
        <v>595</v>
      </c>
      <c r="K608" t="s">
        <v>596</v>
      </c>
      <c r="L608" t="str">
        <f>CONCATENATE(K608," ",J608)</f>
        <v>Raluca Cheregi</v>
      </c>
      <c r="M608" t="s">
        <v>57</v>
      </c>
      <c r="N608" s="1">
        <v>46009</v>
      </c>
      <c r="P608" s="1">
        <v>46221</v>
      </c>
      <c r="Q608" s="2">
        <v>149.87</v>
      </c>
      <c r="R608" t="s">
        <v>58</v>
      </c>
      <c r="S608" s="4">
        <v>0.375</v>
      </c>
      <c r="T608" t="s">
        <v>60</v>
      </c>
      <c r="U608" t="s">
        <v>239</v>
      </c>
      <c r="V608" s="2">
        <v>56.2</v>
      </c>
      <c r="W608" s="2">
        <v>56.2</v>
      </c>
      <c r="X608" s="2">
        <v>56.2</v>
      </c>
      <c r="Y608" t="s">
        <v>238</v>
      </c>
      <c r="Z608" t="s">
        <v>1064</v>
      </c>
    </row>
    <row r="609" spans="1:26" x14ac:dyDescent="0.25">
      <c r="A609">
        <v>2032757519</v>
      </c>
      <c r="B609" t="s">
        <v>911</v>
      </c>
      <c r="C609" t="s">
        <v>912</v>
      </c>
      <c r="D609" t="str">
        <f>CONCATENATE(C609," ",B609)</f>
        <v>MERRY LEVIN</v>
      </c>
      <c r="E609" t="s">
        <v>52</v>
      </c>
      <c r="F609" t="s">
        <v>146</v>
      </c>
      <c r="G609" t="s">
        <v>147</v>
      </c>
      <c r="H609" t="s">
        <v>147</v>
      </c>
      <c r="I609" s="11">
        <v>17425766</v>
      </c>
      <c r="J609" t="s">
        <v>158</v>
      </c>
      <c r="K609" t="s">
        <v>159</v>
      </c>
      <c r="L609" t="str">
        <f>CONCATENATE(K609," ",J609)</f>
        <v>CAROL FOLEY</v>
      </c>
      <c r="M609" t="s">
        <v>57</v>
      </c>
      <c r="N609" s="1">
        <v>46010</v>
      </c>
      <c r="P609" s="1">
        <v>46222</v>
      </c>
      <c r="Q609" s="2">
        <v>28.32</v>
      </c>
      <c r="R609" t="s">
        <v>58</v>
      </c>
      <c r="S609" s="4">
        <v>0.375</v>
      </c>
      <c r="T609" t="s">
        <v>60</v>
      </c>
      <c r="U609" t="s">
        <v>239</v>
      </c>
      <c r="V609" s="2">
        <v>10.62</v>
      </c>
      <c r="W609" s="2">
        <v>10.62</v>
      </c>
      <c r="X609" s="2">
        <v>10.62</v>
      </c>
      <c r="Y609" t="s">
        <v>238</v>
      </c>
      <c r="Z609" t="s">
        <v>1062</v>
      </c>
    </row>
    <row r="610" spans="1:26" x14ac:dyDescent="0.25">
      <c r="A610">
        <v>2033401870</v>
      </c>
      <c r="B610" t="s">
        <v>647</v>
      </c>
      <c r="C610" t="s">
        <v>513</v>
      </c>
      <c r="D610" t="str">
        <f>CONCATENATE(C610," ",B610)</f>
        <v>AMY DIDONNE</v>
      </c>
      <c r="E610" t="s">
        <v>95</v>
      </c>
      <c r="F610" t="s">
        <v>146</v>
      </c>
      <c r="G610" t="s">
        <v>147</v>
      </c>
      <c r="H610" t="s">
        <v>147</v>
      </c>
      <c r="I610" s="11" t="s">
        <v>1037</v>
      </c>
      <c r="J610" t="s">
        <v>514</v>
      </c>
      <c r="K610" t="s">
        <v>515</v>
      </c>
      <c r="L610" t="str">
        <f>CONCATENATE(K610," ",J610)</f>
        <v>Ines Berg</v>
      </c>
      <c r="M610" t="s">
        <v>57</v>
      </c>
      <c r="N610" s="1">
        <v>46054</v>
      </c>
      <c r="P610" s="1">
        <v>46174</v>
      </c>
      <c r="Q610" s="2">
        <v>-77.27</v>
      </c>
      <c r="R610" t="s">
        <v>58</v>
      </c>
      <c r="S610" s="4">
        <v>0.375</v>
      </c>
      <c r="T610" t="s">
        <v>60</v>
      </c>
      <c r="U610" t="s">
        <v>239</v>
      </c>
      <c r="V610" s="2">
        <v>-28.98</v>
      </c>
      <c r="W610" s="2">
        <v>-28.98</v>
      </c>
      <c r="X610" s="2">
        <v>-28.98</v>
      </c>
      <c r="Y610" t="s">
        <v>238</v>
      </c>
      <c r="Z610" t="s">
        <v>1063</v>
      </c>
    </row>
    <row r="611" spans="1:26" x14ac:dyDescent="0.25">
      <c r="A611">
        <v>2033401870</v>
      </c>
      <c r="B611" t="s">
        <v>647</v>
      </c>
      <c r="C611" t="s">
        <v>513</v>
      </c>
      <c r="D611" t="str">
        <f>CONCATENATE(C611," ",B611)</f>
        <v>AMY DIDONNE</v>
      </c>
      <c r="E611" t="s">
        <v>95</v>
      </c>
      <c r="F611" t="s">
        <v>146</v>
      </c>
      <c r="G611" t="s">
        <v>147</v>
      </c>
      <c r="H611" t="s">
        <v>147</v>
      </c>
      <c r="I611" s="11" t="s">
        <v>1037</v>
      </c>
      <c r="J611" t="s">
        <v>514</v>
      </c>
      <c r="K611" t="s">
        <v>515</v>
      </c>
      <c r="L611" t="str">
        <f>CONCATENATE(K611," ",J611)</f>
        <v>Ines Berg</v>
      </c>
      <c r="M611" t="s">
        <v>57</v>
      </c>
      <c r="N611" s="1">
        <v>46054</v>
      </c>
      <c r="P611" s="1">
        <v>46174</v>
      </c>
      <c r="Q611" s="2">
        <v>-73.13</v>
      </c>
      <c r="R611" t="s">
        <v>58</v>
      </c>
      <c r="S611" s="4">
        <v>0.375</v>
      </c>
      <c r="T611" t="s">
        <v>60</v>
      </c>
      <c r="U611" t="s">
        <v>239</v>
      </c>
      <c r="V611" s="2">
        <v>-27.42</v>
      </c>
      <c r="W611" s="2">
        <v>-27.42</v>
      </c>
      <c r="X611" s="2">
        <v>-27.42</v>
      </c>
      <c r="Y611" t="s">
        <v>238</v>
      </c>
      <c r="Z611" t="s">
        <v>1063</v>
      </c>
    </row>
    <row r="612" spans="1:26" x14ac:dyDescent="0.25">
      <c r="A612">
        <v>2033401870</v>
      </c>
      <c r="B612" t="s">
        <v>647</v>
      </c>
      <c r="C612" t="s">
        <v>513</v>
      </c>
      <c r="D612" t="str">
        <f>CONCATENATE(C612," ",B612)</f>
        <v>AMY DIDONNE</v>
      </c>
      <c r="E612" t="s">
        <v>95</v>
      </c>
      <c r="F612" t="s">
        <v>146</v>
      </c>
      <c r="G612" t="s">
        <v>147</v>
      </c>
      <c r="H612" t="s">
        <v>147</v>
      </c>
      <c r="I612" s="11" t="s">
        <v>1037</v>
      </c>
      <c r="J612" t="s">
        <v>514</v>
      </c>
      <c r="K612" t="s">
        <v>515</v>
      </c>
      <c r="L612" t="str">
        <f>CONCATENATE(K612," ",J612)</f>
        <v>Ines Berg</v>
      </c>
      <c r="M612" t="s">
        <v>57</v>
      </c>
      <c r="N612" s="1">
        <v>46054</v>
      </c>
      <c r="P612" s="1">
        <v>46174</v>
      </c>
      <c r="Q612" s="2">
        <v>-0.04</v>
      </c>
      <c r="R612" t="s">
        <v>58</v>
      </c>
      <c r="S612" s="4">
        <v>0.375</v>
      </c>
      <c r="T612" t="s">
        <v>60</v>
      </c>
      <c r="U612" t="s">
        <v>239</v>
      </c>
      <c r="V612" s="2">
        <v>-0.02</v>
      </c>
      <c r="W612" s="2">
        <v>-0.02</v>
      </c>
      <c r="X612" s="2">
        <v>-0.02</v>
      </c>
      <c r="Y612" t="s">
        <v>238</v>
      </c>
      <c r="Z612" t="s">
        <v>1063</v>
      </c>
    </row>
    <row r="613" spans="1:26" x14ac:dyDescent="0.25">
      <c r="A613">
        <v>2033404741</v>
      </c>
      <c r="B613" t="s">
        <v>647</v>
      </c>
      <c r="C613" t="s">
        <v>607</v>
      </c>
      <c r="D613" t="str">
        <f>CONCATENATE(C613," ",B613)</f>
        <v>ANGELA DIDONNE</v>
      </c>
      <c r="E613" t="s">
        <v>95</v>
      </c>
      <c r="F613" t="s">
        <v>146</v>
      </c>
      <c r="G613" t="s">
        <v>147</v>
      </c>
      <c r="H613" t="s">
        <v>147</v>
      </c>
      <c r="I613" s="11" t="s">
        <v>1037</v>
      </c>
      <c r="J613" t="s">
        <v>514</v>
      </c>
      <c r="K613" t="s">
        <v>515</v>
      </c>
      <c r="L613" t="str">
        <f>CONCATENATE(K613," ",J613)</f>
        <v>Ines Berg</v>
      </c>
      <c r="M613" t="s">
        <v>57</v>
      </c>
      <c r="N613" s="1">
        <v>46054</v>
      </c>
      <c r="P613" s="1">
        <v>46174</v>
      </c>
      <c r="Q613" s="2">
        <v>-73.17</v>
      </c>
      <c r="R613" t="s">
        <v>58</v>
      </c>
      <c r="S613" s="4">
        <v>0.375</v>
      </c>
      <c r="T613" t="s">
        <v>60</v>
      </c>
      <c r="U613" t="s">
        <v>239</v>
      </c>
      <c r="V613" s="2">
        <v>-27.44</v>
      </c>
      <c r="W613" s="2">
        <v>-27.44</v>
      </c>
      <c r="X613" s="2">
        <v>-27.44</v>
      </c>
      <c r="Y613" t="s">
        <v>238</v>
      </c>
      <c r="Z613" t="s">
        <v>1063</v>
      </c>
    </row>
    <row r="614" spans="1:26" x14ac:dyDescent="0.25">
      <c r="A614">
        <v>2033406247</v>
      </c>
      <c r="B614" t="s">
        <v>648</v>
      </c>
      <c r="C614" t="s">
        <v>649</v>
      </c>
      <c r="D614" t="str">
        <f>CONCATENATE(C614," ",B614)</f>
        <v>AMLIZ RIVERA</v>
      </c>
      <c r="E614" t="s">
        <v>95</v>
      </c>
      <c r="F614" t="s">
        <v>146</v>
      </c>
      <c r="G614" t="s">
        <v>147</v>
      </c>
      <c r="H614" t="s">
        <v>147</v>
      </c>
      <c r="I614" s="11" t="s">
        <v>1037</v>
      </c>
      <c r="J614" t="s">
        <v>514</v>
      </c>
      <c r="K614" t="s">
        <v>515</v>
      </c>
      <c r="L614" t="str">
        <f>CONCATENATE(K614," ",J614)</f>
        <v>Ines Berg</v>
      </c>
      <c r="M614" t="s">
        <v>57</v>
      </c>
      <c r="N614" s="1">
        <v>46054</v>
      </c>
      <c r="P614" s="1">
        <v>46174</v>
      </c>
      <c r="Q614" s="2">
        <v>-73.17</v>
      </c>
      <c r="R614" t="s">
        <v>58</v>
      </c>
      <c r="S614" s="4">
        <v>0.375</v>
      </c>
      <c r="T614" t="s">
        <v>60</v>
      </c>
      <c r="U614" t="s">
        <v>239</v>
      </c>
      <c r="V614" s="2">
        <v>-27.44</v>
      </c>
      <c r="W614" s="2">
        <v>-27.44</v>
      </c>
      <c r="X614" s="2">
        <v>-27.44</v>
      </c>
      <c r="Y614" t="s">
        <v>238</v>
      </c>
      <c r="Z614" t="s">
        <v>1063</v>
      </c>
    </row>
    <row r="615" spans="1:26" x14ac:dyDescent="0.25">
      <c r="A615">
        <v>2034310022</v>
      </c>
      <c r="B615" t="s">
        <v>676</v>
      </c>
      <c r="C615" t="s">
        <v>677</v>
      </c>
      <c r="D615" t="str">
        <f>CONCATENATE(C615," ",B615)</f>
        <v>MONALISA RAMOS</v>
      </c>
      <c r="E615" t="s">
        <v>119</v>
      </c>
      <c r="F615" t="s">
        <v>182</v>
      </c>
      <c r="G615" t="s">
        <v>194</v>
      </c>
      <c r="H615" t="s">
        <v>194</v>
      </c>
      <c r="I615" s="11" t="s">
        <v>1034</v>
      </c>
      <c r="J615" t="s">
        <v>495</v>
      </c>
      <c r="K615" t="s">
        <v>496</v>
      </c>
      <c r="L615" t="str">
        <f>CONCATENATE(K615," ",J615)</f>
        <v>RICARDO SANTOS</v>
      </c>
      <c r="M615" t="s">
        <v>57</v>
      </c>
      <c r="N615" s="1">
        <v>46094</v>
      </c>
      <c r="P615" s="1">
        <v>46216</v>
      </c>
      <c r="Q615" s="2">
        <v>142.08000000000001</v>
      </c>
      <c r="R615" t="s">
        <v>58</v>
      </c>
      <c r="S615" s="3">
        <v>0.9</v>
      </c>
      <c r="T615" t="s">
        <v>60</v>
      </c>
      <c r="U615" t="s">
        <v>239</v>
      </c>
      <c r="V615" s="2">
        <v>127.87</v>
      </c>
      <c r="W615" s="2">
        <v>0</v>
      </c>
      <c r="X615" s="2">
        <v>0</v>
      </c>
      <c r="Y615" t="s">
        <v>238</v>
      </c>
      <c r="Z615" t="s">
        <v>1063</v>
      </c>
    </row>
    <row r="616" spans="1:26" x14ac:dyDescent="0.25">
      <c r="A616">
        <v>2033723212</v>
      </c>
      <c r="B616" t="s">
        <v>660</v>
      </c>
      <c r="C616" t="s">
        <v>661</v>
      </c>
      <c r="D616" t="str">
        <f>CONCATENATE(C616," ",B616)</f>
        <v>BARBARA MILLER</v>
      </c>
      <c r="E616" t="s">
        <v>193</v>
      </c>
      <c r="F616" t="s">
        <v>182</v>
      </c>
      <c r="G616" t="s">
        <v>194</v>
      </c>
      <c r="H616" t="s">
        <v>194</v>
      </c>
      <c r="I616" s="11" t="s">
        <v>1043</v>
      </c>
      <c r="J616" t="s">
        <v>137</v>
      </c>
      <c r="K616" t="s">
        <v>138</v>
      </c>
      <c r="L616" t="str">
        <f>CONCATENATE(K616," ",J616)</f>
        <v>Brittany Oliver</v>
      </c>
      <c r="M616" t="s">
        <v>57</v>
      </c>
      <c r="N616" s="1">
        <v>46072</v>
      </c>
      <c r="P616" s="1">
        <v>46222</v>
      </c>
      <c r="Q616" s="2">
        <v>51.63</v>
      </c>
      <c r="R616" t="s">
        <v>58</v>
      </c>
      <c r="S616" s="3">
        <v>0.9</v>
      </c>
      <c r="T616" t="s">
        <v>60</v>
      </c>
      <c r="U616" t="s">
        <v>239</v>
      </c>
      <c r="V616" s="2">
        <v>46.47</v>
      </c>
      <c r="W616" s="2">
        <v>0</v>
      </c>
      <c r="X616" s="2">
        <v>0</v>
      </c>
      <c r="Y616" t="s">
        <v>238</v>
      </c>
      <c r="Z616" t="s">
        <v>1063</v>
      </c>
    </row>
    <row r="617" spans="1:26" x14ac:dyDescent="0.25">
      <c r="A617">
        <v>2034315973</v>
      </c>
      <c r="B617" t="s">
        <v>620</v>
      </c>
      <c r="C617" t="s">
        <v>678</v>
      </c>
      <c r="D617" t="str">
        <f>CONCATENATE(C617," ",B617)</f>
        <v>DIANA SMITH</v>
      </c>
      <c r="E617" t="s">
        <v>170</v>
      </c>
      <c r="F617" t="s">
        <v>182</v>
      </c>
      <c r="G617" t="s">
        <v>194</v>
      </c>
      <c r="H617" t="s">
        <v>194</v>
      </c>
      <c r="I617" s="11" t="s">
        <v>1047</v>
      </c>
      <c r="J617" t="s">
        <v>171</v>
      </c>
      <c r="K617" t="s">
        <v>172</v>
      </c>
      <c r="L617" t="str">
        <f>CONCATENATE(K617," ",J617)</f>
        <v>THOMAS PARDUE</v>
      </c>
      <c r="M617" t="s">
        <v>57</v>
      </c>
      <c r="N617" s="1">
        <v>46094</v>
      </c>
      <c r="P617" s="1">
        <v>46216</v>
      </c>
      <c r="Q617" s="2">
        <v>51.63</v>
      </c>
      <c r="R617" t="s">
        <v>58</v>
      </c>
      <c r="S617" s="3">
        <v>0.9</v>
      </c>
      <c r="T617" t="s">
        <v>60</v>
      </c>
      <c r="U617" t="s">
        <v>239</v>
      </c>
      <c r="V617" s="2">
        <v>46.47</v>
      </c>
      <c r="W617" s="2">
        <v>0</v>
      </c>
      <c r="X617" s="2">
        <v>0</v>
      </c>
      <c r="Y617" t="s">
        <v>238</v>
      </c>
      <c r="Z617" t="s">
        <v>1063</v>
      </c>
    </row>
    <row r="618" spans="1:26" x14ac:dyDescent="0.25">
      <c r="A618">
        <v>2035461517</v>
      </c>
      <c r="B618" t="s">
        <v>744</v>
      </c>
      <c r="C618" t="s">
        <v>745</v>
      </c>
      <c r="D618" t="str">
        <f>CONCATENATE(C618," ",B618)</f>
        <v>MANUEL HERNANDEZ</v>
      </c>
      <c r="E618" t="s">
        <v>193</v>
      </c>
      <c r="F618" t="s">
        <v>182</v>
      </c>
      <c r="G618" t="s">
        <v>194</v>
      </c>
      <c r="H618" t="s">
        <v>194</v>
      </c>
      <c r="I618" s="11">
        <v>9079571</v>
      </c>
      <c r="J618" t="s">
        <v>64</v>
      </c>
      <c r="K618" t="s">
        <v>236</v>
      </c>
      <c r="L618" t="str">
        <f>CONCATENATE(K618," ",J618)</f>
        <v>ADAM RICHTER</v>
      </c>
      <c r="M618" t="s">
        <v>57</v>
      </c>
      <c r="N618" s="1">
        <v>46156</v>
      </c>
      <c r="P618" s="1">
        <v>46217</v>
      </c>
      <c r="Q618" s="2">
        <v>41.88</v>
      </c>
      <c r="R618" t="s">
        <v>58</v>
      </c>
      <c r="S618" s="3">
        <v>0.9</v>
      </c>
      <c r="T618" t="s">
        <v>60</v>
      </c>
      <c r="U618" t="s">
        <v>239</v>
      </c>
      <c r="V618" s="2">
        <v>37.69</v>
      </c>
      <c r="W618" s="2">
        <v>0</v>
      </c>
      <c r="X618" s="2">
        <v>0</v>
      </c>
      <c r="Y618" t="s">
        <v>238</v>
      </c>
      <c r="Z618" t="s">
        <v>1062</v>
      </c>
    </row>
    <row r="619" spans="1:26" x14ac:dyDescent="0.25">
      <c r="A619">
        <v>2034917050</v>
      </c>
      <c r="B619" t="s">
        <v>704</v>
      </c>
      <c r="C619" t="s">
        <v>483</v>
      </c>
      <c r="D619" t="str">
        <f>CONCATENATE(C619," ",B619)</f>
        <v>CHRISTOPHER KELLY</v>
      </c>
      <c r="E619" t="s">
        <v>305</v>
      </c>
      <c r="F619" t="s">
        <v>182</v>
      </c>
      <c r="G619" t="s">
        <v>194</v>
      </c>
      <c r="H619" t="s">
        <v>194</v>
      </c>
      <c r="I619" s="11" t="s">
        <v>1020</v>
      </c>
      <c r="J619" t="s">
        <v>312</v>
      </c>
      <c r="K619" t="s">
        <v>313</v>
      </c>
      <c r="L619" t="str">
        <f>CONCATENATE(K619," ",J619)</f>
        <v>Heather Geske</v>
      </c>
      <c r="M619" t="s">
        <v>57</v>
      </c>
      <c r="N619" s="1">
        <v>46127</v>
      </c>
      <c r="P619" s="1">
        <v>46218</v>
      </c>
      <c r="Q619" s="2">
        <v>40.08</v>
      </c>
      <c r="R619" t="s">
        <v>58</v>
      </c>
      <c r="S619" s="3">
        <v>0.9</v>
      </c>
      <c r="T619" t="s">
        <v>60</v>
      </c>
      <c r="U619" t="s">
        <v>239</v>
      </c>
      <c r="V619" s="2">
        <v>36.07</v>
      </c>
      <c r="W619" s="2">
        <v>0</v>
      </c>
      <c r="X619" s="2">
        <v>0</v>
      </c>
      <c r="Y619" t="s">
        <v>238</v>
      </c>
      <c r="Z619" t="s">
        <v>1063</v>
      </c>
    </row>
    <row r="620" spans="1:26" x14ac:dyDescent="0.25">
      <c r="A620">
        <v>2033187706</v>
      </c>
      <c r="B620" t="s">
        <v>641</v>
      </c>
      <c r="C620" t="s">
        <v>642</v>
      </c>
      <c r="D620" t="str">
        <f>CONCATENATE(C620," ",B620)</f>
        <v>TONIA GARRETT</v>
      </c>
      <c r="E620" t="s">
        <v>193</v>
      </c>
      <c r="F620" t="s">
        <v>182</v>
      </c>
      <c r="G620" t="s">
        <v>194</v>
      </c>
      <c r="H620" t="s">
        <v>194</v>
      </c>
      <c r="I620" s="11" t="s">
        <v>1043</v>
      </c>
      <c r="J620" t="s">
        <v>137</v>
      </c>
      <c r="K620" t="s">
        <v>138</v>
      </c>
      <c r="L620" t="str">
        <f>CONCATENATE(K620," ",J620)</f>
        <v>Brittany Oliver</v>
      </c>
      <c r="M620" t="s">
        <v>57</v>
      </c>
      <c r="N620" s="1">
        <v>46039</v>
      </c>
      <c r="P620" s="1">
        <v>46220</v>
      </c>
      <c r="Q620" s="2">
        <v>39</v>
      </c>
      <c r="R620" t="s">
        <v>58</v>
      </c>
      <c r="S620" s="3">
        <v>0.9</v>
      </c>
      <c r="T620" t="s">
        <v>60</v>
      </c>
      <c r="U620" t="s">
        <v>239</v>
      </c>
      <c r="V620" s="2">
        <v>35.1</v>
      </c>
      <c r="W620" s="2">
        <v>0</v>
      </c>
      <c r="X620" s="2">
        <v>0</v>
      </c>
      <c r="Y620" t="s">
        <v>238</v>
      </c>
      <c r="Z620" t="s">
        <v>1064</v>
      </c>
    </row>
    <row r="621" spans="1:26" x14ac:dyDescent="0.25">
      <c r="A621">
        <v>2034949006</v>
      </c>
      <c r="B621" t="s">
        <v>709</v>
      </c>
      <c r="C621" t="s">
        <v>710</v>
      </c>
      <c r="D621" t="str">
        <f>CONCATENATE(C621," ",B621)</f>
        <v>JENNY STINNETT</v>
      </c>
      <c r="E621" t="s">
        <v>70</v>
      </c>
      <c r="F621" t="s">
        <v>182</v>
      </c>
      <c r="G621" t="s">
        <v>194</v>
      </c>
      <c r="H621" t="s">
        <v>194</v>
      </c>
      <c r="I621" s="11" t="s">
        <v>1044</v>
      </c>
      <c r="J621" t="s">
        <v>595</v>
      </c>
      <c r="K621" t="s">
        <v>596</v>
      </c>
      <c r="L621" t="str">
        <f>CONCATENATE(K621," ",J621)</f>
        <v>Raluca Cheregi</v>
      </c>
      <c r="M621" t="s">
        <v>57</v>
      </c>
      <c r="N621" s="1">
        <v>46128</v>
      </c>
      <c r="P621" s="1">
        <v>46219</v>
      </c>
      <c r="Q621" s="2">
        <v>38.380000000000003</v>
      </c>
      <c r="R621" t="s">
        <v>58</v>
      </c>
      <c r="S621" s="3">
        <v>0.9</v>
      </c>
      <c r="T621" t="s">
        <v>60</v>
      </c>
      <c r="U621" t="s">
        <v>239</v>
      </c>
      <c r="V621" s="2">
        <v>34.54</v>
      </c>
      <c r="W621" s="2">
        <v>0</v>
      </c>
      <c r="X621" s="2">
        <v>0</v>
      </c>
      <c r="Y621" t="s">
        <v>238</v>
      </c>
      <c r="Z621" t="s">
        <v>1063</v>
      </c>
    </row>
    <row r="622" spans="1:26" x14ac:dyDescent="0.25">
      <c r="A622">
        <v>2034256768</v>
      </c>
      <c r="B622" t="s">
        <v>232</v>
      </c>
      <c r="C622" t="s">
        <v>666</v>
      </c>
      <c r="D622" t="str">
        <f>CONCATENATE(C622," ",B622)</f>
        <v>KRISTEN JOHNSON</v>
      </c>
      <c r="E622" t="s">
        <v>523</v>
      </c>
      <c r="F622" t="s">
        <v>182</v>
      </c>
      <c r="G622" t="s">
        <v>194</v>
      </c>
      <c r="H622" t="s">
        <v>194</v>
      </c>
      <c r="I622" s="11">
        <v>8307933</v>
      </c>
      <c r="J622" t="s">
        <v>79</v>
      </c>
      <c r="K622" t="s">
        <v>80</v>
      </c>
      <c r="L622" t="str">
        <f>CONCATENATE(K622," ",J622)</f>
        <v>GREGORY TEIPEL</v>
      </c>
      <c r="M622" t="s">
        <v>57</v>
      </c>
      <c r="N622" s="1">
        <v>46096</v>
      </c>
      <c r="P622" s="1">
        <v>46218</v>
      </c>
      <c r="Q622" s="2">
        <v>32.25</v>
      </c>
      <c r="R622" t="s">
        <v>58</v>
      </c>
      <c r="S622" s="3">
        <v>0.9</v>
      </c>
      <c r="T622" t="s">
        <v>60</v>
      </c>
      <c r="U622" t="s">
        <v>239</v>
      </c>
      <c r="V622" s="2">
        <v>29.02</v>
      </c>
      <c r="W622" s="2">
        <v>0</v>
      </c>
      <c r="X622" s="2">
        <v>0</v>
      </c>
      <c r="Y622" t="s">
        <v>238</v>
      </c>
      <c r="Z622" t="s">
        <v>1062</v>
      </c>
    </row>
    <row r="623" spans="1:26" x14ac:dyDescent="0.25">
      <c r="A623">
        <v>2035431266</v>
      </c>
      <c r="B623" t="s">
        <v>732</v>
      </c>
      <c r="C623" t="s">
        <v>598</v>
      </c>
      <c r="D623" t="str">
        <f>CONCATENATE(C623," ",B623)</f>
        <v>MARIA MUNOZ</v>
      </c>
      <c r="E623" t="s">
        <v>119</v>
      </c>
      <c r="F623" t="s">
        <v>182</v>
      </c>
      <c r="G623" t="s">
        <v>194</v>
      </c>
      <c r="H623" t="s">
        <v>194</v>
      </c>
      <c r="I623" s="11" t="s">
        <v>1050</v>
      </c>
      <c r="J623" t="s">
        <v>733</v>
      </c>
      <c r="K623" t="s">
        <v>734</v>
      </c>
      <c r="L623" t="str">
        <f>CONCATENATE(K623," ",J623)</f>
        <v>BRIAN STROHMAN</v>
      </c>
      <c r="M623" t="s">
        <v>57</v>
      </c>
      <c r="N623" s="1">
        <v>46155</v>
      </c>
      <c r="P623" s="1">
        <v>46216</v>
      </c>
      <c r="Q623" s="2">
        <v>23.05</v>
      </c>
      <c r="R623" t="s">
        <v>58</v>
      </c>
      <c r="S623" s="3">
        <v>0.9</v>
      </c>
      <c r="T623" t="s">
        <v>60</v>
      </c>
      <c r="U623" t="s">
        <v>239</v>
      </c>
      <c r="V623" s="2">
        <v>20.74</v>
      </c>
      <c r="W623" s="2">
        <v>0</v>
      </c>
      <c r="X623" s="2">
        <v>0</v>
      </c>
      <c r="Y623" t="s">
        <v>238</v>
      </c>
      <c r="Z623" t="s">
        <v>1063</v>
      </c>
    </row>
    <row r="624" spans="1:26" x14ac:dyDescent="0.25">
      <c r="A624">
        <v>2035462810</v>
      </c>
      <c r="B624" t="s">
        <v>538</v>
      </c>
      <c r="C624" t="s">
        <v>746</v>
      </c>
      <c r="D624" t="str">
        <f>CONCATENATE(C624," ",B624)</f>
        <v>CRAIG BROWN</v>
      </c>
      <c r="E624" t="s">
        <v>696</v>
      </c>
      <c r="F624" t="s">
        <v>182</v>
      </c>
      <c r="G624" t="s">
        <v>194</v>
      </c>
      <c r="H624" t="s">
        <v>194</v>
      </c>
      <c r="I624" s="11" t="s">
        <v>1004</v>
      </c>
      <c r="J624" t="s">
        <v>728</v>
      </c>
      <c r="K624" t="s">
        <v>729</v>
      </c>
      <c r="L624" t="str">
        <f>CONCATENATE(K624," ",J624)</f>
        <v>Alexander Kim</v>
      </c>
      <c r="M624" t="s">
        <v>57</v>
      </c>
      <c r="N624" s="1">
        <v>46156</v>
      </c>
      <c r="P624" s="1">
        <v>46217</v>
      </c>
      <c r="Q624" s="2">
        <v>22.88</v>
      </c>
      <c r="R624" t="s">
        <v>58</v>
      </c>
      <c r="S624" s="3">
        <v>0.9</v>
      </c>
      <c r="T624" t="s">
        <v>60</v>
      </c>
      <c r="U624" t="s">
        <v>239</v>
      </c>
      <c r="V624" s="2">
        <v>20.59</v>
      </c>
      <c r="W624" s="2">
        <v>0</v>
      </c>
      <c r="X624" s="2">
        <v>0</v>
      </c>
      <c r="Y624" t="s">
        <v>238</v>
      </c>
      <c r="Z624" t="s">
        <v>1063</v>
      </c>
    </row>
    <row r="625" spans="1:26" x14ac:dyDescent="0.25">
      <c r="A625">
        <v>2035473798</v>
      </c>
      <c r="B625" t="s">
        <v>748</v>
      </c>
      <c r="C625" t="s">
        <v>256</v>
      </c>
      <c r="D625" t="str">
        <f>CONCATENATE(C625," ",B625)</f>
        <v>MATTHEW SANBORN</v>
      </c>
      <c r="E625" t="s">
        <v>83</v>
      </c>
      <c r="F625" t="s">
        <v>182</v>
      </c>
      <c r="G625" t="s">
        <v>194</v>
      </c>
      <c r="H625" t="s">
        <v>194</v>
      </c>
      <c r="I625" s="11">
        <v>19491313</v>
      </c>
      <c r="J625" t="s">
        <v>133</v>
      </c>
      <c r="K625" t="s">
        <v>134</v>
      </c>
      <c r="L625" t="str">
        <f>CONCATENATE(K625," ",J625)</f>
        <v>Steven Brandt</v>
      </c>
      <c r="M625" t="s">
        <v>57</v>
      </c>
      <c r="N625" s="1">
        <v>46157</v>
      </c>
      <c r="P625" s="1">
        <v>46218</v>
      </c>
      <c r="Q625" s="2">
        <v>16.63</v>
      </c>
      <c r="R625" t="s">
        <v>58</v>
      </c>
      <c r="S625" s="3">
        <v>0.9</v>
      </c>
      <c r="T625" t="s">
        <v>60</v>
      </c>
      <c r="U625" t="s">
        <v>239</v>
      </c>
      <c r="V625" s="2">
        <v>14.97</v>
      </c>
      <c r="W625" s="2">
        <v>0</v>
      </c>
      <c r="X625" s="2">
        <v>0</v>
      </c>
      <c r="Y625" t="s">
        <v>238</v>
      </c>
      <c r="Z625" t="s">
        <v>1062</v>
      </c>
    </row>
    <row r="626" spans="1:26" x14ac:dyDescent="0.25">
      <c r="A626">
        <v>2025324175</v>
      </c>
      <c r="B626" t="s">
        <v>398</v>
      </c>
      <c r="C626" t="s">
        <v>399</v>
      </c>
      <c r="D626" t="str">
        <f>CONCATENATE(C626," ",B626)</f>
        <v>KELLI MARTIN</v>
      </c>
      <c r="E626" t="s">
        <v>209</v>
      </c>
      <c r="F626" t="s">
        <v>182</v>
      </c>
      <c r="G626" t="s">
        <v>194</v>
      </c>
      <c r="H626" t="s">
        <v>194</v>
      </c>
      <c r="I626" s="11" t="s">
        <v>1016</v>
      </c>
      <c r="J626" t="s">
        <v>171</v>
      </c>
      <c r="K626" t="s">
        <v>172</v>
      </c>
      <c r="L626" t="str">
        <f>CONCATENATE(K626," ",J626)</f>
        <v>THOMAS PARDUE</v>
      </c>
      <c r="M626" t="s">
        <v>57</v>
      </c>
      <c r="N626" s="1">
        <v>45584</v>
      </c>
      <c r="P626" s="1">
        <v>46222</v>
      </c>
      <c r="Q626" s="2">
        <v>99.25</v>
      </c>
      <c r="R626" t="s">
        <v>58</v>
      </c>
      <c r="S626" s="3">
        <v>0.1</v>
      </c>
      <c r="T626" t="s">
        <v>238</v>
      </c>
      <c r="U626" t="s">
        <v>239</v>
      </c>
      <c r="V626" s="2">
        <v>9.92</v>
      </c>
      <c r="W626" s="2">
        <v>9.92</v>
      </c>
      <c r="X626" s="2">
        <v>9.92</v>
      </c>
      <c r="Y626" t="s">
        <v>238</v>
      </c>
      <c r="Z626" t="s">
        <v>1062</v>
      </c>
    </row>
    <row r="627" spans="1:26" x14ac:dyDescent="0.25">
      <c r="A627">
        <v>2025783063</v>
      </c>
      <c r="B627" t="s">
        <v>408</v>
      </c>
      <c r="C627" t="s">
        <v>409</v>
      </c>
      <c r="D627" t="str">
        <f>CONCATENATE(C627," ",B627)</f>
        <v>TAMMY CARLTON</v>
      </c>
      <c r="E627" t="s">
        <v>410</v>
      </c>
      <c r="F627" t="s">
        <v>182</v>
      </c>
      <c r="G627" t="s">
        <v>194</v>
      </c>
      <c r="H627" t="s">
        <v>194</v>
      </c>
      <c r="I627" s="11" t="s">
        <v>1016</v>
      </c>
      <c r="J627" t="s">
        <v>171</v>
      </c>
      <c r="K627" t="s">
        <v>172</v>
      </c>
      <c r="L627" t="str">
        <f>CONCATENATE(K627," ",J627)</f>
        <v>THOMAS PARDUE</v>
      </c>
      <c r="M627" t="s">
        <v>57</v>
      </c>
      <c r="N627" s="1">
        <v>45612</v>
      </c>
      <c r="P627" s="1">
        <v>46219</v>
      </c>
      <c r="Q627" s="2">
        <v>58.17</v>
      </c>
      <c r="R627" t="s">
        <v>58</v>
      </c>
      <c r="S627" s="3">
        <v>0.1</v>
      </c>
      <c r="T627" t="s">
        <v>238</v>
      </c>
      <c r="U627" t="s">
        <v>239</v>
      </c>
      <c r="V627" s="2">
        <v>5.82</v>
      </c>
      <c r="W627" s="2">
        <v>5.82</v>
      </c>
      <c r="X627" s="2">
        <v>5.82</v>
      </c>
      <c r="Y627" t="s">
        <v>238</v>
      </c>
      <c r="Z627" t="s">
        <v>1062</v>
      </c>
    </row>
    <row r="628" spans="1:26" x14ac:dyDescent="0.25">
      <c r="A628">
        <v>2025783978</v>
      </c>
      <c r="B628" t="s">
        <v>408</v>
      </c>
      <c r="C628" t="s">
        <v>411</v>
      </c>
      <c r="D628" t="str">
        <f>CONCATENATE(C628," ",B628)</f>
        <v>KEGHAN CARLTON</v>
      </c>
      <c r="E628" t="s">
        <v>410</v>
      </c>
      <c r="F628" t="s">
        <v>182</v>
      </c>
      <c r="G628" t="s">
        <v>194</v>
      </c>
      <c r="H628" t="s">
        <v>194</v>
      </c>
      <c r="I628" s="11" t="s">
        <v>1016</v>
      </c>
      <c r="J628" t="s">
        <v>171</v>
      </c>
      <c r="K628" t="s">
        <v>172</v>
      </c>
      <c r="L628" t="str">
        <f>CONCATENATE(K628," ",J628)</f>
        <v>THOMAS PARDUE</v>
      </c>
      <c r="M628" t="s">
        <v>57</v>
      </c>
      <c r="N628" s="1">
        <v>45612</v>
      </c>
      <c r="P628" s="1">
        <v>46219</v>
      </c>
      <c r="Q628" s="2">
        <v>16.63</v>
      </c>
      <c r="R628" t="s">
        <v>58</v>
      </c>
      <c r="S628" s="3">
        <v>0.1</v>
      </c>
      <c r="T628" t="s">
        <v>238</v>
      </c>
      <c r="U628" t="s">
        <v>239</v>
      </c>
      <c r="V628" s="2">
        <v>1.66</v>
      </c>
      <c r="W628" s="2">
        <v>1.66</v>
      </c>
      <c r="X628" s="2">
        <v>1.66</v>
      </c>
      <c r="Y628" t="s">
        <v>238</v>
      </c>
      <c r="Z628" t="s">
        <v>1062</v>
      </c>
    </row>
    <row r="629" spans="1:26" x14ac:dyDescent="0.25">
      <c r="A629">
        <v>2026206372</v>
      </c>
      <c r="B629" t="s">
        <v>316</v>
      </c>
      <c r="C629" t="s">
        <v>317</v>
      </c>
      <c r="D629" t="str">
        <f>CONCATENATE(C629," ",B629)</f>
        <v>SHEILA BRORMAN</v>
      </c>
      <c r="E629" t="s">
        <v>292</v>
      </c>
      <c r="F629" t="s">
        <v>182</v>
      </c>
      <c r="G629" t="s">
        <v>194</v>
      </c>
      <c r="H629" t="s">
        <v>194</v>
      </c>
      <c r="I629" s="11">
        <v>8307933</v>
      </c>
      <c r="J629" t="s">
        <v>79</v>
      </c>
      <c r="K629" t="s">
        <v>80</v>
      </c>
      <c r="L629" t="str">
        <f>CONCATENATE(K629," ",J629)</f>
        <v>GREGORY TEIPEL</v>
      </c>
      <c r="M629" t="s">
        <v>57</v>
      </c>
      <c r="N629" s="1">
        <v>45644</v>
      </c>
      <c r="P629" s="1">
        <v>46221</v>
      </c>
      <c r="Q629" s="2">
        <v>74</v>
      </c>
      <c r="R629" t="s">
        <v>58</v>
      </c>
      <c r="S629" s="3">
        <v>0.1</v>
      </c>
      <c r="T629" t="s">
        <v>238</v>
      </c>
      <c r="U629" t="s">
        <v>239</v>
      </c>
      <c r="V629" s="2">
        <v>7.4</v>
      </c>
      <c r="W629" s="2">
        <v>7.4</v>
      </c>
      <c r="X629" s="2">
        <v>7.4</v>
      </c>
      <c r="Y629" t="s">
        <v>238</v>
      </c>
      <c r="Z629" t="s">
        <v>1062</v>
      </c>
    </row>
    <row r="630" spans="1:26" x14ac:dyDescent="0.25">
      <c r="A630">
        <v>2026206771</v>
      </c>
      <c r="B630" t="s">
        <v>416</v>
      </c>
      <c r="C630" t="s">
        <v>417</v>
      </c>
      <c r="D630" t="str">
        <f>CONCATENATE(C630," ",B630)</f>
        <v>PAUL DUREN</v>
      </c>
      <c r="E630" t="s">
        <v>292</v>
      </c>
      <c r="F630" t="s">
        <v>182</v>
      </c>
      <c r="G630" t="s">
        <v>194</v>
      </c>
      <c r="H630" t="s">
        <v>194</v>
      </c>
      <c r="I630" s="11" t="s">
        <v>1016</v>
      </c>
      <c r="J630" t="s">
        <v>171</v>
      </c>
      <c r="K630" t="s">
        <v>172</v>
      </c>
      <c r="L630" t="str">
        <f>CONCATENATE(K630," ",J630)</f>
        <v>THOMAS PARDUE</v>
      </c>
      <c r="M630" t="s">
        <v>57</v>
      </c>
      <c r="N630" s="1">
        <v>45645</v>
      </c>
      <c r="P630" s="1">
        <v>46222</v>
      </c>
      <c r="Q630" s="2">
        <v>51.78</v>
      </c>
      <c r="R630" t="s">
        <v>58</v>
      </c>
      <c r="S630" s="3">
        <v>0.1</v>
      </c>
      <c r="T630" t="s">
        <v>238</v>
      </c>
      <c r="U630" t="s">
        <v>239</v>
      </c>
      <c r="V630" s="2">
        <v>5.18</v>
      </c>
      <c r="W630" s="2">
        <v>5.18</v>
      </c>
      <c r="X630" s="2">
        <v>5.18</v>
      </c>
      <c r="Y630" t="s">
        <v>238</v>
      </c>
      <c r="Z630" t="s">
        <v>1062</v>
      </c>
    </row>
    <row r="631" spans="1:26" x14ac:dyDescent="0.25">
      <c r="A631">
        <v>2027182069</v>
      </c>
      <c r="B631" t="s">
        <v>408</v>
      </c>
      <c r="C631" t="s">
        <v>268</v>
      </c>
      <c r="D631" t="str">
        <f>CONCATENATE(C631," ",B631)</f>
        <v>JESSE CARLTON</v>
      </c>
      <c r="E631" t="s">
        <v>410</v>
      </c>
      <c r="F631" t="s">
        <v>182</v>
      </c>
      <c r="G631" t="s">
        <v>194</v>
      </c>
      <c r="H631" t="s">
        <v>194</v>
      </c>
      <c r="I631" s="11" t="s">
        <v>1016</v>
      </c>
      <c r="J631" t="s">
        <v>171</v>
      </c>
      <c r="K631" t="s">
        <v>172</v>
      </c>
      <c r="L631" t="str">
        <f>CONCATENATE(K631," ",J631)</f>
        <v>THOMAS PARDUE</v>
      </c>
      <c r="M631" t="s">
        <v>57</v>
      </c>
      <c r="N631" s="1">
        <v>45707</v>
      </c>
      <c r="P631" s="1">
        <v>46222</v>
      </c>
      <c r="Q631" s="2">
        <v>42.42</v>
      </c>
      <c r="R631" t="s">
        <v>58</v>
      </c>
      <c r="S631" s="3">
        <v>0.1</v>
      </c>
      <c r="T631" t="s">
        <v>238</v>
      </c>
      <c r="U631" t="s">
        <v>239</v>
      </c>
      <c r="V631" s="2">
        <v>4.24</v>
      </c>
      <c r="W631" s="2">
        <v>4.24</v>
      </c>
      <c r="X631" s="2">
        <v>4.24</v>
      </c>
      <c r="Y631" t="s">
        <v>238</v>
      </c>
      <c r="Z631" t="s">
        <v>1062</v>
      </c>
    </row>
    <row r="632" spans="1:26" x14ac:dyDescent="0.25">
      <c r="A632">
        <v>2027869112</v>
      </c>
      <c r="B632" t="s">
        <v>439</v>
      </c>
      <c r="C632" t="s">
        <v>440</v>
      </c>
      <c r="D632" t="str">
        <f>CONCATENATE(C632," ",B632)</f>
        <v>THI DINH</v>
      </c>
      <c r="E632" t="s">
        <v>145</v>
      </c>
      <c r="F632" t="s">
        <v>182</v>
      </c>
      <c r="G632" t="s">
        <v>194</v>
      </c>
      <c r="H632" t="s">
        <v>194</v>
      </c>
      <c r="I632" s="11">
        <v>8977234</v>
      </c>
      <c r="J632" t="s">
        <v>85</v>
      </c>
      <c r="K632" t="s">
        <v>86</v>
      </c>
      <c r="L632" t="str">
        <f>CONCATENATE(K632," ",J632)</f>
        <v>RYAN CALTAGIRONE</v>
      </c>
      <c r="M632" t="s">
        <v>57</v>
      </c>
      <c r="N632" s="1">
        <v>45734</v>
      </c>
      <c r="P632" s="1">
        <v>46221</v>
      </c>
      <c r="Q632" s="2">
        <v>9.8000000000000007</v>
      </c>
      <c r="R632" t="s">
        <v>58</v>
      </c>
      <c r="S632" s="3">
        <v>0.1</v>
      </c>
      <c r="T632" t="s">
        <v>238</v>
      </c>
      <c r="U632" t="s">
        <v>239</v>
      </c>
      <c r="V632" s="2">
        <v>0.98</v>
      </c>
      <c r="W632" s="2">
        <v>0.98</v>
      </c>
      <c r="X632" s="2">
        <v>0.98</v>
      </c>
      <c r="Y632" t="s">
        <v>238</v>
      </c>
      <c r="Z632" t="s">
        <v>1062</v>
      </c>
    </row>
    <row r="633" spans="1:26" x14ac:dyDescent="0.25">
      <c r="A633">
        <v>2029488849</v>
      </c>
      <c r="B633" t="s">
        <v>480</v>
      </c>
      <c r="C633" t="s">
        <v>481</v>
      </c>
      <c r="D633" t="str">
        <f>CONCATENATE(C633," ",B633)</f>
        <v>OYUNTSETSEG GANBOLD</v>
      </c>
      <c r="E633" t="s">
        <v>119</v>
      </c>
      <c r="F633" t="s">
        <v>182</v>
      </c>
      <c r="G633" t="s">
        <v>194</v>
      </c>
      <c r="H633" t="s">
        <v>194</v>
      </c>
      <c r="I633" s="11" t="s">
        <v>1032</v>
      </c>
      <c r="J633" t="s">
        <v>216</v>
      </c>
      <c r="K633" t="s">
        <v>217</v>
      </c>
      <c r="L633" t="str">
        <f>CONCATENATE(K633," ",J633)</f>
        <v>NASANDELGER ZANA</v>
      </c>
      <c r="M633" t="s">
        <v>57</v>
      </c>
      <c r="N633" s="1">
        <v>45825</v>
      </c>
      <c r="P633" s="1">
        <v>46220</v>
      </c>
      <c r="Q633" s="2">
        <v>21.6</v>
      </c>
      <c r="R633" t="s">
        <v>58</v>
      </c>
      <c r="S633" s="3">
        <v>0.1</v>
      </c>
      <c r="T633" t="s">
        <v>238</v>
      </c>
      <c r="U633" t="s">
        <v>239</v>
      </c>
      <c r="V633" s="2">
        <v>2.16</v>
      </c>
      <c r="W633" s="2">
        <v>2.16</v>
      </c>
      <c r="X633" s="2">
        <v>2.16</v>
      </c>
      <c r="Y633" t="s">
        <v>238</v>
      </c>
      <c r="Z633" t="s">
        <v>1062</v>
      </c>
    </row>
    <row r="634" spans="1:26" x14ac:dyDescent="0.25">
      <c r="A634">
        <v>2029737100</v>
      </c>
      <c r="B634" t="s">
        <v>482</v>
      </c>
      <c r="C634" t="s">
        <v>483</v>
      </c>
      <c r="D634" t="str">
        <f>CONCATENATE(C634," ",B634)</f>
        <v>CHRISTOPHER FEEMSTER</v>
      </c>
      <c r="E634" t="s">
        <v>193</v>
      </c>
      <c r="F634" t="s">
        <v>182</v>
      </c>
      <c r="G634" t="s">
        <v>194</v>
      </c>
      <c r="H634" t="s">
        <v>194</v>
      </c>
      <c r="I634" s="11" t="s">
        <v>1021</v>
      </c>
      <c r="J634" t="s">
        <v>195</v>
      </c>
      <c r="K634" t="s">
        <v>196</v>
      </c>
      <c r="L634" t="str">
        <f>CONCATENATE(K634," ",J634)</f>
        <v>Ronald Max</v>
      </c>
      <c r="M634" t="s">
        <v>57</v>
      </c>
      <c r="N634" s="1">
        <v>45856</v>
      </c>
      <c r="P634" s="1">
        <v>46221</v>
      </c>
      <c r="Q634" s="2">
        <v>51.78</v>
      </c>
      <c r="R634" t="s">
        <v>58</v>
      </c>
      <c r="S634" s="3">
        <v>0.9</v>
      </c>
      <c r="T634" t="s">
        <v>60</v>
      </c>
      <c r="U634" t="s">
        <v>239</v>
      </c>
      <c r="V634" s="2">
        <v>46.6</v>
      </c>
      <c r="W634" s="2">
        <v>46.6</v>
      </c>
      <c r="X634" s="2">
        <v>46.6</v>
      </c>
      <c r="Y634" t="s">
        <v>238</v>
      </c>
      <c r="Z634" t="s">
        <v>1062</v>
      </c>
    </row>
    <row r="635" spans="1:26" x14ac:dyDescent="0.25">
      <c r="A635">
        <v>2030455583</v>
      </c>
      <c r="B635" t="s">
        <v>353</v>
      </c>
      <c r="C635" t="s">
        <v>354</v>
      </c>
      <c r="D635" t="str">
        <f>CONCATENATE(C635," ",B635)</f>
        <v>JASON TROUT</v>
      </c>
      <c r="E635" t="s">
        <v>305</v>
      </c>
      <c r="F635" t="s">
        <v>182</v>
      </c>
      <c r="G635" t="s">
        <v>194</v>
      </c>
      <c r="H635" t="s">
        <v>194</v>
      </c>
      <c r="I635" s="11" t="s">
        <v>1020</v>
      </c>
      <c r="J635" t="s">
        <v>312</v>
      </c>
      <c r="K635" t="s">
        <v>313</v>
      </c>
      <c r="L635" t="str">
        <f>CONCATENATE(K635," ",J635)</f>
        <v>Heather Geske</v>
      </c>
      <c r="M635" t="s">
        <v>57</v>
      </c>
      <c r="N635" s="1">
        <v>45882</v>
      </c>
      <c r="P635" s="1">
        <v>46216</v>
      </c>
      <c r="Q635" s="2">
        <v>52.92</v>
      </c>
      <c r="R635" t="s">
        <v>58</v>
      </c>
      <c r="S635" s="3">
        <v>0.9</v>
      </c>
      <c r="T635" t="s">
        <v>60</v>
      </c>
      <c r="U635" t="s">
        <v>239</v>
      </c>
      <c r="V635" s="2">
        <v>47.63</v>
      </c>
      <c r="W635" s="2">
        <v>47.63</v>
      </c>
      <c r="X635" s="2">
        <v>47.63</v>
      </c>
      <c r="Y635" t="s">
        <v>238</v>
      </c>
      <c r="Z635" t="s">
        <v>1062</v>
      </c>
    </row>
    <row r="636" spans="1:26" x14ac:dyDescent="0.25">
      <c r="A636">
        <v>2030560165</v>
      </c>
      <c r="B636" t="s">
        <v>518</v>
      </c>
      <c r="C636" t="s">
        <v>519</v>
      </c>
      <c r="D636" t="str">
        <f>CONCATENATE(C636," ",B636)</f>
        <v>GEORGE KNOTTS</v>
      </c>
      <c r="E636" t="s">
        <v>193</v>
      </c>
      <c r="F636" t="s">
        <v>182</v>
      </c>
      <c r="G636" t="s">
        <v>194</v>
      </c>
      <c r="H636" t="s">
        <v>194</v>
      </c>
      <c r="I636" s="11">
        <v>9079571</v>
      </c>
      <c r="J636" t="s">
        <v>64</v>
      </c>
      <c r="K636" t="s">
        <v>236</v>
      </c>
      <c r="L636" t="str">
        <f>CONCATENATE(K636," ",J636)</f>
        <v>ADAM RICHTER</v>
      </c>
      <c r="M636" t="s">
        <v>57</v>
      </c>
      <c r="N636" s="1">
        <v>45888</v>
      </c>
      <c r="P636" s="1">
        <v>46222</v>
      </c>
      <c r="Q636" s="2">
        <v>128.69</v>
      </c>
      <c r="R636" t="s">
        <v>58</v>
      </c>
      <c r="S636" s="3">
        <v>0.9</v>
      </c>
      <c r="T636" t="s">
        <v>60</v>
      </c>
      <c r="U636" t="s">
        <v>239</v>
      </c>
      <c r="V636" s="2">
        <v>115.82</v>
      </c>
      <c r="W636" s="2">
        <v>115.82</v>
      </c>
      <c r="X636" s="2">
        <v>115.82</v>
      </c>
      <c r="Y636" t="s">
        <v>238</v>
      </c>
      <c r="Z636" t="s">
        <v>1062</v>
      </c>
    </row>
    <row r="637" spans="1:26" x14ac:dyDescent="0.25">
      <c r="A637">
        <v>2031142846</v>
      </c>
      <c r="B637" t="s">
        <v>528</v>
      </c>
      <c r="C637" t="s">
        <v>529</v>
      </c>
      <c r="D637" t="str">
        <f>CONCATENATE(C637," ",B637)</f>
        <v>LUCINDA OCHOA</v>
      </c>
      <c r="E637" t="s">
        <v>165</v>
      </c>
      <c r="F637" t="s">
        <v>182</v>
      </c>
      <c r="G637" t="s">
        <v>194</v>
      </c>
      <c r="H637" t="s">
        <v>194</v>
      </c>
      <c r="I637" s="11" t="s">
        <v>1022</v>
      </c>
      <c r="J637" t="s">
        <v>171</v>
      </c>
      <c r="K637" t="s">
        <v>172</v>
      </c>
      <c r="L637" t="str">
        <f>CONCATENATE(K637," ",J637)</f>
        <v>THOMAS PARDUE</v>
      </c>
      <c r="M637" t="s">
        <v>57</v>
      </c>
      <c r="N637" s="1">
        <v>45919</v>
      </c>
      <c r="P637" s="1">
        <v>46222</v>
      </c>
      <c r="Q637" s="2">
        <v>8.9600000000000009</v>
      </c>
      <c r="R637" t="s">
        <v>58</v>
      </c>
      <c r="S637" s="3">
        <v>0.9</v>
      </c>
      <c r="T637" t="s">
        <v>60</v>
      </c>
      <c r="U637" t="s">
        <v>239</v>
      </c>
      <c r="V637" s="2">
        <v>8.06</v>
      </c>
      <c r="W637" s="2">
        <v>8.06</v>
      </c>
      <c r="X637" s="2">
        <v>8.06</v>
      </c>
      <c r="Y637" t="s">
        <v>238</v>
      </c>
      <c r="Z637" t="s">
        <v>1062</v>
      </c>
    </row>
    <row r="638" spans="1:26" x14ac:dyDescent="0.25">
      <c r="A638">
        <v>2031595994</v>
      </c>
      <c r="B638" t="s">
        <v>530</v>
      </c>
      <c r="C638" t="s">
        <v>489</v>
      </c>
      <c r="D638" t="str">
        <f>CONCATENATE(C638," ",B638)</f>
        <v>JULIE LILIENTHAL</v>
      </c>
      <c r="E638" t="s">
        <v>119</v>
      </c>
      <c r="F638" t="s">
        <v>182</v>
      </c>
      <c r="G638" t="s">
        <v>194</v>
      </c>
      <c r="H638" t="s">
        <v>194</v>
      </c>
      <c r="I638" s="11">
        <v>3333476</v>
      </c>
      <c r="J638" t="s">
        <v>531</v>
      </c>
      <c r="K638" t="s">
        <v>532</v>
      </c>
      <c r="L638" t="str">
        <f>CONCATENATE(K638," ",J638)</f>
        <v>Colleen Jerger</v>
      </c>
      <c r="M638" t="s">
        <v>57</v>
      </c>
      <c r="N638" s="1">
        <v>45944</v>
      </c>
      <c r="P638" s="1">
        <v>46217</v>
      </c>
      <c r="Q638" s="2">
        <v>23.05</v>
      </c>
      <c r="R638" t="s">
        <v>58</v>
      </c>
      <c r="S638" s="3">
        <v>0.9</v>
      </c>
      <c r="T638" t="s">
        <v>60</v>
      </c>
      <c r="U638" t="s">
        <v>239</v>
      </c>
      <c r="V638" s="2">
        <v>20.74</v>
      </c>
      <c r="W638" s="2">
        <v>20.74</v>
      </c>
      <c r="X638" s="2">
        <v>20.74</v>
      </c>
      <c r="Y638" t="s">
        <v>238</v>
      </c>
      <c r="Z638" t="s">
        <v>1062</v>
      </c>
    </row>
    <row r="639" spans="1:26" x14ac:dyDescent="0.25">
      <c r="A639">
        <v>2031641424</v>
      </c>
      <c r="B639" t="s">
        <v>536</v>
      </c>
      <c r="C639" t="s">
        <v>537</v>
      </c>
      <c r="D639" t="str">
        <f>CONCATENATE(C639," ",B639)</f>
        <v>PEYTTON STROUP</v>
      </c>
      <c r="E639" t="s">
        <v>292</v>
      </c>
      <c r="F639" t="s">
        <v>182</v>
      </c>
      <c r="G639" t="s">
        <v>194</v>
      </c>
      <c r="H639" t="s">
        <v>194</v>
      </c>
      <c r="I639" s="11" t="s">
        <v>1022</v>
      </c>
      <c r="J639" t="s">
        <v>171</v>
      </c>
      <c r="K639" t="s">
        <v>172</v>
      </c>
      <c r="L639" t="str">
        <f>CONCATENATE(K639," ",J639)</f>
        <v>THOMAS PARDUE</v>
      </c>
      <c r="M639" t="s">
        <v>57</v>
      </c>
      <c r="N639" s="1">
        <v>45946</v>
      </c>
      <c r="P639" s="1">
        <v>46219</v>
      </c>
      <c r="Q639" s="2">
        <v>12.92</v>
      </c>
      <c r="R639" t="s">
        <v>58</v>
      </c>
      <c r="S639" s="3">
        <v>0.9</v>
      </c>
      <c r="T639" t="s">
        <v>60</v>
      </c>
      <c r="U639" t="s">
        <v>239</v>
      </c>
      <c r="V639" s="2">
        <v>11.63</v>
      </c>
      <c r="W639" s="2">
        <v>11.63</v>
      </c>
      <c r="X639" s="2">
        <v>11.63</v>
      </c>
      <c r="Y639" t="s">
        <v>238</v>
      </c>
      <c r="Z639" t="s">
        <v>1062</v>
      </c>
    </row>
    <row r="640" spans="1:26" x14ac:dyDescent="0.25">
      <c r="A640">
        <v>2031713984</v>
      </c>
      <c r="B640" t="s">
        <v>540</v>
      </c>
      <c r="C640" t="s">
        <v>541</v>
      </c>
      <c r="D640" t="str">
        <f>CONCATENATE(C640," ",B640)</f>
        <v>DWAYNE WILLAMS</v>
      </c>
      <c r="E640" t="s">
        <v>193</v>
      </c>
      <c r="F640" t="s">
        <v>182</v>
      </c>
      <c r="G640" t="s">
        <v>194</v>
      </c>
      <c r="H640" t="s">
        <v>194</v>
      </c>
      <c r="I640" s="11" t="s">
        <v>1021</v>
      </c>
      <c r="J640" t="s">
        <v>195</v>
      </c>
      <c r="K640" t="s">
        <v>196</v>
      </c>
      <c r="L640" t="str">
        <f>CONCATENATE(K640," ",J640)</f>
        <v>Ronald Max</v>
      </c>
      <c r="M640" t="s">
        <v>57</v>
      </c>
      <c r="N640" s="1">
        <v>45969</v>
      </c>
      <c r="P640" s="1">
        <v>46211</v>
      </c>
      <c r="Q640" s="2">
        <v>80.83</v>
      </c>
      <c r="R640" t="s">
        <v>58</v>
      </c>
      <c r="S640" s="3">
        <v>0.9</v>
      </c>
      <c r="T640" t="s">
        <v>60</v>
      </c>
      <c r="U640" t="s">
        <v>239</v>
      </c>
      <c r="V640" s="2">
        <v>72.75</v>
      </c>
      <c r="W640" s="2">
        <v>72.75</v>
      </c>
      <c r="X640" s="2">
        <v>72.75</v>
      </c>
      <c r="Y640" t="s">
        <v>238</v>
      </c>
      <c r="Z640" t="s">
        <v>1062</v>
      </c>
    </row>
    <row r="641" spans="1:26" x14ac:dyDescent="0.25">
      <c r="A641">
        <v>2032085106</v>
      </c>
      <c r="B641" t="s">
        <v>550</v>
      </c>
      <c r="C641" t="s">
        <v>551</v>
      </c>
      <c r="D641" t="str">
        <f>CONCATENATE(C641," ",B641)</f>
        <v>CHERYL REDDING</v>
      </c>
      <c r="E641" t="s">
        <v>339</v>
      </c>
      <c r="F641" t="s">
        <v>182</v>
      </c>
      <c r="G641" t="s">
        <v>194</v>
      </c>
      <c r="H641" t="s">
        <v>194</v>
      </c>
      <c r="I641" s="11">
        <v>8307933</v>
      </c>
      <c r="J641" t="s">
        <v>79</v>
      </c>
      <c r="K641" t="s">
        <v>80</v>
      </c>
      <c r="L641" t="str">
        <f>CONCATENATE(K641," ",J641)</f>
        <v>GREGORY TEIPEL</v>
      </c>
      <c r="M641" t="s">
        <v>57</v>
      </c>
      <c r="N641" s="1">
        <v>45976</v>
      </c>
      <c r="P641" s="1">
        <v>46218</v>
      </c>
      <c r="Q641" s="2">
        <v>99.25</v>
      </c>
      <c r="R641" t="s">
        <v>58</v>
      </c>
      <c r="S641" s="3">
        <v>0.9</v>
      </c>
      <c r="T641" t="s">
        <v>60</v>
      </c>
      <c r="U641" t="s">
        <v>239</v>
      </c>
      <c r="V641" s="2">
        <v>89.32</v>
      </c>
      <c r="W641" s="2">
        <v>89.32</v>
      </c>
      <c r="X641" s="2">
        <v>89.32</v>
      </c>
      <c r="Y641" t="s">
        <v>238</v>
      </c>
      <c r="Z641" t="s">
        <v>1062</v>
      </c>
    </row>
    <row r="642" spans="1:26" x14ac:dyDescent="0.25">
      <c r="A642">
        <v>2032134523</v>
      </c>
      <c r="B642" t="s">
        <v>553</v>
      </c>
      <c r="C642" t="s">
        <v>554</v>
      </c>
      <c r="D642" t="str">
        <f>CONCATENATE(C642," ",B642)</f>
        <v>DOROTHY BERTUCCI</v>
      </c>
      <c r="E642" t="s">
        <v>52</v>
      </c>
      <c r="F642" t="s">
        <v>182</v>
      </c>
      <c r="G642" t="s">
        <v>194</v>
      </c>
      <c r="H642" t="s">
        <v>194</v>
      </c>
      <c r="I642" s="11" t="s">
        <v>1042</v>
      </c>
      <c r="J642" t="s">
        <v>555</v>
      </c>
      <c r="K642" t="s">
        <v>175</v>
      </c>
      <c r="L642" t="str">
        <f>CONCATENATE(K642," ",J642)</f>
        <v>SCOTT AGUGLIA</v>
      </c>
      <c r="M642" t="s">
        <v>57</v>
      </c>
      <c r="N642" s="1">
        <v>45974</v>
      </c>
      <c r="P642" s="1">
        <v>46216</v>
      </c>
      <c r="Q642" s="2">
        <v>65.25</v>
      </c>
      <c r="R642" t="s">
        <v>58</v>
      </c>
      <c r="S642" s="3">
        <v>0.9</v>
      </c>
      <c r="T642" t="s">
        <v>60</v>
      </c>
      <c r="U642" t="s">
        <v>239</v>
      </c>
      <c r="V642" s="2">
        <v>58.72</v>
      </c>
      <c r="W642" s="2">
        <v>58.72</v>
      </c>
      <c r="X642" s="2">
        <v>58.72</v>
      </c>
      <c r="Y642" t="s">
        <v>238</v>
      </c>
      <c r="Z642" t="s">
        <v>1064</v>
      </c>
    </row>
    <row r="643" spans="1:26" x14ac:dyDescent="0.25">
      <c r="A643">
        <v>2032150171</v>
      </c>
      <c r="B643" t="s">
        <v>556</v>
      </c>
      <c r="C643" t="s">
        <v>557</v>
      </c>
      <c r="D643" t="str">
        <f>CONCATENATE(C643," ",B643)</f>
        <v>SANDLINE AUGUSTIN</v>
      </c>
      <c r="E643" t="s">
        <v>193</v>
      </c>
      <c r="F643" t="s">
        <v>182</v>
      </c>
      <c r="G643" t="s">
        <v>194</v>
      </c>
      <c r="H643" t="s">
        <v>194</v>
      </c>
      <c r="I643" s="11">
        <v>9079571</v>
      </c>
      <c r="J643" t="s">
        <v>64</v>
      </c>
      <c r="K643" t="s">
        <v>236</v>
      </c>
      <c r="L643" t="str">
        <f>CONCATENATE(K643," ",J643)</f>
        <v>ADAM RICHTER</v>
      </c>
      <c r="M643" t="s">
        <v>57</v>
      </c>
      <c r="N643" s="1">
        <v>45975</v>
      </c>
      <c r="P643" s="1">
        <v>46217</v>
      </c>
      <c r="Q643" s="2">
        <v>34.42</v>
      </c>
      <c r="R643" t="s">
        <v>58</v>
      </c>
      <c r="S643" s="3">
        <v>0.9</v>
      </c>
      <c r="T643" t="s">
        <v>60</v>
      </c>
      <c r="U643" t="s">
        <v>239</v>
      </c>
      <c r="V643" s="2">
        <v>30.98</v>
      </c>
      <c r="W643" s="2">
        <v>30.98</v>
      </c>
      <c r="X643" s="2">
        <v>30.98</v>
      </c>
      <c r="Y643" t="s">
        <v>238</v>
      </c>
      <c r="Z643" t="s">
        <v>1062</v>
      </c>
    </row>
    <row r="644" spans="1:26" x14ac:dyDescent="0.25">
      <c r="A644">
        <v>2032155020</v>
      </c>
      <c r="B644" t="s">
        <v>560</v>
      </c>
      <c r="C644" t="s">
        <v>561</v>
      </c>
      <c r="D644" t="str">
        <f>CONCATENATE(C644," ",B644)</f>
        <v>KORI CORTHRON</v>
      </c>
      <c r="E644" t="s">
        <v>193</v>
      </c>
      <c r="F644" t="s">
        <v>182</v>
      </c>
      <c r="G644" t="s">
        <v>194</v>
      </c>
      <c r="H644" t="s">
        <v>194</v>
      </c>
      <c r="I644" s="11">
        <v>21128342</v>
      </c>
      <c r="J644" t="s">
        <v>562</v>
      </c>
      <c r="K644" t="s">
        <v>180</v>
      </c>
      <c r="L644" t="str">
        <f>CONCATENATE(K644," ",J644)</f>
        <v>John Karns</v>
      </c>
      <c r="M644" t="s">
        <v>57</v>
      </c>
      <c r="N644" s="1">
        <v>45975</v>
      </c>
      <c r="P644" s="1">
        <v>46217</v>
      </c>
      <c r="Q644" s="2">
        <v>50.31</v>
      </c>
      <c r="R644" t="s">
        <v>58</v>
      </c>
      <c r="S644" s="3">
        <v>0.9</v>
      </c>
      <c r="T644" t="s">
        <v>60</v>
      </c>
      <c r="U644" t="s">
        <v>239</v>
      </c>
      <c r="V644" s="2">
        <v>45.28</v>
      </c>
      <c r="W644" s="2">
        <v>45.28</v>
      </c>
      <c r="X644" s="2">
        <v>45.28</v>
      </c>
      <c r="Y644" t="s">
        <v>238</v>
      </c>
      <c r="Z644" t="s">
        <v>1062</v>
      </c>
    </row>
    <row r="645" spans="1:26" x14ac:dyDescent="0.25">
      <c r="A645">
        <v>2032208390</v>
      </c>
      <c r="B645" t="s">
        <v>381</v>
      </c>
      <c r="C645" t="s">
        <v>272</v>
      </c>
      <c r="D645" t="str">
        <f>CONCATENATE(C645," ",B645)</f>
        <v>MARY CARLSON</v>
      </c>
      <c r="E645" t="s">
        <v>305</v>
      </c>
      <c r="F645" t="s">
        <v>182</v>
      </c>
      <c r="G645" t="s">
        <v>194</v>
      </c>
      <c r="H645" t="s">
        <v>194</v>
      </c>
      <c r="I645" s="11" t="s">
        <v>1020</v>
      </c>
      <c r="J645" t="s">
        <v>312</v>
      </c>
      <c r="K645" t="s">
        <v>313</v>
      </c>
      <c r="L645" t="str">
        <f>CONCATENATE(K645," ",J645)</f>
        <v>Heather Geske</v>
      </c>
      <c r="M645" t="s">
        <v>57</v>
      </c>
      <c r="N645" s="1">
        <v>45979</v>
      </c>
      <c r="P645" s="1">
        <v>46221</v>
      </c>
      <c r="Q645" s="2">
        <v>37</v>
      </c>
      <c r="R645" t="s">
        <v>58</v>
      </c>
      <c r="S645" s="3">
        <v>0.9</v>
      </c>
      <c r="T645" t="s">
        <v>60</v>
      </c>
      <c r="U645" t="s">
        <v>239</v>
      </c>
      <c r="V645" s="2">
        <v>33.299999999999997</v>
      </c>
      <c r="W645" s="2">
        <v>33.299999999999997</v>
      </c>
      <c r="X645" s="2">
        <v>33.299999999999997</v>
      </c>
      <c r="Y645" t="s">
        <v>238</v>
      </c>
      <c r="Z645" t="s">
        <v>1062</v>
      </c>
    </row>
    <row r="646" spans="1:26" x14ac:dyDescent="0.25">
      <c r="A646">
        <v>2032231789</v>
      </c>
      <c r="B646" t="s">
        <v>582</v>
      </c>
      <c r="C646" t="s">
        <v>233</v>
      </c>
      <c r="D646" t="str">
        <f>CONCATENATE(C646," ",B646)</f>
        <v>KENNETH NICASTRO</v>
      </c>
      <c r="E646" t="s">
        <v>193</v>
      </c>
      <c r="F646" t="s">
        <v>182</v>
      </c>
      <c r="G646" t="s">
        <v>194</v>
      </c>
      <c r="H646" t="s">
        <v>194</v>
      </c>
      <c r="I646" s="11" t="s">
        <v>1021</v>
      </c>
      <c r="J646" t="s">
        <v>195</v>
      </c>
      <c r="K646" t="s">
        <v>196</v>
      </c>
      <c r="L646" t="str">
        <f>CONCATENATE(K646," ",J646)</f>
        <v>Ronald Max</v>
      </c>
      <c r="M646" t="s">
        <v>57</v>
      </c>
      <c r="N646" s="1">
        <v>45980</v>
      </c>
      <c r="P646" s="1">
        <v>46222</v>
      </c>
      <c r="Q646" s="2">
        <v>35.85</v>
      </c>
      <c r="R646" t="s">
        <v>58</v>
      </c>
      <c r="S646" s="3">
        <v>0.9</v>
      </c>
      <c r="T646" t="s">
        <v>60</v>
      </c>
      <c r="U646" t="s">
        <v>239</v>
      </c>
      <c r="V646" s="2">
        <v>32.26</v>
      </c>
      <c r="W646" s="2">
        <v>32.26</v>
      </c>
      <c r="X646" s="2">
        <v>32.26</v>
      </c>
      <c r="Y646" t="s">
        <v>238</v>
      </c>
      <c r="Z646" t="s">
        <v>1062</v>
      </c>
    </row>
    <row r="647" spans="1:26" x14ac:dyDescent="0.25">
      <c r="A647">
        <v>2032236390</v>
      </c>
      <c r="B647" t="s">
        <v>583</v>
      </c>
      <c r="C647" t="s">
        <v>584</v>
      </c>
      <c r="D647" t="str">
        <f>CONCATENATE(C647," ",B647)</f>
        <v>ASHLEY CHESTANG</v>
      </c>
      <c r="E647" t="s">
        <v>585</v>
      </c>
      <c r="F647" t="s">
        <v>182</v>
      </c>
      <c r="G647" t="s">
        <v>194</v>
      </c>
      <c r="H647" t="s">
        <v>194</v>
      </c>
      <c r="I647" s="11" t="s">
        <v>1022</v>
      </c>
      <c r="J647" t="s">
        <v>171</v>
      </c>
      <c r="K647" t="s">
        <v>172</v>
      </c>
      <c r="L647" t="str">
        <f>CONCATENATE(K647," ",J647)</f>
        <v>THOMAS PARDUE</v>
      </c>
      <c r="M647" t="s">
        <v>57</v>
      </c>
      <c r="N647" s="1">
        <v>45980</v>
      </c>
      <c r="P647" s="1">
        <v>46222</v>
      </c>
      <c r="Q647" s="2">
        <v>21.83</v>
      </c>
      <c r="R647" t="s">
        <v>58</v>
      </c>
      <c r="S647" s="3">
        <v>0.9</v>
      </c>
      <c r="T647" t="s">
        <v>60</v>
      </c>
      <c r="U647" t="s">
        <v>239</v>
      </c>
      <c r="V647" s="2">
        <v>19.649999999999999</v>
      </c>
      <c r="W647" s="2">
        <v>19.649999999999999</v>
      </c>
      <c r="X647" s="2">
        <v>19.649999999999999</v>
      </c>
      <c r="Y647" t="s">
        <v>238</v>
      </c>
      <c r="Z647" t="s">
        <v>1062</v>
      </c>
    </row>
    <row r="648" spans="1:26" x14ac:dyDescent="0.25">
      <c r="A648">
        <v>2032569049</v>
      </c>
      <c r="B648" t="s">
        <v>587</v>
      </c>
      <c r="C648" t="s">
        <v>588</v>
      </c>
      <c r="D648" t="str">
        <f>CONCATENATE(C648," ",B648)</f>
        <v>BRIDGET GORMAN</v>
      </c>
      <c r="E648" t="s">
        <v>170</v>
      </c>
      <c r="F648" t="s">
        <v>182</v>
      </c>
      <c r="G648" t="s">
        <v>194</v>
      </c>
      <c r="H648" t="s">
        <v>194</v>
      </c>
      <c r="I648" s="11" t="s">
        <v>1022</v>
      </c>
      <c r="J648" t="s">
        <v>171</v>
      </c>
      <c r="K648" t="s">
        <v>172</v>
      </c>
      <c r="L648" t="str">
        <f>CONCATENATE(K648," ",J648)</f>
        <v>THOMAS PARDUE</v>
      </c>
      <c r="M648" t="s">
        <v>57</v>
      </c>
      <c r="N648" s="1">
        <v>46004</v>
      </c>
      <c r="P648" s="1">
        <v>46216</v>
      </c>
      <c r="Q648" s="2">
        <v>57.35</v>
      </c>
      <c r="R648" t="s">
        <v>58</v>
      </c>
      <c r="S648" s="3">
        <v>0.9</v>
      </c>
      <c r="T648" t="s">
        <v>60</v>
      </c>
      <c r="U648" t="s">
        <v>239</v>
      </c>
      <c r="V648" s="2">
        <v>51.62</v>
      </c>
      <c r="W648" s="2">
        <v>51.62</v>
      </c>
      <c r="X648" s="2">
        <v>51.62</v>
      </c>
      <c r="Y648" t="s">
        <v>238</v>
      </c>
      <c r="Z648" t="s">
        <v>1064</v>
      </c>
    </row>
    <row r="649" spans="1:26" x14ac:dyDescent="0.25">
      <c r="A649">
        <v>2018351025</v>
      </c>
      <c r="B649" t="s">
        <v>960</v>
      </c>
      <c r="C649" t="s">
        <v>106</v>
      </c>
      <c r="D649" t="str">
        <f>CONCATENATE(C649," ",B649)</f>
        <v>JACOB PHELPS</v>
      </c>
      <c r="E649" t="s">
        <v>245</v>
      </c>
      <c r="F649" t="s">
        <v>182</v>
      </c>
      <c r="G649" t="s">
        <v>194</v>
      </c>
      <c r="H649" t="s">
        <v>194</v>
      </c>
      <c r="I649" s="11">
        <v>8307933</v>
      </c>
      <c r="J649" t="s">
        <v>79</v>
      </c>
      <c r="K649" t="s">
        <v>80</v>
      </c>
      <c r="L649" t="str">
        <f>CONCATENATE(K649," ",J649)</f>
        <v>GREGORY TEIPEL</v>
      </c>
      <c r="M649" t="s">
        <v>57</v>
      </c>
      <c r="N649" s="1">
        <v>45030</v>
      </c>
      <c r="P649" s="1">
        <v>46217</v>
      </c>
      <c r="Q649" s="2">
        <v>29.25</v>
      </c>
      <c r="R649" t="s">
        <v>58</v>
      </c>
      <c r="S649" s="3">
        <v>0.1</v>
      </c>
      <c r="T649" t="s">
        <v>238</v>
      </c>
      <c r="U649" t="s">
        <v>239</v>
      </c>
      <c r="V649" s="2">
        <v>2.92</v>
      </c>
      <c r="W649" s="2">
        <v>2.92</v>
      </c>
      <c r="X649" s="2">
        <v>2.92</v>
      </c>
      <c r="Y649" t="s">
        <v>238</v>
      </c>
      <c r="Z649" t="s">
        <v>1062</v>
      </c>
    </row>
    <row r="650" spans="1:26" x14ac:dyDescent="0.25">
      <c r="A650">
        <v>2018717179</v>
      </c>
      <c r="B650" t="s">
        <v>232</v>
      </c>
      <c r="C650" t="s">
        <v>961</v>
      </c>
      <c r="D650" t="str">
        <f>CONCATENATE(C650," ",B650)</f>
        <v>CALVIN JOHNSON</v>
      </c>
      <c r="E650" t="s">
        <v>119</v>
      </c>
      <c r="F650" t="s">
        <v>182</v>
      </c>
      <c r="G650" t="s">
        <v>194</v>
      </c>
      <c r="H650" t="s">
        <v>194</v>
      </c>
      <c r="I650" s="11">
        <v>8307933</v>
      </c>
      <c r="J650" t="s">
        <v>79</v>
      </c>
      <c r="K650" t="s">
        <v>80</v>
      </c>
      <c r="L650" t="str">
        <f>CONCATENATE(K650," ",J650)</f>
        <v>GREGORY TEIPEL</v>
      </c>
      <c r="M650" t="s">
        <v>57</v>
      </c>
      <c r="N650" s="1">
        <v>45065</v>
      </c>
      <c r="P650" s="1">
        <v>46222</v>
      </c>
      <c r="Q650" s="2">
        <v>123.44</v>
      </c>
      <c r="R650" t="s">
        <v>58</v>
      </c>
      <c r="S650" s="3">
        <v>0.1</v>
      </c>
      <c r="T650" t="s">
        <v>238</v>
      </c>
      <c r="U650" t="s">
        <v>239</v>
      </c>
      <c r="V650" s="2">
        <v>12.34</v>
      </c>
      <c r="W650" s="2">
        <v>12.34</v>
      </c>
      <c r="X650" s="2">
        <v>12.34</v>
      </c>
      <c r="Y650" t="s">
        <v>238</v>
      </c>
      <c r="Z650" t="s">
        <v>1062</v>
      </c>
    </row>
    <row r="651" spans="1:26" x14ac:dyDescent="0.25">
      <c r="A651">
        <v>2020780792</v>
      </c>
      <c r="B651" t="s">
        <v>962</v>
      </c>
      <c r="C651" t="s">
        <v>963</v>
      </c>
      <c r="D651" t="str">
        <f>CONCATENATE(C651," ",B651)</f>
        <v>VACILIKI RESS</v>
      </c>
      <c r="E651" t="s">
        <v>119</v>
      </c>
      <c r="F651" t="s">
        <v>182</v>
      </c>
      <c r="G651" t="s">
        <v>194</v>
      </c>
      <c r="H651" t="s">
        <v>194</v>
      </c>
      <c r="I651" s="11">
        <v>8307933</v>
      </c>
      <c r="J651" t="s">
        <v>79</v>
      </c>
      <c r="K651" t="s">
        <v>80</v>
      </c>
      <c r="L651" t="str">
        <f>CONCATENATE(K651," ",J651)</f>
        <v>GREGORY TEIPEL</v>
      </c>
      <c r="M651" t="s">
        <v>57</v>
      </c>
      <c r="N651" s="1">
        <v>45245</v>
      </c>
      <c r="P651" s="1">
        <v>46218</v>
      </c>
      <c r="Q651" s="2">
        <v>51.63</v>
      </c>
      <c r="R651" t="s">
        <v>58</v>
      </c>
      <c r="S651" s="3">
        <v>0.1</v>
      </c>
      <c r="T651" t="s">
        <v>238</v>
      </c>
      <c r="U651" t="s">
        <v>239</v>
      </c>
      <c r="V651" s="2">
        <v>5.16</v>
      </c>
      <c r="W651" s="2">
        <v>5.16</v>
      </c>
      <c r="X651" s="2">
        <v>5.16</v>
      </c>
      <c r="Y651" t="s">
        <v>238</v>
      </c>
      <c r="Z651" t="s">
        <v>1062</v>
      </c>
    </row>
    <row r="652" spans="1:26" x14ac:dyDescent="0.25">
      <c r="A652">
        <v>2021598259</v>
      </c>
      <c r="B652" t="s">
        <v>964</v>
      </c>
      <c r="C652" t="s">
        <v>965</v>
      </c>
      <c r="D652" t="str">
        <f>CONCATENATE(C652," ",B652)</f>
        <v>DEAN BEYER</v>
      </c>
      <c r="E652" t="s">
        <v>119</v>
      </c>
      <c r="F652" t="s">
        <v>182</v>
      </c>
      <c r="G652" t="s">
        <v>194</v>
      </c>
      <c r="H652" t="s">
        <v>194</v>
      </c>
      <c r="I652" s="11">
        <v>8307933</v>
      </c>
      <c r="J652" t="s">
        <v>79</v>
      </c>
      <c r="K652" t="s">
        <v>80</v>
      </c>
      <c r="L652" t="str">
        <f>CONCATENATE(K652," ",J652)</f>
        <v>GREGORY TEIPEL</v>
      </c>
      <c r="M652" t="s">
        <v>57</v>
      </c>
      <c r="N652" s="1">
        <v>45341</v>
      </c>
      <c r="P652" s="1">
        <v>46222</v>
      </c>
      <c r="Q652" s="2">
        <v>163.25</v>
      </c>
      <c r="R652" t="s">
        <v>58</v>
      </c>
      <c r="S652" s="3">
        <v>0.1</v>
      </c>
      <c r="T652" t="s">
        <v>238</v>
      </c>
      <c r="U652" t="s">
        <v>239</v>
      </c>
      <c r="V652" s="2">
        <v>16.32</v>
      </c>
      <c r="W652" s="2">
        <v>16.32</v>
      </c>
      <c r="X652" s="2">
        <v>16.32</v>
      </c>
      <c r="Y652" t="s">
        <v>238</v>
      </c>
      <c r="Z652" t="s">
        <v>1062</v>
      </c>
    </row>
    <row r="653" spans="1:26" x14ac:dyDescent="0.25">
      <c r="A653">
        <v>2022748694</v>
      </c>
      <c r="B653" t="s">
        <v>966</v>
      </c>
      <c r="C653" t="s">
        <v>172</v>
      </c>
      <c r="D653" t="str">
        <f>CONCATENATE(C653," ",B653)</f>
        <v>THOMAS DELROSSI</v>
      </c>
      <c r="E653" t="s">
        <v>52</v>
      </c>
      <c r="F653" t="s">
        <v>182</v>
      </c>
      <c r="G653" t="s">
        <v>194</v>
      </c>
      <c r="H653" t="s">
        <v>194</v>
      </c>
      <c r="I653" s="11">
        <v>8307933</v>
      </c>
      <c r="J653" t="s">
        <v>79</v>
      </c>
      <c r="K653" t="s">
        <v>80</v>
      </c>
      <c r="L653" t="str">
        <f>CONCATENATE(K653," ",J653)</f>
        <v>GREGORY TEIPEL</v>
      </c>
      <c r="M653" t="s">
        <v>57</v>
      </c>
      <c r="N653" s="1">
        <v>45400</v>
      </c>
      <c r="P653" s="1">
        <v>46221</v>
      </c>
      <c r="Q653" s="2">
        <v>112.25</v>
      </c>
      <c r="R653" t="s">
        <v>58</v>
      </c>
      <c r="S653" s="3">
        <v>0.1</v>
      </c>
      <c r="T653" t="s">
        <v>238</v>
      </c>
      <c r="U653" t="s">
        <v>239</v>
      </c>
      <c r="V653" s="2">
        <v>11.22</v>
      </c>
      <c r="W653" s="2">
        <v>11.22</v>
      </c>
      <c r="X653" s="2">
        <v>11.22</v>
      </c>
      <c r="Y653" t="s">
        <v>238</v>
      </c>
      <c r="Z653" t="s">
        <v>1062</v>
      </c>
    </row>
    <row r="654" spans="1:26" x14ac:dyDescent="0.25">
      <c r="A654">
        <v>2023911658</v>
      </c>
      <c r="B654" t="s">
        <v>900</v>
      </c>
      <c r="C654" t="s">
        <v>967</v>
      </c>
      <c r="D654" t="str">
        <f>CONCATENATE(C654," ",B654)</f>
        <v>LOIS SHEFFIELD</v>
      </c>
      <c r="E654" t="s">
        <v>145</v>
      </c>
      <c r="F654" t="s">
        <v>182</v>
      </c>
      <c r="G654" t="s">
        <v>194</v>
      </c>
      <c r="H654" t="s">
        <v>194</v>
      </c>
      <c r="I654" s="11">
        <v>8977234</v>
      </c>
      <c r="J654" t="s">
        <v>85</v>
      </c>
      <c r="K654" t="s">
        <v>86</v>
      </c>
      <c r="L654" t="str">
        <f>CONCATENATE(K654," ",J654)</f>
        <v>RYAN CALTAGIRONE</v>
      </c>
      <c r="M654" t="s">
        <v>57</v>
      </c>
      <c r="N654" s="1">
        <v>45486</v>
      </c>
      <c r="P654" s="1">
        <v>46216</v>
      </c>
      <c r="Q654" s="2">
        <v>150.63</v>
      </c>
      <c r="R654" t="s">
        <v>58</v>
      </c>
      <c r="S654" s="3">
        <v>0.1</v>
      </c>
      <c r="T654" t="s">
        <v>238</v>
      </c>
      <c r="U654" t="s">
        <v>239</v>
      </c>
      <c r="V654" s="2">
        <v>15.06</v>
      </c>
      <c r="W654" s="2">
        <v>15.06</v>
      </c>
      <c r="X654" s="2">
        <v>15.06</v>
      </c>
      <c r="Y654" t="s">
        <v>238</v>
      </c>
      <c r="Z654" t="s">
        <v>1062</v>
      </c>
    </row>
    <row r="655" spans="1:26" x14ac:dyDescent="0.25">
      <c r="A655">
        <v>2032692414</v>
      </c>
      <c r="B655" t="s">
        <v>604</v>
      </c>
      <c r="C655" t="s">
        <v>605</v>
      </c>
      <c r="D655" t="str">
        <f>CONCATENATE(C655," ",B655)</f>
        <v>JUSTIN GREENWELL</v>
      </c>
      <c r="E655" t="s">
        <v>193</v>
      </c>
      <c r="F655" t="s">
        <v>182</v>
      </c>
      <c r="G655" t="s">
        <v>194</v>
      </c>
      <c r="H655" t="s">
        <v>194</v>
      </c>
      <c r="I655" s="11" t="s">
        <v>1021</v>
      </c>
      <c r="J655" t="s">
        <v>195</v>
      </c>
      <c r="K655" t="s">
        <v>196</v>
      </c>
      <c r="L655" t="str">
        <f>CONCATENATE(K655," ",J655)</f>
        <v>Ronald Max</v>
      </c>
      <c r="M655" t="s">
        <v>57</v>
      </c>
      <c r="N655" s="1">
        <v>46007</v>
      </c>
      <c r="P655" s="1">
        <v>46219</v>
      </c>
      <c r="Q655" s="2">
        <v>56.75</v>
      </c>
      <c r="R655" t="s">
        <v>58</v>
      </c>
      <c r="S655" s="3">
        <v>0.9</v>
      </c>
      <c r="T655" t="s">
        <v>60</v>
      </c>
      <c r="U655" t="s">
        <v>239</v>
      </c>
      <c r="V655" s="2">
        <v>51.08</v>
      </c>
      <c r="W655" s="2">
        <v>51.08</v>
      </c>
      <c r="X655" s="2">
        <v>51.08</v>
      </c>
      <c r="Y655" t="s">
        <v>238</v>
      </c>
      <c r="Z655" t="s">
        <v>1062</v>
      </c>
    </row>
    <row r="656" spans="1:26" x14ac:dyDescent="0.25">
      <c r="A656">
        <v>2032693407</v>
      </c>
      <c r="B656" t="s">
        <v>606</v>
      </c>
      <c r="C656" t="s">
        <v>607</v>
      </c>
      <c r="D656" t="str">
        <f>CONCATENATE(C656," ",B656)</f>
        <v>ANGELA TILLEY</v>
      </c>
      <c r="E656" t="s">
        <v>305</v>
      </c>
      <c r="F656" t="s">
        <v>182</v>
      </c>
      <c r="G656" t="s">
        <v>194</v>
      </c>
      <c r="H656" t="s">
        <v>194</v>
      </c>
      <c r="I656" s="11" t="s">
        <v>1020</v>
      </c>
      <c r="J656" t="s">
        <v>312</v>
      </c>
      <c r="K656" t="s">
        <v>313</v>
      </c>
      <c r="L656" t="str">
        <f>CONCATENATE(K656," ",J656)</f>
        <v>Heather Geske</v>
      </c>
      <c r="M656" t="s">
        <v>57</v>
      </c>
      <c r="N656" s="1">
        <v>46007</v>
      </c>
      <c r="P656" s="1">
        <v>46219</v>
      </c>
      <c r="Q656" s="2">
        <v>41.75</v>
      </c>
      <c r="R656" t="s">
        <v>58</v>
      </c>
      <c r="S656" s="3">
        <v>0.9</v>
      </c>
      <c r="T656" t="s">
        <v>60</v>
      </c>
      <c r="U656" t="s">
        <v>239</v>
      </c>
      <c r="V656" s="2">
        <v>37.58</v>
      </c>
      <c r="W656" s="2">
        <v>37.58</v>
      </c>
      <c r="X656" s="2">
        <v>37.58</v>
      </c>
      <c r="Y656" t="s">
        <v>238</v>
      </c>
      <c r="Z656" t="s">
        <v>1064</v>
      </c>
    </row>
    <row r="657" spans="1:26" x14ac:dyDescent="0.25">
      <c r="A657">
        <v>2016841042</v>
      </c>
      <c r="B657" t="s">
        <v>232</v>
      </c>
      <c r="C657" t="s">
        <v>233</v>
      </c>
      <c r="D657" t="str">
        <f>CONCATENATE(C657," ",B657)</f>
        <v>KENNETH JOHNSON</v>
      </c>
      <c r="E657" t="s">
        <v>234</v>
      </c>
      <c r="F657" t="s">
        <v>53</v>
      </c>
      <c r="G657" t="s">
        <v>235</v>
      </c>
      <c r="H657" t="s">
        <v>235</v>
      </c>
      <c r="I657" s="11">
        <v>9079571</v>
      </c>
      <c r="J657" t="s">
        <v>64</v>
      </c>
      <c r="K657" t="s">
        <v>236</v>
      </c>
      <c r="L657" t="str">
        <f>CONCATENATE(K657," ",J657)</f>
        <v>ADAM RICHTER</v>
      </c>
      <c r="M657" t="s">
        <v>57</v>
      </c>
      <c r="N657" s="1">
        <v>44883</v>
      </c>
      <c r="P657" s="1">
        <v>46221</v>
      </c>
      <c r="Q657" s="2">
        <v>97.79</v>
      </c>
      <c r="R657" t="s">
        <v>58</v>
      </c>
      <c r="S657" s="4">
        <v>6.5000000000000002E-2</v>
      </c>
      <c r="T657" t="s">
        <v>238</v>
      </c>
      <c r="U657" t="s">
        <v>239</v>
      </c>
      <c r="V657" s="2">
        <v>6.36</v>
      </c>
      <c r="W657" s="2">
        <v>6.36</v>
      </c>
      <c r="X657" s="2">
        <v>6.36</v>
      </c>
      <c r="Y657" t="s">
        <v>238</v>
      </c>
      <c r="Z657" t="s">
        <v>1062</v>
      </c>
    </row>
    <row r="658" spans="1:26" x14ac:dyDescent="0.25">
      <c r="A658">
        <v>2023509944</v>
      </c>
      <c r="B658" t="s">
        <v>246</v>
      </c>
      <c r="C658" t="s">
        <v>247</v>
      </c>
      <c r="D658" t="str">
        <f>CONCATENATE(C658," ",B658)</f>
        <v>NATALIA VOLZ</v>
      </c>
      <c r="E658" t="s">
        <v>52</v>
      </c>
      <c r="F658" t="s">
        <v>53</v>
      </c>
      <c r="G658" t="s">
        <v>248</v>
      </c>
      <c r="H658" t="s">
        <v>248</v>
      </c>
      <c r="I658" s="11" t="s">
        <v>1011</v>
      </c>
      <c r="J658" t="s">
        <v>55</v>
      </c>
      <c r="K658" t="s">
        <v>56</v>
      </c>
      <c r="L658" t="str">
        <f>CONCATENATE(K658," ",J658)</f>
        <v>JOHN ROKEN</v>
      </c>
      <c r="M658" t="s">
        <v>57</v>
      </c>
      <c r="N658" s="1">
        <v>45457</v>
      </c>
      <c r="P658" s="1">
        <v>46217</v>
      </c>
      <c r="Q658" s="2">
        <v>109.84</v>
      </c>
      <c r="R658" t="s">
        <v>58</v>
      </c>
      <c r="S658" s="4">
        <v>6.5000000000000002E-2</v>
      </c>
      <c r="T658" t="s">
        <v>238</v>
      </c>
      <c r="U658" t="s">
        <v>239</v>
      </c>
      <c r="V658" s="2">
        <v>7.14</v>
      </c>
      <c r="W658" s="2">
        <v>7.14</v>
      </c>
      <c r="X658" s="2">
        <v>7.14</v>
      </c>
      <c r="Y658" t="s">
        <v>238</v>
      </c>
      <c r="Z658" t="s">
        <v>1062</v>
      </c>
    </row>
    <row r="659" spans="1:26" x14ac:dyDescent="0.25">
      <c r="A659">
        <v>2034097751</v>
      </c>
      <c r="B659" t="s">
        <v>281</v>
      </c>
      <c r="C659" t="s">
        <v>282</v>
      </c>
      <c r="D659" t="str">
        <f>CONCATENATE(C659," ",B659)</f>
        <v>HEWITT WILKINSON</v>
      </c>
      <c r="E659" t="s">
        <v>145</v>
      </c>
      <c r="F659" t="s">
        <v>53</v>
      </c>
      <c r="G659" t="s">
        <v>54</v>
      </c>
      <c r="H659" t="s">
        <v>54</v>
      </c>
      <c r="I659" s="11">
        <v>8977234</v>
      </c>
      <c r="J659" t="s">
        <v>85</v>
      </c>
      <c r="K659" t="s">
        <v>86</v>
      </c>
      <c r="L659" t="str">
        <f>CONCATENATE(K659," ",J659)</f>
        <v>RYAN CALTAGIRONE</v>
      </c>
      <c r="M659" t="s">
        <v>57</v>
      </c>
      <c r="N659" s="1">
        <v>46127</v>
      </c>
      <c r="P659" s="1">
        <v>46218</v>
      </c>
      <c r="Q659" s="2">
        <v>112.52</v>
      </c>
      <c r="R659" t="s">
        <v>58</v>
      </c>
      <c r="S659" s="3">
        <v>0.6</v>
      </c>
      <c r="T659" t="s">
        <v>60</v>
      </c>
      <c r="U659" t="s">
        <v>239</v>
      </c>
      <c r="V659" s="2">
        <v>67.510000000000005</v>
      </c>
      <c r="W659" s="2">
        <v>0</v>
      </c>
      <c r="X659" s="2">
        <v>0</v>
      </c>
      <c r="Y659" t="s">
        <v>238</v>
      </c>
      <c r="Z659" t="s">
        <v>1062</v>
      </c>
    </row>
    <row r="660" spans="1:26" x14ac:dyDescent="0.25">
      <c r="A660">
        <v>2033700082</v>
      </c>
      <c r="B660" t="s">
        <v>279</v>
      </c>
      <c r="C660" t="s">
        <v>280</v>
      </c>
      <c r="D660" t="str">
        <f>CONCATENATE(C660," ",B660)</f>
        <v>CRISTINA ORTEGA</v>
      </c>
      <c r="E660" t="s">
        <v>119</v>
      </c>
      <c r="F660" t="s">
        <v>53</v>
      </c>
      <c r="G660" t="s">
        <v>54</v>
      </c>
      <c r="H660" t="s">
        <v>54</v>
      </c>
      <c r="I660" s="11" t="s">
        <v>1012</v>
      </c>
      <c r="J660" t="s">
        <v>189</v>
      </c>
      <c r="K660" t="s">
        <v>190</v>
      </c>
      <c r="L660" t="str">
        <f>CONCATENATE(K660," ",J660)</f>
        <v>Matthew Sherman</v>
      </c>
      <c r="M660" t="s">
        <v>57</v>
      </c>
      <c r="N660" s="1">
        <v>46071</v>
      </c>
      <c r="P660" s="1">
        <v>46221</v>
      </c>
      <c r="Q660" s="2">
        <v>96.55</v>
      </c>
      <c r="R660" t="s">
        <v>58</v>
      </c>
      <c r="S660" s="3">
        <v>0.6</v>
      </c>
      <c r="T660" t="s">
        <v>60</v>
      </c>
      <c r="U660" t="s">
        <v>239</v>
      </c>
      <c r="V660" s="2">
        <v>57.93</v>
      </c>
      <c r="W660" s="2">
        <v>0</v>
      </c>
      <c r="X660" s="2">
        <v>0</v>
      </c>
      <c r="Y660" t="s">
        <v>238</v>
      </c>
      <c r="Z660" t="s">
        <v>1063</v>
      </c>
    </row>
    <row r="661" spans="1:26" x14ac:dyDescent="0.25">
      <c r="A661">
        <v>2034899050</v>
      </c>
      <c r="B661" t="s">
        <v>286</v>
      </c>
      <c r="C661" t="s">
        <v>287</v>
      </c>
      <c r="D661" t="str">
        <f>CONCATENATE(C661," ",B661)</f>
        <v>SUSAN STAFFORD</v>
      </c>
      <c r="E661" t="s">
        <v>119</v>
      </c>
      <c r="F661" t="s">
        <v>53</v>
      </c>
      <c r="G661" t="s">
        <v>54</v>
      </c>
      <c r="H661" t="s">
        <v>54</v>
      </c>
      <c r="I661" s="11" t="s">
        <v>1014</v>
      </c>
      <c r="J661" t="s">
        <v>189</v>
      </c>
      <c r="K661" t="s">
        <v>190</v>
      </c>
      <c r="L661" t="str">
        <f>CONCATENATE(K661," ",J661)</f>
        <v>Matthew Sherman</v>
      </c>
      <c r="M661" t="s">
        <v>57</v>
      </c>
      <c r="N661" s="1">
        <v>46126</v>
      </c>
      <c r="P661" s="1">
        <v>46217</v>
      </c>
      <c r="Q661" s="2">
        <v>79.75</v>
      </c>
      <c r="R661" t="s">
        <v>58</v>
      </c>
      <c r="S661" s="3">
        <v>0.6</v>
      </c>
      <c r="T661" t="s">
        <v>60</v>
      </c>
      <c r="U661" t="s">
        <v>239</v>
      </c>
      <c r="V661" s="2">
        <v>47.85</v>
      </c>
      <c r="W661" s="2">
        <v>0</v>
      </c>
      <c r="X661" s="2">
        <v>0</v>
      </c>
      <c r="Y661" t="s">
        <v>238</v>
      </c>
      <c r="Z661" t="s">
        <v>1063</v>
      </c>
    </row>
    <row r="662" spans="1:26" x14ac:dyDescent="0.25">
      <c r="A662">
        <v>2035438431</v>
      </c>
      <c r="B662" t="s">
        <v>288</v>
      </c>
      <c r="C662" t="s">
        <v>289</v>
      </c>
      <c r="D662" t="str">
        <f>CONCATENATE(C662," ",B662)</f>
        <v>KATHLEEN CARY</v>
      </c>
      <c r="E662" t="s">
        <v>52</v>
      </c>
      <c r="F662" t="s">
        <v>53</v>
      </c>
      <c r="G662" t="s">
        <v>54</v>
      </c>
      <c r="H662" t="s">
        <v>54</v>
      </c>
      <c r="I662" s="11">
        <v>21758900</v>
      </c>
      <c r="J662" t="s">
        <v>179</v>
      </c>
      <c r="K662" t="s">
        <v>180</v>
      </c>
      <c r="L662" t="str">
        <f>CONCATENATE(K662," ",J662)</f>
        <v>John Rader</v>
      </c>
      <c r="M662" t="s">
        <v>57</v>
      </c>
      <c r="N662" s="1">
        <v>46155</v>
      </c>
      <c r="P662" s="1">
        <v>46216</v>
      </c>
      <c r="Q662" s="2">
        <v>79.67</v>
      </c>
      <c r="R662" t="s">
        <v>58</v>
      </c>
      <c r="S662" s="3">
        <v>0.6</v>
      </c>
      <c r="T662" t="s">
        <v>60</v>
      </c>
      <c r="U662" t="s">
        <v>239</v>
      </c>
      <c r="V662" s="2">
        <v>47.8</v>
      </c>
      <c r="W662" s="2">
        <v>0</v>
      </c>
      <c r="X662" s="2">
        <v>0</v>
      </c>
      <c r="Y662" t="s">
        <v>238</v>
      </c>
      <c r="Z662" t="s">
        <v>1062</v>
      </c>
    </row>
    <row r="663" spans="1:26" x14ac:dyDescent="0.25">
      <c r="A663">
        <v>2035449420</v>
      </c>
      <c r="B663" t="s">
        <v>290</v>
      </c>
      <c r="C663" t="s">
        <v>291</v>
      </c>
      <c r="D663" t="str">
        <f>CONCATENATE(C663," ",B663)</f>
        <v>BASIA CARPENTIER</v>
      </c>
      <c r="E663" t="s">
        <v>292</v>
      </c>
      <c r="F663" t="s">
        <v>53</v>
      </c>
      <c r="G663" t="s">
        <v>54</v>
      </c>
      <c r="H663" t="s">
        <v>54</v>
      </c>
      <c r="I663" s="11" t="s">
        <v>1015</v>
      </c>
      <c r="J663" t="s">
        <v>293</v>
      </c>
      <c r="K663" t="s">
        <v>294</v>
      </c>
      <c r="L663" t="str">
        <f>CONCATENATE(K663," ",J663)</f>
        <v>Kara Evenson</v>
      </c>
      <c r="M663" t="s">
        <v>57</v>
      </c>
      <c r="N663" s="1">
        <v>46156</v>
      </c>
      <c r="P663" s="1">
        <v>46217</v>
      </c>
      <c r="Q663" s="2">
        <v>52.69</v>
      </c>
      <c r="R663" t="s">
        <v>58</v>
      </c>
      <c r="S663" s="3">
        <v>0.6</v>
      </c>
      <c r="T663" t="s">
        <v>60</v>
      </c>
      <c r="U663" t="s">
        <v>239</v>
      </c>
      <c r="V663" s="2">
        <v>31.61</v>
      </c>
      <c r="W663" s="2">
        <v>0</v>
      </c>
      <c r="X663" s="2">
        <v>0</v>
      </c>
      <c r="Y663" t="s">
        <v>238</v>
      </c>
      <c r="Z663" t="s">
        <v>1063</v>
      </c>
    </row>
    <row r="664" spans="1:26" x14ac:dyDescent="0.25">
      <c r="A664">
        <v>2034404407</v>
      </c>
      <c r="B664" t="s">
        <v>283</v>
      </c>
      <c r="C664" t="s">
        <v>260</v>
      </c>
      <c r="D664" t="str">
        <f>CONCATENATE(C664," ",B664)</f>
        <v>JOSEPH SABA</v>
      </c>
      <c r="E664" t="s">
        <v>52</v>
      </c>
      <c r="F664" t="s">
        <v>53</v>
      </c>
      <c r="G664" t="s">
        <v>54</v>
      </c>
      <c r="H664" t="s">
        <v>54</v>
      </c>
      <c r="I664" s="11">
        <v>15950276</v>
      </c>
      <c r="J664" t="s">
        <v>273</v>
      </c>
      <c r="K664" t="s">
        <v>92</v>
      </c>
      <c r="L664" t="str">
        <f>CONCATENATE(K664," ",J664)</f>
        <v>Ryan Stocker</v>
      </c>
      <c r="M664" t="s">
        <v>57</v>
      </c>
      <c r="N664" s="1">
        <v>46099</v>
      </c>
      <c r="P664" s="1">
        <v>46221</v>
      </c>
      <c r="Q664" s="2">
        <v>46.45</v>
      </c>
      <c r="R664" t="s">
        <v>58</v>
      </c>
      <c r="S664" s="3">
        <v>0.6</v>
      </c>
      <c r="T664" t="s">
        <v>60</v>
      </c>
      <c r="U664" t="s">
        <v>239</v>
      </c>
      <c r="V664" s="2">
        <v>27.87</v>
      </c>
      <c r="W664" s="2">
        <v>0</v>
      </c>
      <c r="X664" s="2">
        <v>0</v>
      </c>
      <c r="Y664" t="s">
        <v>238</v>
      </c>
      <c r="Z664" t="s">
        <v>1062</v>
      </c>
    </row>
    <row r="665" spans="1:26" x14ac:dyDescent="0.25">
      <c r="A665">
        <v>2033129763</v>
      </c>
      <c r="B665" t="s">
        <v>275</v>
      </c>
      <c r="C665" t="s">
        <v>276</v>
      </c>
      <c r="D665" t="str">
        <f>CONCATENATE(C665," ",B665)</f>
        <v>DANICA DEVITO</v>
      </c>
      <c r="E665" t="s">
        <v>52</v>
      </c>
      <c r="F665" t="s">
        <v>53</v>
      </c>
      <c r="G665" t="s">
        <v>54</v>
      </c>
      <c r="H665" t="s">
        <v>54</v>
      </c>
      <c r="I665" s="11" t="s">
        <v>1011</v>
      </c>
      <c r="J665" t="s">
        <v>55</v>
      </c>
      <c r="K665" t="s">
        <v>56</v>
      </c>
      <c r="L665" t="str">
        <f>CONCATENATE(K665," ",J665)</f>
        <v>JOHN ROKEN</v>
      </c>
      <c r="M665" t="s">
        <v>57</v>
      </c>
      <c r="N665" s="1">
        <v>46036</v>
      </c>
      <c r="P665" s="1">
        <v>46217</v>
      </c>
      <c r="Q665" s="2">
        <v>40.159999999999997</v>
      </c>
      <c r="R665" t="s">
        <v>58</v>
      </c>
      <c r="S665" s="3">
        <v>0.6</v>
      </c>
      <c r="T665" t="s">
        <v>60</v>
      </c>
      <c r="U665" t="s">
        <v>239</v>
      </c>
      <c r="V665" s="2">
        <v>24.1</v>
      </c>
      <c r="W665" s="2">
        <v>0</v>
      </c>
      <c r="X665" s="2">
        <v>0</v>
      </c>
      <c r="Y665" t="s">
        <v>238</v>
      </c>
      <c r="Z665" t="s">
        <v>1062</v>
      </c>
    </row>
    <row r="666" spans="1:26" x14ac:dyDescent="0.25">
      <c r="A666">
        <v>2023499225</v>
      </c>
      <c r="B666" t="s">
        <v>243</v>
      </c>
      <c r="C666" t="s">
        <v>244</v>
      </c>
      <c r="D666" t="str">
        <f>CONCATENATE(C666," ",B666)</f>
        <v>RHONDA SURRATT</v>
      </c>
      <c r="E666" t="s">
        <v>245</v>
      </c>
      <c r="F666" t="s">
        <v>53</v>
      </c>
      <c r="G666" t="s">
        <v>54</v>
      </c>
      <c r="H666" t="s">
        <v>54</v>
      </c>
      <c r="I666" s="11" t="s">
        <v>1011</v>
      </c>
      <c r="J666" t="s">
        <v>55</v>
      </c>
      <c r="K666" t="s">
        <v>56</v>
      </c>
      <c r="L666" t="str">
        <f>CONCATENATE(K666," ",J666)</f>
        <v>JOHN ROKEN</v>
      </c>
      <c r="M666" t="s">
        <v>57</v>
      </c>
      <c r="N666" s="1">
        <v>45456</v>
      </c>
      <c r="P666" s="1">
        <v>46216</v>
      </c>
      <c r="Q666" s="2">
        <v>56.69</v>
      </c>
      <c r="R666" t="s">
        <v>58</v>
      </c>
      <c r="S666" s="4">
        <v>6.5000000000000002E-2</v>
      </c>
      <c r="T666" t="s">
        <v>238</v>
      </c>
      <c r="U666" t="s">
        <v>239</v>
      </c>
      <c r="V666" s="2">
        <v>3.68</v>
      </c>
      <c r="W666" s="2">
        <v>3.68</v>
      </c>
      <c r="X666" s="2">
        <v>3.68</v>
      </c>
      <c r="Y666" t="s">
        <v>238</v>
      </c>
      <c r="Z666" t="s">
        <v>1062</v>
      </c>
    </row>
    <row r="667" spans="1:26" x14ac:dyDescent="0.25">
      <c r="A667">
        <v>2023510924</v>
      </c>
      <c r="B667" t="s">
        <v>249</v>
      </c>
      <c r="C667" t="s">
        <v>250</v>
      </c>
      <c r="D667" t="str">
        <f>CONCATENATE(C667," ",B667)</f>
        <v>CHARLES CAMPBELL</v>
      </c>
      <c r="E667" t="s">
        <v>52</v>
      </c>
      <c r="F667" t="s">
        <v>53</v>
      </c>
      <c r="G667" t="s">
        <v>54</v>
      </c>
      <c r="H667" t="s">
        <v>54</v>
      </c>
      <c r="I667" s="11" t="s">
        <v>1011</v>
      </c>
      <c r="J667" t="s">
        <v>55</v>
      </c>
      <c r="K667" t="s">
        <v>56</v>
      </c>
      <c r="L667" t="str">
        <f>CONCATENATE(K667," ",J667)</f>
        <v>JOHN ROKEN</v>
      </c>
      <c r="M667" t="s">
        <v>57</v>
      </c>
      <c r="N667" s="1">
        <v>45457</v>
      </c>
      <c r="P667" s="1">
        <v>46217</v>
      </c>
      <c r="Q667" s="2">
        <v>56.69</v>
      </c>
      <c r="R667" t="s">
        <v>58</v>
      </c>
      <c r="S667" s="4">
        <v>6.5000000000000002E-2</v>
      </c>
      <c r="T667" t="s">
        <v>238</v>
      </c>
      <c r="U667" t="s">
        <v>239</v>
      </c>
      <c r="V667" s="2">
        <v>3.68</v>
      </c>
      <c r="W667" s="2">
        <v>3.68</v>
      </c>
      <c r="X667" s="2">
        <v>3.68</v>
      </c>
      <c r="Y667" t="s">
        <v>238</v>
      </c>
      <c r="Z667" t="s">
        <v>1062</v>
      </c>
    </row>
    <row r="668" spans="1:26" x14ac:dyDescent="0.25">
      <c r="A668">
        <v>2024382706</v>
      </c>
      <c r="B668" t="s">
        <v>251</v>
      </c>
      <c r="C668" t="s">
        <v>252</v>
      </c>
      <c r="D668" t="str">
        <f>CONCATENATE(C668," ",B668)</f>
        <v>SARAH LUDDY</v>
      </c>
      <c r="E668" t="s">
        <v>52</v>
      </c>
      <c r="F668" t="s">
        <v>53</v>
      </c>
      <c r="G668" t="s">
        <v>54</v>
      </c>
      <c r="H668" t="s">
        <v>54</v>
      </c>
      <c r="I668" s="11">
        <v>17425766</v>
      </c>
      <c r="J668" t="s">
        <v>158</v>
      </c>
      <c r="K668" t="s">
        <v>159</v>
      </c>
      <c r="L668" t="str">
        <f>CONCATENATE(K668," ",J668)</f>
        <v>CAROL FOLEY</v>
      </c>
      <c r="M668" t="s">
        <v>57</v>
      </c>
      <c r="N668" s="1">
        <v>45519</v>
      </c>
      <c r="P668" s="1">
        <v>46218</v>
      </c>
      <c r="Q668" s="2">
        <v>40.159999999999997</v>
      </c>
      <c r="R668" t="s">
        <v>58</v>
      </c>
      <c r="S668" s="4">
        <v>6.5000000000000002E-2</v>
      </c>
      <c r="T668" t="s">
        <v>238</v>
      </c>
      <c r="U668" t="s">
        <v>239</v>
      </c>
      <c r="V668" s="2">
        <v>2.61</v>
      </c>
      <c r="W668" s="2">
        <v>2.61</v>
      </c>
      <c r="X668" s="2">
        <v>2.61</v>
      </c>
      <c r="Y668" t="s">
        <v>238</v>
      </c>
      <c r="Z668" t="s">
        <v>1062</v>
      </c>
    </row>
    <row r="669" spans="1:26" x14ac:dyDescent="0.25">
      <c r="A669">
        <v>2025756063</v>
      </c>
      <c r="B669" t="s">
        <v>253</v>
      </c>
      <c r="C669" t="s">
        <v>254</v>
      </c>
      <c r="D669" t="str">
        <f>CONCATENATE(C669," ",B669)</f>
        <v>KEVIN CLOUSE</v>
      </c>
      <c r="E669" t="s">
        <v>52</v>
      </c>
      <c r="F669" t="s">
        <v>53</v>
      </c>
      <c r="G669" t="s">
        <v>54</v>
      </c>
      <c r="H669" t="s">
        <v>54</v>
      </c>
      <c r="I669" s="11">
        <v>17425766</v>
      </c>
      <c r="J669" t="s">
        <v>158</v>
      </c>
      <c r="K669" t="s">
        <v>159</v>
      </c>
      <c r="L669" t="str">
        <f>CONCATENATE(K669," ",J669)</f>
        <v>CAROL FOLEY</v>
      </c>
      <c r="M669" t="s">
        <v>57</v>
      </c>
      <c r="N669" s="1">
        <v>45610</v>
      </c>
      <c r="P669" s="1">
        <v>46217</v>
      </c>
      <c r="Q669" s="2">
        <v>46.45</v>
      </c>
      <c r="R669" t="s">
        <v>58</v>
      </c>
      <c r="S669" s="4">
        <v>6.5000000000000002E-2</v>
      </c>
      <c r="T669" t="s">
        <v>238</v>
      </c>
      <c r="U669" t="s">
        <v>239</v>
      </c>
      <c r="V669" s="2">
        <v>3.02</v>
      </c>
      <c r="W669" s="2">
        <v>3.02</v>
      </c>
      <c r="X669" s="2">
        <v>3.02</v>
      </c>
      <c r="Y669" t="s">
        <v>238</v>
      </c>
      <c r="Z669" t="s">
        <v>1062</v>
      </c>
    </row>
    <row r="670" spans="1:26" x14ac:dyDescent="0.25">
      <c r="A670">
        <v>2025771713</v>
      </c>
      <c r="B670" t="s">
        <v>255</v>
      </c>
      <c r="C670" t="s">
        <v>256</v>
      </c>
      <c r="D670" t="str">
        <f>CONCATENATE(C670," ",B670)</f>
        <v>MATTHEW WHITLOCK</v>
      </c>
      <c r="E670" t="s">
        <v>52</v>
      </c>
      <c r="F670" t="s">
        <v>53</v>
      </c>
      <c r="G670" t="s">
        <v>54</v>
      </c>
      <c r="H670" t="s">
        <v>54</v>
      </c>
      <c r="I670" s="11">
        <v>17425766</v>
      </c>
      <c r="J670" t="s">
        <v>158</v>
      </c>
      <c r="K670" t="s">
        <v>159</v>
      </c>
      <c r="L670" t="str">
        <f>CONCATENATE(K670," ",J670)</f>
        <v>CAROL FOLEY</v>
      </c>
      <c r="M670" t="s">
        <v>57</v>
      </c>
      <c r="N670" s="1">
        <v>45611</v>
      </c>
      <c r="P670" s="1">
        <v>46218</v>
      </c>
      <c r="Q670" s="2">
        <v>52.69</v>
      </c>
      <c r="R670" t="s">
        <v>58</v>
      </c>
      <c r="S670" s="4">
        <v>6.5000000000000002E-2</v>
      </c>
      <c r="T670" t="s">
        <v>238</v>
      </c>
      <c r="U670" t="s">
        <v>239</v>
      </c>
      <c r="V670" s="2">
        <v>3.42</v>
      </c>
      <c r="W670" s="2">
        <v>3.42</v>
      </c>
      <c r="X670" s="2">
        <v>3.42</v>
      </c>
      <c r="Y670" t="s">
        <v>238</v>
      </c>
      <c r="Z670" t="s">
        <v>1062</v>
      </c>
    </row>
    <row r="671" spans="1:26" x14ac:dyDescent="0.25">
      <c r="A671">
        <v>2026603200</v>
      </c>
      <c r="B671" t="s">
        <v>257</v>
      </c>
      <c r="C671" t="s">
        <v>258</v>
      </c>
      <c r="D671" t="str">
        <f>CONCATENATE(C671," ",B671)</f>
        <v>GEOFFREY PETTINE</v>
      </c>
      <c r="E671" t="s">
        <v>52</v>
      </c>
      <c r="F671" t="s">
        <v>53</v>
      </c>
      <c r="G671" t="s">
        <v>54</v>
      </c>
      <c r="H671" t="s">
        <v>54</v>
      </c>
      <c r="I671" s="11" t="s">
        <v>1011</v>
      </c>
      <c r="J671" t="s">
        <v>55</v>
      </c>
      <c r="K671" t="s">
        <v>56</v>
      </c>
      <c r="L671" t="str">
        <f>CONCATENATE(K671," ",J671)</f>
        <v>JOHN ROKEN</v>
      </c>
      <c r="M671" t="s">
        <v>57</v>
      </c>
      <c r="N671" s="1">
        <v>45673</v>
      </c>
      <c r="P671" s="1">
        <v>46219</v>
      </c>
      <c r="Q671" s="2">
        <v>56.69</v>
      </c>
      <c r="R671" t="s">
        <v>58</v>
      </c>
      <c r="S671" s="4">
        <v>6.5000000000000002E-2</v>
      </c>
      <c r="T671" t="s">
        <v>238</v>
      </c>
      <c r="U671" t="s">
        <v>239</v>
      </c>
      <c r="V671" s="2">
        <v>3.68</v>
      </c>
      <c r="W671" s="2">
        <v>3.68</v>
      </c>
      <c r="X671" s="2">
        <v>3.68</v>
      </c>
      <c r="Y671" t="s">
        <v>238</v>
      </c>
      <c r="Z671" t="s">
        <v>1062</v>
      </c>
    </row>
    <row r="672" spans="1:26" x14ac:dyDescent="0.25">
      <c r="A672">
        <v>2028488144</v>
      </c>
      <c r="B672" t="s">
        <v>263</v>
      </c>
      <c r="C672" t="s">
        <v>264</v>
      </c>
      <c r="D672" t="str">
        <f>CONCATENATE(C672," ",B672)</f>
        <v>CHELSEA REITENBACH</v>
      </c>
      <c r="E672" t="s">
        <v>52</v>
      </c>
      <c r="F672" t="s">
        <v>53</v>
      </c>
      <c r="G672" t="s">
        <v>54</v>
      </c>
      <c r="H672" t="s">
        <v>54</v>
      </c>
      <c r="I672" s="11" t="s">
        <v>1011</v>
      </c>
      <c r="J672" t="s">
        <v>55</v>
      </c>
      <c r="K672" t="s">
        <v>56</v>
      </c>
      <c r="L672" t="str">
        <f>CONCATENATE(K672," ",J672)</f>
        <v>JOHN ROKEN</v>
      </c>
      <c r="M672" t="s">
        <v>57</v>
      </c>
      <c r="N672" s="1">
        <v>45766</v>
      </c>
      <c r="P672" s="1">
        <v>46222</v>
      </c>
      <c r="Q672" s="2">
        <v>62.54</v>
      </c>
      <c r="R672" t="s">
        <v>58</v>
      </c>
      <c r="S672" s="4">
        <v>6.5000000000000002E-2</v>
      </c>
      <c r="T672" t="s">
        <v>238</v>
      </c>
      <c r="U672" t="s">
        <v>239</v>
      </c>
      <c r="V672" s="2">
        <v>4.07</v>
      </c>
      <c r="W672" s="2">
        <v>4.07</v>
      </c>
      <c r="X672" s="2">
        <v>4.07</v>
      </c>
      <c r="Y672" t="s">
        <v>238</v>
      </c>
      <c r="Z672" t="s">
        <v>1062</v>
      </c>
    </row>
    <row r="673" spans="1:26" x14ac:dyDescent="0.25">
      <c r="A673">
        <v>2032136156</v>
      </c>
      <c r="B673" t="s">
        <v>265</v>
      </c>
      <c r="C673" t="s">
        <v>266</v>
      </c>
      <c r="D673" t="str">
        <f>CONCATENATE(C673," ",B673)</f>
        <v>PATRICIA BUCKLEY</v>
      </c>
      <c r="E673" t="s">
        <v>119</v>
      </c>
      <c r="F673" t="s">
        <v>53</v>
      </c>
      <c r="G673" t="s">
        <v>54</v>
      </c>
      <c r="H673" t="s">
        <v>54</v>
      </c>
      <c r="I673" s="11" t="s">
        <v>1012</v>
      </c>
      <c r="J673" t="s">
        <v>189</v>
      </c>
      <c r="K673" t="s">
        <v>190</v>
      </c>
      <c r="L673" t="str">
        <f>CONCATENATE(K673," ",J673)</f>
        <v>Matthew Sherman</v>
      </c>
      <c r="M673" t="s">
        <v>57</v>
      </c>
      <c r="N673" s="1">
        <v>45976</v>
      </c>
      <c r="P673" s="1">
        <v>46218</v>
      </c>
      <c r="Q673" s="2">
        <v>75.67</v>
      </c>
      <c r="R673" t="s">
        <v>58</v>
      </c>
      <c r="S673" s="3">
        <v>0.6</v>
      </c>
      <c r="T673" t="s">
        <v>60</v>
      </c>
      <c r="U673" t="s">
        <v>239</v>
      </c>
      <c r="V673" s="2">
        <v>45.4</v>
      </c>
      <c r="W673" s="2">
        <v>45.4</v>
      </c>
      <c r="X673" s="2">
        <v>45.4</v>
      </c>
      <c r="Y673" t="s">
        <v>238</v>
      </c>
      <c r="Z673" t="s">
        <v>1062</v>
      </c>
    </row>
    <row r="674" spans="1:26" x14ac:dyDescent="0.25">
      <c r="A674">
        <v>2032176854</v>
      </c>
      <c r="B674" t="s">
        <v>267</v>
      </c>
      <c r="C674" t="s">
        <v>268</v>
      </c>
      <c r="D674" t="str">
        <f>CONCATENATE(C674," ",B674)</f>
        <v>JESSE PONTA</v>
      </c>
      <c r="E674" t="s">
        <v>111</v>
      </c>
      <c r="F674" t="s">
        <v>53</v>
      </c>
      <c r="G674" t="s">
        <v>54</v>
      </c>
      <c r="H674" t="s">
        <v>54</v>
      </c>
      <c r="I674" s="11" t="s">
        <v>1013</v>
      </c>
      <c r="J674" t="s">
        <v>269</v>
      </c>
      <c r="K674" t="s">
        <v>270</v>
      </c>
      <c r="L674" t="str">
        <f>CONCATENATE(K674," ",J674)</f>
        <v>Jennifer Hess</v>
      </c>
      <c r="M674" t="s">
        <v>57</v>
      </c>
      <c r="N674" s="1">
        <v>45976</v>
      </c>
      <c r="P674" s="1">
        <v>46218</v>
      </c>
      <c r="Q674" s="2">
        <v>52.69</v>
      </c>
      <c r="R674" t="s">
        <v>58</v>
      </c>
      <c r="S674" s="3">
        <v>0.6</v>
      </c>
      <c r="T674" t="s">
        <v>60</v>
      </c>
      <c r="U674" t="s">
        <v>239</v>
      </c>
      <c r="V674" s="2">
        <v>31.61</v>
      </c>
      <c r="W674" s="2">
        <v>31.61</v>
      </c>
      <c r="X674" s="2">
        <v>31.61</v>
      </c>
      <c r="Y674" t="s">
        <v>238</v>
      </c>
      <c r="Z674" t="s">
        <v>1062</v>
      </c>
    </row>
    <row r="675" spans="1:26" x14ac:dyDescent="0.25">
      <c r="A675">
        <v>2032673611</v>
      </c>
      <c r="B675" t="s">
        <v>271</v>
      </c>
      <c r="C675" t="s">
        <v>272</v>
      </c>
      <c r="D675" t="str">
        <f>CONCATENATE(C675," ",B675)</f>
        <v>MARY PELLECHIA</v>
      </c>
      <c r="E675" t="s">
        <v>52</v>
      </c>
      <c r="F675" t="s">
        <v>53</v>
      </c>
      <c r="G675" t="s">
        <v>54</v>
      </c>
      <c r="H675" t="s">
        <v>54</v>
      </c>
      <c r="I675" s="11">
        <v>15950276</v>
      </c>
      <c r="J675" t="s">
        <v>273</v>
      </c>
      <c r="K675" t="s">
        <v>92</v>
      </c>
      <c r="L675" t="str">
        <f>CONCATENATE(K675," ",J675)</f>
        <v>Ryan Stocker</v>
      </c>
      <c r="M675" t="s">
        <v>57</v>
      </c>
      <c r="N675" s="1">
        <v>46005</v>
      </c>
      <c r="P675" s="1">
        <v>46217</v>
      </c>
      <c r="Q675" s="2">
        <v>52.69</v>
      </c>
      <c r="R675" t="s">
        <v>58</v>
      </c>
      <c r="S675" s="3">
        <v>0.6</v>
      </c>
      <c r="T675" t="s">
        <v>60</v>
      </c>
      <c r="U675" t="s">
        <v>239</v>
      </c>
      <c r="V675" s="2">
        <v>31.61</v>
      </c>
      <c r="W675" s="2">
        <v>31.61</v>
      </c>
      <c r="X675" s="2">
        <v>31.61</v>
      </c>
      <c r="Y675" t="s">
        <v>238</v>
      </c>
      <c r="Z675" t="s">
        <v>1062</v>
      </c>
    </row>
    <row r="676" spans="1:26" x14ac:dyDescent="0.25">
      <c r="A676">
        <v>2032676549</v>
      </c>
      <c r="B676" t="s">
        <v>274</v>
      </c>
      <c r="C676" t="s">
        <v>123</v>
      </c>
      <c r="D676" t="str">
        <f>CONCATENATE(C676," ",B676)</f>
        <v>FRANK ANILO</v>
      </c>
      <c r="E676" t="s">
        <v>52</v>
      </c>
      <c r="F676" t="s">
        <v>53</v>
      </c>
      <c r="G676" t="s">
        <v>54</v>
      </c>
      <c r="H676" t="s">
        <v>54</v>
      </c>
      <c r="I676" s="11">
        <v>15950276</v>
      </c>
      <c r="J676" t="s">
        <v>273</v>
      </c>
      <c r="K676" t="s">
        <v>92</v>
      </c>
      <c r="L676" t="str">
        <f>CONCATENATE(K676," ",J676)</f>
        <v>Ryan Stocker</v>
      </c>
      <c r="M676" t="s">
        <v>57</v>
      </c>
      <c r="N676" s="1">
        <v>46005</v>
      </c>
      <c r="P676" s="1">
        <v>46217</v>
      </c>
      <c r="Q676" s="2">
        <v>46.45</v>
      </c>
      <c r="R676" t="s">
        <v>58</v>
      </c>
      <c r="S676" s="3">
        <v>0.6</v>
      </c>
      <c r="T676" t="s">
        <v>60</v>
      </c>
      <c r="U676" t="s">
        <v>239</v>
      </c>
      <c r="V676" s="2">
        <v>27.87</v>
      </c>
      <c r="W676" s="2">
        <v>27.87</v>
      </c>
      <c r="X676" s="2">
        <v>27.87</v>
      </c>
      <c r="Y676" t="s">
        <v>238</v>
      </c>
      <c r="Z676" t="s">
        <v>1062</v>
      </c>
    </row>
  </sheetData>
  <sortState xmlns:xlrd2="http://schemas.microsoft.com/office/spreadsheetml/2017/richdata2" ref="A49:AY56">
    <sortCondition ref="L49:L5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4A220-E220-42E9-A740-FE8B96640594}">
  <dimension ref="A1:AA82"/>
  <sheetViews>
    <sheetView workbookViewId="0">
      <selection activeCell="A51" sqref="A51"/>
    </sheetView>
  </sheetViews>
  <sheetFormatPr defaultRowHeight="15" x14ac:dyDescent="0.25"/>
  <cols>
    <col min="1" max="1" width="12.5703125" customWidth="1"/>
    <col min="7" max="7" width="22" customWidth="1"/>
    <col min="8" max="8" width="18.42578125" customWidth="1"/>
    <col min="14" max="14" width="11.140625" customWidth="1"/>
    <col min="15" max="15" width="13.140625" customWidth="1"/>
    <col min="16" max="16" width="11.42578125" customWidth="1"/>
    <col min="23" max="23" width="10.7109375" customWidth="1"/>
    <col min="25" max="25" width="9.85546875" customWidth="1"/>
  </cols>
  <sheetData>
    <row r="1" spans="1:27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19</v>
      </c>
      <c r="S1" t="s">
        <v>21</v>
      </c>
      <c r="T1" t="s">
        <v>23</v>
      </c>
      <c r="U1" t="s">
        <v>24</v>
      </c>
      <c r="V1" t="s">
        <v>25</v>
      </c>
      <c r="W1" t="s">
        <v>27</v>
      </c>
      <c r="X1" t="s">
        <v>37</v>
      </c>
      <c r="Y1" t="s">
        <v>38</v>
      </c>
      <c r="Z1" t="s">
        <v>39</v>
      </c>
      <c r="AA1" t="s">
        <v>40</v>
      </c>
    </row>
    <row r="2" spans="1:27" x14ac:dyDescent="0.25">
      <c r="A2">
        <v>2023252075</v>
      </c>
      <c r="B2" t="s">
        <v>240</v>
      </c>
      <c r="C2" t="s">
        <v>241</v>
      </c>
      <c r="D2" t="str">
        <f>CONCATENATE(C2," ",B2)</f>
        <v>TODD STOFKA</v>
      </c>
      <c r="E2" t="s">
        <v>52</v>
      </c>
      <c r="F2" t="s">
        <v>53</v>
      </c>
      <c r="G2" t="s">
        <v>54</v>
      </c>
      <c r="H2" t="s">
        <v>54</v>
      </c>
      <c r="I2" t="s">
        <v>1000</v>
      </c>
      <c r="J2" t="s">
        <v>158</v>
      </c>
      <c r="K2" t="s">
        <v>159</v>
      </c>
      <c r="L2" t="str">
        <f>CONCATENATE(K2," ",J2)</f>
        <v>CAROL FOLEY</v>
      </c>
      <c r="M2" t="s">
        <v>242</v>
      </c>
      <c r="N2" s="1">
        <v>45444</v>
      </c>
      <c r="O2" s="1">
        <v>46188</v>
      </c>
      <c r="P2" s="1">
        <v>46204</v>
      </c>
      <c r="Q2" s="2">
        <v>-62.54</v>
      </c>
      <c r="R2" t="s">
        <v>58</v>
      </c>
      <c r="S2" s="4">
        <v>6.5000000000000002E-2</v>
      </c>
      <c r="T2">
        <v>-1</v>
      </c>
      <c r="U2" t="s">
        <v>238</v>
      </c>
      <c r="V2" t="s">
        <v>239</v>
      </c>
      <c r="W2" s="2">
        <v>0</v>
      </c>
      <c r="X2" s="2">
        <v>0</v>
      </c>
      <c r="Y2" s="2">
        <v>-4.07</v>
      </c>
      <c r="Z2" s="2">
        <v>-4.07</v>
      </c>
      <c r="AA2" s="2">
        <v>0</v>
      </c>
    </row>
    <row r="3" spans="1:27" x14ac:dyDescent="0.25">
      <c r="A3">
        <v>2033273724</v>
      </c>
      <c r="B3" t="s">
        <v>277</v>
      </c>
      <c r="C3" t="s">
        <v>278</v>
      </c>
      <c r="D3" t="str">
        <f t="shared" ref="D3:D33" si="0">CONCATENATE(C3," ",B3)</f>
        <v>STEFAN WOOD</v>
      </c>
      <c r="E3" t="s">
        <v>52</v>
      </c>
      <c r="F3" t="s">
        <v>53</v>
      </c>
      <c r="G3" t="s">
        <v>54</v>
      </c>
      <c r="H3" t="s">
        <v>54</v>
      </c>
      <c r="I3">
        <v>21758900</v>
      </c>
      <c r="J3" t="s">
        <v>179</v>
      </c>
      <c r="K3" t="s">
        <v>180</v>
      </c>
      <c r="L3" t="str">
        <f t="shared" ref="L3:L72" si="1">CONCATENATE(K3," ",J3)</f>
        <v>John Rader</v>
      </c>
      <c r="M3" t="s">
        <v>242</v>
      </c>
      <c r="N3" s="1">
        <v>46054</v>
      </c>
      <c r="O3" s="1">
        <v>46188</v>
      </c>
      <c r="P3" s="1">
        <v>46204</v>
      </c>
      <c r="Q3" s="2">
        <v>-56.69</v>
      </c>
      <c r="R3" t="s">
        <v>58</v>
      </c>
      <c r="S3" s="3">
        <v>0.6</v>
      </c>
      <c r="T3">
        <v>-1</v>
      </c>
      <c r="U3" t="s">
        <v>60</v>
      </c>
      <c r="V3" t="s">
        <v>239</v>
      </c>
      <c r="W3" s="2">
        <v>0</v>
      </c>
      <c r="X3" s="2">
        <v>0</v>
      </c>
      <c r="Y3" s="2">
        <v>-34.01</v>
      </c>
      <c r="Z3" s="2">
        <v>-34.01</v>
      </c>
      <c r="AA3" s="2">
        <v>0</v>
      </c>
    </row>
    <row r="4" spans="1:27" x14ac:dyDescent="0.25">
      <c r="A4">
        <v>2034719307</v>
      </c>
      <c r="B4" t="s">
        <v>284</v>
      </c>
      <c r="C4" t="s">
        <v>285</v>
      </c>
      <c r="D4" t="str">
        <f t="shared" si="0"/>
        <v>CRYSTAL STANLEY</v>
      </c>
      <c r="E4" t="s">
        <v>52</v>
      </c>
      <c r="F4" t="s">
        <v>53</v>
      </c>
      <c r="G4" t="s">
        <v>54</v>
      </c>
      <c r="H4" t="s">
        <v>54</v>
      </c>
      <c r="I4">
        <v>21758900</v>
      </c>
      <c r="J4" t="s">
        <v>179</v>
      </c>
      <c r="K4" t="s">
        <v>180</v>
      </c>
      <c r="L4" t="str">
        <f t="shared" si="1"/>
        <v>John Rader</v>
      </c>
      <c r="M4" t="s">
        <v>242</v>
      </c>
      <c r="N4" s="1">
        <v>46143</v>
      </c>
      <c r="O4" s="1">
        <v>46181</v>
      </c>
      <c r="P4" s="1">
        <v>46204</v>
      </c>
      <c r="Q4" s="2">
        <v>-55.74</v>
      </c>
      <c r="R4" t="s">
        <v>58</v>
      </c>
      <c r="S4" s="3">
        <v>0.6</v>
      </c>
      <c r="T4">
        <v>-1</v>
      </c>
      <c r="U4" t="s">
        <v>60</v>
      </c>
      <c r="V4" t="s">
        <v>239</v>
      </c>
      <c r="W4" s="2">
        <v>0</v>
      </c>
      <c r="X4" s="2">
        <v>0</v>
      </c>
      <c r="Y4" s="2">
        <v>-33.44</v>
      </c>
      <c r="Z4" s="2">
        <v>-33.44</v>
      </c>
      <c r="AA4" s="2">
        <v>0</v>
      </c>
    </row>
    <row r="5" spans="1:27" x14ac:dyDescent="0.25">
      <c r="A5">
        <v>2016762022</v>
      </c>
      <c r="B5" t="s">
        <v>295</v>
      </c>
      <c r="C5" t="s">
        <v>296</v>
      </c>
      <c r="D5" t="str">
        <f t="shared" si="0"/>
        <v>CHASE STANTON</v>
      </c>
      <c r="E5" t="s">
        <v>100</v>
      </c>
      <c r="F5" t="s">
        <v>71</v>
      </c>
      <c r="G5" t="s">
        <v>84</v>
      </c>
      <c r="H5" t="s">
        <v>996</v>
      </c>
      <c r="I5">
        <v>8307933</v>
      </c>
      <c r="J5" t="s">
        <v>79</v>
      </c>
      <c r="K5" t="s">
        <v>80</v>
      </c>
      <c r="L5" t="str">
        <f t="shared" si="1"/>
        <v>GREGORY TEIPEL</v>
      </c>
      <c r="M5" t="s">
        <v>242</v>
      </c>
      <c r="N5" s="1">
        <v>44927</v>
      </c>
      <c r="O5" s="1">
        <v>46188</v>
      </c>
      <c r="P5" s="1">
        <v>46204</v>
      </c>
      <c r="Q5" s="2">
        <v>-18.899999999999999</v>
      </c>
      <c r="R5" t="s">
        <v>58</v>
      </c>
      <c r="S5" s="3">
        <v>0.1</v>
      </c>
      <c r="T5">
        <v>-1</v>
      </c>
      <c r="U5" t="s">
        <v>238</v>
      </c>
      <c r="V5" t="s">
        <v>239</v>
      </c>
      <c r="W5" s="2">
        <v>0</v>
      </c>
      <c r="X5" s="2">
        <v>0</v>
      </c>
      <c r="Y5" s="2">
        <v>-1.89</v>
      </c>
      <c r="Z5" s="2">
        <v>-1.89</v>
      </c>
      <c r="AA5" s="2">
        <v>0</v>
      </c>
    </row>
    <row r="6" spans="1:27" x14ac:dyDescent="0.25">
      <c r="A6">
        <v>2016762023</v>
      </c>
      <c r="B6" t="s">
        <v>295</v>
      </c>
      <c r="C6" t="s">
        <v>296</v>
      </c>
      <c r="D6" t="str">
        <f t="shared" si="0"/>
        <v>CHASE STANTON</v>
      </c>
      <c r="E6" t="s">
        <v>100</v>
      </c>
      <c r="F6" t="s">
        <v>71</v>
      </c>
      <c r="G6" t="s">
        <v>78</v>
      </c>
      <c r="H6" t="s">
        <v>997</v>
      </c>
      <c r="I6">
        <v>8307933</v>
      </c>
      <c r="J6" t="s">
        <v>79</v>
      </c>
      <c r="K6" t="s">
        <v>80</v>
      </c>
      <c r="L6" t="str">
        <f t="shared" si="1"/>
        <v>GREGORY TEIPEL</v>
      </c>
      <c r="M6" t="s">
        <v>242</v>
      </c>
      <c r="N6" s="1">
        <v>44927</v>
      </c>
      <c r="O6" s="1">
        <v>46188</v>
      </c>
      <c r="P6" s="1">
        <v>46204</v>
      </c>
      <c r="Q6" s="2">
        <v>-53.89</v>
      </c>
      <c r="R6" t="s">
        <v>58</v>
      </c>
      <c r="S6" s="3">
        <v>0.1</v>
      </c>
      <c r="T6">
        <v>-1</v>
      </c>
      <c r="U6" t="s">
        <v>238</v>
      </c>
      <c r="V6" t="s">
        <v>239</v>
      </c>
      <c r="W6" s="2">
        <v>0</v>
      </c>
      <c r="X6" s="2">
        <v>0</v>
      </c>
      <c r="Y6" s="2">
        <v>-5.39</v>
      </c>
      <c r="Z6" s="2">
        <v>-5.39</v>
      </c>
      <c r="AA6" s="2">
        <v>0</v>
      </c>
    </row>
    <row r="7" spans="1:27" x14ac:dyDescent="0.25">
      <c r="A7">
        <v>2032307209</v>
      </c>
      <c r="B7" t="s">
        <v>382</v>
      </c>
      <c r="C7" t="s">
        <v>383</v>
      </c>
      <c r="D7" t="str">
        <f t="shared" si="0"/>
        <v>TREVOR HAMLIN</v>
      </c>
      <c r="E7" t="s">
        <v>95</v>
      </c>
      <c r="F7" t="s">
        <v>71</v>
      </c>
      <c r="G7" t="s">
        <v>72</v>
      </c>
      <c r="H7" t="s">
        <v>996</v>
      </c>
      <c r="I7" t="s">
        <v>1001</v>
      </c>
      <c r="J7" t="s">
        <v>73</v>
      </c>
      <c r="K7" t="s">
        <v>116</v>
      </c>
      <c r="L7" t="str">
        <f t="shared" si="1"/>
        <v>Richard Yale</v>
      </c>
      <c r="M7" t="s">
        <v>242</v>
      </c>
      <c r="N7" s="1">
        <v>46023</v>
      </c>
      <c r="O7" s="1">
        <v>46188</v>
      </c>
      <c r="P7" s="1">
        <v>46204</v>
      </c>
      <c r="Q7" s="2">
        <v>-23.19</v>
      </c>
      <c r="R7" t="s">
        <v>58</v>
      </c>
      <c r="S7" s="3">
        <v>0.75</v>
      </c>
      <c r="T7">
        <v>-1</v>
      </c>
      <c r="U7" t="s">
        <v>60</v>
      </c>
      <c r="V7" t="s">
        <v>239</v>
      </c>
      <c r="W7" s="2">
        <v>0</v>
      </c>
      <c r="X7" s="2">
        <v>0</v>
      </c>
      <c r="Y7" s="2">
        <v>-17.39</v>
      </c>
      <c r="Z7" s="2">
        <v>-17.39</v>
      </c>
      <c r="AA7" s="2">
        <v>0</v>
      </c>
    </row>
    <row r="8" spans="1:27" x14ac:dyDescent="0.25">
      <c r="A8">
        <v>2029034139</v>
      </c>
      <c r="B8" t="s">
        <v>469</v>
      </c>
      <c r="C8" t="s">
        <v>470</v>
      </c>
      <c r="D8" t="str">
        <f t="shared" si="0"/>
        <v>IZABELA MAKSIMOWICZ</v>
      </c>
      <c r="E8" t="s">
        <v>119</v>
      </c>
      <c r="F8" t="s">
        <v>182</v>
      </c>
      <c r="G8" t="s">
        <v>183</v>
      </c>
      <c r="H8" t="s">
        <v>183</v>
      </c>
      <c r="I8">
        <v>7470776</v>
      </c>
      <c r="J8" t="s">
        <v>385</v>
      </c>
      <c r="K8" t="s">
        <v>386</v>
      </c>
      <c r="L8" t="str">
        <f t="shared" si="1"/>
        <v>Andrew Choi</v>
      </c>
      <c r="M8" t="s">
        <v>242</v>
      </c>
      <c r="N8" s="1">
        <v>45809</v>
      </c>
      <c r="O8" s="1">
        <v>46188</v>
      </c>
      <c r="P8" s="1">
        <v>46204</v>
      </c>
      <c r="Q8" s="2">
        <v>-11.03</v>
      </c>
      <c r="R8" t="s">
        <v>58</v>
      </c>
      <c r="S8" s="3">
        <v>0.15</v>
      </c>
      <c r="T8">
        <v>-1</v>
      </c>
      <c r="U8" t="s">
        <v>238</v>
      </c>
      <c r="V8" t="s">
        <v>239</v>
      </c>
      <c r="W8" s="2">
        <v>0</v>
      </c>
      <c r="X8" s="2">
        <v>0</v>
      </c>
      <c r="Y8" s="2">
        <v>-1.65</v>
      </c>
      <c r="Z8" s="2">
        <v>-1.65</v>
      </c>
      <c r="AA8" s="2">
        <v>0</v>
      </c>
    </row>
    <row r="9" spans="1:27" x14ac:dyDescent="0.25">
      <c r="A9">
        <v>2032307208</v>
      </c>
      <c r="B9" t="s">
        <v>382</v>
      </c>
      <c r="C9" t="s">
        <v>383</v>
      </c>
      <c r="D9" t="str">
        <f t="shared" si="0"/>
        <v>TREVOR HAMLIN</v>
      </c>
      <c r="E9" t="s">
        <v>95</v>
      </c>
      <c r="F9" t="s">
        <v>182</v>
      </c>
      <c r="G9" t="s">
        <v>183</v>
      </c>
      <c r="H9" t="s">
        <v>183</v>
      </c>
      <c r="I9" t="s">
        <v>1001</v>
      </c>
      <c r="J9" t="s">
        <v>73</v>
      </c>
      <c r="K9" t="s">
        <v>116</v>
      </c>
      <c r="L9" t="str">
        <f t="shared" si="1"/>
        <v>Richard Yale</v>
      </c>
      <c r="M9" t="s">
        <v>242</v>
      </c>
      <c r="N9" s="1">
        <v>46023</v>
      </c>
      <c r="O9" s="1">
        <v>46188</v>
      </c>
      <c r="P9" s="1">
        <v>46204</v>
      </c>
      <c r="Q9" s="2">
        <v>-49.49</v>
      </c>
      <c r="R9" t="s">
        <v>58</v>
      </c>
      <c r="S9" s="3">
        <v>0.7</v>
      </c>
      <c r="T9">
        <v>-1</v>
      </c>
      <c r="U9" t="s">
        <v>60</v>
      </c>
      <c r="V9" t="s">
        <v>239</v>
      </c>
      <c r="W9" s="2">
        <v>0</v>
      </c>
      <c r="X9" s="2">
        <v>0</v>
      </c>
      <c r="Y9" s="2">
        <v>-34.64</v>
      </c>
      <c r="Z9" s="2">
        <v>-34.64</v>
      </c>
      <c r="AA9" s="2">
        <v>0</v>
      </c>
    </row>
    <row r="10" spans="1:27" x14ac:dyDescent="0.25">
      <c r="A10">
        <v>2034483030</v>
      </c>
      <c r="B10" t="s">
        <v>688</v>
      </c>
      <c r="C10" t="s">
        <v>689</v>
      </c>
      <c r="D10" t="str">
        <f t="shared" si="0"/>
        <v>KETURAH GRANDSTAFF</v>
      </c>
      <c r="E10" t="s">
        <v>212</v>
      </c>
      <c r="F10" t="s">
        <v>182</v>
      </c>
      <c r="G10" t="s">
        <v>197</v>
      </c>
      <c r="H10" t="s">
        <v>197</v>
      </c>
      <c r="I10" t="s">
        <v>1002</v>
      </c>
      <c r="J10" t="s">
        <v>321</v>
      </c>
      <c r="K10" t="s">
        <v>94</v>
      </c>
      <c r="L10" t="str">
        <f t="shared" si="1"/>
        <v>ANDREA PETRUNGARO</v>
      </c>
      <c r="M10" t="s">
        <v>242</v>
      </c>
      <c r="N10" s="1">
        <v>46102</v>
      </c>
      <c r="O10" s="1">
        <v>46188</v>
      </c>
      <c r="P10" s="1">
        <v>46194</v>
      </c>
      <c r="Q10" s="2">
        <v>-39.14</v>
      </c>
      <c r="R10" t="s">
        <v>58</v>
      </c>
      <c r="S10" s="3">
        <v>0.42</v>
      </c>
      <c r="T10">
        <v>-1</v>
      </c>
      <c r="U10" t="s">
        <v>60</v>
      </c>
      <c r="V10" t="s">
        <v>239</v>
      </c>
      <c r="W10" s="2">
        <v>0</v>
      </c>
      <c r="X10" s="2">
        <v>0</v>
      </c>
      <c r="Y10" s="2">
        <v>-16.440000000000001</v>
      </c>
      <c r="Z10" s="2">
        <v>-16.440000000000001</v>
      </c>
      <c r="AA10" s="2">
        <v>0</v>
      </c>
    </row>
    <row r="11" spans="1:27" x14ac:dyDescent="0.25">
      <c r="A11">
        <v>2034703500</v>
      </c>
      <c r="B11" t="s">
        <v>695</v>
      </c>
      <c r="C11" t="s">
        <v>630</v>
      </c>
      <c r="D11" t="str">
        <f t="shared" si="0"/>
        <v>ANDREW WILKERSON</v>
      </c>
      <c r="E11" t="s">
        <v>696</v>
      </c>
      <c r="F11" t="s">
        <v>182</v>
      </c>
      <c r="G11" t="s">
        <v>183</v>
      </c>
      <c r="H11" t="s">
        <v>183</v>
      </c>
      <c r="I11" t="s">
        <v>1003</v>
      </c>
      <c r="J11" t="s">
        <v>112</v>
      </c>
      <c r="K11" t="s">
        <v>113</v>
      </c>
      <c r="L11" t="str">
        <f t="shared" si="1"/>
        <v>H Allan</v>
      </c>
      <c r="M11" t="s">
        <v>242</v>
      </c>
      <c r="N11" s="1">
        <v>46118</v>
      </c>
      <c r="O11" s="1">
        <v>46188</v>
      </c>
      <c r="P11" s="1">
        <v>46209</v>
      </c>
      <c r="Q11" s="2">
        <v>-11.72</v>
      </c>
      <c r="R11" t="s">
        <v>58</v>
      </c>
      <c r="S11" s="3">
        <v>0.7</v>
      </c>
      <c r="T11">
        <v>-1</v>
      </c>
      <c r="U11" t="s">
        <v>60</v>
      </c>
      <c r="V11" t="s">
        <v>239</v>
      </c>
      <c r="W11" s="2">
        <v>0</v>
      </c>
      <c r="X11" s="2">
        <v>0</v>
      </c>
      <c r="Y11" s="2">
        <v>-8.1999999999999993</v>
      </c>
      <c r="Z11" s="2">
        <v>-8.1999999999999993</v>
      </c>
      <c r="AA11" s="2">
        <v>0</v>
      </c>
    </row>
    <row r="12" spans="1:27" x14ac:dyDescent="0.25">
      <c r="A12">
        <v>2035501771</v>
      </c>
      <c r="B12" t="s">
        <v>752</v>
      </c>
      <c r="C12" t="s">
        <v>307</v>
      </c>
      <c r="D12" t="str">
        <f t="shared" si="0"/>
        <v>WILLIAM KENNEY</v>
      </c>
      <c r="E12" t="s">
        <v>696</v>
      </c>
      <c r="F12" t="s">
        <v>182</v>
      </c>
      <c r="G12" t="s">
        <v>183</v>
      </c>
      <c r="H12" t="s">
        <v>183</v>
      </c>
      <c r="I12" t="s">
        <v>1004</v>
      </c>
      <c r="J12" t="s">
        <v>728</v>
      </c>
      <c r="K12" t="s">
        <v>729</v>
      </c>
      <c r="L12" t="str">
        <f t="shared" si="1"/>
        <v>Alexander Kim</v>
      </c>
      <c r="M12" t="s">
        <v>242</v>
      </c>
      <c r="N12" s="1">
        <v>46174</v>
      </c>
      <c r="O12" s="1">
        <v>46188</v>
      </c>
      <c r="P12" s="1">
        <v>46204</v>
      </c>
      <c r="Q12" s="2">
        <v>-15.29</v>
      </c>
      <c r="R12" t="s">
        <v>58</v>
      </c>
      <c r="S12" s="3">
        <v>0.7</v>
      </c>
      <c r="T12">
        <v>-1</v>
      </c>
      <c r="U12" t="s">
        <v>60</v>
      </c>
      <c r="V12" t="s">
        <v>239</v>
      </c>
      <c r="W12" s="2">
        <v>0</v>
      </c>
      <c r="X12" s="2">
        <v>0</v>
      </c>
      <c r="Y12" s="2">
        <v>-10.7</v>
      </c>
      <c r="Z12" s="2">
        <v>-10.7</v>
      </c>
      <c r="AA12" s="2">
        <v>0</v>
      </c>
    </row>
    <row r="13" spans="1:27" x14ac:dyDescent="0.25">
      <c r="A13">
        <v>2035770729</v>
      </c>
      <c r="B13" t="s">
        <v>756</v>
      </c>
      <c r="C13" t="s">
        <v>757</v>
      </c>
      <c r="D13" t="str">
        <f t="shared" si="0"/>
        <v>MIKE TETI</v>
      </c>
      <c r="E13" t="s">
        <v>52</v>
      </c>
      <c r="F13" t="s">
        <v>182</v>
      </c>
      <c r="G13" t="s">
        <v>194</v>
      </c>
      <c r="H13" t="s">
        <v>194</v>
      </c>
      <c r="I13">
        <v>21758900</v>
      </c>
      <c r="J13" t="s">
        <v>179</v>
      </c>
      <c r="K13" t="s">
        <v>180</v>
      </c>
      <c r="L13" t="str">
        <f t="shared" si="1"/>
        <v>John Rader</v>
      </c>
      <c r="M13" t="s">
        <v>242</v>
      </c>
      <c r="N13" s="1">
        <v>46175</v>
      </c>
      <c r="O13" s="1">
        <v>46188</v>
      </c>
      <c r="P13" s="1">
        <v>46205</v>
      </c>
      <c r="Q13" s="2">
        <v>-43.81</v>
      </c>
      <c r="R13" t="s">
        <v>58</v>
      </c>
      <c r="S13" s="3">
        <v>0.9</v>
      </c>
      <c r="T13">
        <v>-1</v>
      </c>
      <c r="U13" t="s">
        <v>60</v>
      </c>
      <c r="V13" t="s">
        <v>239</v>
      </c>
      <c r="W13" s="2">
        <v>0</v>
      </c>
      <c r="X13" s="2">
        <v>0</v>
      </c>
      <c r="Y13" s="2">
        <v>-39.43</v>
      </c>
      <c r="Z13" s="2">
        <v>-39.43</v>
      </c>
      <c r="AA13" s="2">
        <v>0</v>
      </c>
    </row>
    <row r="14" spans="1:27" x14ac:dyDescent="0.25">
      <c r="A14">
        <v>2031818851</v>
      </c>
      <c r="B14" t="s">
        <v>227</v>
      </c>
      <c r="C14" t="s">
        <v>767</v>
      </c>
      <c r="D14" t="str">
        <f t="shared" si="0"/>
        <v>ANDY MICHAEL</v>
      </c>
      <c r="E14" t="s">
        <v>209</v>
      </c>
      <c r="F14" t="s">
        <v>220</v>
      </c>
      <c r="G14" t="s">
        <v>764</v>
      </c>
      <c r="H14" t="s">
        <v>998</v>
      </c>
      <c r="I14">
        <v>20724564</v>
      </c>
      <c r="J14" t="s">
        <v>229</v>
      </c>
      <c r="K14" t="s">
        <v>230</v>
      </c>
      <c r="L14" t="str">
        <f t="shared" si="1"/>
        <v>Marsha Sanderock</v>
      </c>
      <c r="M14" t="s">
        <v>242</v>
      </c>
      <c r="N14" s="1">
        <v>45962</v>
      </c>
      <c r="O14" s="1">
        <v>46188</v>
      </c>
      <c r="P14" s="1">
        <v>46204</v>
      </c>
      <c r="Q14" s="2">
        <v>-4455.12</v>
      </c>
      <c r="R14" t="s">
        <v>58</v>
      </c>
      <c r="S14" s="3">
        <v>0.19</v>
      </c>
      <c r="T14">
        <v>-1</v>
      </c>
      <c r="U14" t="s">
        <v>60</v>
      </c>
      <c r="V14" t="s">
        <v>239</v>
      </c>
      <c r="W14" s="2">
        <v>0</v>
      </c>
      <c r="X14" s="2">
        <v>0</v>
      </c>
      <c r="Y14" s="2">
        <v>-846.47</v>
      </c>
      <c r="Z14" s="2">
        <v>-846.47</v>
      </c>
      <c r="AA14" s="2">
        <v>0</v>
      </c>
    </row>
    <row r="15" spans="1:27" x14ac:dyDescent="0.25">
      <c r="A15">
        <v>2031818851</v>
      </c>
      <c r="B15" t="s">
        <v>227</v>
      </c>
      <c r="C15" t="s">
        <v>767</v>
      </c>
      <c r="D15" t="str">
        <f t="shared" si="0"/>
        <v>ANDY MICHAEL</v>
      </c>
      <c r="E15" t="s">
        <v>209</v>
      </c>
      <c r="F15" t="s">
        <v>220</v>
      </c>
      <c r="G15" t="s">
        <v>764</v>
      </c>
      <c r="H15" t="s">
        <v>998</v>
      </c>
      <c r="I15">
        <v>20724564</v>
      </c>
      <c r="J15" t="s">
        <v>229</v>
      </c>
      <c r="K15" t="s">
        <v>230</v>
      </c>
      <c r="L15" t="str">
        <f t="shared" si="1"/>
        <v>Marsha Sanderock</v>
      </c>
      <c r="M15" t="s">
        <v>242</v>
      </c>
      <c r="N15" s="1">
        <v>45962</v>
      </c>
      <c r="O15" s="1">
        <v>46188</v>
      </c>
      <c r="P15" s="1">
        <v>46204</v>
      </c>
      <c r="Q15" s="2">
        <v>-3728.64</v>
      </c>
      <c r="R15" t="s">
        <v>58</v>
      </c>
      <c r="S15" s="3">
        <v>0.19</v>
      </c>
      <c r="T15">
        <v>-1</v>
      </c>
      <c r="U15" t="s">
        <v>60</v>
      </c>
      <c r="V15" t="s">
        <v>239</v>
      </c>
      <c r="W15" s="2">
        <v>0</v>
      </c>
      <c r="X15" s="2">
        <v>0</v>
      </c>
      <c r="Y15" s="2">
        <v>-708.44</v>
      </c>
      <c r="Z15" s="2">
        <v>-708.44</v>
      </c>
      <c r="AA15" s="2">
        <v>0</v>
      </c>
    </row>
    <row r="16" spans="1:27" x14ac:dyDescent="0.25">
      <c r="A16">
        <v>2032729941</v>
      </c>
      <c r="B16" t="s">
        <v>773</v>
      </c>
      <c r="C16" t="s">
        <v>774</v>
      </c>
      <c r="D16" t="str">
        <f t="shared" si="0"/>
        <v>JEANETTE SCHNEIDER</v>
      </c>
      <c r="E16" t="s">
        <v>83</v>
      </c>
      <c r="F16" t="s">
        <v>220</v>
      </c>
      <c r="G16" t="s">
        <v>223</v>
      </c>
      <c r="H16" t="s">
        <v>223</v>
      </c>
      <c r="I16" t="s">
        <v>1005</v>
      </c>
      <c r="J16" t="s">
        <v>775</v>
      </c>
      <c r="K16" t="s">
        <v>776</v>
      </c>
      <c r="L16" t="str">
        <f t="shared" si="1"/>
        <v>DEBORAH INSKIPT</v>
      </c>
      <c r="M16" t="s">
        <v>242</v>
      </c>
      <c r="N16" s="1">
        <v>46022</v>
      </c>
      <c r="O16" s="1">
        <v>46188</v>
      </c>
      <c r="P16" s="1">
        <v>46203</v>
      </c>
      <c r="Q16" s="2">
        <v>-620.72</v>
      </c>
      <c r="R16" t="s">
        <v>58</v>
      </c>
      <c r="S16" s="3">
        <v>0.19</v>
      </c>
      <c r="T16">
        <v>-1</v>
      </c>
      <c r="U16" t="s">
        <v>60</v>
      </c>
      <c r="V16" t="s">
        <v>239</v>
      </c>
      <c r="W16" s="2">
        <v>0</v>
      </c>
      <c r="X16" s="2">
        <v>0</v>
      </c>
      <c r="Y16" s="2">
        <v>-117.94</v>
      </c>
      <c r="Z16" s="2">
        <v>-117.94</v>
      </c>
      <c r="AA16" s="2">
        <v>0</v>
      </c>
    </row>
    <row r="17" spans="1:27" x14ac:dyDescent="0.25">
      <c r="A17">
        <v>2032729942</v>
      </c>
      <c r="B17" t="s">
        <v>773</v>
      </c>
      <c r="C17" t="s">
        <v>774</v>
      </c>
      <c r="D17" t="str">
        <f t="shared" si="0"/>
        <v>JEANETTE SCHNEIDER</v>
      </c>
      <c r="E17" t="s">
        <v>83</v>
      </c>
      <c r="F17" t="s">
        <v>220</v>
      </c>
      <c r="G17" t="s">
        <v>222</v>
      </c>
      <c r="H17" t="s">
        <v>223</v>
      </c>
      <c r="I17" t="s">
        <v>1005</v>
      </c>
      <c r="J17" t="s">
        <v>775</v>
      </c>
      <c r="K17" t="s">
        <v>776</v>
      </c>
      <c r="L17" t="str">
        <f t="shared" si="1"/>
        <v>DEBORAH INSKIPT</v>
      </c>
      <c r="M17" t="s">
        <v>242</v>
      </c>
      <c r="N17" s="1">
        <v>46022</v>
      </c>
      <c r="O17" s="1">
        <v>46188</v>
      </c>
      <c r="P17" s="1">
        <v>46203</v>
      </c>
      <c r="Q17" s="2">
        <v>-9.9499999999999993</v>
      </c>
      <c r="R17" t="s">
        <v>58</v>
      </c>
      <c r="S17" s="3">
        <v>0.19</v>
      </c>
      <c r="T17">
        <v>-1</v>
      </c>
      <c r="U17" t="s">
        <v>60</v>
      </c>
      <c r="V17" t="s">
        <v>239</v>
      </c>
      <c r="W17" s="2">
        <v>0</v>
      </c>
      <c r="X17" s="2">
        <v>0</v>
      </c>
      <c r="Y17" s="2">
        <v>-1.89</v>
      </c>
      <c r="Z17" s="2">
        <v>-1.89</v>
      </c>
      <c r="AA17" s="2">
        <v>0</v>
      </c>
    </row>
    <row r="18" spans="1:27" x14ac:dyDescent="0.25">
      <c r="A18">
        <v>2032729943</v>
      </c>
      <c r="B18" t="s">
        <v>773</v>
      </c>
      <c r="C18" t="s">
        <v>774</v>
      </c>
      <c r="D18" t="str">
        <f t="shared" si="0"/>
        <v>JEANETTE SCHNEIDER</v>
      </c>
      <c r="E18" t="s">
        <v>83</v>
      </c>
      <c r="F18" t="s">
        <v>220</v>
      </c>
      <c r="G18" t="s">
        <v>222</v>
      </c>
      <c r="H18" t="s">
        <v>223</v>
      </c>
      <c r="I18" t="s">
        <v>1005</v>
      </c>
      <c r="J18" t="s">
        <v>775</v>
      </c>
      <c r="K18" t="s">
        <v>776</v>
      </c>
      <c r="L18" t="str">
        <f t="shared" si="1"/>
        <v>DEBORAH INSKIPT</v>
      </c>
      <c r="M18" t="s">
        <v>242</v>
      </c>
      <c r="N18" s="1">
        <v>46022</v>
      </c>
      <c r="O18" s="1">
        <v>46188</v>
      </c>
      <c r="P18" s="1">
        <v>46203</v>
      </c>
      <c r="Q18" s="2">
        <v>-5</v>
      </c>
      <c r="R18" t="s">
        <v>58</v>
      </c>
      <c r="S18" s="3">
        <v>0.19</v>
      </c>
      <c r="T18">
        <v>-1</v>
      </c>
      <c r="U18" t="s">
        <v>60</v>
      </c>
      <c r="V18" t="s">
        <v>239</v>
      </c>
      <c r="W18" s="2">
        <v>0</v>
      </c>
      <c r="X18" s="2">
        <v>0</v>
      </c>
      <c r="Y18" s="2">
        <v>-0.95</v>
      </c>
      <c r="Z18" s="2">
        <v>-0.95</v>
      </c>
      <c r="AA18" s="2">
        <v>0</v>
      </c>
    </row>
    <row r="19" spans="1:27" x14ac:dyDescent="0.25">
      <c r="A19">
        <v>2035383814</v>
      </c>
      <c r="B19" t="s">
        <v>538</v>
      </c>
      <c r="C19" t="s">
        <v>782</v>
      </c>
      <c r="D19" t="str">
        <f t="shared" si="0"/>
        <v>BRANDON BROWN</v>
      </c>
      <c r="E19" t="s">
        <v>77</v>
      </c>
      <c r="F19" t="s">
        <v>220</v>
      </c>
      <c r="G19" t="s">
        <v>778</v>
      </c>
      <c r="H19" t="s">
        <v>221</v>
      </c>
      <c r="I19">
        <v>19279958</v>
      </c>
      <c r="J19" t="s">
        <v>419</v>
      </c>
      <c r="K19" t="s">
        <v>420</v>
      </c>
      <c r="L19" t="str">
        <f t="shared" si="1"/>
        <v>JARED KINYUA</v>
      </c>
      <c r="M19" t="s">
        <v>242</v>
      </c>
      <c r="N19" s="1">
        <v>46151</v>
      </c>
      <c r="O19" s="1">
        <v>46188</v>
      </c>
      <c r="P19" s="1">
        <v>46212</v>
      </c>
      <c r="Q19" s="2">
        <v>-9.9499999999999993</v>
      </c>
      <c r="R19" t="s">
        <v>58</v>
      </c>
      <c r="S19" s="3">
        <v>0.28999999999999998</v>
      </c>
      <c r="T19">
        <v>-1</v>
      </c>
      <c r="U19" t="s">
        <v>60</v>
      </c>
      <c r="V19" t="s">
        <v>239</v>
      </c>
      <c r="W19" s="2">
        <v>0</v>
      </c>
      <c r="X19" s="2">
        <v>0</v>
      </c>
      <c r="Y19" s="2">
        <v>-2.89</v>
      </c>
      <c r="Z19" s="2">
        <v>-2.89</v>
      </c>
      <c r="AA19" s="2">
        <v>0</v>
      </c>
    </row>
    <row r="20" spans="1:27" x14ac:dyDescent="0.25">
      <c r="A20">
        <v>2035383815</v>
      </c>
      <c r="B20" t="s">
        <v>538</v>
      </c>
      <c r="C20" t="s">
        <v>782</v>
      </c>
      <c r="D20" t="str">
        <f t="shared" si="0"/>
        <v>BRANDON BROWN</v>
      </c>
      <c r="E20" t="s">
        <v>77</v>
      </c>
      <c r="F20" t="s">
        <v>220</v>
      </c>
      <c r="G20" t="s">
        <v>221</v>
      </c>
      <c r="H20" t="s">
        <v>221</v>
      </c>
      <c r="I20">
        <v>19279958</v>
      </c>
      <c r="J20" t="s">
        <v>419</v>
      </c>
      <c r="K20" t="s">
        <v>420</v>
      </c>
      <c r="L20" t="str">
        <f t="shared" si="1"/>
        <v>JARED KINYUA</v>
      </c>
      <c r="M20" t="s">
        <v>242</v>
      </c>
      <c r="N20" s="1">
        <v>46151</v>
      </c>
      <c r="O20" s="1">
        <v>46188</v>
      </c>
      <c r="P20" s="1">
        <v>46212</v>
      </c>
      <c r="Q20" s="2">
        <v>-115.72</v>
      </c>
      <c r="R20" t="s">
        <v>58</v>
      </c>
      <c r="S20" s="3">
        <v>0.28999999999999998</v>
      </c>
      <c r="T20">
        <v>-1</v>
      </c>
      <c r="U20" t="s">
        <v>60</v>
      </c>
      <c r="V20" t="s">
        <v>239</v>
      </c>
      <c r="W20" s="2">
        <v>0</v>
      </c>
      <c r="X20" s="2">
        <v>0</v>
      </c>
      <c r="Y20" s="2">
        <v>-33.56</v>
      </c>
      <c r="Z20" s="2">
        <v>-33.56</v>
      </c>
      <c r="AA20" s="2">
        <v>0</v>
      </c>
    </row>
    <row r="21" spans="1:27" x14ac:dyDescent="0.25">
      <c r="A21">
        <v>2032307211</v>
      </c>
      <c r="B21" t="s">
        <v>382</v>
      </c>
      <c r="C21" t="s">
        <v>383</v>
      </c>
      <c r="D21" t="str">
        <f t="shared" si="0"/>
        <v>TREVOR HAMLIN</v>
      </c>
      <c r="E21" t="s">
        <v>95</v>
      </c>
      <c r="F21" t="s">
        <v>120</v>
      </c>
      <c r="G21" t="s">
        <v>121</v>
      </c>
      <c r="H21" t="s">
        <v>121</v>
      </c>
      <c r="I21" t="s">
        <v>1001</v>
      </c>
      <c r="J21" t="s">
        <v>73</v>
      </c>
      <c r="K21" t="s">
        <v>116</v>
      </c>
      <c r="L21" t="str">
        <f t="shared" si="1"/>
        <v>Richard Yale</v>
      </c>
      <c r="M21" t="s">
        <v>242</v>
      </c>
      <c r="N21" s="1">
        <v>46023</v>
      </c>
      <c r="O21" s="1">
        <v>46188</v>
      </c>
      <c r="P21" s="1">
        <v>46204</v>
      </c>
      <c r="Q21" s="2">
        <v>-10.5</v>
      </c>
      <c r="R21" t="s">
        <v>58</v>
      </c>
      <c r="S21" s="3">
        <v>0.38</v>
      </c>
      <c r="T21">
        <v>-1</v>
      </c>
      <c r="U21" t="s">
        <v>60</v>
      </c>
      <c r="V21" t="s">
        <v>239</v>
      </c>
      <c r="W21" s="2">
        <v>0</v>
      </c>
      <c r="X21" s="2">
        <v>0</v>
      </c>
      <c r="Y21" s="2">
        <v>-3.99</v>
      </c>
      <c r="Z21" s="2">
        <v>-3.99</v>
      </c>
      <c r="AA21" s="2">
        <v>0</v>
      </c>
    </row>
    <row r="22" spans="1:27" x14ac:dyDescent="0.25">
      <c r="A22">
        <v>2032729944</v>
      </c>
      <c r="B22" t="s">
        <v>773</v>
      </c>
      <c r="C22" t="s">
        <v>774</v>
      </c>
      <c r="D22" t="str">
        <f t="shared" si="0"/>
        <v>JEANETTE SCHNEIDER</v>
      </c>
      <c r="E22" t="s">
        <v>83</v>
      </c>
      <c r="F22" t="s">
        <v>120</v>
      </c>
      <c r="G22" t="s">
        <v>132</v>
      </c>
      <c r="H22" t="s">
        <v>132</v>
      </c>
      <c r="I22" t="s">
        <v>1005</v>
      </c>
      <c r="J22" t="s">
        <v>775</v>
      </c>
      <c r="K22" t="s">
        <v>776</v>
      </c>
      <c r="L22" t="str">
        <f t="shared" si="1"/>
        <v>DEBORAH INSKIPT</v>
      </c>
      <c r="M22" t="s">
        <v>242</v>
      </c>
      <c r="N22" s="1">
        <v>46022</v>
      </c>
      <c r="O22" s="1">
        <v>46188</v>
      </c>
      <c r="P22" s="1">
        <v>46203</v>
      </c>
      <c r="Q22" s="2">
        <v>-15</v>
      </c>
      <c r="R22" t="s">
        <v>58</v>
      </c>
      <c r="S22" s="3">
        <v>0.19</v>
      </c>
      <c r="T22">
        <v>-1</v>
      </c>
      <c r="U22" t="s">
        <v>60</v>
      </c>
      <c r="V22" t="s">
        <v>239</v>
      </c>
      <c r="W22" s="2">
        <v>0</v>
      </c>
      <c r="X22" s="2">
        <v>0</v>
      </c>
      <c r="Y22" s="2">
        <v>-2.85</v>
      </c>
      <c r="Z22" s="2">
        <v>-2.85</v>
      </c>
      <c r="AA22" s="2">
        <v>0</v>
      </c>
    </row>
    <row r="23" spans="1:27" x14ac:dyDescent="0.25">
      <c r="A23">
        <v>2035383816</v>
      </c>
      <c r="B23" t="s">
        <v>538</v>
      </c>
      <c r="C23" t="s">
        <v>782</v>
      </c>
      <c r="D23" t="str">
        <f t="shared" si="0"/>
        <v>BRANDON BROWN</v>
      </c>
      <c r="E23" t="s">
        <v>77</v>
      </c>
      <c r="F23" t="s">
        <v>120</v>
      </c>
      <c r="G23" t="s">
        <v>125</v>
      </c>
      <c r="H23" t="s">
        <v>999</v>
      </c>
      <c r="I23" t="s">
        <v>1006</v>
      </c>
      <c r="J23" t="s">
        <v>419</v>
      </c>
      <c r="K23" t="s">
        <v>420</v>
      </c>
      <c r="L23" t="str">
        <f t="shared" si="1"/>
        <v>JARED KINYUA</v>
      </c>
      <c r="M23" t="s">
        <v>242</v>
      </c>
      <c r="N23" s="1">
        <v>46151</v>
      </c>
      <c r="O23" s="1">
        <v>46188</v>
      </c>
      <c r="P23" s="1">
        <v>46212</v>
      </c>
      <c r="Q23" s="2">
        <v>-15</v>
      </c>
      <c r="R23" t="s">
        <v>58</v>
      </c>
      <c r="S23" s="3">
        <v>0.28999999999999998</v>
      </c>
      <c r="T23">
        <v>-1</v>
      </c>
      <c r="U23" t="s">
        <v>60</v>
      </c>
      <c r="V23" t="s">
        <v>239</v>
      </c>
      <c r="W23" s="2">
        <v>0</v>
      </c>
      <c r="X23" s="2">
        <v>0</v>
      </c>
      <c r="Y23" s="2">
        <v>-4.3499999999999996</v>
      </c>
      <c r="Z23" s="2">
        <v>-4.3499999999999996</v>
      </c>
      <c r="AA23" s="2">
        <v>0</v>
      </c>
    </row>
    <row r="24" spans="1:27" x14ac:dyDescent="0.25">
      <c r="A24">
        <v>2026189739</v>
      </c>
      <c r="B24" t="s">
        <v>798</v>
      </c>
      <c r="C24" t="s">
        <v>519</v>
      </c>
      <c r="D24" t="str">
        <f t="shared" si="0"/>
        <v>GEORGE FUSHI</v>
      </c>
      <c r="E24" t="s">
        <v>119</v>
      </c>
      <c r="F24" t="s">
        <v>146</v>
      </c>
      <c r="G24" t="s">
        <v>147</v>
      </c>
      <c r="H24" t="s">
        <v>147</v>
      </c>
      <c r="I24">
        <v>17437820</v>
      </c>
      <c r="J24" t="s">
        <v>762</v>
      </c>
      <c r="K24" t="s">
        <v>763</v>
      </c>
      <c r="L24" t="str">
        <f t="shared" si="1"/>
        <v>COLLEEN FINNIGAN</v>
      </c>
      <c r="M24" t="s">
        <v>242</v>
      </c>
      <c r="N24" s="1">
        <v>45658</v>
      </c>
      <c r="O24" s="1">
        <v>46188</v>
      </c>
      <c r="P24" s="1">
        <v>46204</v>
      </c>
      <c r="Q24" s="2">
        <v>-112.08</v>
      </c>
      <c r="R24" t="s">
        <v>58</v>
      </c>
      <c r="S24" s="3">
        <v>0.06</v>
      </c>
      <c r="T24">
        <v>-1</v>
      </c>
      <c r="U24" t="s">
        <v>238</v>
      </c>
      <c r="V24" t="s">
        <v>239</v>
      </c>
      <c r="W24" s="2">
        <v>0</v>
      </c>
      <c r="X24" s="2">
        <v>0</v>
      </c>
      <c r="Y24" s="2">
        <v>-6.72</v>
      </c>
      <c r="Z24" s="2">
        <v>-6.72</v>
      </c>
      <c r="AA24" s="2">
        <v>0</v>
      </c>
    </row>
    <row r="25" spans="1:27" x14ac:dyDescent="0.25">
      <c r="A25">
        <v>2028020256</v>
      </c>
      <c r="B25" t="s">
        <v>804</v>
      </c>
      <c r="C25" t="s">
        <v>776</v>
      </c>
      <c r="D25" t="str">
        <f t="shared" si="0"/>
        <v>DEBORAH OAKMAN</v>
      </c>
      <c r="E25" t="s">
        <v>52</v>
      </c>
      <c r="F25" t="s">
        <v>146</v>
      </c>
      <c r="G25" t="s">
        <v>147</v>
      </c>
      <c r="H25" t="s">
        <v>147</v>
      </c>
      <c r="I25" t="s">
        <v>1005</v>
      </c>
      <c r="J25" t="s">
        <v>775</v>
      </c>
      <c r="K25" t="s">
        <v>776</v>
      </c>
      <c r="L25" t="str">
        <f t="shared" si="1"/>
        <v>DEBORAH INSKIPT</v>
      </c>
      <c r="M25" t="s">
        <v>242</v>
      </c>
      <c r="N25" s="1">
        <v>45748</v>
      </c>
      <c r="O25" s="1">
        <v>46188</v>
      </c>
      <c r="P25" s="1">
        <v>46204</v>
      </c>
      <c r="Q25" s="2">
        <v>-27.99</v>
      </c>
      <c r="R25" t="s">
        <v>58</v>
      </c>
      <c r="S25" s="3">
        <v>0.06</v>
      </c>
      <c r="T25">
        <v>-1</v>
      </c>
      <c r="U25" t="s">
        <v>238</v>
      </c>
      <c r="V25" t="s">
        <v>239</v>
      </c>
      <c r="W25" s="2">
        <v>0</v>
      </c>
      <c r="X25" s="2">
        <v>0</v>
      </c>
      <c r="Y25" s="2">
        <v>-1.68</v>
      </c>
      <c r="Z25" s="2">
        <v>-1.68</v>
      </c>
      <c r="AA25" s="2">
        <v>0</v>
      </c>
    </row>
    <row r="26" spans="1:27" x14ac:dyDescent="0.25">
      <c r="A26">
        <v>2029034138</v>
      </c>
      <c r="B26" t="s">
        <v>469</v>
      </c>
      <c r="C26" t="s">
        <v>470</v>
      </c>
      <c r="D26" t="str">
        <f t="shared" si="0"/>
        <v>IZABELA MAKSIMOWICZ</v>
      </c>
      <c r="E26" t="s">
        <v>119</v>
      </c>
      <c r="F26" t="s">
        <v>146</v>
      </c>
      <c r="G26" t="s">
        <v>147</v>
      </c>
      <c r="H26" t="s">
        <v>147</v>
      </c>
      <c r="I26">
        <v>7470776</v>
      </c>
      <c r="J26" t="s">
        <v>385</v>
      </c>
      <c r="K26" t="s">
        <v>386</v>
      </c>
      <c r="L26" t="str">
        <f t="shared" si="1"/>
        <v>Andrew Choi</v>
      </c>
      <c r="M26" t="s">
        <v>242</v>
      </c>
      <c r="N26" s="1">
        <v>45809</v>
      </c>
      <c r="O26" s="1">
        <v>46188</v>
      </c>
      <c r="P26" s="1">
        <v>46204</v>
      </c>
      <c r="Q26" s="2">
        <v>-152.08000000000001</v>
      </c>
      <c r="R26" t="s">
        <v>58</v>
      </c>
      <c r="S26" s="3">
        <v>0.06</v>
      </c>
      <c r="T26">
        <v>-1</v>
      </c>
      <c r="U26" t="s">
        <v>238</v>
      </c>
      <c r="V26" t="s">
        <v>239</v>
      </c>
      <c r="W26" s="2">
        <v>0</v>
      </c>
      <c r="X26" s="2">
        <v>0</v>
      </c>
      <c r="Y26" s="2">
        <v>-9.1199999999999992</v>
      </c>
      <c r="Z26" s="2">
        <v>-9.1199999999999992</v>
      </c>
      <c r="AA26" s="2">
        <v>0</v>
      </c>
    </row>
    <row r="27" spans="1:27" x14ac:dyDescent="0.25">
      <c r="A27">
        <v>2032669854</v>
      </c>
      <c r="B27" t="s">
        <v>330</v>
      </c>
      <c r="C27" t="s">
        <v>383</v>
      </c>
      <c r="D27" t="str">
        <f t="shared" si="0"/>
        <v>TREVOR SINGH</v>
      </c>
      <c r="E27" t="s">
        <v>95</v>
      </c>
      <c r="F27" t="s">
        <v>146</v>
      </c>
      <c r="G27" t="s">
        <v>147</v>
      </c>
      <c r="H27" t="s">
        <v>147</v>
      </c>
      <c r="I27" t="s">
        <v>1002</v>
      </c>
      <c r="J27" t="s">
        <v>321</v>
      </c>
      <c r="K27" t="s">
        <v>94</v>
      </c>
      <c r="L27" t="str">
        <f t="shared" si="1"/>
        <v>ANDREA PETRUNGARO</v>
      </c>
      <c r="M27" t="s">
        <v>242</v>
      </c>
      <c r="N27" s="1">
        <v>46006</v>
      </c>
      <c r="O27" s="1">
        <v>46188</v>
      </c>
      <c r="P27" s="1">
        <v>46218</v>
      </c>
      <c r="Q27" s="2">
        <v>-7.09</v>
      </c>
      <c r="R27" t="s">
        <v>58</v>
      </c>
      <c r="S27" s="4">
        <v>0.375</v>
      </c>
      <c r="T27">
        <v>-1</v>
      </c>
      <c r="U27" t="s">
        <v>60</v>
      </c>
      <c r="V27" t="s">
        <v>239</v>
      </c>
      <c r="W27" s="2">
        <v>0</v>
      </c>
      <c r="X27" s="2">
        <v>0</v>
      </c>
      <c r="Y27" s="2">
        <v>-2.66</v>
      </c>
      <c r="Z27" s="2">
        <v>-2.66</v>
      </c>
      <c r="AA27" s="2">
        <v>0</v>
      </c>
    </row>
    <row r="28" spans="1:27" x14ac:dyDescent="0.25">
      <c r="A28">
        <v>2035501770</v>
      </c>
      <c r="B28" t="s">
        <v>752</v>
      </c>
      <c r="C28" t="s">
        <v>307</v>
      </c>
      <c r="D28" t="str">
        <f t="shared" si="0"/>
        <v>WILLIAM KENNEY</v>
      </c>
      <c r="E28" t="s">
        <v>696</v>
      </c>
      <c r="F28" t="s">
        <v>146</v>
      </c>
      <c r="G28" t="s">
        <v>147</v>
      </c>
      <c r="H28" t="s">
        <v>147</v>
      </c>
      <c r="I28" t="s">
        <v>1004</v>
      </c>
      <c r="J28" t="s">
        <v>728</v>
      </c>
      <c r="K28" t="s">
        <v>729</v>
      </c>
      <c r="L28" t="str">
        <f t="shared" si="1"/>
        <v>Alexander Kim</v>
      </c>
      <c r="M28" t="s">
        <v>242</v>
      </c>
      <c r="N28" s="1">
        <v>46174</v>
      </c>
      <c r="O28" s="1">
        <v>46188</v>
      </c>
      <c r="P28" s="1">
        <v>46204</v>
      </c>
      <c r="Q28" s="2">
        <v>-73.95</v>
      </c>
      <c r="R28" t="s">
        <v>58</v>
      </c>
      <c r="S28" s="4">
        <v>0.375</v>
      </c>
      <c r="T28">
        <v>-1</v>
      </c>
      <c r="U28" t="s">
        <v>60</v>
      </c>
      <c r="V28" t="s">
        <v>239</v>
      </c>
      <c r="W28" s="2">
        <v>0</v>
      </c>
      <c r="X28" s="2">
        <v>0</v>
      </c>
      <c r="Y28" s="2">
        <v>-27.73</v>
      </c>
      <c r="Z28" s="2">
        <v>-27.73</v>
      </c>
      <c r="AA28" s="2">
        <v>0</v>
      </c>
    </row>
    <row r="29" spans="1:27" x14ac:dyDescent="0.25">
      <c r="A29">
        <v>2035786172</v>
      </c>
      <c r="B29" t="s">
        <v>815</v>
      </c>
      <c r="C29" t="s">
        <v>816</v>
      </c>
      <c r="D29" t="str">
        <f t="shared" si="0"/>
        <v>LEONARD KREITMAN</v>
      </c>
      <c r="E29" t="s">
        <v>83</v>
      </c>
      <c r="F29" t="s">
        <v>146</v>
      </c>
      <c r="G29" t="s">
        <v>147</v>
      </c>
      <c r="H29" t="s">
        <v>147</v>
      </c>
      <c r="I29">
        <v>18754354</v>
      </c>
      <c r="J29" t="s">
        <v>105</v>
      </c>
      <c r="K29" t="s">
        <v>106</v>
      </c>
      <c r="L29" t="str">
        <f t="shared" si="1"/>
        <v>JACOB YALE</v>
      </c>
      <c r="M29" t="s">
        <v>242</v>
      </c>
      <c r="N29" s="1">
        <v>46175</v>
      </c>
      <c r="O29" s="1">
        <v>46188</v>
      </c>
      <c r="P29" s="1">
        <v>46205</v>
      </c>
      <c r="Q29" s="2">
        <v>-11.89</v>
      </c>
      <c r="R29" t="s">
        <v>58</v>
      </c>
      <c r="S29" s="4">
        <v>0.375</v>
      </c>
      <c r="T29">
        <v>-1</v>
      </c>
      <c r="U29" t="s">
        <v>60</v>
      </c>
      <c r="V29" t="s">
        <v>239</v>
      </c>
      <c r="W29" s="2">
        <v>0</v>
      </c>
      <c r="X29" s="2">
        <v>0</v>
      </c>
      <c r="Y29" s="2">
        <v>-4.46</v>
      </c>
      <c r="Z29" s="2">
        <v>-4.46</v>
      </c>
      <c r="AA29" s="2">
        <v>0</v>
      </c>
    </row>
    <row r="30" spans="1:27" x14ac:dyDescent="0.25">
      <c r="A30">
        <v>2032307207</v>
      </c>
      <c r="B30" t="s">
        <v>382</v>
      </c>
      <c r="C30" t="s">
        <v>383</v>
      </c>
      <c r="D30" t="str">
        <f t="shared" si="0"/>
        <v>TREVOR HAMLIN</v>
      </c>
      <c r="E30" t="s">
        <v>95</v>
      </c>
      <c r="F30" t="s">
        <v>173</v>
      </c>
      <c r="G30" t="s">
        <v>174</v>
      </c>
      <c r="H30" t="s">
        <v>174</v>
      </c>
      <c r="I30" t="s">
        <v>1001</v>
      </c>
      <c r="J30" t="s">
        <v>73</v>
      </c>
      <c r="K30" t="s">
        <v>116</v>
      </c>
      <c r="L30" t="str">
        <f t="shared" si="1"/>
        <v>Richard Yale</v>
      </c>
      <c r="M30" t="s">
        <v>242</v>
      </c>
      <c r="N30" s="1">
        <v>46023</v>
      </c>
      <c r="O30" s="1">
        <v>46188</v>
      </c>
      <c r="P30" s="1">
        <v>46204</v>
      </c>
      <c r="Q30" s="2">
        <v>-263.77</v>
      </c>
      <c r="R30" t="s">
        <v>58</v>
      </c>
      <c r="S30" s="3">
        <v>0.38</v>
      </c>
      <c r="T30">
        <v>-1</v>
      </c>
      <c r="U30" t="s">
        <v>60</v>
      </c>
      <c r="V30" t="s">
        <v>239</v>
      </c>
      <c r="W30" s="2">
        <v>0</v>
      </c>
      <c r="X30" s="2">
        <v>0</v>
      </c>
      <c r="Y30" s="2">
        <v>-100.23</v>
      </c>
      <c r="Z30" s="2">
        <v>-100.23</v>
      </c>
      <c r="AA30" s="2">
        <v>0</v>
      </c>
    </row>
    <row r="31" spans="1:27" x14ac:dyDescent="0.25">
      <c r="A31">
        <v>2032307210</v>
      </c>
      <c r="B31" t="s">
        <v>382</v>
      </c>
      <c r="C31" t="s">
        <v>383</v>
      </c>
      <c r="D31" t="str">
        <f t="shared" si="0"/>
        <v>TREVOR HAMLIN</v>
      </c>
      <c r="E31" t="s">
        <v>95</v>
      </c>
      <c r="F31" t="s">
        <v>173</v>
      </c>
      <c r="G31" t="s">
        <v>177</v>
      </c>
      <c r="H31" t="s">
        <v>174</v>
      </c>
      <c r="I31" t="s">
        <v>1001</v>
      </c>
      <c r="J31" t="s">
        <v>73</v>
      </c>
      <c r="K31" t="s">
        <v>116</v>
      </c>
      <c r="L31" t="str">
        <f t="shared" si="1"/>
        <v>Richard Yale</v>
      </c>
      <c r="M31" t="s">
        <v>242</v>
      </c>
      <c r="N31" s="1">
        <v>46023</v>
      </c>
      <c r="O31" s="1">
        <v>46188</v>
      </c>
      <c r="P31" s="1">
        <v>46204</v>
      </c>
      <c r="Q31" s="2">
        <v>-4.96</v>
      </c>
      <c r="R31" t="s">
        <v>58</v>
      </c>
      <c r="S31" s="3">
        <v>0.38</v>
      </c>
      <c r="T31">
        <v>-1</v>
      </c>
      <c r="U31" t="s">
        <v>60</v>
      </c>
      <c r="V31" t="s">
        <v>239</v>
      </c>
      <c r="W31" s="2">
        <v>0</v>
      </c>
      <c r="X31" s="2">
        <v>0</v>
      </c>
      <c r="Y31" s="2">
        <v>-1.88</v>
      </c>
      <c r="Z31" s="2">
        <v>-1.88</v>
      </c>
      <c r="AA31" s="2">
        <v>0</v>
      </c>
    </row>
    <row r="32" spans="1:27" x14ac:dyDescent="0.25">
      <c r="A32">
        <v>2033273723</v>
      </c>
      <c r="B32" t="s">
        <v>277</v>
      </c>
      <c r="C32" t="s">
        <v>278</v>
      </c>
      <c r="D32" t="str">
        <f t="shared" si="0"/>
        <v>STEFAN WOOD</v>
      </c>
      <c r="E32" t="s">
        <v>52</v>
      </c>
      <c r="F32" t="s">
        <v>173</v>
      </c>
      <c r="G32" t="s">
        <v>176</v>
      </c>
      <c r="H32" t="s">
        <v>176</v>
      </c>
      <c r="I32">
        <v>21758900</v>
      </c>
      <c r="J32" t="s">
        <v>179</v>
      </c>
      <c r="K32" t="s">
        <v>180</v>
      </c>
      <c r="L32" t="str">
        <f t="shared" si="1"/>
        <v>John Rader</v>
      </c>
      <c r="M32" t="s">
        <v>242</v>
      </c>
      <c r="N32" s="1">
        <v>46054</v>
      </c>
      <c r="O32" s="1">
        <v>46188</v>
      </c>
      <c r="P32" s="1">
        <v>46204</v>
      </c>
      <c r="Q32" s="2">
        <v>-21.19</v>
      </c>
      <c r="R32" t="s">
        <v>58</v>
      </c>
      <c r="S32" s="3">
        <v>0.38</v>
      </c>
      <c r="T32">
        <v>-1</v>
      </c>
      <c r="U32" t="s">
        <v>60</v>
      </c>
      <c r="V32" t="s">
        <v>239</v>
      </c>
      <c r="W32" s="2">
        <v>0</v>
      </c>
      <c r="X32" s="2">
        <v>0</v>
      </c>
      <c r="Y32" s="2">
        <v>-8.0500000000000007</v>
      </c>
      <c r="Z32" s="2">
        <v>-8.0500000000000007</v>
      </c>
      <c r="AA32" s="2">
        <v>0</v>
      </c>
    </row>
    <row r="33" spans="1:27" x14ac:dyDescent="0.25">
      <c r="A33">
        <v>2016762024</v>
      </c>
      <c r="B33" t="s">
        <v>295</v>
      </c>
      <c r="C33" t="s">
        <v>296</v>
      </c>
      <c r="D33" t="str">
        <f t="shared" si="0"/>
        <v>CHASE STANTON</v>
      </c>
      <c r="E33" t="s">
        <v>100</v>
      </c>
      <c r="F33" t="s">
        <v>182</v>
      </c>
      <c r="G33" t="s">
        <v>497</v>
      </c>
      <c r="H33" t="s">
        <v>497</v>
      </c>
      <c r="I33">
        <v>8307933</v>
      </c>
      <c r="J33" t="s">
        <v>79</v>
      </c>
      <c r="K33" t="s">
        <v>80</v>
      </c>
      <c r="L33" t="str">
        <f t="shared" si="1"/>
        <v>GREGORY TEIPEL</v>
      </c>
      <c r="M33" t="s">
        <v>242</v>
      </c>
      <c r="N33" s="1">
        <v>44927</v>
      </c>
      <c r="O33" s="1">
        <v>46188</v>
      </c>
      <c r="P33" s="1">
        <v>46204</v>
      </c>
      <c r="Q33" s="2">
        <v>-24.87</v>
      </c>
      <c r="R33" t="s">
        <v>58</v>
      </c>
      <c r="S33" s="3">
        <v>0.15</v>
      </c>
      <c r="T33">
        <v>-1</v>
      </c>
      <c r="U33" t="s">
        <v>238</v>
      </c>
      <c r="V33" t="s">
        <v>239</v>
      </c>
      <c r="W33" s="2">
        <v>0</v>
      </c>
      <c r="X33" s="2">
        <v>0</v>
      </c>
      <c r="Y33" s="2">
        <v>-3.73</v>
      </c>
      <c r="Z33" s="2">
        <v>-3.73</v>
      </c>
      <c r="AA33" s="2">
        <v>0</v>
      </c>
    </row>
    <row r="34" spans="1:27" x14ac:dyDescent="0.25">
      <c r="N34" s="1"/>
      <c r="O34" s="1"/>
      <c r="P34" s="1"/>
      <c r="Q34" s="2"/>
      <c r="S34" s="3"/>
      <c r="W34" s="2"/>
      <c r="X34" s="2"/>
      <c r="Y34" s="2"/>
      <c r="Z34" s="2"/>
      <c r="AA34" s="2"/>
    </row>
    <row r="35" spans="1:27" x14ac:dyDescent="0.25">
      <c r="N35" s="1"/>
      <c r="O35" s="1"/>
      <c r="P35" s="1"/>
      <c r="Q35" s="2"/>
      <c r="S35" s="3"/>
      <c r="W35" s="2"/>
      <c r="X35" s="2"/>
      <c r="Y35" s="2"/>
      <c r="Z35" s="2"/>
      <c r="AA35" s="2"/>
    </row>
    <row r="36" spans="1:27" x14ac:dyDescent="0.25">
      <c r="N36" s="1"/>
      <c r="O36" s="1"/>
      <c r="P36" s="1"/>
      <c r="Q36" s="2"/>
      <c r="S36" s="3"/>
      <c r="W36" s="2"/>
      <c r="X36" s="2"/>
      <c r="Y36" s="2"/>
      <c r="Z36" s="2"/>
      <c r="AA36" s="2"/>
    </row>
    <row r="37" spans="1:27" s="5" customFormat="1" x14ac:dyDescent="0.25">
      <c r="A37" s="5">
        <v>2035501770</v>
      </c>
      <c r="B37" s="5" t="s">
        <v>752</v>
      </c>
      <c r="C37" s="5" t="s">
        <v>307</v>
      </c>
      <c r="F37" s="5" t="s">
        <v>146</v>
      </c>
      <c r="G37" s="5" t="s">
        <v>147</v>
      </c>
      <c r="I37" s="5">
        <v>649163</v>
      </c>
      <c r="J37" s="5" t="s">
        <v>728</v>
      </c>
      <c r="K37" s="5" t="s">
        <v>729</v>
      </c>
      <c r="L37" s="5" t="str">
        <f>CONCATENATE(K37," ",J37)</f>
        <v>Alexander Kim</v>
      </c>
      <c r="M37" s="5" t="s">
        <v>242</v>
      </c>
      <c r="N37" s="6">
        <v>46174</v>
      </c>
      <c r="O37" s="6">
        <v>46188</v>
      </c>
      <c r="Q37" s="7">
        <v>0</v>
      </c>
      <c r="V37" s="5">
        <v>1</v>
      </c>
      <c r="W37" s="7">
        <v>166.38</v>
      </c>
      <c r="X37" s="7">
        <v>0</v>
      </c>
      <c r="Y37" s="7">
        <v>27.73</v>
      </c>
      <c r="Z37" s="7">
        <v>-138.65</v>
      </c>
      <c r="AA37" s="7">
        <v>-138.65</v>
      </c>
    </row>
    <row r="38" spans="1:27" s="5" customFormat="1" x14ac:dyDescent="0.25">
      <c r="A38" s="5">
        <v>2035501771</v>
      </c>
      <c r="B38" s="5" t="s">
        <v>752</v>
      </c>
      <c r="C38" s="5" t="s">
        <v>307</v>
      </c>
      <c r="F38" s="5" t="s">
        <v>182</v>
      </c>
      <c r="G38" s="5" t="s">
        <v>183</v>
      </c>
      <c r="I38" s="5">
        <v>649163</v>
      </c>
      <c r="J38" s="5" t="s">
        <v>728</v>
      </c>
      <c r="K38" s="5" t="s">
        <v>729</v>
      </c>
      <c r="L38" s="5" t="str">
        <f>CONCATENATE(K38," ",J38)</f>
        <v>Alexander Kim</v>
      </c>
      <c r="M38" s="5" t="s">
        <v>242</v>
      </c>
      <c r="N38" s="6">
        <v>46174</v>
      </c>
      <c r="O38" s="6">
        <v>46188</v>
      </c>
      <c r="Q38" s="7">
        <v>0</v>
      </c>
      <c r="V38" s="5">
        <v>1</v>
      </c>
      <c r="W38" s="7">
        <v>64.2</v>
      </c>
      <c r="X38" s="7">
        <v>0</v>
      </c>
      <c r="Y38" s="7">
        <v>10.7</v>
      </c>
      <c r="Z38" s="7">
        <v>-53.5</v>
      </c>
      <c r="AA38" s="7">
        <v>-53.5</v>
      </c>
    </row>
    <row r="39" spans="1:27" s="5" customFormat="1" x14ac:dyDescent="0.25">
      <c r="A39" s="5">
        <v>2034483030</v>
      </c>
      <c r="B39" s="5" t="s">
        <v>688</v>
      </c>
      <c r="C39" s="5" t="s">
        <v>689</v>
      </c>
      <c r="F39" s="5" t="s">
        <v>182</v>
      </c>
      <c r="G39" s="5" t="s">
        <v>197</v>
      </c>
      <c r="I39" s="5">
        <v>649163</v>
      </c>
      <c r="J39" s="5" t="s">
        <v>321</v>
      </c>
      <c r="K39" s="5" t="s">
        <v>94</v>
      </c>
      <c r="L39" s="5" t="str">
        <f>CONCATENATE(K39," ",J39)</f>
        <v>ANDREA PETRUNGARO</v>
      </c>
      <c r="M39" s="5" t="s">
        <v>242</v>
      </c>
      <c r="N39" s="6">
        <v>46102</v>
      </c>
      <c r="O39" s="6">
        <v>46188</v>
      </c>
      <c r="Q39" s="7">
        <v>0</v>
      </c>
      <c r="V39" s="5">
        <f>109.2/36.4</f>
        <v>3</v>
      </c>
      <c r="W39" s="7">
        <v>218.4</v>
      </c>
      <c r="X39" s="7">
        <v>0</v>
      </c>
      <c r="Y39" s="7">
        <v>109.2</v>
      </c>
      <c r="Z39" s="7">
        <v>-109.2</v>
      </c>
      <c r="AA39" s="7">
        <v>-109.2</v>
      </c>
    </row>
    <row r="40" spans="1:27" s="5" customFormat="1" x14ac:dyDescent="0.25">
      <c r="A40" s="5">
        <v>2034703500</v>
      </c>
      <c r="B40" s="5" t="s">
        <v>695</v>
      </c>
      <c r="C40" s="5" t="s">
        <v>630</v>
      </c>
      <c r="F40" s="5" t="s">
        <v>182</v>
      </c>
      <c r="G40" s="5" t="s">
        <v>183</v>
      </c>
      <c r="I40" s="5">
        <v>649163</v>
      </c>
      <c r="J40" s="5" t="s">
        <v>112</v>
      </c>
      <c r="K40" s="5" t="s">
        <v>113</v>
      </c>
      <c r="L40" s="5" t="str">
        <f>CONCATENATE(K40," ",J40)</f>
        <v>H Allan</v>
      </c>
      <c r="M40" s="5" t="s">
        <v>242</v>
      </c>
      <c r="N40" s="6">
        <v>46118</v>
      </c>
      <c r="O40" s="6">
        <v>46188</v>
      </c>
      <c r="Q40" s="7">
        <v>0</v>
      </c>
      <c r="V40" s="5">
        <f>32.1/10.7</f>
        <v>3.0000000000000004</v>
      </c>
      <c r="W40" s="7">
        <v>64.2</v>
      </c>
      <c r="X40" s="7">
        <v>0</v>
      </c>
      <c r="Y40" s="7">
        <v>32.1</v>
      </c>
      <c r="Z40" s="7">
        <v>-32.1</v>
      </c>
      <c r="AA40" s="7">
        <v>-32.1</v>
      </c>
    </row>
    <row r="41" spans="1:27" x14ac:dyDescent="0.25">
      <c r="A41">
        <v>2035786172</v>
      </c>
      <c r="B41" t="s">
        <v>815</v>
      </c>
      <c r="C41" t="s">
        <v>816</v>
      </c>
      <c r="F41" t="s">
        <v>146</v>
      </c>
      <c r="G41" t="s">
        <v>147</v>
      </c>
      <c r="I41">
        <v>649163</v>
      </c>
      <c r="J41" t="s">
        <v>105</v>
      </c>
      <c r="K41" t="s">
        <v>106</v>
      </c>
      <c r="L41" t="str">
        <f>CONCATENATE(K41," ",J41)</f>
        <v>JACOB YALE</v>
      </c>
      <c r="M41" t="s">
        <v>242</v>
      </c>
      <c r="N41" s="1">
        <v>46175</v>
      </c>
      <c r="O41" s="1">
        <v>46188</v>
      </c>
      <c r="Q41" s="2">
        <v>0</v>
      </c>
      <c r="W41" s="2">
        <v>40.14</v>
      </c>
      <c r="X41" s="2">
        <v>0</v>
      </c>
      <c r="Y41" s="2">
        <v>6.69</v>
      </c>
      <c r="Z41" s="2">
        <v>-33.450000000000003</v>
      </c>
      <c r="AA41" s="2">
        <v>-33.450000000000003</v>
      </c>
    </row>
    <row r="42" spans="1:27" s="8" customFormat="1" x14ac:dyDescent="0.25">
      <c r="A42" s="8">
        <v>2035383815</v>
      </c>
      <c r="B42" s="8" t="s">
        <v>538</v>
      </c>
      <c r="C42" s="8" t="s">
        <v>782</v>
      </c>
      <c r="F42" s="8" t="s">
        <v>220</v>
      </c>
      <c r="G42" s="8" t="s">
        <v>221</v>
      </c>
      <c r="I42" s="8">
        <v>649163</v>
      </c>
      <c r="J42" s="8" t="s">
        <v>419</v>
      </c>
      <c r="K42" s="8" t="s">
        <v>420</v>
      </c>
      <c r="L42" s="8" t="str">
        <f>CONCATENATE(K42," ",J42)</f>
        <v>JARED KINYUA</v>
      </c>
      <c r="M42" s="8" t="s">
        <v>242</v>
      </c>
      <c r="N42" s="9">
        <v>46151</v>
      </c>
      <c r="O42" s="9">
        <v>46188</v>
      </c>
      <c r="Q42" s="10">
        <v>0</v>
      </c>
      <c r="W42" s="10">
        <v>100.68</v>
      </c>
      <c r="X42" s="10">
        <v>0</v>
      </c>
      <c r="Y42" s="10">
        <v>67.12</v>
      </c>
      <c r="Z42" s="10">
        <v>-33.56</v>
      </c>
      <c r="AA42" s="10">
        <v>-33.56</v>
      </c>
    </row>
    <row r="43" spans="1:27" s="5" customFormat="1" x14ac:dyDescent="0.25">
      <c r="A43" s="5">
        <v>2035383816</v>
      </c>
      <c r="B43" s="5" t="s">
        <v>538</v>
      </c>
      <c r="C43" s="5" t="s">
        <v>782</v>
      </c>
      <c r="F43" s="5" t="s">
        <v>120</v>
      </c>
      <c r="G43" s="5" t="s">
        <v>125</v>
      </c>
      <c r="I43" s="5">
        <v>649163</v>
      </c>
      <c r="J43" s="5" t="s">
        <v>419</v>
      </c>
      <c r="K43" s="5" t="s">
        <v>420</v>
      </c>
      <c r="L43" s="5" t="str">
        <f>CONCATENATE(K43," ",J43)</f>
        <v>JARED KINYUA</v>
      </c>
      <c r="M43" s="5" t="s">
        <v>242</v>
      </c>
      <c r="N43" s="6">
        <v>46151</v>
      </c>
      <c r="O43" s="6">
        <v>46188</v>
      </c>
      <c r="Q43" s="7">
        <v>0</v>
      </c>
      <c r="V43" s="5">
        <f>8.7/4.35</f>
        <v>2</v>
      </c>
      <c r="W43" s="7">
        <v>13.05</v>
      </c>
      <c r="X43" s="7">
        <v>0</v>
      </c>
      <c r="Y43" s="7">
        <v>8.6999999999999993</v>
      </c>
      <c r="Z43" s="7">
        <v>-4.3499999999999996</v>
      </c>
      <c r="AA43" s="7">
        <v>-4.3499999999999996</v>
      </c>
    </row>
    <row r="44" spans="1:27" s="8" customFormat="1" x14ac:dyDescent="0.25">
      <c r="A44" s="8">
        <v>2035383814</v>
      </c>
      <c r="B44" s="8" t="s">
        <v>538</v>
      </c>
      <c r="C44" s="8" t="s">
        <v>782</v>
      </c>
      <c r="F44" s="8" t="s">
        <v>220</v>
      </c>
      <c r="G44" s="8" t="s">
        <v>778</v>
      </c>
      <c r="I44" s="8">
        <v>649163</v>
      </c>
      <c r="J44" s="8" t="s">
        <v>419</v>
      </c>
      <c r="K44" s="8" t="s">
        <v>420</v>
      </c>
      <c r="L44" s="8" t="str">
        <f>CONCATENATE(K44," ",J44)</f>
        <v>JARED KINYUA</v>
      </c>
      <c r="M44" s="8" t="s">
        <v>242</v>
      </c>
      <c r="N44" s="9">
        <v>46151</v>
      </c>
      <c r="O44" s="9">
        <v>46188</v>
      </c>
      <c r="Q44" s="10">
        <v>0</v>
      </c>
      <c r="W44" s="10">
        <v>8.67</v>
      </c>
      <c r="X44" s="10">
        <v>0</v>
      </c>
      <c r="Y44" s="10">
        <v>5.78</v>
      </c>
      <c r="Z44" s="10">
        <v>-2.89</v>
      </c>
      <c r="AA44" s="10">
        <v>-2.89</v>
      </c>
    </row>
    <row r="45" spans="1:27" x14ac:dyDescent="0.25">
      <c r="A45">
        <v>2035770729</v>
      </c>
      <c r="B45" t="s">
        <v>756</v>
      </c>
      <c r="C45" t="s">
        <v>757</v>
      </c>
      <c r="F45" t="s">
        <v>182</v>
      </c>
      <c r="G45" t="s">
        <v>194</v>
      </c>
      <c r="I45">
        <v>649163</v>
      </c>
      <c r="J45" t="s">
        <v>179</v>
      </c>
      <c r="K45" t="s">
        <v>180</v>
      </c>
      <c r="L45" t="str">
        <f>CONCATENATE(K45," ",J45)</f>
        <v>John Rader</v>
      </c>
      <c r="M45" t="s">
        <v>242</v>
      </c>
      <c r="N45" s="1">
        <v>46175</v>
      </c>
      <c r="O45" s="1">
        <v>46188</v>
      </c>
      <c r="Q45" s="2">
        <v>0</v>
      </c>
      <c r="W45" s="2">
        <v>236.58</v>
      </c>
      <c r="X45" s="2">
        <v>0</v>
      </c>
      <c r="Y45" s="2">
        <v>39.43</v>
      </c>
      <c r="Z45" s="2">
        <v>-197.15</v>
      </c>
      <c r="AA45" s="2">
        <v>-197.15</v>
      </c>
    </row>
    <row r="46" spans="1:27" x14ac:dyDescent="0.25">
      <c r="A46">
        <v>2033273724</v>
      </c>
      <c r="B46" t="s">
        <v>277</v>
      </c>
      <c r="C46" t="s">
        <v>278</v>
      </c>
      <c r="F46" t="s">
        <v>53</v>
      </c>
      <c r="G46" t="s">
        <v>54</v>
      </c>
      <c r="I46">
        <v>649163</v>
      </c>
      <c r="J46" t="s">
        <v>179</v>
      </c>
      <c r="K46" t="s">
        <v>180</v>
      </c>
      <c r="L46" t="str">
        <f>CONCATENATE(K46," ",J46)</f>
        <v>John Rader</v>
      </c>
      <c r="M46" t="s">
        <v>242</v>
      </c>
      <c r="N46" s="1">
        <v>46054</v>
      </c>
      <c r="O46" s="1">
        <v>46188</v>
      </c>
      <c r="Q46" s="2">
        <v>0</v>
      </c>
      <c r="W46" s="2">
        <v>204.06</v>
      </c>
      <c r="X46" s="2">
        <v>0</v>
      </c>
      <c r="Y46" s="2">
        <v>170.05</v>
      </c>
      <c r="Z46" s="2">
        <v>-34.01</v>
      </c>
      <c r="AA46" s="2">
        <v>-34.01</v>
      </c>
    </row>
    <row r="47" spans="1:27" x14ac:dyDescent="0.25">
      <c r="A47">
        <v>2033273723</v>
      </c>
      <c r="B47" t="s">
        <v>277</v>
      </c>
      <c r="C47" t="s">
        <v>278</v>
      </c>
      <c r="F47" t="s">
        <v>173</v>
      </c>
      <c r="G47" t="s">
        <v>176</v>
      </c>
      <c r="I47">
        <v>649163</v>
      </c>
      <c r="J47" t="s">
        <v>179</v>
      </c>
      <c r="K47" t="s">
        <v>180</v>
      </c>
      <c r="L47" t="str">
        <f>CONCATENATE(K47," ",J47)</f>
        <v>John Rader</v>
      </c>
      <c r="M47" t="s">
        <v>242</v>
      </c>
      <c r="N47" s="1">
        <v>46054</v>
      </c>
      <c r="O47" s="1">
        <v>46188</v>
      </c>
      <c r="Q47" s="2">
        <v>0</v>
      </c>
      <c r="W47" s="2">
        <v>69</v>
      </c>
      <c r="X47" s="2">
        <v>0</v>
      </c>
      <c r="Y47" s="2">
        <v>57.5</v>
      </c>
      <c r="Z47" s="2">
        <v>-11.5</v>
      </c>
      <c r="AA47" s="2">
        <v>-11.5</v>
      </c>
    </row>
    <row r="48" spans="1:27" x14ac:dyDescent="0.25">
      <c r="A48">
        <v>2032657323</v>
      </c>
      <c r="B48" t="s">
        <v>809</v>
      </c>
      <c r="C48" t="s">
        <v>810</v>
      </c>
      <c r="F48" t="s">
        <v>146</v>
      </c>
      <c r="G48" t="s">
        <v>147</v>
      </c>
      <c r="I48">
        <v>751867</v>
      </c>
      <c r="J48" t="s">
        <v>55</v>
      </c>
      <c r="K48" t="s">
        <v>56</v>
      </c>
      <c r="L48" t="str">
        <f>CONCATENATE(K48," ",J48)</f>
        <v>JOHN ROKEN</v>
      </c>
      <c r="M48" t="s">
        <v>242</v>
      </c>
      <c r="N48" s="1">
        <v>46007</v>
      </c>
      <c r="O48" s="1">
        <v>46188</v>
      </c>
      <c r="Q48" s="2">
        <v>0</v>
      </c>
      <c r="W48" s="2">
        <v>108.54</v>
      </c>
      <c r="X48" s="2">
        <v>0</v>
      </c>
      <c r="Y48" s="2">
        <v>90.45</v>
      </c>
      <c r="Z48" s="2">
        <v>-18.09</v>
      </c>
      <c r="AA48" s="2">
        <v>-18.09</v>
      </c>
    </row>
    <row r="49" spans="1:27" x14ac:dyDescent="0.25">
      <c r="A49">
        <v>2032657324</v>
      </c>
      <c r="B49" t="s">
        <v>809</v>
      </c>
      <c r="C49" t="s">
        <v>810</v>
      </c>
      <c r="F49" t="s">
        <v>173</v>
      </c>
      <c r="G49" t="s">
        <v>176</v>
      </c>
      <c r="I49">
        <v>751867</v>
      </c>
      <c r="J49" t="s">
        <v>55</v>
      </c>
      <c r="K49" t="s">
        <v>56</v>
      </c>
      <c r="L49" t="str">
        <f>CONCATENATE(K49," ",J49)</f>
        <v>JOHN ROKEN</v>
      </c>
      <c r="M49" t="s">
        <v>242</v>
      </c>
      <c r="N49" s="1">
        <v>46007</v>
      </c>
      <c r="O49" s="1">
        <v>46188</v>
      </c>
      <c r="Q49" s="2">
        <v>0</v>
      </c>
      <c r="W49" s="2">
        <v>34.32</v>
      </c>
      <c r="X49" s="2">
        <v>0</v>
      </c>
      <c r="Y49" s="2">
        <v>28.6</v>
      </c>
      <c r="Z49" s="2">
        <v>-5.72</v>
      </c>
      <c r="AA49" s="2">
        <v>-5.72</v>
      </c>
    </row>
    <row r="50" spans="1:27" x14ac:dyDescent="0.25">
      <c r="A50">
        <v>2032657325</v>
      </c>
      <c r="B50" t="s">
        <v>809</v>
      </c>
      <c r="C50" t="s">
        <v>810</v>
      </c>
      <c r="F50" t="s">
        <v>120</v>
      </c>
      <c r="G50" t="s">
        <v>811</v>
      </c>
      <c r="I50">
        <v>751867</v>
      </c>
      <c r="J50" t="s">
        <v>55</v>
      </c>
      <c r="K50" t="s">
        <v>56</v>
      </c>
      <c r="L50" t="str">
        <f>CONCATENATE(K50," ",J50)</f>
        <v>JOHN ROKEN</v>
      </c>
      <c r="M50" t="s">
        <v>242</v>
      </c>
      <c r="N50" s="1">
        <v>46007</v>
      </c>
      <c r="O50" s="1">
        <v>46188</v>
      </c>
      <c r="Q50" s="2">
        <v>0</v>
      </c>
      <c r="W50" s="2">
        <v>34.200000000000003</v>
      </c>
      <c r="X50" s="2">
        <v>0</v>
      </c>
      <c r="Y50" s="2">
        <v>28.5</v>
      </c>
      <c r="Z50" s="2">
        <v>-5.7</v>
      </c>
      <c r="AA50" s="2">
        <v>-5.7</v>
      </c>
    </row>
    <row r="51" spans="1:27" s="5" customFormat="1" x14ac:dyDescent="0.25">
      <c r="A51" s="5">
        <v>2033592051</v>
      </c>
      <c r="B51" s="5" t="s">
        <v>813</v>
      </c>
      <c r="C51" s="5" t="s">
        <v>814</v>
      </c>
      <c r="F51" s="5" t="s">
        <v>182</v>
      </c>
      <c r="G51" s="5" t="s">
        <v>183</v>
      </c>
      <c r="I51" s="5">
        <v>767312</v>
      </c>
      <c r="J51" s="5" t="s">
        <v>171</v>
      </c>
      <c r="K51" s="5" t="s">
        <v>172</v>
      </c>
      <c r="L51" s="5" t="str">
        <f>CONCATENATE(K51," ",J51)</f>
        <v>THOMAS PARDUE</v>
      </c>
      <c r="M51" s="5" t="s">
        <v>242</v>
      </c>
      <c r="N51" s="6">
        <v>46068</v>
      </c>
      <c r="O51" s="6">
        <v>46188</v>
      </c>
      <c r="Q51" s="7">
        <v>0</v>
      </c>
      <c r="V51" s="5">
        <f>118.74/39.58</f>
        <v>3</v>
      </c>
      <c r="W51" s="7">
        <v>237.48</v>
      </c>
      <c r="X51" s="7">
        <v>0</v>
      </c>
      <c r="Y51" s="7">
        <v>118.74</v>
      </c>
      <c r="Z51" s="7">
        <v>-118.74</v>
      </c>
      <c r="AA51" s="7">
        <v>-118.74</v>
      </c>
    </row>
    <row r="52" spans="1:27" x14ac:dyDescent="0.25">
      <c r="N52" s="1"/>
      <c r="O52" s="1"/>
      <c r="Q52" s="2"/>
      <c r="W52" s="2"/>
      <c r="X52" s="2"/>
      <c r="Y52" s="2"/>
      <c r="Z52" s="2"/>
      <c r="AA52" s="2"/>
    </row>
    <row r="53" spans="1:27" x14ac:dyDescent="0.25">
      <c r="N53" s="1"/>
      <c r="O53" s="1"/>
      <c r="Q53" s="2"/>
      <c r="W53" s="2"/>
      <c r="X53" s="2"/>
      <c r="Y53" s="2"/>
      <c r="Z53" s="2"/>
      <c r="AA53" s="2"/>
    </row>
    <row r="54" spans="1:27" x14ac:dyDescent="0.25">
      <c r="N54" s="1"/>
      <c r="O54" s="1"/>
      <c r="Q54" s="2"/>
      <c r="W54" s="2"/>
      <c r="X54" s="2"/>
      <c r="Y54" s="2"/>
      <c r="Z54" s="2"/>
      <c r="AA54" s="2"/>
    </row>
    <row r="55" spans="1:27" x14ac:dyDescent="0.25">
      <c r="A55">
        <v>2016762022</v>
      </c>
      <c r="B55" t="s">
        <v>295</v>
      </c>
      <c r="C55" t="s">
        <v>296</v>
      </c>
      <c r="F55" t="s">
        <v>71</v>
      </c>
      <c r="G55" t="s">
        <v>84</v>
      </c>
      <c r="I55">
        <v>649163</v>
      </c>
      <c r="J55" t="s">
        <v>79</v>
      </c>
      <c r="K55" t="s">
        <v>80</v>
      </c>
      <c r="L55" t="str">
        <f>CONCATENATE(K55," ",J55)</f>
        <v>GREGORY TEIPEL</v>
      </c>
      <c r="M55" t="s">
        <v>242</v>
      </c>
      <c r="N55" s="1">
        <v>44927</v>
      </c>
      <c r="O55" s="1">
        <v>46188</v>
      </c>
      <c r="Q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</row>
    <row r="56" spans="1:27" x14ac:dyDescent="0.25">
      <c r="A56">
        <v>2016762024</v>
      </c>
      <c r="B56" t="s">
        <v>295</v>
      </c>
      <c r="C56" t="s">
        <v>296</v>
      </c>
      <c r="F56" t="s">
        <v>182</v>
      </c>
      <c r="G56" t="s">
        <v>497</v>
      </c>
      <c r="I56">
        <v>649163</v>
      </c>
      <c r="J56" t="s">
        <v>79</v>
      </c>
      <c r="K56" t="s">
        <v>80</v>
      </c>
      <c r="L56" t="str">
        <f>CONCATENATE(K56," ",J56)</f>
        <v>GREGORY TEIPEL</v>
      </c>
      <c r="M56" t="s">
        <v>242</v>
      </c>
      <c r="N56" s="1">
        <v>44927</v>
      </c>
      <c r="O56" s="1">
        <v>46188</v>
      </c>
      <c r="Q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</row>
    <row r="57" spans="1:27" x14ac:dyDescent="0.25">
      <c r="A57">
        <v>2023252075</v>
      </c>
      <c r="B57" t="s">
        <v>240</v>
      </c>
      <c r="C57" t="s">
        <v>241</v>
      </c>
      <c r="F57" t="s">
        <v>53</v>
      </c>
      <c r="G57" t="s">
        <v>54</v>
      </c>
      <c r="I57">
        <v>649163</v>
      </c>
      <c r="J57" t="s">
        <v>158</v>
      </c>
      <c r="K57" t="s">
        <v>159</v>
      </c>
      <c r="L57" t="str">
        <f>CONCATENATE(K57," ",J57)</f>
        <v>CAROL FOLEY</v>
      </c>
      <c r="M57" t="s">
        <v>242</v>
      </c>
      <c r="N57" s="1">
        <v>45444</v>
      </c>
      <c r="O57" s="1">
        <v>46188</v>
      </c>
      <c r="Q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</row>
    <row r="58" spans="1:27" x14ac:dyDescent="0.25">
      <c r="A58">
        <v>2016762023</v>
      </c>
      <c r="B58" t="s">
        <v>295</v>
      </c>
      <c r="C58" t="s">
        <v>296</v>
      </c>
      <c r="F58" t="s">
        <v>71</v>
      </c>
      <c r="G58" t="s">
        <v>78</v>
      </c>
      <c r="I58">
        <v>649163</v>
      </c>
      <c r="J58" t="s">
        <v>79</v>
      </c>
      <c r="K58" t="s">
        <v>80</v>
      </c>
      <c r="L58" t="str">
        <f>CONCATENATE(K58," ",J58)</f>
        <v>GREGORY TEIPEL</v>
      </c>
      <c r="M58" t="s">
        <v>242</v>
      </c>
      <c r="N58" s="1">
        <v>44927</v>
      </c>
      <c r="O58" s="1">
        <v>46188</v>
      </c>
      <c r="Q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</row>
    <row r="59" spans="1:27" x14ac:dyDescent="0.25">
      <c r="A59">
        <v>2026189739</v>
      </c>
      <c r="B59" t="s">
        <v>798</v>
      </c>
      <c r="C59" t="s">
        <v>519</v>
      </c>
      <c r="F59" t="s">
        <v>146</v>
      </c>
      <c r="G59" t="s">
        <v>147</v>
      </c>
      <c r="I59">
        <v>649163</v>
      </c>
      <c r="J59" t="s">
        <v>762</v>
      </c>
      <c r="K59" t="s">
        <v>763</v>
      </c>
      <c r="L59" t="str">
        <f>CONCATENATE(K59," ",J59)</f>
        <v>COLLEEN FINNIGAN</v>
      </c>
      <c r="M59" t="s">
        <v>242</v>
      </c>
      <c r="N59" s="1">
        <v>45658</v>
      </c>
      <c r="O59" s="1">
        <v>46188</v>
      </c>
      <c r="Q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</row>
    <row r="60" spans="1:27" x14ac:dyDescent="0.25">
      <c r="A60">
        <v>2027025171</v>
      </c>
      <c r="B60" t="s">
        <v>799</v>
      </c>
      <c r="C60" t="s">
        <v>800</v>
      </c>
      <c r="F60" t="s">
        <v>182</v>
      </c>
      <c r="G60" t="s">
        <v>183</v>
      </c>
      <c r="I60">
        <v>824082</v>
      </c>
      <c r="J60" t="s">
        <v>510</v>
      </c>
      <c r="K60" t="s">
        <v>511</v>
      </c>
      <c r="L60" t="str">
        <f>CONCATENATE(K60," ",J60)</f>
        <v>Joel Lee</v>
      </c>
      <c r="M60" t="s">
        <v>242</v>
      </c>
      <c r="N60" s="1">
        <v>45697</v>
      </c>
      <c r="O60" s="1">
        <v>46188</v>
      </c>
      <c r="Q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</row>
    <row r="61" spans="1:27" x14ac:dyDescent="0.25">
      <c r="A61">
        <v>2027025172</v>
      </c>
      <c r="B61" t="s">
        <v>799</v>
      </c>
      <c r="C61" t="s">
        <v>800</v>
      </c>
      <c r="F61" t="s">
        <v>71</v>
      </c>
      <c r="G61" t="s">
        <v>309</v>
      </c>
      <c r="I61">
        <v>824082</v>
      </c>
      <c r="J61" t="s">
        <v>510</v>
      </c>
      <c r="K61" t="s">
        <v>511</v>
      </c>
      <c r="L61" t="str">
        <f>CONCATENATE(K61," ",J61)</f>
        <v>Joel Lee</v>
      </c>
      <c r="M61" t="s">
        <v>242</v>
      </c>
      <c r="N61" s="1">
        <v>45697</v>
      </c>
      <c r="O61" s="1">
        <v>46188</v>
      </c>
      <c r="Q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</row>
    <row r="62" spans="1:27" x14ac:dyDescent="0.25">
      <c r="A62">
        <v>2027064140</v>
      </c>
      <c r="B62" t="s">
        <v>801</v>
      </c>
      <c r="C62" t="s">
        <v>86</v>
      </c>
      <c r="F62" t="s">
        <v>182</v>
      </c>
      <c r="G62" t="s">
        <v>497</v>
      </c>
      <c r="I62">
        <v>673059</v>
      </c>
      <c r="J62" t="s">
        <v>85</v>
      </c>
      <c r="K62" t="s">
        <v>86</v>
      </c>
      <c r="L62" t="str">
        <f>CONCATENATE(K62," ",J62)</f>
        <v>RYAN CALTAGIRONE</v>
      </c>
      <c r="M62" t="s">
        <v>242</v>
      </c>
      <c r="N62" s="1">
        <v>45700</v>
      </c>
      <c r="O62" s="1">
        <v>46188</v>
      </c>
      <c r="Q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</row>
    <row r="63" spans="1:27" x14ac:dyDescent="0.25">
      <c r="A63">
        <v>2026561983</v>
      </c>
      <c r="B63" t="s">
        <v>802</v>
      </c>
      <c r="C63" t="s">
        <v>803</v>
      </c>
      <c r="F63" t="s">
        <v>182</v>
      </c>
      <c r="G63" t="s">
        <v>183</v>
      </c>
      <c r="I63">
        <v>792847</v>
      </c>
      <c r="J63" t="s">
        <v>336</v>
      </c>
      <c r="K63" t="s">
        <v>337</v>
      </c>
      <c r="L63" t="str">
        <f>CONCATENATE(K63," ",J63)</f>
        <v>VICTOR FUENTES</v>
      </c>
      <c r="M63" t="s">
        <v>242</v>
      </c>
      <c r="N63" s="1">
        <v>45672</v>
      </c>
      <c r="O63" s="1">
        <v>46188</v>
      </c>
      <c r="Q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</row>
    <row r="64" spans="1:27" x14ac:dyDescent="0.25">
      <c r="A64">
        <v>2028020256</v>
      </c>
      <c r="B64" t="s">
        <v>804</v>
      </c>
      <c r="C64" t="s">
        <v>776</v>
      </c>
      <c r="F64" t="s">
        <v>146</v>
      </c>
      <c r="G64" t="s">
        <v>147</v>
      </c>
      <c r="I64">
        <v>649163</v>
      </c>
      <c r="J64" t="s">
        <v>775</v>
      </c>
      <c r="K64" t="s">
        <v>776</v>
      </c>
      <c r="L64" t="str">
        <f>CONCATENATE(K64," ",J64)</f>
        <v>DEBORAH INSKIPT</v>
      </c>
      <c r="M64" t="s">
        <v>242</v>
      </c>
      <c r="N64" s="1">
        <v>45748</v>
      </c>
      <c r="O64" s="1">
        <v>46188</v>
      </c>
      <c r="Q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</row>
    <row r="65" spans="1:27" x14ac:dyDescent="0.25">
      <c r="A65">
        <v>2028379892</v>
      </c>
      <c r="B65" t="s">
        <v>805</v>
      </c>
      <c r="C65" t="s">
        <v>806</v>
      </c>
      <c r="F65" t="s">
        <v>182</v>
      </c>
      <c r="G65" t="s">
        <v>183</v>
      </c>
      <c r="I65">
        <v>822865</v>
      </c>
      <c r="J65" t="s">
        <v>465</v>
      </c>
      <c r="K65" t="s">
        <v>466</v>
      </c>
      <c r="L65" t="str">
        <f>CONCATENATE(K65," ",J65)</f>
        <v>Kirk Tigue</v>
      </c>
      <c r="M65" t="s">
        <v>242</v>
      </c>
      <c r="N65" s="1">
        <v>45760</v>
      </c>
      <c r="O65" s="1">
        <v>46188</v>
      </c>
      <c r="Q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</row>
    <row r="66" spans="1:27" x14ac:dyDescent="0.25">
      <c r="A66">
        <v>2028941657</v>
      </c>
      <c r="B66" t="s">
        <v>750</v>
      </c>
      <c r="C66" t="s">
        <v>807</v>
      </c>
      <c r="F66" t="s">
        <v>182</v>
      </c>
      <c r="G66" t="s">
        <v>183</v>
      </c>
      <c r="I66">
        <v>822723</v>
      </c>
      <c r="J66" t="s">
        <v>486</v>
      </c>
      <c r="K66" t="s">
        <v>487</v>
      </c>
      <c r="L66" t="str">
        <f>CONCATENATE(K66," ",J66)</f>
        <v>Timothy Hodgman</v>
      </c>
      <c r="M66" t="s">
        <v>242</v>
      </c>
      <c r="N66" s="1">
        <v>45792</v>
      </c>
      <c r="O66" s="1">
        <v>46188</v>
      </c>
      <c r="Q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</row>
    <row r="67" spans="1:27" x14ac:dyDescent="0.25">
      <c r="A67">
        <v>2029034138</v>
      </c>
      <c r="B67" t="s">
        <v>469</v>
      </c>
      <c r="C67" t="s">
        <v>470</v>
      </c>
      <c r="F67" t="s">
        <v>146</v>
      </c>
      <c r="G67" t="s">
        <v>147</v>
      </c>
      <c r="I67">
        <v>649163</v>
      </c>
      <c r="J67" t="s">
        <v>385</v>
      </c>
      <c r="K67" t="s">
        <v>386</v>
      </c>
      <c r="L67" t="str">
        <f>CONCATENATE(K67," ",J67)</f>
        <v>Andrew Choi</v>
      </c>
      <c r="M67" t="s">
        <v>242</v>
      </c>
      <c r="N67" s="1">
        <v>45809</v>
      </c>
      <c r="O67" s="1">
        <v>46188</v>
      </c>
      <c r="Q67" s="2">
        <v>0</v>
      </c>
      <c r="W67" s="2">
        <v>488.84</v>
      </c>
      <c r="X67" s="2">
        <v>0</v>
      </c>
      <c r="Y67" s="2">
        <v>488.84</v>
      </c>
      <c r="Z67" s="2">
        <v>0</v>
      </c>
      <c r="AA67" s="2">
        <v>0</v>
      </c>
    </row>
    <row r="68" spans="1:27" x14ac:dyDescent="0.25">
      <c r="A68">
        <v>2029034139</v>
      </c>
      <c r="B68" t="s">
        <v>469</v>
      </c>
      <c r="C68" t="s">
        <v>470</v>
      </c>
      <c r="F68" t="s">
        <v>182</v>
      </c>
      <c r="G68" t="s">
        <v>183</v>
      </c>
      <c r="I68">
        <v>649163</v>
      </c>
      <c r="J68" t="s">
        <v>385</v>
      </c>
      <c r="K68" t="s">
        <v>386</v>
      </c>
      <c r="L68" t="str">
        <f>CONCATENATE(K68," ",J68)</f>
        <v>Andrew Choi</v>
      </c>
      <c r="M68" t="s">
        <v>242</v>
      </c>
      <c r="N68" s="1">
        <v>45809</v>
      </c>
      <c r="O68" s="1">
        <v>46188</v>
      </c>
      <c r="Q68" s="2">
        <v>0</v>
      </c>
      <c r="W68" s="2">
        <v>66.150000000000006</v>
      </c>
      <c r="X68" s="2">
        <v>0</v>
      </c>
      <c r="Y68" s="2">
        <v>66.150000000000006</v>
      </c>
      <c r="Z68" s="2">
        <v>0</v>
      </c>
      <c r="AA68" s="2">
        <v>0</v>
      </c>
    </row>
    <row r="69" spans="1:27" x14ac:dyDescent="0.25">
      <c r="A69">
        <v>2030519283</v>
      </c>
      <c r="B69" t="s">
        <v>808</v>
      </c>
      <c r="C69" t="s">
        <v>80</v>
      </c>
      <c r="F69" t="s">
        <v>182</v>
      </c>
      <c r="G69" t="s">
        <v>194</v>
      </c>
      <c r="I69">
        <v>824062</v>
      </c>
      <c r="J69" t="s">
        <v>385</v>
      </c>
      <c r="K69" t="s">
        <v>386</v>
      </c>
      <c r="L69" t="str">
        <f>CONCATENATE(K69," ",J69)</f>
        <v>Andrew Choi</v>
      </c>
      <c r="M69" t="s">
        <v>242</v>
      </c>
      <c r="N69" s="1">
        <v>45885</v>
      </c>
      <c r="O69" s="1">
        <v>46188</v>
      </c>
      <c r="Q69" s="2">
        <v>0</v>
      </c>
      <c r="W69" s="2">
        <v>1311.55</v>
      </c>
      <c r="X69" s="2">
        <v>0</v>
      </c>
      <c r="Y69" s="2">
        <v>1311.55</v>
      </c>
      <c r="Z69" s="2">
        <v>0</v>
      </c>
      <c r="AA69" s="2">
        <v>0</v>
      </c>
    </row>
    <row r="70" spans="1:27" x14ac:dyDescent="0.25">
      <c r="A70">
        <v>2031818851</v>
      </c>
      <c r="B70" t="s">
        <v>227</v>
      </c>
      <c r="C70" t="s">
        <v>767</v>
      </c>
      <c r="F70" t="s">
        <v>220</v>
      </c>
      <c r="G70" t="s">
        <v>764</v>
      </c>
      <c r="I70">
        <v>649163</v>
      </c>
      <c r="J70" t="s">
        <v>229</v>
      </c>
      <c r="K70" t="s">
        <v>230</v>
      </c>
      <c r="L70" t="str">
        <f>CONCATENATE(K70," ",J70)</f>
        <v>Marsha Sanderock</v>
      </c>
      <c r="M70" t="s">
        <v>242</v>
      </c>
      <c r="N70" s="1">
        <v>45962</v>
      </c>
      <c r="O70" s="1">
        <v>46188</v>
      </c>
      <c r="Q70" s="2">
        <v>0</v>
      </c>
      <c r="W70" s="2">
        <v>1166.1600000000001</v>
      </c>
      <c r="X70" s="2">
        <v>0</v>
      </c>
      <c r="Y70" s="2">
        <v>1166.1600000000001</v>
      </c>
      <c r="Z70" s="2">
        <v>0</v>
      </c>
      <c r="AA70" s="2">
        <v>0</v>
      </c>
    </row>
    <row r="71" spans="1:27" x14ac:dyDescent="0.25">
      <c r="A71">
        <v>2032669854</v>
      </c>
      <c r="B71" t="s">
        <v>330</v>
      </c>
      <c r="C71" t="s">
        <v>383</v>
      </c>
      <c r="F71" t="s">
        <v>146</v>
      </c>
      <c r="G71" t="s">
        <v>147</v>
      </c>
      <c r="I71">
        <v>649163</v>
      </c>
      <c r="J71" t="s">
        <v>321</v>
      </c>
      <c r="K71" t="s">
        <v>94</v>
      </c>
      <c r="L71" t="str">
        <f>CONCATENATE(K71," ",J71)</f>
        <v>ANDREA PETRUNGARO</v>
      </c>
      <c r="M71" t="s">
        <v>242</v>
      </c>
      <c r="N71" s="1">
        <v>46006</v>
      </c>
      <c r="O71" s="1">
        <v>46188</v>
      </c>
      <c r="Q71" s="2">
        <v>0</v>
      </c>
      <c r="W71" s="2">
        <v>123.66</v>
      </c>
      <c r="X71" s="2">
        <v>0</v>
      </c>
      <c r="Y71" s="2">
        <v>123.66</v>
      </c>
      <c r="Z71" s="2">
        <v>0</v>
      </c>
      <c r="AA71" s="2">
        <v>0</v>
      </c>
    </row>
    <row r="72" spans="1:27" x14ac:dyDescent="0.25">
      <c r="A72">
        <v>2032307207</v>
      </c>
      <c r="B72" t="s">
        <v>382</v>
      </c>
      <c r="C72" t="s">
        <v>383</v>
      </c>
      <c r="F72" t="s">
        <v>173</v>
      </c>
      <c r="G72" t="s">
        <v>174</v>
      </c>
      <c r="I72">
        <v>649163</v>
      </c>
      <c r="J72" t="s">
        <v>73</v>
      </c>
      <c r="K72" t="s">
        <v>116</v>
      </c>
      <c r="L72" t="str">
        <f>CONCATENATE(K72," ",J72)</f>
        <v>Richard Yale</v>
      </c>
      <c r="M72" t="s">
        <v>242</v>
      </c>
      <c r="N72" s="1">
        <v>46023</v>
      </c>
      <c r="O72" s="1">
        <v>46188</v>
      </c>
      <c r="Q72" s="2">
        <v>0</v>
      </c>
      <c r="W72" s="2">
        <v>859.14</v>
      </c>
      <c r="X72" s="2">
        <v>0</v>
      </c>
      <c r="Y72" s="2">
        <v>859.14</v>
      </c>
      <c r="Z72" s="2">
        <v>0</v>
      </c>
      <c r="AA72" s="2">
        <v>0</v>
      </c>
    </row>
    <row r="73" spans="1:27" x14ac:dyDescent="0.25">
      <c r="A73">
        <v>2032307208</v>
      </c>
      <c r="B73" t="s">
        <v>382</v>
      </c>
      <c r="C73" t="s">
        <v>383</v>
      </c>
      <c r="F73" t="s">
        <v>182</v>
      </c>
      <c r="G73" t="s">
        <v>183</v>
      </c>
      <c r="I73">
        <v>649163</v>
      </c>
      <c r="J73" t="s">
        <v>73</v>
      </c>
      <c r="K73" t="s">
        <v>116</v>
      </c>
      <c r="L73" t="str">
        <f>CONCATENATE(K73," ",J73)</f>
        <v>Richard Yale</v>
      </c>
      <c r="M73" t="s">
        <v>242</v>
      </c>
      <c r="N73" s="1">
        <v>46023</v>
      </c>
      <c r="O73" s="1">
        <v>46188</v>
      </c>
      <c r="Q73" s="2">
        <v>0</v>
      </c>
      <c r="W73" s="2">
        <v>296.94</v>
      </c>
      <c r="X73" s="2">
        <v>0</v>
      </c>
      <c r="Y73" s="2">
        <v>296.94</v>
      </c>
      <c r="Z73" s="2">
        <v>0</v>
      </c>
      <c r="AA73" s="2">
        <v>0</v>
      </c>
    </row>
    <row r="74" spans="1:27" x14ac:dyDescent="0.25">
      <c r="A74">
        <v>2032307209</v>
      </c>
      <c r="B74" t="s">
        <v>382</v>
      </c>
      <c r="C74" t="s">
        <v>383</v>
      </c>
      <c r="F74" t="s">
        <v>71</v>
      </c>
      <c r="G74" t="s">
        <v>72</v>
      </c>
      <c r="I74">
        <v>649163</v>
      </c>
      <c r="J74" t="s">
        <v>73</v>
      </c>
      <c r="K74" t="s">
        <v>116</v>
      </c>
      <c r="L74" t="str">
        <f>CONCATENATE(K74," ",J74)</f>
        <v>Richard Yale</v>
      </c>
      <c r="M74" t="s">
        <v>242</v>
      </c>
      <c r="N74" s="1">
        <v>46023</v>
      </c>
      <c r="O74" s="1">
        <v>46188</v>
      </c>
      <c r="Q74" s="2">
        <v>0</v>
      </c>
      <c r="W74" s="2">
        <v>149.1</v>
      </c>
      <c r="X74" s="2">
        <v>0</v>
      </c>
      <c r="Y74" s="2">
        <v>149.1</v>
      </c>
      <c r="Z74" s="2">
        <v>0</v>
      </c>
      <c r="AA74" s="2">
        <v>0</v>
      </c>
    </row>
    <row r="75" spans="1:27" x14ac:dyDescent="0.25">
      <c r="A75">
        <v>2032307210</v>
      </c>
      <c r="B75" t="s">
        <v>382</v>
      </c>
      <c r="C75" t="s">
        <v>383</v>
      </c>
      <c r="F75" t="s">
        <v>173</v>
      </c>
      <c r="G75" t="s">
        <v>177</v>
      </c>
      <c r="I75">
        <v>649163</v>
      </c>
      <c r="J75" t="s">
        <v>73</v>
      </c>
      <c r="K75" t="s">
        <v>116</v>
      </c>
      <c r="L75" t="str">
        <f>CONCATENATE(K75," ",J75)</f>
        <v>Richard Yale</v>
      </c>
      <c r="M75" t="s">
        <v>242</v>
      </c>
      <c r="N75" s="1">
        <v>46023</v>
      </c>
      <c r="O75" s="1">
        <v>46188</v>
      </c>
      <c r="Q75" s="2">
        <v>0</v>
      </c>
      <c r="W75" s="2">
        <v>16.14</v>
      </c>
      <c r="X75" s="2">
        <v>0</v>
      </c>
      <c r="Y75" s="2">
        <v>16.14</v>
      </c>
      <c r="Z75" s="2">
        <v>0</v>
      </c>
      <c r="AA75" s="2">
        <v>0</v>
      </c>
    </row>
    <row r="76" spans="1:27" x14ac:dyDescent="0.25">
      <c r="A76">
        <v>2032307211</v>
      </c>
      <c r="B76" t="s">
        <v>382</v>
      </c>
      <c r="C76" t="s">
        <v>383</v>
      </c>
      <c r="F76" t="s">
        <v>120</v>
      </c>
      <c r="G76" t="s">
        <v>121</v>
      </c>
      <c r="I76">
        <v>649163</v>
      </c>
      <c r="J76" t="s">
        <v>73</v>
      </c>
      <c r="K76" t="s">
        <v>116</v>
      </c>
      <c r="L76" t="str">
        <f>CONCATENATE(K76," ",J76)</f>
        <v>Richard Yale</v>
      </c>
      <c r="M76" t="s">
        <v>242</v>
      </c>
      <c r="N76" s="1">
        <v>46023</v>
      </c>
      <c r="O76" s="1">
        <v>46188</v>
      </c>
      <c r="Q76" s="2">
        <v>0</v>
      </c>
      <c r="W76" s="2">
        <v>34.200000000000003</v>
      </c>
      <c r="X76" s="2">
        <v>0</v>
      </c>
      <c r="Y76" s="2">
        <v>34.200000000000003</v>
      </c>
      <c r="Z76" s="2">
        <v>0</v>
      </c>
      <c r="AA76" s="2">
        <v>0</v>
      </c>
    </row>
    <row r="77" spans="1:27" x14ac:dyDescent="0.25">
      <c r="A77">
        <v>2032687969</v>
      </c>
      <c r="B77" t="s">
        <v>750</v>
      </c>
      <c r="C77" t="s">
        <v>812</v>
      </c>
      <c r="F77" t="s">
        <v>182</v>
      </c>
      <c r="G77" t="s">
        <v>183</v>
      </c>
      <c r="I77">
        <v>888536</v>
      </c>
      <c r="J77" t="s">
        <v>91</v>
      </c>
      <c r="K77" t="s">
        <v>795</v>
      </c>
      <c r="L77" t="str">
        <f>CONCATENATE(K77," ",J77)</f>
        <v>Jill Shepard</v>
      </c>
      <c r="M77" t="s">
        <v>242</v>
      </c>
      <c r="N77" s="1">
        <v>46023</v>
      </c>
      <c r="O77" s="1">
        <v>46188</v>
      </c>
      <c r="Q77" s="2">
        <v>0</v>
      </c>
      <c r="W77" s="2">
        <v>621.17999999999995</v>
      </c>
      <c r="X77" s="2">
        <v>0</v>
      </c>
      <c r="Y77" s="2">
        <v>621.17999999999995</v>
      </c>
      <c r="Z77" s="2">
        <v>0</v>
      </c>
      <c r="AA77" s="2">
        <v>0</v>
      </c>
    </row>
    <row r="78" spans="1:27" x14ac:dyDescent="0.25">
      <c r="A78">
        <v>2032687970</v>
      </c>
      <c r="B78" t="s">
        <v>750</v>
      </c>
      <c r="C78" t="s">
        <v>812</v>
      </c>
      <c r="F78" t="s">
        <v>146</v>
      </c>
      <c r="G78" t="s">
        <v>147</v>
      </c>
      <c r="I78">
        <v>888536</v>
      </c>
      <c r="J78" t="s">
        <v>91</v>
      </c>
      <c r="K78" t="s">
        <v>795</v>
      </c>
      <c r="L78" t="str">
        <f>CONCATENATE(K78," ",J78)</f>
        <v>Jill Shepard</v>
      </c>
      <c r="M78" t="s">
        <v>242</v>
      </c>
      <c r="N78" s="1">
        <v>46023</v>
      </c>
      <c r="O78" s="1">
        <v>46188</v>
      </c>
      <c r="Q78" s="2">
        <v>0</v>
      </c>
      <c r="W78" s="2">
        <v>367.26</v>
      </c>
      <c r="X78" s="2">
        <v>0</v>
      </c>
      <c r="Y78" s="2">
        <v>367.26</v>
      </c>
      <c r="Z78" s="2">
        <v>0</v>
      </c>
      <c r="AA78" s="2">
        <v>0</v>
      </c>
    </row>
    <row r="79" spans="1:27" x14ac:dyDescent="0.25">
      <c r="A79">
        <v>2032729941</v>
      </c>
      <c r="B79" t="s">
        <v>773</v>
      </c>
      <c r="C79" t="s">
        <v>774</v>
      </c>
      <c r="F79" t="s">
        <v>220</v>
      </c>
      <c r="G79" t="s">
        <v>223</v>
      </c>
      <c r="I79">
        <v>649163</v>
      </c>
      <c r="J79" t="s">
        <v>775</v>
      </c>
      <c r="K79" t="s">
        <v>776</v>
      </c>
      <c r="L79" t="str">
        <f>CONCATENATE(K79," ",J79)</f>
        <v>DEBORAH INSKIPT</v>
      </c>
      <c r="M79" t="s">
        <v>242</v>
      </c>
      <c r="N79" s="1">
        <v>46022</v>
      </c>
      <c r="O79" s="1">
        <v>46188</v>
      </c>
      <c r="Q79" s="2">
        <v>0</v>
      </c>
      <c r="W79" s="2">
        <v>353.82</v>
      </c>
      <c r="X79" s="2">
        <v>0</v>
      </c>
      <c r="Y79" s="2">
        <v>353.82</v>
      </c>
      <c r="Z79" s="2">
        <v>0</v>
      </c>
      <c r="AA79" s="2">
        <v>0</v>
      </c>
    </row>
    <row r="80" spans="1:27" x14ac:dyDescent="0.25">
      <c r="A80">
        <v>2032729942</v>
      </c>
      <c r="B80" t="s">
        <v>773</v>
      </c>
      <c r="C80" t="s">
        <v>774</v>
      </c>
      <c r="F80" t="s">
        <v>220</v>
      </c>
      <c r="G80" t="s">
        <v>222</v>
      </c>
      <c r="I80">
        <v>649163</v>
      </c>
      <c r="J80" t="s">
        <v>775</v>
      </c>
      <c r="K80" t="s">
        <v>776</v>
      </c>
      <c r="L80" t="str">
        <f>CONCATENATE(K80," ",J80)</f>
        <v>DEBORAH INSKIPT</v>
      </c>
      <c r="M80" t="s">
        <v>242</v>
      </c>
      <c r="N80" s="1">
        <v>46022</v>
      </c>
      <c r="O80" s="1">
        <v>46188</v>
      </c>
      <c r="Q80" s="2">
        <v>0</v>
      </c>
      <c r="W80" s="2">
        <v>5.67</v>
      </c>
      <c r="X80" s="2">
        <v>0</v>
      </c>
      <c r="Y80" s="2">
        <v>5.67</v>
      </c>
      <c r="Z80" s="2">
        <v>0</v>
      </c>
      <c r="AA80" s="2">
        <v>0</v>
      </c>
    </row>
    <row r="81" spans="1:27" x14ac:dyDescent="0.25">
      <c r="A81">
        <v>2032729943</v>
      </c>
      <c r="B81" t="s">
        <v>773</v>
      </c>
      <c r="C81" t="s">
        <v>774</v>
      </c>
      <c r="F81" t="s">
        <v>220</v>
      </c>
      <c r="G81" t="s">
        <v>222</v>
      </c>
      <c r="I81">
        <v>649163</v>
      </c>
      <c r="J81" t="s">
        <v>775</v>
      </c>
      <c r="K81" t="s">
        <v>776</v>
      </c>
      <c r="L81" t="str">
        <f>CONCATENATE(K81," ",J81)</f>
        <v>DEBORAH INSKIPT</v>
      </c>
      <c r="M81" t="s">
        <v>242</v>
      </c>
      <c r="N81" s="1">
        <v>46022</v>
      </c>
      <c r="O81" s="1">
        <v>46188</v>
      </c>
      <c r="Q81" s="2">
        <v>0</v>
      </c>
      <c r="W81" s="2">
        <v>2.85</v>
      </c>
      <c r="X81" s="2">
        <v>0</v>
      </c>
      <c r="Y81" s="2">
        <v>2.85</v>
      </c>
      <c r="Z81" s="2">
        <v>0</v>
      </c>
      <c r="AA81" s="2">
        <v>0</v>
      </c>
    </row>
    <row r="82" spans="1:27" x14ac:dyDescent="0.25">
      <c r="A82">
        <v>2032729944</v>
      </c>
      <c r="B82" t="s">
        <v>773</v>
      </c>
      <c r="C82" t="s">
        <v>774</v>
      </c>
      <c r="F82" t="s">
        <v>120</v>
      </c>
      <c r="G82" t="s">
        <v>132</v>
      </c>
      <c r="I82">
        <v>649163</v>
      </c>
      <c r="J82" t="s">
        <v>775</v>
      </c>
      <c r="K82" t="s">
        <v>776</v>
      </c>
      <c r="L82" t="str">
        <f>CONCATENATE(K82," ",J82)</f>
        <v>DEBORAH INSKIPT</v>
      </c>
      <c r="M82" t="s">
        <v>242</v>
      </c>
      <c r="N82" s="1">
        <v>46022</v>
      </c>
      <c r="O82" s="1">
        <v>46188</v>
      </c>
      <c r="Q82" s="2">
        <v>0</v>
      </c>
      <c r="W82" s="2">
        <v>8.5500000000000007</v>
      </c>
      <c r="X82" s="2">
        <v>0</v>
      </c>
      <c r="Y82" s="2">
        <v>8.5500000000000007</v>
      </c>
      <c r="Z82" s="2">
        <v>0</v>
      </c>
      <c r="AA82" s="2">
        <v>0</v>
      </c>
    </row>
  </sheetData>
  <sortState xmlns:xlrd2="http://schemas.microsoft.com/office/spreadsheetml/2017/richdata2" ref="A37:AY51">
    <sortCondition ref="L37:L5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06BAC-0EDF-4D67-B317-9876073D0DFC}">
  <dimension ref="A1:BA86"/>
  <sheetViews>
    <sheetView tabSelected="1" topLeftCell="I1" workbookViewId="0">
      <selection activeCell="Y54" sqref="Y54"/>
    </sheetView>
  </sheetViews>
  <sheetFormatPr defaultRowHeight="15" x14ac:dyDescent="0.25"/>
  <cols>
    <col min="1" max="1" width="11.5703125" customWidth="1"/>
    <col min="8" max="9" width="34.28515625" customWidth="1"/>
    <col min="10" max="10" width="11.5703125" customWidth="1"/>
    <col min="11" max="11" width="12.5703125" bestFit="1" customWidth="1"/>
    <col min="16" max="16" width="11.85546875" customWidth="1"/>
    <col min="17" max="17" width="10.42578125" customWidth="1"/>
    <col min="18" max="18" width="11.140625" customWidth="1"/>
    <col min="24" max="24" width="11" customWidth="1"/>
    <col min="25" max="25" width="11.85546875" customWidth="1"/>
    <col min="27" max="27" width="11.85546875" customWidth="1"/>
  </cols>
  <sheetData>
    <row r="1" spans="1:53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21</v>
      </c>
      <c r="H1" t="s">
        <v>9</v>
      </c>
      <c r="J1" t="s">
        <v>10</v>
      </c>
      <c r="L1" t="s">
        <v>11</v>
      </c>
      <c r="M1" t="s">
        <v>12</v>
      </c>
      <c r="O1" t="s">
        <v>13</v>
      </c>
      <c r="P1" t="s">
        <v>14</v>
      </c>
      <c r="Q1" t="s">
        <v>16</v>
      </c>
      <c r="R1" t="s">
        <v>17</v>
      </c>
      <c r="S1" t="s">
        <v>18</v>
      </c>
      <c r="T1" t="s">
        <v>19</v>
      </c>
      <c r="U1" t="s">
        <v>24</v>
      </c>
      <c r="V1" t="s">
        <v>25</v>
      </c>
      <c r="W1" t="s">
        <v>26</v>
      </c>
      <c r="X1" t="s">
        <v>27</v>
      </c>
      <c r="Y1" t="s">
        <v>37</v>
      </c>
      <c r="Z1" t="s">
        <v>38</v>
      </c>
      <c r="AA1" t="s">
        <v>39</v>
      </c>
    </row>
    <row r="2" spans="1:53" s="5" customFormat="1" x14ac:dyDescent="0.25">
      <c r="A2" s="5">
        <v>2035971526</v>
      </c>
      <c r="B2" s="5" t="s">
        <v>135</v>
      </c>
      <c r="C2" s="5" t="s">
        <v>136</v>
      </c>
      <c r="D2" s="5" t="str">
        <f>CONCATENATE(C2," ",B2)</f>
        <v>YVETTE SEXTON</v>
      </c>
      <c r="E2" s="5" t="s">
        <v>77</v>
      </c>
      <c r="F2" s="5" t="s">
        <v>173</v>
      </c>
      <c r="G2" s="18">
        <v>0.38</v>
      </c>
      <c r="H2" s="5" t="s">
        <v>174</v>
      </c>
      <c r="I2" s="5" t="s">
        <v>174</v>
      </c>
      <c r="J2" s="20">
        <v>17554531</v>
      </c>
      <c r="K2" s="20" t="str">
        <f>CONCATENATE(J2,"AV6")</f>
        <v>17554531AV6</v>
      </c>
      <c r="L2" s="5" t="s">
        <v>137</v>
      </c>
      <c r="M2" s="5" t="s">
        <v>138</v>
      </c>
      <c r="N2" s="5" t="str">
        <f>CONCATENATE(M2," ",L2)</f>
        <v>Brittany Oliver</v>
      </c>
      <c r="O2" s="5" t="s">
        <v>57</v>
      </c>
      <c r="P2" s="6">
        <v>46164</v>
      </c>
      <c r="Q2" s="6">
        <v>46195</v>
      </c>
      <c r="R2" s="7">
        <v>217.56</v>
      </c>
      <c r="S2" s="5">
        <v>1</v>
      </c>
      <c r="T2" s="5" t="s">
        <v>58</v>
      </c>
      <c r="U2" s="5" t="s">
        <v>60</v>
      </c>
      <c r="V2" s="5" t="s">
        <v>61</v>
      </c>
      <c r="W2" s="5">
        <v>6</v>
      </c>
      <c r="X2" s="7">
        <v>496.02</v>
      </c>
      <c r="Y2" s="7">
        <v>82.67</v>
      </c>
      <c r="Z2" s="7">
        <v>0</v>
      </c>
      <c r="AA2" s="7">
        <v>496.02</v>
      </c>
      <c r="AB2" s="5" t="s">
        <v>1069</v>
      </c>
      <c r="AC2" s="5" t="s">
        <v>1063</v>
      </c>
    </row>
    <row r="3" spans="1:53" s="5" customFormat="1" x14ac:dyDescent="0.25">
      <c r="A3" s="5">
        <v>2035861703</v>
      </c>
      <c r="B3" s="5" t="s">
        <v>126</v>
      </c>
      <c r="C3" s="5" t="s">
        <v>127</v>
      </c>
      <c r="D3" s="5" t="str">
        <f t="shared" ref="D3:D66" si="0">CONCATENATE(C3," ",B3)</f>
        <v>JENNIFER UJIIYE</v>
      </c>
      <c r="E3" s="5" t="s">
        <v>119</v>
      </c>
      <c r="F3" s="5" t="s">
        <v>173</v>
      </c>
      <c r="G3" s="18">
        <v>0.38</v>
      </c>
      <c r="H3" s="5" t="s">
        <v>174</v>
      </c>
      <c r="I3" s="5" t="s">
        <v>174</v>
      </c>
      <c r="J3" s="20">
        <v>8325282</v>
      </c>
      <c r="K3" s="20" t="str">
        <f t="shared" ref="K3:K30" si="1">CONCATENATE(J3,"AV6")</f>
        <v>8325282AV6</v>
      </c>
      <c r="L3" s="5" t="s">
        <v>128</v>
      </c>
      <c r="M3" s="5" t="s">
        <v>129</v>
      </c>
      <c r="N3" s="5" t="str">
        <f>CONCATENATE(M3," ",L3)</f>
        <v>Dale Walenga</v>
      </c>
      <c r="O3" s="5" t="s">
        <v>57</v>
      </c>
      <c r="P3" s="6">
        <v>46190</v>
      </c>
      <c r="Q3" s="6">
        <v>46220</v>
      </c>
      <c r="R3" s="7">
        <v>371.07</v>
      </c>
      <c r="S3" s="5">
        <v>1</v>
      </c>
      <c r="T3" s="5" t="s">
        <v>58</v>
      </c>
      <c r="U3" s="5" t="s">
        <v>60</v>
      </c>
      <c r="V3" s="5" t="s">
        <v>61</v>
      </c>
      <c r="W3" s="5">
        <v>6</v>
      </c>
      <c r="X3" s="7">
        <v>846.06</v>
      </c>
      <c r="Y3" s="7">
        <v>141.01</v>
      </c>
      <c r="Z3" s="7">
        <v>0</v>
      </c>
      <c r="AA3" s="7">
        <v>846.06</v>
      </c>
      <c r="AB3" s="5" t="s">
        <v>1069</v>
      </c>
      <c r="AC3" s="5" t="s">
        <v>1063</v>
      </c>
      <c r="BA3"/>
    </row>
    <row r="4" spans="1:53" s="5" customFormat="1" x14ac:dyDescent="0.25">
      <c r="A4" s="5">
        <v>2035417102</v>
      </c>
      <c r="B4" s="5" t="s">
        <v>117</v>
      </c>
      <c r="C4" s="5" t="s">
        <v>118</v>
      </c>
      <c r="D4" s="5" t="str">
        <f t="shared" si="0"/>
        <v>KRISTIN CAMPOS</v>
      </c>
      <c r="E4" s="5" t="s">
        <v>119</v>
      </c>
      <c r="F4" s="5" t="s">
        <v>173</v>
      </c>
      <c r="G4" s="18">
        <v>0.38</v>
      </c>
      <c r="H4" s="5" t="s">
        <v>174</v>
      </c>
      <c r="I4" s="5" t="s">
        <v>174</v>
      </c>
      <c r="J4" s="20">
        <v>8814784</v>
      </c>
      <c r="K4" s="20" t="str">
        <f t="shared" si="1"/>
        <v>8814784AV6</v>
      </c>
      <c r="L4" s="5" t="s">
        <v>122</v>
      </c>
      <c r="M4" s="5" t="s">
        <v>123</v>
      </c>
      <c r="N4" s="5" t="str">
        <f>CONCATENATE(M4," ",L4)</f>
        <v>FRANK LISKOVEC</v>
      </c>
      <c r="O4" s="5" t="s">
        <v>57</v>
      </c>
      <c r="P4" s="6">
        <v>46186</v>
      </c>
      <c r="Q4" s="6">
        <v>46216</v>
      </c>
      <c r="R4" s="7">
        <v>486.8</v>
      </c>
      <c r="S4" s="5">
        <v>1</v>
      </c>
      <c r="T4" s="5" t="s">
        <v>58</v>
      </c>
      <c r="U4" s="5" t="s">
        <v>60</v>
      </c>
      <c r="V4" s="5" t="s">
        <v>61</v>
      </c>
      <c r="W4" s="5">
        <v>6</v>
      </c>
      <c r="X4" s="7">
        <v>1109.8800000000001</v>
      </c>
      <c r="Y4" s="7">
        <v>184.98</v>
      </c>
      <c r="Z4" s="7">
        <v>0</v>
      </c>
      <c r="AA4" s="7">
        <v>1109.8800000000001</v>
      </c>
      <c r="AB4" s="5" t="s">
        <v>1069</v>
      </c>
      <c r="AC4" s="5" t="s">
        <v>1063</v>
      </c>
      <c r="BA4"/>
    </row>
    <row r="5" spans="1:53" s="5" customFormat="1" x14ac:dyDescent="0.25">
      <c r="A5" s="5">
        <v>2036008589</v>
      </c>
      <c r="B5" s="5" t="s">
        <v>139</v>
      </c>
      <c r="C5" s="5" t="s">
        <v>140</v>
      </c>
      <c r="D5" s="5" t="str">
        <f t="shared" si="0"/>
        <v>STEFANOS LEKKAS</v>
      </c>
      <c r="E5" s="5" t="s">
        <v>119</v>
      </c>
      <c r="F5" s="5" t="s">
        <v>173</v>
      </c>
      <c r="G5" s="18">
        <v>0.19</v>
      </c>
      <c r="H5" s="5" t="s">
        <v>181</v>
      </c>
      <c r="I5" s="5" t="s">
        <v>1010</v>
      </c>
      <c r="J5" s="20">
        <v>17094718</v>
      </c>
      <c r="K5" s="20" t="str">
        <f t="shared" si="1"/>
        <v>17094718AV6</v>
      </c>
      <c r="L5" s="5" t="s">
        <v>142</v>
      </c>
      <c r="M5" s="5" t="s">
        <v>80</v>
      </c>
      <c r="N5" s="5" t="str">
        <f>CONCATENATE(M5," ",L5)</f>
        <v>GREGORY HANSFORD</v>
      </c>
      <c r="O5" s="5" t="s">
        <v>57</v>
      </c>
      <c r="P5" s="6">
        <v>46186</v>
      </c>
      <c r="Q5" s="6">
        <v>46216</v>
      </c>
      <c r="R5" s="7">
        <v>100.48</v>
      </c>
      <c r="S5" s="5">
        <v>1</v>
      </c>
      <c r="T5" s="5" t="s">
        <v>58</v>
      </c>
      <c r="U5" s="5" t="s">
        <v>60</v>
      </c>
      <c r="V5" s="5" t="s">
        <v>61</v>
      </c>
      <c r="W5" s="5">
        <v>6</v>
      </c>
      <c r="X5" s="7">
        <v>114.54</v>
      </c>
      <c r="Y5" s="7">
        <v>19.09</v>
      </c>
      <c r="Z5" s="7">
        <v>0</v>
      </c>
      <c r="AA5" s="7">
        <v>114.54</v>
      </c>
      <c r="AB5" s="5" t="s">
        <v>1069</v>
      </c>
      <c r="AC5" s="5" t="s">
        <v>1063</v>
      </c>
      <c r="BA5"/>
    </row>
    <row r="6" spans="1:53" x14ac:dyDescent="0.25">
      <c r="A6" s="5">
        <v>2035971528</v>
      </c>
      <c r="B6" s="5" t="s">
        <v>135</v>
      </c>
      <c r="C6" s="5" t="s">
        <v>136</v>
      </c>
      <c r="D6" s="5" t="str">
        <f t="shared" si="0"/>
        <v>YVETTE SEXTON</v>
      </c>
      <c r="E6" s="5" t="s">
        <v>77</v>
      </c>
      <c r="F6" s="5" t="s">
        <v>173</v>
      </c>
      <c r="G6" s="18">
        <v>0.38</v>
      </c>
      <c r="H6" s="5" t="s">
        <v>177</v>
      </c>
      <c r="I6" s="5" t="s">
        <v>174</v>
      </c>
      <c r="J6" s="20">
        <v>17554531</v>
      </c>
      <c r="K6" s="20" t="str">
        <f t="shared" si="1"/>
        <v>17554531AV6</v>
      </c>
      <c r="L6" s="5" t="s">
        <v>137</v>
      </c>
      <c r="M6" s="5" t="s">
        <v>138</v>
      </c>
      <c r="N6" s="5" t="str">
        <f>CONCATENATE(M6," ",L6)</f>
        <v>Brittany Oliver</v>
      </c>
      <c r="O6" s="5" t="s">
        <v>57</v>
      </c>
      <c r="P6" s="6">
        <v>46164</v>
      </c>
      <c r="Q6" s="6">
        <v>46195</v>
      </c>
      <c r="R6" s="7">
        <v>9.9499999999999993</v>
      </c>
      <c r="S6" s="5">
        <v>1</v>
      </c>
      <c r="T6" s="5" t="s">
        <v>58</v>
      </c>
      <c r="U6" s="5" t="s">
        <v>60</v>
      </c>
      <c r="V6" s="5" t="s">
        <v>61</v>
      </c>
      <c r="W6" s="5">
        <v>6</v>
      </c>
      <c r="X6" s="7">
        <v>22.68</v>
      </c>
      <c r="Y6" s="7">
        <v>3.78</v>
      </c>
      <c r="Z6" s="7">
        <v>0</v>
      </c>
      <c r="AA6" s="7">
        <v>22.68</v>
      </c>
      <c r="AB6" s="5" t="s">
        <v>1069</v>
      </c>
      <c r="AC6" s="5" t="s">
        <v>1063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3" x14ac:dyDescent="0.25">
      <c r="A7" s="5">
        <v>2036008591</v>
      </c>
      <c r="B7" s="5" t="s">
        <v>139</v>
      </c>
      <c r="C7" s="5" t="s">
        <v>140</v>
      </c>
      <c r="D7" s="5" t="str">
        <f t="shared" si="0"/>
        <v>STEFANOS LEKKAS</v>
      </c>
      <c r="E7" s="5" t="s">
        <v>119</v>
      </c>
      <c r="F7" s="5" t="s">
        <v>173</v>
      </c>
      <c r="G7" s="18">
        <v>0.38</v>
      </c>
      <c r="H7" s="5" t="s">
        <v>177</v>
      </c>
      <c r="I7" s="5" t="s">
        <v>174</v>
      </c>
      <c r="J7" s="20">
        <v>17094718</v>
      </c>
      <c r="K7" s="20" t="str">
        <f t="shared" si="1"/>
        <v>17094718AV6</v>
      </c>
      <c r="L7" s="5" t="s">
        <v>142</v>
      </c>
      <c r="M7" s="5" t="s">
        <v>80</v>
      </c>
      <c r="N7" s="5" t="str">
        <f>CONCATENATE(M7," ",L7)</f>
        <v>GREGORY HANSFORD</v>
      </c>
      <c r="O7" s="5" t="s">
        <v>57</v>
      </c>
      <c r="P7" s="6">
        <v>46186</v>
      </c>
      <c r="Q7" s="6">
        <v>46216</v>
      </c>
      <c r="R7" s="7">
        <v>9.9499999999999993</v>
      </c>
      <c r="S7" s="5">
        <v>1</v>
      </c>
      <c r="T7" s="5" t="s">
        <v>58</v>
      </c>
      <c r="U7" s="5" t="s">
        <v>60</v>
      </c>
      <c r="V7" s="5" t="s">
        <v>61</v>
      </c>
      <c r="W7" s="5">
        <v>6</v>
      </c>
      <c r="X7" s="7">
        <v>22.68</v>
      </c>
      <c r="Y7" s="7">
        <v>3.78</v>
      </c>
      <c r="Z7" s="7">
        <v>0</v>
      </c>
      <c r="AA7" s="7">
        <v>22.68</v>
      </c>
      <c r="AB7" s="5" t="s">
        <v>1069</v>
      </c>
      <c r="AC7" s="5" t="s">
        <v>1063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3" x14ac:dyDescent="0.25">
      <c r="A8" s="5">
        <v>2035991295</v>
      </c>
      <c r="B8" s="5" t="s">
        <v>109</v>
      </c>
      <c r="C8" s="5" t="s">
        <v>110</v>
      </c>
      <c r="D8" s="5" t="str">
        <f t="shared" si="0"/>
        <v>WALTER GROSS</v>
      </c>
      <c r="E8" s="5" t="s">
        <v>111</v>
      </c>
      <c r="F8" s="5" t="s">
        <v>71</v>
      </c>
      <c r="G8" s="18">
        <v>0.75</v>
      </c>
      <c r="H8" s="5" t="s">
        <v>72</v>
      </c>
      <c r="I8" s="5" t="s">
        <v>996</v>
      </c>
      <c r="J8" s="20">
        <v>8046194</v>
      </c>
      <c r="K8" s="20" t="str">
        <f t="shared" si="1"/>
        <v>8046194AV6</v>
      </c>
      <c r="L8" s="5" t="s">
        <v>112</v>
      </c>
      <c r="M8" s="5" t="s">
        <v>113</v>
      </c>
      <c r="N8" s="5" t="str">
        <f>CONCATENATE(M8," ",L8)</f>
        <v>H Allan</v>
      </c>
      <c r="O8" s="5" t="s">
        <v>57</v>
      </c>
      <c r="P8" s="6">
        <v>46191</v>
      </c>
      <c r="Q8" s="6">
        <v>46221</v>
      </c>
      <c r="R8" s="7">
        <v>13.1</v>
      </c>
      <c r="S8" s="5">
        <v>1</v>
      </c>
      <c r="T8" s="5" t="s">
        <v>58</v>
      </c>
      <c r="U8" s="5" t="s">
        <v>60</v>
      </c>
      <c r="V8" s="5" t="s">
        <v>61</v>
      </c>
      <c r="W8" s="5">
        <v>6</v>
      </c>
      <c r="X8" s="7">
        <v>58.92</v>
      </c>
      <c r="Y8" s="7">
        <v>9.82</v>
      </c>
      <c r="Z8" s="7">
        <v>0</v>
      </c>
      <c r="AA8" s="7">
        <v>58.92</v>
      </c>
      <c r="AB8" s="5" t="s">
        <v>1069</v>
      </c>
      <c r="AC8" s="5" t="s">
        <v>1063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 spans="1:53" x14ac:dyDescent="0.25">
      <c r="A9" s="5">
        <v>2036017844</v>
      </c>
      <c r="B9" s="5" t="s">
        <v>114</v>
      </c>
      <c r="C9" s="5" t="s">
        <v>115</v>
      </c>
      <c r="D9" s="5" t="str">
        <f t="shared" si="0"/>
        <v>DOMINIC DELIMA</v>
      </c>
      <c r="E9" s="5" t="s">
        <v>70</v>
      </c>
      <c r="F9" s="5" t="s">
        <v>71</v>
      </c>
      <c r="G9" s="18">
        <v>0.9</v>
      </c>
      <c r="H9" s="5" t="s">
        <v>78</v>
      </c>
      <c r="I9" s="5" t="s">
        <v>997</v>
      </c>
      <c r="J9" s="20">
        <v>16633294</v>
      </c>
      <c r="K9" s="20" t="str">
        <f t="shared" si="1"/>
        <v>16633294AV6</v>
      </c>
      <c r="L9" s="5" t="s">
        <v>73</v>
      </c>
      <c r="M9" s="5" t="s">
        <v>116</v>
      </c>
      <c r="N9" s="5" t="str">
        <f>CONCATENATE(M9," ",L9)</f>
        <v>Richard Yale</v>
      </c>
      <c r="O9" s="5" t="s">
        <v>57</v>
      </c>
      <c r="P9" s="6">
        <v>46204</v>
      </c>
      <c r="Q9" s="6">
        <v>46235</v>
      </c>
      <c r="R9" s="7">
        <v>63.17</v>
      </c>
      <c r="S9" s="5">
        <v>1</v>
      </c>
      <c r="T9" s="5" t="s">
        <v>58</v>
      </c>
      <c r="U9" s="5" t="s">
        <v>60</v>
      </c>
      <c r="V9" s="5" t="s">
        <v>61</v>
      </c>
      <c r="W9" s="5">
        <v>6</v>
      </c>
      <c r="X9" s="7">
        <v>341.1</v>
      </c>
      <c r="Y9" s="7">
        <v>56.85</v>
      </c>
      <c r="Z9" s="7">
        <v>0</v>
      </c>
      <c r="AA9" s="7">
        <v>341.1</v>
      </c>
      <c r="AB9" s="5" t="s">
        <v>1069</v>
      </c>
      <c r="AC9" s="5" t="s">
        <v>1063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 x14ac:dyDescent="0.25">
      <c r="A10" s="5">
        <v>2035971527</v>
      </c>
      <c r="B10" s="5" t="s">
        <v>135</v>
      </c>
      <c r="C10" s="5" t="s">
        <v>136</v>
      </c>
      <c r="D10" s="5" t="str">
        <f t="shared" si="0"/>
        <v>YVETTE SEXTON</v>
      </c>
      <c r="E10" s="5" t="s">
        <v>77</v>
      </c>
      <c r="F10" s="5" t="s">
        <v>182</v>
      </c>
      <c r="G10" s="18">
        <v>0.42</v>
      </c>
      <c r="H10" s="5" t="s">
        <v>197</v>
      </c>
      <c r="I10" s="5" t="s">
        <v>197</v>
      </c>
      <c r="J10" s="20">
        <v>17554531</v>
      </c>
      <c r="K10" s="20" t="str">
        <f t="shared" si="1"/>
        <v>17554531AV6</v>
      </c>
      <c r="L10" s="5" t="s">
        <v>137</v>
      </c>
      <c r="M10" s="5" t="s">
        <v>138</v>
      </c>
      <c r="N10" s="5" t="str">
        <f>CONCATENATE(M10," ",L10)</f>
        <v>Brittany Oliver</v>
      </c>
      <c r="O10" s="5" t="s">
        <v>57</v>
      </c>
      <c r="P10" s="6">
        <v>46164</v>
      </c>
      <c r="Q10" s="6">
        <v>46195</v>
      </c>
      <c r="R10" s="7">
        <v>26.5</v>
      </c>
      <c r="S10" s="5">
        <v>1</v>
      </c>
      <c r="T10" s="5" t="s">
        <v>58</v>
      </c>
      <c r="U10" s="5" t="s">
        <v>60</v>
      </c>
      <c r="V10" s="5" t="s">
        <v>61</v>
      </c>
      <c r="W10" s="5">
        <v>6</v>
      </c>
      <c r="X10" s="7">
        <v>66.78</v>
      </c>
      <c r="Y10" s="7">
        <v>11.13</v>
      </c>
      <c r="Z10" s="7">
        <v>0</v>
      </c>
      <c r="AA10" s="7">
        <v>66.78</v>
      </c>
      <c r="AB10" s="5" t="s">
        <v>1069</v>
      </c>
      <c r="AC10" s="5" t="s">
        <v>1063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1" spans="1:53" x14ac:dyDescent="0.25">
      <c r="A11" s="5">
        <v>2035971529</v>
      </c>
      <c r="B11" s="5" t="s">
        <v>135</v>
      </c>
      <c r="C11" s="5" t="s">
        <v>136</v>
      </c>
      <c r="D11" s="5" t="str">
        <f t="shared" si="0"/>
        <v>YVETTE SEXTON</v>
      </c>
      <c r="E11" s="5" t="s">
        <v>77</v>
      </c>
      <c r="F11" s="5" t="s">
        <v>120</v>
      </c>
      <c r="G11" s="18">
        <v>0.38</v>
      </c>
      <c r="H11" s="5" t="s">
        <v>121</v>
      </c>
      <c r="I11" s="5" t="s">
        <v>121</v>
      </c>
      <c r="J11" s="20">
        <v>17554531</v>
      </c>
      <c r="K11" s="20" t="str">
        <f t="shared" si="1"/>
        <v>17554531AV6</v>
      </c>
      <c r="L11" s="5" t="s">
        <v>137</v>
      </c>
      <c r="M11" s="5" t="s">
        <v>138</v>
      </c>
      <c r="N11" s="5" t="str">
        <f>CONCATENATE(M11," ",L11)</f>
        <v>Brittany Oliver</v>
      </c>
      <c r="O11" s="5" t="s">
        <v>57</v>
      </c>
      <c r="P11" s="6">
        <v>46164</v>
      </c>
      <c r="Q11" s="6">
        <v>46195</v>
      </c>
      <c r="R11" s="7">
        <v>15</v>
      </c>
      <c r="S11" s="5">
        <v>1</v>
      </c>
      <c r="T11" s="5" t="s">
        <v>58</v>
      </c>
      <c r="U11" s="5" t="s">
        <v>60</v>
      </c>
      <c r="V11" s="5" t="s">
        <v>61</v>
      </c>
      <c r="W11" s="5">
        <v>6</v>
      </c>
      <c r="X11" s="7">
        <v>34.200000000000003</v>
      </c>
      <c r="Y11" s="7">
        <v>5.7</v>
      </c>
      <c r="Z11" s="7">
        <v>0</v>
      </c>
      <c r="AA11" s="7">
        <v>34.200000000000003</v>
      </c>
      <c r="AB11" s="5" t="s">
        <v>1069</v>
      </c>
      <c r="AC11" s="5" t="s">
        <v>1063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3" x14ac:dyDescent="0.25">
      <c r="A12" s="5">
        <v>2035861704</v>
      </c>
      <c r="B12" s="5" t="s">
        <v>126</v>
      </c>
      <c r="C12" s="5" t="s">
        <v>127</v>
      </c>
      <c r="D12" s="5" t="str">
        <f t="shared" si="0"/>
        <v>JENNIFER UJIIYE</v>
      </c>
      <c r="E12" s="5" t="s">
        <v>119</v>
      </c>
      <c r="F12" s="5" t="s">
        <v>120</v>
      </c>
      <c r="G12" s="18">
        <v>0.38</v>
      </c>
      <c r="H12" s="5" t="s">
        <v>121</v>
      </c>
      <c r="I12" s="5" t="s">
        <v>121</v>
      </c>
      <c r="J12" s="20">
        <v>8325282</v>
      </c>
      <c r="K12" s="20" t="str">
        <f t="shared" si="1"/>
        <v>8325282AV6</v>
      </c>
      <c r="L12" s="5" t="s">
        <v>128</v>
      </c>
      <c r="M12" s="5" t="s">
        <v>129</v>
      </c>
      <c r="N12" s="5" t="str">
        <f>CONCATENATE(M12," ",L12)</f>
        <v>Dale Walenga</v>
      </c>
      <c r="O12" s="5" t="s">
        <v>57</v>
      </c>
      <c r="P12" s="6">
        <v>46190</v>
      </c>
      <c r="Q12" s="6">
        <v>46220</v>
      </c>
      <c r="R12" s="7">
        <v>15</v>
      </c>
      <c r="S12" s="5">
        <v>1</v>
      </c>
      <c r="T12" s="5" t="s">
        <v>58</v>
      </c>
      <c r="U12" s="5" t="s">
        <v>60</v>
      </c>
      <c r="V12" s="5" t="s">
        <v>61</v>
      </c>
      <c r="W12" s="5">
        <v>6</v>
      </c>
      <c r="X12" s="7">
        <v>34.200000000000003</v>
      </c>
      <c r="Y12" s="7">
        <v>5.7</v>
      </c>
      <c r="Z12" s="7">
        <v>0</v>
      </c>
      <c r="AA12" s="7">
        <v>34.200000000000003</v>
      </c>
      <c r="AB12" s="5" t="s">
        <v>1069</v>
      </c>
      <c r="AC12" s="5" t="s">
        <v>1063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3" x14ac:dyDescent="0.25">
      <c r="A13" s="5">
        <v>2035417103</v>
      </c>
      <c r="B13" s="5" t="s">
        <v>117</v>
      </c>
      <c r="C13" s="5" t="s">
        <v>118</v>
      </c>
      <c r="D13" s="5" t="str">
        <f t="shared" si="0"/>
        <v>KRISTIN CAMPOS</v>
      </c>
      <c r="E13" s="5" t="s">
        <v>119</v>
      </c>
      <c r="F13" s="5" t="s">
        <v>120</v>
      </c>
      <c r="G13" s="18">
        <v>0.38</v>
      </c>
      <c r="H13" s="5" t="s">
        <v>121</v>
      </c>
      <c r="I13" s="5" t="s">
        <v>121</v>
      </c>
      <c r="J13" s="20">
        <v>8814784</v>
      </c>
      <c r="K13" s="20" t="str">
        <f t="shared" si="1"/>
        <v>8814784AV6</v>
      </c>
      <c r="L13" s="5" t="s">
        <v>122</v>
      </c>
      <c r="M13" s="5" t="s">
        <v>123</v>
      </c>
      <c r="N13" s="5" t="str">
        <f>CONCATENATE(M13," ",L13)</f>
        <v>FRANK LISKOVEC</v>
      </c>
      <c r="O13" s="5" t="s">
        <v>57</v>
      </c>
      <c r="P13" s="6">
        <v>46186</v>
      </c>
      <c r="Q13" s="6">
        <v>46216</v>
      </c>
      <c r="R13" s="7">
        <v>15</v>
      </c>
      <c r="S13" s="5">
        <v>1</v>
      </c>
      <c r="T13" s="5" t="s">
        <v>58</v>
      </c>
      <c r="U13" s="5" t="s">
        <v>60</v>
      </c>
      <c r="V13" s="5" t="s">
        <v>61</v>
      </c>
      <c r="W13" s="5">
        <v>6</v>
      </c>
      <c r="X13" s="7">
        <v>34.200000000000003</v>
      </c>
      <c r="Y13" s="7">
        <v>5.7</v>
      </c>
      <c r="Z13" s="7">
        <v>0</v>
      </c>
      <c r="AA13" s="7">
        <v>34.200000000000003</v>
      </c>
      <c r="AB13" s="5" t="s">
        <v>1069</v>
      </c>
      <c r="AC13" s="5" t="s">
        <v>1063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3" x14ac:dyDescent="0.25">
      <c r="A14" s="5">
        <v>2036008592</v>
      </c>
      <c r="B14" s="5" t="s">
        <v>139</v>
      </c>
      <c r="C14" s="5" t="s">
        <v>140</v>
      </c>
      <c r="D14" s="5" t="str">
        <f t="shared" si="0"/>
        <v>STEFANOS LEKKAS</v>
      </c>
      <c r="E14" s="5" t="s">
        <v>119</v>
      </c>
      <c r="F14" s="5" t="s">
        <v>120</v>
      </c>
      <c r="G14" s="18">
        <v>0.19</v>
      </c>
      <c r="H14" s="5" t="s">
        <v>141</v>
      </c>
      <c r="I14" s="5" t="s">
        <v>817</v>
      </c>
      <c r="J14" s="20">
        <v>17094718</v>
      </c>
      <c r="K14" s="20" t="str">
        <f t="shared" si="1"/>
        <v>17094718AV6</v>
      </c>
      <c r="L14" s="5" t="s">
        <v>142</v>
      </c>
      <c r="M14" s="5" t="s">
        <v>80</v>
      </c>
      <c r="N14" s="5" t="str">
        <f>CONCATENATE(M14," ",L14)</f>
        <v>GREGORY HANSFORD</v>
      </c>
      <c r="O14" s="5" t="s">
        <v>57</v>
      </c>
      <c r="P14" s="6">
        <v>46186</v>
      </c>
      <c r="Q14" s="6">
        <v>46216</v>
      </c>
      <c r="R14" s="7">
        <v>15</v>
      </c>
      <c r="S14" s="5">
        <v>1</v>
      </c>
      <c r="T14" s="5" t="s">
        <v>58</v>
      </c>
      <c r="U14" s="5" t="s">
        <v>60</v>
      </c>
      <c r="V14" s="5" t="s">
        <v>61</v>
      </c>
      <c r="W14" s="5">
        <v>6</v>
      </c>
      <c r="X14" s="7">
        <v>17.100000000000001</v>
      </c>
      <c r="Y14" s="7">
        <v>2.85</v>
      </c>
      <c r="Z14" s="7">
        <v>0</v>
      </c>
      <c r="AA14" s="7">
        <v>17.100000000000001</v>
      </c>
      <c r="AB14" s="5" t="s">
        <v>1069</v>
      </c>
      <c r="AC14" s="5" t="s">
        <v>1063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3" x14ac:dyDescent="0.25">
      <c r="A15" s="5">
        <v>2035954544</v>
      </c>
      <c r="B15" s="5" t="s">
        <v>150</v>
      </c>
      <c r="C15" s="5" t="s">
        <v>151</v>
      </c>
      <c r="D15" s="5" t="str">
        <f t="shared" si="0"/>
        <v>DANIELLE LAFONTAINE</v>
      </c>
      <c r="E15" s="5" t="s">
        <v>95</v>
      </c>
      <c r="F15" s="5" t="s">
        <v>182</v>
      </c>
      <c r="G15" s="18">
        <v>0.7</v>
      </c>
      <c r="H15" s="5" t="s">
        <v>183</v>
      </c>
      <c r="I15" s="5" t="s">
        <v>183</v>
      </c>
      <c r="J15" s="20">
        <v>21592282</v>
      </c>
      <c r="K15" s="20" t="str">
        <f t="shared" si="1"/>
        <v>21592282AV6</v>
      </c>
      <c r="L15" s="5" t="s">
        <v>152</v>
      </c>
      <c r="M15" s="5" t="s">
        <v>153</v>
      </c>
      <c r="N15" s="5" t="str">
        <f>CONCATENATE(M15," ",L15)</f>
        <v>Danielle Lafontaine</v>
      </c>
      <c r="O15" s="5" t="s">
        <v>57</v>
      </c>
      <c r="P15" s="6">
        <v>46184</v>
      </c>
      <c r="Q15" s="6">
        <v>46214</v>
      </c>
      <c r="R15" s="7">
        <v>12.64</v>
      </c>
      <c r="S15" s="5">
        <v>1</v>
      </c>
      <c r="T15" s="5" t="s">
        <v>58</v>
      </c>
      <c r="U15" s="5" t="s">
        <v>60</v>
      </c>
      <c r="V15" s="5" t="s">
        <v>61</v>
      </c>
      <c r="W15" s="5">
        <v>6</v>
      </c>
      <c r="X15" s="7">
        <v>53.1</v>
      </c>
      <c r="Y15" s="7">
        <v>8.85</v>
      </c>
      <c r="Z15" s="7">
        <v>0</v>
      </c>
      <c r="AA15" s="7">
        <v>53.1</v>
      </c>
      <c r="AB15" s="5" t="s">
        <v>1069</v>
      </c>
      <c r="AC15" s="5" t="s">
        <v>1063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3" s="5" customFormat="1" x14ac:dyDescent="0.25">
      <c r="A16" s="5">
        <v>2036008590</v>
      </c>
      <c r="B16" s="5" t="s">
        <v>139</v>
      </c>
      <c r="C16" s="5" t="s">
        <v>140</v>
      </c>
      <c r="D16" s="5" t="str">
        <f t="shared" si="0"/>
        <v>STEFANOS LEKKAS</v>
      </c>
      <c r="E16" s="5" t="s">
        <v>119</v>
      </c>
      <c r="F16" s="5" t="s">
        <v>182</v>
      </c>
      <c r="G16" s="18">
        <v>0.7</v>
      </c>
      <c r="H16" s="5" t="s">
        <v>183</v>
      </c>
      <c r="I16" s="5" t="s">
        <v>183</v>
      </c>
      <c r="J16" s="20">
        <v>17094718</v>
      </c>
      <c r="K16" s="20" t="str">
        <f t="shared" si="1"/>
        <v>17094718AV6</v>
      </c>
      <c r="L16" s="5" t="s">
        <v>142</v>
      </c>
      <c r="M16" s="5" t="s">
        <v>80</v>
      </c>
      <c r="N16" s="5" t="str">
        <f>CONCATENATE(M16," ",L16)</f>
        <v>GREGORY HANSFORD</v>
      </c>
      <c r="O16" s="5" t="s">
        <v>57</v>
      </c>
      <c r="P16" s="6">
        <v>46186</v>
      </c>
      <c r="Q16" s="6">
        <v>46216</v>
      </c>
      <c r="R16" s="7">
        <v>95.92</v>
      </c>
      <c r="S16" s="5">
        <v>1</v>
      </c>
      <c r="T16" s="5" t="s">
        <v>58</v>
      </c>
      <c r="U16" s="5" t="s">
        <v>60</v>
      </c>
      <c r="V16" s="5" t="s">
        <v>61</v>
      </c>
      <c r="W16" s="5">
        <v>6</v>
      </c>
      <c r="X16" s="7">
        <v>402.84</v>
      </c>
      <c r="Y16" s="7">
        <v>67.14</v>
      </c>
      <c r="Z16" s="7">
        <v>0</v>
      </c>
      <c r="AA16" s="7">
        <v>402.84</v>
      </c>
      <c r="AB16" s="5" t="s">
        <v>1069</v>
      </c>
      <c r="AC16" s="5" t="s">
        <v>1063</v>
      </c>
      <c r="BA16"/>
    </row>
    <row r="17" spans="1:53" s="5" customFormat="1" x14ac:dyDescent="0.25">
      <c r="A17" s="5">
        <v>2035991296</v>
      </c>
      <c r="B17" s="5" t="s">
        <v>109</v>
      </c>
      <c r="C17" s="5" t="s">
        <v>110</v>
      </c>
      <c r="D17" s="5" t="str">
        <f t="shared" si="0"/>
        <v>WALTER GROSS</v>
      </c>
      <c r="E17" s="5" t="s">
        <v>111</v>
      </c>
      <c r="F17" s="5" t="s">
        <v>182</v>
      </c>
      <c r="G17" s="18">
        <v>0.7</v>
      </c>
      <c r="H17" s="5" t="s">
        <v>183</v>
      </c>
      <c r="I17" s="5" t="s">
        <v>183</v>
      </c>
      <c r="J17" s="20">
        <v>8046194</v>
      </c>
      <c r="K17" s="20" t="str">
        <f t="shared" si="1"/>
        <v>8046194AV6</v>
      </c>
      <c r="L17" s="5" t="s">
        <v>112</v>
      </c>
      <c r="M17" s="5" t="s">
        <v>113</v>
      </c>
      <c r="N17" s="5" t="str">
        <f>CONCATENATE(M17," ",L17)</f>
        <v>H Allan</v>
      </c>
      <c r="O17" s="5" t="s">
        <v>57</v>
      </c>
      <c r="P17" s="6">
        <v>46191</v>
      </c>
      <c r="Q17" s="6">
        <v>46221</v>
      </c>
      <c r="R17" s="7">
        <v>21.08</v>
      </c>
      <c r="S17" s="5">
        <v>1</v>
      </c>
      <c r="T17" s="5" t="s">
        <v>58</v>
      </c>
      <c r="U17" s="5" t="s">
        <v>60</v>
      </c>
      <c r="V17" s="5" t="s">
        <v>61</v>
      </c>
      <c r="W17" s="5">
        <v>6</v>
      </c>
      <c r="X17" s="7">
        <v>88.56</v>
      </c>
      <c r="Y17" s="7">
        <v>14.76</v>
      </c>
      <c r="Z17" s="7">
        <v>0</v>
      </c>
      <c r="AA17" s="7">
        <v>88.56</v>
      </c>
      <c r="AB17" s="5" t="s">
        <v>1069</v>
      </c>
      <c r="AC17" s="5" t="s">
        <v>1063</v>
      </c>
      <c r="BA17"/>
    </row>
    <row r="18" spans="1:53" s="5" customFormat="1" x14ac:dyDescent="0.25">
      <c r="A18" s="5">
        <v>2035801965</v>
      </c>
      <c r="B18" s="5" t="s">
        <v>187</v>
      </c>
      <c r="C18" s="5" t="s">
        <v>188</v>
      </c>
      <c r="D18" s="5" t="str">
        <f t="shared" si="0"/>
        <v>ROBIN BERRY</v>
      </c>
      <c r="E18" s="5" t="s">
        <v>119</v>
      </c>
      <c r="F18" s="5" t="s">
        <v>182</v>
      </c>
      <c r="G18" s="18">
        <v>0.7</v>
      </c>
      <c r="H18" s="5" t="s">
        <v>183</v>
      </c>
      <c r="I18" s="5" t="s">
        <v>183</v>
      </c>
      <c r="J18" s="20">
        <v>8812322</v>
      </c>
      <c r="K18" s="20" t="str">
        <f t="shared" si="1"/>
        <v>8812322AV6</v>
      </c>
      <c r="L18" s="5" t="s">
        <v>189</v>
      </c>
      <c r="M18" s="5" t="s">
        <v>190</v>
      </c>
      <c r="N18" s="5" t="str">
        <f>CONCATENATE(M18," ",L18)</f>
        <v>Matthew Sherman</v>
      </c>
      <c r="O18" s="5" t="s">
        <v>57</v>
      </c>
      <c r="P18" s="6">
        <v>46186</v>
      </c>
      <c r="Q18" s="6">
        <v>46216</v>
      </c>
      <c r="R18" s="7">
        <v>92.38</v>
      </c>
      <c r="S18" s="5">
        <v>1</v>
      </c>
      <c r="T18" s="5" t="s">
        <v>58</v>
      </c>
      <c r="U18" s="5" t="s">
        <v>60</v>
      </c>
      <c r="V18" s="5" t="s">
        <v>61</v>
      </c>
      <c r="W18" s="5">
        <v>6</v>
      </c>
      <c r="X18" s="7">
        <v>388.02</v>
      </c>
      <c r="Y18" s="7">
        <v>64.67</v>
      </c>
      <c r="Z18" s="7">
        <v>0</v>
      </c>
      <c r="AA18" s="7">
        <v>388.02</v>
      </c>
      <c r="AB18" s="5" t="s">
        <v>1069</v>
      </c>
      <c r="AC18" s="5" t="s">
        <v>1063</v>
      </c>
    </row>
    <row r="19" spans="1:53" s="5" customFormat="1" x14ac:dyDescent="0.25">
      <c r="A19" s="5">
        <v>2036006274</v>
      </c>
      <c r="B19" s="5" t="s">
        <v>214</v>
      </c>
      <c r="C19" s="5" t="s">
        <v>215</v>
      </c>
      <c r="D19" s="5" t="str">
        <f t="shared" si="0"/>
        <v>OYUNERDENE MCCOY</v>
      </c>
      <c r="E19" s="5" t="s">
        <v>119</v>
      </c>
      <c r="F19" s="5" t="s">
        <v>182</v>
      </c>
      <c r="G19" s="18">
        <v>0.7</v>
      </c>
      <c r="H19" s="5" t="s">
        <v>183</v>
      </c>
      <c r="I19" s="5" t="s">
        <v>183</v>
      </c>
      <c r="J19" s="20">
        <v>20220688</v>
      </c>
      <c r="K19" s="20" t="str">
        <f t="shared" si="1"/>
        <v>20220688AV6</v>
      </c>
      <c r="L19" s="5" t="s">
        <v>216</v>
      </c>
      <c r="M19" s="5" t="s">
        <v>217</v>
      </c>
      <c r="N19" s="5" t="str">
        <f>CONCATENATE(M19," ",L19)</f>
        <v>NASANDELGER ZANA</v>
      </c>
      <c r="O19" s="5" t="s">
        <v>57</v>
      </c>
      <c r="P19" s="6">
        <v>46186</v>
      </c>
      <c r="Q19" s="6">
        <v>46216</v>
      </c>
      <c r="R19" s="7">
        <v>78.400000000000006</v>
      </c>
      <c r="S19" s="5">
        <v>1</v>
      </c>
      <c r="T19" s="5" t="s">
        <v>58</v>
      </c>
      <c r="U19" s="5" t="s">
        <v>60</v>
      </c>
      <c r="V19" s="5" t="s">
        <v>61</v>
      </c>
      <c r="W19" s="5">
        <v>6</v>
      </c>
      <c r="X19" s="7">
        <v>329.28</v>
      </c>
      <c r="Y19" s="7">
        <v>54.88</v>
      </c>
      <c r="Z19" s="7">
        <v>0</v>
      </c>
      <c r="AA19" s="7">
        <v>329.28</v>
      </c>
      <c r="AB19" s="5" t="s">
        <v>1069</v>
      </c>
      <c r="AC19" s="5" t="s">
        <v>1063</v>
      </c>
    </row>
    <row r="20" spans="1:53" x14ac:dyDescent="0.25">
      <c r="A20" s="5">
        <v>2036017843</v>
      </c>
      <c r="B20" s="5" t="s">
        <v>114</v>
      </c>
      <c r="C20" s="5" t="s">
        <v>115</v>
      </c>
      <c r="D20" s="5" t="str">
        <f t="shared" si="0"/>
        <v>DOMINIC DELIMA</v>
      </c>
      <c r="E20" s="5" t="s">
        <v>70</v>
      </c>
      <c r="F20" s="5" t="s">
        <v>182</v>
      </c>
      <c r="G20" s="18">
        <v>0.7</v>
      </c>
      <c r="H20" s="5" t="s">
        <v>183</v>
      </c>
      <c r="I20" s="5" t="s">
        <v>183</v>
      </c>
      <c r="J20" s="20">
        <v>16633294</v>
      </c>
      <c r="K20" s="20" t="str">
        <f t="shared" si="1"/>
        <v>16633294AV6</v>
      </c>
      <c r="L20" s="5" t="s">
        <v>73</v>
      </c>
      <c r="M20" s="5" t="s">
        <v>116</v>
      </c>
      <c r="N20" s="5" t="str">
        <f>CONCATENATE(M20," ",L20)</f>
        <v>Richard Yale</v>
      </c>
      <c r="O20" s="5" t="s">
        <v>57</v>
      </c>
      <c r="P20" s="6">
        <v>46204</v>
      </c>
      <c r="Q20" s="6">
        <v>46235</v>
      </c>
      <c r="R20" s="7">
        <v>55.45</v>
      </c>
      <c r="S20" s="5">
        <v>1</v>
      </c>
      <c r="T20" s="5" t="s">
        <v>58</v>
      </c>
      <c r="U20" s="5" t="s">
        <v>60</v>
      </c>
      <c r="V20" s="5" t="s">
        <v>61</v>
      </c>
      <c r="W20" s="5">
        <v>6</v>
      </c>
      <c r="X20" s="7">
        <v>232.92</v>
      </c>
      <c r="Y20" s="7">
        <v>38.82</v>
      </c>
      <c r="Z20" s="7">
        <v>0</v>
      </c>
      <c r="AA20" s="7">
        <v>232.92</v>
      </c>
      <c r="AB20" s="5" t="s">
        <v>1069</v>
      </c>
      <c r="AC20" s="5" t="s">
        <v>1063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3" s="5" customFormat="1" x14ac:dyDescent="0.25">
      <c r="A21" s="5">
        <v>2036009070</v>
      </c>
      <c r="B21" s="5" t="s">
        <v>168</v>
      </c>
      <c r="C21" s="5" t="s">
        <v>169</v>
      </c>
      <c r="D21" s="5" t="str">
        <f t="shared" si="0"/>
        <v>CONRAD SIMO</v>
      </c>
      <c r="E21" s="5" t="s">
        <v>170</v>
      </c>
      <c r="F21" s="5" t="s">
        <v>182</v>
      </c>
      <c r="G21" s="18">
        <v>0.7</v>
      </c>
      <c r="H21" s="5" t="s">
        <v>183</v>
      </c>
      <c r="I21" s="5" t="s">
        <v>183</v>
      </c>
      <c r="J21" s="20">
        <v>371819</v>
      </c>
      <c r="K21" s="20" t="str">
        <f t="shared" si="1"/>
        <v>371819AV6</v>
      </c>
      <c r="L21" s="5" t="s">
        <v>171</v>
      </c>
      <c r="M21" s="5" t="s">
        <v>172</v>
      </c>
      <c r="N21" s="5" t="str">
        <f>CONCATENATE(M21," ",L21)</f>
        <v>THOMAS PARDUE</v>
      </c>
      <c r="O21" s="5" t="s">
        <v>57</v>
      </c>
      <c r="P21" s="6">
        <v>46186</v>
      </c>
      <c r="Q21" s="6">
        <v>46216</v>
      </c>
      <c r="R21" s="7">
        <v>94.85</v>
      </c>
      <c r="S21" s="5">
        <v>1</v>
      </c>
      <c r="T21" s="5" t="s">
        <v>58</v>
      </c>
      <c r="U21" s="5" t="s">
        <v>60</v>
      </c>
      <c r="V21" s="5" t="s">
        <v>61</v>
      </c>
      <c r="W21" s="5">
        <v>6</v>
      </c>
      <c r="X21" s="7">
        <v>398.4</v>
      </c>
      <c r="Y21" s="7">
        <v>66.400000000000006</v>
      </c>
      <c r="Z21" s="7">
        <v>0</v>
      </c>
      <c r="AA21" s="7">
        <v>398.4</v>
      </c>
      <c r="AB21" s="5" t="s">
        <v>1069</v>
      </c>
      <c r="AC21" s="5" t="s">
        <v>1063</v>
      </c>
      <c r="BA21"/>
    </row>
    <row r="22" spans="1:53" s="5" customFormat="1" x14ac:dyDescent="0.25">
      <c r="A22" s="5">
        <v>2035954543</v>
      </c>
      <c r="B22" s="5" t="s">
        <v>150</v>
      </c>
      <c r="C22" s="5" t="s">
        <v>151</v>
      </c>
      <c r="D22" s="5" t="str">
        <f t="shared" si="0"/>
        <v>DANIELLE LAFONTAINE</v>
      </c>
      <c r="E22" s="5" t="s">
        <v>95</v>
      </c>
      <c r="F22" s="5" t="s">
        <v>146</v>
      </c>
      <c r="G22" s="19">
        <v>0.375</v>
      </c>
      <c r="H22" s="5" t="s">
        <v>147</v>
      </c>
      <c r="I22" s="5" t="s">
        <v>147</v>
      </c>
      <c r="J22" s="20">
        <v>21592282</v>
      </c>
      <c r="K22" s="20" t="str">
        <f t="shared" si="1"/>
        <v>21592282AV6</v>
      </c>
      <c r="L22" s="5" t="s">
        <v>152</v>
      </c>
      <c r="M22" s="5" t="s">
        <v>153</v>
      </c>
      <c r="N22" s="5" t="str">
        <f>CONCATENATE(M22," ",L22)</f>
        <v>Danielle Lafontaine</v>
      </c>
      <c r="O22" s="5" t="s">
        <v>57</v>
      </c>
      <c r="P22" s="6">
        <v>46184</v>
      </c>
      <c r="Q22" s="6">
        <v>46214</v>
      </c>
      <c r="R22" s="7">
        <v>73.17</v>
      </c>
      <c r="S22" s="5">
        <v>1</v>
      </c>
      <c r="T22" s="5" t="s">
        <v>58</v>
      </c>
      <c r="U22" s="5" t="s">
        <v>60</v>
      </c>
      <c r="V22" s="5" t="s">
        <v>61</v>
      </c>
      <c r="W22" s="5">
        <v>6</v>
      </c>
      <c r="X22" s="7">
        <v>164.64</v>
      </c>
      <c r="Y22" s="7">
        <v>27.44</v>
      </c>
      <c r="Z22" s="7">
        <v>0</v>
      </c>
      <c r="AA22" s="7">
        <v>164.64</v>
      </c>
      <c r="AB22" s="5" t="s">
        <v>1069</v>
      </c>
      <c r="AC22" s="5" t="s">
        <v>1063</v>
      </c>
      <c r="BA22"/>
    </row>
    <row r="23" spans="1:53" s="5" customFormat="1" x14ac:dyDescent="0.25">
      <c r="A23" s="5">
        <v>2035988154</v>
      </c>
      <c r="B23" s="5" t="s">
        <v>163</v>
      </c>
      <c r="C23" s="5" t="s">
        <v>164</v>
      </c>
      <c r="D23" s="5" t="str">
        <f t="shared" si="0"/>
        <v>TAMERA BURLEIGH</v>
      </c>
      <c r="E23" s="5" t="s">
        <v>165</v>
      </c>
      <c r="F23" s="5" t="s">
        <v>146</v>
      </c>
      <c r="G23" s="19">
        <v>0.375</v>
      </c>
      <c r="H23" s="5" t="s">
        <v>147</v>
      </c>
      <c r="I23" s="5" t="s">
        <v>147</v>
      </c>
      <c r="J23" s="20">
        <v>21777079</v>
      </c>
      <c r="K23" s="20" t="str">
        <f t="shared" si="1"/>
        <v>21777079AV6</v>
      </c>
      <c r="L23" s="5" t="s">
        <v>166</v>
      </c>
      <c r="M23" s="5" t="s">
        <v>167</v>
      </c>
      <c r="N23" s="5" t="str">
        <f>CONCATENATE(M23," ",L23)</f>
        <v>Makena Booker</v>
      </c>
      <c r="O23" s="5" t="s">
        <v>57</v>
      </c>
      <c r="P23" s="6">
        <v>46204</v>
      </c>
      <c r="Q23" s="6">
        <v>46235</v>
      </c>
      <c r="R23" s="7">
        <v>42.22</v>
      </c>
      <c r="S23" s="5">
        <v>1</v>
      </c>
      <c r="T23" s="5" t="s">
        <v>58</v>
      </c>
      <c r="U23" s="5" t="s">
        <v>60</v>
      </c>
      <c r="V23" s="5" t="s">
        <v>61</v>
      </c>
      <c r="W23" s="5">
        <v>6</v>
      </c>
      <c r="X23" s="7">
        <v>94.98</v>
      </c>
      <c r="Y23" s="7">
        <v>15.83</v>
      </c>
      <c r="Z23" s="7">
        <v>0</v>
      </c>
      <c r="AA23" s="7">
        <v>94.98</v>
      </c>
      <c r="AB23" s="5" t="s">
        <v>1069</v>
      </c>
      <c r="AC23" s="5" t="s">
        <v>1063</v>
      </c>
      <c r="BA23"/>
    </row>
    <row r="24" spans="1:53" s="5" customFormat="1" x14ac:dyDescent="0.25">
      <c r="A24" s="5">
        <v>2036017842</v>
      </c>
      <c r="B24" s="5" t="s">
        <v>114</v>
      </c>
      <c r="C24" s="5" t="s">
        <v>115</v>
      </c>
      <c r="D24" s="5" t="str">
        <f t="shared" si="0"/>
        <v>DOMINIC DELIMA</v>
      </c>
      <c r="E24" s="5" t="s">
        <v>70</v>
      </c>
      <c r="F24" s="5" t="s">
        <v>146</v>
      </c>
      <c r="G24" s="19">
        <v>0.375</v>
      </c>
      <c r="H24" s="5" t="s">
        <v>147</v>
      </c>
      <c r="I24" s="5" t="s">
        <v>147</v>
      </c>
      <c r="J24" s="20">
        <v>16633294</v>
      </c>
      <c r="K24" s="20" t="str">
        <f t="shared" si="1"/>
        <v>16633294AV6</v>
      </c>
      <c r="L24" s="5" t="s">
        <v>73</v>
      </c>
      <c r="M24" s="5" t="s">
        <v>116</v>
      </c>
      <c r="N24" s="5" t="str">
        <f>CONCATENATE(M24," ",L24)</f>
        <v>Richard Yale</v>
      </c>
      <c r="O24" s="5" t="s">
        <v>57</v>
      </c>
      <c r="P24" s="6">
        <v>46204</v>
      </c>
      <c r="Q24" s="6">
        <v>46235</v>
      </c>
      <c r="R24" s="7">
        <v>22.26</v>
      </c>
      <c r="S24" s="5">
        <v>1</v>
      </c>
      <c r="T24" s="5" t="s">
        <v>58</v>
      </c>
      <c r="U24" s="5" t="s">
        <v>60</v>
      </c>
      <c r="V24" s="5" t="s">
        <v>61</v>
      </c>
      <c r="W24" s="5">
        <v>6</v>
      </c>
      <c r="X24" s="7">
        <v>50.1</v>
      </c>
      <c r="Y24" s="7">
        <v>8.35</v>
      </c>
      <c r="Z24" s="7">
        <v>0</v>
      </c>
      <c r="AA24" s="7">
        <v>50.1</v>
      </c>
      <c r="AB24" s="5" t="s">
        <v>1069</v>
      </c>
      <c r="AC24" s="5" t="s">
        <v>1063</v>
      </c>
      <c r="BA24"/>
    </row>
    <row r="25" spans="1:53" s="5" customFormat="1" x14ac:dyDescent="0.25">
      <c r="A25" s="5">
        <v>2036009071</v>
      </c>
      <c r="B25" s="5" t="s">
        <v>168</v>
      </c>
      <c r="C25" s="5" t="s">
        <v>169</v>
      </c>
      <c r="D25" s="5" t="str">
        <f t="shared" si="0"/>
        <v>CONRAD SIMO</v>
      </c>
      <c r="E25" s="5" t="s">
        <v>170</v>
      </c>
      <c r="F25" s="5" t="s">
        <v>146</v>
      </c>
      <c r="G25" s="19">
        <v>0.375</v>
      </c>
      <c r="H25" s="5" t="s">
        <v>147</v>
      </c>
      <c r="I25" s="5" t="s">
        <v>147</v>
      </c>
      <c r="J25" s="20">
        <v>371819</v>
      </c>
      <c r="K25" s="20" t="str">
        <f t="shared" si="1"/>
        <v>371819AV6</v>
      </c>
      <c r="L25" s="5" t="s">
        <v>171</v>
      </c>
      <c r="M25" s="5" t="s">
        <v>172</v>
      </c>
      <c r="N25" s="5" t="str">
        <f>CONCATENATE(M25," ",L25)</f>
        <v>THOMAS PARDUE</v>
      </c>
      <c r="O25" s="5" t="s">
        <v>57</v>
      </c>
      <c r="P25" s="6">
        <v>46186</v>
      </c>
      <c r="Q25" s="6">
        <v>46216</v>
      </c>
      <c r="R25" s="7">
        <v>25.44</v>
      </c>
      <c r="S25" s="5">
        <v>1</v>
      </c>
      <c r="T25" s="5" t="s">
        <v>58</v>
      </c>
      <c r="U25" s="5" t="s">
        <v>60</v>
      </c>
      <c r="V25" s="5" t="s">
        <v>61</v>
      </c>
      <c r="W25" s="5">
        <v>6</v>
      </c>
      <c r="X25" s="7">
        <v>57.24</v>
      </c>
      <c r="Y25" s="7">
        <v>9.5399999999999991</v>
      </c>
      <c r="Z25" s="7">
        <v>0</v>
      </c>
      <c r="AA25" s="7">
        <v>57.24</v>
      </c>
      <c r="AB25" s="5" t="s">
        <v>1069</v>
      </c>
      <c r="AC25" s="5" t="s">
        <v>1063</v>
      </c>
      <c r="BA25"/>
    </row>
    <row r="26" spans="1:53" s="5" customFormat="1" x14ac:dyDescent="0.25">
      <c r="A26" s="5">
        <v>2035947542</v>
      </c>
      <c r="B26" s="5" t="s">
        <v>210</v>
      </c>
      <c r="C26" s="5" t="s">
        <v>211</v>
      </c>
      <c r="D26" s="5" t="str">
        <f t="shared" si="0"/>
        <v>JOAO YAVA</v>
      </c>
      <c r="E26" s="5" t="s">
        <v>212</v>
      </c>
      <c r="F26" s="5" t="s">
        <v>182</v>
      </c>
      <c r="G26" s="18">
        <v>0.9</v>
      </c>
      <c r="H26" s="5" t="s">
        <v>194</v>
      </c>
      <c r="I26" s="5" t="s">
        <v>194</v>
      </c>
      <c r="J26" s="20">
        <v>8046194</v>
      </c>
      <c r="K26" s="20" t="str">
        <f t="shared" si="1"/>
        <v>8046194AV6</v>
      </c>
      <c r="L26" s="5" t="s">
        <v>112</v>
      </c>
      <c r="M26" s="5" t="s">
        <v>113</v>
      </c>
      <c r="N26" s="5" t="str">
        <f>CONCATENATE(M26," ",L26)</f>
        <v>H Allan</v>
      </c>
      <c r="O26" s="5" t="s">
        <v>57</v>
      </c>
      <c r="P26" s="6">
        <v>46189</v>
      </c>
      <c r="Q26" s="6">
        <v>46219</v>
      </c>
      <c r="R26" s="7">
        <v>64.92</v>
      </c>
      <c r="S26" s="5">
        <v>1</v>
      </c>
      <c r="T26" s="5" t="s">
        <v>58</v>
      </c>
      <c r="U26" s="5" t="s">
        <v>60</v>
      </c>
      <c r="V26" s="5" t="s">
        <v>61</v>
      </c>
      <c r="W26" s="5">
        <v>6</v>
      </c>
      <c r="X26" s="7">
        <v>350.58</v>
      </c>
      <c r="Y26" s="7">
        <v>58.43</v>
      </c>
      <c r="Z26" s="7">
        <v>0</v>
      </c>
      <c r="AA26" s="7">
        <v>350.58</v>
      </c>
      <c r="AB26" s="5" t="s">
        <v>1069</v>
      </c>
      <c r="AC26" s="5" t="s">
        <v>1063</v>
      </c>
      <c r="BA26"/>
    </row>
    <row r="27" spans="1:53" x14ac:dyDescent="0.25">
      <c r="A27" s="5">
        <v>2035947667</v>
      </c>
      <c r="B27" s="5" t="s">
        <v>210</v>
      </c>
      <c r="C27" s="5" t="s">
        <v>213</v>
      </c>
      <c r="D27" s="5" t="str">
        <f t="shared" si="0"/>
        <v>JACQUELINA YAVA</v>
      </c>
      <c r="E27" s="5" t="s">
        <v>212</v>
      </c>
      <c r="F27" s="5" t="s">
        <v>182</v>
      </c>
      <c r="G27" s="18">
        <v>0.9</v>
      </c>
      <c r="H27" s="5" t="s">
        <v>194</v>
      </c>
      <c r="I27" s="5" t="s">
        <v>194</v>
      </c>
      <c r="J27" s="20">
        <v>8046194</v>
      </c>
      <c r="K27" s="20" t="str">
        <f t="shared" si="1"/>
        <v>8046194AV6</v>
      </c>
      <c r="L27" s="5" t="s">
        <v>112</v>
      </c>
      <c r="M27" s="5" t="s">
        <v>113</v>
      </c>
      <c r="N27" s="5" t="str">
        <f>CONCATENATE(M27," ",L27)</f>
        <v>H Allan</v>
      </c>
      <c r="O27" s="5" t="s">
        <v>57</v>
      </c>
      <c r="P27" s="6">
        <v>46183</v>
      </c>
      <c r="Q27" s="6">
        <v>46213</v>
      </c>
      <c r="R27" s="7">
        <v>39.83</v>
      </c>
      <c r="S27" s="5">
        <v>1</v>
      </c>
      <c r="T27" s="5" t="s">
        <v>58</v>
      </c>
      <c r="U27" s="5" t="s">
        <v>60</v>
      </c>
      <c r="V27" s="5" t="s">
        <v>61</v>
      </c>
      <c r="W27" s="5">
        <v>6</v>
      </c>
      <c r="X27" s="7">
        <v>215.1</v>
      </c>
      <c r="Y27" s="7">
        <v>35.85</v>
      </c>
      <c r="Z27" s="7">
        <v>0</v>
      </c>
      <c r="AA27" s="7">
        <v>215.1</v>
      </c>
      <c r="AB27" s="5" t="s">
        <v>1069</v>
      </c>
      <c r="AC27" s="5" t="s">
        <v>1063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3" x14ac:dyDescent="0.25">
      <c r="A28" s="5">
        <v>2035991297</v>
      </c>
      <c r="B28" s="5" t="s">
        <v>109</v>
      </c>
      <c r="C28" s="5" t="s">
        <v>110</v>
      </c>
      <c r="D28" s="5" t="str">
        <f t="shared" si="0"/>
        <v>WALTER GROSS</v>
      </c>
      <c r="E28" s="5" t="s">
        <v>111</v>
      </c>
      <c r="F28" s="5" t="s">
        <v>182</v>
      </c>
      <c r="G28" s="18">
        <v>0.9</v>
      </c>
      <c r="H28" s="5" t="s">
        <v>194</v>
      </c>
      <c r="I28" s="5" t="s">
        <v>194</v>
      </c>
      <c r="J28" s="20">
        <v>8046194</v>
      </c>
      <c r="K28" s="20" t="str">
        <f t="shared" si="1"/>
        <v>8046194AV6</v>
      </c>
      <c r="L28" s="5" t="s">
        <v>112</v>
      </c>
      <c r="M28" s="5" t="s">
        <v>113</v>
      </c>
      <c r="N28" s="5" t="str">
        <f>CONCATENATE(M28," ",L28)</f>
        <v>H Allan</v>
      </c>
      <c r="O28" s="5" t="s">
        <v>57</v>
      </c>
      <c r="P28" s="6">
        <v>46191</v>
      </c>
      <c r="Q28" s="6">
        <v>46221</v>
      </c>
      <c r="R28" s="7">
        <v>12</v>
      </c>
      <c r="S28" s="5">
        <v>1</v>
      </c>
      <c r="T28" s="5" t="s">
        <v>58</v>
      </c>
      <c r="U28" s="5" t="s">
        <v>60</v>
      </c>
      <c r="V28" s="5" t="s">
        <v>61</v>
      </c>
      <c r="W28" s="5">
        <v>6</v>
      </c>
      <c r="X28" s="7">
        <v>64.8</v>
      </c>
      <c r="Y28" s="7">
        <v>10.8</v>
      </c>
      <c r="Z28" s="7">
        <v>0</v>
      </c>
      <c r="AA28" s="7">
        <v>64.8</v>
      </c>
      <c r="AB28" s="5" t="s">
        <v>1069</v>
      </c>
      <c r="AC28" s="5" t="s">
        <v>1063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3" x14ac:dyDescent="0.25">
      <c r="A29" s="5">
        <v>2036009072</v>
      </c>
      <c r="B29" s="5" t="s">
        <v>168</v>
      </c>
      <c r="C29" s="5" t="s">
        <v>169</v>
      </c>
      <c r="D29" s="5" t="str">
        <f t="shared" si="0"/>
        <v>CONRAD SIMO</v>
      </c>
      <c r="E29" s="5" t="s">
        <v>170</v>
      </c>
      <c r="F29" s="5" t="s">
        <v>182</v>
      </c>
      <c r="G29" s="18">
        <v>0.9</v>
      </c>
      <c r="H29" s="5" t="s">
        <v>194</v>
      </c>
      <c r="I29" s="5" t="s">
        <v>194</v>
      </c>
      <c r="J29" s="20">
        <v>371819</v>
      </c>
      <c r="K29" s="20" t="str">
        <f t="shared" si="1"/>
        <v>371819AV6</v>
      </c>
      <c r="L29" s="5" t="s">
        <v>171</v>
      </c>
      <c r="M29" s="5" t="s">
        <v>172</v>
      </c>
      <c r="N29" s="5" t="str">
        <f>CONCATENATE(M29," ",L29)</f>
        <v>THOMAS PARDUE</v>
      </c>
      <c r="O29" s="5" t="s">
        <v>57</v>
      </c>
      <c r="P29" s="6">
        <v>46186</v>
      </c>
      <c r="Q29" s="6">
        <v>46216</v>
      </c>
      <c r="R29" s="7">
        <v>102.38</v>
      </c>
      <c r="S29" s="5">
        <v>1</v>
      </c>
      <c r="T29" s="5" t="s">
        <v>58</v>
      </c>
      <c r="U29" s="5" t="s">
        <v>60</v>
      </c>
      <c r="V29" s="5" t="s">
        <v>61</v>
      </c>
      <c r="W29" s="5">
        <v>6</v>
      </c>
      <c r="X29" s="7">
        <v>552.84</v>
      </c>
      <c r="Y29" s="7">
        <v>92.14</v>
      </c>
      <c r="Z29" s="7">
        <v>0</v>
      </c>
      <c r="AA29" s="7">
        <v>552.84</v>
      </c>
      <c r="AB29" s="5" t="s">
        <v>1069</v>
      </c>
      <c r="AC29" s="5" t="s">
        <v>1063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8"/>
    </row>
    <row r="30" spans="1:53" x14ac:dyDescent="0.25">
      <c r="A30" s="5">
        <v>2036001740</v>
      </c>
      <c r="B30" s="5" t="s">
        <v>62</v>
      </c>
      <c r="C30" s="5" t="s">
        <v>63</v>
      </c>
      <c r="D30" s="5" t="str">
        <f t="shared" si="0"/>
        <v>JORDAN ARPAN</v>
      </c>
      <c r="E30" s="5" t="s">
        <v>52</v>
      </c>
      <c r="F30" s="5" t="s">
        <v>53</v>
      </c>
      <c r="G30" s="18">
        <v>0.6</v>
      </c>
      <c r="H30" s="5" t="s">
        <v>54</v>
      </c>
      <c r="I30" s="5" t="s">
        <v>54</v>
      </c>
      <c r="J30" s="20">
        <v>16509456</v>
      </c>
      <c r="K30" s="20" t="str">
        <f t="shared" si="1"/>
        <v>16509456AV6</v>
      </c>
      <c r="L30" s="5" t="s">
        <v>64</v>
      </c>
      <c r="M30" s="5" t="s">
        <v>65</v>
      </c>
      <c r="N30" s="5" t="str">
        <f>CONCATENATE(M30," ",L30)</f>
        <v>PETER RICHTER</v>
      </c>
      <c r="O30" s="5" t="s">
        <v>57</v>
      </c>
      <c r="P30" s="6">
        <v>46186</v>
      </c>
      <c r="Q30" s="6">
        <v>46216</v>
      </c>
      <c r="R30" s="7">
        <v>52.69</v>
      </c>
      <c r="S30" s="5">
        <v>1</v>
      </c>
      <c r="T30" s="5" t="s">
        <v>58</v>
      </c>
      <c r="U30" s="5" t="s">
        <v>60</v>
      </c>
      <c r="V30" s="5" t="s">
        <v>61</v>
      </c>
      <c r="W30" s="5">
        <v>6</v>
      </c>
      <c r="X30" s="7">
        <v>189.66</v>
      </c>
      <c r="Y30" s="7">
        <v>31.61</v>
      </c>
      <c r="Z30" s="7">
        <v>0</v>
      </c>
      <c r="AA30" s="7">
        <v>189.66</v>
      </c>
      <c r="AB30" s="5" t="s">
        <v>1069</v>
      </c>
      <c r="AC30" s="5" t="s">
        <v>1063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8"/>
    </row>
    <row r="31" spans="1:53" s="8" customFormat="1" ht="14.25" customHeight="1" x14ac:dyDescent="0.25">
      <c r="A31" s="8">
        <v>2035940835</v>
      </c>
      <c r="B31" s="8" t="s">
        <v>93</v>
      </c>
      <c r="C31" s="8" t="s">
        <v>94</v>
      </c>
      <c r="D31" s="8" t="str">
        <f t="shared" si="0"/>
        <v>ANDREA KOUNELAS</v>
      </c>
      <c r="E31" s="8" t="s">
        <v>95</v>
      </c>
      <c r="F31" s="8" t="s">
        <v>182</v>
      </c>
      <c r="G31" s="22">
        <v>0.7</v>
      </c>
      <c r="H31" s="8" t="s">
        <v>202</v>
      </c>
      <c r="I31" s="8" t="s">
        <v>497</v>
      </c>
      <c r="J31" s="21">
        <v>8977234</v>
      </c>
      <c r="K31" s="21">
        <v>8977234</v>
      </c>
      <c r="L31" s="8" t="s">
        <v>85</v>
      </c>
      <c r="M31" s="8" t="s">
        <v>86</v>
      </c>
      <c r="N31" s="8" t="str">
        <f>CONCATENATE(M31," ",L31)</f>
        <v>RYAN CALTAGIRONE</v>
      </c>
      <c r="O31" s="8" t="s">
        <v>57</v>
      </c>
      <c r="P31" s="9">
        <v>46204</v>
      </c>
      <c r="Q31" s="9">
        <v>46235</v>
      </c>
      <c r="R31" s="10">
        <v>25.73</v>
      </c>
      <c r="S31" s="8">
        <v>1</v>
      </c>
      <c r="T31" s="8" t="s">
        <v>58</v>
      </c>
      <c r="U31" s="8" t="s">
        <v>60</v>
      </c>
      <c r="V31" s="8" t="s">
        <v>61</v>
      </c>
      <c r="W31" s="8">
        <v>6</v>
      </c>
      <c r="X31" s="10">
        <v>108.06</v>
      </c>
      <c r="Y31" s="10">
        <v>18.010000000000002</v>
      </c>
      <c r="Z31" s="10">
        <v>0</v>
      </c>
      <c r="AA31" s="10">
        <v>108.06</v>
      </c>
      <c r="AB31" s="8" t="s">
        <v>238</v>
      </c>
      <c r="AC31" s="8" t="s">
        <v>1062</v>
      </c>
    </row>
    <row r="32" spans="1:53" s="8" customFormat="1" x14ac:dyDescent="0.25">
      <c r="A32" s="8">
        <v>2035945185</v>
      </c>
      <c r="B32" s="8" t="s">
        <v>207</v>
      </c>
      <c r="C32" s="8" t="s">
        <v>208</v>
      </c>
      <c r="D32" s="8" t="str">
        <f t="shared" si="0"/>
        <v>MELISSA RUTHERFORD</v>
      </c>
      <c r="E32" s="8" t="s">
        <v>209</v>
      </c>
      <c r="F32" s="8" t="s">
        <v>182</v>
      </c>
      <c r="G32" s="22">
        <v>0.7</v>
      </c>
      <c r="H32" s="8" t="s">
        <v>202</v>
      </c>
      <c r="I32" s="8" t="s">
        <v>497</v>
      </c>
      <c r="J32" s="21">
        <v>8977234</v>
      </c>
      <c r="K32" s="21">
        <v>8977234</v>
      </c>
      <c r="L32" s="8" t="s">
        <v>85</v>
      </c>
      <c r="M32" s="8" t="s">
        <v>86</v>
      </c>
      <c r="N32" s="8" t="str">
        <f>CONCATENATE(M32," ",L32)</f>
        <v>RYAN CALTAGIRONE</v>
      </c>
      <c r="O32" s="8" t="s">
        <v>57</v>
      </c>
      <c r="P32" s="9">
        <v>46183</v>
      </c>
      <c r="Q32" s="9">
        <v>46213</v>
      </c>
      <c r="R32" s="10">
        <v>8.3699999999999992</v>
      </c>
      <c r="S32" s="8">
        <v>1</v>
      </c>
      <c r="T32" s="8" t="s">
        <v>58</v>
      </c>
      <c r="U32" s="8" t="s">
        <v>60</v>
      </c>
      <c r="V32" s="8" t="s">
        <v>61</v>
      </c>
      <c r="W32" s="8">
        <v>6</v>
      </c>
      <c r="X32" s="10">
        <v>35.159999999999997</v>
      </c>
      <c r="Y32" s="10">
        <v>5.86</v>
      </c>
      <c r="Z32" s="10">
        <v>0</v>
      </c>
      <c r="AA32" s="10">
        <v>35.159999999999997</v>
      </c>
      <c r="AB32" s="8" t="s">
        <v>238</v>
      </c>
      <c r="AC32" s="8" t="s">
        <v>1062</v>
      </c>
    </row>
    <row r="33" spans="1:29" s="8" customFormat="1" x14ac:dyDescent="0.25">
      <c r="A33" s="8">
        <v>2035938021</v>
      </c>
      <c r="B33" s="8" t="s">
        <v>89</v>
      </c>
      <c r="C33" s="8" t="s">
        <v>90</v>
      </c>
      <c r="D33" s="8" t="str">
        <f t="shared" si="0"/>
        <v>MARIO KELLEY</v>
      </c>
      <c r="E33" s="8" t="s">
        <v>83</v>
      </c>
      <c r="F33" s="8" t="s">
        <v>182</v>
      </c>
      <c r="G33" s="22">
        <v>0.7</v>
      </c>
      <c r="H33" s="8" t="s">
        <v>202</v>
      </c>
      <c r="I33" s="8" t="s">
        <v>497</v>
      </c>
      <c r="J33" s="21">
        <v>16170994</v>
      </c>
      <c r="K33" s="21">
        <v>16170994</v>
      </c>
      <c r="L33" s="8" t="s">
        <v>91</v>
      </c>
      <c r="M33" s="8" t="s">
        <v>92</v>
      </c>
      <c r="N33" s="8" t="str">
        <f>CONCATENATE(M33," ",L33)</f>
        <v>Ryan Shepard</v>
      </c>
      <c r="O33" s="8" t="s">
        <v>57</v>
      </c>
      <c r="P33" s="9">
        <v>46183</v>
      </c>
      <c r="Q33" s="9">
        <v>46213</v>
      </c>
      <c r="R33" s="10">
        <v>21.44</v>
      </c>
      <c r="S33" s="8">
        <v>1</v>
      </c>
      <c r="T33" s="8" t="s">
        <v>58</v>
      </c>
      <c r="U33" s="8" t="s">
        <v>60</v>
      </c>
      <c r="V33" s="8" t="s">
        <v>61</v>
      </c>
      <c r="W33" s="8">
        <v>6</v>
      </c>
      <c r="X33" s="10">
        <v>90.06</v>
      </c>
      <c r="Y33" s="10">
        <v>15.01</v>
      </c>
      <c r="Z33" s="10">
        <v>0</v>
      </c>
      <c r="AA33" s="10">
        <v>90.06</v>
      </c>
      <c r="AB33" s="8" t="s">
        <v>238</v>
      </c>
      <c r="AC33" s="8" t="s">
        <v>1062</v>
      </c>
    </row>
    <row r="34" spans="1:29" s="8" customFormat="1" x14ac:dyDescent="0.25">
      <c r="A34" s="8">
        <v>2036006840</v>
      </c>
      <c r="B34" s="8" t="s">
        <v>178</v>
      </c>
      <c r="C34" s="8" t="s">
        <v>172</v>
      </c>
      <c r="D34" s="8" t="str">
        <f t="shared" si="0"/>
        <v>THOMAS OLOUGHLIN</v>
      </c>
      <c r="E34" s="8" t="s">
        <v>52</v>
      </c>
      <c r="F34" s="8" t="s">
        <v>173</v>
      </c>
      <c r="G34" s="22">
        <v>0.38</v>
      </c>
      <c r="H34" s="8" t="s">
        <v>174</v>
      </c>
      <c r="I34" s="8" t="s">
        <v>174</v>
      </c>
      <c r="J34" s="21">
        <v>21758900</v>
      </c>
      <c r="K34" s="21">
        <v>21758900</v>
      </c>
      <c r="L34" s="8" t="s">
        <v>179</v>
      </c>
      <c r="M34" s="8" t="s">
        <v>180</v>
      </c>
      <c r="N34" s="8" t="str">
        <f>CONCATENATE(M34," ",L34)</f>
        <v>John Rader</v>
      </c>
      <c r="O34" s="8" t="s">
        <v>57</v>
      </c>
      <c r="P34" s="9">
        <v>46186</v>
      </c>
      <c r="Q34" s="9">
        <v>46216</v>
      </c>
      <c r="R34" s="10">
        <v>224.57</v>
      </c>
      <c r="S34" s="8">
        <v>1</v>
      </c>
      <c r="T34" s="8" t="s">
        <v>58</v>
      </c>
      <c r="U34" s="8" t="s">
        <v>60</v>
      </c>
      <c r="V34" s="8" t="s">
        <v>61</v>
      </c>
      <c r="W34" s="8">
        <v>6</v>
      </c>
      <c r="X34" s="10">
        <v>512.04</v>
      </c>
      <c r="Y34" s="10">
        <v>85.34</v>
      </c>
      <c r="Z34" s="10">
        <v>0</v>
      </c>
      <c r="AA34" s="10">
        <v>512.04</v>
      </c>
      <c r="AB34" s="8" t="s">
        <v>238</v>
      </c>
      <c r="AC34" s="8" t="s">
        <v>1062</v>
      </c>
    </row>
    <row r="35" spans="1:29" s="8" customFormat="1" x14ac:dyDescent="0.25">
      <c r="A35" s="8">
        <v>2036006841</v>
      </c>
      <c r="B35" s="8" t="s">
        <v>178</v>
      </c>
      <c r="C35" s="8" t="s">
        <v>172</v>
      </c>
      <c r="D35" s="8" t="str">
        <f t="shared" si="0"/>
        <v>THOMAS OLOUGHLIN</v>
      </c>
      <c r="E35" s="8" t="s">
        <v>52</v>
      </c>
      <c r="F35" s="8" t="s">
        <v>173</v>
      </c>
      <c r="G35" s="22">
        <v>0.38</v>
      </c>
      <c r="H35" s="8" t="s">
        <v>177</v>
      </c>
      <c r="I35" s="8" t="s">
        <v>174</v>
      </c>
      <c r="J35" s="21">
        <v>21758900</v>
      </c>
      <c r="K35" s="21">
        <v>21758900</v>
      </c>
      <c r="L35" s="8" t="s">
        <v>179</v>
      </c>
      <c r="M35" s="8" t="s">
        <v>180</v>
      </c>
      <c r="N35" s="8" t="str">
        <f>CONCATENATE(M35," ",L35)</f>
        <v>John Rader</v>
      </c>
      <c r="O35" s="8" t="s">
        <v>57</v>
      </c>
      <c r="P35" s="9">
        <v>46186</v>
      </c>
      <c r="Q35" s="9">
        <v>46216</v>
      </c>
      <c r="R35" s="10">
        <v>9.9499999999999993</v>
      </c>
      <c r="S35" s="8">
        <v>1</v>
      </c>
      <c r="T35" s="8" t="s">
        <v>58</v>
      </c>
      <c r="U35" s="8" t="s">
        <v>60</v>
      </c>
      <c r="V35" s="8" t="s">
        <v>61</v>
      </c>
      <c r="W35" s="8">
        <v>6</v>
      </c>
      <c r="X35" s="10">
        <v>22.68</v>
      </c>
      <c r="Y35" s="10">
        <v>3.78</v>
      </c>
      <c r="Z35" s="10">
        <v>0</v>
      </c>
      <c r="AA35" s="10">
        <v>22.68</v>
      </c>
      <c r="AB35" s="8" t="s">
        <v>238</v>
      </c>
      <c r="AC35" s="8" t="s">
        <v>1062</v>
      </c>
    </row>
    <row r="36" spans="1:29" s="8" customFormat="1" x14ac:dyDescent="0.25">
      <c r="A36" s="8">
        <v>2035961426</v>
      </c>
      <c r="B36" s="8" t="s">
        <v>98</v>
      </c>
      <c r="C36" s="8" t="s">
        <v>99</v>
      </c>
      <c r="D36" s="8" t="str">
        <f t="shared" si="0"/>
        <v>LUCAS MCCARTNEY</v>
      </c>
      <c r="E36" s="8" t="s">
        <v>100</v>
      </c>
      <c r="F36" s="8" t="s">
        <v>71</v>
      </c>
      <c r="G36" s="22">
        <v>0.75</v>
      </c>
      <c r="H36" s="8" t="s">
        <v>84</v>
      </c>
      <c r="I36" s="8" t="s">
        <v>996</v>
      </c>
      <c r="J36" s="21">
        <v>16018575</v>
      </c>
      <c r="K36" s="21">
        <v>16018575</v>
      </c>
      <c r="L36" s="8" t="s">
        <v>101</v>
      </c>
      <c r="M36" s="8" t="s">
        <v>102</v>
      </c>
      <c r="N36" s="8" t="str">
        <f>CONCATENATE(M36," ",L36)</f>
        <v>Kevin Berthelsen</v>
      </c>
      <c r="O36" s="8" t="s">
        <v>57</v>
      </c>
      <c r="P36" s="9">
        <v>46184</v>
      </c>
      <c r="Q36" s="9">
        <v>46214</v>
      </c>
      <c r="R36" s="10">
        <v>71.13</v>
      </c>
      <c r="S36" s="8">
        <v>1</v>
      </c>
      <c r="T36" s="8" t="s">
        <v>58</v>
      </c>
      <c r="U36" s="8" t="s">
        <v>60</v>
      </c>
      <c r="V36" s="8" t="s">
        <v>61</v>
      </c>
      <c r="W36" s="8">
        <v>6</v>
      </c>
      <c r="X36" s="10">
        <v>320.10000000000002</v>
      </c>
      <c r="Y36" s="10">
        <v>53.35</v>
      </c>
      <c r="Z36" s="10">
        <v>0</v>
      </c>
      <c r="AA36" s="10">
        <v>320.10000000000002</v>
      </c>
      <c r="AB36" s="8" t="s">
        <v>238</v>
      </c>
      <c r="AC36" s="8" t="s">
        <v>1062</v>
      </c>
    </row>
    <row r="37" spans="1:29" s="8" customFormat="1" x14ac:dyDescent="0.25">
      <c r="A37" s="8">
        <v>2035914447</v>
      </c>
      <c r="B37" s="8" t="s">
        <v>81</v>
      </c>
      <c r="C37" s="8" t="s">
        <v>82</v>
      </c>
      <c r="D37" s="8" t="str">
        <f t="shared" si="0"/>
        <v>KAYLEIGH BALL</v>
      </c>
      <c r="E37" s="8" t="s">
        <v>83</v>
      </c>
      <c r="F37" s="8" t="s">
        <v>71</v>
      </c>
      <c r="G37" s="22">
        <v>0.75</v>
      </c>
      <c r="H37" s="8" t="s">
        <v>84</v>
      </c>
      <c r="I37" s="8" t="s">
        <v>996</v>
      </c>
      <c r="J37" s="21">
        <v>8977234</v>
      </c>
      <c r="K37" s="21">
        <v>8977234</v>
      </c>
      <c r="L37" s="8" t="s">
        <v>85</v>
      </c>
      <c r="M37" s="8" t="s">
        <v>86</v>
      </c>
      <c r="N37" s="8" t="str">
        <f>CONCATENATE(M37," ",L37)</f>
        <v>RYAN CALTAGIRONE</v>
      </c>
      <c r="O37" s="8" t="s">
        <v>57</v>
      </c>
      <c r="P37" s="9">
        <v>46204</v>
      </c>
      <c r="Q37" s="9">
        <v>46235</v>
      </c>
      <c r="R37" s="10">
        <v>42.63</v>
      </c>
      <c r="S37" s="8">
        <v>1</v>
      </c>
      <c r="T37" s="8" t="s">
        <v>58</v>
      </c>
      <c r="U37" s="8" t="s">
        <v>60</v>
      </c>
      <c r="V37" s="8" t="s">
        <v>61</v>
      </c>
      <c r="W37" s="8">
        <v>6</v>
      </c>
      <c r="X37" s="10">
        <v>191.82</v>
      </c>
      <c r="Y37" s="10">
        <v>31.97</v>
      </c>
      <c r="Z37" s="10">
        <v>0</v>
      </c>
      <c r="AA37" s="10">
        <v>191.82</v>
      </c>
      <c r="AB37" s="8" t="s">
        <v>238</v>
      </c>
      <c r="AC37" s="8" t="s">
        <v>1062</v>
      </c>
    </row>
    <row r="38" spans="1:29" s="8" customFormat="1" x14ac:dyDescent="0.25">
      <c r="A38" s="8">
        <v>2035676326</v>
      </c>
      <c r="B38" s="8" t="s">
        <v>68</v>
      </c>
      <c r="C38" s="8" t="s">
        <v>69</v>
      </c>
      <c r="D38" s="8" t="str">
        <f t="shared" si="0"/>
        <v>RAYMOND STEVENS</v>
      </c>
      <c r="E38" s="8" t="s">
        <v>70</v>
      </c>
      <c r="F38" s="8" t="s">
        <v>71</v>
      </c>
      <c r="G38" s="22">
        <v>0.75</v>
      </c>
      <c r="H38" s="8" t="s">
        <v>72</v>
      </c>
      <c r="I38" s="8" t="s">
        <v>996</v>
      </c>
      <c r="J38" s="21">
        <v>20003537</v>
      </c>
      <c r="K38" s="21">
        <v>20003537</v>
      </c>
      <c r="L38" s="8" t="s">
        <v>73</v>
      </c>
      <c r="M38" s="8" t="s">
        <v>74</v>
      </c>
      <c r="N38" s="8" t="str">
        <f>CONCATENATE(M38," ",L38)</f>
        <v>Chad Yale</v>
      </c>
      <c r="O38" s="8" t="s">
        <v>57</v>
      </c>
      <c r="P38" s="9">
        <v>46204</v>
      </c>
      <c r="Q38" s="9">
        <v>46235</v>
      </c>
      <c r="R38" s="10">
        <v>22.15</v>
      </c>
      <c r="S38" s="8">
        <v>1</v>
      </c>
      <c r="T38" s="8" t="s">
        <v>58</v>
      </c>
      <c r="U38" s="8" t="s">
        <v>60</v>
      </c>
      <c r="V38" s="8" t="s">
        <v>61</v>
      </c>
      <c r="W38" s="8">
        <v>6</v>
      </c>
      <c r="X38" s="10">
        <v>99.66</v>
      </c>
      <c r="Y38" s="10">
        <v>16.61</v>
      </c>
      <c r="Z38" s="10">
        <v>0</v>
      </c>
      <c r="AA38" s="10">
        <v>99.66</v>
      </c>
      <c r="AB38" s="8" t="s">
        <v>238</v>
      </c>
      <c r="AC38" s="8" t="s">
        <v>1062</v>
      </c>
    </row>
    <row r="39" spans="1:29" s="8" customFormat="1" x14ac:dyDescent="0.25">
      <c r="A39" s="8">
        <v>2035935095</v>
      </c>
      <c r="B39" s="8" t="s">
        <v>87</v>
      </c>
      <c r="C39" s="8" t="s">
        <v>88</v>
      </c>
      <c r="D39" s="8" t="str">
        <f t="shared" si="0"/>
        <v>XENDRA SHEPPARD</v>
      </c>
      <c r="E39" s="8" t="s">
        <v>70</v>
      </c>
      <c r="F39" s="8" t="s">
        <v>71</v>
      </c>
      <c r="G39" s="22">
        <v>0.75</v>
      </c>
      <c r="H39" s="8" t="s">
        <v>72</v>
      </c>
      <c r="I39" s="8" t="s">
        <v>996</v>
      </c>
      <c r="J39" s="21">
        <v>20003537</v>
      </c>
      <c r="K39" s="21">
        <v>20003537</v>
      </c>
      <c r="L39" s="8" t="s">
        <v>73</v>
      </c>
      <c r="M39" s="8" t="s">
        <v>74</v>
      </c>
      <c r="N39" s="8" t="str">
        <f>CONCATENATE(M39," ",L39)</f>
        <v>Chad Yale</v>
      </c>
      <c r="O39" s="8" t="s">
        <v>57</v>
      </c>
      <c r="P39" s="9">
        <v>46183</v>
      </c>
      <c r="Q39" s="9">
        <v>46213</v>
      </c>
      <c r="R39" s="10">
        <v>47.62</v>
      </c>
      <c r="S39" s="8">
        <v>1</v>
      </c>
      <c r="T39" s="8" t="s">
        <v>58</v>
      </c>
      <c r="U39" s="8" t="s">
        <v>60</v>
      </c>
      <c r="V39" s="8" t="s">
        <v>61</v>
      </c>
      <c r="W39" s="8">
        <v>6</v>
      </c>
      <c r="X39" s="10">
        <v>214.32</v>
      </c>
      <c r="Y39" s="10">
        <v>35.72</v>
      </c>
      <c r="Z39" s="10">
        <v>0</v>
      </c>
      <c r="AA39" s="10">
        <v>214.32</v>
      </c>
      <c r="AB39" s="8" t="s">
        <v>238</v>
      </c>
      <c r="AC39" s="8" t="s">
        <v>1062</v>
      </c>
    </row>
    <row r="40" spans="1:29" s="8" customFormat="1" x14ac:dyDescent="0.25">
      <c r="A40" s="8">
        <v>2035961074</v>
      </c>
      <c r="B40" s="8" t="s">
        <v>96</v>
      </c>
      <c r="C40" s="8" t="s">
        <v>97</v>
      </c>
      <c r="D40" s="8" t="str">
        <f t="shared" si="0"/>
        <v>ANNA DUVALL</v>
      </c>
      <c r="E40" s="8" t="s">
        <v>70</v>
      </c>
      <c r="F40" s="8" t="s">
        <v>71</v>
      </c>
      <c r="G40" s="22">
        <v>0.75</v>
      </c>
      <c r="H40" s="8" t="s">
        <v>72</v>
      </c>
      <c r="I40" s="8" t="s">
        <v>996</v>
      </c>
      <c r="J40" s="21">
        <v>20003537</v>
      </c>
      <c r="K40" s="21">
        <v>20003537</v>
      </c>
      <c r="L40" s="8" t="s">
        <v>73</v>
      </c>
      <c r="M40" s="8" t="s">
        <v>74</v>
      </c>
      <c r="N40" s="8" t="str">
        <f>CONCATENATE(M40," ",L40)</f>
        <v>Chad Yale</v>
      </c>
      <c r="O40" s="8" t="s">
        <v>57</v>
      </c>
      <c r="P40" s="9">
        <v>46184</v>
      </c>
      <c r="Q40" s="9">
        <v>46214</v>
      </c>
      <c r="R40" s="10">
        <v>28.65</v>
      </c>
      <c r="S40" s="8">
        <v>1</v>
      </c>
      <c r="T40" s="8" t="s">
        <v>58</v>
      </c>
      <c r="U40" s="8" t="s">
        <v>60</v>
      </c>
      <c r="V40" s="8" t="s">
        <v>61</v>
      </c>
      <c r="W40" s="8">
        <v>6</v>
      </c>
      <c r="X40" s="10">
        <v>128.94</v>
      </c>
      <c r="Y40" s="10">
        <v>21.49</v>
      </c>
      <c r="Z40" s="10">
        <v>0</v>
      </c>
      <c r="AA40" s="10">
        <v>128.94</v>
      </c>
      <c r="AB40" s="8" t="s">
        <v>238</v>
      </c>
      <c r="AC40" s="8" t="s">
        <v>1062</v>
      </c>
    </row>
    <row r="41" spans="1:29" s="8" customFormat="1" x14ac:dyDescent="0.25">
      <c r="A41" s="8">
        <v>2035982980</v>
      </c>
      <c r="B41" s="8" t="s">
        <v>107</v>
      </c>
      <c r="C41" s="8" t="s">
        <v>108</v>
      </c>
      <c r="D41" s="8" t="str">
        <f t="shared" si="0"/>
        <v>REBECCA CORBETT</v>
      </c>
      <c r="E41" s="8" t="s">
        <v>95</v>
      </c>
      <c r="F41" s="8" t="s">
        <v>71</v>
      </c>
      <c r="G41" s="22">
        <v>0.75</v>
      </c>
      <c r="H41" s="8" t="s">
        <v>72</v>
      </c>
      <c r="I41" s="8" t="s">
        <v>996</v>
      </c>
      <c r="J41" s="21">
        <v>8307933</v>
      </c>
      <c r="K41" s="21">
        <v>8307933</v>
      </c>
      <c r="L41" s="8" t="s">
        <v>79</v>
      </c>
      <c r="M41" s="8" t="s">
        <v>80</v>
      </c>
      <c r="N41" s="8" t="str">
        <f>CONCATENATE(M41," ",L41)</f>
        <v>GREGORY TEIPEL</v>
      </c>
      <c r="O41" s="8" t="s">
        <v>57</v>
      </c>
      <c r="P41" s="9">
        <v>46204</v>
      </c>
      <c r="Q41" s="9">
        <v>46235</v>
      </c>
      <c r="R41" s="10">
        <v>19.190000000000001</v>
      </c>
      <c r="S41" s="8">
        <v>1</v>
      </c>
      <c r="T41" s="8" t="s">
        <v>58</v>
      </c>
      <c r="U41" s="8" t="s">
        <v>60</v>
      </c>
      <c r="V41" s="8" t="s">
        <v>61</v>
      </c>
      <c r="W41" s="8">
        <v>6</v>
      </c>
      <c r="X41" s="10">
        <v>86.34</v>
      </c>
      <c r="Y41" s="10">
        <v>14.39</v>
      </c>
      <c r="Z41" s="10">
        <v>0</v>
      </c>
      <c r="AA41" s="10">
        <v>86.34</v>
      </c>
      <c r="AB41" s="8" t="s">
        <v>238</v>
      </c>
      <c r="AC41" s="8" t="s">
        <v>1062</v>
      </c>
    </row>
    <row r="42" spans="1:29" s="8" customFormat="1" x14ac:dyDescent="0.25">
      <c r="A42" s="8">
        <v>2035967128</v>
      </c>
      <c r="B42" s="8" t="s">
        <v>103</v>
      </c>
      <c r="C42" s="8" t="s">
        <v>104</v>
      </c>
      <c r="D42" s="8" t="str">
        <f t="shared" si="0"/>
        <v>RENEE MARCHI</v>
      </c>
      <c r="E42" s="8" t="s">
        <v>95</v>
      </c>
      <c r="F42" s="8" t="s">
        <v>71</v>
      </c>
      <c r="G42" s="22">
        <v>0.75</v>
      </c>
      <c r="H42" s="8" t="s">
        <v>72</v>
      </c>
      <c r="I42" s="8" t="s">
        <v>996</v>
      </c>
      <c r="J42" s="21">
        <v>18754354</v>
      </c>
      <c r="K42" s="21">
        <v>18754354</v>
      </c>
      <c r="L42" s="8" t="s">
        <v>105</v>
      </c>
      <c r="M42" s="8" t="s">
        <v>106</v>
      </c>
      <c r="N42" s="8" t="str">
        <f>CONCATENATE(M42," ",L42)</f>
        <v>JACOB YALE</v>
      </c>
      <c r="O42" s="8" t="s">
        <v>57</v>
      </c>
      <c r="P42" s="9">
        <v>46204</v>
      </c>
      <c r="Q42" s="9">
        <v>46235</v>
      </c>
      <c r="R42" s="10">
        <v>30.13</v>
      </c>
      <c r="S42" s="8">
        <v>1</v>
      </c>
      <c r="T42" s="8" t="s">
        <v>58</v>
      </c>
      <c r="U42" s="8" t="s">
        <v>60</v>
      </c>
      <c r="V42" s="8" t="s">
        <v>61</v>
      </c>
      <c r="W42" s="8">
        <v>6</v>
      </c>
      <c r="X42" s="10">
        <v>135.6</v>
      </c>
      <c r="Y42" s="10">
        <v>22.6</v>
      </c>
      <c r="Z42" s="10">
        <v>0</v>
      </c>
      <c r="AA42" s="10">
        <v>135.6</v>
      </c>
      <c r="AB42" s="8" t="s">
        <v>238</v>
      </c>
      <c r="AC42" s="8" t="s">
        <v>1062</v>
      </c>
    </row>
    <row r="43" spans="1:29" s="8" customFormat="1" x14ac:dyDescent="0.25">
      <c r="A43" s="8">
        <v>2035940833</v>
      </c>
      <c r="B43" s="8" t="s">
        <v>93</v>
      </c>
      <c r="C43" s="8" t="s">
        <v>94</v>
      </c>
      <c r="D43" s="8" t="str">
        <f t="shared" si="0"/>
        <v>ANDREA KOUNELAS</v>
      </c>
      <c r="E43" s="8" t="s">
        <v>95</v>
      </c>
      <c r="F43" s="8" t="s">
        <v>71</v>
      </c>
      <c r="G43" s="22">
        <v>0.75</v>
      </c>
      <c r="H43" s="8" t="s">
        <v>72</v>
      </c>
      <c r="I43" s="8" t="s">
        <v>996</v>
      </c>
      <c r="J43" s="21">
        <v>8977234</v>
      </c>
      <c r="K43" s="21">
        <v>8977234</v>
      </c>
      <c r="L43" s="8" t="s">
        <v>85</v>
      </c>
      <c r="M43" s="8" t="s">
        <v>86</v>
      </c>
      <c r="N43" s="8" t="str">
        <f>CONCATENATE(M43," ",L43)</f>
        <v>RYAN CALTAGIRONE</v>
      </c>
      <c r="O43" s="8" t="s">
        <v>57</v>
      </c>
      <c r="P43" s="9">
        <v>46204</v>
      </c>
      <c r="Q43" s="9">
        <v>46235</v>
      </c>
      <c r="R43" s="10">
        <v>50.98</v>
      </c>
      <c r="S43" s="8">
        <v>1</v>
      </c>
      <c r="T43" s="8" t="s">
        <v>58</v>
      </c>
      <c r="U43" s="8" t="s">
        <v>60</v>
      </c>
      <c r="V43" s="8" t="s">
        <v>61</v>
      </c>
      <c r="W43" s="8">
        <v>6</v>
      </c>
      <c r="X43" s="10">
        <v>229.44</v>
      </c>
      <c r="Y43" s="10">
        <v>38.24</v>
      </c>
      <c r="Z43" s="10">
        <v>0</v>
      </c>
      <c r="AA43" s="10">
        <v>229.44</v>
      </c>
      <c r="AB43" s="8" t="s">
        <v>238</v>
      </c>
      <c r="AC43" s="8" t="s">
        <v>1062</v>
      </c>
    </row>
    <row r="44" spans="1:29" s="8" customFormat="1" x14ac:dyDescent="0.25">
      <c r="A44" s="8">
        <v>2035938020</v>
      </c>
      <c r="B44" s="8" t="s">
        <v>89</v>
      </c>
      <c r="C44" s="8" t="s">
        <v>90</v>
      </c>
      <c r="D44" s="8" t="str">
        <f t="shared" si="0"/>
        <v>MARIO KELLEY</v>
      </c>
      <c r="E44" s="8" t="s">
        <v>83</v>
      </c>
      <c r="F44" s="8" t="s">
        <v>71</v>
      </c>
      <c r="G44" s="22">
        <v>0.75</v>
      </c>
      <c r="H44" s="8" t="s">
        <v>72</v>
      </c>
      <c r="I44" s="8" t="s">
        <v>996</v>
      </c>
      <c r="J44" s="21">
        <v>16170994</v>
      </c>
      <c r="K44" s="21">
        <v>16170994</v>
      </c>
      <c r="L44" s="8" t="s">
        <v>91</v>
      </c>
      <c r="M44" s="8" t="s">
        <v>92</v>
      </c>
      <c r="N44" s="8" t="str">
        <f>CONCATENATE(M44," ",L44)</f>
        <v>Ryan Shepard</v>
      </c>
      <c r="O44" s="8" t="s">
        <v>57</v>
      </c>
      <c r="P44" s="9">
        <v>46183</v>
      </c>
      <c r="Q44" s="9">
        <v>46213</v>
      </c>
      <c r="R44" s="10">
        <v>29.65</v>
      </c>
      <c r="S44" s="8">
        <v>1</v>
      </c>
      <c r="T44" s="8" t="s">
        <v>58</v>
      </c>
      <c r="U44" s="8" t="s">
        <v>60</v>
      </c>
      <c r="V44" s="8" t="s">
        <v>61</v>
      </c>
      <c r="W44" s="8">
        <v>6</v>
      </c>
      <c r="X44" s="10">
        <v>133.44</v>
      </c>
      <c r="Y44" s="10">
        <v>22.24</v>
      </c>
      <c r="Z44" s="10">
        <v>0</v>
      </c>
      <c r="AA44" s="10">
        <v>133.44</v>
      </c>
      <c r="AB44" s="8" t="s">
        <v>238</v>
      </c>
      <c r="AC44" s="8" t="s">
        <v>1062</v>
      </c>
    </row>
    <row r="45" spans="1:29" s="8" customFormat="1" x14ac:dyDescent="0.25">
      <c r="A45" s="8">
        <v>2035809173</v>
      </c>
      <c r="B45" s="8" t="s">
        <v>75</v>
      </c>
      <c r="C45" s="8" t="s">
        <v>76</v>
      </c>
      <c r="D45" s="8" t="str">
        <f t="shared" si="0"/>
        <v>STEPHANIE RYDGREN</v>
      </c>
      <c r="E45" s="8" t="s">
        <v>77</v>
      </c>
      <c r="F45" s="8" t="s">
        <v>71</v>
      </c>
      <c r="G45" s="22">
        <v>0.9</v>
      </c>
      <c r="H45" s="8" t="s">
        <v>78</v>
      </c>
      <c r="I45" s="8" t="s">
        <v>997</v>
      </c>
      <c r="J45" s="21">
        <v>8307933</v>
      </c>
      <c r="K45" s="21">
        <v>8307933</v>
      </c>
      <c r="L45" s="8" t="s">
        <v>79</v>
      </c>
      <c r="M45" s="8" t="s">
        <v>80</v>
      </c>
      <c r="N45" s="8" t="str">
        <f>CONCATENATE(M45," ",L45)</f>
        <v>GREGORY TEIPEL</v>
      </c>
      <c r="O45" s="8" t="s">
        <v>57</v>
      </c>
      <c r="P45" s="9">
        <v>46188</v>
      </c>
      <c r="Q45" s="9">
        <v>46218</v>
      </c>
      <c r="R45" s="10">
        <v>50.16</v>
      </c>
      <c r="S45" s="8">
        <v>1</v>
      </c>
      <c r="T45" s="8" t="s">
        <v>58</v>
      </c>
      <c r="U45" s="8" t="s">
        <v>60</v>
      </c>
      <c r="V45" s="8" t="s">
        <v>61</v>
      </c>
      <c r="W45" s="8">
        <v>6</v>
      </c>
      <c r="X45" s="10">
        <v>270.83999999999997</v>
      </c>
      <c r="Y45" s="10">
        <v>45.14</v>
      </c>
      <c r="Z45" s="10">
        <v>0</v>
      </c>
      <c r="AA45" s="10">
        <v>270.83999999999997</v>
      </c>
      <c r="AB45" s="8" t="s">
        <v>238</v>
      </c>
      <c r="AC45" s="8" t="s">
        <v>1062</v>
      </c>
    </row>
    <row r="46" spans="1:29" s="8" customFormat="1" x14ac:dyDescent="0.25">
      <c r="A46" s="8">
        <v>2035909627</v>
      </c>
      <c r="B46" s="8" t="s">
        <v>191</v>
      </c>
      <c r="C46" s="8" t="s">
        <v>192</v>
      </c>
      <c r="D46" s="8" t="str">
        <f t="shared" si="0"/>
        <v>MADHUSUTHANAN BALASUNDARAM</v>
      </c>
      <c r="E46" s="8" t="s">
        <v>193</v>
      </c>
      <c r="F46" s="8" t="s">
        <v>182</v>
      </c>
      <c r="G46" s="22">
        <v>0.42</v>
      </c>
      <c r="H46" s="8" t="s">
        <v>197</v>
      </c>
      <c r="I46" s="8" t="s">
        <v>197</v>
      </c>
      <c r="J46" s="21">
        <v>5442438</v>
      </c>
      <c r="K46" s="21">
        <v>5442438</v>
      </c>
      <c r="L46" s="8" t="s">
        <v>195</v>
      </c>
      <c r="M46" s="8" t="s">
        <v>196</v>
      </c>
      <c r="N46" s="8" t="str">
        <f>CONCATENATE(M46," ",L46)</f>
        <v>Ronald Max</v>
      </c>
      <c r="O46" s="8" t="s">
        <v>57</v>
      </c>
      <c r="P46" s="9">
        <v>46182</v>
      </c>
      <c r="Q46" s="9">
        <v>46212</v>
      </c>
      <c r="R46" s="10">
        <v>11.65</v>
      </c>
      <c r="S46" s="8">
        <v>1</v>
      </c>
      <c r="T46" s="8" t="s">
        <v>58</v>
      </c>
      <c r="U46" s="8" t="s">
        <v>60</v>
      </c>
      <c r="V46" s="8" t="s">
        <v>61</v>
      </c>
      <c r="W46" s="8">
        <v>6</v>
      </c>
      <c r="X46" s="10">
        <v>29.34</v>
      </c>
      <c r="Y46" s="10">
        <v>4.8899999999999997</v>
      </c>
      <c r="Z46" s="10">
        <v>0</v>
      </c>
      <c r="AA46" s="10">
        <v>29.34</v>
      </c>
      <c r="AB46" s="8" t="s">
        <v>238</v>
      </c>
      <c r="AC46" s="8" t="s">
        <v>1062</v>
      </c>
    </row>
    <row r="47" spans="1:29" s="8" customFormat="1" x14ac:dyDescent="0.25">
      <c r="A47" s="8">
        <v>2035940447</v>
      </c>
      <c r="B47" s="8" t="s">
        <v>130</v>
      </c>
      <c r="C47" s="8" t="s">
        <v>131</v>
      </c>
      <c r="D47" s="8" t="str">
        <f t="shared" si="0"/>
        <v>JULIA VALENTINE-PURSEL</v>
      </c>
      <c r="E47" s="8" t="s">
        <v>83</v>
      </c>
      <c r="F47" s="8" t="s">
        <v>120</v>
      </c>
      <c r="G47" s="22">
        <v>0.19</v>
      </c>
      <c r="H47" s="8" t="s">
        <v>132</v>
      </c>
      <c r="I47" s="8" t="s">
        <v>817</v>
      </c>
      <c r="J47" s="21">
        <v>19491313</v>
      </c>
      <c r="K47" s="21">
        <v>19491313</v>
      </c>
      <c r="L47" s="8" t="s">
        <v>133</v>
      </c>
      <c r="M47" s="8" t="s">
        <v>134</v>
      </c>
      <c r="N47" s="8" t="str">
        <f>CONCATENATE(M47," ",L47)</f>
        <v>Steven Brandt</v>
      </c>
      <c r="O47" s="8" t="s">
        <v>57</v>
      </c>
      <c r="P47" s="9">
        <v>46183</v>
      </c>
      <c r="Q47" s="9">
        <v>46213</v>
      </c>
      <c r="R47" s="10">
        <v>15</v>
      </c>
      <c r="S47" s="8">
        <v>1</v>
      </c>
      <c r="T47" s="8" t="s">
        <v>58</v>
      </c>
      <c r="U47" s="8" t="s">
        <v>60</v>
      </c>
      <c r="V47" s="8" t="s">
        <v>61</v>
      </c>
      <c r="W47" s="8">
        <v>6</v>
      </c>
      <c r="X47" s="10">
        <v>17.100000000000001</v>
      </c>
      <c r="Y47" s="10">
        <v>2.85</v>
      </c>
      <c r="Z47" s="10">
        <v>0</v>
      </c>
      <c r="AA47" s="10">
        <v>17.100000000000001</v>
      </c>
      <c r="AB47" s="8" t="s">
        <v>238</v>
      </c>
      <c r="AC47" s="8" t="s">
        <v>1062</v>
      </c>
    </row>
    <row r="48" spans="1:29" s="8" customFormat="1" x14ac:dyDescent="0.25">
      <c r="A48" s="8">
        <v>2035809174</v>
      </c>
      <c r="B48" s="8" t="s">
        <v>75</v>
      </c>
      <c r="C48" s="8" t="s">
        <v>76</v>
      </c>
      <c r="D48" s="8" t="str">
        <f t="shared" si="0"/>
        <v>STEPHANIE RYDGREN</v>
      </c>
      <c r="E48" s="8" t="s">
        <v>77</v>
      </c>
      <c r="F48" s="8" t="s">
        <v>120</v>
      </c>
      <c r="G48" s="22">
        <v>0.28999999999999998</v>
      </c>
      <c r="H48" s="8" t="s">
        <v>125</v>
      </c>
      <c r="I48" s="8" t="s">
        <v>999</v>
      </c>
      <c r="J48" s="21">
        <v>8307933</v>
      </c>
      <c r="K48" s="21">
        <v>8307933</v>
      </c>
      <c r="L48" s="8" t="s">
        <v>79</v>
      </c>
      <c r="M48" s="8" t="s">
        <v>80</v>
      </c>
      <c r="N48" s="8" t="str">
        <f>CONCATENATE(M48," ",L48)</f>
        <v>GREGORY TEIPEL</v>
      </c>
      <c r="O48" s="8" t="s">
        <v>57</v>
      </c>
      <c r="P48" s="9">
        <v>46188</v>
      </c>
      <c r="Q48" s="9">
        <v>46218</v>
      </c>
      <c r="R48" s="10">
        <v>15</v>
      </c>
      <c r="S48" s="8">
        <v>1</v>
      </c>
      <c r="T48" s="8" t="s">
        <v>58</v>
      </c>
      <c r="U48" s="8" t="s">
        <v>60</v>
      </c>
      <c r="V48" s="8" t="s">
        <v>61</v>
      </c>
      <c r="W48" s="8">
        <v>6</v>
      </c>
      <c r="X48" s="10">
        <v>26.1</v>
      </c>
      <c r="Y48" s="10">
        <v>4.3499999999999996</v>
      </c>
      <c r="Z48" s="10">
        <v>0</v>
      </c>
      <c r="AA48" s="10">
        <v>26.1</v>
      </c>
      <c r="AB48" s="8" t="s">
        <v>238</v>
      </c>
      <c r="AC48" s="8" t="s">
        <v>1062</v>
      </c>
    </row>
    <row r="49" spans="1:29" s="8" customFormat="1" x14ac:dyDescent="0.25">
      <c r="A49" s="8">
        <v>2035920647</v>
      </c>
      <c r="B49" s="8" t="s">
        <v>175</v>
      </c>
      <c r="C49" s="8" t="s">
        <v>76</v>
      </c>
      <c r="D49" s="8" t="str">
        <f t="shared" si="0"/>
        <v>STEPHANIE SCOTT</v>
      </c>
      <c r="E49" s="8" t="s">
        <v>52</v>
      </c>
      <c r="F49" s="8" t="s">
        <v>173</v>
      </c>
      <c r="G49" s="22">
        <v>0.38</v>
      </c>
      <c r="H49" s="8" t="s">
        <v>176</v>
      </c>
      <c r="I49" s="8" t="s">
        <v>176</v>
      </c>
      <c r="J49" s="21">
        <v>17425766</v>
      </c>
      <c r="K49" s="21">
        <v>17425766</v>
      </c>
      <c r="L49" s="8" t="s">
        <v>158</v>
      </c>
      <c r="M49" s="8" t="s">
        <v>159</v>
      </c>
      <c r="N49" s="8" t="str">
        <f>CONCATENATE(M49," ",L49)</f>
        <v>CAROL FOLEY</v>
      </c>
      <c r="O49" s="8" t="s">
        <v>57</v>
      </c>
      <c r="P49" s="9">
        <v>46182</v>
      </c>
      <c r="Q49" s="9">
        <v>46212</v>
      </c>
      <c r="R49" s="10">
        <v>47.17</v>
      </c>
      <c r="S49" s="8">
        <v>1</v>
      </c>
      <c r="T49" s="8" t="s">
        <v>58</v>
      </c>
      <c r="U49" s="8" t="s">
        <v>60</v>
      </c>
      <c r="V49" s="8" t="s">
        <v>61</v>
      </c>
      <c r="W49" s="8">
        <v>6</v>
      </c>
      <c r="X49" s="10">
        <v>107.52</v>
      </c>
      <c r="Y49" s="10">
        <v>17.920000000000002</v>
      </c>
      <c r="Z49" s="10">
        <v>0</v>
      </c>
      <c r="AA49" s="10">
        <v>107.52</v>
      </c>
      <c r="AB49" s="8" t="s">
        <v>238</v>
      </c>
      <c r="AC49" s="8" t="s">
        <v>1062</v>
      </c>
    </row>
    <row r="50" spans="1:29" s="8" customFormat="1" x14ac:dyDescent="0.25">
      <c r="A50" s="8">
        <v>2035982971</v>
      </c>
      <c r="B50" s="8" t="s">
        <v>156</v>
      </c>
      <c r="C50" s="8" t="s">
        <v>157</v>
      </c>
      <c r="D50" s="8" t="str">
        <f t="shared" si="0"/>
        <v>LISA BLASSINGALE</v>
      </c>
      <c r="E50" s="8" t="s">
        <v>52</v>
      </c>
      <c r="F50" s="8" t="s">
        <v>173</v>
      </c>
      <c r="G50" s="22">
        <v>0.38</v>
      </c>
      <c r="H50" s="8" t="s">
        <v>176</v>
      </c>
      <c r="I50" s="8" t="s">
        <v>176</v>
      </c>
      <c r="J50" s="21">
        <v>17425766</v>
      </c>
      <c r="K50" s="21">
        <v>17425766</v>
      </c>
      <c r="L50" s="8" t="s">
        <v>158</v>
      </c>
      <c r="M50" s="8" t="s">
        <v>159</v>
      </c>
      <c r="N50" s="8" t="str">
        <f>CONCATENATE(M50," ",L50)</f>
        <v>CAROL FOLEY</v>
      </c>
      <c r="O50" s="8" t="s">
        <v>57</v>
      </c>
      <c r="P50" s="9">
        <v>46185</v>
      </c>
      <c r="Q50" s="9">
        <v>46215</v>
      </c>
      <c r="R50" s="10">
        <v>53.16</v>
      </c>
      <c r="S50" s="8">
        <v>1</v>
      </c>
      <c r="T50" s="8" t="s">
        <v>58</v>
      </c>
      <c r="U50" s="8" t="s">
        <v>60</v>
      </c>
      <c r="V50" s="8" t="s">
        <v>61</v>
      </c>
      <c r="W50" s="8">
        <v>6</v>
      </c>
      <c r="X50" s="10">
        <v>121.2</v>
      </c>
      <c r="Y50" s="10">
        <v>20.2</v>
      </c>
      <c r="Z50" s="10">
        <v>0</v>
      </c>
      <c r="AA50" s="10">
        <v>121.2</v>
      </c>
      <c r="AB50" s="8" t="s">
        <v>238</v>
      </c>
      <c r="AC50" s="8" t="s">
        <v>1062</v>
      </c>
    </row>
    <row r="51" spans="1:29" s="8" customFormat="1" x14ac:dyDescent="0.25">
      <c r="A51" s="8">
        <v>2035974517</v>
      </c>
      <c r="B51" s="8" t="s">
        <v>49</v>
      </c>
      <c r="C51" s="8" t="s">
        <v>50</v>
      </c>
      <c r="D51" s="8" t="str">
        <f t="shared" si="0"/>
        <v>ROGER MOUNT</v>
      </c>
      <c r="E51" s="8" t="s">
        <v>52</v>
      </c>
      <c r="F51" s="8" t="s">
        <v>173</v>
      </c>
      <c r="G51" s="22">
        <v>0.38</v>
      </c>
      <c r="H51" s="8" t="s">
        <v>176</v>
      </c>
      <c r="I51" s="8" t="s">
        <v>176</v>
      </c>
      <c r="J51" s="21">
        <v>18781057</v>
      </c>
      <c r="K51" s="21">
        <v>18781057</v>
      </c>
      <c r="L51" s="8" t="s">
        <v>55</v>
      </c>
      <c r="M51" s="8" t="s">
        <v>56</v>
      </c>
      <c r="N51" s="8" t="str">
        <f>CONCATENATE(M51," ",L51)</f>
        <v>JOHN ROKEN</v>
      </c>
      <c r="O51" s="8" t="s">
        <v>57</v>
      </c>
      <c r="P51" s="9">
        <v>46185</v>
      </c>
      <c r="Q51" s="9">
        <v>46215</v>
      </c>
      <c r="R51" s="10">
        <v>40.35</v>
      </c>
      <c r="S51" s="8">
        <v>1</v>
      </c>
      <c r="T51" s="8" t="s">
        <v>58</v>
      </c>
      <c r="U51" s="8" t="s">
        <v>60</v>
      </c>
      <c r="V51" s="8" t="s">
        <v>61</v>
      </c>
      <c r="W51" s="8">
        <v>6</v>
      </c>
      <c r="X51" s="10">
        <v>91.98</v>
      </c>
      <c r="Y51" s="10">
        <v>15.33</v>
      </c>
      <c r="Z51" s="10">
        <v>0</v>
      </c>
      <c r="AA51" s="10">
        <v>91.98</v>
      </c>
      <c r="AB51" s="8" t="s">
        <v>238</v>
      </c>
      <c r="AC51" s="8" t="s">
        <v>1062</v>
      </c>
    </row>
    <row r="52" spans="1:29" s="8" customFormat="1" x14ac:dyDescent="0.25">
      <c r="A52" s="8">
        <v>2035976337</v>
      </c>
      <c r="B52" s="8" t="s">
        <v>227</v>
      </c>
      <c r="C52" s="8" t="s">
        <v>108</v>
      </c>
      <c r="D52" s="8" t="str">
        <f t="shared" si="0"/>
        <v>REBECCA MICHAEL</v>
      </c>
      <c r="E52" s="8" t="s">
        <v>209</v>
      </c>
      <c r="F52" s="8" t="s">
        <v>220</v>
      </c>
      <c r="G52" s="22">
        <v>0.19</v>
      </c>
      <c r="H52" s="8" t="s">
        <v>228</v>
      </c>
      <c r="I52" s="8" t="s">
        <v>998</v>
      </c>
      <c r="J52" s="21">
        <v>20724564</v>
      </c>
      <c r="K52" s="21">
        <v>20724564</v>
      </c>
      <c r="L52" s="8" t="s">
        <v>229</v>
      </c>
      <c r="M52" s="8" t="s">
        <v>230</v>
      </c>
      <c r="N52" s="8" t="str">
        <f>CONCATENATE(M52," ",L52)</f>
        <v>Marsha Sanderock</v>
      </c>
      <c r="O52" s="8" t="s">
        <v>57</v>
      </c>
      <c r="P52" s="9">
        <v>45962</v>
      </c>
      <c r="Q52" s="9">
        <v>45992</v>
      </c>
      <c r="R52" s="10">
        <v>3728.64</v>
      </c>
      <c r="S52" s="8">
        <v>1</v>
      </c>
      <c r="T52" s="8" t="s">
        <v>58</v>
      </c>
      <c r="U52" s="8" t="s">
        <v>60</v>
      </c>
      <c r="V52" s="8" t="s">
        <v>61</v>
      </c>
      <c r="W52" s="8">
        <v>0</v>
      </c>
      <c r="X52" s="10">
        <v>0</v>
      </c>
      <c r="Y52" s="10">
        <v>708.44</v>
      </c>
      <c r="Z52" s="10">
        <v>708.44</v>
      </c>
      <c r="AA52" s="10">
        <v>708.44</v>
      </c>
      <c r="AB52" s="8" t="s">
        <v>238</v>
      </c>
      <c r="AC52" s="8" t="s">
        <v>1062</v>
      </c>
    </row>
    <row r="53" spans="1:29" s="8" customFormat="1" x14ac:dyDescent="0.25">
      <c r="A53" s="8">
        <v>2035940445</v>
      </c>
      <c r="B53" s="8" t="s">
        <v>130</v>
      </c>
      <c r="C53" s="8" t="s">
        <v>131</v>
      </c>
      <c r="D53" s="8" t="str">
        <f t="shared" si="0"/>
        <v>JULIA VALENTINE-PURSEL</v>
      </c>
      <c r="E53" s="8" t="s">
        <v>83</v>
      </c>
      <c r="F53" s="8" t="s">
        <v>220</v>
      </c>
      <c r="G53" s="22">
        <v>0.19</v>
      </c>
      <c r="H53" s="8" t="s">
        <v>223</v>
      </c>
      <c r="I53" s="8" t="s">
        <v>223</v>
      </c>
      <c r="J53" s="21">
        <v>19491313</v>
      </c>
      <c r="K53" s="21">
        <v>19491313</v>
      </c>
      <c r="L53" s="8" t="s">
        <v>133</v>
      </c>
      <c r="M53" s="8" t="s">
        <v>134</v>
      </c>
      <c r="N53" s="8" t="str">
        <f>CONCATENATE(M53," ",L53)</f>
        <v>Steven Brandt</v>
      </c>
      <c r="O53" s="8" t="s">
        <v>57</v>
      </c>
      <c r="P53" s="9">
        <v>46183</v>
      </c>
      <c r="Q53" s="9">
        <v>46213</v>
      </c>
      <c r="R53" s="10">
        <v>236.15</v>
      </c>
      <c r="S53" s="8">
        <v>1</v>
      </c>
      <c r="T53" s="8" t="s">
        <v>58</v>
      </c>
      <c r="U53" s="8" t="s">
        <v>60</v>
      </c>
      <c r="V53" s="8" t="s">
        <v>61</v>
      </c>
      <c r="W53" s="8">
        <v>6</v>
      </c>
      <c r="X53" s="10">
        <v>269.22000000000003</v>
      </c>
      <c r="Y53" s="10">
        <v>44.87</v>
      </c>
      <c r="Z53" s="10">
        <v>0</v>
      </c>
      <c r="AA53" s="10">
        <v>269.22000000000003</v>
      </c>
      <c r="AB53" s="8" t="s">
        <v>238</v>
      </c>
      <c r="AC53" s="8" t="s">
        <v>1062</v>
      </c>
    </row>
    <row r="54" spans="1:29" s="8" customFormat="1" x14ac:dyDescent="0.25">
      <c r="A54" s="8">
        <v>2035809171</v>
      </c>
      <c r="B54" s="8" t="s">
        <v>75</v>
      </c>
      <c r="C54" s="8" t="s">
        <v>76</v>
      </c>
      <c r="D54" s="8" t="str">
        <f t="shared" si="0"/>
        <v>STEPHANIE RYDGREN</v>
      </c>
      <c r="E54" s="8" t="s">
        <v>77</v>
      </c>
      <c r="F54" s="8" t="s">
        <v>220</v>
      </c>
      <c r="G54" s="22">
        <v>0.28999999999999998</v>
      </c>
      <c r="H54" s="8" t="s">
        <v>221</v>
      </c>
      <c r="I54" s="8" t="s">
        <v>221</v>
      </c>
      <c r="J54" s="21">
        <v>8307933</v>
      </c>
      <c r="K54" s="21">
        <v>8307933</v>
      </c>
      <c r="L54" s="8" t="s">
        <v>79</v>
      </c>
      <c r="M54" s="8" t="s">
        <v>80</v>
      </c>
      <c r="N54" s="8" t="str">
        <f>CONCATENATE(M54," ",L54)</f>
        <v>GREGORY TEIPEL</v>
      </c>
      <c r="O54" s="8" t="s">
        <v>57</v>
      </c>
      <c r="P54" s="9">
        <v>46188</v>
      </c>
      <c r="Q54" s="9">
        <v>46218</v>
      </c>
      <c r="R54" s="10">
        <v>206.95</v>
      </c>
      <c r="S54" s="8">
        <v>1</v>
      </c>
      <c r="T54" s="8" t="s">
        <v>58</v>
      </c>
      <c r="U54" s="8" t="s">
        <v>60</v>
      </c>
      <c r="V54" s="8" t="s">
        <v>61</v>
      </c>
      <c r="W54" s="8">
        <v>6</v>
      </c>
      <c r="X54" s="10">
        <v>360.12</v>
      </c>
      <c r="Y54" s="10">
        <v>60.02</v>
      </c>
      <c r="Z54" s="10">
        <v>0</v>
      </c>
      <c r="AA54" s="10">
        <v>360.12</v>
      </c>
      <c r="AB54" s="8" t="s">
        <v>238</v>
      </c>
      <c r="AC54" s="8" t="s">
        <v>1062</v>
      </c>
    </row>
    <row r="55" spans="1:29" s="8" customFormat="1" x14ac:dyDescent="0.25">
      <c r="A55" s="8">
        <v>2035961424</v>
      </c>
      <c r="B55" s="8" t="s">
        <v>98</v>
      </c>
      <c r="C55" s="8" t="s">
        <v>99</v>
      </c>
      <c r="D55" s="8" t="str">
        <f t="shared" si="0"/>
        <v>LUCAS MCCARTNEY</v>
      </c>
      <c r="E55" s="8" t="s">
        <v>100</v>
      </c>
      <c r="F55" s="8" t="s">
        <v>220</v>
      </c>
      <c r="G55" s="22">
        <v>0.28999999999999998</v>
      </c>
      <c r="H55" s="8" t="s">
        <v>224</v>
      </c>
      <c r="I55" s="8" t="s">
        <v>221</v>
      </c>
      <c r="J55" s="21">
        <v>16018575</v>
      </c>
      <c r="K55" s="21">
        <v>16018575</v>
      </c>
      <c r="L55" s="8" t="s">
        <v>101</v>
      </c>
      <c r="M55" s="8" t="s">
        <v>102</v>
      </c>
      <c r="N55" s="8" t="str">
        <f>CONCATENATE(M55," ",L55)</f>
        <v>Kevin Berthelsen</v>
      </c>
      <c r="O55" s="8" t="s">
        <v>57</v>
      </c>
      <c r="P55" s="9">
        <v>46184</v>
      </c>
      <c r="Q55" s="9">
        <v>46214</v>
      </c>
      <c r="R55" s="10">
        <v>180.4</v>
      </c>
      <c r="S55" s="8">
        <v>1</v>
      </c>
      <c r="T55" s="8" t="s">
        <v>58</v>
      </c>
      <c r="U55" s="8" t="s">
        <v>60</v>
      </c>
      <c r="V55" s="8" t="s">
        <v>61</v>
      </c>
      <c r="W55" s="8">
        <v>6</v>
      </c>
      <c r="X55" s="10">
        <v>313.92</v>
      </c>
      <c r="Y55" s="10">
        <v>52.32</v>
      </c>
      <c r="Z55" s="10">
        <v>0</v>
      </c>
      <c r="AA55" s="10">
        <v>313.92</v>
      </c>
      <c r="AB55" s="8" t="s">
        <v>238</v>
      </c>
      <c r="AC55" s="8" t="s">
        <v>1062</v>
      </c>
    </row>
    <row r="56" spans="1:29" s="8" customFormat="1" x14ac:dyDescent="0.25">
      <c r="A56" s="8">
        <v>2035676325</v>
      </c>
      <c r="B56" s="8" t="s">
        <v>68</v>
      </c>
      <c r="C56" s="8" t="s">
        <v>69</v>
      </c>
      <c r="D56" s="8" t="str">
        <f t="shared" si="0"/>
        <v>RAYMOND STEVENS</v>
      </c>
      <c r="E56" s="8" t="s">
        <v>70</v>
      </c>
      <c r="F56" s="8" t="s">
        <v>182</v>
      </c>
      <c r="G56" s="22">
        <v>0.7</v>
      </c>
      <c r="H56" s="8" t="s">
        <v>183</v>
      </c>
      <c r="I56" s="8" t="s">
        <v>183</v>
      </c>
      <c r="J56" s="21">
        <v>20003537</v>
      </c>
      <c r="K56" s="21">
        <v>20003537</v>
      </c>
      <c r="L56" s="8" t="s">
        <v>73</v>
      </c>
      <c r="M56" s="8" t="s">
        <v>74</v>
      </c>
      <c r="N56" s="8" t="str">
        <f>CONCATENATE(M56," ",L56)</f>
        <v>Chad Yale</v>
      </c>
      <c r="O56" s="8" t="s">
        <v>57</v>
      </c>
      <c r="P56" s="9">
        <v>46204</v>
      </c>
      <c r="Q56" s="9">
        <v>46235</v>
      </c>
      <c r="R56" s="10">
        <v>49.18</v>
      </c>
      <c r="S56" s="8">
        <v>1</v>
      </c>
      <c r="T56" s="8" t="s">
        <v>58</v>
      </c>
      <c r="U56" s="8" t="s">
        <v>60</v>
      </c>
      <c r="V56" s="8" t="s">
        <v>61</v>
      </c>
      <c r="W56" s="8">
        <v>6</v>
      </c>
      <c r="X56" s="10">
        <v>206.58</v>
      </c>
      <c r="Y56" s="10">
        <v>34.43</v>
      </c>
      <c r="Z56" s="10">
        <v>0</v>
      </c>
      <c r="AA56" s="10">
        <v>206.58</v>
      </c>
      <c r="AB56" s="8" t="s">
        <v>238</v>
      </c>
      <c r="AC56" s="8" t="s">
        <v>1062</v>
      </c>
    </row>
    <row r="57" spans="1:29" s="8" customFormat="1" x14ac:dyDescent="0.25">
      <c r="A57" s="8">
        <v>2035935094</v>
      </c>
      <c r="B57" s="8" t="s">
        <v>87</v>
      </c>
      <c r="C57" s="8" t="s">
        <v>88</v>
      </c>
      <c r="D57" s="8" t="str">
        <f t="shared" si="0"/>
        <v>XENDRA SHEPPARD</v>
      </c>
      <c r="E57" s="8" t="s">
        <v>70</v>
      </c>
      <c r="F57" s="8" t="s">
        <v>182</v>
      </c>
      <c r="G57" s="22">
        <v>0.7</v>
      </c>
      <c r="H57" s="8" t="s">
        <v>183</v>
      </c>
      <c r="I57" s="8" t="s">
        <v>183</v>
      </c>
      <c r="J57" s="21">
        <v>20003537</v>
      </c>
      <c r="K57" s="21">
        <v>20003537</v>
      </c>
      <c r="L57" s="8" t="s">
        <v>73</v>
      </c>
      <c r="M57" s="8" t="s">
        <v>74</v>
      </c>
      <c r="N57" s="8" t="str">
        <f>CONCATENATE(M57," ",L57)</f>
        <v>Chad Yale</v>
      </c>
      <c r="O57" s="8" t="s">
        <v>57</v>
      </c>
      <c r="P57" s="9">
        <v>46183</v>
      </c>
      <c r="Q57" s="9">
        <v>46213</v>
      </c>
      <c r="R57" s="10">
        <v>79.17</v>
      </c>
      <c r="S57" s="8">
        <v>1</v>
      </c>
      <c r="T57" s="8" t="s">
        <v>58</v>
      </c>
      <c r="U57" s="8" t="s">
        <v>60</v>
      </c>
      <c r="V57" s="8" t="s">
        <v>61</v>
      </c>
      <c r="W57" s="8">
        <v>6</v>
      </c>
      <c r="X57" s="10">
        <v>332.52</v>
      </c>
      <c r="Y57" s="10">
        <v>55.42</v>
      </c>
      <c r="Z57" s="10">
        <v>0</v>
      </c>
      <c r="AA57" s="10">
        <v>332.52</v>
      </c>
      <c r="AB57" s="8" t="s">
        <v>238</v>
      </c>
      <c r="AC57" s="8" t="s">
        <v>1062</v>
      </c>
    </row>
    <row r="58" spans="1:29" s="8" customFormat="1" x14ac:dyDescent="0.25">
      <c r="A58" s="8">
        <v>2035961073</v>
      </c>
      <c r="B58" s="8" t="s">
        <v>96</v>
      </c>
      <c r="C58" s="8" t="s">
        <v>97</v>
      </c>
      <c r="D58" s="8" t="str">
        <f t="shared" si="0"/>
        <v>ANNA DUVALL</v>
      </c>
      <c r="E58" s="8" t="s">
        <v>70</v>
      </c>
      <c r="F58" s="8" t="s">
        <v>182</v>
      </c>
      <c r="G58" s="22">
        <v>0.7</v>
      </c>
      <c r="H58" s="8" t="s">
        <v>183</v>
      </c>
      <c r="I58" s="8" t="s">
        <v>183</v>
      </c>
      <c r="J58" s="21">
        <v>20003537</v>
      </c>
      <c r="K58" s="21">
        <v>20003537</v>
      </c>
      <c r="L58" s="8" t="s">
        <v>73</v>
      </c>
      <c r="M58" s="8" t="s">
        <v>74</v>
      </c>
      <c r="N58" s="8" t="str">
        <f>CONCATENATE(M58," ",L58)</f>
        <v>Chad Yale</v>
      </c>
      <c r="O58" s="8" t="s">
        <v>57</v>
      </c>
      <c r="P58" s="9">
        <v>46184</v>
      </c>
      <c r="Q58" s="9">
        <v>46214</v>
      </c>
      <c r="R58" s="10">
        <v>111.01</v>
      </c>
      <c r="S58" s="8">
        <v>1</v>
      </c>
      <c r="T58" s="8" t="s">
        <v>58</v>
      </c>
      <c r="U58" s="8" t="s">
        <v>60</v>
      </c>
      <c r="V58" s="8" t="s">
        <v>61</v>
      </c>
      <c r="W58" s="8">
        <v>6</v>
      </c>
      <c r="X58" s="10">
        <v>466.26</v>
      </c>
      <c r="Y58" s="10">
        <v>77.709999999999994</v>
      </c>
      <c r="Z58" s="10">
        <v>0</v>
      </c>
      <c r="AA58" s="10">
        <v>466.26</v>
      </c>
      <c r="AB58" s="8" t="s">
        <v>238</v>
      </c>
      <c r="AC58" s="8" t="s">
        <v>1062</v>
      </c>
    </row>
    <row r="59" spans="1:29" s="8" customFormat="1" x14ac:dyDescent="0.25">
      <c r="A59" s="8">
        <v>2036009617</v>
      </c>
      <c r="B59" s="8" t="s">
        <v>218</v>
      </c>
      <c r="C59" s="8" t="s">
        <v>219</v>
      </c>
      <c r="D59" s="8" t="str">
        <f t="shared" si="0"/>
        <v>GLENN ALBIOS</v>
      </c>
      <c r="E59" s="8" t="s">
        <v>70</v>
      </c>
      <c r="F59" s="8" t="s">
        <v>182</v>
      </c>
      <c r="G59" s="22">
        <v>0.7</v>
      </c>
      <c r="H59" s="8" t="s">
        <v>183</v>
      </c>
      <c r="I59" s="8" t="s">
        <v>183</v>
      </c>
      <c r="J59" s="21">
        <v>20003537</v>
      </c>
      <c r="K59" s="21">
        <v>20003537</v>
      </c>
      <c r="L59" s="8" t="s">
        <v>73</v>
      </c>
      <c r="M59" s="8" t="s">
        <v>74</v>
      </c>
      <c r="N59" s="8" t="str">
        <f>CONCATENATE(M59," ",L59)</f>
        <v>Chad Yale</v>
      </c>
      <c r="O59" s="8" t="s">
        <v>57</v>
      </c>
      <c r="P59" s="9">
        <v>46189</v>
      </c>
      <c r="Q59" s="9">
        <v>46219</v>
      </c>
      <c r="R59" s="10">
        <v>110.16</v>
      </c>
      <c r="S59" s="8">
        <v>1</v>
      </c>
      <c r="T59" s="8" t="s">
        <v>58</v>
      </c>
      <c r="U59" s="8" t="s">
        <v>60</v>
      </c>
      <c r="V59" s="8" t="s">
        <v>61</v>
      </c>
      <c r="W59" s="8">
        <v>6</v>
      </c>
      <c r="X59" s="10">
        <v>462.66</v>
      </c>
      <c r="Y59" s="10">
        <v>77.11</v>
      </c>
      <c r="Z59" s="10">
        <v>0</v>
      </c>
      <c r="AA59" s="10">
        <v>462.66</v>
      </c>
      <c r="AB59" s="8" t="s">
        <v>238</v>
      </c>
      <c r="AC59" s="8" t="s">
        <v>1062</v>
      </c>
    </row>
    <row r="60" spans="1:29" s="8" customFormat="1" x14ac:dyDescent="0.25">
      <c r="A60" s="8">
        <v>2035809172</v>
      </c>
      <c r="B60" s="8" t="s">
        <v>75</v>
      </c>
      <c r="C60" s="8" t="s">
        <v>76</v>
      </c>
      <c r="D60" s="8" t="str">
        <f t="shared" si="0"/>
        <v>STEPHANIE RYDGREN</v>
      </c>
      <c r="E60" s="8" t="s">
        <v>77</v>
      </c>
      <c r="F60" s="8" t="s">
        <v>182</v>
      </c>
      <c r="G60" s="22">
        <v>0.7</v>
      </c>
      <c r="H60" s="8" t="s">
        <v>183</v>
      </c>
      <c r="I60" s="8" t="s">
        <v>183</v>
      </c>
      <c r="J60" s="21">
        <v>8307933</v>
      </c>
      <c r="K60" s="21">
        <v>8307933</v>
      </c>
      <c r="L60" s="8" t="s">
        <v>79</v>
      </c>
      <c r="M60" s="8" t="s">
        <v>80</v>
      </c>
      <c r="N60" s="8" t="str">
        <f>CONCATENATE(M60," ",L60)</f>
        <v>GREGORY TEIPEL</v>
      </c>
      <c r="O60" s="8" t="s">
        <v>57</v>
      </c>
      <c r="P60" s="9">
        <v>46188</v>
      </c>
      <c r="Q60" s="9">
        <v>46218</v>
      </c>
      <c r="R60" s="10">
        <v>26.32</v>
      </c>
      <c r="S60" s="8">
        <v>1</v>
      </c>
      <c r="T60" s="8" t="s">
        <v>58</v>
      </c>
      <c r="U60" s="8" t="s">
        <v>60</v>
      </c>
      <c r="V60" s="8" t="s">
        <v>61</v>
      </c>
      <c r="W60" s="8">
        <v>6</v>
      </c>
      <c r="X60" s="10">
        <v>110.52</v>
      </c>
      <c r="Y60" s="10">
        <v>18.420000000000002</v>
      </c>
      <c r="Z60" s="10">
        <v>0</v>
      </c>
      <c r="AA60" s="10">
        <v>110.52</v>
      </c>
      <c r="AB60" s="8" t="s">
        <v>238</v>
      </c>
      <c r="AC60" s="8" t="s">
        <v>1062</v>
      </c>
    </row>
    <row r="61" spans="1:29" s="8" customFormat="1" x14ac:dyDescent="0.25">
      <c r="A61" s="8">
        <v>2035982979</v>
      </c>
      <c r="B61" s="8" t="s">
        <v>107</v>
      </c>
      <c r="C61" s="8" t="s">
        <v>108</v>
      </c>
      <c r="D61" s="8" t="str">
        <f t="shared" si="0"/>
        <v>REBECCA CORBETT</v>
      </c>
      <c r="E61" s="8" t="s">
        <v>95</v>
      </c>
      <c r="F61" s="8" t="s">
        <v>182</v>
      </c>
      <c r="G61" s="22">
        <v>0.7</v>
      </c>
      <c r="H61" s="8" t="s">
        <v>183</v>
      </c>
      <c r="I61" s="8" t="s">
        <v>183</v>
      </c>
      <c r="J61" s="21">
        <v>8307933</v>
      </c>
      <c r="K61" s="21">
        <v>8307933</v>
      </c>
      <c r="L61" s="8" t="s">
        <v>79</v>
      </c>
      <c r="M61" s="8" t="s">
        <v>80</v>
      </c>
      <c r="N61" s="8" t="str">
        <f>CONCATENATE(M61," ",L61)</f>
        <v>GREGORY TEIPEL</v>
      </c>
      <c r="O61" s="8" t="s">
        <v>57</v>
      </c>
      <c r="P61" s="9">
        <v>46204</v>
      </c>
      <c r="Q61" s="9">
        <v>46235</v>
      </c>
      <c r="R61" s="10">
        <v>22.92</v>
      </c>
      <c r="S61" s="8">
        <v>1</v>
      </c>
      <c r="T61" s="8" t="s">
        <v>58</v>
      </c>
      <c r="U61" s="8" t="s">
        <v>60</v>
      </c>
      <c r="V61" s="8" t="s">
        <v>61</v>
      </c>
      <c r="W61" s="8">
        <v>6</v>
      </c>
      <c r="X61" s="10">
        <v>96.24</v>
      </c>
      <c r="Y61" s="10">
        <v>16.04</v>
      </c>
      <c r="Z61" s="10">
        <v>0</v>
      </c>
      <c r="AA61" s="10">
        <v>96.24</v>
      </c>
      <c r="AB61" s="8" t="s">
        <v>238</v>
      </c>
      <c r="AC61" s="8" t="s">
        <v>1062</v>
      </c>
    </row>
    <row r="62" spans="1:29" s="8" customFormat="1" x14ac:dyDescent="0.25">
      <c r="A62" s="8">
        <v>2035967127</v>
      </c>
      <c r="B62" s="8" t="s">
        <v>103</v>
      </c>
      <c r="C62" s="8" t="s">
        <v>104</v>
      </c>
      <c r="D62" s="8" t="str">
        <f t="shared" si="0"/>
        <v>RENEE MARCHI</v>
      </c>
      <c r="E62" s="8" t="s">
        <v>95</v>
      </c>
      <c r="F62" s="8" t="s">
        <v>182</v>
      </c>
      <c r="G62" s="22">
        <v>0.7</v>
      </c>
      <c r="H62" s="8" t="s">
        <v>183</v>
      </c>
      <c r="I62" s="8" t="s">
        <v>183</v>
      </c>
      <c r="J62" s="21">
        <v>18754354</v>
      </c>
      <c r="K62" s="21">
        <v>18754354</v>
      </c>
      <c r="L62" s="8" t="s">
        <v>105</v>
      </c>
      <c r="M62" s="8" t="s">
        <v>106</v>
      </c>
      <c r="N62" s="8" t="str">
        <f>CONCATENATE(M62," ",L62)</f>
        <v>JACOB YALE</v>
      </c>
      <c r="O62" s="8" t="s">
        <v>57</v>
      </c>
      <c r="P62" s="9">
        <v>46204</v>
      </c>
      <c r="Q62" s="9">
        <v>46235</v>
      </c>
      <c r="R62" s="10">
        <v>50.81</v>
      </c>
      <c r="S62" s="8">
        <v>1</v>
      </c>
      <c r="T62" s="8" t="s">
        <v>58</v>
      </c>
      <c r="U62" s="8" t="s">
        <v>60</v>
      </c>
      <c r="V62" s="8" t="s">
        <v>61</v>
      </c>
      <c r="W62" s="8">
        <v>6</v>
      </c>
      <c r="X62" s="10">
        <v>213.42</v>
      </c>
      <c r="Y62" s="10">
        <v>35.57</v>
      </c>
      <c r="Z62" s="10">
        <v>0</v>
      </c>
      <c r="AA62" s="10">
        <v>213.42</v>
      </c>
      <c r="AB62" s="8" t="s">
        <v>238</v>
      </c>
      <c r="AC62" s="8" t="s">
        <v>1062</v>
      </c>
    </row>
    <row r="63" spans="1:29" s="8" customFormat="1" x14ac:dyDescent="0.25">
      <c r="A63" s="8">
        <v>2035941894</v>
      </c>
      <c r="B63" s="8" t="s">
        <v>203</v>
      </c>
      <c r="C63" s="8" t="s">
        <v>204</v>
      </c>
      <c r="D63" s="8" t="str">
        <f t="shared" si="0"/>
        <v>MIRANDA CARON</v>
      </c>
      <c r="E63" s="8" t="s">
        <v>95</v>
      </c>
      <c r="F63" s="8" t="s">
        <v>182</v>
      </c>
      <c r="G63" s="22">
        <v>0.7</v>
      </c>
      <c r="H63" s="8" t="s">
        <v>183</v>
      </c>
      <c r="I63" s="8" t="s">
        <v>183</v>
      </c>
      <c r="J63" s="21">
        <v>18201929</v>
      </c>
      <c r="K63" s="21">
        <v>18201929</v>
      </c>
      <c r="L63" s="8" t="s">
        <v>205</v>
      </c>
      <c r="M63" s="8" t="s">
        <v>206</v>
      </c>
      <c r="N63" s="8" t="str">
        <f>CONCATENATE(M63," ",L63)</f>
        <v>Jake Shulman</v>
      </c>
      <c r="O63" s="8" t="s">
        <v>57</v>
      </c>
      <c r="P63" s="9">
        <v>46183</v>
      </c>
      <c r="Q63" s="9">
        <v>46213</v>
      </c>
      <c r="R63" s="10">
        <v>22</v>
      </c>
      <c r="S63" s="8">
        <v>1</v>
      </c>
      <c r="T63" s="8" t="s">
        <v>58</v>
      </c>
      <c r="U63" s="8" t="s">
        <v>60</v>
      </c>
      <c r="V63" s="8" t="s">
        <v>61</v>
      </c>
      <c r="W63" s="8">
        <v>6</v>
      </c>
      <c r="X63" s="10">
        <v>92.4</v>
      </c>
      <c r="Y63" s="10">
        <v>15.4</v>
      </c>
      <c r="Z63" s="10">
        <v>0</v>
      </c>
      <c r="AA63" s="10">
        <v>92.4</v>
      </c>
      <c r="AB63" s="8" t="s">
        <v>238</v>
      </c>
      <c r="AC63" s="8" t="s">
        <v>1062</v>
      </c>
    </row>
    <row r="64" spans="1:29" s="8" customFormat="1" x14ac:dyDescent="0.25">
      <c r="A64" s="8">
        <v>2035961425</v>
      </c>
      <c r="B64" s="8" t="s">
        <v>98</v>
      </c>
      <c r="C64" s="8" t="s">
        <v>99</v>
      </c>
      <c r="D64" s="8" t="str">
        <f t="shared" si="0"/>
        <v>LUCAS MCCARTNEY</v>
      </c>
      <c r="E64" s="8" t="s">
        <v>100</v>
      </c>
      <c r="F64" s="8" t="s">
        <v>182</v>
      </c>
      <c r="G64" s="22">
        <v>0.7</v>
      </c>
      <c r="H64" s="8" t="s">
        <v>183</v>
      </c>
      <c r="I64" s="8" t="s">
        <v>183</v>
      </c>
      <c r="J64" s="21">
        <v>16018575</v>
      </c>
      <c r="K64" s="21">
        <v>16018575</v>
      </c>
      <c r="L64" s="8" t="s">
        <v>101</v>
      </c>
      <c r="M64" s="8" t="s">
        <v>102</v>
      </c>
      <c r="N64" s="8" t="str">
        <f>CONCATENATE(M64," ",L64)</f>
        <v>Kevin Berthelsen</v>
      </c>
      <c r="O64" s="8" t="s">
        <v>57</v>
      </c>
      <c r="P64" s="9">
        <v>46184</v>
      </c>
      <c r="Q64" s="9">
        <v>46214</v>
      </c>
      <c r="R64" s="10">
        <v>51.74</v>
      </c>
      <c r="S64" s="8">
        <v>1</v>
      </c>
      <c r="T64" s="8" t="s">
        <v>58</v>
      </c>
      <c r="U64" s="8" t="s">
        <v>60</v>
      </c>
      <c r="V64" s="8" t="s">
        <v>61</v>
      </c>
      <c r="W64" s="8">
        <v>6</v>
      </c>
      <c r="X64" s="10">
        <v>217.32</v>
      </c>
      <c r="Y64" s="10">
        <v>36.22</v>
      </c>
      <c r="Z64" s="10">
        <v>0</v>
      </c>
      <c r="AA64" s="10">
        <v>217.32</v>
      </c>
      <c r="AB64" s="8" t="s">
        <v>238</v>
      </c>
      <c r="AC64" s="8" t="s">
        <v>1062</v>
      </c>
    </row>
    <row r="65" spans="1:29" s="8" customFormat="1" x14ac:dyDescent="0.25">
      <c r="A65" s="8">
        <v>2035681664</v>
      </c>
      <c r="B65" s="8" t="s">
        <v>184</v>
      </c>
      <c r="C65" s="8" t="s">
        <v>185</v>
      </c>
      <c r="D65" s="8" t="str">
        <f t="shared" si="0"/>
        <v>LARRY WILLIS</v>
      </c>
      <c r="E65" s="8" t="s">
        <v>186</v>
      </c>
      <c r="F65" s="8" t="s">
        <v>182</v>
      </c>
      <c r="G65" s="22">
        <v>0.7</v>
      </c>
      <c r="H65" s="8" t="s">
        <v>183</v>
      </c>
      <c r="I65" s="8" t="s">
        <v>183</v>
      </c>
      <c r="J65" s="21">
        <v>8977234</v>
      </c>
      <c r="K65" s="21">
        <v>8977234</v>
      </c>
      <c r="L65" s="8" t="s">
        <v>85</v>
      </c>
      <c r="M65" s="8" t="s">
        <v>86</v>
      </c>
      <c r="N65" s="8" t="str">
        <f>CONCATENATE(M65," ",L65)</f>
        <v>RYAN CALTAGIRONE</v>
      </c>
      <c r="O65" s="8" t="s">
        <v>57</v>
      </c>
      <c r="P65" s="9">
        <v>46183</v>
      </c>
      <c r="Q65" s="9">
        <v>46213</v>
      </c>
      <c r="R65" s="10">
        <v>69.349999999999994</v>
      </c>
      <c r="S65" s="8">
        <v>1</v>
      </c>
      <c r="T65" s="8" t="s">
        <v>58</v>
      </c>
      <c r="U65" s="8" t="s">
        <v>60</v>
      </c>
      <c r="V65" s="8" t="s">
        <v>61</v>
      </c>
      <c r="W65" s="8">
        <v>6</v>
      </c>
      <c r="X65" s="10">
        <v>291.24</v>
      </c>
      <c r="Y65" s="10">
        <v>48.54</v>
      </c>
      <c r="Z65" s="10">
        <v>0</v>
      </c>
      <c r="AA65" s="10">
        <v>291.24</v>
      </c>
      <c r="AB65" s="8" t="s">
        <v>238</v>
      </c>
      <c r="AC65" s="8" t="s">
        <v>1062</v>
      </c>
    </row>
    <row r="66" spans="1:29" s="8" customFormat="1" x14ac:dyDescent="0.25">
      <c r="A66" s="8">
        <v>2035914446</v>
      </c>
      <c r="B66" s="8" t="s">
        <v>81</v>
      </c>
      <c r="C66" s="8" t="s">
        <v>82</v>
      </c>
      <c r="D66" s="8" t="str">
        <f t="shared" si="0"/>
        <v>KAYLEIGH BALL</v>
      </c>
      <c r="E66" s="8" t="s">
        <v>83</v>
      </c>
      <c r="F66" s="8" t="s">
        <v>182</v>
      </c>
      <c r="G66" s="22">
        <v>0.7</v>
      </c>
      <c r="H66" s="8" t="s">
        <v>183</v>
      </c>
      <c r="I66" s="8" t="s">
        <v>183</v>
      </c>
      <c r="J66" s="21">
        <v>8977234</v>
      </c>
      <c r="K66" s="21">
        <v>8977234</v>
      </c>
      <c r="L66" s="8" t="s">
        <v>85</v>
      </c>
      <c r="M66" s="8" t="s">
        <v>86</v>
      </c>
      <c r="N66" s="8" t="str">
        <f>CONCATENATE(M66," ",L66)</f>
        <v>RYAN CALTAGIRONE</v>
      </c>
      <c r="O66" s="8" t="s">
        <v>57</v>
      </c>
      <c r="P66" s="9">
        <v>46204</v>
      </c>
      <c r="Q66" s="9">
        <v>46235</v>
      </c>
      <c r="R66" s="10">
        <v>65.48</v>
      </c>
      <c r="S66" s="8">
        <v>1</v>
      </c>
      <c r="T66" s="8" t="s">
        <v>58</v>
      </c>
      <c r="U66" s="8" t="s">
        <v>60</v>
      </c>
      <c r="V66" s="8" t="s">
        <v>61</v>
      </c>
      <c r="W66" s="8">
        <v>6</v>
      </c>
      <c r="X66" s="10">
        <v>275.04000000000002</v>
      </c>
      <c r="Y66" s="10">
        <v>45.84</v>
      </c>
      <c r="Z66" s="10">
        <v>0</v>
      </c>
      <c r="AA66" s="10">
        <v>275.04000000000002</v>
      </c>
      <c r="AB66" s="8" t="s">
        <v>238</v>
      </c>
      <c r="AC66" s="8" t="s">
        <v>1062</v>
      </c>
    </row>
    <row r="67" spans="1:29" s="8" customFormat="1" x14ac:dyDescent="0.25">
      <c r="A67" s="8">
        <v>2035940834</v>
      </c>
      <c r="B67" s="8" t="s">
        <v>93</v>
      </c>
      <c r="C67" s="8" t="s">
        <v>94</v>
      </c>
      <c r="D67" s="8" t="str">
        <f t="shared" ref="D67:D86" si="2">CONCATENATE(C67," ",B67)</f>
        <v>ANDREA KOUNELAS</v>
      </c>
      <c r="E67" s="8" t="s">
        <v>95</v>
      </c>
      <c r="F67" s="8" t="s">
        <v>182</v>
      </c>
      <c r="G67" s="22">
        <v>0.7</v>
      </c>
      <c r="H67" s="8" t="s">
        <v>183</v>
      </c>
      <c r="I67" s="8" t="s">
        <v>183</v>
      </c>
      <c r="J67" s="21">
        <v>8977234</v>
      </c>
      <c r="K67" s="21">
        <v>8977234</v>
      </c>
      <c r="L67" s="8" t="s">
        <v>85</v>
      </c>
      <c r="M67" s="8" t="s">
        <v>86</v>
      </c>
      <c r="N67" s="8" t="str">
        <f>CONCATENATE(M67," ",L67)</f>
        <v>RYAN CALTAGIRONE</v>
      </c>
      <c r="O67" s="8" t="s">
        <v>57</v>
      </c>
      <c r="P67" s="9">
        <v>46204</v>
      </c>
      <c r="Q67" s="9">
        <v>46235</v>
      </c>
      <c r="R67" s="10">
        <v>50.07</v>
      </c>
      <c r="S67" s="8">
        <v>1</v>
      </c>
      <c r="T67" s="8" t="s">
        <v>58</v>
      </c>
      <c r="U67" s="8" t="s">
        <v>60</v>
      </c>
      <c r="V67" s="8" t="s">
        <v>61</v>
      </c>
      <c r="W67" s="8">
        <v>6</v>
      </c>
      <c r="X67" s="10">
        <v>210.3</v>
      </c>
      <c r="Y67" s="10">
        <v>35.049999999999997</v>
      </c>
      <c r="Z67" s="10">
        <v>0</v>
      </c>
      <c r="AA67" s="10">
        <v>210.3</v>
      </c>
      <c r="AB67" s="8" t="s">
        <v>238</v>
      </c>
      <c r="AC67" s="8" t="s">
        <v>1062</v>
      </c>
    </row>
    <row r="68" spans="1:29" s="8" customFormat="1" x14ac:dyDescent="0.25">
      <c r="A68" s="8">
        <v>2035945184</v>
      </c>
      <c r="B68" s="8" t="s">
        <v>207</v>
      </c>
      <c r="C68" s="8" t="s">
        <v>208</v>
      </c>
      <c r="D68" s="8" t="str">
        <f t="shared" si="2"/>
        <v>MELISSA RUTHERFORD</v>
      </c>
      <c r="E68" s="8" t="s">
        <v>209</v>
      </c>
      <c r="F68" s="8" t="s">
        <v>182</v>
      </c>
      <c r="G68" s="22">
        <v>0.7</v>
      </c>
      <c r="H68" s="8" t="s">
        <v>183</v>
      </c>
      <c r="I68" s="8" t="s">
        <v>183</v>
      </c>
      <c r="J68" s="21">
        <v>8977234</v>
      </c>
      <c r="K68" s="21">
        <v>8977234</v>
      </c>
      <c r="L68" s="8" t="s">
        <v>85</v>
      </c>
      <c r="M68" s="8" t="s">
        <v>86</v>
      </c>
      <c r="N68" s="8" t="str">
        <f>CONCATENATE(M68," ",L68)</f>
        <v>RYAN CALTAGIRONE</v>
      </c>
      <c r="O68" s="8" t="s">
        <v>57</v>
      </c>
      <c r="P68" s="9">
        <v>46183</v>
      </c>
      <c r="Q68" s="9">
        <v>46213</v>
      </c>
      <c r="R68" s="10">
        <v>61.01</v>
      </c>
      <c r="S68" s="8">
        <v>1</v>
      </c>
      <c r="T68" s="8" t="s">
        <v>58</v>
      </c>
      <c r="U68" s="8" t="s">
        <v>60</v>
      </c>
      <c r="V68" s="8" t="s">
        <v>61</v>
      </c>
      <c r="W68" s="8">
        <v>6</v>
      </c>
      <c r="X68" s="10">
        <v>256.26</v>
      </c>
      <c r="Y68" s="10">
        <v>42.71</v>
      </c>
      <c r="Z68" s="10">
        <v>0</v>
      </c>
      <c r="AA68" s="10">
        <v>256.26</v>
      </c>
      <c r="AB68" s="8" t="s">
        <v>238</v>
      </c>
      <c r="AC68" s="8" t="s">
        <v>1062</v>
      </c>
    </row>
    <row r="69" spans="1:29" s="8" customFormat="1" x14ac:dyDescent="0.25">
      <c r="A69" s="8">
        <v>2035938019</v>
      </c>
      <c r="B69" s="8" t="s">
        <v>89</v>
      </c>
      <c r="C69" s="8" t="s">
        <v>90</v>
      </c>
      <c r="D69" s="8" t="str">
        <f t="shared" si="2"/>
        <v>MARIO KELLEY</v>
      </c>
      <c r="E69" s="8" t="s">
        <v>83</v>
      </c>
      <c r="F69" s="8" t="s">
        <v>182</v>
      </c>
      <c r="G69" s="22">
        <v>0.7</v>
      </c>
      <c r="H69" s="8" t="s">
        <v>183</v>
      </c>
      <c r="I69" s="8" t="s">
        <v>183</v>
      </c>
      <c r="J69" s="21">
        <v>16170994</v>
      </c>
      <c r="K69" s="21">
        <v>16170994</v>
      </c>
      <c r="L69" s="8" t="s">
        <v>91</v>
      </c>
      <c r="M69" s="8" t="s">
        <v>92</v>
      </c>
      <c r="N69" s="8" t="str">
        <f>CONCATENATE(M69," ",L69)</f>
        <v>Ryan Shepard</v>
      </c>
      <c r="O69" s="8" t="s">
        <v>57</v>
      </c>
      <c r="P69" s="9">
        <v>46183</v>
      </c>
      <c r="Q69" s="9">
        <v>46213</v>
      </c>
      <c r="R69" s="10">
        <v>58.43</v>
      </c>
      <c r="S69" s="8">
        <v>1</v>
      </c>
      <c r="T69" s="8" t="s">
        <v>58</v>
      </c>
      <c r="U69" s="8" t="s">
        <v>60</v>
      </c>
      <c r="V69" s="8" t="s">
        <v>61</v>
      </c>
      <c r="W69" s="8">
        <v>6</v>
      </c>
      <c r="X69" s="10">
        <v>245.4</v>
      </c>
      <c r="Y69" s="10">
        <v>40.9</v>
      </c>
      <c r="Z69" s="10">
        <v>0</v>
      </c>
      <c r="AA69" s="10">
        <v>245.4</v>
      </c>
      <c r="AB69" s="8" t="s">
        <v>238</v>
      </c>
      <c r="AC69" s="8" t="s">
        <v>1062</v>
      </c>
    </row>
    <row r="70" spans="1:29" s="8" customFormat="1" x14ac:dyDescent="0.25">
      <c r="A70" s="8">
        <v>2035976426</v>
      </c>
      <c r="B70" s="8" t="s">
        <v>154</v>
      </c>
      <c r="C70" s="8" t="s">
        <v>155</v>
      </c>
      <c r="D70" s="8" t="str">
        <f t="shared" si="2"/>
        <v>LOGAN PALMER</v>
      </c>
      <c r="E70" s="8" t="s">
        <v>83</v>
      </c>
      <c r="F70" s="8" t="s">
        <v>182</v>
      </c>
      <c r="G70" s="22">
        <v>0.7</v>
      </c>
      <c r="H70" s="8" t="s">
        <v>183</v>
      </c>
      <c r="I70" s="8" t="s">
        <v>183</v>
      </c>
      <c r="J70" s="21">
        <v>16170994</v>
      </c>
      <c r="K70" s="21">
        <v>16170994</v>
      </c>
      <c r="L70" s="8" t="s">
        <v>91</v>
      </c>
      <c r="M70" s="8" t="s">
        <v>92</v>
      </c>
      <c r="N70" s="8" t="str">
        <f>CONCATENATE(M70," ",L70)</f>
        <v>Ryan Shepard</v>
      </c>
      <c r="O70" s="8" t="s">
        <v>57</v>
      </c>
      <c r="P70" s="9">
        <v>46185</v>
      </c>
      <c r="Q70" s="9">
        <v>46215</v>
      </c>
      <c r="R70" s="10">
        <v>39.6</v>
      </c>
      <c r="S70" s="8">
        <v>1</v>
      </c>
      <c r="T70" s="8" t="s">
        <v>58</v>
      </c>
      <c r="U70" s="8" t="s">
        <v>60</v>
      </c>
      <c r="V70" s="8" t="s">
        <v>61</v>
      </c>
      <c r="W70" s="8">
        <v>6</v>
      </c>
      <c r="X70" s="10">
        <v>166.32</v>
      </c>
      <c r="Y70" s="10">
        <v>27.72</v>
      </c>
      <c r="Z70" s="10">
        <v>0</v>
      </c>
      <c r="AA70" s="10">
        <v>166.32</v>
      </c>
      <c r="AB70" s="8" t="s">
        <v>238</v>
      </c>
      <c r="AC70" s="8" t="s">
        <v>1062</v>
      </c>
    </row>
    <row r="71" spans="1:29" s="8" customFormat="1" x14ac:dyDescent="0.25">
      <c r="A71" s="8">
        <v>2035940446</v>
      </c>
      <c r="B71" s="8" t="s">
        <v>130</v>
      </c>
      <c r="C71" s="8" t="s">
        <v>131</v>
      </c>
      <c r="D71" s="8" t="str">
        <f t="shared" si="2"/>
        <v>JULIA VALENTINE-PURSEL</v>
      </c>
      <c r="E71" s="8" t="s">
        <v>83</v>
      </c>
      <c r="F71" s="8" t="s">
        <v>182</v>
      </c>
      <c r="G71" s="22">
        <v>0.7</v>
      </c>
      <c r="H71" s="8" t="s">
        <v>183</v>
      </c>
      <c r="I71" s="8" t="s">
        <v>183</v>
      </c>
      <c r="J71" s="21">
        <v>19491313</v>
      </c>
      <c r="K71" s="21">
        <v>19491313</v>
      </c>
      <c r="L71" s="8" t="s">
        <v>133</v>
      </c>
      <c r="M71" s="8" t="s">
        <v>134</v>
      </c>
      <c r="N71" s="8" t="str">
        <f>CONCATENATE(M71," ",L71)</f>
        <v>Steven Brandt</v>
      </c>
      <c r="O71" s="8" t="s">
        <v>57</v>
      </c>
      <c r="P71" s="9">
        <v>46183</v>
      </c>
      <c r="Q71" s="9">
        <v>46213</v>
      </c>
      <c r="R71" s="10">
        <v>113.02</v>
      </c>
      <c r="S71" s="8">
        <v>1</v>
      </c>
      <c r="T71" s="8" t="s">
        <v>58</v>
      </c>
      <c r="U71" s="8" t="s">
        <v>60</v>
      </c>
      <c r="V71" s="8" t="s">
        <v>61</v>
      </c>
      <c r="W71" s="8">
        <v>6</v>
      </c>
      <c r="X71" s="10">
        <v>474.66</v>
      </c>
      <c r="Y71" s="10">
        <v>79.11</v>
      </c>
      <c r="Z71" s="10">
        <v>0</v>
      </c>
      <c r="AA71" s="10">
        <v>474.66</v>
      </c>
      <c r="AB71" s="8" t="s">
        <v>238</v>
      </c>
      <c r="AC71" s="8" t="s">
        <v>1062</v>
      </c>
    </row>
    <row r="72" spans="1:29" s="8" customFormat="1" x14ac:dyDescent="0.25">
      <c r="A72" s="8">
        <v>2035940444</v>
      </c>
      <c r="B72" s="8" t="s">
        <v>130</v>
      </c>
      <c r="C72" s="8" t="s">
        <v>131</v>
      </c>
      <c r="D72" s="8" t="str">
        <f t="shared" si="2"/>
        <v>JULIA VALENTINE-PURSEL</v>
      </c>
      <c r="E72" s="8" t="s">
        <v>83</v>
      </c>
      <c r="F72" s="8" t="s">
        <v>220</v>
      </c>
      <c r="G72" s="22">
        <v>0.19</v>
      </c>
      <c r="H72" s="8" t="s">
        <v>222</v>
      </c>
      <c r="I72" s="8" t="s">
        <v>223</v>
      </c>
      <c r="J72" s="21">
        <v>19491313</v>
      </c>
      <c r="K72" s="21">
        <v>19491313</v>
      </c>
      <c r="L72" s="8" t="s">
        <v>133</v>
      </c>
      <c r="M72" s="8" t="s">
        <v>134</v>
      </c>
      <c r="N72" s="8" t="str">
        <f>CONCATENATE(M72," ",L72)</f>
        <v>Steven Brandt</v>
      </c>
      <c r="O72" s="8" t="s">
        <v>57</v>
      </c>
      <c r="P72" s="9">
        <v>46183</v>
      </c>
      <c r="Q72" s="9">
        <v>46213</v>
      </c>
      <c r="R72" s="10">
        <v>9.9499999999999993</v>
      </c>
      <c r="S72" s="8">
        <v>1</v>
      </c>
      <c r="T72" s="8" t="s">
        <v>58</v>
      </c>
      <c r="U72" s="8" t="s">
        <v>60</v>
      </c>
      <c r="V72" s="8" t="s">
        <v>61</v>
      </c>
      <c r="W72" s="8">
        <v>6</v>
      </c>
      <c r="X72" s="10">
        <v>11.34</v>
      </c>
      <c r="Y72" s="10">
        <v>1.89</v>
      </c>
      <c r="Z72" s="10">
        <v>0</v>
      </c>
      <c r="AA72" s="10">
        <v>11.34</v>
      </c>
      <c r="AB72" s="8" t="s">
        <v>238</v>
      </c>
      <c r="AC72" s="8" t="s">
        <v>1062</v>
      </c>
    </row>
    <row r="73" spans="1:29" s="8" customFormat="1" x14ac:dyDescent="0.25">
      <c r="A73" s="8">
        <v>2035961427</v>
      </c>
      <c r="B73" s="8" t="s">
        <v>98</v>
      </c>
      <c r="C73" s="8" t="s">
        <v>99</v>
      </c>
      <c r="D73" s="8" t="str">
        <f t="shared" si="2"/>
        <v>LUCAS MCCARTNEY</v>
      </c>
      <c r="E73" s="8" t="s">
        <v>100</v>
      </c>
      <c r="F73" s="8" t="s">
        <v>220</v>
      </c>
      <c r="G73" s="22">
        <v>0.28999999999999998</v>
      </c>
      <c r="H73" s="8" t="s">
        <v>226</v>
      </c>
      <c r="I73" s="8" t="s">
        <v>221</v>
      </c>
      <c r="J73" s="21">
        <v>16018575</v>
      </c>
      <c r="K73" s="21">
        <v>16018575</v>
      </c>
      <c r="L73" s="8" t="s">
        <v>101</v>
      </c>
      <c r="M73" s="8" t="s">
        <v>102</v>
      </c>
      <c r="N73" s="8" t="str">
        <f>CONCATENATE(M73," ",L73)</f>
        <v>Kevin Berthelsen</v>
      </c>
      <c r="O73" s="8" t="s">
        <v>57</v>
      </c>
      <c r="P73" s="9">
        <v>46184</v>
      </c>
      <c r="Q73" s="9">
        <v>46214</v>
      </c>
      <c r="R73" s="10">
        <v>9.9499999999999993</v>
      </c>
      <c r="S73" s="8">
        <v>1</v>
      </c>
      <c r="T73" s="8" t="s">
        <v>58</v>
      </c>
      <c r="U73" s="8" t="s">
        <v>60</v>
      </c>
      <c r="V73" s="8" t="s">
        <v>61</v>
      </c>
      <c r="W73" s="8">
        <v>6</v>
      </c>
      <c r="X73" s="10">
        <v>17.34</v>
      </c>
      <c r="Y73" s="10">
        <v>2.89</v>
      </c>
      <c r="Z73" s="10">
        <v>0</v>
      </c>
      <c r="AA73" s="10">
        <v>17.34</v>
      </c>
      <c r="AB73" s="8" t="s">
        <v>238</v>
      </c>
      <c r="AC73" s="8" t="s">
        <v>1062</v>
      </c>
    </row>
    <row r="74" spans="1:29" s="8" customFormat="1" x14ac:dyDescent="0.25">
      <c r="A74" s="8">
        <v>2035982972</v>
      </c>
      <c r="B74" s="8" t="s">
        <v>156</v>
      </c>
      <c r="C74" s="8" t="s">
        <v>157</v>
      </c>
      <c r="D74" s="8" t="str">
        <f t="shared" si="2"/>
        <v>LISA BLASSINGALE</v>
      </c>
      <c r="E74" s="8" t="s">
        <v>52</v>
      </c>
      <c r="F74" s="8" t="s">
        <v>146</v>
      </c>
      <c r="G74" s="23">
        <v>0.375</v>
      </c>
      <c r="H74" s="8" t="s">
        <v>147</v>
      </c>
      <c r="I74" s="8" t="s">
        <v>147</v>
      </c>
      <c r="J74" s="21">
        <v>17425766</v>
      </c>
      <c r="K74" s="21">
        <v>17425766</v>
      </c>
      <c r="L74" s="8" t="s">
        <v>158</v>
      </c>
      <c r="M74" s="8" t="s">
        <v>159</v>
      </c>
      <c r="N74" s="8" t="str">
        <f>CONCATENATE(M74," ",L74)</f>
        <v>CAROL FOLEY</v>
      </c>
      <c r="O74" s="8" t="s">
        <v>57</v>
      </c>
      <c r="P74" s="9">
        <v>46185</v>
      </c>
      <c r="Q74" s="9">
        <v>46215</v>
      </c>
      <c r="R74" s="10">
        <v>45.42</v>
      </c>
      <c r="S74" s="8">
        <v>1</v>
      </c>
      <c r="T74" s="8" t="s">
        <v>58</v>
      </c>
      <c r="U74" s="8" t="s">
        <v>60</v>
      </c>
      <c r="V74" s="8" t="s">
        <v>61</v>
      </c>
      <c r="W74" s="8">
        <v>6</v>
      </c>
      <c r="X74" s="10">
        <v>102.18</v>
      </c>
      <c r="Y74" s="10">
        <v>17.03</v>
      </c>
      <c r="Z74" s="10">
        <v>0</v>
      </c>
      <c r="AA74" s="10">
        <v>102.18</v>
      </c>
      <c r="AB74" s="8" t="s">
        <v>238</v>
      </c>
      <c r="AC74" s="8" t="s">
        <v>1062</v>
      </c>
    </row>
    <row r="75" spans="1:29" s="8" customFormat="1" x14ac:dyDescent="0.25">
      <c r="A75" s="8">
        <v>2035809129</v>
      </c>
      <c r="B75" s="8" t="s">
        <v>143</v>
      </c>
      <c r="C75" s="8" t="s">
        <v>144</v>
      </c>
      <c r="D75" s="8" t="str">
        <f t="shared" si="2"/>
        <v>KAREN PAYNE</v>
      </c>
      <c r="E75" s="8" t="s">
        <v>145</v>
      </c>
      <c r="F75" s="8" t="s">
        <v>146</v>
      </c>
      <c r="G75" s="23">
        <v>0.375</v>
      </c>
      <c r="H75" s="8" t="s">
        <v>147</v>
      </c>
      <c r="I75" s="8" t="s">
        <v>147</v>
      </c>
      <c r="J75" s="21">
        <v>21658262</v>
      </c>
      <c r="K75" s="21">
        <v>21658262</v>
      </c>
      <c r="L75" s="8" t="s">
        <v>148</v>
      </c>
      <c r="M75" s="8" t="s">
        <v>149</v>
      </c>
      <c r="N75" s="8" t="str">
        <f>CONCATENATE(M75," ",L75)</f>
        <v>Erin Byrne</v>
      </c>
      <c r="O75" s="8" t="s">
        <v>57</v>
      </c>
      <c r="P75" s="9">
        <v>46185</v>
      </c>
      <c r="Q75" s="9">
        <v>46215</v>
      </c>
      <c r="R75" s="10">
        <v>89.64</v>
      </c>
      <c r="S75" s="8">
        <v>1</v>
      </c>
      <c r="T75" s="8" t="s">
        <v>58</v>
      </c>
      <c r="U75" s="8" t="s">
        <v>60</v>
      </c>
      <c r="V75" s="8" t="s">
        <v>61</v>
      </c>
      <c r="W75" s="8">
        <v>6</v>
      </c>
      <c r="X75" s="10">
        <v>201.72</v>
      </c>
      <c r="Y75" s="10">
        <v>33.619999999999997</v>
      </c>
      <c r="Z75" s="10">
        <v>0</v>
      </c>
      <c r="AA75" s="10">
        <v>201.72</v>
      </c>
      <c r="AB75" s="8" t="s">
        <v>238</v>
      </c>
      <c r="AC75" s="8" t="s">
        <v>1062</v>
      </c>
    </row>
    <row r="76" spans="1:29" s="8" customFormat="1" x14ac:dyDescent="0.25">
      <c r="A76" s="8">
        <v>2036023975</v>
      </c>
      <c r="B76" s="8" t="s">
        <v>66</v>
      </c>
      <c r="C76" s="8" t="s">
        <v>67</v>
      </c>
      <c r="D76" s="8" t="str">
        <f t="shared" si="2"/>
        <v>GIANNA BOJAZI</v>
      </c>
      <c r="E76" s="8" t="s">
        <v>52</v>
      </c>
      <c r="F76" s="8" t="s">
        <v>146</v>
      </c>
      <c r="G76" s="23">
        <v>0.375</v>
      </c>
      <c r="H76" s="8" t="s">
        <v>147</v>
      </c>
      <c r="I76" s="8" t="s">
        <v>147</v>
      </c>
      <c r="J76" s="21">
        <v>18781057</v>
      </c>
      <c r="K76" s="21">
        <v>18781057</v>
      </c>
      <c r="L76" s="8" t="s">
        <v>55</v>
      </c>
      <c r="M76" s="8" t="s">
        <v>56</v>
      </c>
      <c r="N76" s="8" t="str">
        <f>CONCATENATE(M76," ",L76)</f>
        <v>JOHN ROKEN</v>
      </c>
      <c r="O76" s="8" t="s">
        <v>57</v>
      </c>
      <c r="P76" s="9">
        <v>46187</v>
      </c>
      <c r="Q76" s="9">
        <v>46217</v>
      </c>
      <c r="R76" s="10">
        <v>83.91</v>
      </c>
      <c r="S76" s="8">
        <v>1</v>
      </c>
      <c r="T76" s="8" t="s">
        <v>58</v>
      </c>
      <c r="U76" s="8" t="s">
        <v>60</v>
      </c>
      <c r="V76" s="8" t="s">
        <v>61</v>
      </c>
      <c r="W76" s="8">
        <v>6</v>
      </c>
      <c r="X76" s="10">
        <v>188.82</v>
      </c>
      <c r="Y76" s="10">
        <v>31.47</v>
      </c>
      <c r="Z76" s="10">
        <v>0</v>
      </c>
      <c r="AA76" s="10">
        <v>188.82</v>
      </c>
      <c r="AB76" s="8" t="s">
        <v>238</v>
      </c>
      <c r="AC76" s="8" t="s">
        <v>1062</v>
      </c>
    </row>
    <row r="77" spans="1:29" s="8" customFormat="1" x14ac:dyDescent="0.25">
      <c r="A77" s="8">
        <v>2035984863</v>
      </c>
      <c r="B77" s="8" t="s">
        <v>160</v>
      </c>
      <c r="C77" s="8" t="s">
        <v>161</v>
      </c>
      <c r="D77" s="8" t="str">
        <f t="shared" si="2"/>
        <v>MARNE RICHMEIER</v>
      </c>
      <c r="E77" s="8" t="s">
        <v>162</v>
      </c>
      <c r="F77" s="8" t="s">
        <v>146</v>
      </c>
      <c r="G77" s="23">
        <v>0.375</v>
      </c>
      <c r="H77" s="8" t="s">
        <v>147</v>
      </c>
      <c r="I77" s="8" t="s">
        <v>147</v>
      </c>
      <c r="J77" s="21">
        <v>16018575</v>
      </c>
      <c r="K77" s="21">
        <v>16018575</v>
      </c>
      <c r="L77" s="8" t="s">
        <v>101</v>
      </c>
      <c r="M77" s="8" t="s">
        <v>102</v>
      </c>
      <c r="N77" s="8" t="str">
        <f>CONCATENATE(M77," ",L77)</f>
        <v>Kevin Berthelsen</v>
      </c>
      <c r="O77" s="8" t="s">
        <v>57</v>
      </c>
      <c r="P77" s="9">
        <v>46185</v>
      </c>
      <c r="Q77" s="9">
        <v>46215</v>
      </c>
      <c r="R77" s="10">
        <v>58.96</v>
      </c>
      <c r="S77" s="8">
        <v>1</v>
      </c>
      <c r="T77" s="8" t="s">
        <v>58</v>
      </c>
      <c r="U77" s="8" t="s">
        <v>60</v>
      </c>
      <c r="V77" s="8" t="s">
        <v>61</v>
      </c>
      <c r="W77" s="8">
        <v>6</v>
      </c>
      <c r="X77" s="10">
        <v>132.66</v>
      </c>
      <c r="Y77" s="10">
        <v>22.11</v>
      </c>
      <c r="Z77" s="10">
        <v>0</v>
      </c>
      <c r="AA77" s="10">
        <v>132.66</v>
      </c>
      <c r="AB77" s="8" t="s">
        <v>238</v>
      </c>
      <c r="AC77" s="8" t="s">
        <v>1062</v>
      </c>
    </row>
    <row r="78" spans="1:29" s="8" customFormat="1" x14ac:dyDescent="0.25">
      <c r="A78" s="8">
        <v>2035914449</v>
      </c>
      <c r="B78" s="8" t="s">
        <v>81</v>
      </c>
      <c r="C78" s="8" t="s">
        <v>82</v>
      </c>
      <c r="D78" s="8" t="str">
        <f t="shared" si="2"/>
        <v>KAYLEIGH BALL</v>
      </c>
      <c r="E78" s="8" t="s">
        <v>83</v>
      </c>
      <c r="F78" s="8" t="s">
        <v>146</v>
      </c>
      <c r="G78" s="23">
        <v>0.375</v>
      </c>
      <c r="H78" s="8" t="s">
        <v>147</v>
      </c>
      <c r="I78" s="8" t="s">
        <v>147</v>
      </c>
      <c r="J78" s="21">
        <v>8977234</v>
      </c>
      <c r="K78" s="21">
        <v>8977234</v>
      </c>
      <c r="L78" s="8" t="s">
        <v>85</v>
      </c>
      <c r="M78" s="8" t="s">
        <v>86</v>
      </c>
      <c r="N78" s="8" t="str">
        <f>CONCATENATE(M78," ",L78)</f>
        <v>RYAN CALTAGIRONE</v>
      </c>
      <c r="O78" s="8" t="s">
        <v>57</v>
      </c>
      <c r="P78" s="9">
        <v>46204</v>
      </c>
      <c r="Q78" s="9">
        <v>46235</v>
      </c>
      <c r="R78" s="10">
        <v>49.18</v>
      </c>
      <c r="S78" s="8">
        <v>1</v>
      </c>
      <c r="T78" s="8" t="s">
        <v>58</v>
      </c>
      <c r="U78" s="8" t="s">
        <v>60</v>
      </c>
      <c r="V78" s="8" t="s">
        <v>61</v>
      </c>
      <c r="W78" s="8">
        <v>6</v>
      </c>
      <c r="X78" s="10">
        <v>110.64</v>
      </c>
      <c r="Y78" s="10">
        <v>18.440000000000001</v>
      </c>
      <c r="Z78" s="10">
        <v>0</v>
      </c>
      <c r="AA78" s="10">
        <v>110.64</v>
      </c>
      <c r="AB78" s="8" t="s">
        <v>238</v>
      </c>
      <c r="AC78" s="8" t="s">
        <v>1062</v>
      </c>
    </row>
    <row r="79" spans="1:29" s="8" customFormat="1" x14ac:dyDescent="0.25">
      <c r="A79" s="8">
        <v>2035940836</v>
      </c>
      <c r="B79" s="8" t="s">
        <v>93</v>
      </c>
      <c r="C79" s="8" t="s">
        <v>94</v>
      </c>
      <c r="D79" s="8" t="str">
        <f t="shared" si="2"/>
        <v>ANDREA KOUNELAS</v>
      </c>
      <c r="E79" s="8" t="s">
        <v>95</v>
      </c>
      <c r="F79" s="8" t="s">
        <v>146</v>
      </c>
      <c r="G79" s="23">
        <v>0.375</v>
      </c>
      <c r="H79" s="8" t="s">
        <v>147</v>
      </c>
      <c r="I79" s="8" t="s">
        <v>147</v>
      </c>
      <c r="J79" s="21">
        <v>8977234</v>
      </c>
      <c r="K79" s="21">
        <v>8977234</v>
      </c>
      <c r="L79" s="8" t="s">
        <v>85</v>
      </c>
      <c r="M79" s="8" t="s">
        <v>86</v>
      </c>
      <c r="N79" s="8" t="str">
        <f>CONCATENATE(M79," ",L79)</f>
        <v>RYAN CALTAGIRONE</v>
      </c>
      <c r="O79" s="8" t="s">
        <v>57</v>
      </c>
      <c r="P79" s="9">
        <v>46204</v>
      </c>
      <c r="Q79" s="9">
        <v>46235</v>
      </c>
      <c r="R79" s="10">
        <v>36.119999999999997</v>
      </c>
      <c r="S79" s="8">
        <v>1</v>
      </c>
      <c r="T79" s="8" t="s">
        <v>58</v>
      </c>
      <c r="U79" s="8" t="s">
        <v>60</v>
      </c>
      <c r="V79" s="8" t="s">
        <v>61</v>
      </c>
      <c r="W79" s="8">
        <v>6</v>
      </c>
      <c r="X79" s="10">
        <v>81.239999999999995</v>
      </c>
      <c r="Y79" s="10">
        <v>13.54</v>
      </c>
      <c r="Z79" s="10">
        <v>0</v>
      </c>
      <c r="AA79" s="10">
        <v>81.239999999999995</v>
      </c>
      <c r="AB79" s="8" t="s">
        <v>238</v>
      </c>
      <c r="AC79" s="8" t="s">
        <v>1062</v>
      </c>
    </row>
    <row r="80" spans="1:29" s="8" customFormat="1" x14ac:dyDescent="0.25">
      <c r="A80" s="8">
        <v>2035976427</v>
      </c>
      <c r="B80" s="8" t="s">
        <v>154</v>
      </c>
      <c r="C80" s="8" t="s">
        <v>155</v>
      </c>
      <c r="D80" s="8" t="str">
        <f t="shared" si="2"/>
        <v>LOGAN PALMER</v>
      </c>
      <c r="E80" s="8" t="s">
        <v>83</v>
      </c>
      <c r="F80" s="8" t="s">
        <v>146</v>
      </c>
      <c r="G80" s="23">
        <v>0.375</v>
      </c>
      <c r="H80" s="8" t="s">
        <v>147</v>
      </c>
      <c r="I80" s="8" t="s">
        <v>147</v>
      </c>
      <c r="J80" s="21">
        <v>16170994</v>
      </c>
      <c r="K80" s="21">
        <v>16170994</v>
      </c>
      <c r="L80" s="8" t="s">
        <v>91</v>
      </c>
      <c r="M80" s="8" t="s">
        <v>92</v>
      </c>
      <c r="N80" s="8" t="str">
        <f>CONCATENATE(M80," ",L80)</f>
        <v>Ryan Shepard</v>
      </c>
      <c r="O80" s="8" t="s">
        <v>57</v>
      </c>
      <c r="P80" s="9">
        <v>46185</v>
      </c>
      <c r="Q80" s="9">
        <v>46215</v>
      </c>
      <c r="R80" s="10">
        <v>25.89</v>
      </c>
      <c r="S80" s="8">
        <v>1</v>
      </c>
      <c r="T80" s="8" t="s">
        <v>58</v>
      </c>
      <c r="U80" s="8" t="s">
        <v>60</v>
      </c>
      <c r="V80" s="8" t="s">
        <v>61</v>
      </c>
      <c r="W80" s="8">
        <v>6</v>
      </c>
      <c r="X80" s="10">
        <v>58.26</v>
      </c>
      <c r="Y80" s="10">
        <v>9.7100000000000009</v>
      </c>
      <c r="Z80" s="10">
        <v>0</v>
      </c>
      <c r="AA80" s="10">
        <v>58.26</v>
      </c>
      <c r="AB80" s="8" t="s">
        <v>238</v>
      </c>
      <c r="AC80" s="8" t="s">
        <v>1062</v>
      </c>
    </row>
    <row r="81" spans="1:29" s="8" customFormat="1" x14ac:dyDescent="0.25">
      <c r="A81" s="8">
        <v>2035909626</v>
      </c>
      <c r="B81" s="8" t="s">
        <v>191</v>
      </c>
      <c r="C81" s="8" t="s">
        <v>192</v>
      </c>
      <c r="D81" s="8" t="str">
        <f t="shared" si="2"/>
        <v>MADHUSUTHANAN BALASUNDARAM</v>
      </c>
      <c r="E81" s="8" t="s">
        <v>193</v>
      </c>
      <c r="F81" s="8" t="s">
        <v>182</v>
      </c>
      <c r="G81" s="22">
        <v>0.9</v>
      </c>
      <c r="H81" s="8" t="s">
        <v>194</v>
      </c>
      <c r="I81" s="8" t="s">
        <v>194</v>
      </c>
      <c r="J81" s="21">
        <v>5442438</v>
      </c>
      <c r="K81" s="21">
        <v>5442438</v>
      </c>
      <c r="L81" s="8" t="s">
        <v>195</v>
      </c>
      <c r="M81" s="8" t="s">
        <v>196</v>
      </c>
      <c r="N81" s="8" t="str">
        <f>CONCATENATE(M81," ",L81)</f>
        <v>Ronald Max</v>
      </c>
      <c r="O81" s="8" t="s">
        <v>57</v>
      </c>
      <c r="P81" s="9">
        <v>46182</v>
      </c>
      <c r="Q81" s="9">
        <v>46212</v>
      </c>
      <c r="R81" s="10">
        <v>77.75</v>
      </c>
      <c r="S81" s="8">
        <v>1</v>
      </c>
      <c r="T81" s="8" t="s">
        <v>58</v>
      </c>
      <c r="U81" s="8" t="s">
        <v>60</v>
      </c>
      <c r="V81" s="8" t="s">
        <v>61</v>
      </c>
      <c r="W81" s="8">
        <v>6</v>
      </c>
      <c r="X81" s="10">
        <v>419.88</v>
      </c>
      <c r="Y81" s="10">
        <v>69.98</v>
      </c>
      <c r="Z81" s="10">
        <v>0</v>
      </c>
      <c r="AA81" s="10">
        <v>419.88</v>
      </c>
      <c r="AB81" s="8" t="s">
        <v>238</v>
      </c>
      <c r="AC81" s="8" t="s">
        <v>1062</v>
      </c>
    </row>
    <row r="82" spans="1:29" s="8" customFormat="1" x14ac:dyDescent="0.25">
      <c r="A82" s="8">
        <v>2035923374</v>
      </c>
      <c r="B82" s="8" t="s">
        <v>198</v>
      </c>
      <c r="C82" s="8" t="s">
        <v>199</v>
      </c>
      <c r="D82" s="8" t="str">
        <f t="shared" si="2"/>
        <v>FRANCIS GALVIN</v>
      </c>
      <c r="E82" s="8" t="s">
        <v>193</v>
      </c>
      <c r="F82" s="8" t="s">
        <v>182</v>
      </c>
      <c r="G82" s="22">
        <v>0.9</v>
      </c>
      <c r="H82" s="8" t="s">
        <v>194</v>
      </c>
      <c r="I82" s="8" t="s">
        <v>194</v>
      </c>
      <c r="J82" s="21">
        <v>5442438</v>
      </c>
      <c r="K82" s="21">
        <v>5442438</v>
      </c>
      <c r="L82" s="8" t="s">
        <v>195</v>
      </c>
      <c r="M82" s="8" t="s">
        <v>196</v>
      </c>
      <c r="N82" s="8" t="str">
        <f>CONCATENATE(M82," ",L82)</f>
        <v>Ronald Max</v>
      </c>
      <c r="O82" s="8" t="s">
        <v>57</v>
      </c>
      <c r="P82" s="9">
        <v>46183</v>
      </c>
      <c r="Q82" s="9">
        <v>46213</v>
      </c>
      <c r="R82" s="10">
        <v>9.0500000000000007</v>
      </c>
      <c r="S82" s="8">
        <v>1</v>
      </c>
      <c r="T82" s="8" t="s">
        <v>58</v>
      </c>
      <c r="U82" s="8" t="s">
        <v>60</v>
      </c>
      <c r="V82" s="8" t="s">
        <v>61</v>
      </c>
      <c r="W82" s="8">
        <v>6</v>
      </c>
      <c r="X82" s="10">
        <v>48.84</v>
      </c>
      <c r="Y82" s="10">
        <v>8.14</v>
      </c>
      <c r="Z82" s="10">
        <v>0</v>
      </c>
      <c r="AA82" s="10">
        <v>48.84</v>
      </c>
      <c r="AB82" s="8" t="s">
        <v>238</v>
      </c>
      <c r="AC82" s="8" t="s">
        <v>1062</v>
      </c>
    </row>
    <row r="83" spans="1:29" s="8" customFormat="1" x14ac:dyDescent="0.25">
      <c r="A83" s="8">
        <v>2035936008</v>
      </c>
      <c r="B83" s="8" t="s">
        <v>200</v>
      </c>
      <c r="C83" s="8" t="s">
        <v>201</v>
      </c>
      <c r="D83" s="8" t="str">
        <f t="shared" si="2"/>
        <v>JAYDEN BALLARD</v>
      </c>
      <c r="E83" s="8" t="s">
        <v>193</v>
      </c>
      <c r="F83" s="8" t="s">
        <v>182</v>
      </c>
      <c r="G83" s="22">
        <v>0.9</v>
      </c>
      <c r="H83" s="8" t="s">
        <v>194</v>
      </c>
      <c r="I83" s="8" t="s">
        <v>194</v>
      </c>
      <c r="J83" s="21">
        <v>5442438</v>
      </c>
      <c r="K83" s="21">
        <v>5442438</v>
      </c>
      <c r="L83" s="8" t="s">
        <v>195</v>
      </c>
      <c r="M83" s="8" t="s">
        <v>196</v>
      </c>
      <c r="N83" s="8" t="str">
        <f>CONCATENATE(M83," ",L83)</f>
        <v>Ronald Max</v>
      </c>
      <c r="O83" s="8" t="s">
        <v>57</v>
      </c>
      <c r="P83" s="9">
        <v>46183</v>
      </c>
      <c r="Q83" s="9">
        <v>46213</v>
      </c>
      <c r="R83" s="10">
        <v>29.25</v>
      </c>
      <c r="S83" s="8">
        <v>1</v>
      </c>
      <c r="T83" s="8" t="s">
        <v>58</v>
      </c>
      <c r="U83" s="8" t="s">
        <v>60</v>
      </c>
      <c r="V83" s="8" t="s">
        <v>61</v>
      </c>
      <c r="W83" s="8">
        <v>6</v>
      </c>
      <c r="X83" s="10">
        <v>157.91999999999999</v>
      </c>
      <c r="Y83" s="10">
        <v>26.32</v>
      </c>
      <c r="Z83" s="10">
        <v>0</v>
      </c>
      <c r="AA83" s="10">
        <v>157.91999999999999</v>
      </c>
      <c r="AB83" s="8" t="s">
        <v>238</v>
      </c>
      <c r="AC83" s="8" t="s">
        <v>1062</v>
      </c>
    </row>
    <row r="84" spans="1:29" s="8" customFormat="1" x14ac:dyDescent="0.25">
      <c r="A84" s="8">
        <v>2035914448</v>
      </c>
      <c r="B84" s="8" t="s">
        <v>81</v>
      </c>
      <c r="C84" s="8" t="s">
        <v>82</v>
      </c>
      <c r="D84" s="8" t="str">
        <f t="shared" si="2"/>
        <v>KAYLEIGH BALL</v>
      </c>
      <c r="E84" s="8" t="s">
        <v>83</v>
      </c>
      <c r="F84" s="8" t="s">
        <v>182</v>
      </c>
      <c r="G84" s="22">
        <v>0.9</v>
      </c>
      <c r="H84" s="8" t="s">
        <v>194</v>
      </c>
      <c r="I84" s="8" t="s">
        <v>194</v>
      </c>
      <c r="J84" s="21">
        <v>8977234</v>
      </c>
      <c r="K84" s="21">
        <v>8977234</v>
      </c>
      <c r="L84" s="8" t="s">
        <v>85</v>
      </c>
      <c r="M84" s="8" t="s">
        <v>86</v>
      </c>
      <c r="N84" s="8" t="str">
        <f>CONCATENATE(M84," ",L84)</f>
        <v>RYAN CALTAGIRONE</v>
      </c>
      <c r="O84" s="8" t="s">
        <v>57</v>
      </c>
      <c r="P84" s="9">
        <v>46204</v>
      </c>
      <c r="Q84" s="9">
        <v>46235</v>
      </c>
      <c r="R84" s="10">
        <v>26.33</v>
      </c>
      <c r="S84" s="8">
        <v>1</v>
      </c>
      <c r="T84" s="8" t="s">
        <v>58</v>
      </c>
      <c r="U84" s="8" t="s">
        <v>60</v>
      </c>
      <c r="V84" s="8" t="s">
        <v>61</v>
      </c>
      <c r="W84" s="8">
        <v>6</v>
      </c>
      <c r="X84" s="10">
        <v>142.19999999999999</v>
      </c>
      <c r="Y84" s="10">
        <v>23.7</v>
      </c>
      <c r="Z84" s="10">
        <v>0</v>
      </c>
      <c r="AA84" s="10">
        <v>142.19999999999999</v>
      </c>
      <c r="AB84" s="8" t="s">
        <v>238</v>
      </c>
      <c r="AC84" s="8" t="s">
        <v>1062</v>
      </c>
    </row>
    <row r="85" spans="1:29" s="8" customFormat="1" x14ac:dyDescent="0.25">
      <c r="A85" s="8">
        <v>2035974518</v>
      </c>
      <c r="B85" s="8" t="s">
        <v>49</v>
      </c>
      <c r="C85" s="8" t="s">
        <v>50</v>
      </c>
      <c r="D85" s="8" t="str">
        <f t="shared" si="2"/>
        <v>ROGER MOUNT</v>
      </c>
      <c r="E85" s="8" t="s">
        <v>52</v>
      </c>
      <c r="F85" s="8" t="s">
        <v>53</v>
      </c>
      <c r="G85" s="22">
        <v>0.6</v>
      </c>
      <c r="H85" s="8" t="s">
        <v>54</v>
      </c>
      <c r="I85" s="8" t="s">
        <v>54</v>
      </c>
      <c r="J85" s="21">
        <v>18781057</v>
      </c>
      <c r="K85" s="21">
        <v>18781057</v>
      </c>
      <c r="L85" s="8" t="s">
        <v>55</v>
      </c>
      <c r="M85" s="8" t="s">
        <v>56</v>
      </c>
      <c r="N85" s="8" t="str">
        <f>CONCATENATE(M85," ",L85)</f>
        <v>JOHN ROKEN</v>
      </c>
      <c r="O85" s="8" t="s">
        <v>57</v>
      </c>
      <c r="P85" s="9">
        <v>46185</v>
      </c>
      <c r="Q85" s="9">
        <v>46215</v>
      </c>
      <c r="R85" s="10">
        <v>52.69</v>
      </c>
      <c r="S85" s="8">
        <v>1</v>
      </c>
      <c r="T85" s="8" t="s">
        <v>58</v>
      </c>
      <c r="U85" s="8" t="s">
        <v>60</v>
      </c>
      <c r="V85" s="8" t="s">
        <v>61</v>
      </c>
      <c r="W85" s="8">
        <v>6</v>
      </c>
      <c r="X85" s="10">
        <v>189.66</v>
      </c>
      <c r="Y85" s="10">
        <v>31.61</v>
      </c>
      <c r="Z85" s="10">
        <v>0</v>
      </c>
      <c r="AA85" s="10">
        <v>189.66</v>
      </c>
      <c r="AB85" s="8" t="s">
        <v>238</v>
      </c>
      <c r="AC85" s="8" t="s">
        <v>1062</v>
      </c>
    </row>
    <row r="86" spans="1:29" s="8" customFormat="1" x14ac:dyDescent="0.25">
      <c r="A86" s="8">
        <v>2036023976</v>
      </c>
      <c r="B86" s="8" t="s">
        <v>66</v>
      </c>
      <c r="C86" s="8" t="s">
        <v>67</v>
      </c>
      <c r="D86" s="8" t="str">
        <f t="shared" si="2"/>
        <v>GIANNA BOJAZI</v>
      </c>
      <c r="E86" s="8" t="s">
        <v>52</v>
      </c>
      <c r="F86" s="8" t="s">
        <v>53</v>
      </c>
      <c r="G86" s="22">
        <v>0.6</v>
      </c>
      <c r="H86" s="8" t="s">
        <v>54</v>
      </c>
      <c r="I86" s="8" t="s">
        <v>54</v>
      </c>
      <c r="J86" s="21">
        <v>18781057</v>
      </c>
      <c r="K86" s="21">
        <v>18781057</v>
      </c>
      <c r="L86" s="8" t="s">
        <v>55</v>
      </c>
      <c r="M86" s="8" t="s">
        <v>56</v>
      </c>
      <c r="N86" s="8" t="str">
        <f>CONCATENATE(M86," ",L86)</f>
        <v>JOHN ROKEN</v>
      </c>
      <c r="O86" s="8" t="s">
        <v>57</v>
      </c>
      <c r="P86" s="9">
        <v>46187</v>
      </c>
      <c r="Q86" s="9">
        <v>46217</v>
      </c>
      <c r="R86" s="10">
        <v>69.5</v>
      </c>
      <c r="S86" s="8">
        <v>1</v>
      </c>
      <c r="T86" s="8" t="s">
        <v>58</v>
      </c>
      <c r="U86" s="8" t="s">
        <v>60</v>
      </c>
      <c r="V86" s="8" t="s">
        <v>61</v>
      </c>
      <c r="W86" s="8">
        <v>6</v>
      </c>
      <c r="X86" s="10">
        <v>250.2</v>
      </c>
      <c r="Y86" s="10">
        <v>41.7</v>
      </c>
      <c r="Z86" s="10">
        <v>0</v>
      </c>
      <c r="AA86" s="10">
        <v>250.2</v>
      </c>
      <c r="AB86" s="8" t="s">
        <v>238</v>
      </c>
      <c r="AC86" s="8" t="s">
        <v>1062</v>
      </c>
    </row>
  </sheetData>
  <sortState xmlns:xlrd2="http://schemas.microsoft.com/office/spreadsheetml/2017/richdata2" ref="A2:BA86">
    <sortCondition sortBy="cellColor" ref="A2:A86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2026-06-19T06:40:27Z</dcterms:created>
  <dcterms:modified xsi:type="dcterms:W3CDTF">2026-06-24T14:34:01Z</dcterms:modified>
</cp:coreProperties>
</file>