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6\3-20-26 to 3-23-26\"/>
    </mc:Choice>
  </mc:AlternateContent>
  <xr:revisionPtr revIDLastSave="0" documentId="13_ncr:1_{E9016DBA-3943-4811-BFF5-4178CFC245EB}" xr6:coauthVersionLast="47" xr6:coauthVersionMax="47" xr10:uidLastSave="{00000000-0000-0000-0000-000000000000}"/>
  <bookViews>
    <workbookView xWindow="28680" yWindow="-30" windowWidth="29040" windowHeight="16440" xr2:uid="{905C9840-FD2C-45D0-A16C-E126B6923E49}"/>
  </bookViews>
  <sheets>
    <sheet name="20411454 - Main Line Benefits L" sheetId="1" r:id="rId1"/>
    <sheet name="RN" sheetId="2" r:id="rId2"/>
    <sheet name="CB" sheetId="4" r:id="rId3"/>
    <sheet name="NB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9" i="3" l="1"/>
  <c r="K54" i="3"/>
  <c r="K53" i="3"/>
  <c r="K52" i="3"/>
  <c r="K51" i="3"/>
  <c r="K28" i="3"/>
  <c r="K27" i="3"/>
  <c r="K26" i="3"/>
  <c r="K25" i="3"/>
  <c r="K24" i="3"/>
  <c r="K50" i="3"/>
  <c r="K49" i="3"/>
  <c r="K23" i="3"/>
  <c r="K22" i="3"/>
  <c r="K48" i="3"/>
  <c r="K47" i="3"/>
  <c r="K46" i="3"/>
  <c r="K45" i="3"/>
  <c r="K44" i="3"/>
  <c r="K10" i="3"/>
  <c r="K9" i="3"/>
  <c r="K8" i="3"/>
  <c r="K7" i="3"/>
  <c r="K43" i="3"/>
  <c r="K42" i="3"/>
  <c r="K21" i="3"/>
  <c r="K41" i="3"/>
  <c r="K31" i="3"/>
  <c r="K11" i="3"/>
  <c r="K20" i="3"/>
  <c r="K40" i="3"/>
  <c r="K30" i="3"/>
  <c r="K6" i="3"/>
  <c r="K19" i="3"/>
  <c r="K18" i="3"/>
  <c r="K17" i="3"/>
  <c r="K16" i="3"/>
  <c r="K15" i="3"/>
  <c r="K39" i="3"/>
  <c r="K38" i="3"/>
  <c r="K14" i="3"/>
  <c r="K37" i="3"/>
  <c r="K36" i="3"/>
  <c r="K5" i="3"/>
  <c r="K35" i="3"/>
  <c r="K4" i="3"/>
  <c r="K13" i="3"/>
  <c r="K12" i="3"/>
  <c r="K34" i="3"/>
  <c r="K33" i="3"/>
  <c r="K3" i="3"/>
  <c r="K32" i="3"/>
  <c r="K2" i="3"/>
  <c r="N7" i="3"/>
  <c r="N9" i="3"/>
  <c r="N84" i="3"/>
  <c r="N5" i="3"/>
  <c r="N59" i="3"/>
  <c r="N3" i="3"/>
  <c r="N66" i="3"/>
  <c r="N86" i="3"/>
  <c r="N78" i="3"/>
  <c r="N4" i="3"/>
  <c r="N6" i="3"/>
  <c r="N61" i="3"/>
  <c r="N8" i="3"/>
  <c r="N70" i="3"/>
  <c r="N92" i="3"/>
  <c r="N57" i="3"/>
  <c r="N72" i="3"/>
  <c r="N73" i="3"/>
  <c r="N10" i="3"/>
  <c r="N71" i="3"/>
  <c r="N85" i="3"/>
  <c r="N76" i="3"/>
  <c r="N81" i="3"/>
  <c r="N2" i="3"/>
  <c r="N11" i="3"/>
  <c r="N15" i="3"/>
  <c r="N16" i="3"/>
  <c r="N17" i="3"/>
  <c r="N18" i="3"/>
  <c r="N22" i="3"/>
  <c r="N29" i="3"/>
  <c r="N12" i="3"/>
  <c r="N68" i="3"/>
  <c r="N90" i="3"/>
  <c r="N20" i="3"/>
  <c r="N13" i="3"/>
  <c r="N24" i="3"/>
  <c r="N97" i="3"/>
  <c r="N95" i="3"/>
  <c r="N25" i="3"/>
  <c r="N26" i="3"/>
  <c r="N27" i="3"/>
  <c r="N91" i="3"/>
  <c r="N19" i="3"/>
  <c r="N28" i="3"/>
  <c r="N100" i="3"/>
  <c r="N14" i="3"/>
  <c r="N23" i="3"/>
  <c r="N21" i="3"/>
  <c r="N60" i="3"/>
  <c r="N30" i="3"/>
  <c r="N31" i="3"/>
  <c r="N96" i="3"/>
  <c r="N39" i="3"/>
  <c r="N44" i="3"/>
  <c r="N49" i="3"/>
  <c r="N45" i="3"/>
  <c r="N46" i="3"/>
  <c r="N87" i="3"/>
  <c r="N53" i="3"/>
  <c r="N58" i="3"/>
  <c r="N36" i="3"/>
  <c r="N33" i="3"/>
  <c r="N67" i="3"/>
  <c r="N88" i="3"/>
  <c r="N83" i="3"/>
  <c r="N77" i="3"/>
  <c r="N35" i="3"/>
  <c r="N54" i="3"/>
  <c r="N40" i="3"/>
  <c r="N34" i="3"/>
  <c r="N62" i="3"/>
  <c r="N41" i="3"/>
  <c r="N51" i="3"/>
  <c r="N47" i="3"/>
  <c r="N50" i="3"/>
  <c r="N94" i="3"/>
  <c r="N79" i="3"/>
  <c r="N82" i="3"/>
  <c r="N48" i="3"/>
  <c r="N89" i="3"/>
  <c r="N69" i="3"/>
  <c r="N52" i="3"/>
  <c r="N99" i="3"/>
  <c r="N37" i="3"/>
  <c r="N38" i="3"/>
  <c r="N80" i="3"/>
  <c r="N64" i="3"/>
  <c r="N65" i="3"/>
  <c r="N32" i="3"/>
  <c r="N63" i="3"/>
  <c r="N42" i="3"/>
  <c r="N43" i="3"/>
  <c r="N55" i="3"/>
  <c r="N56" i="3"/>
  <c r="N93" i="3"/>
  <c r="N98" i="3"/>
  <c r="D7" i="3"/>
  <c r="D9" i="3"/>
  <c r="D84" i="3"/>
  <c r="D5" i="3"/>
  <c r="D59" i="3"/>
  <c r="D3" i="3"/>
  <c r="D66" i="3"/>
  <c r="D86" i="3"/>
  <c r="D78" i="3"/>
  <c r="D4" i="3"/>
  <c r="D6" i="3"/>
  <c r="D61" i="3"/>
  <c r="D8" i="3"/>
  <c r="D70" i="3"/>
  <c r="D92" i="3"/>
  <c r="D57" i="3"/>
  <c r="D72" i="3"/>
  <c r="D73" i="3"/>
  <c r="D10" i="3"/>
  <c r="D71" i="3"/>
  <c r="D85" i="3"/>
  <c r="D76" i="3"/>
  <c r="D81" i="3"/>
  <c r="D2" i="3"/>
  <c r="D11" i="3"/>
  <c r="D15" i="3"/>
  <c r="D16" i="3"/>
  <c r="D17" i="3"/>
  <c r="D18" i="3"/>
  <c r="D22" i="3"/>
  <c r="D29" i="3"/>
  <c r="D12" i="3"/>
  <c r="D68" i="3"/>
  <c r="D90" i="3"/>
  <c r="D20" i="3"/>
  <c r="D13" i="3"/>
  <c r="D74" i="3"/>
  <c r="D24" i="3"/>
  <c r="D97" i="3"/>
  <c r="D95" i="3"/>
  <c r="D25" i="3"/>
  <c r="D26" i="3"/>
  <c r="D27" i="3"/>
  <c r="D91" i="3"/>
  <c r="D19" i="3"/>
  <c r="D28" i="3"/>
  <c r="D100" i="3"/>
  <c r="D14" i="3"/>
  <c r="D75" i="3"/>
  <c r="D23" i="3"/>
  <c r="D21" i="3"/>
  <c r="D60" i="3"/>
  <c r="D30" i="3"/>
  <c r="D31" i="3"/>
  <c r="D96" i="3"/>
  <c r="D39" i="3"/>
  <c r="D44" i="3"/>
  <c r="D49" i="3"/>
  <c r="D45" i="3"/>
  <c r="D46" i="3"/>
  <c r="D87" i="3"/>
  <c r="D53" i="3"/>
  <c r="D58" i="3"/>
  <c r="D36" i="3"/>
  <c r="D33" i="3"/>
  <c r="D67" i="3"/>
  <c r="D88" i="3"/>
  <c r="D83" i="3"/>
  <c r="D77" i="3"/>
  <c r="D35" i="3"/>
  <c r="D54" i="3"/>
  <c r="D40" i="3"/>
  <c r="D34" i="3"/>
  <c r="D62" i="3"/>
  <c r="D41" i="3"/>
  <c r="D51" i="3"/>
  <c r="D47" i="3"/>
  <c r="D50" i="3"/>
  <c r="D94" i="3"/>
  <c r="D79" i="3"/>
  <c r="D82" i="3"/>
  <c r="D48" i="3"/>
  <c r="D89" i="3"/>
  <c r="D69" i="3"/>
  <c r="D52" i="3"/>
  <c r="D99" i="3"/>
  <c r="D37" i="3"/>
  <c r="D38" i="3"/>
  <c r="D80" i="3"/>
  <c r="D64" i="3"/>
  <c r="D65" i="3"/>
  <c r="D32" i="3"/>
  <c r="D63" i="3"/>
  <c r="D42" i="3"/>
  <c r="D43" i="3"/>
  <c r="D55" i="3"/>
  <c r="D56" i="3"/>
  <c r="D93" i="3"/>
  <c r="D98" i="3"/>
  <c r="P5" i="2"/>
  <c r="P40" i="2"/>
  <c r="P41" i="2"/>
  <c r="P42" i="2"/>
  <c r="P43" i="2"/>
  <c r="P68" i="2"/>
  <c r="P189" i="2"/>
  <c r="P207" i="2"/>
  <c r="P136" i="2"/>
  <c r="P137" i="2"/>
  <c r="P138" i="2"/>
  <c r="P139" i="2"/>
  <c r="P140" i="2"/>
  <c r="P164" i="2"/>
  <c r="P165" i="2"/>
  <c r="P166" i="2"/>
  <c r="P176" i="2"/>
  <c r="P177" i="2"/>
  <c r="P141" i="2"/>
  <c r="P142" i="2"/>
  <c r="P143" i="2"/>
  <c r="P144" i="2"/>
  <c r="P145" i="2"/>
  <c r="P151" i="2"/>
  <c r="P152" i="2"/>
  <c r="P178" i="2"/>
  <c r="P179" i="2"/>
  <c r="P6" i="2"/>
  <c r="P7" i="2"/>
  <c r="P8" i="2"/>
  <c r="P9" i="2"/>
  <c r="P10" i="2"/>
  <c r="P11" i="2"/>
  <c r="P12" i="2"/>
  <c r="P13" i="2"/>
  <c r="P14" i="2"/>
  <c r="P15" i="2"/>
  <c r="P44" i="2"/>
  <c r="P45" i="2"/>
  <c r="P46" i="2"/>
  <c r="P47" i="2"/>
  <c r="P48" i="2"/>
  <c r="P49" i="2"/>
  <c r="P50" i="2"/>
  <c r="P51" i="2"/>
  <c r="P52" i="2"/>
  <c r="P69" i="2"/>
  <c r="P70" i="2"/>
  <c r="P71" i="2"/>
  <c r="P72" i="2"/>
  <c r="P73" i="2"/>
  <c r="P74" i="2"/>
  <c r="P75" i="2"/>
  <c r="P119" i="2"/>
  <c r="P153" i="2"/>
  <c r="P16" i="2"/>
  <c r="P17" i="2"/>
  <c r="P18" i="2"/>
  <c r="P53" i="2"/>
  <c r="P54" i="2"/>
  <c r="P55" i="2"/>
  <c r="P76" i="2"/>
  <c r="P97" i="2"/>
  <c r="P98" i="2"/>
  <c r="P99" i="2"/>
  <c r="P167" i="2"/>
  <c r="P168" i="2"/>
  <c r="P169" i="2"/>
  <c r="P170" i="2"/>
  <c r="P171" i="2"/>
  <c r="P19" i="2"/>
  <c r="P20" i="2"/>
  <c r="P21" i="2"/>
  <c r="P188" i="2"/>
  <c r="P56" i="2"/>
  <c r="P204" i="2"/>
  <c r="P83" i="2"/>
  <c r="P84" i="2"/>
  <c r="P85" i="2"/>
  <c r="P100" i="2"/>
  <c r="P101" i="2"/>
  <c r="P102" i="2"/>
  <c r="P103" i="2"/>
  <c r="P104" i="2"/>
  <c r="P105" i="2"/>
  <c r="P120" i="2"/>
  <c r="P180" i="2"/>
  <c r="P181" i="2"/>
  <c r="P182" i="2"/>
  <c r="P183" i="2"/>
  <c r="P184" i="2"/>
  <c r="P193" i="2"/>
  <c r="P194" i="2"/>
  <c r="P195" i="2"/>
  <c r="P196" i="2"/>
  <c r="P197" i="2"/>
  <c r="P198" i="2"/>
  <c r="P199" i="2"/>
  <c r="P22" i="2"/>
  <c r="P23" i="2"/>
  <c r="P24" i="2"/>
  <c r="P25" i="2"/>
  <c r="P26" i="2"/>
  <c r="P27" i="2"/>
  <c r="P28" i="2"/>
  <c r="P29" i="2"/>
  <c r="P57" i="2"/>
  <c r="P64" i="2"/>
  <c r="P86" i="2"/>
  <c r="P125" i="2"/>
  <c r="P154" i="2"/>
  <c r="P58" i="2"/>
  <c r="P59" i="2"/>
  <c r="P65" i="2"/>
  <c r="P77" i="2"/>
  <c r="P126" i="2"/>
  <c r="P127" i="2"/>
  <c r="P30" i="2"/>
  <c r="P78" i="2"/>
  <c r="P79" i="2"/>
  <c r="P106" i="2"/>
  <c r="P107" i="2"/>
  <c r="P80" i="2"/>
  <c r="P81" i="2"/>
  <c r="P87" i="2"/>
  <c r="P128" i="2"/>
  <c r="P185" i="2"/>
  <c r="P88" i="2"/>
  <c r="P89" i="2"/>
  <c r="P31" i="2"/>
  <c r="P32" i="2"/>
  <c r="P60" i="2"/>
  <c r="P61" i="2"/>
  <c r="P82" i="2"/>
  <c r="P121" i="2"/>
  <c r="P129" i="2"/>
  <c r="P130" i="2"/>
  <c r="P146" i="2"/>
  <c r="P147" i="2"/>
  <c r="P155" i="2"/>
  <c r="P156" i="2"/>
  <c r="P200" i="2"/>
  <c r="P203" i="2"/>
  <c r="P205" i="2"/>
  <c r="P186" i="2"/>
  <c r="P190" i="2"/>
  <c r="P2" i="2"/>
  <c r="P3" i="2"/>
  <c r="P66" i="2"/>
  <c r="P33" i="2"/>
  <c r="P108" i="2"/>
  <c r="P109" i="2"/>
  <c r="P110" i="2"/>
  <c r="P111" i="2"/>
  <c r="P112" i="2"/>
  <c r="P62" i="2"/>
  <c r="P63" i="2"/>
  <c r="P90" i="2"/>
  <c r="P91" i="2"/>
  <c r="P92" i="2"/>
  <c r="P93" i="2"/>
  <c r="P113" i="2"/>
  <c r="P114" i="2"/>
  <c r="P115" i="2"/>
  <c r="P157" i="2"/>
  <c r="P158" i="2"/>
  <c r="P172" i="2"/>
  <c r="P173" i="2"/>
  <c r="P174" i="2"/>
  <c r="P175" i="2"/>
  <c r="P34" i="2"/>
  <c r="P35" i="2"/>
  <c r="P122" i="2"/>
  <c r="P208" i="2"/>
  <c r="P209" i="2"/>
  <c r="P210" i="2"/>
  <c r="P213" i="2"/>
  <c r="P214" i="2"/>
  <c r="P215" i="2"/>
  <c r="P216" i="2"/>
  <c r="P201" i="2"/>
  <c r="P211" i="2"/>
  <c r="P212" i="2"/>
  <c r="P36" i="2"/>
  <c r="P37" i="2"/>
  <c r="P38" i="2"/>
  <c r="P39" i="2"/>
  <c r="P67" i="2"/>
  <c r="P94" i="2"/>
  <c r="P95" i="2"/>
  <c r="P96" i="2"/>
  <c r="P116" i="2"/>
  <c r="P117" i="2"/>
  <c r="P118" i="2"/>
  <c r="P123" i="2"/>
  <c r="P124" i="2"/>
  <c r="P131" i="2"/>
  <c r="P148" i="2"/>
  <c r="P149" i="2"/>
  <c r="P150" i="2"/>
  <c r="P159" i="2"/>
  <c r="P160" i="2"/>
  <c r="P161" i="2"/>
  <c r="P162" i="2"/>
  <c r="P163" i="2"/>
  <c r="P187" i="2"/>
  <c r="P191" i="2"/>
  <c r="P192" i="2"/>
  <c r="P206" i="2"/>
  <c r="P202" i="2"/>
  <c r="P132" i="2"/>
  <c r="P133" i="2"/>
  <c r="P134" i="2"/>
  <c r="P135" i="2"/>
  <c r="P266" i="2"/>
  <c r="P267" i="2"/>
  <c r="P279" i="2"/>
  <c r="P393" i="2"/>
  <c r="P336" i="2"/>
  <c r="P229" i="2"/>
  <c r="P230" i="2"/>
  <c r="P231" i="2"/>
  <c r="P232" i="2"/>
  <c r="P233" i="2"/>
  <c r="P280" i="2"/>
  <c r="P281" i="2"/>
  <c r="P282" i="2"/>
  <c r="P283" i="2"/>
  <c r="P316" i="2"/>
  <c r="P317" i="2"/>
  <c r="P357" i="2"/>
  <c r="P358" i="2"/>
  <c r="P217" i="2"/>
  <c r="P218" i="2"/>
  <c r="P219" i="2"/>
  <c r="P284" i="2"/>
  <c r="P326" i="2"/>
  <c r="P327" i="2"/>
  <c r="P337" i="2"/>
  <c r="P268" i="2"/>
  <c r="P300" i="2"/>
  <c r="P285" i="2"/>
  <c r="P220" i="2"/>
  <c r="P234" i="2"/>
  <c r="P235" i="2"/>
  <c r="P338" i="2"/>
  <c r="P359" i="2"/>
  <c r="P360" i="2"/>
  <c r="P364" i="2"/>
  <c r="P365" i="2"/>
  <c r="P286" i="2"/>
  <c r="P221" i="2"/>
  <c r="P287" i="2"/>
  <c r="P288" i="2"/>
  <c r="P289" i="2"/>
  <c r="P301" i="2"/>
  <c r="P302" i="2"/>
  <c r="P318" i="2"/>
  <c r="P339" i="2"/>
  <c r="P344" i="2"/>
  <c r="P222" i="2"/>
  <c r="P223" i="2"/>
  <c r="P224" i="2"/>
  <c r="P236" i="2"/>
  <c r="P237" i="2"/>
  <c r="P238" i="2"/>
  <c r="P239" i="2"/>
  <c r="P240" i="2"/>
  <c r="P290" i="2"/>
  <c r="P366" i="2"/>
  <c r="P367" i="2"/>
  <c r="P376" i="2"/>
  <c r="P377" i="2"/>
  <c r="P378" i="2"/>
  <c r="P392" i="2"/>
  <c r="P394" i="2"/>
  <c r="P395" i="2"/>
  <c r="P396" i="2"/>
  <c r="P291" i="2"/>
  <c r="P292" i="2"/>
  <c r="P303" i="2"/>
  <c r="P304" i="2"/>
  <c r="P241" i="2"/>
  <c r="P242" i="2"/>
  <c r="P243" i="2"/>
  <c r="P244" i="2"/>
  <c r="P245" i="2"/>
  <c r="P246" i="2"/>
  <c r="P368" i="2"/>
  <c r="P369" i="2"/>
  <c r="P370" i="2"/>
  <c r="P371" i="2"/>
  <c r="P379" i="2"/>
  <c r="P384" i="2"/>
  <c r="P269" i="2"/>
  <c r="P270" i="2"/>
  <c r="P225" i="2"/>
  <c r="P226" i="2"/>
  <c r="P305" i="2"/>
  <c r="P306" i="2"/>
  <c r="P361" i="2"/>
  <c r="P362" i="2"/>
  <c r="P383" i="2"/>
  <c r="P389" i="2"/>
  <c r="P271" i="2"/>
  <c r="P328" i="2"/>
  <c r="P247" i="2"/>
  <c r="P248" i="2"/>
  <c r="P293" i="2"/>
  <c r="P249" i="2"/>
  <c r="P250" i="2"/>
  <c r="P251" i="2"/>
  <c r="P252" i="2"/>
  <c r="P294" i="2"/>
  <c r="P295" i="2"/>
  <c r="P345" i="2"/>
  <c r="P253" i="2"/>
  <c r="P254" i="2"/>
  <c r="P255" i="2"/>
  <c r="P256" i="2"/>
  <c r="P296" i="2"/>
  <c r="P297" i="2"/>
  <c r="P310" i="2"/>
  <c r="P311" i="2"/>
  <c r="P319" i="2"/>
  <c r="P320" i="2"/>
  <c r="P321" i="2"/>
  <c r="P322" i="2"/>
  <c r="P323" i="2"/>
  <c r="P324" i="2"/>
  <c r="P329" i="2"/>
  <c r="P330" i="2"/>
  <c r="P331" i="2"/>
  <c r="P332" i="2"/>
  <c r="P346" i="2"/>
  <c r="P227" i="2"/>
  <c r="P228" i="2"/>
  <c r="P257" i="2"/>
  <c r="P258" i="2"/>
  <c r="P259" i="2"/>
  <c r="P260" i="2"/>
  <c r="P261" i="2"/>
  <c r="P262" i="2"/>
  <c r="P263" i="2"/>
  <c r="P264" i="2"/>
  <c r="P265" i="2"/>
  <c r="P272" i="2"/>
  <c r="P273" i="2"/>
  <c r="P307" i="2"/>
  <c r="P308" i="2"/>
  <c r="P309" i="2"/>
  <c r="P325" i="2"/>
  <c r="P333" i="2"/>
  <c r="P334" i="2"/>
  <c r="P335" i="2"/>
  <c r="P340" i="2"/>
  <c r="P341" i="2"/>
  <c r="P342" i="2"/>
  <c r="P343" i="2"/>
  <c r="P347" i="2"/>
  <c r="P348" i="2"/>
  <c r="P349" i="2"/>
  <c r="P350" i="2"/>
  <c r="P351" i="2"/>
  <c r="P352" i="2"/>
  <c r="P353" i="2"/>
  <c r="P354" i="2"/>
  <c r="P355" i="2"/>
  <c r="P356" i="2"/>
  <c r="P372" i="2"/>
  <c r="P363" i="2"/>
  <c r="P373" i="2"/>
  <c r="P375" i="2"/>
  <c r="P380" i="2"/>
  <c r="P381" i="2"/>
  <c r="P382" i="2"/>
  <c r="P385" i="2"/>
  <c r="P386" i="2"/>
  <c r="P387" i="2"/>
  <c r="P388" i="2"/>
  <c r="P390" i="2"/>
  <c r="P391" i="2"/>
  <c r="P274" i="2"/>
  <c r="P275" i="2"/>
  <c r="P276" i="2"/>
  <c r="P277" i="2"/>
  <c r="P278" i="2"/>
  <c r="P312" i="2"/>
  <c r="P313" i="2"/>
  <c r="P314" i="2"/>
  <c r="P315" i="2"/>
  <c r="P298" i="2"/>
  <c r="P299" i="2"/>
  <c r="P374" i="2"/>
  <c r="P4" i="2"/>
  <c r="L379" i="2"/>
  <c r="L358" i="2"/>
  <c r="L152" i="2"/>
  <c r="L315" i="2"/>
  <c r="L270" i="2"/>
  <c r="L277" i="2"/>
  <c r="L278" i="2"/>
  <c r="L226" i="2"/>
  <c r="L394" i="2"/>
  <c r="L377" i="2"/>
  <c r="L367" i="2"/>
  <c r="L366" i="2"/>
  <c r="L202" i="2"/>
  <c r="L197" i="2"/>
  <c r="L354" i="2"/>
  <c r="L350" i="2"/>
  <c r="L182" i="2"/>
  <c r="L178" i="2"/>
  <c r="L180" i="2"/>
  <c r="L172" i="2"/>
  <c r="L341" i="2"/>
  <c r="L159" i="2"/>
  <c r="L148" i="2"/>
  <c r="L138" i="2"/>
  <c r="L332" i="2"/>
  <c r="L125" i="2"/>
  <c r="L330" i="2"/>
  <c r="L333" i="2"/>
  <c r="L132" i="2"/>
  <c r="L323" i="2"/>
  <c r="L320" i="2"/>
  <c r="L102" i="2"/>
  <c r="L311" i="2"/>
  <c r="L113" i="2"/>
  <c r="L100" i="2"/>
  <c r="L294" i="2"/>
  <c r="L307" i="2"/>
  <c r="L90" i="2"/>
  <c r="L91" i="2"/>
  <c r="L84" i="2"/>
  <c r="L279" i="2"/>
  <c r="L80" i="2"/>
  <c r="L194" i="2"/>
  <c r="L68" i="2"/>
  <c r="L236" i="2"/>
  <c r="L251" i="2"/>
  <c r="L266" i="2"/>
  <c r="L239" i="2"/>
  <c r="L262" i="2"/>
  <c r="L257" i="2"/>
  <c r="L2" i="2"/>
  <c r="L249" i="2"/>
  <c r="L50" i="2"/>
  <c r="L256" i="2"/>
  <c r="L241" i="2"/>
  <c r="L62" i="2"/>
  <c r="L58" i="2"/>
  <c r="L13" i="2"/>
  <c r="L11" i="2"/>
  <c r="L22" i="2"/>
  <c r="L34" i="2"/>
  <c r="L227" i="2"/>
  <c r="L9" i="2"/>
  <c r="L7" i="2"/>
  <c r="L4" i="2"/>
  <c r="L376" i="2"/>
  <c r="L375" i="2"/>
  <c r="L372" i="2"/>
  <c r="L368" i="2"/>
  <c r="L171" i="2"/>
  <c r="L154" i="2"/>
  <c r="L139" i="2"/>
  <c r="L143" i="2"/>
  <c r="L99" i="2"/>
  <c r="L110" i="2"/>
  <c r="L88" i="2"/>
  <c r="L281" i="2"/>
  <c r="L268" i="2"/>
  <c r="L242" i="2"/>
  <c r="L259" i="2"/>
  <c r="L55" i="2"/>
  <c r="L42" i="2"/>
  <c r="L18" i="2"/>
  <c r="L17" i="2"/>
  <c r="L218" i="2"/>
  <c r="L19" i="2"/>
  <c r="L395" i="2"/>
  <c r="L216" i="2"/>
  <c r="L388" i="2"/>
  <c r="L389" i="2"/>
  <c r="L214" i="2"/>
  <c r="L385" i="2"/>
  <c r="L383" i="2"/>
  <c r="L213" i="2"/>
  <c r="L210" i="2"/>
  <c r="L212" i="2"/>
  <c r="L209" i="2"/>
  <c r="L208" i="2"/>
  <c r="L373" i="2"/>
  <c r="L370" i="2"/>
  <c r="L359" i="2"/>
  <c r="L190" i="2"/>
  <c r="L191" i="2"/>
  <c r="L356" i="2"/>
  <c r="L348" i="2"/>
  <c r="L177" i="2"/>
  <c r="L174" i="2"/>
  <c r="L169" i="2"/>
  <c r="L343" i="2"/>
  <c r="L336" i="2"/>
  <c r="L158" i="2"/>
  <c r="L150" i="2"/>
  <c r="L127" i="2"/>
  <c r="L335" i="2"/>
  <c r="L135" i="2"/>
  <c r="L327" i="2"/>
  <c r="L120" i="2"/>
  <c r="L124" i="2"/>
  <c r="L119" i="2"/>
  <c r="L122" i="2"/>
  <c r="L317" i="2"/>
  <c r="L105" i="2"/>
  <c r="L313" i="2"/>
  <c r="L115" i="2"/>
  <c r="L117" i="2"/>
  <c r="L116" i="2"/>
  <c r="L107" i="2"/>
  <c r="L112" i="2"/>
  <c r="L304" i="2"/>
  <c r="L309" i="2"/>
  <c r="L93" i="2"/>
  <c r="L299" i="2"/>
  <c r="L283" i="2"/>
  <c r="L74" i="2"/>
  <c r="L292" i="2"/>
  <c r="L71" i="2"/>
  <c r="L79" i="2"/>
  <c r="L288" i="2"/>
  <c r="L67" i="2"/>
  <c r="L273" i="2"/>
  <c r="L65" i="2"/>
  <c r="L231" i="2"/>
  <c r="L232" i="2"/>
  <c r="L245" i="2"/>
  <c r="L59" i="2"/>
  <c r="L27" i="2"/>
  <c r="L28" i="2"/>
  <c r="L29" i="2"/>
  <c r="L10" i="2"/>
  <c r="L37" i="2"/>
  <c r="L198" i="2"/>
  <c r="L369" i="2"/>
  <c r="L362" i="2"/>
  <c r="L357" i="2"/>
  <c r="L183" i="2"/>
  <c r="L164" i="2"/>
  <c r="L165" i="2"/>
  <c r="L170" i="2"/>
  <c r="L167" i="2"/>
  <c r="L136" i="2"/>
  <c r="L137" i="2"/>
  <c r="L141" i="2"/>
  <c r="L142" i="2"/>
  <c r="L144" i="2"/>
  <c r="L133" i="2"/>
  <c r="L316" i="2"/>
  <c r="L103" i="2"/>
  <c r="L312" i="2"/>
  <c r="L97" i="2"/>
  <c r="L98" i="2"/>
  <c r="L108" i="2"/>
  <c r="L109" i="2"/>
  <c r="L282" i="2"/>
  <c r="L269" i="2"/>
  <c r="L274" i="2"/>
  <c r="L275" i="2"/>
  <c r="L260" i="2"/>
  <c r="L53" i="2"/>
  <c r="L54" i="2"/>
  <c r="L41" i="2"/>
  <c r="L40" i="2"/>
  <c r="L16" i="2"/>
  <c r="L217" i="2"/>
  <c r="L225" i="2"/>
  <c r="L285" i="2"/>
  <c r="L396" i="2"/>
  <c r="L393" i="2"/>
  <c r="L392" i="2"/>
  <c r="L391" i="2"/>
  <c r="L386" i="2"/>
  <c r="L387" i="2"/>
  <c r="L382" i="2"/>
  <c r="L380" i="2"/>
  <c r="L378" i="2"/>
  <c r="L381" i="2"/>
  <c r="L211" i="2"/>
  <c r="L374" i="2"/>
  <c r="L207" i="2"/>
  <c r="L205" i="2"/>
  <c r="L206" i="2"/>
  <c r="L203" i="2"/>
  <c r="L199" i="2"/>
  <c r="L196" i="2"/>
  <c r="L200" i="2"/>
  <c r="L371" i="2"/>
  <c r="L201" i="2"/>
  <c r="L195" i="2"/>
  <c r="L193" i="2"/>
  <c r="L361" i="2"/>
  <c r="L192" i="2"/>
  <c r="L189" i="2"/>
  <c r="L355" i="2"/>
  <c r="L353" i="2"/>
  <c r="L351" i="2"/>
  <c r="L349" i="2"/>
  <c r="L352" i="2"/>
  <c r="L347" i="2"/>
  <c r="L188" i="2"/>
  <c r="L186" i="2"/>
  <c r="L184" i="2"/>
  <c r="L346" i="2"/>
  <c r="L179" i="2"/>
  <c r="L166" i="2"/>
  <c r="L181" i="2"/>
  <c r="L176" i="2"/>
  <c r="L345" i="2"/>
  <c r="L185" i="2"/>
  <c r="L173" i="2"/>
  <c r="L175" i="2"/>
  <c r="L344" i="2"/>
  <c r="L168" i="2"/>
  <c r="L340" i="2"/>
  <c r="L337" i="2"/>
  <c r="L342" i="2"/>
  <c r="L162" i="2"/>
  <c r="L163" i="2"/>
  <c r="L153" i="2"/>
  <c r="L151" i="2"/>
  <c r="L157" i="2"/>
  <c r="L161" i="2"/>
  <c r="L160" i="2"/>
  <c r="L339" i="2"/>
  <c r="L156" i="2"/>
  <c r="L155" i="2"/>
  <c r="L149" i="2"/>
  <c r="L147" i="2"/>
  <c r="L140" i="2"/>
  <c r="L145" i="2"/>
  <c r="L146" i="2"/>
  <c r="L331" i="2"/>
  <c r="L126" i="2"/>
  <c r="L130" i="2"/>
  <c r="L129" i="2"/>
  <c r="L329" i="2"/>
  <c r="L334" i="2"/>
  <c r="L134" i="2"/>
  <c r="L328" i="2"/>
  <c r="L131" i="2"/>
  <c r="L326" i="2"/>
  <c r="L128" i="2"/>
  <c r="L325" i="2"/>
  <c r="L324" i="2"/>
  <c r="L322" i="2"/>
  <c r="L123" i="2"/>
  <c r="L319" i="2"/>
  <c r="L321" i="2"/>
  <c r="L121" i="2"/>
  <c r="L318" i="2"/>
  <c r="L104" i="2"/>
  <c r="L314" i="2"/>
  <c r="L310" i="2"/>
  <c r="L114" i="2"/>
  <c r="L118" i="2"/>
  <c r="L101" i="2"/>
  <c r="L106" i="2"/>
  <c r="L111" i="2"/>
  <c r="L295" i="2"/>
  <c r="L303" i="2"/>
  <c r="L96" i="2"/>
  <c r="L308" i="2"/>
  <c r="L94" i="2"/>
  <c r="L95" i="2"/>
  <c r="L92" i="2"/>
  <c r="L302" i="2"/>
  <c r="L301" i="2"/>
  <c r="L85" i="2"/>
  <c r="L83" i="2"/>
  <c r="L305" i="2"/>
  <c r="L86" i="2"/>
  <c r="L87" i="2"/>
  <c r="L290" i="2"/>
  <c r="L82" i="2"/>
  <c r="L298" i="2"/>
  <c r="L284" i="2"/>
  <c r="L72" i="2"/>
  <c r="L73" i="2"/>
  <c r="L75" i="2"/>
  <c r="L286" i="2"/>
  <c r="L81" i="2"/>
  <c r="L297" i="2"/>
  <c r="L296" i="2"/>
  <c r="L289" i="2"/>
  <c r="L77" i="2"/>
  <c r="L291" i="2"/>
  <c r="L70" i="2"/>
  <c r="L265" i="2"/>
  <c r="L78" i="2"/>
  <c r="L287" i="2"/>
  <c r="L280" i="2"/>
  <c r="L76" i="2"/>
  <c r="L69" i="2"/>
  <c r="L237" i="2"/>
  <c r="L238" i="2"/>
  <c r="L64" i="2"/>
  <c r="L252" i="2"/>
  <c r="L272" i="2"/>
  <c r="L276" i="2"/>
  <c r="L267" i="2"/>
  <c r="L271" i="2"/>
  <c r="L66" i="2"/>
  <c r="L240" i="2"/>
  <c r="L61" i="2"/>
  <c r="L263" i="2"/>
  <c r="L258" i="2"/>
  <c r="L3" i="2"/>
  <c r="L250" i="2"/>
  <c r="L51" i="2"/>
  <c r="L52" i="2"/>
  <c r="L229" i="2"/>
  <c r="L230" i="2"/>
  <c r="L255" i="2"/>
  <c r="L38" i="2"/>
  <c r="L244" i="2"/>
  <c r="L246" i="2"/>
  <c r="L56" i="2"/>
  <c r="L63" i="2"/>
  <c r="L253" i="2"/>
  <c r="L254" i="2"/>
  <c r="L264" i="2"/>
  <c r="L44" i="2"/>
  <c r="L57" i="2"/>
  <c r="L224" i="2"/>
  <c r="L60" i="2"/>
  <c r="L43" i="2"/>
  <c r="L24" i="2"/>
  <c r="L25" i="2"/>
  <c r="L26" i="2"/>
  <c r="L39" i="2"/>
  <c r="L219" i="2"/>
  <c r="L223" i="2"/>
  <c r="L14" i="2"/>
  <c r="L12" i="2"/>
  <c r="L220" i="2"/>
  <c r="L15" i="2"/>
  <c r="L23" i="2"/>
  <c r="L35" i="2"/>
  <c r="L30" i="2"/>
  <c r="L228" i="2"/>
  <c r="L21" i="2"/>
  <c r="L221" i="2"/>
  <c r="L6" i="2"/>
  <c r="L8" i="2"/>
  <c r="L31" i="2"/>
  <c r="L32" i="2"/>
  <c r="L36" i="2"/>
  <c r="L5" i="2"/>
  <c r="L33" i="2"/>
  <c r="L363" i="2"/>
  <c r="L306" i="2"/>
  <c r="L89" i="2"/>
  <c r="L47" i="2"/>
  <c r="L48" i="2"/>
  <c r="L49" i="2"/>
  <c r="L243" i="2"/>
  <c r="L45" i="2"/>
  <c r="L46" i="2"/>
  <c r="L261" i="2"/>
  <c r="L234" i="2"/>
  <c r="L235" i="2"/>
  <c r="L222" i="2"/>
  <c r="L20" i="2"/>
  <c r="L390" i="2"/>
  <c r="L384" i="2"/>
  <c r="L204" i="2"/>
  <c r="L364" i="2"/>
  <c r="L365" i="2"/>
  <c r="L360" i="2"/>
  <c r="L187" i="2"/>
  <c r="L338" i="2"/>
  <c r="L300" i="2"/>
  <c r="L233" i="2"/>
  <c r="L215" i="2"/>
  <c r="D379" i="2"/>
  <c r="D358" i="2"/>
  <c r="D152" i="2"/>
  <c r="D315" i="2"/>
  <c r="D293" i="2"/>
  <c r="D270" i="2"/>
  <c r="D277" i="2"/>
  <c r="D278" i="2"/>
  <c r="D226" i="2"/>
  <c r="D394" i="2"/>
  <c r="D377" i="2"/>
  <c r="D367" i="2"/>
  <c r="D366" i="2"/>
  <c r="D202" i="2"/>
  <c r="D197" i="2"/>
  <c r="D354" i="2"/>
  <c r="D350" i="2"/>
  <c r="D182" i="2"/>
  <c r="D178" i="2"/>
  <c r="D180" i="2"/>
  <c r="D172" i="2"/>
  <c r="D341" i="2"/>
  <c r="D159" i="2"/>
  <c r="D148" i="2"/>
  <c r="D138" i="2"/>
  <c r="D332" i="2"/>
  <c r="D125" i="2"/>
  <c r="D330" i="2"/>
  <c r="D333" i="2"/>
  <c r="D132" i="2"/>
  <c r="D323" i="2"/>
  <c r="D320" i="2"/>
  <c r="D102" i="2"/>
  <c r="D311" i="2"/>
  <c r="D113" i="2"/>
  <c r="D100" i="2"/>
  <c r="D294" i="2"/>
  <c r="D307" i="2"/>
  <c r="D90" i="2"/>
  <c r="D91" i="2"/>
  <c r="D84" i="2"/>
  <c r="D279" i="2"/>
  <c r="D80" i="2"/>
  <c r="D194" i="2"/>
  <c r="D68" i="2"/>
  <c r="D236" i="2"/>
  <c r="D251" i="2"/>
  <c r="D266" i="2"/>
  <c r="D239" i="2"/>
  <c r="D262" i="2"/>
  <c r="D257" i="2"/>
  <c r="D2" i="2"/>
  <c r="D249" i="2"/>
  <c r="D50" i="2"/>
  <c r="D256" i="2"/>
  <c r="D241" i="2"/>
  <c r="D62" i="2"/>
  <c r="D58" i="2"/>
  <c r="D13" i="2"/>
  <c r="D11" i="2"/>
  <c r="D22" i="2"/>
  <c r="D34" i="2"/>
  <c r="D227" i="2"/>
  <c r="D9" i="2"/>
  <c r="D7" i="2"/>
  <c r="D4" i="2"/>
  <c r="D376" i="2"/>
  <c r="D375" i="2"/>
  <c r="D372" i="2"/>
  <c r="D368" i="2"/>
  <c r="D171" i="2"/>
  <c r="D154" i="2"/>
  <c r="D139" i="2"/>
  <c r="D143" i="2"/>
  <c r="D99" i="2"/>
  <c r="D110" i="2"/>
  <c r="D88" i="2"/>
  <c r="D281" i="2"/>
  <c r="D268" i="2"/>
  <c r="D242" i="2"/>
  <c r="D259" i="2"/>
  <c r="D55" i="2"/>
  <c r="D42" i="2"/>
  <c r="D18" i="2"/>
  <c r="D17" i="2"/>
  <c r="D218" i="2"/>
  <c r="D19" i="2"/>
  <c r="D395" i="2"/>
  <c r="D216" i="2"/>
  <c r="D388" i="2"/>
  <c r="D389" i="2"/>
  <c r="D214" i="2"/>
  <c r="D385" i="2"/>
  <c r="D383" i="2"/>
  <c r="D213" i="2"/>
  <c r="D210" i="2"/>
  <c r="D212" i="2"/>
  <c r="D209" i="2"/>
  <c r="D208" i="2"/>
  <c r="D373" i="2"/>
  <c r="D370" i="2"/>
  <c r="D359" i="2"/>
  <c r="D190" i="2"/>
  <c r="D191" i="2"/>
  <c r="D356" i="2"/>
  <c r="D348" i="2"/>
  <c r="D177" i="2"/>
  <c r="D174" i="2"/>
  <c r="D169" i="2"/>
  <c r="D343" i="2"/>
  <c r="D336" i="2"/>
  <c r="D158" i="2"/>
  <c r="D150" i="2"/>
  <c r="D127" i="2"/>
  <c r="D335" i="2"/>
  <c r="D135" i="2"/>
  <c r="D327" i="2"/>
  <c r="D120" i="2"/>
  <c r="D124" i="2"/>
  <c r="D119" i="2"/>
  <c r="D122" i="2"/>
  <c r="D317" i="2"/>
  <c r="D105" i="2"/>
  <c r="D313" i="2"/>
  <c r="D115" i="2"/>
  <c r="D117" i="2"/>
  <c r="D116" i="2"/>
  <c r="D107" i="2"/>
  <c r="D112" i="2"/>
  <c r="D304" i="2"/>
  <c r="D309" i="2"/>
  <c r="D93" i="2"/>
  <c r="D299" i="2"/>
  <c r="D283" i="2"/>
  <c r="D74" i="2"/>
  <c r="D292" i="2"/>
  <c r="D71" i="2"/>
  <c r="D79" i="2"/>
  <c r="D288" i="2"/>
  <c r="D67" i="2"/>
  <c r="D273" i="2"/>
  <c r="D65" i="2"/>
  <c r="D231" i="2"/>
  <c r="D232" i="2"/>
  <c r="D245" i="2"/>
  <c r="D59" i="2"/>
  <c r="D27" i="2"/>
  <c r="D28" i="2"/>
  <c r="D29" i="2"/>
  <c r="D10" i="2"/>
  <c r="D37" i="2"/>
  <c r="D198" i="2"/>
  <c r="D369" i="2"/>
  <c r="D362" i="2"/>
  <c r="D357" i="2"/>
  <c r="D183" i="2"/>
  <c r="D164" i="2"/>
  <c r="D165" i="2"/>
  <c r="D170" i="2"/>
  <c r="D167" i="2"/>
  <c r="D136" i="2"/>
  <c r="D137" i="2"/>
  <c r="D141" i="2"/>
  <c r="D142" i="2"/>
  <c r="D144" i="2"/>
  <c r="D133" i="2"/>
  <c r="D316" i="2"/>
  <c r="D103" i="2"/>
  <c r="D312" i="2"/>
  <c r="D97" i="2"/>
  <c r="D98" i="2"/>
  <c r="D108" i="2"/>
  <c r="D109" i="2"/>
  <c r="D282" i="2"/>
  <c r="D269" i="2"/>
  <c r="D274" i="2"/>
  <c r="D275" i="2"/>
  <c r="D247" i="2"/>
  <c r="D248" i="2"/>
  <c r="D260" i="2"/>
  <c r="D53" i="2"/>
  <c r="D54" i="2"/>
  <c r="D41" i="2"/>
  <c r="D40" i="2"/>
  <c r="D16" i="2"/>
  <c r="D217" i="2"/>
  <c r="D225" i="2"/>
  <c r="D285" i="2"/>
  <c r="D396" i="2"/>
  <c r="D393" i="2"/>
  <c r="D392" i="2"/>
  <c r="D391" i="2"/>
  <c r="D386" i="2"/>
  <c r="D387" i="2"/>
  <c r="D382" i="2"/>
  <c r="D380" i="2"/>
  <c r="D378" i="2"/>
  <c r="D381" i="2"/>
  <c r="D211" i="2"/>
  <c r="D374" i="2"/>
  <c r="D207" i="2"/>
  <c r="D205" i="2"/>
  <c r="D206" i="2"/>
  <c r="D203" i="2"/>
  <c r="D199" i="2"/>
  <c r="D196" i="2"/>
  <c r="D200" i="2"/>
  <c r="D371" i="2"/>
  <c r="D201" i="2"/>
  <c r="D195" i="2"/>
  <c r="D193" i="2"/>
  <c r="D361" i="2"/>
  <c r="D192" i="2"/>
  <c r="D189" i="2"/>
  <c r="D355" i="2"/>
  <c r="D353" i="2"/>
  <c r="D351" i="2"/>
  <c r="D349" i="2"/>
  <c r="D352" i="2"/>
  <c r="D347" i="2"/>
  <c r="D188" i="2"/>
  <c r="D186" i="2"/>
  <c r="D184" i="2"/>
  <c r="D346" i="2"/>
  <c r="D179" i="2"/>
  <c r="D166" i="2"/>
  <c r="D181" i="2"/>
  <c r="D176" i="2"/>
  <c r="D345" i="2"/>
  <c r="D185" i="2"/>
  <c r="D173" i="2"/>
  <c r="D175" i="2"/>
  <c r="D344" i="2"/>
  <c r="D168" i="2"/>
  <c r="D340" i="2"/>
  <c r="D337" i="2"/>
  <c r="D342" i="2"/>
  <c r="D162" i="2"/>
  <c r="D163" i="2"/>
  <c r="D153" i="2"/>
  <c r="D151" i="2"/>
  <c r="D157" i="2"/>
  <c r="D161" i="2"/>
  <c r="D160" i="2"/>
  <c r="D339" i="2"/>
  <c r="D156" i="2"/>
  <c r="D155" i="2"/>
  <c r="D149" i="2"/>
  <c r="D147" i="2"/>
  <c r="D140" i="2"/>
  <c r="D145" i="2"/>
  <c r="D146" i="2"/>
  <c r="D331" i="2"/>
  <c r="D126" i="2"/>
  <c r="D130" i="2"/>
  <c r="D129" i="2"/>
  <c r="D329" i="2"/>
  <c r="D334" i="2"/>
  <c r="D134" i="2"/>
  <c r="D328" i="2"/>
  <c r="D131" i="2"/>
  <c r="D326" i="2"/>
  <c r="D128" i="2"/>
  <c r="D325" i="2"/>
  <c r="D324" i="2"/>
  <c r="D322" i="2"/>
  <c r="D123" i="2"/>
  <c r="D319" i="2"/>
  <c r="D321" i="2"/>
  <c r="D121" i="2"/>
  <c r="D318" i="2"/>
  <c r="D104" i="2"/>
  <c r="D314" i="2"/>
  <c r="D310" i="2"/>
  <c r="D114" i="2"/>
  <c r="D118" i="2"/>
  <c r="D101" i="2"/>
  <c r="D106" i="2"/>
  <c r="D111" i="2"/>
  <c r="D295" i="2"/>
  <c r="D303" i="2"/>
  <c r="D96" i="2"/>
  <c r="D308" i="2"/>
  <c r="D94" i="2"/>
  <c r="D95" i="2"/>
  <c r="D92" i="2"/>
  <c r="D302" i="2"/>
  <c r="D301" i="2"/>
  <c r="D85" i="2"/>
  <c r="D83" i="2"/>
  <c r="D305" i="2"/>
  <c r="D86" i="2"/>
  <c r="D87" i="2"/>
  <c r="D290" i="2"/>
  <c r="D82" i="2"/>
  <c r="D298" i="2"/>
  <c r="D284" i="2"/>
  <c r="D72" i="2"/>
  <c r="D73" i="2"/>
  <c r="D75" i="2"/>
  <c r="D286" i="2"/>
  <c r="D81" i="2"/>
  <c r="D297" i="2"/>
  <c r="D296" i="2"/>
  <c r="D289" i="2"/>
  <c r="D77" i="2"/>
  <c r="D291" i="2"/>
  <c r="D70" i="2"/>
  <c r="D265" i="2"/>
  <c r="D78" i="2"/>
  <c r="D287" i="2"/>
  <c r="D280" i="2"/>
  <c r="D76" i="2"/>
  <c r="D69" i="2"/>
  <c r="D237" i="2"/>
  <c r="D238" i="2"/>
  <c r="D64" i="2"/>
  <c r="D252" i="2"/>
  <c r="D272" i="2"/>
  <c r="D276" i="2"/>
  <c r="D267" i="2"/>
  <c r="D271" i="2"/>
  <c r="D66" i="2"/>
  <c r="D240" i="2"/>
  <c r="D61" i="2"/>
  <c r="D263" i="2"/>
  <c r="D258" i="2"/>
  <c r="D3" i="2"/>
  <c r="D250" i="2"/>
  <c r="D51" i="2"/>
  <c r="D52" i="2"/>
  <c r="D229" i="2"/>
  <c r="D230" i="2"/>
  <c r="D255" i="2"/>
  <c r="D38" i="2"/>
  <c r="D244" i="2"/>
  <c r="D246" i="2"/>
  <c r="D56" i="2"/>
  <c r="D63" i="2"/>
  <c r="D253" i="2"/>
  <c r="D254" i="2"/>
  <c r="D264" i="2"/>
  <c r="D44" i="2"/>
  <c r="D57" i="2"/>
  <c r="D224" i="2"/>
  <c r="D60" i="2"/>
  <c r="D43" i="2"/>
  <c r="D24" i="2"/>
  <c r="D25" i="2"/>
  <c r="D26" i="2"/>
  <c r="D39" i="2"/>
  <c r="D219" i="2"/>
  <c r="D223" i="2"/>
  <c r="D14" i="2"/>
  <c r="D12" i="2"/>
  <c r="D220" i="2"/>
  <c r="D15" i="2"/>
  <c r="D23" i="2"/>
  <c r="D35" i="2"/>
  <c r="D30" i="2"/>
  <c r="D228" i="2"/>
  <c r="D21" i="2"/>
  <c r="D221" i="2"/>
  <c r="D6" i="2"/>
  <c r="D8" i="2"/>
  <c r="D31" i="2"/>
  <c r="D32" i="2"/>
  <c r="D36" i="2"/>
  <c r="D5" i="2"/>
  <c r="D33" i="2"/>
  <c r="D363" i="2"/>
  <c r="D306" i="2"/>
  <c r="D89" i="2"/>
  <c r="D47" i="2"/>
  <c r="D48" i="2"/>
  <c r="D49" i="2"/>
  <c r="D243" i="2"/>
  <c r="D45" i="2"/>
  <c r="D46" i="2"/>
  <c r="D261" i="2"/>
  <c r="D234" i="2"/>
  <c r="D235" i="2"/>
  <c r="D222" i="2"/>
  <c r="D20" i="2"/>
  <c r="D390" i="2"/>
  <c r="D384" i="2"/>
  <c r="D204" i="2"/>
  <c r="D364" i="2"/>
  <c r="D365" i="2"/>
  <c r="D360" i="2"/>
  <c r="D187" i="2"/>
  <c r="D338" i="2"/>
  <c r="D300" i="2"/>
  <c r="D233" i="2"/>
  <c r="D215" i="2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V83" i="4"/>
  <c r="V82" i="4"/>
  <c r="V81" i="4"/>
  <c r="V80" i="4"/>
  <c r="V78" i="4"/>
  <c r="V77" i="4"/>
  <c r="V76" i="4"/>
  <c r="V75" i="4"/>
</calcChain>
</file>

<file path=xl/sharedStrings.xml><?xml version="1.0" encoding="utf-8"?>
<sst xmlns="http://schemas.openxmlformats.org/spreadsheetml/2006/main" count="15629" uniqueCount="846">
  <si>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</si>
  <si>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</si>
  <si>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</si>
  <si>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</si>
  <si>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</si>
  <si>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</si>
  <si>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</si>
  <si>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</si>
  <si>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</si>
  <si>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</si>
  <si>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</si>
  <si>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</si>
  <si>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</si>
  <si>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</si>
  <si>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</si>
  <si>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</si>
  <si>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</si>
  <si>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</si>
  <si>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</si>
  <si>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</si>
  <si>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</si>
  <si>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</si>
  <si>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</si>
  <si>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</si>
  <si>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</si>
  <si>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</si>
  <si>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</si>
  <si>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</si>
  <si>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</si>
  <si>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</si>
  <si>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</si>
  <si>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</si>
  <si>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</si>
  <si>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</si>
  <si>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</si>
  <si>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</si>
  <si>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</si>
  <si>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</si>
  <si>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</si>
  <si>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</si>
  <si>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</si>
  <si>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</si>
  <si>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</si>
  <si>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</si>
  <si>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</si>
  <si>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</si>
  <si>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</si>
  <si>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</si>
  <si>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</si>
  <si>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SABA</t>
  </si>
  <si>
    <t>JOSEPH</t>
  </si>
  <si>
    <t>Allstate Health Solutions</t>
  </si>
  <si>
    <t>PA</t>
  </si>
  <si>
    <t>Accident</t>
  </si>
  <si>
    <t>TrioMED Accident and CI 14939</t>
  </si>
  <si>
    <t>Stocker</t>
  </si>
  <si>
    <t>Ryan</t>
  </si>
  <si>
    <t>Active</t>
  </si>
  <si>
    <t xml:space="preserve">Monthly </t>
  </si>
  <si>
    <t>Default</t>
  </si>
  <si>
    <t>FY</t>
  </si>
  <si>
    <t>Y</t>
  </si>
  <si>
    <t>RODRIGUEZ</t>
  </si>
  <si>
    <t>BRANDON</t>
  </si>
  <si>
    <t>IL</t>
  </si>
  <si>
    <t>Ancillary</t>
  </si>
  <si>
    <t>Cancer and Heart/Stroke GI 20231</t>
  </si>
  <si>
    <t>Yale</t>
  </si>
  <si>
    <t>Richard</t>
  </si>
  <si>
    <t>ROBLES</t>
  </si>
  <si>
    <t>NORMA</t>
  </si>
  <si>
    <t>Critical Illness w/ Term Life 21677</t>
  </si>
  <si>
    <t>PEASLEE</t>
  </si>
  <si>
    <t>TERRY</t>
  </si>
  <si>
    <t>TX</t>
  </si>
  <si>
    <t>Allstate Health Cancer Only 5035</t>
  </si>
  <si>
    <t>CALTAGIRONE</t>
  </si>
  <si>
    <t>RYAN</t>
  </si>
  <si>
    <t>ISBELLE</t>
  </si>
  <si>
    <t>MISTER</t>
  </si>
  <si>
    <t>WA</t>
  </si>
  <si>
    <t>Cancer and Heart/Stroke 20231</t>
  </si>
  <si>
    <t>Allan</t>
  </si>
  <si>
    <t>H</t>
  </si>
  <si>
    <t>KATZ</t>
  </si>
  <si>
    <t>URANIA</t>
  </si>
  <si>
    <t>FL</t>
  </si>
  <si>
    <t>FOLEY</t>
  </si>
  <si>
    <t>CAROL</t>
  </si>
  <si>
    <t>BRANIA</t>
  </si>
  <si>
    <t>DYLAN</t>
  </si>
  <si>
    <t>Choi</t>
  </si>
  <si>
    <t>Andrew</t>
  </si>
  <si>
    <t>KENNEDY</t>
  </si>
  <si>
    <t>ELLIOTT</t>
  </si>
  <si>
    <t>TN</t>
  </si>
  <si>
    <t>TEIPEL</t>
  </si>
  <si>
    <t>GREGORY</t>
  </si>
  <si>
    <t>DYBEL</t>
  </si>
  <si>
    <t>DAVID</t>
  </si>
  <si>
    <t>GA</t>
  </si>
  <si>
    <t>LUCAS</t>
  </si>
  <si>
    <t>KENNETH</t>
  </si>
  <si>
    <t>MD</t>
  </si>
  <si>
    <t>Adcock</t>
  </si>
  <si>
    <t>Robert</t>
  </si>
  <si>
    <t>MANIYEV</t>
  </si>
  <si>
    <t>FARID</t>
  </si>
  <si>
    <t>Oliver</t>
  </si>
  <si>
    <t>Brittany</t>
  </si>
  <si>
    <t>LANOUETTE</t>
  </si>
  <si>
    <t>ASHLEE</t>
  </si>
  <si>
    <t>CO</t>
  </si>
  <si>
    <t>Lee</t>
  </si>
  <si>
    <t>Joel</t>
  </si>
  <si>
    <t>TITUS</t>
  </si>
  <si>
    <t>MATTHEW</t>
  </si>
  <si>
    <t>AL</t>
  </si>
  <si>
    <t>Brousseau</t>
  </si>
  <si>
    <t>Christopher</t>
  </si>
  <si>
    <t>NEESSEN</t>
  </si>
  <si>
    <t>MERCEDEZ</t>
  </si>
  <si>
    <t>IA</t>
  </si>
  <si>
    <t>PITTIS</t>
  </si>
  <si>
    <t>WILLIAM</t>
  </si>
  <si>
    <t>Shulman</t>
  </si>
  <si>
    <t>Jake</t>
  </si>
  <si>
    <t>FLORES</t>
  </si>
  <si>
    <t>VERONICA</t>
  </si>
  <si>
    <t>OH</t>
  </si>
  <si>
    <t>Shepard</t>
  </si>
  <si>
    <t>CORLEY</t>
  </si>
  <si>
    <t>RICHTER</t>
  </si>
  <si>
    <t>ADAM</t>
  </si>
  <si>
    <t>BROW</t>
  </si>
  <si>
    <t>JINAYA</t>
  </si>
  <si>
    <t>WINTERFIELD</t>
  </si>
  <si>
    <t>HARRIS</t>
  </si>
  <si>
    <t>CODY</t>
  </si>
  <si>
    <t>NC</t>
  </si>
  <si>
    <t>STREICH</t>
  </si>
  <si>
    <t>ANDY</t>
  </si>
  <si>
    <t>KOPPMEIER</t>
  </si>
  <si>
    <t>KEVIN</t>
  </si>
  <si>
    <t>LIVELY</t>
  </si>
  <si>
    <t>LANDON</t>
  </si>
  <si>
    <t>DAUGHERTY</t>
  </si>
  <si>
    <t>BROVER</t>
  </si>
  <si>
    <t>DANIEL</t>
  </si>
  <si>
    <t>Max</t>
  </si>
  <si>
    <t>Ronald</t>
  </si>
  <si>
    <t>GRANDSTAFF</t>
  </si>
  <si>
    <t>KETURAH</t>
  </si>
  <si>
    <t>PETRUNGARO</t>
  </si>
  <si>
    <t>ANDREA</t>
  </si>
  <si>
    <t>CASTELLANOS</t>
  </si>
  <si>
    <t>AXEL</t>
  </si>
  <si>
    <t>Association</t>
  </si>
  <si>
    <t>LIFE Association Membership - C 14956 LM</t>
  </si>
  <si>
    <t>TORRES</t>
  </si>
  <si>
    <t>JOSE</t>
  </si>
  <si>
    <t>EDWARDS</t>
  </si>
  <si>
    <t>JOSHUA</t>
  </si>
  <si>
    <t>Dental</t>
  </si>
  <si>
    <t>SELECT DENTAL 29304</t>
  </si>
  <si>
    <t>Berg</t>
  </si>
  <si>
    <t>Ines</t>
  </si>
  <si>
    <t>BUSH</t>
  </si>
  <si>
    <t>SARAH</t>
  </si>
  <si>
    <t>TYSON-GRANT</t>
  </si>
  <si>
    <t>DYNASTY</t>
  </si>
  <si>
    <t>BRYANT</t>
  </si>
  <si>
    <t>SHAWANDA</t>
  </si>
  <si>
    <t>SCOTT</t>
  </si>
  <si>
    <t>CURTIS</t>
  </si>
  <si>
    <t>Sorrentino</t>
  </si>
  <si>
    <t>Wendy</t>
  </si>
  <si>
    <t>SESSO</t>
  </si>
  <si>
    <t>MEJIA</t>
  </si>
  <si>
    <t>ARIANNA</t>
  </si>
  <si>
    <t>BENDER</t>
  </si>
  <si>
    <t>CHAD</t>
  </si>
  <si>
    <t>OATS</t>
  </si>
  <si>
    <t>DYWREN</t>
  </si>
  <si>
    <t>OK</t>
  </si>
  <si>
    <t>PARDUE</t>
  </si>
  <si>
    <t>THOMAS</t>
  </si>
  <si>
    <t>CORDES</t>
  </si>
  <si>
    <t>ASHLEN</t>
  </si>
  <si>
    <t>CASTANEDA</t>
  </si>
  <si>
    <t>MELISSA</t>
  </si>
  <si>
    <t>AZ</t>
  </si>
  <si>
    <t>DOLITTLE</t>
  </si>
  <si>
    <t>RENE</t>
  </si>
  <si>
    <t>ROBY</t>
  </si>
  <si>
    <t>MARIA</t>
  </si>
  <si>
    <t>Whitman</t>
  </si>
  <si>
    <t>James</t>
  </si>
  <si>
    <t>SHIRLEY</t>
  </si>
  <si>
    <t>WARREN</t>
  </si>
  <si>
    <t>MICHAEL</t>
  </si>
  <si>
    <t>Abdul</t>
  </si>
  <si>
    <t>Saadia</t>
  </si>
  <si>
    <t>LOPEZ</t>
  </si>
  <si>
    <t>DANIELLE</t>
  </si>
  <si>
    <t>NE</t>
  </si>
  <si>
    <t>Berthelsen</t>
  </si>
  <si>
    <t>Heidi</t>
  </si>
  <si>
    <t>OBENG</t>
  </si>
  <si>
    <t>GLORIA</t>
  </si>
  <si>
    <t>VA</t>
  </si>
  <si>
    <t>WEBSTER</t>
  </si>
  <si>
    <t>ROBIN</t>
  </si>
  <si>
    <t>OR</t>
  </si>
  <si>
    <t>POLLEY</t>
  </si>
  <si>
    <t>DIANA</t>
  </si>
  <si>
    <t>Booker</t>
  </si>
  <si>
    <t>Makena</t>
  </si>
  <si>
    <t>WRIGHT</t>
  </si>
  <si>
    <t>CHARLES</t>
  </si>
  <si>
    <t>Fixed Indemnity</t>
  </si>
  <si>
    <t>NHIC LM 2021 Hospital Expense Protection U65</t>
  </si>
  <si>
    <t>Other</t>
  </si>
  <si>
    <t>Plan Enhancer 20214</t>
  </si>
  <si>
    <t>Term Life 21673</t>
  </si>
  <si>
    <t>WARBURTON</t>
  </si>
  <si>
    <t>TREVOR</t>
  </si>
  <si>
    <t>Accident Fixed-Benefit 21044</t>
  </si>
  <si>
    <t>Dental Indemnity 21618</t>
  </si>
  <si>
    <t>AIRPOVA</t>
  </si>
  <si>
    <t>SANOBAR</t>
  </si>
  <si>
    <t>GOODBEAR</t>
  </si>
  <si>
    <t>TYLER</t>
  </si>
  <si>
    <t>DIEM</t>
  </si>
  <si>
    <t>NICOLE</t>
  </si>
  <si>
    <t>RELUE</t>
  </si>
  <si>
    <t>YALE</t>
  </si>
  <si>
    <t>JACOB</t>
  </si>
  <si>
    <t>MILLER</t>
  </si>
  <si>
    <t>BEVERLY</t>
  </si>
  <si>
    <t>Jerger</t>
  </si>
  <si>
    <t>Colleen</t>
  </si>
  <si>
    <t>SMITH</t>
  </si>
  <si>
    <t>MELINDA</t>
  </si>
  <si>
    <t>TUMENBAATAR</t>
  </si>
  <si>
    <t>TUMURBAT</t>
  </si>
  <si>
    <t>ZANA</t>
  </si>
  <si>
    <t>NASANDELGER</t>
  </si>
  <si>
    <t>LKHAGVASUREN</t>
  </si>
  <si>
    <t>KHURELBAT</t>
  </si>
  <si>
    <t>Short Term Medical</t>
  </si>
  <si>
    <t>NHIC STM PPO NE Renewable</t>
  </si>
  <si>
    <t>A10</t>
  </si>
  <si>
    <t>Recuro PPO NE Renewable</t>
  </si>
  <si>
    <t>RIEGGER</t>
  </si>
  <si>
    <t>HUGH</t>
  </si>
  <si>
    <t>Supplement</t>
  </si>
  <si>
    <t>NHIC Dental 2020 DVH 65+</t>
  </si>
  <si>
    <t>MCCANN</t>
  </si>
  <si>
    <t>AGUGLIA</t>
  </si>
  <si>
    <t>Converted</t>
  </si>
  <si>
    <t>RN</t>
  </si>
  <si>
    <t>N</t>
  </si>
  <si>
    <t>BREEDY</t>
  </si>
  <si>
    <t>PATRICK</t>
  </si>
  <si>
    <t>HOFFMANN</t>
  </si>
  <si>
    <t>JASON</t>
  </si>
  <si>
    <t>MARKHAM</t>
  </si>
  <si>
    <t>ERIN</t>
  </si>
  <si>
    <t>KOZACHECK</t>
  </si>
  <si>
    <t>ANNE MARIE</t>
  </si>
  <si>
    <t>Chargeback</t>
  </si>
  <si>
    <t>MURRAY</t>
  </si>
  <si>
    <t>CATHERINE</t>
  </si>
  <si>
    <t>HENNESSY</t>
  </si>
  <si>
    <t>TrioMED 15k 15285</t>
  </si>
  <si>
    <t>Schumann</t>
  </si>
  <si>
    <t>Barry</t>
  </si>
  <si>
    <t>ABBEY</t>
  </si>
  <si>
    <t>BORROUGHS</t>
  </si>
  <si>
    <t>TrioMED 30k 15307</t>
  </si>
  <si>
    <t>PIROCH</t>
  </si>
  <si>
    <t>Powers</t>
  </si>
  <si>
    <t>Matthew</t>
  </si>
  <si>
    <t>BROCK</t>
  </si>
  <si>
    <t>ELLEN</t>
  </si>
  <si>
    <t>Rader</t>
  </si>
  <si>
    <t>John</t>
  </si>
  <si>
    <t>BERETSEL</t>
  </si>
  <si>
    <t>CHRISTINE</t>
  </si>
  <si>
    <t>TURCIC</t>
  </si>
  <si>
    <t>JAMAL</t>
  </si>
  <si>
    <t>ROKEN</t>
  </si>
  <si>
    <t>JOHN</t>
  </si>
  <si>
    <t>DIETZ</t>
  </si>
  <si>
    <t>STEVEN</t>
  </si>
  <si>
    <t>JACKSON</t>
  </si>
  <si>
    <t>RICHARD</t>
  </si>
  <si>
    <t>DREW</t>
  </si>
  <si>
    <t>KELSEY</t>
  </si>
  <si>
    <t>WI</t>
  </si>
  <si>
    <t>REBECCA</t>
  </si>
  <si>
    <t>SD</t>
  </si>
  <si>
    <t>KLUMPP</t>
  </si>
  <si>
    <t>DAPHNIE</t>
  </si>
  <si>
    <t>LENCIONI</t>
  </si>
  <si>
    <t>TRACY</t>
  </si>
  <si>
    <t>FUENTES</t>
  </si>
  <si>
    <t>VICTOR</t>
  </si>
  <si>
    <t>RIZO</t>
  </si>
  <si>
    <t>ESTEBAN</t>
  </si>
  <si>
    <t>Geske</t>
  </si>
  <si>
    <t>Heather</t>
  </si>
  <si>
    <t>CERRETANI</t>
  </si>
  <si>
    <t>MARK</t>
  </si>
  <si>
    <t>Cancer and Heart/Stroke 20231 CO-FL-MN-MI</t>
  </si>
  <si>
    <t>VIVIANA</t>
  </si>
  <si>
    <t>AUFDERHEIDE</t>
  </si>
  <si>
    <t>MONIKA</t>
  </si>
  <si>
    <t>CAMERON</t>
  </si>
  <si>
    <t>LOYA</t>
  </si>
  <si>
    <t>BRENDA</t>
  </si>
  <si>
    <t>VAWTER</t>
  </si>
  <si>
    <t>TIMOTHY</t>
  </si>
  <si>
    <t>IN</t>
  </si>
  <si>
    <t>SINATRA</t>
  </si>
  <si>
    <t>ERIC</t>
  </si>
  <si>
    <t>HANAFI</t>
  </si>
  <si>
    <t>SEAN</t>
  </si>
  <si>
    <t>HIGDON</t>
  </si>
  <si>
    <t>JEREMY</t>
  </si>
  <si>
    <t>CARSPECKEN</t>
  </si>
  <si>
    <t>UT</t>
  </si>
  <si>
    <t>PINA</t>
  </si>
  <si>
    <t>CRYSTAL</t>
  </si>
  <si>
    <t>CARLOS</t>
  </si>
  <si>
    <t>CETRE</t>
  </si>
  <si>
    <t>CASEY</t>
  </si>
  <si>
    <t>DICKERSON</t>
  </si>
  <si>
    <t>TONYA</t>
  </si>
  <si>
    <t>BLACK</t>
  </si>
  <si>
    <t>STEPHANIE</t>
  </si>
  <si>
    <t>MESEROLL</t>
  </si>
  <si>
    <t>NOREEN</t>
  </si>
  <si>
    <t>GARRARD</t>
  </si>
  <si>
    <t>LAUREN</t>
  </si>
  <si>
    <t>CARR</t>
  </si>
  <si>
    <t>GESKE</t>
  </si>
  <si>
    <t>WILMER</t>
  </si>
  <si>
    <t>MORRIS</t>
  </si>
  <si>
    <t>YOUNG</t>
  </si>
  <si>
    <t>MEGHAN</t>
  </si>
  <si>
    <t>GUILFOYLE</t>
  </si>
  <si>
    <t>WHITEMAN</t>
  </si>
  <si>
    <t>BALDWIN</t>
  </si>
  <si>
    <t>MARGARET</t>
  </si>
  <si>
    <t>IBSEN</t>
  </si>
  <si>
    <t>KATY</t>
  </si>
  <si>
    <t>KESLER</t>
  </si>
  <si>
    <t>HAILEY</t>
  </si>
  <si>
    <t>PETERS</t>
  </si>
  <si>
    <t>JESSICA</t>
  </si>
  <si>
    <t>STARK</t>
  </si>
  <si>
    <t>KRISTA</t>
  </si>
  <si>
    <t>SUGAR</t>
  </si>
  <si>
    <t>RICHARDSON</t>
  </si>
  <si>
    <t>PATRICIA</t>
  </si>
  <si>
    <t>WILE</t>
  </si>
  <si>
    <t>Tigue</t>
  </si>
  <si>
    <t>Kirk</t>
  </si>
  <si>
    <t>RANDALL</t>
  </si>
  <si>
    <t>NOAH</t>
  </si>
  <si>
    <t>A1</t>
  </si>
  <si>
    <t>BEECH</t>
  </si>
  <si>
    <t>ALISON</t>
  </si>
  <si>
    <t>MI</t>
  </si>
  <si>
    <t>BAKER</t>
  </si>
  <si>
    <t>CHRISTOPHER</t>
  </si>
  <si>
    <t>MT</t>
  </si>
  <si>
    <t>GIBSON</t>
  </si>
  <si>
    <t>BRYAN</t>
  </si>
  <si>
    <t>DICKSON</t>
  </si>
  <si>
    <t>TOREY</t>
  </si>
  <si>
    <t>SHERIDAN</t>
  </si>
  <si>
    <t>ANTHONY</t>
  </si>
  <si>
    <t>WARNER</t>
  </si>
  <si>
    <t>MAGRUM</t>
  </si>
  <si>
    <t>LYNDA</t>
  </si>
  <si>
    <t>DUARTE</t>
  </si>
  <si>
    <t>AMY</t>
  </si>
  <si>
    <t>NISHIOKA</t>
  </si>
  <si>
    <t>SUZU</t>
  </si>
  <si>
    <t>Cheregi</t>
  </si>
  <si>
    <t>Raluca</t>
  </si>
  <si>
    <t>NIX</t>
  </si>
  <si>
    <t>RUSSELL</t>
  </si>
  <si>
    <t>BOYKINS</t>
  </si>
  <si>
    <t>CHANON</t>
  </si>
  <si>
    <t>TAUGNER</t>
  </si>
  <si>
    <t>CHRISTIAN</t>
  </si>
  <si>
    <t>MARTIN</t>
  </si>
  <si>
    <t>LATHAM</t>
  </si>
  <si>
    <t>NICOL</t>
  </si>
  <si>
    <t>JANE</t>
  </si>
  <si>
    <t>WOODWORTH</t>
  </si>
  <si>
    <t>DEANNA</t>
  </si>
  <si>
    <t>Allen</t>
  </si>
  <si>
    <t>FULTON-POWELL</t>
  </si>
  <si>
    <t>TAYSHAUN</t>
  </si>
  <si>
    <t>TABREY</t>
  </si>
  <si>
    <t>ETIN</t>
  </si>
  <si>
    <t>WEISS</t>
  </si>
  <si>
    <t>YAXANIRA</t>
  </si>
  <si>
    <t>WILMA</t>
  </si>
  <si>
    <t>Sievewright</t>
  </si>
  <si>
    <t>MCDERMOTT</t>
  </si>
  <si>
    <t>BONILLA</t>
  </si>
  <si>
    <t>ROBERTO</t>
  </si>
  <si>
    <t>DE</t>
  </si>
  <si>
    <t>DEROLLO</t>
  </si>
  <si>
    <t>SHIONA</t>
  </si>
  <si>
    <t>CARMYIA</t>
  </si>
  <si>
    <t>EUGENE</t>
  </si>
  <si>
    <t>CHACIN</t>
  </si>
  <si>
    <t>GERALDO</t>
  </si>
  <si>
    <t>LIFE Association Membership - C 14956 PPO</t>
  </si>
  <si>
    <t>KALMAN</t>
  </si>
  <si>
    <t>THERESA</t>
  </si>
  <si>
    <t>Life Association C OH</t>
  </si>
  <si>
    <t>LARSON</t>
  </si>
  <si>
    <t>ANTOINETTE</t>
  </si>
  <si>
    <t>JOHNSON</t>
  </si>
  <si>
    <t>ALEX</t>
  </si>
  <si>
    <t>KINYUA</t>
  </si>
  <si>
    <t>JARED</t>
  </si>
  <si>
    <t>WALENGA</t>
  </si>
  <si>
    <t>JENNIFER</t>
  </si>
  <si>
    <t>Life Association Access</t>
  </si>
  <si>
    <t>Walenga</t>
  </si>
  <si>
    <t>Dale</t>
  </si>
  <si>
    <t>REX</t>
  </si>
  <si>
    <t>ETHAN</t>
  </si>
  <si>
    <t>KNOEBEL</t>
  </si>
  <si>
    <t>Hunsberger</t>
  </si>
  <si>
    <t>Anthony</t>
  </si>
  <si>
    <t>DUFFLEY</t>
  </si>
  <si>
    <t>KAREN</t>
  </si>
  <si>
    <t>A6</t>
  </si>
  <si>
    <t>SALMETE</t>
  </si>
  <si>
    <t>ACE</t>
  </si>
  <si>
    <t>SANTOS</t>
  </si>
  <si>
    <t>RICARDO</t>
  </si>
  <si>
    <t>RARDIN</t>
  </si>
  <si>
    <t>LESLIE</t>
  </si>
  <si>
    <t>Life Association C IN</t>
  </si>
  <si>
    <t>Sanderock</t>
  </si>
  <si>
    <t>Marsha</t>
  </si>
  <si>
    <t>KEYAHANA</t>
  </si>
  <si>
    <t>LA</t>
  </si>
  <si>
    <t>STONE</t>
  </si>
  <si>
    <t>LIAM</t>
  </si>
  <si>
    <t>KELLER</t>
  </si>
  <si>
    <t>SC</t>
  </si>
  <si>
    <t>MAASER</t>
  </si>
  <si>
    <t>JUELLE</t>
  </si>
  <si>
    <t>FONTANINI</t>
  </si>
  <si>
    <t>BRANDEE</t>
  </si>
  <si>
    <t>JOSPEH</t>
  </si>
  <si>
    <t>LOVELY</t>
  </si>
  <si>
    <t>BAXTER</t>
  </si>
  <si>
    <t>JOSH</t>
  </si>
  <si>
    <t>NHIC Specified Care Association</t>
  </si>
  <si>
    <t>PECK</t>
  </si>
  <si>
    <t>Chad</t>
  </si>
  <si>
    <t>GRANT</t>
  </si>
  <si>
    <t>Green</t>
  </si>
  <si>
    <t>Danna</t>
  </si>
  <si>
    <t>ZOLLARS</t>
  </si>
  <si>
    <t>JAMES</t>
  </si>
  <si>
    <t>CLARK</t>
  </si>
  <si>
    <t>ALAN</t>
  </si>
  <si>
    <t>AMALIA</t>
  </si>
  <si>
    <t>MACKENZIE</t>
  </si>
  <si>
    <t>CARRYER</t>
  </si>
  <si>
    <t>KELLY</t>
  </si>
  <si>
    <t>MEHAFFEY</t>
  </si>
  <si>
    <t>LANCE</t>
  </si>
  <si>
    <t>JONES</t>
  </si>
  <si>
    <t>SHATAYA</t>
  </si>
  <si>
    <t>KEEFER</t>
  </si>
  <si>
    <t>MICHELLE</t>
  </si>
  <si>
    <t>SACK</t>
  </si>
  <si>
    <t>SAMUEL</t>
  </si>
  <si>
    <t>MCKAY</t>
  </si>
  <si>
    <t>ALEXANDRA</t>
  </si>
  <si>
    <t>PORTUGAL</t>
  </si>
  <si>
    <t>STACEY</t>
  </si>
  <si>
    <t>ARMSTRONG</t>
  </si>
  <si>
    <t>DAISY</t>
  </si>
  <si>
    <t>BURKE</t>
  </si>
  <si>
    <t>GALE</t>
  </si>
  <si>
    <t>NANCY</t>
  </si>
  <si>
    <t>REINIG</t>
  </si>
  <si>
    <t>INSKIPT</t>
  </si>
  <si>
    <t>DEBORAH</t>
  </si>
  <si>
    <t>ROBINSON</t>
  </si>
  <si>
    <t>PETER</t>
  </si>
  <si>
    <t>WORDEN</t>
  </si>
  <si>
    <t>EMALEE</t>
  </si>
  <si>
    <t>AR</t>
  </si>
  <si>
    <t>JENSEN</t>
  </si>
  <si>
    <t>EDWINA</t>
  </si>
  <si>
    <t>FERNANDEZ</t>
  </si>
  <si>
    <t>MELVIN</t>
  </si>
  <si>
    <t>DIAZ</t>
  </si>
  <si>
    <t>DELIA</t>
  </si>
  <si>
    <t>FLEMING</t>
  </si>
  <si>
    <t>DONNA</t>
  </si>
  <si>
    <t>MIKE</t>
  </si>
  <si>
    <t>RAINSBERGER</t>
  </si>
  <si>
    <t>MATHEW</t>
  </si>
  <si>
    <t>EVERS</t>
  </si>
  <si>
    <t>TROUT</t>
  </si>
  <si>
    <t>KENZLEE</t>
  </si>
  <si>
    <t>BROWN</t>
  </si>
  <si>
    <t>O'CONNOR</t>
  </si>
  <si>
    <t>REEANNA</t>
  </si>
  <si>
    <t>TAKASHI</t>
  </si>
  <si>
    <t>KANAI</t>
  </si>
  <si>
    <t>WILKINSON</t>
  </si>
  <si>
    <t>NKOPPE</t>
  </si>
  <si>
    <t>CAMILIA</t>
  </si>
  <si>
    <t>ITURBE</t>
  </si>
  <si>
    <t>ARNOLD</t>
  </si>
  <si>
    <t>ROMO</t>
  </si>
  <si>
    <t>NATALIE</t>
  </si>
  <si>
    <t>STAMPER</t>
  </si>
  <si>
    <t>HOLLY</t>
  </si>
  <si>
    <t>CLEVELAND</t>
  </si>
  <si>
    <t>MILLIS</t>
  </si>
  <si>
    <t>PAYTON</t>
  </si>
  <si>
    <t>NENNIG</t>
  </si>
  <si>
    <t>DONALD</t>
  </si>
  <si>
    <t>HERNANDEZ</t>
  </si>
  <si>
    <t>CARLOTA</t>
  </si>
  <si>
    <t>TRINH</t>
  </si>
  <si>
    <t>RONALD</t>
  </si>
  <si>
    <t>GARY</t>
  </si>
  <si>
    <t>BEN</t>
  </si>
  <si>
    <t>ZVOLENSKY</t>
  </si>
  <si>
    <t>AHSAKI</t>
  </si>
  <si>
    <t>SUTTON</t>
  </si>
  <si>
    <t>RAUN</t>
  </si>
  <si>
    <t>BRENNER</t>
  </si>
  <si>
    <t>BARRY</t>
  </si>
  <si>
    <t>WIDELL</t>
  </si>
  <si>
    <t>LINDA</t>
  </si>
  <si>
    <t>DIDONNE</t>
  </si>
  <si>
    <t>ANGELA</t>
  </si>
  <si>
    <t>RIVERA</t>
  </si>
  <si>
    <t>AMLIZ</t>
  </si>
  <si>
    <t>OCHOA</t>
  </si>
  <si>
    <t>LACEY</t>
  </si>
  <si>
    <t>COAD-THOMAS</t>
  </si>
  <si>
    <t>VALERIE</t>
  </si>
  <si>
    <t>GALLARELLO</t>
  </si>
  <si>
    <t>ANGELO</t>
  </si>
  <si>
    <t>NV</t>
  </si>
  <si>
    <t>Allstate Health Access</t>
  </si>
  <si>
    <t>Allstate Recuro RX Discount Card</t>
  </si>
  <si>
    <t>COBLER</t>
  </si>
  <si>
    <t>NATHANIEL</t>
  </si>
  <si>
    <t>Henry</t>
  </si>
  <si>
    <t>Michael</t>
  </si>
  <si>
    <t>LUMFORD</t>
  </si>
  <si>
    <t>JUDY</t>
  </si>
  <si>
    <t>Life</t>
  </si>
  <si>
    <t>NHIC Life 2023 Level - 5029 Final Expense</t>
  </si>
  <si>
    <t>FINNIGAN</t>
  </si>
  <si>
    <t>COLLEEN</t>
  </si>
  <si>
    <t>BOWIE</t>
  </si>
  <si>
    <t>BRIAN</t>
  </si>
  <si>
    <t>Medicare Supplement</t>
  </si>
  <si>
    <t>NHIC MedSupp 2022 IL Plan F, G Age 65-80</t>
  </si>
  <si>
    <t>HUBER</t>
  </si>
  <si>
    <t>PAULA</t>
  </si>
  <si>
    <t>WV</t>
  </si>
  <si>
    <t>ROBERT</t>
  </si>
  <si>
    <t>MAERTENS</t>
  </si>
  <si>
    <t>HEIDI</t>
  </si>
  <si>
    <t>Accident Fixed Benefit</t>
  </si>
  <si>
    <t>DITTLINGER</t>
  </si>
  <si>
    <t>CORINNE</t>
  </si>
  <si>
    <t>GOINS</t>
  </si>
  <si>
    <t>BOBBY</t>
  </si>
  <si>
    <t>WALLACE</t>
  </si>
  <si>
    <t>FELICIA</t>
  </si>
  <si>
    <t>KS</t>
  </si>
  <si>
    <t>KATHLEEN</t>
  </si>
  <si>
    <t>WERNER</t>
  </si>
  <si>
    <t>BRETT</t>
  </si>
  <si>
    <t>ODBAYAR</t>
  </si>
  <si>
    <t>BAYARDAVAA</t>
  </si>
  <si>
    <t>LAMB</t>
  </si>
  <si>
    <t>CHELCIE</t>
  </si>
  <si>
    <t>BATSAIKHAN</t>
  </si>
  <si>
    <t>SUVD</t>
  </si>
  <si>
    <t>ROBERTS</t>
  </si>
  <si>
    <t>ALVIN</t>
  </si>
  <si>
    <t>PURVEE</t>
  </si>
  <si>
    <t>NYAMZAM</t>
  </si>
  <si>
    <t>HRYCAJ</t>
  </si>
  <si>
    <t>BETH</t>
  </si>
  <si>
    <t>NGANDO</t>
  </si>
  <si>
    <t>HORTANCE</t>
  </si>
  <si>
    <t>APELIAN</t>
  </si>
  <si>
    <t>SHUMAN</t>
  </si>
  <si>
    <t>LARSEN</t>
  </si>
  <si>
    <t>DEVIN</t>
  </si>
  <si>
    <t>HERRERA-LARSEN</t>
  </si>
  <si>
    <t>ESTHER</t>
  </si>
  <si>
    <t>DEATON</t>
  </si>
  <si>
    <t>PAMELA</t>
  </si>
  <si>
    <t>HAMRICK</t>
  </si>
  <si>
    <t>DAMDINVAANJIL</t>
  </si>
  <si>
    <t>TSOGOO</t>
  </si>
  <si>
    <t>ENKHTUR</t>
  </si>
  <si>
    <t>ODMAA</t>
  </si>
  <si>
    <t>BATKA</t>
  </si>
  <si>
    <t>MOORE</t>
  </si>
  <si>
    <t>BRITT</t>
  </si>
  <si>
    <t>ANDERSON</t>
  </si>
  <si>
    <t>TINA</t>
  </si>
  <si>
    <t>BURNS</t>
  </si>
  <si>
    <t>RIOS</t>
  </si>
  <si>
    <t>JENNY</t>
  </si>
  <si>
    <t>FRITZ</t>
  </si>
  <si>
    <t>RANDAL</t>
  </si>
  <si>
    <t>DEQUAKER</t>
  </si>
  <si>
    <t>JUDITH</t>
  </si>
  <si>
    <t>ALTAN</t>
  </si>
  <si>
    <t>TUUL</t>
  </si>
  <si>
    <t>TUVSHINJARGAL</t>
  </si>
  <si>
    <t>SUVDAA</t>
  </si>
  <si>
    <t>SUKHBAATAR</t>
  </si>
  <si>
    <t>TERGUUNBAYAR</t>
  </si>
  <si>
    <t>ERDENE</t>
  </si>
  <si>
    <t>JAY</t>
  </si>
  <si>
    <t>WOJTASIK</t>
  </si>
  <si>
    <t>MUNKHNASAN</t>
  </si>
  <si>
    <t>MIJIDDORJ</t>
  </si>
  <si>
    <t>NASANJARGAL</t>
  </si>
  <si>
    <t>MARCIE</t>
  </si>
  <si>
    <t>HOUSE</t>
  </si>
  <si>
    <t>Rose</t>
  </si>
  <si>
    <t>Latesha</t>
  </si>
  <si>
    <t>DAWN</t>
  </si>
  <si>
    <t>THORNTON</t>
  </si>
  <si>
    <t>BENJAMIN</t>
  </si>
  <si>
    <t>WILLANDA</t>
  </si>
  <si>
    <t>BURT-HOLSENDOLPH</t>
  </si>
  <si>
    <t>MELTON</t>
  </si>
  <si>
    <t>DULMAA</t>
  </si>
  <si>
    <t>ODSUREN</t>
  </si>
  <si>
    <t>YVETTE</t>
  </si>
  <si>
    <t>TURNER</t>
  </si>
  <si>
    <t>STERLING</t>
  </si>
  <si>
    <t>WINSTON</t>
  </si>
  <si>
    <t>KENNERLY</t>
  </si>
  <si>
    <t>KITTY</t>
  </si>
  <si>
    <t>PRITT</t>
  </si>
  <si>
    <t>APARICIO</t>
  </si>
  <si>
    <t>AUGUSTO</t>
  </si>
  <si>
    <t>ZACHARIAH</t>
  </si>
  <si>
    <t>PHENU</t>
  </si>
  <si>
    <t>HIGGINS</t>
  </si>
  <si>
    <t>SANDBERG</t>
  </si>
  <si>
    <t>HAMILTON</t>
  </si>
  <si>
    <t>KING</t>
  </si>
  <si>
    <t>CARROL</t>
  </si>
  <si>
    <t>SODNOMPIL</t>
  </si>
  <si>
    <t>ALTANTUYA</t>
  </si>
  <si>
    <t>WALKER</t>
  </si>
  <si>
    <t>SUKHBAT</t>
  </si>
  <si>
    <t>ANUJIN</t>
  </si>
  <si>
    <t>SCHEINMAN</t>
  </si>
  <si>
    <t>JACS</t>
  </si>
  <si>
    <t>SOLIVAN</t>
  </si>
  <si>
    <t>ERICA</t>
  </si>
  <si>
    <t>Solivan</t>
  </si>
  <si>
    <t>Erica</t>
  </si>
  <si>
    <t>MULLHAUSEN</t>
  </si>
  <si>
    <t>FINLAY</t>
  </si>
  <si>
    <t>RONDA</t>
  </si>
  <si>
    <t>DELIS</t>
  </si>
  <si>
    <t>LESLI</t>
  </si>
  <si>
    <t>FUNCHESS</t>
  </si>
  <si>
    <t>STEFFAN</t>
  </si>
  <si>
    <t>LIU</t>
  </si>
  <si>
    <t>LEONA</t>
  </si>
  <si>
    <t>MEYER</t>
  </si>
  <si>
    <t>MERRITT</t>
  </si>
  <si>
    <t>ON</t>
  </si>
  <si>
    <t>MONAGHAN</t>
  </si>
  <si>
    <t>KEITH</t>
  </si>
  <si>
    <t>BASS</t>
  </si>
  <si>
    <t>Weitzman</t>
  </si>
  <si>
    <t>Kenneth</t>
  </si>
  <si>
    <t>WILLIAMSON</t>
  </si>
  <si>
    <t>TAMMY</t>
  </si>
  <si>
    <t>YONO</t>
  </si>
  <si>
    <t>SARRY</t>
  </si>
  <si>
    <t>GANKHUYAG</t>
  </si>
  <si>
    <t>MUNKHJARGAL</t>
  </si>
  <si>
    <t>POITRA</t>
  </si>
  <si>
    <t>JOYLYNN</t>
  </si>
  <si>
    <t>FINLEY</t>
  </si>
  <si>
    <t>Flamminio</t>
  </si>
  <si>
    <t>Giovanni</t>
  </si>
  <si>
    <t>MARIAH</t>
  </si>
  <si>
    <t>HIRNER</t>
  </si>
  <si>
    <t>KEAH</t>
  </si>
  <si>
    <t>VINSON</t>
  </si>
  <si>
    <t>THREADGILL</t>
  </si>
  <si>
    <t>HART</t>
  </si>
  <si>
    <t>VIRGINIA</t>
  </si>
  <si>
    <t>GANBADRAL</t>
  </si>
  <si>
    <t>MORGAN</t>
  </si>
  <si>
    <t>WATKINS</t>
  </si>
  <si>
    <t>BETTE</t>
  </si>
  <si>
    <t>DURAN</t>
  </si>
  <si>
    <t>ASCENCIO</t>
  </si>
  <si>
    <t>LARGEN</t>
  </si>
  <si>
    <t>CHASE</t>
  </si>
  <si>
    <t>REYNOLDS</t>
  </si>
  <si>
    <t>LINDSEY</t>
  </si>
  <si>
    <t>GEOHAGHAN</t>
  </si>
  <si>
    <t>GWENDOLYN</t>
  </si>
  <si>
    <t>WILLIAMS</t>
  </si>
  <si>
    <t>JEAN</t>
  </si>
  <si>
    <t>Aloff</t>
  </si>
  <si>
    <t>Jonathan</t>
  </si>
  <si>
    <t>FALCOFF</t>
  </si>
  <si>
    <t>LEE</t>
  </si>
  <si>
    <t>CHULUUNBAT</t>
  </si>
  <si>
    <t>UNDRALTSETSEG</t>
  </si>
  <si>
    <t>MOSI</t>
  </si>
  <si>
    <t>DOLIYA</t>
  </si>
  <si>
    <t>GOMBOPUREV</t>
  </si>
  <si>
    <t>GANTSEGMED</t>
  </si>
  <si>
    <t>NHIC STM PPO All Other States Renewable</t>
  </si>
  <si>
    <t>Recuro CO-CT-IA-KS-MD-MO-ND-OR-SD</t>
  </si>
  <si>
    <t>A3</t>
  </si>
  <si>
    <t>NHIC STM 2022 IN Single Term</t>
  </si>
  <si>
    <t>SAQLAIN</t>
  </si>
  <si>
    <t>MUHAMMAD</t>
  </si>
  <si>
    <t>National General STM CO-CT-IA-KS-MD-MO-ND-OR-SD</t>
  </si>
  <si>
    <t>NHIC STM PPO All Other States</t>
  </si>
  <si>
    <t>AESCHLIMAN</t>
  </si>
  <si>
    <t>JANICE</t>
  </si>
  <si>
    <t>NHIC STM 2022 KS Single Term</t>
  </si>
  <si>
    <t>Recuro 2022 KS Single Term</t>
  </si>
  <si>
    <t>NHIC STM PPO NE</t>
  </si>
  <si>
    <t>NHIC STM 2022 IN, UT Renewable</t>
  </si>
  <si>
    <t>BRIDGES</t>
  </si>
  <si>
    <t>ELIZABETH</t>
  </si>
  <si>
    <t>FENGER</t>
  </si>
  <si>
    <t>AFRASSIAB</t>
  </si>
  <si>
    <t>BEHRONZ</t>
  </si>
  <si>
    <t>HANSFORD</t>
  </si>
  <si>
    <t>SKELLIE</t>
  </si>
  <si>
    <t>CORI</t>
  </si>
  <si>
    <t>SACH</t>
  </si>
  <si>
    <t>DREISTADT</t>
  </si>
  <si>
    <t>ALIKOR</t>
  </si>
  <si>
    <t>CHINYERE</t>
  </si>
  <si>
    <t>GATHANY</t>
  </si>
  <si>
    <t>ENNIS</t>
  </si>
  <si>
    <t>CBK</t>
  </si>
  <si>
    <t>BELL</t>
  </si>
  <si>
    <t>HOWARD</t>
  </si>
  <si>
    <t>POPE</t>
  </si>
  <si>
    <t>ROSE</t>
  </si>
  <si>
    <t>LATESHA</t>
  </si>
  <si>
    <t>OTGONBAYAR</t>
  </si>
  <si>
    <t>MASSE</t>
  </si>
  <si>
    <t>CHAVIRA</t>
  </si>
  <si>
    <t>BERENICE</t>
  </si>
  <si>
    <t>OGLETREE</t>
  </si>
  <si>
    <t>SHAUNDA</t>
  </si>
  <si>
    <t>CLANCY</t>
  </si>
  <si>
    <t>HALL</t>
  </si>
  <si>
    <t>ADJ</t>
  </si>
  <si>
    <t xml:space="preserve">2025 Q4 Supplemental Bonus for John Rader for $1040
</t>
  </si>
  <si>
    <t>Bonus</t>
  </si>
  <si>
    <t>2025 Q4 Supplemental Bonus</t>
  </si>
  <si>
    <t>Critical Illness with Term Life 21677</t>
  </si>
  <si>
    <t>Cancer and Heart-Stroke 20231</t>
  </si>
  <si>
    <t>NHIC MedSupp 2022 Plan F G Age 65-80</t>
  </si>
  <si>
    <t>19278370old</t>
  </si>
  <si>
    <t>371819L4</t>
  </si>
  <si>
    <t>19681796AV6</t>
  </si>
  <si>
    <t>16912722AV6</t>
  </si>
  <si>
    <t>19586992AV6</t>
  </si>
  <si>
    <t>20220688AV6</t>
  </si>
  <si>
    <t>17554531AV6</t>
  </si>
  <si>
    <t>Allstate OVR</t>
  </si>
  <si>
    <t>Cancer and Heart-Stroke 20231 CO-FL-MN-MI</t>
  </si>
  <si>
    <t>Life Association C</t>
  </si>
  <si>
    <t>Final Expense Life Insurance (Level)</t>
  </si>
  <si>
    <t>NHIC STM PPO IA</t>
  </si>
  <si>
    <t>STM and Association (where applicable) UT, VA</t>
  </si>
  <si>
    <t>18781057N</t>
  </si>
  <si>
    <t>21283956old</t>
  </si>
  <si>
    <t>371819L4AV6</t>
  </si>
  <si>
    <t>18201929AV6old</t>
  </si>
  <si>
    <t>21313588AV6</t>
  </si>
  <si>
    <t>16865615AV6</t>
  </si>
  <si>
    <t>16633294AV6</t>
  </si>
  <si>
    <t>21421111AV6</t>
  </si>
  <si>
    <t>21648482AV6</t>
  </si>
  <si>
    <t>18201929L2</t>
  </si>
  <si>
    <t>17143996AV6</t>
  </si>
  <si>
    <t>17117649AV6</t>
  </si>
  <si>
    <t>7307857AV6</t>
  </si>
  <si>
    <t>19279958old</t>
  </si>
  <si>
    <t>8325282AV6</t>
  </si>
  <si>
    <t>20724564AV6</t>
  </si>
  <si>
    <t>16849453AV6</t>
  </si>
  <si>
    <t>17528908N</t>
  </si>
  <si>
    <t>6634327AV6</t>
  </si>
  <si>
    <t>20003537old</t>
  </si>
  <si>
    <t>8971826N</t>
  </si>
  <si>
    <t>20212926AV6</t>
  </si>
  <si>
    <t>19279958AV6</t>
  </si>
  <si>
    <t>21348299old</t>
  </si>
  <si>
    <t>371819AV6</t>
  </si>
  <si>
    <t>18201929AV6OLD</t>
  </si>
  <si>
    <t>18532417AV6</t>
  </si>
  <si>
    <t>16683808AV6</t>
  </si>
  <si>
    <t>19200754AV6</t>
  </si>
  <si>
    <t>Main Line Benefits</t>
  </si>
  <si>
    <t>AV1</t>
  </si>
  <si>
    <t>AE</t>
  </si>
  <si>
    <t>NB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</si>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</sst>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  <xf numFmtId="9" fontId="0" fillId="33" borderId="0" xfId="0" applyNumberFormat="1" applyFill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724C-3AAC-4BAC-9395-0B89958885D2}">
  <dimension ref="A1:AV571"/>
  <sheetViews>
    <sheetView tabSelected="1" topLeftCell="AD1" workbookViewId="0">
      <pane ySplit="1" topLeftCell="A569" activePane="bottomLeft" state="frozen"/>
      <selection activeCell="AD1" sqref="AD1"/>
      <selection pane="bottomLeft" activeCell="AM10" sqref="AM10"/>
    </sheetView>
  </sheetViews>
  <sheetFormatPr defaultRowHeight="14.4" x14ac:dyDescent="0.3"/>
  <cols>
    <col min="1" max="1" width="26.88671875" bestFit="1" customWidth="1"/>
    <col min="2" max="2" width="5.33203125" bestFit="1" customWidth="1"/>
    <col min="3" max="3" width="25.88671875" bestFit="1" customWidth="1"/>
    <col min="4" max="4" width="11" bestFit="1" customWidth="1"/>
    <col min="5" max="5" width="22.109375" bestFit="1" customWidth="1"/>
    <col min="6" max="6" width="22.5546875" bestFit="1" customWidth="1"/>
    <col min="7" max="7" width="23.33203125" bestFit="1" customWidth="1"/>
    <col min="8" max="8" width="5.5546875" bestFit="1" customWidth="1"/>
    <col min="9" max="9" width="20.88671875" bestFit="1" customWidth="1"/>
    <col min="10" max="10" width="50" bestFit="1" customWidth="1"/>
    <col min="11" max="11" width="15.6640625" bestFit="1" customWidth="1"/>
    <col min="12" max="12" width="16.5546875" bestFit="1" customWidth="1"/>
    <col min="13" max="13" width="14.109375" bestFit="1" customWidth="1"/>
    <col min="14" max="14" width="12.109375" bestFit="1" customWidth="1"/>
    <col min="15" max="15" width="13.5546875" bestFit="1" customWidth="1"/>
    <col min="16" max="16" width="10.109375" bestFit="1" customWidth="1"/>
    <col min="17" max="17" width="12" bestFit="1" customWidth="1"/>
    <col min="18" max="18" width="16" bestFit="1" customWidth="1"/>
    <col min="19" max="19" width="7.44140625" bestFit="1" customWidth="1"/>
    <col min="20" max="20" width="12.6640625" bestFit="1" customWidth="1"/>
    <col min="21" max="21" width="10.33203125" bestFit="1" customWidth="1"/>
    <col min="22" max="22" width="11.33203125" bestFit="1" customWidth="1"/>
    <col min="23" max="23" width="10.33203125" bestFit="1" customWidth="1"/>
    <col min="24" max="24" width="14.44140625" bestFit="1" customWidth="1"/>
    <col min="25" max="25" width="8.33203125" bestFit="1" customWidth="1"/>
    <col min="26" max="26" width="15.5546875" bestFit="1" customWidth="1"/>
    <col min="27" max="27" width="12.44140625" bestFit="1" customWidth="1"/>
    <col min="28" max="28" width="16" bestFit="1" customWidth="1"/>
    <col min="29" max="29" width="10.33203125" bestFit="1" customWidth="1"/>
    <col min="30" max="30" width="15.109375" bestFit="1" customWidth="1"/>
    <col min="31" max="31" width="10.5546875" bestFit="1" customWidth="1"/>
    <col min="32" max="32" width="12" bestFit="1" customWidth="1"/>
    <col min="33" max="33" width="14" bestFit="1" customWidth="1"/>
    <col min="34" max="34" width="14.5546875" bestFit="1" customWidth="1"/>
    <col min="35" max="35" width="16.44140625" bestFit="1" customWidth="1"/>
    <col min="36" max="36" width="14.6640625" bestFit="1" customWidth="1"/>
    <col min="37" max="37" width="17.33203125" bestFit="1" customWidth="1"/>
    <col min="38" max="38" width="13.6640625" bestFit="1" customWidth="1"/>
    <col min="39" max="39" width="18.6640625" bestFit="1" customWidth="1"/>
    <col min="40" max="40" width="21.88671875" bestFit="1" customWidth="1"/>
    <col min="41" max="41" width="16.33203125" bestFit="1" customWidth="1"/>
    <col min="42" max="42" width="20.88671875" bestFit="1" customWidth="1"/>
    <col min="43" max="43" width="22.5546875" bestFit="1" customWidth="1"/>
    <col min="44" max="44" width="14.44140625" bestFit="1" customWidth="1"/>
    <col min="45" max="45" width="22.44140625" bestFit="1" customWidth="1"/>
    <col min="46" max="46" width="21.88671875" bestFit="1" customWidth="1"/>
    <col min="47" max="47" width="18.109375" bestFit="1" customWidth="1"/>
    <col min="48" max="48" width="12.10937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s="1">
        <v>46104</v>
      </c>
      <c r="B2" t="s">
        <v>48</v>
      </c>
      <c r="C2">
        <v>649163</v>
      </c>
      <c r="D2">
        <v>2034404407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885445</v>
      </c>
      <c r="L2" t="s">
        <v>55</v>
      </c>
      <c r="M2" t="s">
        <v>56</v>
      </c>
      <c r="N2" t="s">
        <v>57</v>
      </c>
      <c r="O2" s="1">
        <v>46099</v>
      </c>
      <c r="Q2" s="1">
        <v>46130</v>
      </c>
      <c r="R2" s="2">
        <v>46.45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167.22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27.87</v>
      </c>
      <c r="AM2" s="2">
        <v>0</v>
      </c>
      <c r="AN2" s="2">
        <v>167.22</v>
      </c>
      <c r="AO2" s="2">
        <v>0</v>
      </c>
      <c r="AP2" s="2">
        <v>0</v>
      </c>
      <c r="AQ2" s="2">
        <v>0</v>
      </c>
    </row>
    <row r="3" spans="1:48" x14ac:dyDescent="0.3">
      <c r="A3" s="1">
        <v>46104</v>
      </c>
      <c r="B3" t="s">
        <v>48</v>
      </c>
      <c r="C3">
        <v>649163</v>
      </c>
      <c r="D3">
        <v>2033832427</v>
      </c>
      <c r="E3" t="s">
        <v>62</v>
      </c>
      <c r="F3" t="s">
        <v>63</v>
      </c>
      <c r="G3" t="s">
        <v>51</v>
      </c>
      <c r="H3" t="s">
        <v>64</v>
      </c>
      <c r="I3" t="s">
        <v>65</v>
      </c>
      <c r="J3" t="s">
        <v>66</v>
      </c>
      <c r="K3">
        <v>823350</v>
      </c>
      <c r="L3" t="s">
        <v>67</v>
      </c>
      <c r="M3" t="s">
        <v>68</v>
      </c>
      <c r="N3" t="s">
        <v>57</v>
      </c>
      <c r="O3" s="1">
        <v>46082</v>
      </c>
      <c r="Q3" s="1">
        <v>46113</v>
      </c>
      <c r="R3" s="2">
        <v>41.95</v>
      </c>
      <c r="S3">
        <v>1</v>
      </c>
      <c r="T3" t="s">
        <v>58</v>
      </c>
      <c r="U3" t="s">
        <v>59</v>
      </c>
      <c r="V3" s="3">
        <v>0.75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188.76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31.46</v>
      </c>
      <c r="AM3" s="2">
        <v>0</v>
      </c>
      <c r="AN3" s="2">
        <v>188.76</v>
      </c>
      <c r="AO3" s="2">
        <v>0</v>
      </c>
      <c r="AP3" s="2">
        <v>0</v>
      </c>
      <c r="AQ3" s="2">
        <v>0</v>
      </c>
    </row>
    <row r="4" spans="1:48" x14ac:dyDescent="0.3">
      <c r="A4" s="1">
        <v>46104</v>
      </c>
      <c r="B4" t="s">
        <v>48</v>
      </c>
      <c r="C4">
        <v>649163</v>
      </c>
      <c r="D4">
        <v>2033835703</v>
      </c>
      <c r="E4" t="s">
        <v>69</v>
      </c>
      <c r="F4" t="s">
        <v>70</v>
      </c>
      <c r="G4" t="s">
        <v>51</v>
      </c>
      <c r="H4" t="s">
        <v>64</v>
      </c>
      <c r="I4" t="s">
        <v>65</v>
      </c>
      <c r="J4" t="s">
        <v>71</v>
      </c>
      <c r="K4">
        <v>823350</v>
      </c>
      <c r="L4" t="s">
        <v>67</v>
      </c>
      <c r="M4" t="s">
        <v>68</v>
      </c>
      <c r="N4" t="s">
        <v>57</v>
      </c>
      <c r="O4" s="1">
        <v>46082</v>
      </c>
      <c r="Q4" s="1">
        <v>46113</v>
      </c>
      <c r="R4" s="2">
        <v>87.08</v>
      </c>
      <c r="S4">
        <v>1</v>
      </c>
      <c r="T4" t="s">
        <v>58</v>
      </c>
      <c r="U4" t="s">
        <v>59</v>
      </c>
      <c r="V4" s="3">
        <v>0.9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470.22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78.37</v>
      </c>
      <c r="AM4" s="2">
        <v>0</v>
      </c>
      <c r="AN4" s="2">
        <v>470.22</v>
      </c>
      <c r="AO4" s="2">
        <v>0</v>
      </c>
      <c r="AP4" s="2">
        <v>0</v>
      </c>
      <c r="AQ4" s="2">
        <v>0</v>
      </c>
    </row>
    <row r="5" spans="1:48" x14ac:dyDescent="0.3">
      <c r="A5" s="1">
        <v>46104</v>
      </c>
      <c r="B5" t="s">
        <v>48</v>
      </c>
      <c r="C5">
        <v>649163</v>
      </c>
      <c r="D5">
        <v>2033908764</v>
      </c>
      <c r="E5" t="s">
        <v>72</v>
      </c>
      <c r="F5" t="s">
        <v>73</v>
      </c>
      <c r="G5" t="s">
        <v>51</v>
      </c>
      <c r="H5" t="s">
        <v>74</v>
      </c>
      <c r="I5" t="s">
        <v>65</v>
      </c>
      <c r="J5" t="s">
        <v>75</v>
      </c>
      <c r="K5">
        <v>673059</v>
      </c>
      <c r="L5" t="s">
        <v>76</v>
      </c>
      <c r="M5" t="s">
        <v>77</v>
      </c>
      <c r="N5" t="s">
        <v>57</v>
      </c>
      <c r="O5" s="1">
        <v>46102</v>
      </c>
      <c r="Q5" s="1">
        <v>46133</v>
      </c>
      <c r="R5" s="2">
        <v>48.28</v>
      </c>
      <c r="S5">
        <v>1</v>
      </c>
      <c r="T5" t="s">
        <v>58</v>
      </c>
      <c r="U5" t="s">
        <v>59</v>
      </c>
      <c r="V5" s="3">
        <v>0.75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217.26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36.21</v>
      </c>
      <c r="AM5" s="2">
        <v>0</v>
      </c>
      <c r="AN5" s="2">
        <v>217.26</v>
      </c>
      <c r="AO5" s="2">
        <v>0</v>
      </c>
      <c r="AP5" s="2">
        <v>0</v>
      </c>
      <c r="AQ5" s="2">
        <v>0</v>
      </c>
    </row>
    <row r="6" spans="1:48" x14ac:dyDescent="0.3">
      <c r="A6" s="1">
        <v>46104</v>
      </c>
      <c r="B6" t="s">
        <v>48</v>
      </c>
      <c r="C6">
        <v>649163</v>
      </c>
      <c r="D6">
        <v>2034346334</v>
      </c>
      <c r="E6" t="s">
        <v>78</v>
      </c>
      <c r="F6" t="s">
        <v>79</v>
      </c>
      <c r="G6" t="s">
        <v>51</v>
      </c>
      <c r="H6" t="s">
        <v>80</v>
      </c>
      <c r="I6" t="s">
        <v>65</v>
      </c>
      <c r="J6" t="s">
        <v>81</v>
      </c>
      <c r="K6">
        <v>897073</v>
      </c>
      <c r="L6" t="s">
        <v>82</v>
      </c>
      <c r="M6" t="s">
        <v>83</v>
      </c>
      <c r="N6" t="s">
        <v>57</v>
      </c>
      <c r="O6" s="1">
        <v>46101</v>
      </c>
      <c r="Q6" s="1">
        <v>46132</v>
      </c>
      <c r="R6" s="2">
        <v>121.45</v>
      </c>
      <c r="S6">
        <v>1</v>
      </c>
      <c r="T6" t="s">
        <v>58</v>
      </c>
      <c r="U6" t="s">
        <v>59</v>
      </c>
      <c r="V6" s="3">
        <v>0.75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546.54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91.09</v>
      </c>
      <c r="AM6" s="2">
        <v>0</v>
      </c>
      <c r="AN6" s="2">
        <v>546.54</v>
      </c>
      <c r="AO6" s="2">
        <v>0</v>
      </c>
      <c r="AP6" s="2">
        <v>0</v>
      </c>
      <c r="AQ6" s="2">
        <v>0</v>
      </c>
    </row>
    <row r="7" spans="1:48" x14ac:dyDescent="0.3">
      <c r="A7" s="1">
        <v>46104</v>
      </c>
      <c r="B7" t="s">
        <v>48</v>
      </c>
      <c r="C7">
        <v>649163</v>
      </c>
      <c r="D7">
        <v>2034368684</v>
      </c>
      <c r="E7" t="s">
        <v>84</v>
      </c>
      <c r="F7" t="s">
        <v>85</v>
      </c>
      <c r="G7" t="s">
        <v>51</v>
      </c>
      <c r="H7" t="s">
        <v>86</v>
      </c>
      <c r="I7" t="s">
        <v>65</v>
      </c>
      <c r="J7" t="s">
        <v>75</v>
      </c>
      <c r="K7">
        <v>650218</v>
      </c>
      <c r="L7" t="s">
        <v>87</v>
      </c>
      <c r="M7" t="s">
        <v>88</v>
      </c>
      <c r="N7" t="s">
        <v>57</v>
      </c>
      <c r="O7" s="1">
        <v>46100</v>
      </c>
      <c r="Q7" s="1">
        <v>46131</v>
      </c>
      <c r="R7" s="2">
        <v>23.55</v>
      </c>
      <c r="S7">
        <v>1</v>
      </c>
      <c r="T7" t="s">
        <v>58</v>
      </c>
      <c r="U7" t="s">
        <v>59</v>
      </c>
      <c r="V7" s="3">
        <v>0.75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105.96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17.66</v>
      </c>
      <c r="AM7" s="2">
        <v>0</v>
      </c>
      <c r="AN7" s="2">
        <v>105.96</v>
      </c>
      <c r="AO7" s="2">
        <v>0</v>
      </c>
      <c r="AP7" s="2">
        <v>0</v>
      </c>
      <c r="AQ7" s="2">
        <v>0</v>
      </c>
    </row>
    <row r="8" spans="1:48" x14ac:dyDescent="0.3">
      <c r="A8" s="1">
        <v>46104</v>
      </c>
      <c r="B8" t="s">
        <v>48</v>
      </c>
      <c r="C8">
        <v>649163</v>
      </c>
      <c r="D8">
        <v>2034373765</v>
      </c>
      <c r="E8" t="s">
        <v>89</v>
      </c>
      <c r="F8" t="s">
        <v>90</v>
      </c>
      <c r="G8" t="s">
        <v>51</v>
      </c>
      <c r="H8" t="s">
        <v>64</v>
      </c>
      <c r="I8" t="s">
        <v>65</v>
      </c>
      <c r="J8" t="s">
        <v>71</v>
      </c>
      <c r="K8">
        <v>824062</v>
      </c>
      <c r="L8" t="s">
        <v>91</v>
      </c>
      <c r="M8" t="s">
        <v>92</v>
      </c>
      <c r="N8" t="s">
        <v>57</v>
      </c>
      <c r="O8" s="1">
        <v>46140</v>
      </c>
      <c r="Q8" s="1">
        <v>46170</v>
      </c>
      <c r="R8" s="2">
        <v>42.82</v>
      </c>
      <c r="S8">
        <v>1</v>
      </c>
      <c r="T8" t="s">
        <v>58</v>
      </c>
      <c r="U8" t="s">
        <v>59</v>
      </c>
      <c r="V8" s="3">
        <v>0.9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231.24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38.54</v>
      </c>
      <c r="AM8" s="2">
        <v>0</v>
      </c>
      <c r="AN8" s="2">
        <v>231.24</v>
      </c>
      <c r="AO8" s="2">
        <v>0</v>
      </c>
      <c r="AP8" s="2">
        <v>0</v>
      </c>
      <c r="AQ8" s="2">
        <v>0</v>
      </c>
    </row>
    <row r="9" spans="1:48" x14ac:dyDescent="0.3">
      <c r="A9" s="1">
        <v>46104</v>
      </c>
      <c r="B9" t="s">
        <v>48</v>
      </c>
      <c r="C9">
        <v>649163</v>
      </c>
      <c r="D9">
        <v>2034374843</v>
      </c>
      <c r="E9" t="s">
        <v>93</v>
      </c>
      <c r="F9" t="s">
        <v>94</v>
      </c>
      <c r="G9" t="s">
        <v>51</v>
      </c>
      <c r="H9" t="s">
        <v>95</v>
      </c>
      <c r="I9" t="s">
        <v>65</v>
      </c>
      <c r="J9" t="s">
        <v>71</v>
      </c>
      <c r="K9">
        <v>651818</v>
      </c>
      <c r="L9" t="s">
        <v>96</v>
      </c>
      <c r="M9" t="s">
        <v>97</v>
      </c>
      <c r="N9" t="s">
        <v>57</v>
      </c>
      <c r="O9" s="1">
        <v>46099</v>
      </c>
      <c r="Q9" s="1">
        <v>46130</v>
      </c>
      <c r="R9" s="2">
        <v>95.88</v>
      </c>
      <c r="S9">
        <v>1</v>
      </c>
      <c r="T9" t="s">
        <v>58</v>
      </c>
      <c r="U9" t="s">
        <v>59</v>
      </c>
      <c r="V9" s="3">
        <v>0.9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517.74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86.29</v>
      </c>
      <c r="AM9" s="2">
        <v>0</v>
      </c>
      <c r="AN9" s="2">
        <v>517.74</v>
      </c>
      <c r="AO9" s="2">
        <v>0</v>
      </c>
      <c r="AP9" s="2">
        <v>0</v>
      </c>
      <c r="AQ9" s="2">
        <v>0</v>
      </c>
    </row>
    <row r="10" spans="1:48" x14ac:dyDescent="0.3">
      <c r="A10" s="1">
        <v>46104</v>
      </c>
      <c r="B10" t="s">
        <v>48</v>
      </c>
      <c r="C10">
        <v>649163</v>
      </c>
      <c r="D10">
        <v>2034375763</v>
      </c>
      <c r="E10" t="s">
        <v>98</v>
      </c>
      <c r="F10" t="s">
        <v>99</v>
      </c>
      <c r="G10" t="s">
        <v>51</v>
      </c>
      <c r="H10" t="s">
        <v>100</v>
      </c>
      <c r="I10" t="s">
        <v>65</v>
      </c>
      <c r="J10" t="s">
        <v>71</v>
      </c>
      <c r="K10">
        <v>673059</v>
      </c>
      <c r="L10" t="s">
        <v>76</v>
      </c>
      <c r="M10" t="s">
        <v>77</v>
      </c>
      <c r="N10" t="s">
        <v>57</v>
      </c>
      <c r="O10" s="1">
        <v>46098</v>
      </c>
      <c r="Q10" s="1">
        <v>46129</v>
      </c>
      <c r="R10" s="2">
        <v>132</v>
      </c>
      <c r="S10">
        <v>1</v>
      </c>
      <c r="T10" t="s">
        <v>58</v>
      </c>
      <c r="U10" t="s">
        <v>59</v>
      </c>
      <c r="V10" s="3">
        <v>0.9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712.8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118.8</v>
      </c>
      <c r="AM10" s="2">
        <v>0</v>
      </c>
      <c r="AN10" s="2">
        <v>712.8</v>
      </c>
      <c r="AO10" s="2">
        <v>0</v>
      </c>
      <c r="AP10" s="2">
        <v>0</v>
      </c>
      <c r="AQ10" s="2">
        <v>0</v>
      </c>
    </row>
    <row r="11" spans="1:48" x14ac:dyDescent="0.3">
      <c r="A11" s="1">
        <v>46104</v>
      </c>
      <c r="B11" t="s">
        <v>48</v>
      </c>
      <c r="C11">
        <v>649163</v>
      </c>
      <c r="D11">
        <v>2034377610</v>
      </c>
      <c r="E11" t="s">
        <v>101</v>
      </c>
      <c r="F11" t="s">
        <v>102</v>
      </c>
      <c r="G11" t="s">
        <v>51</v>
      </c>
      <c r="H11" t="s">
        <v>103</v>
      </c>
      <c r="I11" t="s">
        <v>65</v>
      </c>
      <c r="J11" t="s">
        <v>71</v>
      </c>
      <c r="K11">
        <v>861933</v>
      </c>
      <c r="L11" t="s">
        <v>104</v>
      </c>
      <c r="M11" t="s">
        <v>105</v>
      </c>
      <c r="N11" t="s">
        <v>57</v>
      </c>
      <c r="O11" s="1">
        <v>46113</v>
      </c>
      <c r="Q11" s="1">
        <v>46143</v>
      </c>
      <c r="R11" s="2">
        <v>105.56</v>
      </c>
      <c r="S11">
        <v>1</v>
      </c>
      <c r="T11" t="s">
        <v>58</v>
      </c>
      <c r="U11" t="s">
        <v>59</v>
      </c>
      <c r="V11" s="3">
        <v>0.9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570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95</v>
      </c>
      <c r="AM11" s="2">
        <v>0</v>
      </c>
      <c r="AN11" s="2">
        <v>570</v>
      </c>
      <c r="AO11" s="2">
        <v>0</v>
      </c>
      <c r="AP11" s="2">
        <v>0</v>
      </c>
      <c r="AQ11" s="2">
        <v>0</v>
      </c>
    </row>
    <row r="12" spans="1:48" x14ac:dyDescent="0.3">
      <c r="A12" s="1">
        <v>46104</v>
      </c>
      <c r="B12" t="s">
        <v>48</v>
      </c>
      <c r="C12">
        <v>649163</v>
      </c>
      <c r="D12">
        <v>2034379294</v>
      </c>
      <c r="E12" t="s">
        <v>106</v>
      </c>
      <c r="F12" t="s">
        <v>107</v>
      </c>
      <c r="G12" t="s">
        <v>51</v>
      </c>
      <c r="H12" t="s">
        <v>103</v>
      </c>
      <c r="I12" t="s">
        <v>65</v>
      </c>
      <c r="J12" t="s">
        <v>71</v>
      </c>
      <c r="K12">
        <v>902625</v>
      </c>
      <c r="L12" t="s">
        <v>108</v>
      </c>
      <c r="M12" t="s">
        <v>109</v>
      </c>
      <c r="N12" t="s">
        <v>57</v>
      </c>
      <c r="O12" s="1">
        <v>46113</v>
      </c>
      <c r="Q12" s="1">
        <v>46143</v>
      </c>
      <c r="R12" s="2">
        <v>30.92</v>
      </c>
      <c r="S12">
        <v>1</v>
      </c>
      <c r="T12" t="s">
        <v>58</v>
      </c>
      <c r="U12" t="s">
        <v>59</v>
      </c>
      <c r="V12" s="3">
        <v>0.9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166.98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27.83</v>
      </c>
      <c r="AM12" s="2">
        <v>0</v>
      </c>
      <c r="AN12" s="2">
        <v>166.98</v>
      </c>
      <c r="AO12" s="2">
        <v>0</v>
      </c>
      <c r="AP12" s="2">
        <v>0</v>
      </c>
      <c r="AQ12" s="2">
        <v>0</v>
      </c>
    </row>
    <row r="13" spans="1:48" x14ac:dyDescent="0.3">
      <c r="A13" s="1">
        <v>46104</v>
      </c>
      <c r="B13" t="s">
        <v>48</v>
      </c>
      <c r="C13">
        <v>649163</v>
      </c>
      <c r="D13">
        <v>2034383428</v>
      </c>
      <c r="E13" t="s">
        <v>110</v>
      </c>
      <c r="F13" t="s">
        <v>111</v>
      </c>
      <c r="G13" t="s">
        <v>51</v>
      </c>
      <c r="H13" t="s">
        <v>112</v>
      </c>
      <c r="I13" t="s">
        <v>65</v>
      </c>
      <c r="J13" t="s">
        <v>75</v>
      </c>
      <c r="K13">
        <v>824082</v>
      </c>
      <c r="L13" t="s">
        <v>113</v>
      </c>
      <c r="M13" t="s">
        <v>114</v>
      </c>
      <c r="N13" t="s">
        <v>57</v>
      </c>
      <c r="O13" s="1">
        <v>46113</v>
      </c>
      <c r="Q13" s="1">
        <v>46143</v>
      </c>
      <c r="R13" s="2">
        <v>18.68</v>
      </c>
      <c r="S13">
        <v>1</v>
      </c>
      <c r="T13" t="s">
        <v>58</v>
      </c>
      <c r="U13" t="s">
        <v>59</v>
      </c>
      <c r="V13" s="3">
        <v>0.75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84.06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14.01</v>
      </c>
      <c r="AM13" s="2">
        <v>0</v>
      </c>
      <c r="AN13" s="2">
        <v>84.06</v>
      </c>
      <c r="AO13" s="2">
        <v>0</v>
      </c>
      <c r="AP13" s="2">
        <v>0</v>
      </c>
      <c r="AQ13" s="2">
        <v>0</v>
      </c>
    </row>
    <row r="14" spans="1:48" x14ac:dyDescent="0.3">
      <c r="A14" s="1">
        <v>46104</v>
      </c>
      <c r="B14" t="s">
        <v>48</v>
      </c>
      <c r="C14">
        <v>649163</v>
      </c>
      <c r="D14">
        <v>2034384323</v>
      </c>
      <c r="E14" t="s">
        <v>115</v>
      </c>
      <c r="F14" t="s">
        <v>116</v>
      </c>
      <c r="G14" t="s">
        <v>51</v>
      </c>
      <c r="H14" t="s">
        <v>117</v>
      </c>
      <c r="I14" t="s">
        <v>65</v>
      </c>
      <c r="J14" t="s">
        <v>71</v>
      </c>
      <c r="K14">
        <v>822733</v>
      </c>
      <c r="L14" t="s">
        <v>118</v>
      </c>
      <c r="M14" t="s">
        <v>119</v>
      </c>
      <c r="N14" t="s">
        <v>57</v>
      </c>
      <c r="O14" s="1">
        <v>46098</v>
      </c>
      <c r="Q14" s="1">
        <v>46129</v>
      </c>
      <c r="R14" s="2">
        <v>16.940000000000001</v>
      </c>
      <c r="S14">
        <v>1</v>
      </c>
      <c r="T14" t="s">
        <v>58</v>
      </c>
      <c r="U14" t="s">
        <v>59</v>
      </c>
      <c r="V14" s="3">
        <v>0.9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91.5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15.25</v>
      </c>
      <c r="AM14" s="2">
        <v>0</v>
      </c>
      <c r="AN14" s="2">
        <v>91.5</v>
      </c>
      <c r="AO14" s="2">
        <v>0</v>
      </c>
      <c r="AP14" s="2">
        <v>0</v>
      </c>
      <c r="AQ14" s="2">
        <v>0</v>
      </c>
    </row>
    <row r="15" spans="1:48" x14ac:dyDescent="0.3">
      <c r="A15" s="1">
        <v>46104</v>
      </c>
      <c r="B15" t="s">
        <v>48</v>
      </c>
      <c r="C15">
        <v>649163</v>
      </c>
      <c r="D15">
        <v>2034392892</v>
      </c>
      <c r="E15" t="s">
        <v>120</v>
      </c>
      <c r="F15" t="s">
        <v>121</v>
      </c>
      <c r="G15" t="s">
        <v>51</v>
      </c>
      <c r="H15" t="s">
        <v>122</v>
      </c>
      <c r="I15" t="s">
        <v>65</v>
      </c>
      <c r="J15" t="s">
        <v>66</v>
      </c>
      <c r="K15">
        <v>823350</v>
      </c>
      <c r="L15" t="s">
        <v>67</v>
      </c>
      <c r="M15" t="s">
        <v>68</v>
      </c>
      <c r="N15" t="s">
        <v>57</v>
      </c>
      <c r="O15" s="1">
        <v>46102</v>
      </c>
      <c r="Q15" s="1">
        <v>46133</v>
      </c>
      <c r="R15" s="2">
        <v>24.73</v>
      </c>
      <c r="S15">
        <v>1</v>
      </c>
      <c r="T15" t="s">
        <v>58</v>
      </c>
      <c r="U15" t="s">
        <v>59</v>
      </c>
      <c r="V15" s="3">
        <v>0.75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111.3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18.55</v>
      </c>
      <c r="AM15" s="2">
        <v>0</v>
      </c>
      <c r="AN15" s="2">
        <v>111.3</v>
      </c>
      <c r="AO15" s="2">
        <v>0</v>
      </c>
      <c r="AP15" s="2">
        <v>0</v>
      </c>
      <c r="AQ15" s="2">
        <v>0</v>
      </c>
    </row>
    <row r="16" spans="1:48" x14ac:dyDescent="0.3">
      <c r="A16" s="1">
        <v>46104</v>
      </c>
      <c r="B16" t="s">
        <v>48</v>
      </c>
      <c r="C16">
        <v>649163</v>
      </c>
      <c r="D16">
        <v>2034403263</v>
      </c>
      <c r="E16" t="s">
        <v>123</v>
      </c>
      <c r="F16" t="s">
        <v>124</v>
      </c>
      <c r="G16" t="s">
        <v>51</v>
      </c>
      <c r="H16" t="s">
        <v>80</v>
      </c>
      <c r="I16" t="s">
        <v>65</v>
      </c>
      <c r="J16" t="s">
        <v>66</v>
      </c>
      <c r="K16">
        <v>856824</v>
      </c>
      <c r="L16" t="s">
        <v>125</v>
      </c>
      <c r="M16" t="s">
        <v>126</v>
      </c>
      <c r="N16" t="s">
        <v>57</v>
      </c>
      <c r="O16" s="1">
        <v>46113</v>
      </c>
      <c r="Q16" s="1">
        <v>46143</v>
      </c>
      <c r="R16" s="2">
        <v>88.75</v>
      </c>
      <c r="S16">
        <v>1</v>
      </c>
      <c r="T16" t="s">
        <v>58</v>
      </c>
      <c r="U16" t="s">
        <v>59</v>
      </c>
      <c r="V16" s="3">
        <v>0.75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399.36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66.56</v>
      </c>
      <c r="AM16" s="2">
        <v>0</v>
      </c>
      <c r="AN16" s="2">
        <v>399.36</v>
      </c>
      <c r="AO16" s="2">
        <v>0</v>
      </c>
      <c r="AP16" s="2">
        <v>0</v>
      </c>
      <c r="AQ16" s="2">
        <v>0</v>
      </c>
    </row>
    <row r="17" spans="1:43" x14ac:dyDescent="0.3">
      <c r="A17" s="1">
        <v>46104</v>
      </c>
      <c r="B17" t="s">
        <v>48</v>
      </c>
      <c r="C17">
        <v>649163</v>
      </c>
      <c r="D17">
        <v>2034413971</v>
      </c>
      <c r="E17" t="s">
        <v>127</v>
      </c>
      <c r="F17" t="s">
        <v>128</v>
      </c>
      <c r="G17" t="s">
        <v>51</v>
      </c>
      <c r="H17" t="s">
        <v>129</v>
      </c>
      <c r="I17" t="s">
        <v>65</v>
      </c>
      <c r="J17" t="s">
        <v>66</v>
      </c>
      <c r="K17">
        <v>956422</v>
      </c>
      <c r="L17" t="s">
        <v>130</v>
      </c>
      <c r="M17" t="s">
        <v>56</v>
      </c>
      <c r="N17" t="s">
        <v>57</v>
      </c>
      <c r="O17" s="1">
        <v>46100</v>
      </c>
      <c r="Q17" s="1">
        <v>46131</v>
      </c>
      <c r="R17" s="2">
        <v>34.090000000000003</v>
      </c>
      <c r="S17">
        <v>1</v>
      </c>
      <c r="T17" t="s">
        <v>58</v>
      </c>
      <c r="U17" t="s">
        <v>59</v>
      </c>
      <c r="V17" s="3">
        <v>0.75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153.41999999999999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25.57</v>
      </c>
      <c r="AM17" s="2">
        <v>0</v>
      </c>
      <c r="AN17" s="2">
        <v>153.41999999999999</v>
      </c>
      <c r="AO17" s="2">
        <v>0</v>
      </c>
      <c r="AP17" s="2">
        <v>0</v>
      </c>
      <c r="AQ17" s="2">
        <v>0</v>
      </c>
    </row>
    <row r="18" spans="1:43" x14ac:dyDescent="0.3">
      <c r="A18" s="1">
        <v>46104</v>
      </c>
      <c r="B18" t="s">
        <v>48</v>
      </c>
      <c r="C18">
        <v>649163</v>
      </c>
      <c r="D18">
        <v>2034425177</v>
      </c>
      <c r="E18" t="s">
        <v>131</v>
      </c>
      <c r="F18" t="s">
        <v>124</v>
      </c>
      <c r="G18" t="s">
        <v>51</v>
      </c>
      <c r="H18" t="s">
        <v>103</v>
      </c>
      <c r="I18" t="s">
        <v>65</v>
      </c>
      <c r="J18" t="s">
        <v>71</v>
      </c>
      <c r="K18">
        <v>652037</v>
      </c>
      <c r="L18" t="s">
        <v>132</v>
      </c>
      <c r="M18" t="s">
        <v>133</v>
      </c>
      <c r="N18" t="s">
        <v>57</v>
      </c>
      <c r="O18" s="1">
        <v>46109</v>
      </c>
      <c r="Q18" s="1">
        <v>46140</v>
      </c>
      <c r="R18" s="2">
        <v>73.25</v>
      </c>
      <c r="S18">
        <v>1</v>
      </c>
      <c r="T18" t="s">
        <v>58</v>
      </c>
      <c r="U18" t="s">
        <v>59</v>
      </c>
      <c r="V18" s="3">
        <v>0.9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395.52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65.92</v>
      </c>
      <c r="AM18" s="2">
        <v>0</v>
      </c>
      <c r="AN18" s="2">
        <v>395.52</v>
      </c>
      <c r="AO18" s="2">
        <v>0</v>
      </c>
      <c r="AP18" s="2">
        <v>0</v>
      </c>
      <c r="AQ18" s="2">
        <v>0</v>
      </c>
    </row>
    <row r="19" spans="1:43" x14ac:dyDescent="0.3">
      <c r="A19" s="1">
        <v>46104</v>
      </c>
      <c r="B19" t="s">
        <v>48</v>
      </c>
      <c r="C19">
        <v>649163</v>
      </c>
      <c r="D19">
        <v>2034425272</v>
      </c>
      <c r="E19" t="s">
        <v>134</v>
      </c>
      <c r="F19" t="s">
        <v>135</v>
      </c>
      <c r="G19" t="s">
        <v>51</v>
      </c>
      <c r="H19" t="s">
        <v>80</v>
      </c>
      <c r="I19" t="s">
        <v>65</v>
      </c>
      <c r="J19" t="s">
        <v>81</v>
      </c>
      <c r="K19">
        <v>856824</v>
      </c>
      <c r="L19" t="s">
        <v>125</v>
      </c>
      <c r="M19" t="s">
        <v>126</v>
      </c>
      <c r="N19" t="s">
        <v>57</v>
      </c>
      <c r="O19" s="1">
        <v>46100</v>
      </c>
      <c r="Q19" s="1">
        <v>46131</v>
      </c>
      <c r="R19" s="2">
        <v>22.68</v>
      </c>
      <c r="S19">
        <v>1</v>
      </c>
      <c r="T19" t="s">
        <v>58</v>
      </c>
      <c r="U19" t="s">
        <v>59</v>
      </c>
      <c r="V19" s="3">
        <v>0.75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102.06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17.010000000000002</v>
      </c>
      <c r="AM19" s="2">
        <v>0</v>
      </c>
      <c r="AN19" s="2">
        <v>102.06</v>
      </c>
      <c r="AO19" s="2">
        <v>0</v>
      </c>
      <c r="AP19" s="2">
        <v>0</v>
      </c>
      <c r="AQ19" s="2">
        <v>0</v>
      </c>
    </row>
    <row r="20" spans="1:43" x14ac:dyDescent="0.3">
      <c r="A20" s="1">
        <v>46104</v>
      </c>
      <c r="B20" t="s">
        <v>48</v>
      </c>
      <c r="C20">
        <v>649163</v>
      </c>
      <c r="D20">
        <v>2034426699</v>
      </c>
      <c r="E20" t="s">
        <v>136</v>
      </c>
      <c r="F20" t="s">
        <v>124</v>
      </c>
      <c r="G20" t="s">
        <v>51</v>
      </c>
      <c r="H20" t="s">
        <v>80</v>
      </c>
      <c r="I20" t="s">
        <v>65</v>
      </c>
      <c r="J20" t="s">
        <v>66</v>
      </c>
      <c r="K20">
        <v>856824</v>
      </c>
      <c r="L20" t="s">
        <v>125</v>
      </c>
      <c r="M20" t="s">
        <v>126</v>
      </c>
      <c r="N20" t="s">
        <v>57</v>
      </c>
      <c r="O20" s="1">
        <v>46100</v>
      </c>
      <c r="Q20" s="1">
        <v>46131</v>
      </c>
      <c r="R20" s="2">
        <v>88.75</v>
      </c>
      <c r="S20">
        <v>1</v>
      </c>
      <c r="T20" t="s">
        <v>58</v>
      </c>
      <c r="U20" t="s">
        <v>59</v>
      </c>
      <c r="V20" s="3">
        <v>0.75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399.36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66.56</v>
      </c>
      <c r="AM20" s="2">
        <v>0</v>
      </c>
      <c r="AN20" s="2">
        <v>399.36</v>
      </c>
      <c r="AO20" s="2">
        <v>0</v>
      </c>
      <c r="AP20" s="2">
        <v>0</v>
      </c>
      <c r="AQ20" s="2">
        <v>0</v>
      </c>
    </row>
    <row r="21" spans="1:43" x14ac:dyDescent="0.3">
      <c r="A21" s="1">
        <v>46104</v>
      </c>
      <c r="B21" t="s">
        <v>48</v>
      </c>
      <c r="C21">
        <v>649163</v>
      </c>
      <c r="D21">
        <v>2034427468</v>
      </c>
      <c r="E21" t="s">
        <v>137</v>
      </c>
      <c r="F21" t="s">
        <v>138</v>
      </c>
      <c r="G21" t="s">
        <v>51</v>
      </c>
      <c r="H21" t="s">
        <v>139</v>
      </c>
      <c r="I21" t="s">
        <v>65</v>
      </c>
      <c r="J21" t="s">
        <v>71</v>
      </c>
      <c r="K21">
        <v>823350</v>
      </c>
      <c r="L21" t="s">
        <v>67</v>
      </c>
      <c r="M21" t="s">
        <v>68</v>
      </c>
      <c r="N21" t="s">
        <v>57</v>
      </c>
      <c r="O21" s="1">
        <v>46103</v>
      </c>
      <c r="Q21" s="1">
        <v>46134</v>
      </c>
      <c r="R21" s="2">
        <v>95.88</v>
      </c>
      <c r="S21">
        <v>1</v>
      </c>
      <c r="T21" t="s">
        <v>58</v>
      </c>
      <c r="U21" t="s">
        <v>59</v>
      </c>
      <c r="V21" s="3">
        <v>0.9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517.74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86.29</v>
      </c>
      <c r="AM21" s="2">
        <v>0</v>
      </c>
      <c r="AN21" s="2">
        <v>517.74</v>
      </c>
      <c r="AO21" s="2">
        <v>0</v>
      </c>
      <c r="AP21" s="2">
        <v>0</v>
      </c>
      <c r="AQ21" s="2">
        <v>0</v>
      </c>
    </row>
    <row r="22" spans="1:43" x14ac:dyDescent="0.3">
      <c r="A22" s="1">
        <v>46104</v>
      </c>
      <c r="B22" t="s">
        <v>48</v>
      </c>
      <c r="C22">
        <v>649163</v>
      </c>
      <c r="D22">
        <v>2034430270</v>
      </c>
      <c r="E22" t="s">
        <v>140</v>
      </c>
      <c r="F22" t="s">
        <v>141</v>
      </c>
      <c r="G22" t="s">
        <v>51</v>
      </c>
      <c r="H22" t="s">
        <v>80</v>
      </c>
      <c r="I22" t="s">
        <v>65</v>
      </c>
      <c r="J22" t="s">
        <v>66</v>
      </c>
      <c r="K22">
        <v>856824</v>
      </c>
      <c r="L22" t="s">
        <v>125</v>
      </c>
      <c r="M22" t="s">
        <v>126</v>
      </c>
      <c r="N22" t="s">
        <v>57</v>
      </c>
      <c r="O22" s="1">
        <v>46113</v>
      </c>
      <c r="Q22" s="1">
        <v>46143</v>
      </c>
      <c r="R22" s="2">
        <v>94.06</v>
      </c>
      <c r="S22">
        <v>1</v>
      </c>
      <c r="T22" t="s">
        <v>58</v>
      </c>
      <c r="U22" t="s">
        <v>59</v>
      </c>
      <c r="V22" s="3">
        <v>0.75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423.24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70.540000000000006</v>
      </c>
      <c r="AM22" s="2">
        <v>0</v>
      </c>
      <c r="AN22" s="2">
        <v>423.24</v>
      </c>
      <c r="AO22" s="2">
        <v>0</v>
      </c>
      <c r="AP22" s="2">
        <v>0</v>
      </c>
      <c r="AQ22" s="2">
        <v>0</v>
      </c>
    </row>
    <row r="23" spans="1:43" x14ac:dyDescent="0.3">
      <c r="A23" s="1">
        <v>46104</v>
      </c>
      <c r="B23" t="s">
        <v>48</v>
      </c>
      <c r="C23">
        <v>649163</v>
      </c>
      <c r="D23">
        <v>2034430398</v>
      </c>
      <c r="E23" t="s">
        <v>142</v>
      </c>
      <c r="F23" t="s">
        <v>143</v>
      </c>
      <c r="G23" t="s">
        <v>51</v>
      </c>
      <c r="H23" t="s">
        <v>129</v>
      </c>
      <c r="I23" t="s">
        <v>65</v>
      </c>
      <c r="J23" t="s">
        <v>66</v>
      </c>
      <c r="K23">
        <v>673059</v>
      </c>
      <c r="L23" t="s">
        <v>76</v>
      </c>
      <c r="M23" t="s">
        <v>77</v>
      </c>
      <c r="N23" t="s">
        <v>57</v>
      </c>
      <c r="O23" s="1">
        <v>46113</v>
      </c>
      <c r="Q23" s="1">
        <v>46143</v>
      </c>
      <c r="R23" s="2">
        <v>102.2</v>
      </c>
      <c r="S23">
        <v>1</v>
      </c>
      <c r="T23" t="s">
        <v>58</v>
      </c>
      <c r="U23" t="s">
        <v>59</v>
      </c>
      <c r="V23" s="3">
        <v>0.75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459.9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76.650000000000006</v>
      </c>
      <c r="AM23" s="2">
        <v>0</v>
      </c>
      <c r="AN23" s="2">
        <v>459.9</v>
      </c>
      <c r="AO23" s="2">
        <v>0</v>
      </c>
      <c r="AP23" s="2">
        <v>0</v>
      </c>
      <c r="AQ23" s="2">
        <v>0</v>
      </c>
    </row>
    <row r="24" spans="1:43" x14ac:dyDescent="0.3">
      <c r="A24" s="1">
        <v>46104</v>
      </c>
      <c r="B24" t="s">
        <v>48</v>
      </c>
      <c r="C24">
        <v>649163</v>
      </c>
      <c r="D24">
        <v>2034445649</v>
      </c>
      <c r="E24" t="s">
        <v>144</v>
      </c>
      <c r="F24" t="s">
        <v>145</v>
      </c>
      <c r="G24" t="s">
        <v>51</v>
      </c>
      <c r="H24" t="s">
        <v>74</v>
      </c>
      <c r="I24" t="s">
        <v>65</v>
      </c>
      <c r="J24" t="s">
        <v>81</v>
      </c>
      <c r="K24">
        <v>753748</v>
      </c>
      <c r="L24" t="s">
        <v>146</v>
      </c>
      <c r="M24" t="s">
        <v>116</v>
      </c>
      <c r="N24" t="s">
        <v>57</v>
      </c>
      <c r="O24" s="1">
        <v>46101</v>
      </c>
      <c r="Q24" s="1">
        <v>46132</v>
      </c>
      <c r="R24" s="2">
        <v>74.95</v>
      </c>
      <c r="S24">
        <v>1</v>
      </c>
      <c r="T24" t="s">
        <v>58</v>
      </c>
      <c r="U24" t="s">
        <v>59</v>
      </c>
      <c r="V24" s="3">
        <v>0.75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337.26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56.21</v>
      </c>
      <c r="AM24" s="2">
        <v>0</v>
      </c>
      <c r="AN24" s="2">
        <v>337.26</v>
      </c>
      <c r="AO24" s="2">
        <v>0</v>
      </c>
      <c r="AP24" s="2">
        <v>0</v>
      </c>
      <c r="AQ24" s="2">
        <v>0</v>
      </c>
    </row>
    <row r="25" spans="1:43" x14ac:dyDescent="0.3">
      <c r="A25" s="1">
        <v>46104</v>
      </c>
      <c r="B25" t="s">
        <v>48</v>
      </c>
      <c r="C25">
        <v>649163</v>
      </c>
      <c r="D25">
        <v>2034474266</v>
      </c>
      <c r="E25" t="s">
        <v>147</v>
      </c>
      <c r="F25" t="s">
        <v>148</v>
      </c>
      <c r="G25" t="s">
        <v>51</v>
      </c>
      <c r="H25" t="s">
        <v>103</v>
      </c>
      <c r="I25" t="s">
        <v>65</v>
      </c>
      <c r="J25" t="s">
        <v>71</v>
      </c>
      <c r="K25">
        <v>823068</v>
      </c>
      <c r="L25" t="s">
        <v>149</v>
      </c>
      <c r="M25" t="s">
        <v>150</v>
      </c>
      <c r="N25" t="s">
        <v>57</v>
      </c>
      <c r="O25" s="1">
        <v>46113</v>
      </c>
      <c r="Q25" s="1">
        <v>46143</v>
      </c>
      <c r="R25" s="2">
        <v>113.84</v>
      </c>
      <c r="S25">
        <v>1</v>
      </c>
      <c r="T25" t="s">
        <v>58</v>
      </c>
      <c r="U25" t="s">
        <v>59</v>
      </c>
      <c r="V25" s="3">
        <v>0.9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614.76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102.46</v>
      </c>
      <c r="AM25" s="2">
        <v>0</v>
      </c>
      <c r="AN25" s="2">
        <v>614.76</v>
      </c>
      <c r="AO25" s="2">
        <v>0</v>
      </c>
      <c r="AP25" s="2">
        <v>0</v>
      </c>
      <c r="AQ25" s="2">
        <v>0</v>
      </c>
    </row>
    <row r="26" spans="1:43" x14ac:dyDescent="0.3">
      <c r="A26" s="1">
        <v>46104</v>
      </c>
      <c r="B26" t="s">
        <v>48</v>
      </c>
      <c r="C26">
        <v>649163</v>
      </c>
      <c r="D26">
        <v>2034483031</v>
      </c>
      <c r="E26" t="s">
        <v>151</v>
      </c>
      <c r="F26" t="s">
        <v>152</v>
      </c>
      <c r="G26" t="s">
        <v>51</v>
      </c>
      <c r="H26" t="s">
        <v>80</v>
      </c>
      <c r="I26" t="s">
        <v>65</v>
      </c>
      <c r="J26" t="s">
        <v>66</v>
      </c>
      <c r="K26">
        <v>768887</v>
      </c>
      <c r="L26" t="s">
        <v>153</v>
      </c>
      <c r="M26" t="s">
        <v>154</v>
      </c>
      <c r="N26" t="s">
        <v>57</v>
      </c>
      <c r="O26" s="1">
        <v>46102</v>
      </c>
      <c r="Q26" s="1">
        <v>46133</v>
      </c>
      <c r="R26" s="2">
        <v>101.44</v>
      </c>
      <c r="S26">
        <v>1</v>
      </c>
      <c r="T26" t="s">
        <v>58</v>
      </c>
      <c r="U26" t="s">
        <v>59</v>
      </c>
      <c r="V26" s="3">
        <v>0.75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456.48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76.08</v>
      </c>
      <c r="AM26" s="2">
        <v>0</v>
      </c>
      <c r="AN26" s="2">
        <v>456.48</v>
      </c>
      <c r="AO26" s="2">
        <v>0</v>
      </c>
      <c r="AP26" s="2">
        <v>0</v>
      </c>
      <c r="AQ26" s="2">
        <v>0</v>
      </c>
    </row>
    <row r="27" spans="1:43" x14ac:dyDescent="0.3">
      <c r="A27" s="1">
        <v>46104</v>
      </c>
      <c r="B27" t="s">
        <v>48</v>
      </c>
      <c r="C27">
        <v>649163</v>
      </c>
      <c r="D27">
        <v>2034385371</v>
      </c>
      <c r="E27" t="s">
        <v>155</v>
      </c>
      <c r="F27" t="s">
        <v>156</v>
      </c>
      <c r="G27" t="s">
        <v>51</v>
      </c>
      <c r="H27" t="s">
        <v>64</v>
      </c>
      <c r="I27" t="s">
        <v>157</v>
      </c>
      <c r="J27" t="s">
        <v>158</v>
      </c>
      <c r="K27">
        <v>756803</v>
      </c>
      <c r="L27" t="s">
        <v>159</v>
      </c>
      <c r="M27" t="s">
        <v>160</v>
      </c>
      <c r="N27" t="s">
        <v>57</v>
      </c>
      <c r="O27" s="1">
        <v>46098</v>
      </c>
      <c r="Q27" s="1">
        <v>46129</v>
      </c>
      <c r="R27" s="2">
        <v>15</v>
      </c>
      <c r="S27">
        <v>1</v>
      </c>
      <c r="T27" t="s">
        <v>58</v>
      </c>
      <c r="U27" t="s">
        <v>59</v>
      </c>
      <c r="V27" s="3">
        <v>0.38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34.200000000000003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5.7</v>
      </c>
      <c r="AM27" s="2">
        <v>0</v>
      </c>
      <c r="AN27" s="2">
        <v>34.200000000000003</v>
      </c>
      <c r="AO27" s="2">
        <v>0</v>
      </c>
      <c r="AP27" s="2">
        <v>0</v>
      </c>
      <c r="AQ27" s="2">
        <v>0</v>
      </c>
    </row>
    <row r="28" spans="1:43" x14ac:dyDescent="0.3">
      <c r="A28" s="1">
        <v>46104</v>
      </c>
      <c r="B28" t="s">
        <v>48</v>
      </c>
      <c r="C28">
        <v>649163</v>
      </c>
      <c r="D28">
        <v>2033593099</v>
      </c>
      <c r="E28" t="s">
        <v>161</v>
      </c>
      <c r="F28" t="s">
        <v>162</v>
      </c>
      <c r="G28" t="s">
        <v>51</v>
      </c>
      <c r="H28" t="s">
        <v>86</v>
      </c>
      <c r="I28" t="s">
        <v>163</v>
      </c>
      <c r="J28" t="s">
        <v>164</v>
      </c>
      <c r="K28">
        <v>878036</v>
      </c>
      <c r="L28" t="s">
        <v>165</v>
      </c>
      <c r="M28" t="s">
        <v>166</v>
      </c>
      <c r="N28" t="s">
        <v>57</v>
      </c>
      <c r="O28" s="1">
        <v>46082</v>
      </c>
      <c r="Q28" s="1">
        <v>46113</v>
      </c>
      <c r="R28" s="2">
        <v>54.95</v>
      </c>
      <c r="S28">
        <v>1</v>
      </c>
      <c r="T28" t="s">
        <v>58</v>
      </c>
      <c r="U28" t="s">
        <v>59</v>
      </c>
      <c r="V28" s="4">
        <v>0.375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123.66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20.61</v>
      </c>
      <c r="AM28" s="2">
        <v>0</v>
      </c>
      <c r="AN28" s="2">
        <v>123.66</v>
      </c>
      <c r="AO28" s="2">
        <v>0</v>
      </c>
      <c r="AP28" s="2">
        <v>0</v>
      </c>
      <c r="AQ28" s="2">
        <v>0</v>
      </c>
    </row>
    <row r="29" spans="1:43" x14ac:dyDescent="0.3">
      <c r="A29" s="1">
        <v>46104</v>
      </c>
      <c r="B29" t="s">
        <v>48</v>
      </c>
      <c r="C29">
        <v>649163</v>
      </c>
      <c r="D29">
        <v>2033593222</v>
      </c>
      <c r="E29" t="s">
        <v>167</v>
      </c>
      <c r="F29" t="s">
        <v>168</v>
      </c>
      <c r="G29" t="s">
        <v>51</v>
      </c>
      <c r="H29" t="s">
        <v>86</v>
      </c>
      <c r="I29" t="s">
        <v>163</v>
      </c>
      <c r="J29" t="s">
        <v>164</v>
      </c>
      <c r="K29">
        <v>878036</v>
      </c>
      <c r="L29" t="s">
        <v>165</v>
      </c>
      <c r="M29" t="s">
        <v>166</v>
      </c>
      <c r="N29" t="s">
        <v>57</v>
      </c>
      <c r="O29" s="1">
        <v>46082</v>
      </c>
      <c r="Q29" s="1">
        <v>46113</v>
      </c>
      <c r="R29" s="2">
        <v>28.87</v>
      </c>
      <c r="S29">
        <v>1</v>
      </c>
      <c r="T29" t="s">
        <v>58</v>
      </c>
      <c r="U29" t="s">
        <v>59</v>
      </c>
      <c r="V29" s="4">
        <v>0.375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64.98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10.83</v>
      </c>
      <c r="AM29" s="2">
        <v>0</v>
      </c>
      <c r="AN29" s="2">
        <v>64.98</v>
      </c>
      <c r="AO29" s="2">
        <v>0</v>
      </c>
      <c r="AP29" s="2">
        <v>0</v>
      </c>
      <c r="AQ29" s="2">
        <v>0</v>
      </c>
    </row>
    <row r="30" spans="1:43" x14ac:dyDescent="0.3">
      <c r="A30" s="1">
        <v>46104</v>
      </c>
      <c r="B30" t="s">
        <v>48</v>
      </c>
      <c r="C30">
        <v>649163</v>
      </c>
      <c r="D30">
        <v>2033593327</v>
      </c>
      <c r="E30" t="s">
        <v>169</v>
      </c>
      <c r="F30" t="s">
        <v>170</v>
      </c>
      <c r="G30" t="s">
        <v>51</v>
      </c>
      <c r="H30" t="s">
        <v>86</v>
      </c>
      <c r="I30" t="s">
        <v>163</v>
      </c>
      <c r="J30" t="s">
        <v>164</v>
      </c>
      <c r="K30">
        <v>878036</v>
      </c>
      <c r="L30" t="s">
        <v>165</v>
      </c>
      <c r="M30" t="s">
        <v>166</v>
      </c>
      <c r="N30" t="s">
        <v>57</v>
      </c>
      <c r="O30" s="1">
        <v>46082</v>
      </c>
      <c r="Q30" s="1">
        <v>46113</v>
      </c>
      <c r="R30" s="2">
        <v>28.87</v>
      </c>
      <c r="S30">
        <v>1</v>
      </c>
      <c r="T30" t="s">
        <v>58</v>
      </c>
      <c r="U30" t="s">
        <v>59</v>
      </c>
      <c r="V30" s="4">
        <v>0.375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64.98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10.83</v>
      </c>
      <c r="AM30" s="2">
        <v>0</v>
      </c>
      <c r="AN30" s="2">
        <v>64.98</v>
      </c>
      <c r="AO30" s="2">
        <v>0</v>
      </c>
      <c r="AP30" s="2">
        <v>0</v>
      </c>
      <c r="AQ30" s="2">
        <v>0</v>
      </c>
    </row>
    <row r="31" spans="1:43" x14ac:dyDescent="0.3">
      <c r="A31" s="1">
        <v>46104</v>
      </c>
      <c r="B31" t="s">
        <v>48</v>
      </c>
      <c r="C31">
        <v>649163</v>
      </c>
      <c r="D31">
        <v>2033593450</v>
      </c>
      <c r="E31" t="s">
        <v>171</v>
      </c>
      <c r="F31" t="s">
        <v>172</v>
      </c>
      <c r="G31" t="s">
        <v>51</v>
      </c>
      <c r="H31" t="s">
        <v>86</v>
      </c>
      <c r="I31" t="s">
        <v>163</v>
      </c>
      <c r="J31" t="s">
        <v>164</v>
      </c>
      <c r="K31">
        <v>878036</v>
      </c>
      <c r="L31" t="s">
        <v>165</v>
      </c>
      <c r="M31" t="s">
        <v>166</v>
      </c>
      <c r="N31" t="s">
        <v>57</v>
      </c>
      <c r="O31" s="1">
        <v>46082</v>
      </c>
      <c r="Q31" s="1">
        <v>46113</v>
      </c>
      <c r="R31" s="2">
        <v>28.87</v>
      </c>
      <c r="S31">
        <v>1</v>
      </c>
      <c r="T31" t="s">
        <v>58</v>
      </c>
      <c r="U31" t="s">
        <v>59</v>
      </c>
      <c r="V31" s="4">
        <v>0.375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64.98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10.83</v>
      </c>
      <c r="AM31" s="2">
        <v>0</v>
      </c>
      <c r="AN31" s="2">
        <v>64.98</v>
      </c>
      <c r="AO31" s="2">
        <v>0</v>
      </c>
      <c r="AP31" s="2">
        <v>0</v>
      </c>
      <c r="AQ31" s="2">
        <v>0</v>
      </c>
    </row>
    <row r="32" spans="1:43" x14ac:dyDescent="0.3">
      <c r="A32" s="1">
        <v>46104</v>
      </c>
      <c r="B32" t="s">
        <v>48</v>
      </c>
      <c r="C32">
        <v>649163</v>
      </c>
      <c r="D32">
        <v>2033835702</v>
      </c>
      <c r="E32" t="s">
        <v>69</v>
      </c>
      <c r="F32" t="s">
        <v>70</v>
      </c>
      <c r="G32" t="s">
        <v>51</v>
      </c>
      <c r="H32" t="s">
        <v>64</v>
      </c>
      <c r="I32" t="s">
        <v>163</v>
      </c>
      <c r="J32" t="s">
        <v>164</v>
      </c>
      <c r="K32">
        <v>823350</v>
      </c>
      <c r="L32" t="s">
        <v>67</v>
      </c>
      <c r="M32" t="s">
        <v>68</v>
      </c>
      <c r="N32" t="s">
        <v>57</v>
      </c>
      <c r="O32" s="1">
        <v>46082</v>
      </c>
      <c r="Q32" s="1">
        <v>46113</v>
      </c>
      <c r="R32" s="2">
        <v>78.760000000000005</v>
      </c>
      <c r="S32">
        <v>1</v>
      </c>
      <c r="T32" t="s">
        <v>58</v>
      </c>
      <c r="U32" t="s">
        <v>59</v>
      </c>
      <c r="V32" s="4">
        <v>0.375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177.24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29.54</v>
      </c>
      <c r="AM32" s="2">
        <v>0</v>
      </c>
      <c r="AN32" s="2">
        <v>177.24</v>
      </c>
      <c r="AO32" s="2">
        <v>0</v>
      </c>
      <c r="AP32" s="2">
        <v>0</v>
      </c>
      <c r="AQ32" s="2">
        <v>0</v>
      </c>
    </row>
    <row r="33" spans="1:43" x14ac:dyDescent="0.3">
      <c r="A33" s="1">
        <v>46104</v>
      </c>
      <c r="B33" t="s">
        <v>48</v>
      </c>
      <c r="C33">
        <v>649163</v>
      </c>
      <c r="D33">
        <v>2034020382</v>
      </c>
      <c r="E33" t="s">
        <v>173</v>
      </c>
      <c r="F33" t="s">
        <v>174</v>
      </c>
      <c r="G33" t="s">
        <v>51</v>
      </c>
      <c r="H33" t="s">
        <v>86</v>
      </c>
      <c r="I33" t="s">
        <v>163</v>
      </c>
      <c r="J33" t="s">
        <v>164</v>
      </c>
      <c r="K33">
        <v>948357</v>
      </c>
      <c r="L33" t="s">
        <v>175</v>
      </c>
      <c r="M33" t="s">
        <v>176</v>
      </c>
      <c r="N33" t="s">
        <v>57</v>
      </c>
      <c r="O33" s="1">
        <v>46088</v>
      </c>
      <c r="Q33" s="1">
        <v>46119</v>
      </c>
      <c r="R33" s="2">
        <v>43.46</v>
      </c>
      <c r="S33">
        <v>1</v>
      </c>
      <c r="T33" t="s">
        <v>58</v>
      </c>
      <c r="U33" t="s">
        <v>59</v>
      </c>
      <c r="V33" s="4">
        <v>0.375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97.8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16.3</v>
      </c>
      <c r="AM33" s="2">
        <v>0</v>
      </c>
      <c r="AN33" s="2">
        <v>97.8</v>
      </c>
      <c r="AO33" s="2">
        <v>0</v>
      </c>
      <c r="AP33" s="2">
        <v>0</v>
      </c>
      <c r="AQ33" s="2">
        <v>0</v>
      </c>
    </row>
    <row r="34" spans="1:43" x14ac:dyDescent="0.3">
      <c r="A34" s="1">
        <v>46104</v>
      </c>
      <c r="B34" t="s">
        <v>48</v>
      </c>
      <c r="C34">
        <v>649163</v>
      </c>
      <c r="D34">
        <v>2034373764</v>
      </c>
      <c r="E34" t="s">
        <v>89</v>
      </c>
      <c r="F34" t="s">
        <v>90</v>
      </c>
      <c r="G34" t="s">
        <v>51</v>
      </c>
      <c r="H34" t="s">
        <v>64</v>
      </c>
      <c r="I34" t="s">
        <v>163</v>
      </c>
      <c r="J34" t="s">
        <v>164</v>
      </c>
      <c r="K34">
        <v>824062</v>
      </c>
      <c r="L34" t="s">
        <v>91</v>
      </c>
      <c r="M34" t="s">
        <v>92</v>
      </c>
      <c r="N34" t="s">
        <v>57</v>
      </c>
      <c r="O34" s="1">
        <v>46140</v>
      </c>
      <c r="Q34" s="1">
        <v>46170</v>
      </c>
      <c r="R34" s="2">
        <v>78.760000000000005</v>
      </c>
      <c r="S34">
        <v>1</v>
      </c>
      <c r="T34" t="s">
        <v>58</v>
      </c>
      <c r="U34" t="s">
        <v>59</v>
      </c>
      <c r="V34" s="4">
        <v>0.375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177.24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29.54</v>
      </c>
      <c r="AM34" s="2">
        <v>0</v>
      </c>
      <c r="AN34" s="2">
        <v>177.24</v>
      </c>
      <c r="AO34" s="2">
        <v>0</v>
      </c>
      <c r="AP34" s="2">
        <v>0</v>
      </c>
      <c r="AQ34" s="2">
        <v>0</v>
      </c>
    </row>
    <row r="35" spans="1:43" x14ac:dyDescent="0.3">
      <c r="A35" s="1">
        <v>46104</v>
      </c>
      <c r="B35" t="s">
        <v>48</v>
      </c>
      <c r="C35">
        <v>649163</v>
      </c>
      <c r="D35">
        <v>2034374844</v>
      </c>
      <c r="E35" t="s">
        <v>93</v>
      </c>
      <c r="F35" t="s">
        <v>94</v>
      </c>
      <c r="G35" t="s">
        <v>51</v>
      </c>
      <c r="H35" t="s">
        <v>95</v>
      </c>
      <c r="I35" t="s">
        <v>163</v>
      </c>
      <c r="J35" t="s">
        <v>164</v>
      </c>
      <c r="K35">
        <v>651818</v>
      </c>
      <c r="L35" t="s">
        <v>96</v>
      </c>
      <c r="M35" t="s">
        <v>97</v>
      </c>
      <c r="N35" t="s">
        <v>57</v>
      </c>
      <c r="O35" s="1">
        <v>46099</v>
      </c>
      <c r="Q35" s="1">
        <v>46130</v>
      </c>
      <c r="R35" s="2">
        <v>48.15</v>
      </c>
      <c r="S35">
        <v>1</v>
      </c>
      <c r="T35" t="s">
        <v>58</v>
      </c>
      <c r="U35" t="s">
        <v>59</v>
      </c>
      <c r="V35" s="4">
        <v>0.375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108.36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18.059999999999999</v>
      </c>
      <c r="AM35" s="2">
        <v>0</v>
      </c>
      <c r="AN35" s="2">
        <v>108.36</v>
      </c>
      <c r="AO35" s="2">
        <v>0</v>
      </c>
      <c r="AP35" s="2">
        <v>0</v>
      </c>
      <c r="AQ35" s="2">
        <v>0</v>
      </c>
    </row>
    <row r="36" spans="1:43" x14ac:dyDescent="0.3">
      <c r="A36" s="1">
        <v>46104</v>
      </c>
      <c r="B36" t="s">
        <v>48</v>
      </c>
      <c r="C36">
        <v>649163</v>
      </c>
      <c r="D36">
        <v>2034375766</v>
      </c>
      <c r="E36" t="s">
        <v>98</v>
      </c>
      <c r="F36" t="s">
        <v>99</v>
      </c>
      <c r="G36" t="s">
        <v>51</v>
      </c>
      <c r="H36" t="s">
        <v>100</v>
      </c>
      <c r="I36" t="s">
        <v>163</v>
      </c>
      <c r="J36" t="s">
        <v>164</v>
      </c>
      <c r="K36">
        <v>673059</v>
      </c>
      <c r="L36" t="s">
        <v>76</v>
      </c>
      <c r="M36" t="s">
        <v>77</v>
      </c>
      <c r="N36" t="s">
        <v>57</v>
      </c>
      <c r="O36" s="1">
        <v>46098</v>
      </c>
      <c r="Q36" s="1">
        <v>46129</v>
      </c>
      <c r="R36" s="2">
        <v>28.91</v>
      </c>
      <c r="S36">
        <v>1</v>
      </c>
      <c r="T36" t="s">
        <v>58</v>
      </c>
      <c r="U36" t="s">
        <v>59</v>
      </c>
      <c r="V36" s="4">
        <v>0.375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65.040000000000006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10.84</v>
      </c>
      <c r="AM36" s="2">
        <v>0</v>
      </c>
      <c r="AN36" s="2">
        <v>65.040000000000006</v>
      </c>
      <c r="AO36" s="2">
        <v>0</v>
      </c>
      <c r="AP36" s="2">
        <v>0</v>
      </c>
      <c r="AQ36" s="2">
        <v>0</v>
      </c>
    </row>
    <row r="37" spans="1:43" x14ac:dyDescent="0.3">
      <c r="A37" s="1">
        <v>46104</v>
      </c>
      <c r="B37" t="s">
        <v>48</v>
      </c>
      <c r="C37">
        <v>649163</v>
      </c>
      <c r="D37">
        <v>2034383425</v>
      </c>
      <c r="E37" t="s">
        <v>110</v>
      </c>
      <c r="F37" t="s">
        <v>111</v>
      </c>
      <c r="G37" t="s">
        <v>51</v>
      </c>
      <c r="H37" t="s">
        <v>112</v>
      </c>
      <c r="I37" t="s">
        <v>163</v>
      </c>
      <c r="J37" t="s">
        <v>164</v>
      </c>
      <c r="K37">
        <v>824082</v>
      </c>
      <c r="L37" t="s">
        <v>113</v>
      </c>
      <c r="M37" t="s">
        <v>114</v>
      </c>
      <c r="N37" t="s">
        <v>57</v>
      </c>
      <c r="O37" s="1">
        <v>46113</v>
      </c>
      <c r="Q37" s="1">
        <v>46143</v>
      </c>
      <c r="R37" s="2">
        <v>55.79</v>
      </c>
      <c r="S37">
        <v>1</v>
      </c>
      <c r="T37" t="s">
        <v>58</v>
      </c>
      <c r="U37" t="s">
        <v>59</v>
      </c>
      <c r="V37" s="4">
        <v>0.375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125.52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20.92</v>
      </c>
      <c r="AM37" s="2">
        <v>0</v>
      </c>
      <c r="AN37" s="2">
        <v>125.52</v>
      </c>
      <c r="AO37" s="2">
        <v>0</v>
      </c>
      <c r="AP37" s="2">
        <v>0</v>
      </c>
      <c r="AQ37" s="2">
        <v>0</v>
      </c>
    </row>
    <row r="38" spans="1:43" x14ac:dyDescent="0.3">
      <c r="A38" s="1">
        <v>46104</v>
      </c>
      <c r="B38" t="s">
        <v>48</v>
      </c>
      <c r="C38">
        <v>649163</v>
      </c>
      <c r="D38">
        <v>2034384126</v>
      </c>
      <c r="E38" t="s">
        <v>177</v>
      </c>
      <c r="F38" t="s">
        <v>173</v>
      </c>
      <c r="G38" t="s">
        <v>51</v>
      </c>
      <c r="H38" t="s">
        <v>129</v>
      </c>
      <c r="I38" t="s">
        <v>163</v>
      </c>
      <c r="J38" t="s">
        <v>164</v>
      </c>
      <c r="K38">
        <v>824062</v>
      </c>
      <c r="L38" t="s">
        <v>91</v>
      </c>
      <c r="M38" t="s">
        <v>92</v>
      </c>
      <c r="N38" t="s">
        <v>57</v>
      </c>
      <c r="O38" s="1">
        <v>46107</v>
      </c>
      <c r="Q38" s="1">
        <v>46138</v>
      </c>
      <c r="R38" s="2">
        <v>92.05</v>
      </c>
      <c r="S38">
        <v>1</v>
      </c>
      <c r="T38" t="s">
        <v>58</v>
      </c>
      <c r="U38" t="s">
        <v>59</v>
      </c>
      <c r="V38" s="4">
        <v>0.375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207.12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34.520000000000003</v>
      </c>
      <c r="AM38" s="2">
        <v>0</v>
      </c>
      <c r="AN38" s="2">
        <v>207.12</v>
      </c>
      <c r="AO38" s="2">
        <v>0</v>
      </c>
      <c r="AP38" s="2">
        <v>0</v>
      </c>
      <c r="AQ38" s="2">
        <v>0</v>
      </c>
    </row>
    <row r="39" spans="1:43" x14ac:dyDescent="0.3">
      <c r="A39" s="1">
        <v>46104</v>
      </c>
      <c r="B39" t="s">
        <v>48</v>
      </c>
      <c r="C39">
        <v>649163</v>
      </c>
      <c r="D39">
        <v>2034398379</v>
      </c>
      <c r="E39" t="s">
        <v>178</v>
      </c>
      <c r="F39" t="s">
        <v>179</v>
      </c>
      <c r="G39" t="s">
        <v>51</v>
      </c>
      <c r="H39" t="s">
        <v>74</v>
      </c>
      <c r="I39" t="s">
        <v>163</v>
      </c>
      <c r="J39" t="s">
        <v>164</v>
      </c>
      <c r="K39">
        <v>649270</v>
      </c>
      <c r="L39" t="s">
        <v>180</v>
      </c>
      <c r="M39" t="s">
        <v>181</v>
      </c>
      <c r="N39" t="s">
        <v>57</v>
      </c>
      <c r="O39" s="1">
        <v>46099</v>
      </c>
      <c r="Q39" s="1">
        <v>46130</v>
      </c>
      <c r="R39" s="2">
        <v>23.9</v>
      </c>
      <c r="S39">
        <v>1</v>
      </c>
      <c r="T39" t="s">
        <v>58</v>
      </c>
      <c r="U39" t="s">
        <v>59</v>
      </c>
      <c r="V39" s="4">
        <v>9.5000000000000001E-2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13.62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2.27</v>
      </c>
      <c r="AM39" s="2">
        <v>0</v>
      </c>
      <c r="AN39" s="2">
        <v>13.62</v>
      </c>
      <c r="AO39" s="2">
        <v>0</v>
      </c>
      <c r="AP39" s="2">
        <v>0</v>
      </c>
      <c r="AQ39" s="2">
        <v>0</v>
      </c>
    </row>
    <row r="40" spans="1:43" x14ac:dyDescent="0.3">
      <c r="A40" s="1">
        <v>46104</v>
      </c>
      <c r="B40" t="s">
        <v>48</v>
      </c>
      <c r="C40">
        <v>649163</v>
      </c>
      <c r="D40">
        <v>2034401982</v>
      </c>
      <c r="E40" t="s">
        <v>182</v>
      </c>
      <c r="F40" t="s">
        <v>183</v>
      </c>
      <c r="G40" t="s">
        <v>51</v>
      </c>
      <c r="H40" t="s">
        <v>184</v>
      </c>
      <c r="I40" t="s">
        <v>163</v>
      </c>
      <c r="J40" t="s">
        <v>164</v>
      </c>
      <c r="K40">
        <v>767312</v>
      </c>
      <c r="L40" t="s">
        <v>185</v>
      </c>
      <c r="M40" t="s">
        <v>186</v>
      </c>
      <c r="N40" t="s">
        <v>57</v>
      </c>
      <c r="O40" s="1">
        <v>46099</v>
      </c>
      <c r="Q40" s="1">
        <v>46130</v>
      </c>
      <c r="R40" s="2">
        <v>79.5</v>
      </c>
      <c r="S40">
        <v>1</v>
      </c>
      <c r="T40" t="s">
        <v>58</v>
      </c>
      <c r="U40" t="s">
        <v>59</v>
      </c>
      <c r="V40" s="4">
        <v>0.375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178.86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29.81</v>
      </c>
      <c r="AM40" s="2">
        <v>0</v>
      </c>
      <c r="AN40" s="2">
        <v>178.86</v>
      </c>
      <c r="AO40" s="2">
        <v>0</v>
      </c>
      <c r="AP40" s="2">
        <v>0</v>
      </c>
      <c r="AQ40" s="2">
        <v>0</v>
      </c>
    </row>
    <row r="41" spans="1:43" x14ac:dyDescent="0.3">
      <c r="A41" s="1">
        <v>46104</v>
      </c>
      <c r="B41" t="s">
        <v>48</v>
      </c>
      <c r="C41">
        <v>649163</v>
      </c>
      <c r="D41">
        <v>2034404405</v>
      </c>
      <c r="E41" t="s">
        <v>49</v>
      </c>
      <c r="F41" t="s">
        <v>50</v>
      </c>
      <c r="G41" t="s">
        <v>51</v>
      </c>
      <c r="H41" t="s">
        <v>52</v>
      </c>
      <c r="I41" t="s">
        <v>163</v>
      </c>
      <c r="J41" t="s">
        <v>164</v>
      </c>
      <c r="K41">
        <v>885445</v>
      </c>
      <c r="L41" t="s">
        <v>55</v>
      </c>
      <c r="M41" t="s">
        <v>56</v>
      </c>
      <c r="N41" t="s">
        <v>57</v>
      </c>
      <c r="O41" s="1">
        <v>46099</v>
      </c>
      <c r="Q41" s="1">
        <v>46130</v>
      </c>
      <c r="R41" s="2">
        <v>37.32</v>
      </c>
      <c r="S41">
        <v>1</v>
      </c>
      <c r="T41" t="s">
        <v>58</v>
      </c>
      <c r="U41" t="s">
        <v>59</v>
      </c>
      <c r="V41" s="4">
        <v>0.375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84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14</v>
      </c>
      <c r="AM41" s="2">
        <v>0</v>
      </c>
      <c r="AN41" s="2">
        <v>84</v>
      </c>
      <c r="AO41" s="2">
        <v>0</v>
      </c>
      <c r="AP41" s="2">
        <v>0</v>
      </c>
      <c r="AQ41" s="2">
        <v>0</v>
      </c>
    </row>
    <row r="42" spans="1:43" x14ac:dyDescent="0.3">
      <c r="A42" s="1">
        <v>46104</v>
      </c>
      <c r="B42" t="s">
        <v>48</v>
      </c>
      <c r="C42">
        <v>649163</v>
      </c>
      <c r="D42">
        <v>2034413969</v>
      </c>
      <c r="E42" t="s">
        <v>127</v>
      </c>
      <c r="F42" t="s">
        <v>128</v>
      </c>
      <c r="G42" t="s">
        <v>51</v>
      </c>
      <c r="H42" t="s">
        <v>129</v>
      </c>
      <c r="I42" t="s">
        <v>163</v>
      </c>
      <c r="J42" t="s">
        <v>164</v>
      </c>
      <c r="K42">
        <v>956422</v>
      </c>
      <c r="L42" t="s">
        <v>130</v>
      </c>
      <c r="M42" t="s">
        <v>56</v>
      </c>
      <c r="N42" t="s">
        <v>57</v>
      </c>
      <c r="O42" s="1">
        <v>46100</v>
      </c>
      <c r="Q42" s="1">
        <v>46131</v>
      </c>
      <c r="R42" s="2">
        <v>34.39</v>
      </c>
      <c r="S42">
        <v>1</v>
      </c>
      <c r="T42" t="s">
        <v>58</v>
      </c>
      <c r="U42" t="s">
        <v>59</v>
      </c>
      <c r="V42" s="4">
        <v>0.375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77.400000000000006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12.9</v>
      </c>
      <c r="AM42" s="2">
        <v>0</v>
      </c>
      <c r="AN42" s="2">
        <v>77.400000000000006</v>
      </c>
      <c r="AO42" s="2">
        <v>0</v>
      </c>
      <c r="AP42" s="2">
        <v>0</v>
      </c>
      <c r="AQ42" s="2">
        <v>0</v>
      </c>
    </row>
    <row r="43" spans="1:43" x14ac:dyDescent="0.3">
      <c r="A43" s="1">
        <v>46104</v>
      </c>
      <c r="B43" t="s">
        <v>48</v>
      </c>
      <c r="C43">
        <v>649163</v>
      </c>
      <c r="D43">
        <v>2034416508</v>
      </c>
      <c r="E43" t="s">
        <v>187</v>
      </c>
      <c r="F43" t="s">
        <v>188</v>
      </c>
      <c r="G43" t="s">
        <v>51</v>
      </c>
      <c r="H43" t="s">
        <v>64</v>
      </c>
      <c r="I43" t="s">
        <v>163</v>
      </c>
      <c r="J43" t="s">
        <v>164</v>
      </c>
      <c r="K43">
        <v>767312</v>
      </c>
      <c r="L43" t="s">
        <v>185</v>
      </c>
      <c r="M43" t="s">
        <v>186</v>
      </c>
      <c r="N43" t="s">
        <v>57</v>
      </c>
      <c r="O43" s="1">
        <v>46100</v>
      </c>
      <c r="Q43" s="1">
        <v>46131</v>
      </c>
      <c r="R43" s="2">
        <v>64.349999999999994</v>
      </c>
      <c r="S43">
        <v>1</v>
      </c>
      <c r="T43" t="s">
        <v>58</v>
      </c>
      <c r="U43" t="s">
        <v>59</v>
      </c>
      <c r="V43" s="4">
        <v>0.375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144.78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24.13</v>
      </c>
      <c r="AM43" s="2">
        <v>0</v>
      </c>
      <c r="AN43" s="2">
        <v>144.78</v>
      </c>
      <c r="AO43" s="2">
        <v>0</v>
      </c>
      <c r="AP43" s="2">
        <v>0</v>
      </c>
      <c r="AQ43" s="2">
        <v>0</v>
      </c>
    </row>
    <row r="44" spans="1:43" x14ac:dyDescent="0.3">
      <c r="A44" s="1">
        <v>46104</v>
      </c>
      <c r="B44" t="s">
        <v>48</v>
      </c>
      <c r="C44">
        <v>649163</v>
      </c>
      <c r="D44">
        <v>2034426380</v>
      </c>
      <c r="E44" t="s">
        <v>189</v>
      </c>
      <c r="F44" t="s">
        <v>190</v>
      </c>
      <c r="G44" t="s">
        <v>51</v>
      </c>
      <c r="H44" t="s">
        <v>191</v>
      </c>
      <c r="I44" t="s">
        <v>163</v>
      </c>
      <c r="J44" t="s">
        <v>164</v>
      </c>
      <c r="K44">
        <v>767312</v>
      </c>
      <c r="L44" t="s">
        <v>185</v>
      </c>
      <c r="M44" t="s">
        <v>186</v>
      </c>
      <c r="N44" t="s">
        <v>57</v>
      </c>
      <c r="O44" s="1">
        <v>46104</v>
      </c>
      <c r="Q44" s="1">
        <v>46135</v>
      </c>
      <c r="R44" s="2">
        <v>148.81</v>
      </c>
      <c r="S44">
        <v>1</v>
      </c>
      <c r="T44" t="s">
        <v>58</v>
      </c>
      <c r="U44" t="s">
        <v>59</v>
      </c>
      <c r="V44" s="4">
        <v>0.375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334.8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55.8</v>
      </c>
      <c r="AM44" s="2">
        <v>0</v>
      </c>
      <c r="AN44" s="2">
        <v>334.8</v>
      </c>
      <c r="AO44" s="2">
        <v>0</v>
      </c>
      <c r="AP44" s="2">
        <v>0</v>
      </c>
      <c r="AQ44" s="2">
        <v>0</v>
      </c>
    </row>
    <row r="45" spans="1:43" x14ac:dyDescent="0.3">
      <c r="A45" s="1">
        <v>46104</v>
      </c>
      <c r="B45" t="s">
        <v>48</v>
      </c>
      <c r="C45">
        <v>649163</v>
      </c>
      <c r="D45">
        <v>2034427349</v>
      </c>
      <c r="E45" t="s">
        <v>192</v>
      </c>
      <c r="F45" t="s">
        <v>193</v>
      </c>
      <c r="G45" t="s">
        <v>51</v>
      </c>
      <c r="H45" t="s">
        <v>86</v>
      </c>
      <c r="I45" t="s">
        <v>163</v>
      </c>
      <c r="J45" t="s">
        <v>164</v>
      </c>
      <c r="K45">
        <v>767312</v>
      </c>
      <c r="L45" t="s">
        <v>185</v>
      </c>
      <c r="M45" t="s">
        <v>186</v>
      </c>
      <c r="N45" t="s">
        <v>57</v>
      </c>
      <c r="O45" s="1">
        <v>46100</v>
      </c>
      <c r="Q45" s="1">
        <v>46131</v>
      </c>
      <c r="R45" s="2">
        <v>122.21</v>
      </c>
      <c r="S45">
        <v>1</v>
      </c>
      <c r="T45" t="s">
        <v>58</v>
      </c>
      <c r="U45" t="s">
        <v>59</v>
      </c>
      <c r="V45" s="4">
        <v>0.375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274.98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45.83</v>
      </c>
      <c r="AM45" s="2">
        <v>0</v>
      </c>
      <c r="AN45" s="2">
        <v>274.98</v>
      </c>
      <c r="AO45" s="2">
        <v>0</v>
      </c>
      <c r="AP45" s="2">
        <v>0</v>
      </c>
      <c r="AQ45" s="2">
        <v>0</v>
      </c>
    </row>
    <row r="46" spans="1:43" x14ac:dyDescent="0.3">
      <c r="A46" s="1">
        <v>46104</v>
      </c>
      <c r="B46" t="s">
        <v>48</v>
      </c>
      <c r="C46">
        <v>649163</v>
      </c>
      <c r="D46">
        <v>2034430400</v>
      </c>
      <c r="E46" t="s">
        <v>142</v>
      </c>
      <c r="F46" t="s">
        <v>143</v>
      </c>
      <c r="G46" t="s">
        <v>51</v>
      </c>
      <c r="H46" t="s">
        <v>129</v>
      </c>
      <c r="I46" t="s">
        <v>163</v>
      </c>
      <c r="J46" t="s">
        <v>164</v>
      </c>
      <c r="K46">
        <v>673059</v>
      </c>
      <c r="L46" t="s">
        <v>76</v>
      </c>
      <c r="M46" t="s">
        <v>77</v>
      </c>
      <c r="N46" t="s">
        <v>57</v>
      </c>
      <c r="O46" s="1">
        <v>46113</v>
      </c>
      <c r="Q46" s="1">
        <v>46143</v>
      </c>
      <c r="R46" s="2">
        <v>25.89</v>
      </c>
      <c r="S46">
        <v>1</v>
      </c>
      <c r="T46" t="s">
        <v>58</v>
      </c>
      <c r="U46" t="s">
        <v>59</v>
      </c>
      <c r="V46" s="4">
        <v>0.375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58.26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9.7100000000000009</v>
      </c>
      <c r="AM46" s="2">
        <v>0</v>
      </c>
      <c r="AN46" s="2">
        <v>58.26</v>
      </c>
      <c r="AO46" s="2">
        <v>0</v>
      </c>
      <c r="AP46" s="2">
        <v>0</v>
      </c>
      <c r="AQ46" s="2">
        <v>0</v>
      </c>
    </row>
    <row r="47" spans="1:43" x14ac:dyDescent="0.3">
      <c r="A47" s="1">
        <v>46104</v>
      </c>
      <c r="B47" t="s">
        <v>48</v>
      </c>
      <c r="C47">
        <v>649163</v>
      </c>
      <c r="D47">
        <v>2034431421</v>
      </c>
      <c r="E47" t="s">
        <v>194</v>
      </c>
      <c r="F47" t="s">
        <v>195</v>
      </c>
      <c r="G47" t="s">
        <v>51</v>
      </c>
      <c r="H47" t="s">
        <v>74</v>
      </c>
      <c r="I47" t="s">
        <v>163</v>
      </c>
      <c r="J47" t="s">
        <v>164</v>
      </c>
      <c r="K47">
        <v>939930</v>
      </c>
      <c r="L47" t="s">
        <v>196</v>
      </c>
      <c r="M47" t="s">
        <v>197</v>
      </c>
      <c r="N47" t="s">
        <v>57</v>
      </c>
      <c r="O47" s="1">
        <v>46100</v>
      </c>
      <c r="Q47" s="1">
        <v>46131</v>
      </c>
      <c r="R47" s="2">
        <v>23.9</v>
      </c>
      <c r="S47">
        <v>1</v>
      </c>
      <c r="T47" t="s">
        <v>58</v>
      </c>
      <c r="U47" t="s">
        <v>59</v>
      </c>
      <c r="V47" s="4">
        <v>0.375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53.76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8.9600000000000009</v>
      </c>
      <c r="AM47" s="2">
        <v>0</v>
      </c>
      <c r="AN47" s="2">
        <v>53.76</v>
      </c>
      <c r="AO47" s="2">
        <v>0</v>
      </c>
      <c r="AP47" s="2">
        <v>0</v>
      </c>
      <c r="AQ47" s="2">
        <v>0</v>
      </c>
    </row>
    <row r="48" spans="1:43" x14ac:dyDescent="0.3">
      <c r="A48" s="1">
        <v>46104</v>
      </c>
      <c r="B48" t="s">
        <v>48</v>
      </c>
      <c r="C48">
        <v>649163</v>
      </c>
      <c r="D48">
        <v>2034439981</v>
      </c>
      <c r="E48" t="s">
        <v>198</v>
      </c>
      <c r="F48" t="s">
        <v>199</v>
      </c>
      <c r="G48" t="s">
        <v>51</v>
      </c>
      <c r="H48" t="s">
        <v>191</v>
      </c>
      <c r="I48" t="s">
        <v>163</v>
      </c>
      <c r="J48" t="s">
        <v>164</v>
      </c>
      <c r="K48">
        <v>767312</v>
      </c>
      <c r="L48" t="s">
        <v>185</v>
      </c>
      <c r="M48" t="s">
        <v>186</v>
      </c>
      <c r="N48" t="s">
        <v>57</v>
      </c>
      <c r="O48" s="1">
        <v>46102</v>
      </c>
      <c r="Q48" s="1">
        <v>46133</v>
      </c>
      <c r="R48" s="2">
        <v>27.85</v>
      </c>
      <c r="S48">
        <v>1</v>
      </c>
      <c r="T48" t="s">
        <v>58</v>
      </c>
      <c r="U48" t="s">
        <v>59</v>
      </c>
      <c r="V48" s="4">
        <v>0.375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62.64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10.44</v>
      </c>
      <c r="AM48" s="2">
        <v>0</v>
      </c>
      <c r="AN48" s="2">
        <v>62.64</v>
      </c>
      <c r="AO48" s="2">
        <v>0</v>
      </c>
      <c r="AP48" s="2">
        <v>0</v>
      </c>
      <c r="AQ48" s="2">
        <v>0</v>
      </c>
    </row>
    <row r="49" spans="1:43" x14ac:dyDescent="0.3">
      <c r="A49" s="1">
        <v>46104</v>
      </c>
      <c r="B49" t="s">
        <v>48</v>
      </c>
      <c r="C49">
        <v>649163</v>
      </c>
      <c r="D49">
        <v>2034442776</v>
      </c>
      <c r="E49" t="s">
        <v>87</v>
      </c>
      <c r="F49" t="s">
        <v>200</v>
      </c>
      <c r="G49" t="s">
        <v>51</v>
      </c>
      <c r="H49" t="s">
        <v>64</v>
      </c>
      <c r="I49" t="s">
        <v>163</v>
      </c>
      <c r="J49" t="s">
        <v>164</v>
      </c>
      <c r="K49">
        <v>824076</v>
      </c>
      <c r="L49" t="s">
        <v>201</v>
      </c>
      <c r="M49" t="s">
        <v>202</v>
      </c>
      <c r="N49" t="s">
        <v>57</v>
      </c>
      <c r="O49" s="1">
        <v>46113</v>
      </c>
      <c r="Q49" s="1">
        <v>46143</v>
      </c>
      <c r="R49" s="2">
        <v>78.760000000000005</v>
      </c>
      <c r="S49">
        <v>1</v>
      </c>
      <c r="T49" t="s">
        <v>58</v>
      </c>
      <c r="U49" t="s">
        <v>59</v>
      </c>
      <c r="V49" s="4">
        <v>0.375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177.24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29.54</v>
      </c>
      <c r="AM49" s="2">
        <v>0</v>
      </c>
      <c r="AN49" s="2">
        <v>177.24</v>
      </c>
      <c r="AO49" s="2">
        <v>0</v>
      </c>
      <c r="AP49" s="2">
        <v>0</v>
      </c>
      <c r="AQ49" s="2">
        <v>0</v>
      </c>
    </row>
    <row r="50" spans="1:43" x14ac:dyDescent="0.3">
      <c r="A50" s="1">
        <v>46104</v>
      </c>
      <c r="B50" t="s">
        <v>48</v>
      </c>
      <c r="C50">
        <v>649163</v>
      </c>
      <c r="D50">
        <v>2034443387</v>
      </c>
      <c r="E50" t="s">
        <v>203</v>
      </c>
      <c r="F50" t="s">
        <v>204</v>
      </c>
      <c r="G50" t="s">
        <v>51</v>
      </c>
      <c r="H50" t="s">
        <v>205</v>
      </c>
      <c r="I50" t="s">
        <v>163</v>
      </c>
      <c r="J50" t="s">
        <v>164</v>
      </c>
      <c r="K50">
        <v>862109</v>
      </c>
      <c r="L50" t="s">
        <v>206</v>
      </c>
      <c r="M50" t="s">
        <v>207</v>
      </c>
      <c r="N50" t="s">
        <v>57</v>
      </c>
      <c r="O50" s="1">
        <v>46101</v>
      </c>
      <c r="Q50" s="1">
        <v>46132</v>
      </c>
      <c r="R50" s="2">
        <v>41.61</v>
      </c>
      <c r="S50">
        <v>1</v>
      </c>
      <c r="T50" t="s">
        <v>58</v>
      </c>
      <c r="U50" t="s">
        <v>59</v>
      </c>
      <c r="V50" s="4">
        <v>0.375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93.6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15.6</v>
      </c>
      <c r="AM50" s="2">
        <v>0</v>
      </c>
      <c r="AN50" s="2">
        <v>93.6</v>
      </c>
      <c r="AO50" s="2">
        <v>0</v>
      </c>
      <c r="AP50" s="2">
        <v>0</v>
      </c>
      <c r="AQ50" s="2">
        <v>0</v>
      </c>
    </row>
    <row r="51" spans="1:43" x14ac:dyDescent="0.3">
      <c r="A51" s="1">
        <v>46104</v>
      </c>
      <c r="B51" t="s">
        <v>48</v>
      </c>
      <c r="C51">
        <v>649163</v>
      </c>
      <c r="D51">
        <v>2034456836</v>
      </c>
      <c r="E51" t="s">
        <v>208</v>
      </c>
      <c r="F51" t="s">
        <v>209</v>
      </c>
      <c r="G51" t="s">
        <v>51</v>
      </c>
      <c r="H51" t="s">
        <v>210</v>
      </c>
      <c r="I51" t="s">
        <v>163</v>
      </c>
      <c r="J51" t="s">
        <v>164</v>
      </c>
      <c r="K51">
        <v>649270</v>
      </c>
      <c r="L51" t="s">
        <v>180</v>
      </c>
      <c r="M51" t="s">
        <v>181</v>
      </c>
      <c r="N51" t="s">
        <v>57</v>
      </c>
      <c r="O51" s="1">
        <v>46101</v>
      </c>
      <c r="Q51" s="1">
        <v>46132</v>
      </c>
      <c r="R51" s="2">
        <v>30.19</v>
      </c>
      <c r="S51">
        <v>1</v>
      </c>
      <c r="T51" t="s">
        <v>58</v>
      </c>
      <c r="U51" t="s">
        <v>59</v>
      </c>
      <c r="V51" s="4">
        <v>9.5000000000000001E-2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17.22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2.87</v>
      </c>
      <c r="AM51" s="2">
        <v>0</v>
      </c>
      <c r="AN51" s="2">
        <v>17.22</v>
      </c>
      <c r="AO51" s="2">
        <v>0</v>
      </c>
      <c r="AP51" s="2">
        <v>0</v>
      </c>
      <c r="AQ51" s="2">
        <v>0</v>
      </c>
    </row>
    <row r="52" spans="1:43" x14ac:dyDescent="0.3">
      <c r="A52" s="1">
        <v>46104</v>
      </c>
      <c r="B52" t="s">
        <v>48</v>
      </c>
      <c r="C52">
        <v>649163</v>
      </c>
      <c r="D52">
        <v>2034470495</v>
      </c>
      <c r="E52" t="s">
        <v>211</v>
      </c>
      <c r="F52" t="s">
        <v>212</v>
      </c>
      <c r="G52" t="s">
        <v>51</v>
      </c>
      <c r="H52" t="s">
        <v>213</v>
      </c>
      <c r="I52" t="s">
        <v>163</v>
      </c>
      <c r="J52" t="s">
        <v>164</v>
      </c>
      <c r="K52">
        <v>823350</v>
      </c>
      <c r="L52" t="s">
        <v>67</v>
      </c>
      <c r="M52" t="s">
        <v>68</v>
      </c>
      <c r="N52" t="s">
        <v>57</v>
      </c>
      <c r="O52" s="1">
        <v>46103</v>
      </c>
      <c r="Q52" s="1">
        <v>46134</v>
      </c>
      <c r="R52" s="2">
        <v>43.72</v>
      </c>
      <c r="S52">
        <v>1</v>
      </c>
      <c r="T52" t="s">
        <v>58</v>
      </c>
      <c r="U52" t="s">
        <v>59</v>
      </c>
      <c r="V52" s="4">
        <v>0.375</v>
      </c>
      <c r="W52" s="2">
        <v>0</v>
      </c>
      <c r="X52">
        <v>0</v>
      </c>
      <c r="Y52" t="s">
        <v>60</v>
      </c>
      <c r="Z52" t="s">
        <v>61</v>
      </c>
      <c r="AA52">
        <v>6</v>
      </c>
      <c r="AB52" s="2">
        <v>98.4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16.399999999999999</v>
      </c>
      <c r="AM52" s="2">
        <v>0</v>
      </c>
      <c r="AN52" s="2">
        <v>98.4</v>
      </c>
      <c r="AO52" s="2">
        <v>0</v>
      </c>
      <c r="AP52" s="2">
        <v>0</v>
      </c>
      <c r="AQ52" s="2">
        <v>0</v>
      </c>
    </row>
    <row r="53" spans="1:43" x14ac:dyDescent="0.3">
      <c r="A53" s="1">
        <v>46104</v>
      </c>
      <c r="B53" t="s">
        <v>48</v>
      </c>
      <c r="C53">
        <v>649163</v>
      </c>
      <c r="D53">
        <v>2034479519</v>
      </c>
      <c r="E53" t="s">
        <v>214</v>
      </c>
      <c r="F53" t="s">
        <v>215</v>
      </c>
      <c r="G53" t="s">
        <v>51</v>
      </c>
      <c r="H53" t="s">
        <v>191</v>
      </c>
      <c r="I53" t="s">
        <v>163</v>
      </c>
      <c r="J53" t="s">
        <v>164</v>
      </c>
      <c r="K53">
        <v>938894</v>
      </c>
      <c r="L53" t="s">
        <v>216</v>
      </c>
      <c r="M53" t="s">
        <v>217</v>
      </c>
      <c r="N53" t="s">
        <v>57</v>
      </c>
      <c r="O53" s="1">
        <v>46113</v>
      </c>
      <c r="Q53" s="1">
        <v>46143</v>
      </c>
      <c r="R53" s="2">
        <v>125.29</v>
      </c>
      <c r="S53">
        <v>1</v>
      </c>
      <c r="T53" t="s">
        <v>58</v>
      </c>
      <c r="U53" t="s">
        <v>59</v>
      </c>
      <c r="V53" s="4">
        <v>0.375</v>
      </c>
      <c r="W53" s="2">
        <v>0</v>
      </c>
      <c r="X53">
        <v>0</v>
      </c>
      <c r="Y53" t="s">
        <v>60</v>
      </c>
      <c r="Z53" t="s">
        <v>61</v>
      </c>
      <c r="AA53">
        <v>6</v>
      </c>
      <c r="AB53" s="2">
        <v>281.88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46.98</v>
      </c>
      <c r="AM53" s="2">
        <v>0</v>
      </c>
      <c r="AN53" s="2">
        <v>281.88</v>
      </c>
      <c r="AO53" s="2">
        <v>0</v>
      </c>
      <c r="AP53" s="2">
        <v>0</v>
      </c>
      <c r="AQ53" s="2">
        <v>0</v>
      </c>
    </row>
    <row r="54" spans="1:43" x14ac:dyDescent="0.3">
      <c r="A54" s="1">
        <v>46104</v>
      </c>
      <c r="B54" t="s">
        <v>48</v>
      </c>
      <c r="C54">
        <v>649163</v>
      </c>
      <c r="D54">
        <v>2034309583</v>
      </c>
      <c r="E54" t="s">
        <v>218</v>
      </c>
      <c r="F54" t="s">
        <v>219</v>
      </c>
      <c r="G54" t="s">
        <v>51</v>
      </c>
      <c r="H54" t="s">
        <v>52</v>
      </c>
      <c r="I54" t="s">
        <v>220</v>
      </c>
      <c r="J54" t="s">
        <v>221</v>
      </c>
      <c r="K54">
        <v>650218</v>
      </c>
      <c r="L54" t="s">
        <v>87</v>
      </c>
      <c r="M54" t="s">
        <v>88</v>
      </c>
      <c r="N54" t="s">
        <v>57</v>
      </c>
      <c r="O54" s="1">
        <v>46113</v>
      </c>
      <c r="Q54" s="1">
        <v>46143</v>
      </c>
      <c r="R54" s="2">
        <v>68.040000000000006</v>
      </c>
      <c r="S54">
        <v>1</v>
      </c>
      <c r="T54" t="s">
        <v>58</v>
      </c>
      <c r="U54" t="s">
        <v>59</v>
      </c>
      <c r="V54" s="3">
        <v>0.38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155.16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25.86</v>
      </c>
      <c r="AM54" s="2">
        <v>0</v>
      </c>
      <c r="AN54" s="2">
        <v>155.16</v>
      </c>
      <c r="AO54" s="2">
        <v>0</v>
      </c>
      <c r="AP54" s="2">
        <v>0</v>
      </c>
      <c r="AQ54" s="2">
        <v>0</v>
      </c>
    </row>
    <row r="55" spans="1:43" x14ac:dyDescent="0.3">
      <c r="A55" s="1">
        <v>46104</v>
      </c>
      <c r="B55" t="s">
        <v>48</v>
      </c>
      <c r="C55">
        <v>649163</v>
      </c>
      <c r="D55">
        <v>2034383426</v>
      </c>
      <c r="E55" t="s">
        <v>110</v>
      </c>
      <c r="F55" t="s">
        <v>111</v>
      </c>
      <c r="G55" t="s">
        <v>51</v>
      </c>
      <c r="H55" t="s">
        <v>112</v>
      </c>
      <c r="I55" t="s">
        <v>220</v>
      </c>
      <c r="J55" t="s">
        <v>221</v>
      </c>
      <c r="K55">
        <v>824082</v>
      </c>
      <c r="L55" t="s">
        <v>113</v>
      </c>
      <c r="M55" t="s">
        <v>114</v>
      </c>
      <c r="N55" t="s">
        <v>57</v>
      </c>
      <c r="O55" s="1">
        <v>46113</v>
      </c>
      <c r="Q55" s="1">
        <v>46143</v>
      </c>
      <c r="R55" s="2">
        <v>18.079999999999998</v>
      </c>
      <c r="S55">
        <v>1</v>
      </c>
      <c r="T55" t="s">
        <v>58</v>
      </c>
      <c r="U55" t="s">
        <v>59</v>
      </c>
      <c r="V55" s="3">
        <v>0.38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41.22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6.87</v>
      </c>
      <c r="AM55" s="2">
        <v>0</v>
      </c>
      <c r="AN55" s="2">
        <v>41.22</v>
      </c>
      <c r="AO55" s="2">
        <v>0</v>
      </c>
      <c r="AP55" s="2">
        <v>0</v>
      </c>
      <c r="AQ55" s="2">
        <v>0</v>
      </c>
    </row>
    <row r="56" spans="1:43" x14ac:dyDescent="0.3">
      <c r="A56" s="1">
        <v>46104</v>
      </c>
      <c r="B56" t="s">
        <v>48</v>
      </c>
      <c r="C56">
        <v>649163</v>
      </c>
      <c r="D56">
        <v>2034385370</v>
      </c>
      <c r="E56" t="s">
        <v>155</v>
      </c>
      <c r="F56" t="s">
        <v>156</v>
      </c>
      <c r="G56" t="s">
        <v>51</v>
      </c>
      <c r="H56" t="s">
        <v>64</v>
      </c>
      <c r="I56" t="s">
        <v>220</v>
      </c>
      <c r="J56" t="s">
        <v>221</v>
      </c>
      <c r="K56">
        <v>756803</v>
      </c>
      <c r="L56" t="s">
        <v>159</v>
      </c>
      <c r="M56" t="s">
        <v>160</v>
      </c>
      <c r="N56" t="s">
        <v>57</v>
      </c>
      <c r="O56" s="1">
        <v>46098</v>
      </c>
      <c r="Q56" s="1">
        <v>46129</v>
      </c>
      <c r="R56" s="2">
        <v>42.1</v>
      </c>
      <c r="S56">
        <v>1</v>
      </c>
      <c r="T56" t="s">
        <v>58</v>
      </c>
      <c r="U56" t="s">
        <v>59</v>
      </c>
      <c r="V56" s="3">
        <v>0.38</v>
      </c>
      <c r="W56" s="2">
        <v>0</v>
      </c>
      <c r="X56">
        <v>0</v>
      </c>
      <c r="Y56" t="s">
        <v>60</v>
      </c>
      <c r="Z56" t="s">
        <v>61</v>
      </c>
      <c r="AA56">
        <v>6</v>
      </c>
      <c r="AB56" s="2">
        <v>96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16</v>
      </c>
      <c r="AM56" s="2">
        <v>0</v>
      </c>
      <c r="AN56" s="2">
        <v>96</v>
      </c>
      <c r="AO56" s="2">
        <v>0</v>
      </c>
      <c r="AP56" s="2">
        <v>0</v>
      </c>
      <c r="AQ56" s="2">
        <v>0</v>
      </c>
    </row>
    <row r="57" spans="1:43" x14ac:dyDescent="0.3">
      <c r="A57" s="1">
        <v>46104</v>
      </c>
      <c r="B57" t="s">
        <v>48</v>
      </c>
      <c r="C57">
        <v>649163</v>
      </c>
      <c r="D57">
        <v>2034404406</v>
      </c>
      <c r="E57" t="s">
        <v>49</v>
      </c>
      <c r="F57" t="s">
        <v>50</v>
      </c>
      <c r="G57" t="s">
        <v>51</v>
      </c>
      <c r="H57" t="s">
        <v>52</v>
      </c>
      <c r="I57" t="s">
        <v>220</v>
      </c>
      <c r="J57" t="s">
        <v>221</v>
      </c>
      <c r="K57">
        <v>885445</v>
      </c>
      <c r="L57" t="s">
        <v>55</v>
      </c>
      <c r="M57" t="s">
        <v>56</v>
      </c>
      <c r="N57" t="s">
        <v>57</v>
      </c>
      <c r="O57" s="1">
        <v>46099</v>
      </c>
      <c r="Q57" s="1">
        <v>46130</v>
      </c>
      <c r="R57" s="2">
        <v>27.15</v>
      </c>
      <c r="S57">
        <v>1</v>
      </c>
      <c r="T57" t="s">
        <v>58</v>
      </c>
      <c r="U57" t="s">
        <v>59</v>
      </c>
      <c r="V57" s="3">
        <v>0.38</v>
      </c>
      <c r="W57" s="2">
        <v>0</v>
      </c>
      <c r="X57">
        <v>0</v>
      </c>
      <c r="Y57" t="s">
        <v>60</v>
      </c>
      <c r="Z57" t="s">
        <v>61</v>
      </c>
      <c r="AA57">
        <v>6</v>
      </c>
      <c r="AB57" s="2">
        <v>61.92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10.32</v>
      </c>
      <c r="AM57" s="2">
        <v>0</v>
      </c>
      <c r="AN57" s="2">
        <v>61.92</v>
      </c>
      <c r="AO57" s="2">
        <v>0</v>
      </c>
      <c r="AP57" s="2">
        <v>0</v>
      </c>
      <c r="AQ57" s="2">
        <v>0</v>
      </c>
    </row>
    <row r="58" spans="1:43" x14ac:dyDescent="0.3">
      <c r="A58" s="1">
        <v>46104</v>
      </c>
      <c r="B58" t="s">
        <v>48</v>
      </c>
      <c r="C58">
        <v>649163</v>
      </c>
      <c r="D58">
        <v>2033593100</v>
      </c>
      <c r="E58" t="s">
        <v>161</v>
      </c>
      <c r="F58" t="s">
        <v>162</v>
      </c>
      <c r="G58" t="s">
        <v>51</v>
      </c>
      <c r="H58" t="s">
        <v>86</v>
      </c>
      <c r="I58" t="s">
        <v>222</v>
      </c>
      <c r="J58" t="s">
        <v>223</v>
      </c>
      <c r="K58">
        <v>878036</v>
      </c>
      <c r="L58" t="s">
        <v>165</v>
      </c>
      <c r="M58" t="s">
        <v>166</v>
      </c>
      <c r="N58" t="s">
        <v>57</v>
      </c>
      <c r="O58" s="1">
        <v>46082</v>
      </c>
      <c r="Q58" s="1">
        <v>46113</v>
      </c>
      <c r="R58" s="2">
        <v>10.43</v>
      </c>
      <c r="S58">
        <v>1</v>
      </c>
      <c r="T58" t="s">
        <v>58</v>
      </c>
      <c r="U58" t="s">
        <v>59</v>
      </c>
      <c r="V58" s="3">
        <v>0.7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43.8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7.3</v>
      </c>
      <c r="AM58" s="2">
        <v>0</v>
      </c>
      <c r="AN58" s="2">
        <v>43.8</v>
      </c>
      <c r="AO58" s="2">
        <v>0</v>
      </c>
      <c r="AP58" s="2">
        <v>0</v>
      </c>
      <c r="AQ58" s="2">
        <v>0</v>
      </c>
    </row>
    <row r="59" spans="1:43" x14ac:dyDescent="0.3">
      <c r="A59" s="1">
        <v>46104</v>
      </c>
      <c r="B59" t="s">
        <v>48</v>
      </c>
      <c r="C59">
        <v>649163</v>
      </c>
      <c r="D59">
        <v>2033832426</v>
      </c>
      <c r="E59" t="s">
        <v>62</v>
      </c>
      <c r="F59" t="s">
        <v>63</v>
      </c>
      <c r="G59" t="s">
        <v>51</v>
      </c>
      <c r="H59" t="s">
        <v>64</v>
      </c>
      <c r="I59" t="s">
        <v>222</v>
      </c>
      <c r="J59" t="s">
        <v>223</v>
      </c>
      <c r="K59">
        <v>823350</v>
      </c>
      <c r="L59" t="s">
        <v>67</v>
      </c>
      <c r="M59" t="s">
        <v>68</v>
      </c>
      <c r="N59" t="s">
        <v>57</v>
      </c>
      <c r="O59" s="1">
        <v>46082</v>
      </c>
      <c r="Q59" s="1">
        <v>46113</v>
      </c>
      <c r="R59" s="2">
        <v>177.79</v>
      </c>
      <c r="S59">
        <v>1</v>
      </c>
      <c r="T59" t="s">
        <v>58</v>
      </c>
      <c r="U59" t="s">
        <v>59</v>
      </c>
      <c r="V59" s="3">
        <v>0.7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746.7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124.45</v>
      </c>
      <c r="AM59" s="2">
        <v>0</v>
      </c>
      <c r="AN59" s="2">
        <v>746.7</v>
      </c>
      <c r="AO59" s="2">
        <v>0</v>
      </c>
      <c r="AP59" s="2">
        <v>0</v>
      </c>
      <c r="AQ59" s="2">
        <v>0</v>
      </c>
    </row>
    <row r="60" spans="1:43" x14ac:dyDescent="0.3">
      <c r="A60" s="1">
        <v>46104</v>
      </c>
      <c r="B60" t="s">
        <v>48</v>
      </c>
      <c r="C60">
        <v>649163</v>
      </c>
      <c r="D60">
        <v>2033832428</v>
      </c>
      <c r="E60" t="s">
        <v>62</v>
      </c>
      <c r="F60" t="s">
        <v>63</v>
      </c>
      <c r="G60" t="s">
        <v>51</v>
      </c>
      <c r="H60" t="s">
        <v>64</v>
      </c>
      <c r="I60" t="s">
        <v>222</v>
      </c>
      <c r="J60" t="s">
        <v>224</v>
      </c>
      <c r="K60">
        <v>823350</v>
      </c>
      <c r="L60" t="s">
        <v>67</v>
      </c>
      <c r="M60" t="s">
        <v>68</v>
      </c>
      <c r="N60" t="s">
        <v>57</v>
      </c>
      <c r="O60" s="1">
        <v>46082</v>
      </c>
      <c r="Q60" s="1">
        <v>46113</v>
      </c>
      <c r="R60" s="2">
        <v>80.75</v>
      </c>
      <c r="S60">
        <v>1</v>
      </c>
      <c r="T60" t="s">
        <v>58</v>
      </c>
      <c r="U60" t="s">
        <v>59</v>
      </c>
      <c r="V60" s="3">
        <v>0.9</v>
      </c>
      <c r="W60" s="2">
        <v>0</v>
      </c>
      <c r="X60">
        <v>0</v>
      </c>
      <c r="Y60" t="s">
        <v>60</v>
      </c>
      <c r="Z60" t="s">
        <v>61</v>
      </c>
      <c r="AA60">
        <v>6</v>
      </c>
      <c r="AB60" s="2">
        <v>436.08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72.680000000000007</v>
      </c>
      <c r="AM60" s="2">
        <v>0</v>
      </c>
      <c r="AN60" s="2">
        <v>436.08</v>
      </c>
      <c r="AO60" s="2">
        <v>0</v>
      </c>
      <c r="AP60" s="2">
        <v>0</v>
      </c>
      <c r="AQ60" s="2">
        <v>0</v>
      </c>
    </row>
    <row r="61" spans="1:43" x14ac:dyDescent="0.3">
      <c r="A61" s="1">
        <v>46104</v>
      </c>
      <c r="B61" t="s">
        <v>48</v>
      </c>
      <c r="C61">
        <v>649163</v>
      </c>
      <c r="D61">
        <v>2033834123</v>
      </c>
      <c r="E61" t="s">
        <v>225</v>
      </c>
      <c r="F61" t="s">
        <v>226</v>
      </c>
      <c r="G61" t="s">
        <v>51</v>
      </c>
      <c r="H61" t="s">
        <v>64</v>
      </c>
      <c r="I61" t="s">
        <v>222</v>
      </c>
      <c r="J61" t="s">
        <v>223</v>
      </c>
      <c r="K61">
        <v>823350</v>
      </c>
      <c r="L61" t="s">
        <v>67</v>
      </c>
      <c r="M61" t="s">
        <v>68</v>
      </c>
      <c r="N61" t="s">
        <v>57</v>
      </c>
      <c r="O61" s="1">
        <v>46082</v>
      </c>
      <c r="Q61" s="1">
        <v>46113</v>
      </c>
      <c r="R61" s="2">
        <v>333.52</v>
      </c>
      <c r="S61">
        <v>1</v>
      </c>
      <c r="T61" t="s">
        <v>58</v>
      </c>
      <c r="U61" t="s">
        <v>59</v>
      </c>
      <c r="V61" s="3">
        <v>0.7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1400.76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233.46</v>
      </c>
      <c r="AM61" s="2">
        <v>0</v>
      </c>
      <c r="AN61" s="2">
        <v>1400.76</v>
      </c>
      <c r="AO61" s="2">
        <v>0</v>
      </c>
      <c r="AP61" s="2">
        <v>0</v>
      </c>
      <c r="AQ61" s="2">
        <v>0</v>
      </c>
    </row>
    <row r="62" spans="1:43" x14ac:dyDescent="0.3">
      <c r="A62" s="1">
        <v>46104</v>
      </c>
      <c r="B62" t="s">
        <v>48</v>
      </c>
      <c r="C62">
        <v>649163</v>
      </c>
      <c r="D62">
        <v>2033835701</v>
      </c>
      <c r="E62" t="s">
        <v>69</v>
      </c>
      <c r="F62" t="s">
        <v>70</v>
      </c>
      <c r="G62" t="s">
        <v>51</v>
      </c>
      <c r="H62" t="s">
        <v>64</v>
      </c>
      <c r="I62" t="s">
        <v>222</v>
      </c>
      <c r="J62" t="s">
        <v>223</v>
      </c>
      <c r="K62">
        <v>823350</v>
      </c>
      <c r="L62" t="s">
        <v>67</v>
      </c>
      <c r="M62" t="s">
        <v>68</v>
      </c>
      <c r="N62" t="s">
        <v>57</v>
      </c>
      <c r="O62" s="1">
        <v>46082</v>
      </c>
      <c r="Q62" s="1">
        <v>46113</v>
      </c>
      <c r="R62" s="2">
        <v>153.66999999999999</v>
      </c>
      <c r="S62">
        <v>1</v>
      </c>
      <c r="T62" t="s">
        <v>58</v>
      </c>
      <c r="U62" t="s">
        <v>59</v>
      </c>
      <c r="V62" s="3">
        <v>0.7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645.41999999999996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107.57</v>
      </c>
      <c r="AM62" s="2">
        <v>0</v>
      </c>
      <c r="AN62" s="2">
        <v>645.41999999999996</v>
      </c>
      <c r="AO62" s="2">
        <v>0</v>
      </c>
      <c r="AP62" s="2">
        <v>0</v>
      </c>
      <c r="AQ62" s="2">
        <v>0</v>
      </c>
    </row>
    <row r="63" spans="1:43" x14ac:dyDescent="0.3">
      <c r="A63" s="1">
        <v>46104</v>
      </c>
      <c r="B63" t="s">
        <v>48</v>
      </c>
      <c r="C63">
        <v>649163</v>
      </c>
      <c r="D63">
        <v>2033908763</v>
      </c>
      <c r="E63" t="s">
        <v>72</v>
      </c>
      <c r="F63" t="s">
        <v>73</v>
      </c>
      <c r="G63" t="s">
        <v>51</v>
      </c>
      <c r="H63" t="s">
        <v>74</v>
      </c>
      <c r="I63" t="s">
        <v>222</v>
      </c>
      <c r="J63" t="s">
        <v>223</v>
      </c>
      <c r="K63">
        <v>673059</v>
      </c>
      <c r="L63" t="s">
        <v>76</v>
      </c>
      <c r="M63" t="s">
        <v>77</v>
      </c>
      <c r="N63" t="s">
        <v>57</v>
      </c>
      <c r="O63" s="1">
        <v>46102</v>
      </c>
      <c r="Q63" s="1">
        <v>46133</v>
      </c>
      <c r="R63" s="2">
        <v>77.7</v>
      </c>
      <c r="S63">
        <v>1</v>
      </c>
      <c r="T63" t="s">
        <v>58</v>
      </c>
      <c r="U63" t="s">
        <v>59</v>
      </c>
      <c r="V63" s="3">
        <v>0.7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326.33999999999997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54.39</v>
      </c>
      <c r="AM63" s="2">
        <v>0</v>
      </c>
      <c r="AN63" s="2">
        <v>326.33999999999997</v>
      </c>
      <c r="AO63" s="2">
        <v>0</v>
      </c>
      <c r="AP63" s="2">
        <v>0</v>
      </c>
      <c r="AQ63" s="2">
        <v>0</v>
      </c>
    </row>
    <row r="64" spans="1:43" x14ac:dyDescent="0.3">
      <c r="A64" s="1">
        <v>46104</v>
      </c>
      <c r="B64" t="s">
        <v>48</v>
      </c>
      <c r="C64">
        <v>649163</v>
      </c>
      <c r="D64">
        <v>2034020383</v>
      </c>
      <c r="E64" t="s">
        <v>173</v>
      </c>
      <c r="F64" t="s">
        <v>174</v>
      </c>
      <c r="G64" t="s">
        <v>51</v>
      </c>
      <c r="H64" t="s">
        <v>86</v>
      </c>
      <c r="I64" t="s">
        <v>222</v>
      </c>
      <c r="J64" t="s">
        <v>227</v>
      </c>
      <c r="K64">
        <v>948357</v>
      </c>
      <c r="L64" t="s">
        <v>175</v>
      </c>
      <c r="M64" t="s">
        <v>176</v>
      </c>
      <c r="N64" t="s">
        <v>57</v>
      </c>
      <c r="O64" s="1">
        <v>46088</v>
      </c>
      <c r="Q64" s="1">
        <v>46119</v>
      </c>
      <c r="R64" s="2">
        <v>25.73</v>
      </c>
      <c r="S64">
        <v>1</v>
      </c>
      <c r="T64" t="s">
        <v>58</v>
      </c>
      <c r="U64" t="s">
        <v>59</v>
      </c>
      <c r="V64" s="3">
        <v>0.7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108.06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18.010000000000002</v>
      </c>
      <c r="AM64" s="2">
        <v>0</v>
      </c>
      <c r="AN64" s="2">
        <v>108.06</v>
      </c>
      <c r="AO64" s="2">
        <v>0</v>
      </c>
      <c r="AP64" s="2">
        <v>0</v>
      </c>
      <c r="AQ64" s="2">
        <v>0</v>
      </c>
    </row>
    <row r="65" spans="1:43" x14ac:dyDescent="0.3">
      <c r="A65" s="1">
        <v>46104</v>
      </c>
      <c r="B65" t="s">
        <v>48</v>
      </c>
      <c r="C65">
        <v>649163</v>
      </c>
      <c r="D65">
        <v>2034309584</v>
      </c>
      <c r="E65" t="s">
        <v>218</v>
      </c>
      <c r="F65" t="s">
        <v>219</v>
      </c>
      <c r="G65" t="s">
        <v>51</v>
      </c>
      <c r="H65" t="s">
        <v>52</v>
      </c>
      <c r="I65" t="s">
        <v>222</v>
      </c>
      <c r="J65" t="s">
        <v>227</v>
      </c>
      <c r="K65">
        <v>650218</v>
      </c>
      <c r="L65" t="s">
        <v>87</v>
      </c>
      <c r="M65" t="s">
        <v>88</v>
      </c>
      <c r="N65" t="s">
        <v>57</v>
      </c>
      <c r="O65" s="1">
        <v>46113</v>
      </c>
      <c r="Q65" s="1">
        <v>46143</v>
      </c>
      <c r="R65" s="2">
        <v>59.8</v>
      </c>
      <c r="S65">
        <v>1</v>
      </c>
      <c r="T65" t="s">
        <v>58</v>
      </c>
      <c r="U65" t="s">
        <v>59</v>
      </c>
      <c r="V65" s="3">
        <v>0.7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251.16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41.86</v>
      </c>
      <c r="AM65" s="2">
        <v>0</v>
      </c>
      <c r="AN65" s="2">
        <v>251.16</v>
      </c>
      <c r="AO65" s="2">
        <v>0</v>
      </c>
      <c r="AP65" s="2">
        <v>0</v>
      </c>
      <c r="AQ65" s="2">
        <v>0</v>
      </c>
    </row>
    <row r="66" spans="1:43" x14ac:dyDescent="0.3">
      <c r="A66" s="1">
        <v>46104</v>
      </c>
      <c r="B66" t="s">
        <v>48</v>
      </c>
      <c r="C66">
        <v>649163</v>
      </c>
      <c r="D66">
        <v>2034346333</v>
      </c>
      <c r="E66" t="s">
        <v>78</v>
      </c>
      <c r="F66" t="s">
        <v>79</v>
      </c>
      <c r="G66" t="s">
        <v>51</v>
      </c>
      <c r="H66" t="s">
        <v>80</v>
      </c>
      <c r="I66" t="s">
        <v>222</v>
      </c>
      <c r="J66" t="s">
        <v>224</v>
      </c>
      <c r="K66">
        <v>897073</v>
      </c>
      <c r="L66" t="s">
        <v>82</v>
      </c>
      <c r="M66" t="s">
        <v>83</v>
      </c>
      <c r="N66" t="s">
        <v>57</v>
      </c>
      <c r="O66" s="1">
        <v>46101</v>
      </c>
      <c r="Q66" s="1">
        <v>46132</v>
      </c>
      <c r="R66" s="2">
        <v>74.92</v>
      </c>
      <c r="S66">
        <v>1</v>
      </c>
      <c r="T66" t="s">
        <v>58</v>
      </c>
      <c r="U66" t="s">
        <v>59</v>
      </c>
      <c r="V66" s="3">
        <v>0.9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404.58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67.430000000000007</v>
      </c>
      <c r="AM66" s="2">
        <v>0</v>
      </c>
      <c r="AN66" s="2">
        <v>404.58</v>
      </c>
      <c r="AO66" s="2">
        <v>0</v>
      </c>
      <c r="AP66" s="2">
        <v>0</v>
      </c>
      <c r="AQ66" s="2">
        <v>0</v>
      </c>
    </row>
    <row r="67" spans="1:43" x14ac:dyDescent="0.3">
      <c r="A67" s="1">
        <v>46104</v>
      </c>
      <c r="B67" t="s">
        <v>48</v>
      </c>
      <c r="C67">
        <v>649163</v>
      </c>
      <c r="D67">
        <v>2034373766</v>
      </c>
      <c r="E67" t="s">
        <v>89</v>
      </c>
      <c r="F67" t="s">
        <v>90</v>
      </c>
      <c r="G67" t="s">
        <v>51</v>
      </c>
      <c r="H67" t="s">
        <v>64</v>
      </c>
      <c r="I67" t="s">
        <v>222</v>
      </c>
      <c r="J67" t="s">
        <v>223</v>
      </c>
      <c r="K67">
        <v>824062</v>
      </c>
      <c r="L67" t="s">
        <v>91</v>
      </c>
      <c r="M67" t="s">
        <v>92</v>
      </c>
      <c r="N67" t="s">
        <v>57</v>
      </c>
      <c r="O67" s="1">
        <v>46140</v>
      </c>
      <c r="Q67" s="1">
        <v>46170</v>
      </c>
      <c r="R67" s="2">
        <v>19</v>
      </c>
      <c r="S67">
        <v>1</v>
      </c>
      <c r="T67" t="s">
        <v>58</v>
      </c>
      <c r="U67" t="s">
        <v>59</v>
      </c>
      <c r="V67" s="3">
        <v>0.7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79.8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13.3</v>
      </c>
      <c r="AM67" s="2">
        <v>0</v>
      </c>
      <c r="AN67" s="2">
        <v>79.8</v>
      </c>
      <c r="AO67" s="2">
        <v>0</v>
      </c>
      <c r="AP67" s="2">
        <v>0</v>
      </c>
      <c r="AQ67" s="2">
        <v>0</v>
      </c>
    </row>
    <row r="68" spans="1:43" x14ac:dyDescent="0.3">
      <c r="A68" s="1">
        <v>46104</v>
      </c>
      <c r="B68" t="s">
        <v>48</v>
      </c>
      <c r="C68">
        <v>649163</v>
      </c>
      <c r="D68">
        <v>2034374842</v>
      </c>
      <c r="E68" t="s">
        <v>93</v>
      </c>
      <c r="F68" t="s">
        <v>94</v>
      </c>
      <c r="G68" t="s">
        <v>51</v>
      </c>
      <c r="H68" t="s">
        <v>95</v>
      </c>
      <c r="I68" t="s">
        <v>222</v>
      </c>
      <c r="J68" t="s">
        <v>223</v>
      </c>
      <c r="K68">
        <v>651818</v>
      </c>
      <c r="L68" t="s">
        <v>96</v>
      </c>
      <c r="M68" t="s">
        <v>97</v>
      </c>
      <c r="N68" t="s">
        <v>57</v>
      </c>
      <c r="O68" s="1">
        <v>46099</v>
      </c>
      <c r="Q68" s="1">
        <v>46130</v>
      </c>
      <c r="R68" s="2">
        <v>23.09</v>
      </c>
      <c r="S68">
        <v>1</v>
      </c>
      <c r="T68" t="s">
        <v>58</v>
      </c>
      <c r="U68" t="s">
        <v>59</v>
      </c>
      <c r="V68" s="3">
        <v>0.7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96.96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16.16</v>
      </c>
      <c r="AM68" s="2">
        <v>0</v>
      </c>
      <c r="AN68" s="2">
        <v>96.96</v>
      </c>
      <c r="AO68" s="2">
        <v>0</v>
      </c>
      <c r="AP68" s="2">
        <v>0</v>
      </c>
      <c r="AQ68" s="2">
        <v>0</v>
      </c>
    </row>
    <row r="69" spans="1:43" x14ac:dyDescent="0.3">
      <c r="A69" s="1">
        <v>46104</v>
      </c>
      <c r="B69" t="s">
        <v>48</v>
      </c>
      <c r="C69">
        <v>649163</v>
      </c>
      <c r="D69">
        <v>2034375764</v>
      </c>
      <c r="E69" t="s">
        <v>98</v>
      </c>
      <c r="F69" t="s">
        <v>99</v>
      </c>
      <c r="G69" t="s">
        <v>51</v>
      </c>
      <c r="H69" t="s">
        <v>100</v>
      </c>
      <c r="I69" t="s">
        <v>222</v>
      </c>
      <c r="J69" t="s">
        <v>223</v>
      </c>
      <c r="K69">
        <v>673059</v>
      </c>
      <c r="L69" t="s">
        <v>76</v>
      </c>
      <c r="M69" t="s">
        <v>77</v>
      </c>
      <c r="N69" t="s">
        <v>57</v>
      </c>
      <c r="O69" s="1">
        <v>46098</v>
      </c>
      <c r="Q69" s="1">
        <v>46129</v>
      </c>
      <c r="R69" s="2">
        <v>24.78</v>
      </c>
      <c r="S69">
        <v>1</v>
      </c>
      <c r="T69" t="s">
        <v>58</v>
      </c>
      <c r="U69" t="s">
        <v>59</v>
      </c>
      <c r="V69" s="3">
        <v>0.7</v>
      </c>
      <c r="W69" s="2">
        <v>0</v>
      </c>
      <c r="X69">
        <v>0</v>
      </c>
      <c r="Y69" t="s">
        <v>60</v>
      </c>
      <c r="Z69" t="s">
        <v>61</v>
      </c>
      <c r="AA69">
        <v>6</v>
      </c>
      <c r="AB69" s="2">
        <v>104.1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17.350000000000001</v>
      </c>
      <c r="AM69" s="2">
        <v>0</v>
      </c>
      <c r="AN69" s="2">
        <v>104.1</v>
      </c>
      <c r="AO69" s="2">
        <v>0</v>
      </c>
      <c r="AP69" s="2">
        <v>0</v>
      </c>
      <c r="AQ69" s="2">
        <v>0</v>
      </c>
    </row>
    <row r="70" spans="1:43" x14ac:dyDescent="0.3">
      <c r="A70" s="1">
        <v>46104</v>
      </c>
      <c r="B70" t="s">
        <v>48</v>
      </c>
      <c r="C70">
        <v>649163</v>
      </c>
      <c r="D70">
        <v>2034375765</v>
      </c>
      <c r="E70" t="s">
        <v>98</v>
      </c>
      <c r="F70" t="s">
        <v>99</v>
      </c>
      <c r="G70" t="s">
        <v>51</v>
      </c>
      <c r="H70" t="s">
        <v>100</v>
      </c>
      <c r="I70" t="s">
        <v>222</v>
      </c>
      <c r="J70" t="s">
        <v>227</v>
      </c>
      <c r="K70">
        <v>673059</v>
      </c>
      <c r="L70" t="s">
        <v>76</v>
      </c>
      <c r="M70" t="s">
        <v>77</v>
      </c>
      <c r="N70" t="s">
        <v>57</v>
      </c>
      <c r="O70" s="1">
        <v>46098</v>
      </c>
      <c r="Q70" s="1">
        <v>46129</v>
      </c>
      <c r="R70" s="2">
        <v>25.73</v>
      </c>
      <c r="S70">
        <v>1</v>
      </c>
      <c r="T70" t="s">
        <v>58</v>
      </c>
      <c r="U70" t="s">
        <v>59</v>
      </c>
      <c r="V70" s="3">
        <v>0.7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108.06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18.010000000000002</v>
      </c>
      <c r="AM70" s="2">
        <v>0</v>
      </c>
      <c r="AN70" s="2">
        <v>108.06</v>
      </c>
      <c r="AO70" s="2">
        <v>0</v>
      </c>
      <c r="AP70" s="2">
        <v>0</v>
      </c>
      <c r="AQ70" s="2">
        <v>0</v>
      </c>
    </row>
    <row r="71" spans="1:43" x14ac:dyDescent="0.3">
      <c r="A71" s="1">
        <v>46104</v>
      </c>
      <c r="B71" t="s">
        <v>48</v>
      </c>
      <c r="C71">
        <v>649163</v>
      </c>
      <c r="D71">
        <v>2034377609</v>
      </c>
      <c r="E71" t="s">
        <v>101</v>
      </c>
      <c r="F71" t="s">
        <v>102</v>
      </c>
      <c r="G71" t="s">
        <v>51</v>
      </c>
      <c r="H71" t="s">
        <v>103</v>
      </c>
      <c r="I71" t="s">
        <v>222</v>
      </c>
      <c r="J71" t="s">
        <v>227</v>
      </c>
      <c r="K71">
        <v>861933</v>
      </c>
      <c r="L71" t="s">
        <v>104</v>
      </c>
      <c r="M71" t="s">
        <v>105</v>
      </c>
      <c r="N71" t="s">
        <v>57</v>
      </c>
      <c r="O71" s="1">
        <v>46113</v>
      </c>
      <c r="Q71" s="1">
        <v>46143</v>
      </c>
      <c r="R71" s="2">
        <v>24.61</v>
      </c>
      <c r="S71">
        <v>1</v>
      </c>
      <c r="T71" t="s">
        <v>58</v>
      </c>
      <c r="U71" t="s">
        <v>59</v>
      </c>
      <c r="V71" s="3">
        <v>0.7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103.38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17.23</v>
      </c>
      <c r="AM71" s="2">
        <v>0</v>
      </c>
      <c r="AN71" s="2">
        <v>103.38</v>
      </c>
      <c r="AO71" s="2">
        <v>0</v>
      </c>
      <c r="AP71" s="2">
        <v>0</v>
      </c>
      <c r="AQ71" s="2">
        <v>0</v>
      </c>
    </row>
    <row r="72" spans="1:43" x14ac:dyDescent="0.3">
      <c r="A72" s="1">
        <v>46104</v>
      </c>
      <c r="B72" t="s">
        <v>48</v>
      </c>
      <c r="C72">
        <v>649163</v>
      </c>
      <c r="D72">
        <v>2034379293</v>
      </c>
      <c r="E72" t="s">
        <v>106</v>
      </c>
      <c r="F72" t="s">
        <v>107</v>
      </c>
      <c r="G72" t="s">
        <v>51</v>
      </c>
      <c r="H72" t="s">
        <v>103</v>
      </c>
      <c r="I72" t="s">
        <v>222</v>
      </c>
      <c r="J72" t="s">
        <v>228</v>
      </c>
      <c r="K72">
        <v>902625</v>
      </c>
      <c r="L72" t="s">
        <v>108</v>
      </c>
      <c r="M72" t="s">
        <v>109</v>
      </c>
      <c r="N72" t="s">
        <v>57</v>
      </c>
      <c r="O72" s="1">
        <v>46113</v>
      </c>
      <c r="Q72" s="1">
        <v>46143</v>
      </c>
      <c r="R72" s="2">
        <v>27.8</v>
      </c>
      <c r="S72">
        <v>1</v>
      </c>
      <c r="T72" t="s">
        <v>58</v>
      </c>
      <c r="U72" t="s">
        <v>59</v>
      </c>
      <c r="V72" s="3">
        <v>0.42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70.08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11.68</v>
      </c>
      <c r="AM72" s="2">
        <v>0</v>
      </c>
      <c r="AN72" s="2">
        <v>70.08</v>
      </c>
      <c r="AO72" s="2">
        <v>0</v>
      </c>
      <c r="AP72" s="2">
        <v>0</v>
      </c>
      <c r="AQ72" s="2">
        <v>0</v>
      </c>
    </row>
    <row r="73" spans="1:43" x14ac:dyDescent="0.3">
      <c r="A73" s="1">
        <v>46104</v>
      </c>
      <c r="B73" t="s">
        <v>48</v>
      </c>
      <c r="C73">
        <v>649163</v>
      </c>
      <c r="D73">
        <v>2034382900</v>
      </c>
      <c r="E73" t="s">
        <v>229</v>
      </c>
      <c r="F73" t="s">
        <v>230</v>
      </c>
      <c r="G73" t="s">
        <v>51</v>
      </c>
      <c r="H73" t="s">
        <v>86</v>
      </c>
      <c r="I73" t="s">
        <v>222</v>
      </c>
      <c r="J73" t="s">
        <v>228</v>
      </c>
      <c r="K73">
        <v>948357</v>
      </c>
      <c r="L73" t="s">
        <v>175</v>
      </c>
      <c r="M73" t="s">
        <v>176</v>
      </c>
      <c r="N73" t="s">
        <v>57</v>
      </c>
      <c r="O73" s="1">
        <v>46113</v>
      </c>
      <c r="Q73" s="1">
        <v>46143</v>
      </c>
      <c r="R73" s="2">
        <v>22.8</v>
      </c>
      <c r="S73">
        <v>1</v>
      </c>
      <c r="T73" t="s">
        <v>58</v>
      </c>
      <c r="U73" t="s">
        <v>59</v>
      </c>
      <c r="V73" s="3">
        <v>0.42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57.48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9.58</v>
      </c>
      <c r="AM73" s="2">
        <v>0</v>
      </c>
      <c r="AN73" s="2">
        <v>57.48</v>
      </c>
      <c r="AO73" s="2">
        <v>0</v>
      </c>
      <c r="AP73" s="2">
        <v>0</v>
      </c>
      <c r="AQ73" s="2">
        <v>0</v>
      </c>
    </row>
    <row r="74" spans="1:43" x14ac:dyDescent="0.3">
      <c r="A74" s="1">
        <v>46104</v>
      </c>
      <c r="B74" t="s">
        <v>48</v>
      </c>
      <c r="C74">
        <v>649163</v>
      </c>
      <c r="D74">
        <v>2034383427</v>
      </c>
      <c r="E74" t="s">
        <v>110</v>
      </c>
      <c r="F74" t="s">
        <v>111</v>
      </c>
      <c r="G74" t="s">
        <v>51</v>
      </c>
      <c r="H74" t="s">
        <v>112</v>
      </c>
      <c r="I74" t="s">
        <v>222</v>
      </c>
      <c r="J74" t="s">
        <v>223</v>
      </c>
      <c r="K74">
        <v>824082</v>
      </c>
      <c r="L74" t="s">
        <v>113</v>
      </c>
      <c r="M74" t="s">
        <v>114</v>
      </c>
      <c r="N74" t="s">
        <v>57</v>
      </c>
      <c r="O74" s="1">
        <v>46113</v>
      </c>
      <c r="Q74" s="1">
        <v>46143</v>
      </c>
      <c r="R74" s="2">
        <v>9.6999999999999993</v>
      </c>
      <c r="S74">
        <v>1</v>
      </c>
      <c r="T74" t="s">
        <v>58</v>
      </c>
      <c r="U74" t="s">
        <v>59</v>
      </c>
      <c r="V74" s="3">
        <v>0.7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40.74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6.79</v>
      </c>
      <c r="AM74" s="2">
        <v>0</v>
      </c>
      <c r="AN74" s="2">
        <v>40.74</v>
      </c>
      <c r="AO74" s="2">
        <v>0</v>
      </c>
      <c r="AP74" s="2">
        <v>0</v>
      </c>
      <c r="AQ74" s="2">
        <v>0</v>
      </c>
    </row>
    <row r="75" spans="1:43" x14ac:dyDescent="0.3">
      <c r="A75" s="1">
        <v>46104</v>
      </c>
      <c r="B75" t="s">
        <v>48</v>
      </c>
      <c r="C75">
        <v>649163</v>
      </c>
      <c r="D75">
        <v>2034384125</v>
      </c>
      <c r="E75" t="s">
        <v>177</v>
      </c>
      <c r="F75" t="s">
        <v>173</v>
      </c>
      <c r="G75" t="s">
        <v>51</v>
      </c>
      <c r="H75" t="s">
        <v>129</v>
      </c>
      <c r="I75" t="s">
        <v>222</v>
      </c>
      <c r="J75" t="s">
        <v>223</v>
      </c>
      <c r="K75">
        <v>824062</v>
      </c>
      <c r="L75" t="s">
        <v>91</v>
      </c>
      <c r="M75" t="s">
        <v>92</v>
      </c>
      <c r="N75" t="s">
        <v>57</v>
      </c>
      <c r="O75" s="1">
        <v>46107</v>
      </c>
      <c r="Q75" s="1">
        <v>46138</v>
      </c>
      <c r="R75" s="2">
        <v>19.46</v>
      </c>
      <c r="S75">
        <v>1</v>
      </c>
      <c r="T75" t="s">
        <v>58</v>
      </c>
      <c r="U75" t="s">
        <v>59</v>
      </c>
      <c r="V75" s="3">
        <v>0.7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81.72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13.62</v>
      </c>
      <c r="AM75" s="2">
        <v>0</v>
      </c>
      <c r="AN75" s="2">
        <v>81.72</v>
      </c>
      <c r="AO75" s="2">
        <v>0</v>
      </c>
      <c r="AP75" s="2">
        <v>0</v>
      </c>
      <c r="AQ75" s="2">
        <v>0</v>
      </c>
    </row>
    <row r="76" spans="1:43" x14ac:dyDescent="0.3">
      <c r="A76" s="1">
        <v>46104</v>
      </c>
      <c r="B76" t="s">
        <v>48</v>
      </c>
      <c r="C76">
        <v>649163</v>
      </c>
      <c r="D76">
        <v>2034384322</v>
      </c>
      <c r="E76" t="s">
        <v>115</v>
      </c>
      <c r="F76" t="s">
        <v>116</v>
      </c>
      <c r="G76" t="s">
        <v>51</v>
      </c>
      <c r="H76" t="s">
        <v>117</v>
      </c>
      <c r="I76" t="s">
        <v>222</v>
      </c>
      <c r="J76" t="s">
        <v>223</v>
      </c>
      <c r="K76">
        <v>822733</v>
      </c>
      <c r="L76" t="s">
        <v>118</v>
      </c>
      <c r="M76" t="s">
        <v>119</v>
      </c>
      <c r="N76" t="s">
        <v>57</v>
      </c>
      <c r="O76" s="1">
        <v>46098</v>
      </c>
      <c r="Q76" s="1">
        <v>46129</v>
      </c>
      <c r="R76" s="2">
        <v>59.04</v>
      </c>
      <c r="S76">
        <v>1</v>
      </c>
      <c r="T76" t="s">
        <v>58</v>
      </c>
      <c r="U76" t="s">
        <v>59</v>
      </c>
      <c r="V76" s="3">
        <v>0.7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247.98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41.33</v>
      </c>
      <c r="AM76" s="2">
        <v>0</v>
      </c>
      <c r="AN76" s="2">
        <v>247.98</v>
      </c>
      <c r="AO76" s="2">
        <v>0</v>
      </c>
      <c r="AP76" s="2">
        <v>0</v>
      </c>
      <c r="AQ76" s="2">
        <v>0</v>
      </c>
    </row>
    <row r="77" spans="1:43" x14ac:dyDescent="0.3">
      <c r="A77" s="1">
        <v>46104</v>
      </c>
      <c r="B77" t="s">
        <v>48</v>
      </c>
      <c r="C77">
        <v>649163</v>
      </c>
      <c r="D77">
        <v>2034385369</v>
      </c>
      <c r="E77" t="s">
        <v>155</v>
      </c>
      <c r="F77" t="s">
        <v>156</v>
      </c>
      <c r="G77" t="s">
        <v>51</v>
      </c>
      <c r="H77" t="s">
        <v>64</v>
      </c>
      <c r="I77" t="s">
        <v>222</v>
      </c>
      <c r="J77" t="s">
        <v>223</v>
      </c>
      <c r="K77">
        <v>756803</v>
      </c>
      <c r="L77" t="s">
        <v>159</v>
      </c>
      <c r="M77" t="s">
        <v>160</v>
      </c>
      <c r="N77" t="s">
        <v>57</v>
      </c>
      <c r="O77" s="1">
        <v>46098</v>
      </c>
      <c r="Q77" s="1">
        <v>46129</v>
      </c>
      <c r="R77" s="2">
        <v>19</v>
      </c>
      <c r="S77">
        <v>1</v>
      </c>
      <c r="T77" t="s">
        <v>58</v>
      </c>
      <c r="U77" t="s">
        <v>59</v>
      </c>
      <c r="V77" s="3">
        <v>0.7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79.8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13.3</v>
      </c>
      <c r="AM77" s="2">
        <v>0</v>
      </c>
      <c r="AN77" s="2">
        <v>79.8</v>
      </c>
      <c r="AO77" s="2">
        <v>0</v>
      </c>
      <c r="AP77" s="2">
        <v>0</v>
      </c>
      <c r="AQ77" s="2">
        <v>0</v>
      </c>
    </row>
    <row r="78" spans="1:43" x14ac:dyDescent="0.3">
      <c r="A78" s="1">
        <v>46104</v>
      </c>
      <c r="B78" t="s">
        <v>48</v>
      </c>
      <c r="C78">
        <v>649163</v>
      </c>
      <c r="D78">
        <v>2034389622</v>
      </c>
      <c r="E78" t="s">
        <v>231</v>
      </c>
      <c r="F78" t="s">
        <v>232</v>
      </c>
      <c r="G78" t="s">
        <v>51</v>
      </c>
      <c r="H78" t="s">
        <v>184</v>
      </c>
      <c r="I78" t="s">
        <v>222</v>
      </c>
      <c r="J78" t="s">
        <v>224</v>
      </c>
      <c r="K78">
        <v>767312</v>
      </c>
      <c r="L78" t="s">
        <v>185</v>
      </c>
      <c r="M78" t="s">
        <v>186</v>
      </c>
      <c r="N78" t="s">
        <v>57</v>
      </c>
      <c r="O78" s="1">
        <v>46104</v>
      </c>
      <c r="Q78" s="1">
        <v>46135</v>
      </c>
      <c r="R78" s="2">
        <v>46.63</v>
      </c>
      <c r="S78">
        <v>1</v>
      </c>
      <c r="T78" t="s">
        <v>58</v>
      </c>
      <c r="U78" t="s">
        <v>59</v>
      </c>
      <c r="V78" s="3">
        <v>0.9</v>
      </c>
      <c r="W78" s="2">
        <v>0</v>
      </c>
      <c r="X78">
        <v>0</v>
      </c>
      <c r="Y78" t="s">
        <v>60</v>
      </c>
      <c r="Z78" t="s">
        <v>61</v>
      </c>
      <c r="AA78">
        <v>6</v>
      </c>
      <c r="AB78" s="2">
        <v>251.82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41.97</v>
      </c>
      <c r="AM78" s="2">
        <v>0</v>
      </c>
      <c r="AN78" s="2">
        <v>251.82</v>
      </c>
      <c r="AO78" s="2">
        <v>0</v>
      </c>
      <c r="AP78" s="2">
        <v>0</v>
      </c>
      <c r="AQ78" s="2">
        <v>0</v>
      </c>
    </row>
    <row r="79" spans="1:43" x14ac:dyDescent="0.3">
      <c r="A79" s="1">
        <v>46104</v>
      </c>
      <c r="B79" t="s">
        <v>48</v>
      </c>
      <c r="C79">
        <v>649163</v>
      </c>
      <c r="D79">
        <v>2034392891</v>
      </c>
      <c r="E79" t="s">
        <v>120</v>
      </c>
      <c r="F79" t="s">
        <v>121</v>
      </c>
      <c r="G79" t="s">
        <v>51</v>
      </c>
      <c r="H79" t="s">
        <v>122</v>
      </c>
      <c r="I79" t="s">
        <v>222</v>
      </c>
      <c r="J79" t="s">
        <v>223</v>
      </c>
      <c r="K79">
        <v>823350</v>
      </c>
      <c r="L79" t="s">
        <v>67</v>
      </c>
      <c r="M79" t="s">
        <v>68</v>
      </c>
      <c r="N79" t="s">
        <v>57</v>
      </c>
      <c r="O79" s="1">
        <v>46102</v>
      </c>
      <c r="Q79" s="1">
        <v>46133</v>
      </c>
      <c r="R79" s="2">
        <v>172.57</v>
      </c>
      <c r="S79">
        <v>1</v>
      </c>
      <c r="T79" t="s">
        <v>58</v>
      </c>
      <c r="U79" t="s">
        <v>59</v>
      </c>
      <c r="V79" s="3">
        <v>0.7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724.8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120.8</v>
      </c>
      <c r="AM79" s="2">
        <v>0</v>
      </c>
      <c r="AN79" s="2">
        <v>724.8</v>
      </c>
      <c r="AO79" s="2">
        <v>0</v>
      </c>
      <c r="AP79" s="2">
        <v>0</v>
      </c>
      <c r="AQ79" s="2">
        <v>0</v>
      </c>
    </row>
    <row r="80" spans="1:43" x14ac:dyDescent="0.3">
      <c r="A80" s="1">
        <v>46104</v>
      </c>
      <c r="B80" t="s">
        <v>48</v>
      </c>
      <c r="C80">
        <v>649163</v>
      </c>
      <c r="D80">
        <v>2034392893</v>
      </c>
      <c r="E80" t="s">
        <v>120</v>
      </c>
      <c r="F80" t="s">
        <v>121</v>
      </c>
      <c r="G80" t="s">
        <v>51</v>
      </c>
      <c r="H80" t="s">
        <v>122</v>
      </c>
      <c r="I80" t="s">
        <v>222</v>
      </c>
      <c r="J80" t="s">
        <v>224</v>
      </c>
      <c r="K80">
        <v>823350</v>
      </c>
      <c r="L80" t="s">
        <v>67</v>
      </c>
      <c r="M80" t="s">
        <v>68</v>
      </c>
      <c r="N80" t="s">
        <v>57</v>
      </c>
      <c r="O80" s="1">
        <v>46102</v>
      </c>
      <c r="Q80" s="1">
        <v>46133</v>
      </c>
      <c r="R80" s="2">
        <v>14.77</v>
      </c>
      <c r="S80">
        <v>1</v>
      </c>
      <c r="T80" t="s">
        <v>58</v>
      </c>
      <c r="U80" t="s">
        <v>59</v>
      </c>
      <c r="V80" s="3">
        <v>0.9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79.739999999999995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13.29</v>
      </c>
      <c r="AM80" s="2">
        <v>0</v>
      </c>
      <c r="AN80" s="2">
        <v>79.739999999999995</v>
      </c>
      <c r="AO80" s="2">
        <v>0</v>
      </c>
      <c r="AP80" s="2">
        <v>0</v>
      </c>
      <c r="AQ80" s="2">
        <v>0</v>
      </c>
    </row>
    <row r="81" spans="1:43" x14ac:dyDescent="0.3">
      <c r="A81" s="1">
        <v>46104</v>
      </c>
      <c r="B81" t="s">
        <v>48</v>
      </c>
      <c r="C81">
        <v>649163</v>
      </c>
      <c r="D81">
        <v>2034413970</v>
      </c>
      <c r="E81" t="s">
        <v>127</v>
      </c>
      <c r="F81" t="s">
        <v>128</v>
      </c>
      <c r="G81" t="s">
        <v>51</v>
      </c>
      <c r="H81" t="s">
        <v>129</v>
      </c>
      <c r="I81" t="s">
        <v>222</v>
      </c>
      <c r="J81" t="s">
        <v>223</v>
      </c>
      <c r="K81">
        <v>956422</v>
      </c>
      <c r="L81" t="s">
        <v>130</v>
      </c>
      <c r="M81" t="s">
        <v>56</v>
      </c>
      <c r="N81" t="s">
        <v>57</v>
      </c>
      <c r="O81" s="1">
        <v>46100</v>
      </c>
      <c r="Q81" s="1">
        <v>46131</v>
      </c>
      <c r="R81" s="2">
        <v>44</v>
      </c>
      <c r="S81">
        <v>1</v>
      </c>
      <c r="T81" t="s">
        <v>58</v>
      </c>
      <c r="U81" t="s">
        <v>59</v>
      </c>
      <c r="V81" s="3">
        <v>0.7</v>
      </c>
      <c r="W81" s="2">
        <v>0</v>
      </c>
      <c r="X81">
        <v>0</v>
      </c>
      <c r="Y81" t="s">
        <v>60</v>
      </c>
      <c r="Z81" t="s">
        <v>61</v>
      </c>
      <c r="AA81">
        <v>6</v>
      </c>
      <c r="AB81" s="2">
        <v>184.8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30.8</v>
      </c>
      <c r="AM81" s="2">
        <v>0</v>
      </c>
      <c r="AN81" s="2">
        <v>184.8</v>
      </c>
      <c r="AO81" s="2">
        <v>0</v>
      </c>
      <c r="AP81" s="2">
        <v>0</v>
      </c>
      <c r="AQ81" s="2">
        <v>0</v>
      </c>
    </row>
    <row r="82" spans="1:43" x14ac:dyDescent="0.3">
      <c r="A82" s="1">
        <v>46104</v>
      </c>
      <c r="B82" t="s">
        <v>48</v>
      </c>
      <c r="C82">
        <v>649163</v>
      </c>
      <c r="D82">
        <v>2034420238</v>
      </c>
      <c r="E82" t="s">
        <v>233</v>
      </c>
      <c r="F82" t="s">
        <v>234</v>
      </c>
      <c r="G82" t="s">
        <v>51</v>
      </c>
      <c r="H82" t="s">
        <v>103</v>
      </c>
      <c r="I82" t="s">
        <v>222</v>
      </c>
      <c r="J82" t="s">
        <v>227</v>
      </c>
      <c r="K82">
        <v>823068</v>
      </c>
      <c r="L82" t="s">
        <v>149</v>
      </c>
      <c r="M82" t="s">
        <v>150</v>
      </c>
      <c r="N82" t="s">
        <v>57</v>
      </c>
      <c r="O82" s="1">
        <v>46101</v>
      </c>
      <c r="Q82" s="1">
        <v>46132</v>
      </c>
      <c r="R82" s="2">
        <v>78.97</v>
      </c>
      <c r="S82">
        <v>1</v>
      </c>
      <c r="T82" t="s">
        <v>58</v>
      </c>
      <c r="U82" t="s">
        <v>59</v>
      </c>
      <c r="V82" s="3">
        <v>0.7</v>
      </c>
      <c r="W82" s="2">
        <v>0</v>
      </c>
      <c r="X82">
        <v>0</v>
      </c>
      <c r="Y82" t="s">
        <v>60</v>
      </c>
      <c r="Z82" t="s">
        <v>61</v>
      </c>
      <c r="AA82">
        <v>6</v>
      </c>
      <c r="AB82" s="2">
        <v>331.68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55.28</v>
      </c>
      <c r="AM82" s="2">
        <v>0</v>
      </c>
      <c r="AN82" s="2">
        <v>331.68</v>
      </c>
      <c r="AO82" s="2">
        <v>0</v>
      </c>
      <c r="AP82" s="2">
        <v>0</v>
      </c>
      <c r="AQ82" s="2">
        <v>0</v>
      </c>
    </row>
    <row r="83" spans="1:43" x14ac:dyDescent="0.3">
      <c r="A83" s="1">
        <v>46104</v>
      </c>
      <c r="B83" t="s">
        <v>48</v>
      </c>
      <c r="C83">
        <v>649163</v>
      </c>
      <c r="D83">
        <v>2034420239</v>
      </c>
      <c r="E83" t="s">
        <v>233</v>
      </c>
      <c r="F83" t="s">
        <v>234</v>
      </c>
      <c r="G83" t="s">
        <v>51</v>
      </c>
      <c r="H83" t="s">
        <v>103</v>
      </c>
      <c r="I83" t="s">
        <v>222</v>
      </c>
      <c r="J83" t="s">
        <v>224</v>
      </c>
      <c r="K83">
        <v>823068</v>
      </c>
      <c r="L83" t="s">
        <v>149</v>
      </c>
      <c r="M83" t="s">
        <v>150</v>
      </c>
      <c r="N83" t="s">
        <v>57</v>
      </c>
      <c r="O83" s="1">
        <v>46101</v>
      </c>
      <c r="Q83" s="1">
        <v>46132</v>
      </c>
      <c r="R83" s="2">
        <v>82.17</v>
      </c>
      <c r="S83">
        <v>1</v>
      </c>
      <c r="T83" t="s">
        <v>58</v>
      </c>
      <c r="U83" t="s">
        <v>59</v>
      </c>
      <c r="V83" s="3">
        <v>0.9</v>
      </c>
      <c r="W83" s="2">
        <v>0</v>
      </c>
      <c r="X83">
        <v>0</v>
      </c>
      <c r="Y83" t="s">
        <v>60</v>
      </c>
      <c r="Z83" t="s">
        <v>61</v>
      </c>
      <c r="AA83">
        <v>6</v>
      </c>
      <c r="AB83" s="2">
        <v>443.7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73.95</v>
      </c>
      <c r="AM83" s="2">
        <v>0</v>
      </c>
      <c r="AN83" s="2">
        <v>443.7</v>
      </c>
      <c r="AO83" s="2">
        <v>0</v>
      </c>
      <c r="AP83" s="2">
        <v>0</v>
      </c>
      <c r="AQ83" s="2">
        <v>0</v>
      </c>
    </row>
    <row r="84" spans="1:43" x14ac:dyDescent="0.3">
      <c r="A84" s="1">
        <v>46104</v>
      </c>
      <c r="B84" t="s">
        <v>48</v>
      </c>
      <c r="C84">
        <v>649163</v>
      </c>
      <c r="D84">
        <v>2034427467</v>
      </c>
      <c r="E84" t="s">
        <v>137</v>
      </c>
      <c r="F84" t="s">
        <v>138</v>
      </c>
      <c r="G84" t="s">
        <v>51</v>
      </c>
      <c r="H84" t="s">
        <v>139</v>
      </c>
      <c r="I84" t="s">
        <v>222</v>
      </c>
      <c r="J84" t="s">
        <v>223</v>
      </c>
      <c r="K84">
        <v>823350</v>
      </c>
      <c r="L84" t="s">
        <v>67</v>
      </c>
      <c r="M84" t="s">
        <v>68</v>
      </c>
      <c r="N84" t="s">
        <v>57</v>
      </c>
      <c r="O84" s="1">
        <v>46103</v>
      </c>
      <c r="Q84" s="1">
        <v>46134</v>
      </c>
      <c r="R84" s="2">
        <v>51.38</v>
      </c>
      <c r="S84">
        <v>1</v>
      </c>
      <c r="T84" t="s">
        <v>58</v>
      </c>
      <c r="U84" t="s">
        <v>59</v>
      </c>
      <c r="V84" s="3">
        <v>0.7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215.82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35.97</v>
      </c>
      <c r="AM84" s="2">
        <v>0</v>
      </c>
      <c r="AN84" s="2">
        <v>215.82</v>
      </c>
      <c r="AO84" s="2">
        <v>0</v>
      </c>
      <c r="AP84" s="2">
        <v>0</v>
      </c>
      <c r="AQ84" s="2">
        <v>0</v>
      </c>
    </row>
    <row r="85" spans="1:43" x14ac:dyDescent="0.3">
      <c r="A85" s="1">
        <v>46104</v>
      </c>
      <c r="B85" t="s">
        <v>48</v>
      </c>
      <c r="C85">
        <v>649163</v>
      </c>
      <c r="D85">
        <v>2034430399</v>
      </c>
      <c r="E85" t="s">
        <v>142</v>
      </c>
      <c r="F85" t="s">
        <v>143</v>
      </c>
      <c r="G85" t="s">
        <v>51</v>
      </c>
      <c r="H85" t="s">
        <v>129</v>
      </c>
      <c r="I85" t="s">
        <v>222</v>
      </c>
      <c r="J85" t="s">
        <v>223</v>
      </c>
      <c r="K85">
        <v>673059</v>
      </c>
      <c r="L85" t="s">
        <v>76</v>
      </c>
      <c r="M85" t="s">
        <v>77</v>
      </c>
      <c r="N85" t="s">
        <v>57</v>
      </c>
      <c r="O85" s="1">
        <v>46113</v>
      </c>
      <c r="Q85" s="1">
        <v>46143</v>
      </c>
      <c r="R85" s="2">
        <v>94.16</v>
      </c>
      <c r="S85">
        <v>1</v>
      </c>
      <c r="T85" t="s">
        <v>58</v>
      </c>
      <c r="U85" t="s">
        <v>59</v>
      </c>
      <c r="V85" s="3">
        <v>0.7</v>
      </c>
      <c r="W85" s="2">
        <v>0</v>
      </c>
      <c r="X85">
        <v>0</v>
      </c>
      <c r="Y85" t="s">
        <v>60</v>
      </c>
      <c r="Z85" t="s">
        <v>61</v>
      </c>
      <c r="AA85">
        <v>6</v>
      </c>
      <c r="AB85" s="2">
        <v>395.46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65.91</v>
      </c>
      <c r="AM85" s="2">
        <v>0</v>
      </c>
      <c r="AN85" s="2">
        <v>395.46</v>
      </c>
      <c r="AO85" s="2">
        <v>0</v>
      </c>
      <c r="AP85" s="2">
        <v>0</v>
      </c>
      <c r="AQ85" s="2">
        <v>0</v>
      </c>
    </row>
    <row r="86" spans="1:43" x14ac:dyDescent="0.3">
      <c r="A86" s="1">
        <v>46104</v>
      </c>
      <c r="B86" t="s">
        <v>48</v>
      </c>
      <c r="C86">
        <v>649163</v>
      </c>
      <c r="D86">
        <v>2034439273</v>
      </c>
      <c r="E86" t="s">
        <v>235</v>
      </c>
      <c r="F86" t="s">
        <v>200</v>
      </c>
      <c r="G86" t="s">
        <v>51</v>
      </c>
      <c r="H86" t="s">
        <v>74</v>
      </c>
      <c r="I86" t="s">
        <v>222</v>
      </c>
      <c r="J86" t="s">
        <v>223</v>
      </c>
      <c r="K86">
        <v>812782</v>
      </c>
      <c r="L86" t="s">
        <v>236</v>
      </c>
      <c r="M86" t="s">
        <v>237</v>
      </c>
      <c r="N86" t="s">
        <v>57</v>
      </c>
      <c r="O86" s="1">
        <v>46113</v>
      </c>
      <c r="Q86" s="1">
        <v>46143</v>
      </c>
      <c r="R86" s="2">
        <v>208.28</v>
      </c>
      <c r="S86">
        <v>1</v>
      </c>
      <c r="T86" t="s">
        <v>58</v>
      </c>
      <c r="U86" t="s">
        <v>59</v>
      </c>
      <c r="V86" s="3">
        <v>0.7</v>
      </c>
      <c r="W86" s="2">
        <v>0</v>
      </c>
      <c r="X86">
        <v>0</v>
      </c>
      <c r="Y86" t="s">
        <v>60</v>
      </c>
      <c r="Z86" t="s">
        <v>61</v>
      </c>
      <c r="AA86">
        <v>6</v>
      </c>
      <c r="AB86" s="2">
        <v>874.8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145.80000000000001</v>
      </c>
      <c r="AM86" s="2">
        <v>0</v>
      </c>
      <c r="AN86" s="2">
        <v>874.8</v>
      </c>
      <c r="AO86" s="2">
        <v>0</v>
      </c>
      <c r="AP86" s="2">
        <v>0</v>
      </c>
      <c r="AQ86" s="2">
        <v>0</v>
      </c>
    </row>
    <row r="87" spans="1:43" x14ac:dyDescent="0.3">
      <c r="A87" s="1">
        <v>46104</v>
      </c>
      <c r="B87" t="s">
        <v>48</v>
      </c>
      <c r="C87">
        <v>649163</v>
      </c>
      <c r="D87">
        <v>2034439982</v>
      </c>
      <c r="E87" t="s">
        <v>198</v>
      </c>
      <c r="F87" t="s">
        <v>199</v>
      </c>
      <c r="G87" t="s">
        <v>51</v>
      </c>
      <c r="H87" t="s">
        <v>191</v>
      </c>
      <c r="I87" t="s">
        <v>222</v>
      </c>
      <c r="J87" t="s">
        <v>224</v>
      </c>
      <c r="K87">
        <v>767312</v>
      </c>
      <c r="L87" t="s">
        <v>185</v>
      </c>
      <c r="M87" t="s">
        <v>186</v>
      </c>
      <c r="N87" t="s">
        <v>57</v>
      </c>
      <c r="O87" s="1">
        <v>46102</v>
      </c>
      <c r="Q87" s="1">
        <v>46133</v>
      </c>
      <c r="R87" s="2">
        <v>22.22</v>
      </c>
      <c r="S87">
        <v>1</v>
      </c>
      <c r="T87" t="s">
        <v>58</v>
      </c>
      <c r="U87" t="s">
        <v>59</v>
      </c>
      <c r="V87" s="3">
        <v>0.9</v>
      </c>
      <c r="W87" s="2">
        <v>0</v>
      </c>
      <c r="X87">
        <v>0</v>
      </c>
      <c r="Y87" t="s">
        <v>60</v>
      </c>
      <c r="Z87" t="s">
        <v>61</v>
      </c>
      <c r="AA87">
        <v>6</v>
      </c>
      <c r="AB87" s="2">
        <v>120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20</v>
      </c>
      <c r="AM87" s="2">
        <v>0</v>
      </c>
      <c r="AN87" s="2">
        <v>120</v>
      </c>
      <c r="AO87" s="2">
        <v>0</v>
      </c>
      <c r="AP87" s="2">
        <v>0</v>
      </c>
      <c r="AQ87" s="2">
        <v>0</v>
      </c>
    </row>
    <row r="88" spans="1:43" x14ac:dyDescent="0.3">
      <c r="A88" s="1">
        <v>46104</v>
      </c>
      <c r="B88" t="s">
        <v>48</v>
      </c>
      <c r="C88">
        <v>649163</v>
      </c>
      <c r="D88">
        <v>2034442777</v>
      </c>
      <c r="E88" t="s">
        <v>87</v>
      </c>
      <c r="F88" t="s">
        <v>200</v>
      </c>
      <c r="G88" t="s">
        <v>51</v>
      </c>
      <c r="H88" t="s">
        <v>64</v>
      </c>
      <c r="I88" t="s">
        <v>222</v>
      </c>
      <c r="J88" t="s">
        <v>223</v>
      </c>
      <c r="K88">
        <v>824076</v>
      </c>
      <c r="L88" t="s">
        <v>201</v>
      </c>
      <c r="M88" t="s">
        <v>202</v>
      </c>
      <c r="N88" t="s">
        <v>57</v>
      </c>
      <c r="O88" s="1">
        <v>46113</v>
      </c>
      <c r="Q88" s="1">
        <v>46143</v>
      </c>
      <c r="R88" s="2">
        <v>11.5</v>
      </c>
      <c r="S88">
        <v>1</v>
      </c>
      <c r="T88" t="s">
        <v>58</v>
      </c>
      <c r="U88" t="s">
        <v>59</v>
      </c>
      <c r="V88" s="3">
        <v>0.7</v>
      </c>
      <c r="W88" s="2">
        <v>0</v>
      </c>
      <c r="X88">
        <v>0</v>
      </c>
      <c r="Y88" t="s">
        <v>60</v>
      </c>
      <c r="Z88" t="s">
        <v>61</v>
      </c>
      <c r="AA88">
        <v>6</v>
      </c>
      <c r="AB88" s="2">
        <v>48.3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8.0500000000000007</v>
      </c>
      <c r="AM88" s="2">
        <v>0</v>
      </c>
      <c r="AN88" s="2">
        <v>48.3</v>
      </c>
      <c r="AO88" s="2">
        <v>0</v>
      </c>
      <c r="AP88" s="2">
        <v>0</v>
      </c>
      <c r="AQ88" s="2">
        <v>0</v>
      </c>
    </row>
    <row r="89" spans="1:43" x14ac:dyDescent="0.3">
      <c r="A89" s="1">
        <v>46104</v>
      </c>
      <c r="B89" t="s">
        <v>48</v>
      </c>
      <c r="C89">
        <v>649163</v>
      </c>
      <c r="D89">
        <v>2034443385</v>
      </c>
      <c r="E89" t="s">
        <v>203</v>
      </c>
      <c r="F89" t="s">
        <v>204</v>
      </c>
      <c r="G89" t="s">
        <v>51</v>
      </c>
      <c r="H89" t="s">
        <v>205</v>
      </c>
      <c r="I89" t="s">
        <v>222</v>
      </c>
      <c r="J89" t="s">
        <v>223</v>
      </c>
      <c r="K89">
        <v>862109</v>
      </c>
      <c r="L89" t="s">
        <v>206</v>
      </c>
      <c r="M89" t="s">
        <v>207</v>
      </c>
      <c r="N89" t="s">
        <v>57</v>
      </c>
      <c r="O89" s="1">
        <v>46101</v>
      </c>
      <c r="Q89" s="1">
        <v>46132</v>
      </c>
      <c r="R89" s="2">
        <v>73.56</v>
      </c>
      <c r="S89">
        <v>1</v>
      </c>
      <c r="T89" t="s">
        <v>58</v>
      </c>
      <c r="U89" t="s">
        <v>59</v>
      </c>
      <c r="V89" s="3">
        <v>0.7</v>
      </c>
      <c r="W89" s="2">
        <v>0</v>
      </c>
      <c r="X89">
        <v>0</v>
      </c>
      <c r="Y89" t="s">
        <v>60</v>
      </c>
      <c r="Z89" t="s">
        <v>61</v>
      </c>
      <c r="AA89">
        <v>6</v>
      </c>
      <c r="AB89" s="2">
        <v>308.94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51.49</v>
      </c>
      <c r="AM89" s="2">
        <v>0</v>
      </c>
      <c r="AN89" s="2">
        <v>308.94</v>
      </c>
      <c r="AO89" s="2">
        <v>0</v>
      </c>
      <c r="AP89" s="2">
        <v>0</v>
      </c>
      <c r="AQ89" s="2">
        <v>0</v>
      </c>
    </row>
    <row r="90" spans="1:43" x14ac:dyDescent="0.3">
      <c r="A90" s="1">
        <v>46104</v>
      </c>
      <c r="B90" t="s">
        <v>48</v>
      </c>
      <c r="C90">
        <v>649163</v>
      </c>
      <c r="D90">
        <v>2034443386</v>
      </c>
      <c r="E90" t="s">
        <v>203</v>
      </c>
      <c r="F90" t="s">
        <v>204</v>
      </c>
      <c r="G90" t="s">
        <v>51</v>
      </c>
      <c r="H90" t="s">
        <v>205</v>
      </c>
      <c r="I90" t="s">
        <v>222</v>
      </c>
      <c r="J90" t="s">
        <v>224</v>
      </c>
      <c r="K90">
        <v>862109</v>
      </c>
      <c r="L90" t="s">
        <v>206</v>
      </c>
      <c r="M90" t="s">
        <v>207</v>
      </c>
      <c r="N90" t="s">
        <v>57</v>
      </c>
      <c r="O90" s="1">
        <v>46101</v>
      </c>
      <c r="Q90" s="1">
        <v>46132</v>
      </c>
      <c r="R90" s="2">
        <v>30.75</v>
      </c>
      <c r="S90">
        <v>1</v>
      </c>
      <c r="T90" t="s">
        <v>58</v>
      </c>
      <c r="U90" t="s">
        <v>59</v>
      </c>
      <c r="V90" s="3">
        <v>0.9</v>
      </c>
      <c r="W90" s="2">
        <v>0</v>
      </c>
      <c r="X90">
        <v>0</v>
      </c>
      <c r="Y90" t="s">
        <v>60</v>
      </c>
      <c r="Z90" t="s">
        <v>61</v>
      </c>
      <c r="AA90">
        <v>6</v>
      </c>
      <c r="AB90" s="2">
        <v>166.08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27.68</v>
      </c>
      <c r="AM90" s="2">
        <v>0</v>
      </c>
      <c r="AN90" s="2">
        <v>166.08</v>
      </c>
      <c r="AO90" s="2">
        <v>0</v>
      </c>
      <c r="AP90" s="2">
        <v>0</v>
      </c>
      <c r="AQ90" s="2">
        <v>0</v>
      </c>
    </row>
    <row r="91" spans="1:43" x14ac:dyDescent="0.3">
      <c r="A91" s="1">
        <v>46104</v>
      </c>
      <c r="B91" t="s">
        <v>48</v>
      </c>
      <c r="C91">
        <v>649163</v>
      </c>
      <c r="D91">
        <v>2034474265</v>
      </c>
      <c r="E91" t="s">
        <v>147</v>
      </c>
      <c r="F91" t="s">
        <v>148</v>
      </c>
      <c r="G91" t="s">
        <v>51</v>
      </c>
      <c r="H91" t="s">
        <v>103</v>
      </c>
      <c r="I91" t="s">
        <v>222</v>
      </c>
      <c r="J91" t="s">
        <v>227</v>
      </c>
      <c r="K91">
        <v>823068</v>
      </c>
      <c r="L91" t="s">
        <v>149</v>
      </c>
      <c r="M91" t="s">
        <v>150</v>
      </c>
      <c r="N91" t="s">
        <v>57</v>
      </c>
      <c r="O91" s="1">
        <v>46113</v>
      </c>
      <c r="Q91" s="1">
        <v>46143</v>
      </c>
      <c r="R91" s="2">
        <v>48</v>
      </c>
      <c r="S91">
        <v>1</v>
      </c>
      <c r="T91" t="s">
        <v>58</v>
      </c>
      <c r="U91" t="s">
        <v>59</v>
      </c>
      <c r="V91" s="3">
        <v>0.7</v>
      </c>
      <c r="W91" s="2">
        <v>0</v>
      </c>
      <c r="X91">
        <v>0</v>
      </c>
      <c r="Y91" t="s">
        <v>60</v>
      </c>
      <c r="Z91" t="s">
        <v>61</v>
      </c>
      <c r="AA91">
        <v>6</v>
      </c>
      <c r="AB91" s="2">
        <v>201.6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33.6</v>
      </c>
      <c r="AM91" s="2">
        <v>0</v>
      </c>
      <c r="AN91" s="2">
        <v>201.6</v>
      </c>
      <c r="AO91" s="2">
        <v>0</v>
      </c>
      <c r="AP91" s="2">
        <v>0</v>
      </c>
      <c r="AQ91" s="2">
        <v>0</v>
      </c>
    </row>
    <row r="92" spans="1:43" x14ac:dyDescent="0.3">
      <c r="A92" s="1">
        <v>46104</v>
      </c>
      <c r="B92" t="s">
        <v>48</v>
      </c>
      <c r="C92">
        <v>649163</v>
      </c>
      <c r="D92">
        <v>2034475268</v>
      </c>
      <c r="E92" t="s">
        <v>238</v>
      </c>
      <c r="F92" t="s">
        <v>239</v>
      </c>
      <c r="G92" t="s">
        <v>51</v>
      </c>
      <c r="H92" t="s">
        <v>74</v>
      </c>
      <c r="I92" t="s">
        <v>222</v>
      </c>
      <c r="J92" t="s">
        <v>223</v>
      </c>
      <c r="K92">
        <v>875334</v>
      </c>
      <c r="L92" t="s">
        <v>240</v>
      </c>
      <c r="M92" t="s">
        <v>241</v>
      </c>
      <c r="N92" t="s">
        <v>57</v>
      </c>
      <c r="O92" s="1">
        <v>46102</v>
      </c>
      <c r="Q92" s="1">
        <v>46133</v>
      </c>
      <c r="R92" s="2">
        <v>49</v>
      </c>
      <c r="S92">
        <v>1</v>
      </c>
      <c r="T92" t="s">
        <v>58</v>
      </c>
      <c r="U92" t="s">
        <v>59</v>
      </c>
      <c r="V92" s="3">
        <v>0.7</v>
      </c>
      <c r="W92" s="2">
        <v>0</v>
      </c>
      <c r="X92">
        <v>0</v>
      </c>
      <c r="Y92" t="s">
        <v>60</v>
      </c>
      <c r="Z92" t="s">
        <v>61</v>
      </c>
      <c r="AA92">
        <v>6</v>
      </c>
      <c r="AB92" s="2">
        <v>205.8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34.299999999999997</v>
      </c>
      <c r="AM92" s="2">
        <v>0</v>
      </c>
      <c r="AN92" s="2">
        <v>205.8</v>
      </c>
      <c r="AO92" s="2">
        <v>0</v>
      </c>
      <c r="AP92" s="2">
        <v>0</v>
      </c>
      <c r="AQ92" s="2">
        <v>0</v>
      </c>
    </row>
    <row r="93" spans="1:43" x14ac:dyDescent="0.3">
      <c r="A93" s="1">
        <v>46104</v>
      </c>
      <c r="B93" t="s">
        <v>48</v>
      </c>
      <c r="C93">
        <v>649163</v>
      </c>
      <c r="D93">
        <v>2034475269</v>
      </c>
      <c r="E93" t="s">
        <v>238</v>
      </c>
      <c r="F93" t="s">
        <v>239</v>
      </c>
      <c r="G93" t="s">
        <v>51</v>
      </c>
      <c r="H93" t="s">
        <v>74</v>
      </c>
      <c r="I93" t="s">
        <v>222</v>
      </c>
      <c r="J93" t="s">
        <v>224</v>
      </c>
      <c r="K93">
        <v>875334</v>
      </c>
      <c r="L93" t="s">
        <v>240</v>
      </c>
      <c r="M93" t="s">
        <v>241</v>
      </c>
      <c r="N93" t="s">
        <v>57</v>
      </c>
      <c r="O93" s="1">
        <v>46102</v>
      </c>
      <c r="Q93" s="1">
        <v>46133</v>
      </c>
      <c r="R93" s="2">
        <v>23.05</v>
      </c>
      <c r="S93">
        <v>1</v>
      </c>
      <c r="T93" t="s">
        <v>58</v>
      </c>
      <c r="U93" t="s">
        <v>59</v>
      </c>
      <c r="V93" s="3">
        <v>0.9</v>
      </c>
      <c r="W93" s="2">
        <v>0</v>
      </c>
      <c r="X93">
        <v>0</v>
      </c>
      <c r="Y93" t="s">
        <v>60</v>
      </c>
      <c r="Z93" t="s">
        <v>61</v>
      </c>
      <c r="AA93">
        <v>6</v>
      </c>
      <c r="AB93" s="2">
        <v>124.44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20.74</v>
      </c>
      <c r="AM93" s="2">
        <v>0</v>
      </c>
      <c r="AN93" s="2">
        <v>124.44</v>
      </c>
      <c r="AO93" s="2">
        <v>0</v>
      </c>
      <c r="AP93" s="2">
        <v>0</v>
      </c>
      <c r="AQ93" s="2">
        <v>0</v>
      </c>
    </row>
    <row r="94" spans="1:43" x14ac:dyDescent="0.3">
      <c r="A94" s="1">
        <v>46104</v>
      </c>
      <c r="B94" t="s">
        <v>48</v>
      </c>
      <c r="C94">
        <v>649163</v>
      </c>
      <c r="D94">
        <v>2034483030</v>
      </c>
      <c r="E94" t="s">
        <v>151</v>
      </c>
      <c r="F94" t="s">
        <v>152</v>
      </c>
      <c r="G94" t="s">
        <v>51</v>
      </c>
      <c r="H94" t="s">
        <v>80</v>
      </c>
      <c r="I94" t="s">
        <v>222</v>
      </c>
      <c r="J94" t="s">
        <v>228</v>
      </c>
      <c r="K94">
        <v>768887</v>
      </c>
      <c r="L94" t="s">
        <v>153</v>
      </c>
      <c r="M94" t="s">
        <v>154</v>
      </c>
      <c r="N94" t="s">
        <v>57</v>
      </c>
      <c r="O94" s="1">
        <v>46102</v>
      </c>
      <c r="Q94" s="1">
        <v>46133</v>
      </c>
      <c r="R94" s="2">
        <v>86.66</v>
      </c>
      <c r="S94">
        <v>1</v>
      </c>
      <c r="T94" t="s">
        <v>58</v>
      </c>
      <c r="U94" t="s">
        <v>59</v>
      </c>
      <c r="V94" s="3">
        <v>0.42</v>
      </c>
      <c r="W94" s="2">
        <v>0</v>
      </c>
      <c r="X94">
        <v>0</v>
      </c>
      <c r="Y94" t="s">
        <v>60</v>
      </c>
      <c r="Z94" t="s">
        <v>61</v>
      </c>
      <c r="AA94">
        <v>6</v>
      </c>
      <c r="AB94" s="2">
        <v>218.4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36.4</v>
      </c>
      <c r="AM94" s="2">
        <v>0</v>
      </c>
      <c r="AN94" s="2">
        <v>218.4</v>
      </c>
      <c r="AO94" s="2">
        <v>0</v>
      </c>
      <c r="AP94" s="2">
        <v>0</v>
      </c>
      <c r="AQ94" s="2">
        <v>0</v>
      </c>
    </row>
    <row r="95" spans="1:43" x14ac:dyDescent="0.3">
      <c r="A95" s="1">
        <v>46104</v>
      </c>
      <c r="B95" t="s">
        <v>48</v>
      </c>
      <c r="C95">
        <v>649163</v>
      </c>
      <c r="D95">
        <v>2034485199</v>
      </c>
      <c r="E95" t="s">
        <v>242</v>
      </c>
      <c r="F95" t="s">
        <v>243</v>
      </c>
      <c r="G95" t="s">
        <v>51</v>
      </c>
      <c r="H95" t="s">
        <v>74</v>
      </c>
      <c r="I95" t="s">
        <v>222</v>
      </c>
      <c r="J95" t="s">
        <v>223</v>
      </c>
      <c r="K95">
        <v>822733</v>
      </c>
      <c r="L95" t="s">
        <v>118</v>
      </c>
      <c r="M95" t="s">
        <v>119</v>
      </c>
      <c r="N95" t="s">
        <v>57</v>
      </c>
      <c r="O95" s="1">
        <v>46102</v>
      </c>
      <c r="Q95" s="1">
        <v>46133</v>
      </c>
      <c r="R95" s="2">
        <v>89.52</v>
      </c>
      <c r="S95">
        <v>1</v>
      </c>
      <c r="T95" t="s">
        <v>58</v>
      </c>
      <c r="U95" t="s">
        <v>59</v>
      </c>
      <c r="V95" s="3">
        <v>0.7</v>
      </c>
      <c r="W95" s="2">
        <v>0</v>
      </c>
      <c r="X95">
        <v>0</v>
      </c>
      <c r="Y95" t="s">
        <v>60</v>
      </c>
      <c r="Z95" t="s">
        <v>61</v>
      </c>
      <c r="AA95">
        <v>6</v>
      </c>
      <c r="AB95" s="2">
        <v>375.96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62.66</v>
      </c>
      <c r="AM95" s="2">
        <v>0</v>
      </c>
      <c r="AN95" s="2">
        <v>375.96</v>
      </c>
      <c r="AO95" s="2">
        <v>0</v>
      </c>
      <c r="AP95" s="2">
        <v>0</v>
      </c>
      <c r="AQ95" s="2">
        <v>0</v>
      </c>
    </row>
    <row r="96" spans="1:43" x14ac:dyDescent="0.3">
      <c r="A96" s="1">
        <v>46104</v>
      </c>
      <c r="B96" t="s">
        <v>48</v>
      </c>
      <c r="C96">
        <v>649163</v>
      </c>
      <c r="D96">
        <v>2034487745</v>
      </c>
      <c r="E96" t="s">
        <v>244</v>
      </c>
      <c r="F96" t="s">
        <v>245</v>
      </c>
      <c r="G96" t="s">
        <v>51</v>
      </c>
      <c r="H96" t="s">
        <v>112</v>
      </c>
      <c r="I96" t="s">
        <v>222</v>
      </c>
      <c r="J96" t="s">
        <v>227</v>
      </c>
      <c r="K96">
        <v>807212</v>
      </c>
      <c r="L96" t="s">
        <v>246</v>
      </c>
      <c r="M96" t="s">
        <v>247</v>
      </c>
      <c r="N96" t="s">
        <v>57</v>
      </c>
      <c r="O96" s="1">
        <v>46103</v>
      </c>
      <c r="Q96" s="1">
        <v>46134</v>
      </c>
      <c r="R96" s="2">
        <v>20.95</v>
      </c>
      <c r="S96">
        <v>1</v>
      </c>
      <c r="T96" t="s">
        <v>58</v>
      </c>
      <c r="U96" t="s">
        <v>59</v>
      </c>
      <c r="V96" s="3">
        <v>0.7</v>
      </c>
      <c r="W96" s="2">
        <v>0</v>
      </c>
      <c r="X96">
        <v>0</v>
      </c>
      <c r="Y96" t="s">
        <v>60</v>
      </c>
      <c r="Z96" t="s">
        <v>61</v>
      </c>
      <c r="AA96">
        <v>6</v>
      </c>
      <c r="AB96" s="2">
        <v>87.96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14.66</v>
      </c>
      <c r="AM96" s="2">
        <v>0</v>
      </c>
      <c r="AN96" s="2">
        <v>87.96</v>
      </c>
      <c r="AO96" s="2">
        <v>0</v>
      </c>
      <c r="AP96" s="2">
        <v>0</v>
      </c>
      <c r="AQ96" s="2">
        <v>0</v>
      </c>
    </row>
    <row r="97" spans="1:43" x14ac:dyDescent="0.3">
      <c r="A97" s="1">
        <v>46104</v>
      </c>
      <c r="B97" t="s">
        <v>48</v>
      </c>
      <c r="C97">
        <v>649163</v>
      </c>
      <c r="D97">
        <v>2034497007</v>
      </c>
      <c r="E97" t="s">
        <v>248</v>
      </c>
      <c r="F97" t="s">
        <v>249</v>
      </c>
      <c r="G97" t="s">
        <v>51</v>
      </c>
      <c r="H97" t="s">
        <v>64</v>
      </c>
      <c r="I97" t="s">
        <v>222</v>
      </c>
      <c r="J97" t="s">
        <v>223</v>
      </c>
      <c r="K97">
        <v>807212</v>
      </c>
      <c r="L97" t="s">
        <v>246</v>
      </c>
      <c r="M97" t="s">
        <v>247</v>
      </c>
      <c r="N97" t="s">
        <v>57</v>
      </c>
      <c r="O97" s="1">
        <v>46103</v>
      </c>
      <c r="Q97" s="1">
        <v>46134</v>
      </c>
      <c r="R97" s="2">
        <v>56.51</v>
      </c>
      <c r="S97">
        <v>1</v>
      </c>
      <c r="T97" t="s">
        <v>58</v>
      </c>
      <c r="U97" t="s">
        <v>59</v>
      </c>
      <c r="V97" s="3">
        <v>0.7</v>
      </c>
      <c r="W97" s="2">
        <v>0</v>
      </c>
      <c r="X97">
        <v>0</v>
      </c>
      <c r="Y97" t="s">
        <v>60</v>
      </c>
      <c r="Z97" t="s">
        <v>61</v>
      </c>
      <c r="AA97">
        <v>6</v>
      </c>
      <c r="AB97" s="2">
        <v>237.36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39.56</v>
      </c>
      <c r="AM97" s="2">
        <v>0</v>
      </c>
      <c r="AN97" s="2">
        <v>237.36</v>
      </c>
      <c r="AO97" s="2">
        <v>0</v>
      </c>
      <c r="AP97" s="2">
        <v>0</v>
      </c>
      <c r="AQ97" s="2">
        <v>0</v>
      </c>
    </row>
    <row r="98" spans="1:43" x14ac:dyDescent="0.3">
      <c r="A98" s="1">
        <v>46104</v>
      </c>
      <c r="B98" t="s">
        <v>48</v>
      </c>
      <c r="C98">
        <v>649163</v>
      </c>
      <c r="D98">
        <v>2034443383</v>
      </c>
      <c r="E98" t="s">
        <v>203</v>
      </c>
      <c r="F98" t="s">
        <v>204</v>
      </c>
      <c r="G98" t="s">
        <v>51</v>
      </c>
      <c r="H98" t="s">
        <v>205</v>
      </c>
      <c r="I98" t="s">
        <v>250</v>
      </c>
      <c r="J98" t="s">
        <v>251</v>
      </c>
      <c r="K98">
        <v>862109</v>
      </c>
      <c r="L98" t="s">
        <v>206</v>
      </c>
      <c r="M98" t="s">
        <v>207</v>
      </c>
      <c r="N98" t="s">
        <v>57</v>
      </c>
      <c r="O98" s="1">
        <v>46101</v>
      </c>
      <c r="Q98" s="1">
        <v>46132</v>
      </c>
      <c r="R98" s="2">
        <v>130.56</v>
      </c>
      <c r="S98">
        <v>1</v>
      </c>
      <c r="T98" t="s">
        <v>58</v>
      </c>
      <c r="U98" t="s">
        <v>252</v>
      </c>
      <c r="V98" s="3">
        <v>0.27</v>
      </c>
      <c r="W98" s="2">
        <v>0</v>
      </c>
      <c r="X98">
        <v>0</v>
      </c>
      <c r="Y98" t="s">
        <v>60</v>
      </c>
      <c r="Z98" t="s">
        <v>61</v>
      </c>
      <c r="AA98">
        <v>6</v>
      </c>
      <c r="AB98" s="2">
        <v>211.5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35.25</v>
      </c>
      <c r="AM98" s="2">
        <v>0</v>
      </c>
      <c r="AN98" s="2">
        <v>211.5</v>
      </c>
      <c r="AO98" s="2">
        <v>0</v>
      </c>
      <c r="AP98" s="2">
        <v>0</v>
      </c>
      <c r="AQ98" s="2">
        <v>0</v>
      </c>
    </row>
    <row r="99" spans="1:43" x14ac:dyDescent="0.3">
      <c r="A99" s="1">
        <v>46104</v>
      </c>
      <c r="B99" t="s">
        <v>48</v>
      </c>
      <c r="C99">
        <v>649163</v>
      </c>
      <c r="D99">
        <v>2034443384</v>
      </c>
      <c r="E99" t="s">
        <v>203</v>
      </c>
      <c r="F99" t="s">
        <v>204</v>
      </c>
      <c r="G99" t="s">
        <v>51</v>
      </c>
      <c r="H99" t="s">
        <v>205</v>
      </c>
      <c r="I99" t="s">
        <v>250</v>
      </c>
      <c r="J99" t="s">
        <v>253</v>
      </c>
      <c r="K99">
        <v>862109</v>
      </c>
      <c r="L99" t="s">
        <v>206</v>
      </c>
      <c r="M99" t="s">
        <v>207</v>
      </c>
      <c r="N99" t="s">
        <v>57</v>
      </c>
      <c r="O99" s="1">
        <v>46101</v>
      </c>
      <c r="Q99" s="1">
        <v>46132</v>
      </c>
      <c r="R99" s="2">
        <v>9.9499999999999993</v>
      </c>
      <c r="S99">
        <v>1</v>
      </c>
      <c r="T99" t="s">
        <v>58</v>
      </c>
      <c r="U99" t="s">
        <v>252</v>
      </c>
      <c r="V99" s="3">
        <v>0.27</v>
      </c>
      <c r="W99" s="2">
        <v>0</v>
      </c>
      <c r="X99">
        <v>0</v>
      </c>
      <c r="Y99" t="s">
        <v>60</v>
      </c>
      <c r="Z99" t="s">
        <v>61</v>
      </c>
      <c r="AA99">
        <v>6</v>
      </c>
      <c r="AB99" s="2">
        <v>16.14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2.69</v>
      </c>
      <c r="AM99" s="2">
        <v>0</v>
      </c>
      <c r="AN99" s="2">
        <v>16.14</v>
      </c>
      <c r="AO99" s="2">
        <v>0</v>
      </c>
      <c r="AP99" s="2">
        <v>0</v>
      </c>
      <c r="AQ99" s="2">
        <v>0</v>
      </c>
    </row>
    <row r="100" spans="1:43" x14ac:dyDescent="0.3">
      <c r="A100" s="1">
        <v>46104</v>
      </c>
      <c r="B100" t="s">
        <v>48</v>
      </c>
      <c r="C100">
        <v>649163</v>
      </c>
      <c r="D100">
        <v>2034436288</v>
      </c>
      <c r="E100" t="s">
        <v>254</v>
      </c>
      <c r="F100" t="s">
        <v>255</v>
      </c>
      <c r="G100" t="s">
        <v>51</v>
      </c>
      <c r="H100" t="s">
        <v>129</v>
      </c>
      <c r="I100" t="s">
        <v>256</v>
      </c>
      <c r="J100" t="s">
        <v>257</v>
      </c>
      <c r="K100">
        <v>956422</v>
      </c>
      <c r="L100" t="s">
        <v>130</v>
      </c>
      <c r="M100" t="s">
        <v>56</v>
      </c>
      <c r="N100" t="s">
        <v>57</v>
      </c>
      <c r="O100" s="1">
        <v>46101</v>
      </c>
      <c r="Q100" s="1">
        <v>46132</v>
      </c>
      <c r="R100" s="2">
        <v>76.209999999999994</v>
      </c>
      <c r="S100">
        <v>1</v>
      </c>
      <c r="T100" t="s">
        <v>58</v>
      </c>
      <c r="U100" t="s">
        <v>59</v>
      </c>
      <c r="V100" s="3">
        <v>0.47</v>
      </c>
      <c r="W100" s="2">
        <v>0</v>
      </c>
      <c r="X100">
        <v>0</v>
      </c>
      <c r="Y100" t="s">
        <v>60</v>
      </c>
      <c r="Z100" t="s">
        <v>61</v>
      </c>
      <c r="AA100">
        <v>6</v>
      </c>
      <c r="AB100" s="2">
        <v>214.92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35.82</v>
      </c>
      <c r="AM100" s="2">
        <v>0</v>
      </c>
      <c r="AN100" s="2">
        <v>214.92</v>
      </c>
      <c r="AO100" s="2">
        <v>0</v>
      </c>
      <c r="AP100" s="2">
        <v>0</v>
      </c>
      <c r="AQ100" s="2">
        <v>0</v>
      </c>
    </row>
    <row r="101" spans="1:43" x14ac:dyDescent="0.3">
      <c r="A101" s="1">
        <v>46104</v>
      </c>
      <c r="B101" t="s">
        <v>48</v>
      </c>
      <c r="C101">
        <v>649163</v>
      </c>
      <c r="D101">
        <v>2020534057</v>
      </c>
      <c r="E101" t="s">
        <v>258</v>
      </c>
      <c r="F101" t="s">
        <v>200</v>
      </c>
      <c r="G101" t="s">
        <v>51</v>
      </c>
      <c r="H101" t="s">
        <v>52</v>
      </c>
      <c r="I101" t="s">
        <v>53</v>
      </c>
      <c r="J101" t="s">
        <v>54</v>
      </c>
      <c r="K101">
        <v>702406</v>
      </c>
      <c r="L101" t="s">
        <v>259</v>
      </c>
      <c r="M101" t="s">
        <v>173</v>
      </c>
      <c r="N101" t="s">
        <v>57</v>
      </c>
      <c r="O101" s="1">
        <v>45224</v>
      </c>
      <c r="Q101" s="1">
        <v>46137</v>
      </c>
      <c r="R101" s="2">
        <v>42.45</v>
      </c>
      <c r="S101">
        <v>1</v>
      </c>
      <c r="T101" t="s">
        <v>58</v>
      </c>
      <c r="U101" t="s">
        <v>260</v>
      </c>
      <c r="V101" s="4">
        <v>6.5000000000000002E-2</v>
      </c>
      <c r="W101" s="2">
        <v>0</v>
      </c>
      <c r="X101">
        <v>0</v>
      </c>
      <c r="Y101" t="s">
        <v>261</v>
      </c>
      <c r="Z101" t="s">
        <v>262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2.76</v>
      </c>
      <c r="AN101" s="2">
        <v>2.76</v>
      </c>
      <c r="AO101" s="2">
        <v>0</v>
      </c>
      <c r="AP101" s="2">
        <v>0</v>
      </c>
      <c r="AQ101" s="2">
        <v>0</v>
      </c>
    </row>
    <row r="102" spans="1:43" x14ac:dyDescent="0.3">
      <c r="A102" s="1">
        <v>46104</v>
      </c>
      <c r="B102" t="s">
        <v>48</v>
      </c>
      <c r="C102">
        <v>649163</v>
      </c>
      <c r="D102">
        <v>2021764695</v>
      </c>
      <c r="E102" t="s">
        <v>263</v>
      </c>
      <c r="F102" t="s">
        <v>264</v>
      </c>
      <c r="G102" t="s">
        <v>51</v>
      </c>
      <c r="H102" t="s">
        <v>52</v>
      </c>
      <c r="I102" t="s">
        <v>53</v>
      </c>
      <c r="J102" t="s">
        <v>54</v>
      </c>
      <c r="K102">
        <v>649164</v>
      </c>
      <c r="L102" t="s">
        <v>265</v>
      </c>
      <c r="M102" t="s">
        <v>266</v>
      </c>
      <c r="N102" t="s">
        <v>57</v>
      </c>
      <c r="O102" s="1">
        <v>45352</v>
      </c>
      <c r="Q102" s="1">
        <v>46113</v>
      </c>
      <c r="R102" s="2">
        <v>52.69</v>
      </c>
      <c r="S102">
        <v>1</v>
      </c>
      <c r="T102" t="s">
        <v>58</v>
      </c>
      <c r="U102" t="s">
        <v>260</v>
      </c>
      <c r="V102" s="4">
        <v>6.5000000000000002E-2</v>
      </c>
      <c r="W102" s="2">
        <v>0</v>
      </c>
      <c r="X102">
        <v>0</v>
      </c>
      <c r="Y102" t="s">
        <v>261</v>
      </c>
      <c r="Z102" t="s">
        <v>262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3.42</v>
      </c>
      <c r="AN102" s="2">
        <v>3.42</v>
      </c>
      <c r="AO102" s="2">
        <v>0</v>
      </c>
      <c r="AP102" s="2">
        <v>0</v>
      </c>
      <c r="AQ102" s="2">
        <v>0</v>
      </c>
    </row>
    <row r="103" spans="1:43" x14ac:dyDescent="0.3">
      <c r="A103" s="1">
        <v>46104</v>
      </c>
      <c r="B103" t="s">
        <v>48</v>
      </c>
      <c r="C103">
        <v>649163</v>
      </c>
      <c r="D103">
        <v>2026245239</v>
      </c>
      <c r="E103" t="s">
        <v>267</v>
      </c>
      <c r="F103" t="s">
        <v>268</v>
      </c>
      <c r="G103" t="s">
        <v>51</v>
      </c>
      <c r="H103" t="s">
        <v>52</v>
      </c>
      <c r="I103" t="s">
        <v>53</v>
      </c>
      <c r="J103" t="s">
        <v>54</v>
      </c>
      <c r="K103">
        <v>649247</v>
      </c>
      <c r="L103" t="s">
        <v>269</v>
      </c>
      <c r="M103" t="s">
        <v>270</v>
      </c>
      <c r="N103" t="s">
        <v>271</v>
      </c>
      <c r="O103" s="1">
        <v>45658</v>
      </c>
      <c r="P103" s="1">
        <v>46104</v>
      </c>
      <c r="Q103" s="1">
        <v>46113</v>
      </c>
      <c r="R103" s="2">
        <v>-42.45</v>
      </c>
      <c r="S103">
        <v>1</v>
      </c>
      <c r="T103" t="s">
        <v>58</v>
      </c>
      <c r="U103" t="s">
        <v>260</v>
      </c>
      <c r="V103" s="4">
        <v>6.5000000000000002E-2</v>
      </c>
      <c r="W103" s="2">
        <v>0</v>
      </c>
      <c r="X103">
        <v>-1</v>
      </c>
      <c r="Y103" t="s">
        <v>261</v>
      </c>
      <c r="Z103" t="s">
        <v>262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-2.76</v>
      </c>
      <c r="AN103" s="2">
        <v>-2.76</v>
      </c>
      <c r="AO103" s="2">
        <v>0</v>
      </c>
      <c r="AP103" s="2">
        <v>0</v>
      </c>
      <c r="AQ103" s="2">
        <v>0</v>
      </c>
    </row>
    <row r="104" spans="1:43" x14ac:dyDescent="0.3">
      <c r="A104" s="1">
        <v>46104</v>
      </c>
      <c r="B104" t="s">
        <v>48</v>
      </c>
      <c r="C104">
        <v>649163</v>
      </c>
      <c r="D104">
        <v>2026740151</v>
      </c>
      <c r="E104" t="s">
        <v>272</v>
      </c>
      <c r="F104" t="s">
        <v>273</v>
      </c>
      <c r="G104" t="s">
        <v>51</v>
      </c>
      <c r="H104" t="s">
        <v>52</v>
      </c>
      <c r="I104" t="s">
        <v>53</v>
      </c>
      <c r="J104" t="s">
        <v>54</v>
      </c>
      <c r="K104">
        <v>650218</v>
      </c>
      <c r="L104" t="s">
        <v>87</v>
      </c>
      <c r="M104" t="s">
        <v>88</v>
      </c>
      <c r="N104" t="s">
        <v>57</v>
      </c>
      <c r="O104" s="1">
        <v>45681</v>
      </c>
      <c r="Q104" s="1">
        <v>46136</v>
      </c>
      <c r="R104" s="2">
        <v>40.159999999999997</v>
      </c>
      <c r="S104">
        <v>1</v>
      </c>
      <c r="T104" t="s">
        <v>58</v>
      </c>
      <c r="U104" t="s">
        <v>260</v>
      </c>
      <c r="V104" s="4">
        <v>6.5000000000000002E-2</v>
      </c>
      <c r="W104" s="2">
        <v>0</v>
      </c>
      <c r="X104">
        <v>0</v>
      </c>
      <c r="Y104" t="s">
        <v>261</v>
      </c>
      <c r="Z104" t="s">
        <v>262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2.61</v>
      </c>
      <c r="AN104" s="2">
        <v>2.61</v>
      </c>
      <c r="AO104" s="2">
        <v>0</v>
      </c>
      <c r="AP104" s="2">
        <v>0</v>
      </c>
      <c r="AQ104" s="2">
        <v>0</v>
      </c>
    </row>
    <row r="105" spans="1:43" x14ac:dyDescent="0.3">
      <c r="A105" s="1">
        <v>46104</v>
      </c>
      <c r="B105" t="s">
        <v>48</v>
      </c>
      <c r="C105">
        <v>649163</v>
      </c>
      <c r="D105">
        <v>2029073662</v>
      </c>
      <c r="E105" t="s">
        <v>274</v>
      </c>
      <c r="F105" t="s">
        <v>268</v>
      </c>
      <c r="G105" t="s">
        <v>51</v>
      </c>
      <c r="H105" t="s">
        <v>100</v>
      </c>
      <c r="I105" t="s">
        <v>53</v>
      </c>
      <c r="J105" t="s">
        <v>275</v>
      </c>
      <c r="K105">
        <v>821015</v>
      </c>
      <c r="L105" t="s">
        <v>276</v>
      </c>
      <c r="M105" t="s">
        <v>277</v>
      </c>
      <c r="N105" t="s">
        <v>57</v>
      </c>
      <c r="O105" s="1">
        <v>45801</v>
      </c>
      <c r="Q105" s="1">
        <v>46136</v>
      </c>
      <c r="R105" s="2">
        <v>50.6</v>
      </c>
      <c r="S105">
        <v>1</v>
      </c>
      <c r="T105" t="s">
        <v>58</v>
      </c>
      <c r="U105" t="s">
        <v>260</v>
      </c>
      <c r="V105" s="3">
        <v>0.6</v>
      </c>
      <c r="W105" s="2">
        <v>0</v>
      </c>
      <c r="X105">
        <v>0</v>
      </c>
      <c r="Y105" t="s">
        <v>60</v>
      </c>
      <c r="Z105" t="s">
        <v>262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30.36</v>
      </c>
      <c r="AN105" s="2">
        <v>30.36</v>
      </c>
      <c r="AO105" s="2">
        <v>0</v>
      </c>
      <c r="AP105" s="2">
        <v>0</v>
      </c>
      <c r="AQ105" s="2">
        <v>0</v>
      </c>
    </row>
    <row r="106" spans="1:43" x14ac:dyDescent="0.3">
      <c r="A106" s="1">
        <v>46104</v>
      </c>
      <c r="B106" t="s">
        <v>48</v>
      </c>
      <c r="C106">
        <v>649163</v>
      </c>
      <c r="D106">
        <v>2030697181</v>
      </c>
      <c r="E106" t="s">
        <v>278</v>
      </c>
      <c r="F106" t="s">
        <v>279</v>
      </c>
      <c r="G106" t="s">
        <v>51</v>
      </c>
      <c r="H106" t="s">
        <v>52</v>
      </c>
      <c r="I106" t="s">
        <v>53</v>
      </c>
      <c r="J106" t="s">
        <v>280</v>
      </c>
      <c r="K106">
        <v>885445</v>
      </c>
      <c r="L106" t="s">
        <v>55</v>
      </c>
      <c r="M106" t="s">
        <v>56</v>
      </c>
      <c r="N106" t="s">
        <v>57</v>
      </c>
      <c r="O106" s="1">
        <v>45901</v>
      </c>
      <c r="Q106" s="1">
        <v>46113</v>
      </c>
      <c r="R106" s="2">
        <v>75.69</v>
      </c>
      <c r="S106">
        <v>1</v>
      </c>
      <c r="T106" t="s">
        <v>58</v>
      </c>
      <c r="U106" t="s">
        <v>260</v>
      </c>
      <c r="V106" s="3">
        <v>0.6</v>
      </c>
      <c r="W106" s="2">
        <v>0</v>
      </c>
      <c r="X106">
        <v>0</v>
      </c>
      <c r="Y106" t="s">
        <v>60</v>
      </c>
      <c r="Z106" t="s">
        <v>262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0.02</v>
      </c>
      <c r="AM106" s="2">
        <v>45.39</v>
      </c>
      <c r="AN106" s="2">
        <v>45.39</v>
      </c>
      <c r="AO106" s="2">
        <v>0</v>
      </c>
      <c r="AP106" s="2">
        <v>0</v>
      </c>
      <c r="AQ106" s="2">
        <v>0</v>
      </c>
    </row>
    <row r="107" spans="1:43" x14ac:dyDescent="0.3">
      <c r="A107" s="1">
        <v>46104</v>
      </c>
      <c r="B107" t="s">
        <v>48</v>
      </c>
      <c r="C107">
        <v>649163</v>
      </c>
      <c r="D107">
        <v>2032344143</v>
      </c>
      <c r="E107" t="s">
        <v>281</v>
      </c>
      <c r="F107" t="s">
        <v>173</v>
      </c>
      <c r="G107" t="s">
        <v>51</v>
      </c>
      <c r="H107" t="s">
        <v>52</v>
      </c>
      <c r="I107" t="s">
        <v>53</v>
      </c>
      <c r="J107" t="s">
        <v>54</v>
      </c>
      <c r="K107">
        <v>820140</v>
      </c>
      <c r="L107" t="s">
        <v>282</v>
      </c>
      <c r="M107" t="s">
        <v>283</v>
      </c>
      <c r="N107" t="s">
        <v>57</v>
      </c>
      <c r="O107" s="1">
        <v>45986</v>
      </c>
      <c r="Q107" s="1">
        <v>46137</v>
      </c>
      <c r="R107" s="2">
        <v>42.45</v>
      </c>
      <c r="S107">
        <v>1</v>
      </c>
      <c r="T107" t="s">
        <v>58</v>
      </c>
      <c r="U107" t="s">
        <v>59</v>
      </c>
      <c r="V107" s="3">
        <v>0.2</v>
      </c>
      <c r="W107" s="2">
        <v>0</v>
      </c>
      <c r="X107">
        <v>0</v>
      </c>
      <c r="Y107" t="s">
        <v>60</v>
      </c>
      <c r="Z107" t="s">
        <v>262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8.49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 spans="1:43" x14ac:dyDescent="0.3">
      <c r="A108" s="1">
        <v>46104</v>
      </c>
      <c r="B108" t="s">
        <v>48</v>
      </c>
      <c r="C108">
        <v>649163</v>
      </c>
      <c r="D108">
        <v>2032603317</v>
      </c>
      <c r="E108" t="s">
        <v>284</v>
      </c>
      <c r="F108" t="s">
        <v>285</v>
      </c>
      <c r="G108" t="s">
        <v>51</v>
      </c>
      <c r="H108" t="s">
        <v>52</v>
      </c>
      <c r="I108" t="s">
        <v>53</v>
      </c>
      <c r="J108" t="s">
        <v>54</v>
      </c>
      <c r="K108">
        <v>929503</v>
      </c>
      <c r="L108" t="s">
        <v>286</v>
      </c>
      <c r="M108" t="s">
        <v>287</v>
      </c>
      <c r="N108" t="s">
        <v>57</v>
      </c>
      <c r="O108" s="1">
        <v>46017</v>
      </c>
      <c r="Q108" s="1">
        <v>46138</v>
      </c>
      <c r="R108" s="2">
        <v>79.67</v>
      </c>
      <c r="S108">
        <v>1</v>
      </c>
      <c r="T108" t="s">
        <v>58</v>
      </c>
      <c r="U108" t="s">
        <v>59</v>
      </c>
      <c r="V108" s="3">
        <v>0.6</v>
      </c>
      <c r="W108" s="2">
        <v>0</v>
      </c>
      <c r="X108">
        <v>0</v>
      </c>
      <c r="Y108" t="s">
        <v>60</v>
      </c>
      <c r="Z108" t="s">
        <v>262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47.8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</row>
    <row r="109" spans="1:43" x14ac:dyDescent="0.3">
      <c r="A109" s="1">
        <v>46104</v>
      </c>
      <c r="B109" t="s">
        <v>48</v>
      </c>
      <c r="C109">
        <v>649163</v>
      </c>
      <c r="D109">
        <v>2032624527</v>
      </c>
      <c r="E109" t="s">
        <v>288</v>
      </c>
      <c r="F109" t="s">
        <v>289</v>
      </c>
      <c r="G109" t="s">
        <v>51</v>
      </c>
      <c r="H109" t="s">
        <v>52</v>
      </c>
      <c r="I109" t="s">
        <v>53</v>
      </c>
      <c r="J109" t="s">
        <v>54</v>
      </c>
      <c r="K109">
        <v>885445</v>
      </c>
      <c r="L109" t="s">
        <v>55</v>
      </c>
      <c r="M109" t="s">
        <v>56</v>
      </c>
      <c r="N109" t="s">
        <v>57</v>
      </c>
      <c r="O109" s="1">
        <v>46016</v>
      </c>
      <c r="Q109" s="1">
        <v>46137</v>
      </c>
      <c r="R109" s="2">
        <v>79.67</v>
      </c>
      <c r="S109">
        <v>1</v>
      </c>
      <c r="T109" t="s">
        <v>58</v>
      </c>
      <c r="U109" t="s">
        <v>59</v>
      </c>
      <c r="V109" s="3">
        <v>0.6</v>
      </c>
      <c r="W109" s="2">
        <v>0</v>
      </c>
      <c r="X109">
        <v>0</v>
      </c>
      <c r="Y109" t="s">
        <v>60</v>
      </c>
      <c r="Z109" t="s">
        <v>262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47.8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 spans="1:43" x14ac:dyDescent="0.3">
      <c r="A110" s="1">
        <v>46104</v>
      </c>
      <c r="B110" t="s">
        <v>48</v>
      </c>
      <c r="C110">
        <v>649163</v>
      </c>
      <c r="D110">
        <v>2032795212</v>
      </c>
      <c r="E110" t="s">
        <v>290</v>
      </c>
      <c r="F110" t="s">
        <v>234</v>
      </c>
      <c r="G110" t="s">
        <v>51</v>
      </c>
      <c r="H110" t="s">
        <v>52</v>
      </c>
      <c r="I110" t="s">
        <v>53</v>
      </c>
      <c r="J110" t="s">
        <v>54</v>
      </c>
      <c r="K110">
        <v>885445</v>
      </c>
      <c r="L110" t="s">
        <v>55</v>
      </c>
      <c r="M110" t="s">
        <v>56</v>
      </c>
      <c r="N110" t="s">
        <v>57</v>
      </c>
      <c r="O110" s="1">
        <v>46016</v>
      </c>
      <c r="Q110" s="1">
        <v>46137</v>
      </c>
      <c r="R110" s="2">
        <v>82.53</v>
      </c>
      <c r="S110">
        <v>1</v>
      </c>
      <c r="T110" t="s">
        <v>58</v>
      </c>
      <c r="U110" t="s">
        <v>59</v>
      </c>
      <c r="V110" s="3">
        <v>0.6</v>
      </c>
      <c r="W110" s="2">
        <v>0</v>
      </c>
      <c r="X110">
        <v>0</v>
      </c>
      <c r="Y110" t="s">
        <v>60</v>
      </c>
      <c r="Z110" t="s">
        <v>262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49.52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</row>
    <row r="111" spans="1:43" x14ac:dyDescent="0.3">
      <c r="A111" s="1">
        <v>46104</v>
      </c>
      <c r="B111" t="s">
        <v>48</v>
      </c>
      <c r="C111">
        <v>649163</v>
      </c>
      <c r="D111">
        <v>2033835426</v>
      </c>
      <c r="E111" t="s">
        <v>173</v>
      </c>
      <c r="F111" t="s">
        <v>291</v>
      </c>
      <c r="G111" t="s">
        <v>51</v>
      </c>
      <c r="H111" t="s">
        <v>100</v>
      </c>
      <c r="I111" t="s">
        <v>53</v>
      </c>
      <c r="J111" t="s">
        <v>54</v>
      </c>
      <c r="K111">
        <v>751867</v>
      </c>
      <c r="L111" t="s">
        <v>292</v>
      </c>
      <c r="M111" t="s">
        <v>293</v>
      </c>
      <c r="N111" t="s">
        <v>57</v>
      </c>
      <c r="O111" s="1">
        <v>46077</v>
      </c>
      <c r="Q111" s="1">
        <v>46136</v>
      </c>
      <c r="R111" s="2">
        <v>56.69</v>
      </c>
      <c r="S111">
        <v>1</v>
      </c>
      <c r="T111" t="s">
        <v>58</v>
      </c>
      <c r="U111" t="s">
        <v>59</v>
      </c>
      <c r="V111" s="3">
        <v>0.6</v>
      </c>
      <c r="W111" s="2">
        <v>0</v>
      </c>
      <c r="X111">
        <v>0</v>
      </c>
      <c r="Y111" t="s">
        <v>60</v>
      </c>
      <c r="Z111" t="s">
        <v>262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34.01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</row>
    <row r="112" spans="1:43" x14ac:dyDescent="0.3">
      <c r="A112" s="1">
        <v>46104</v>
      </c>
      <c r="B112" t="s">
        <v>48</v>
      </c>
      <c r="C112">
        <v>649163</v>
      </c>
      <c r="D112">
        <v>2016328594</v>
      </c>
      <c r="E112" t="s">
        <v>294</v>
      </c>
      <c r="F112" t="s">
        <v>295</v>
      </c>
      <c r="G112" t="s">
        <v>51</v>
      </c>
      <c r="H112" t="s">
        <v>205</v>
      </c>
      <c r="I112" t="s">
        <v>65</v>
      </c>
      <c r="J112" t="s">
        <v>71</v>
      </c>
      <c r="K112">
        <v>651818</v>
      </c>
      <c r="L112" t="s">
        <v>96</v>
      </c>
      <c r="M112" t="s">
        <v>97</v>
      </c>
      <c r="N112" t="s">
        <v>57</v>
      </c>
      <c r="O112" s="1">
        <v>44829</v>
      </c>
      <c r="Q112" s="1">
        <v>46137</v>
      </c>
      <c r="R112" s="2">
        <v>85.84</v>
      </c>
      <c r="S112">
        <v>1</v>
      </c>
      <c r="T112" t="s">
        <v>58</v>
      </c>
      <c r="U112" t="s">
        <v>260</v>
      </c>
      <c r="V112" s="3">
        <v>0.1</v>
      </c>
      <c r="W112" s="2">
        <v>0</v>
      </c>
      <c r="X112">
        <v>0</v>
      </c>
      <c r="Y112" t="s">
        <v>261</v>
      </c>
      <c r="Z112" t="s">
        <v>262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8.58</v>
      </c>
      <c r="AN112" s="2">
        <v>8.58</v>
      </c>
      <c r="AO112" s="2">
        <v>0</v>
      </c>
      <c r="AP112" s="2">
        <v>0</v>
      </c>
      <c r="AQ112" s="2">
        <v>0</v>
      </c>
    </row>
    <row r="113" spans="1:43" x14ac:dyDescent="0.3">
      <c r="A113" s="1">
        <v>46104</v>
      </c>
      <c r="B113" t="s">
        <v>48</v>
      </c>
      <c r="C113">
        <v>649163</v>
      </c>
      <c r="D113">
        <v>2022762069</v>
      </c>
      <c r="E113" t="s">
        <v>296</v>
      </c>
      <c r="F113" t="s">
        <v>297</v>
      </c>
      <c r="G113" t="s">
        <v>51</v>
      </c>
      <c r="H113" t="s">
        <v>100</v>
      </c>
      <c r="I113" t="s">
        <v>65</v>
      </c>
      <c r="J113" t="s">
        <v>71</v>
      </c>
      <c r="K113">
        <v>651818</v>
      </c>
      <c r="L113" t="s">
        <v>96</v>
      </c>
      <c r="M113" t="s">
        <v>97</v>
      </c>
      <c r="N113" t="s">
        <v>57</v>
      </c>
      <c r="O113" s="1">
        <v>45407</v>
      </c>
      <c r="Q113" s="1">
        <v>46137</v>
      </c>
      <c r="R113" s="2">
        <v>178.58</v>
      </c>
      <c r="S113">
        <v>1</v>
      </c>
      <c r="T113" t="s">
        <v>58</v>
      </c>
      <c r="U113" t="s">
        <v>260</v>
      </c>
      <c r="V113" s="3">
        <v>0.1</v>
      </c>
      <c r="W113" s="2">
        <v>0</v>
      </c>
      <c r="X113">
        <v>0</v>
      </c>
      <c r="Y113" t="s">
        <v>261</v>
      </c>
      <c r="Z113" t="s">
        <v>262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17.86</v>
      </c>
      <c r="AN113" s="2">
        <v>17.86</v>
      </c>
      <c r="AO113" s="2">
        <v>0</v>
      </c>
      <c r="AP113" s="2">
        <v>0</v>
      </c>
      <c r="AQ113" s="2">
        <v>0</v>
      </c>
    </row>
    <row r="114" spans="1:43" x14ac:dyDescent="0.3">
      <c r="A114" s="1">
        <v>46104</v>
      </c>
      <c r="B114" t="s">
        <v>48</v>
      </c>
      <c r="C114">
        <v>649163</v>
      </c>
      <c r="D114">
        <v>2025233514</v>
      </c>
      <c r="E114" t="s">
        <v>298</v>
      </c>
      <c r="F114" t="s">
        <v>299</v>
      </c>
      <c r="G114" t="s">
        <v>51</v>
      </c>
      <c r="H114" t="s">
        <v>300</v>
      </c>
      <c r="I114" t="s">
        <v>65</v>
      </c>
      <c r="J114" t="s">
        <v>71</v>
      </c>
      <c r="K114">
        <v>767312</v>
      </c>
      <c r="L114" t="s">
        <v>185</v>
      </c>
      <c r="M114" t="s">
        <v>186</v>
      </c>
      <c r="N114" t="s">
        <v>271</v>
      </c>
      <c r="O114" s="1">
        <v>45586</v>
      </c>
      <c r="P114" s="1">
        <v>46104</v>
      </c>
      <c r="Q114" s="1">
        <v>46133</v>
      </c>
      <c r="R114" s="2">
        <v>14.94</v>
      </c>
      <c r="S114">
        <v>1</v>
      </c>
      <c r="T114" t="s">
        <v>58</v>
      </c>
      <c r="U114" t="s">
        <v>260</v>
      </c>
      <c r="V114" s="3">
        <v>0.1</v>
      </c>
      <c r="W114" s="2">
        <v>0</v>
      </c>
      <c r="X114">
        <v>0</v>
      </c>
      <c r="Y114" t="s">
        <v>261</v>
      </c>
      <c r="Z114" t="s">
        <v>262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1.49</v>
      </c>
      <c r="AN114" s="2">
        <v>1.49</v>
      </c>
      <c r="AO114" s="2">
        <v>0</v>
      </c>
      <c r="AP114" s="2">
        <v>0</v>
      </c>
      <c r="AQ114" s="2">
        <v>0</v>
      </c>
    </row>
    <row r="115" spans="1:43" x14ac:dyDescent="0.3">
      <c r="A115" s="1">
        <v>46104</v>
      </c>
      <c r="B115" t="s">
        <v>48</v>
      </c>
      <c r="C115">
        <v>649163</v>
      </c>
      <c r="D115">
        <v>2025693148</v>
      </c>
      <c r="E115" t="s">
        <v>238</v>
      </c>
      <c r="F115" t="s">
        <v>301</v>
      </c>
      <c r="G115" t="s">
        <v>51</v>
      </c>
      <c r="H115" t="s">
        <v>302</v>
      </c>
      <c r="I115" t="s">
        <v>65</v>
      </c>
      <c r="J115" t="s">
        <v>71</v>
      </c>
      <c r="K115">
        <v>651818</v>
      </c>
      <c r="L115" t="s">
        <v>96</v>
      </c>
      <c r="M115" t="s">
        <v>97</v>
      </c>
      <c r="N115" t="s">
        <v>57</v>
      </c>
      <c r="O115" s="1">
        <v>45648</v>
      </c>
      <c r="Q115" s="1">
        <v>46134</v>
      </c>
      <c r="R115" s="2">
        <v>226.81</v>
      </c>
      <c r="S115">
        <v>1</v>
      </c>
      <c r="T115" t="s">
        <v>58</v>
      </c>
      <c r="U115" t="s">
        <v>260</v>
      </c>
      <c r="V115" s="3">
        <v>0.1</v>
      </c>
      <c r="W115" s="2">
        <v>0</v>
      </c>
      <c r="X115">
        <v>0</v>
      </c>
      <c r="Y115" t="s">
        <v>261</v>
      </c>
      <c r="Z115" t="s">
        <v>262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22.68</v>
      </c>
      <c r="AN115" s="2">
        <v>22.68</v>
      </c>
      <c r="AO115" s="2">
        <v>0</v>
      </c>
      <c r="AP115" s="2">
        <v>0</v>
      </c>
      <c r="AQ115" s="2">
        <v>0</v>
      </c>
    </row>
    <row r="116" spans="1:43" x14ac:dyDescent="0.3">
      <c r="A116" s="1">
        <v>46104</v>
      </c>
      <c r="B116" t="s">
        <v>48</v>
      </c>
      <c r="C116">
        <v>649163</v>
      </c>
      <c r="D116">
        <v>2025816907</v>
      </c>
      <c r="E116" t="s">
        <v>303</v>
      </c>
      <c r="F116" t="s">
        <v>304</v>
      </c>
      <c r="G116" t="s">
        <v>51</v>
      </c>
      <c r="H116" t="s">
        <v>139</v>
      </c>
      <c r="I116" t="s">
        <v>65</v>
      </c>
      <c r="J116" t="s">
        <v>81</v>
      </c>
      <c r="K116">
        <v>651818</v>
      </c>
      <c r="L116" t="s">
        <v>96</v>
      </c>
      <c r="M116" t="s">
        <v>97</v>
      </c>
      <c r="N116" t="s">
        <v>57</v>
      </c>
      <c r="O116" s="1">
        <v>45648</v>
      </c>
      <c r="Q116" s="1">
        <v>46134</v>
      </c>
      <c r="R116" s="2">
        <v>116.52</v>
      </c>
      <c r="S116">
        <v>1</v>
      </c>
      <c r="T116" t="s">
        <v>58</v>
      </c>
      <c r="U116" t="s">
        <v>260</v>
      </c>
      <c r="V116" s="3">
        <v>0.1</v>
      </c>
      <c r="W116" s="2">
        <v>0</v>
      </c>
      <c r="X116">
        <v>0</v>
      </c>
      <c r="Y116" t="s">
        <v>261</v>
      </c>
      <c r="Z116" t="s">
        <v>262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11.65</v>
      </c>
      <c r="AN116" s="2">
        <v>11.65</v>
      </c>
      <c r="AO116" s="2">
        <v>0</v>
      </c>
      <c r="AP116" s="2">
        <v>0</v>
      </c>
      <c r="AQ116" s="2">
        <v>0</v>
      </c>
    </row>
    <row r="117" spans="1:43" x14ac:dyDescent="0.3">
      <c r="A117" s="1">
        <v>46104</v>
      </c>
      <c r="B117" t="s">
        <v>48</v>
      </c>
      <c r="C117">
        <v>649163</v>
      </c>
      <c r="D117">
        <v>2026190010</v>
      </c>
      <c r="E117" t="s">
        <v>305</v>
      </c>
      <c r="F117" t="s">
        <v>306</v>
      </c>
      <c r="G117" t="s">
        <v>51</v>
      </c>
      <c r="H117" t="s">
        <v>64</v>
      </c>
      <c r="I117" t="s">
        <v>65</v>
      </c>
      <c r="J117" t="s">
        <v>81</v>
      </c>
      <c r="K117">
        <v>792847</v>
      </c>
      <c r="L117" t="s">
        <v>307</v>
      </c>
      <c r="M117" t="s">
        <v>308</v>
      </c>
      <c r="N117" t="s">
        <v>57</v>
      </c>
      <c r="O117" s="1">
        <v>45647</v>
      </c>
      <c r="Q117" s="1">
        <v>46133</v>
      </c>
      <c r="R117" s="2">
        <v>51.73</v>
      </c>
      <c r="S117">
        <v>1</v>
      </c>
      <c r="T117" t="s">
        <v>58</v>
      </c>
      <c r="U117" t="s">
        <v>260</v>
      </c>
      <c r="V117" s="3">
        <v>0.1</v>
      </c>
      <c r="W117" s="2">
        <v>0</v>
      </c>
      <c r="X117">
        <v>0</v>
      </c>
      <c r="Y117" t="s">
        <v>261</v>
      </c>
      <c r="Z117" t="s">
        <v>262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5.17</v>
      </c>
      <c r="AN117" s="2">
        <v>5.17</v>
      </c>
      <c r="AO117" s="2">
        <v>0</v>
      </c>
      <c r="AP117" s="2">
        <v>0</v>
      </c>
      <c r="AQ117" s="2">
        <v>0</v>
      </c>
    </row>
    <row r="118" spans="1:43" x14ac:dyDescent="0.3">
      <c r="A118" s="1">
        <v>46104</v>
      </c>
      <c r="B118" t="s">
        <v>48</v>
      </c>
      <c r="C118">
        <v>649163</v>
      </c>
      <c r="D118">
        <v>2026262566</v>
      </c>
      <c r="E118" t="s">
        <v>309</v>
      </c>
      <c r="F118" t="s">
        <v>310</v>
      </c>
      <c r="G118" t="s">
        <v>51</v>
      </c>
      <c r="H118" t="s">
        <v>112</v>
      </c>
      <c r="I118" t="s">
        <v>65</v>
      </c>
      <c r="J118" t="s">
        <v>71</v>
      </c>
      <c r="K118">
        <v>816021</v>
      </c>
      <c r="L118" t="s">
        <v>311</v>
      </c>
      <c r="M118" t="s">
        <v>312</v>
      </c>
      <c r="N118" t="s">
        <v>57</v>
      </c>
      <c r="O118" s="1">
        <v>45647</v>
      </c>
      <c r="Q118" s="1">
        <v>46133</v>
      </c>
      <c r="R118" s="2">
        <v>31.71</v>
      </c>
      <c r="S118">
        <v>1</v>
      </c>
      <c r="T118" t="s">
        <v>58</v>
      </c>
      <c r="U118" t="s">
        <v>260</v>
      </c>
      <c r="V118" s="3">
        <v>0.1</v>
      </c>
      <c r="W118" s="2">
        <v>0</v>
      </c>
      <c r="X118">
        <v>0</v>
      </c>
      <c r="Y118" t="s">
        <v>261</v>
      </c>
      <c r="Z118" t="s">
        <v>262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3.17</v>
      </c>
      <c r="AN118" s="2">
        <v>3.17</v>
      </c>
      <c r="AO118" s="2">
        <v>0</v>
      </c>
      <c r="AP118" s="2">
        <v>0</v>
      </c>
      <c r="AQ118" s="2">
        <v>0</v>
      </c>
    </row>
    <row r="119" spans="1:43" x14ac:dyDescent="0.3">
      <c r="A119" s="1">
        <v>46104</v>
      </c>
      <c r="B119" t="s">
        <v>48</v>
      </c>
      <c r="C119">
        <v>649163</v>
      </c>
      <c r="D119">
        <v>2026783376</v>
      </c>
      <c r="E119" t="s">
        <v>313</v>
      </c>
      <c r="F119" t="s">
        <v>314</v>
      </c>
      <c r="G119" t="s">
        <v>51</v>
      </c>
      <c r="H119" t="s">
        <v>86</v>
      </c>
      <c r="I119" t="s">
        <v>65</v>
      </c>
      <c r="J119" t="s">
        <v>315</v>
      </c>
      <c r="K119">
        <v>673059</v>
      </c>
      <c r="L119" t="s">
        <v>76</v>
      </c>
      <c r="M119" t="s">
        <v>77</v>
      </c>
      <c r="N119" t="s">
        <v>57</v>
      </c>
      <c r="O119" s="1">
        <v>45709</v>
      </c>
      <c r="Q119" s="1">
        <v>46133</v>
      </c>
      <c r="R119" s="2">
        <v>66.489999999999995</v>
      </c>
      <c r="S119">
        <v>1</v>
      </c>
      <c r="T119" t="s">
        <v>58</v>
      </c>
      <c r="U119" t="s">
        <v>260</v>
      </c>
      <c r="V119" s="3">
        <v>0.1</v>
      </c>
      <c r="W119" s="2">
        <v>0</v>
      </c>
      <c r="X119">
        <v>0</v>
      </c>
      <c r="Y119" t="s">
        <v>261</v>
      </c>
      <c r="Z119" t="s">
        <v>262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6.65</v>
      </c>
      <c r="AN119" s="2">
        <v>6.65</v>
      </c>
      <c r="AO119" s="2">
        <v>0</v>
      </c>
      <c r="AP119" s="2">
        <v>0</v>
      </c>
      <c r="AQ119" s="2">
        <v>0</v>
      </c>
    </row>
    <row r="120" spans="1:43" x14ac:dyDescent="0.3">
      <c r="A120" s="1">
        <v>46104</v>
      </c>
      <c r="B120" t="s">
        <v>48</v>
      </c>
      <c r="C120">
        <v>649163</v>
      </c>
      <c r="D120">
        <v>2027258066</v>
      </c>
      <c r="E120" t="s">
        <v>167</v>
      </c>
      <c r="F120" t="s">
        <v>316</v>
      </c>
      <c r="G120" t="s">
        <v>51</v>
      </c>
      <c r="H120" t="s">
        <v>86</v>
      </c>
      <c r="I120" t="s">
        <v>65</v>
      </c>
      <c r="J120" t="s">
        <v>315</v>
      </c>
      <c r="K120">
        <v>673059</v>
      </c>
      <c r="L120" t="s">
        <v>76</v>
      </c>
      <c r="M120" t="s">
        <v>77</v>
      </c>
      <c r="N120" t="s">
        <v>57</v>
      </c>
      <c r="O120" s="1">
        <v>45710</v>
      </c>
      <c r="Q120" s="1">
        <v>46134</v>
      </c>
      <c r="R120" s="2">
        <v>78.239999999999995</v>
      </c>
      <c r="S120">
        <v>1</v>
      </c>
      <c r="T120" t="s">
        <v>58</v>
      </c>
      <c r="U120" t="s">
        <v>260</v>
      </c>
      <c r="V120" s="3">
        <v>0.1</v>
      </c>
      <c r="W120" s="2">
        <v>0</v>
      </c>
      <c r="X120">
        <v>0</v>
      </c>
      <c r="Y120" t="s">
        <v>261</v>
      </c>
      <c r="Z120" t="s">
        <v>262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7.82</v>
      </c>
      <c r="AN120" s="2">
        <v>7.82</v>
      </c>
      <c r="AO120" s="2">
        <v>0</v>
      </c>
      <c r="AP120" s="2">
        <v>0</v>
      </c>
      <c r="AQ120" s="2">
        <v>0</v>
      </c>
    </row>
    <row r="121" spans="1:43" x14ac:dyDescent="0.3">
      <c r="A121" s="1">
        <v>46104</v>
      </c>
      <c r="B121" t="s">
        <v>48</v>
      </c>
      <c r="C121">
        <v>649163</v>
      </c>
      <c r="D121">
        <v>2027913474</v>
      </c>
      <c r="E121" t="s">
        <v>317</v>
      </c>
      <c r="F121" t="s">
        <v>318</v>
      </c>
      <c r="G121" t="s">
        <v>51</v>
      </c>
      <c r="H121" t="s">
        <v>112</v>
      </c>
      <c r="I121" t="s">
        <v>65</v>
      </c>
      <c r="J121" t="s">
        <v>71</v>
      </c>
      <c r="K121">
        <v>816021</v>
      </c>
      <c r="L121" t="s">
        <v>311</v>
      </c>
      <c r="M121" t="s">
        <v>312</v>
      </c>
      <c r="N121" t="s">
        <v>57</v>
      </c>
      <c r="O121" s="1">
        <v>45738</v>
      </c>
      <c r="Q121" s="1">
        <v>46134</v>
      </c>
      <c r="R121" s="2">
        <v>111.54</v>
      </c>
      <c r="S121">
        <v>1</v>
      </c>
      <c r="T121" t="s">
        <v>58</v>
      </c>
      <c r="U121" t="s">
        <v>260</v>
      </c>
      <c r="V121" s="3">
        <v>0.1</v>
      </c>
      <c r="W121" s="2">
        <v>0</v>
      </c>
      <c r="X121">
        <v>0</v>
      </c>
      <c r="Y121" t="s">
        <v>261</v>
      </c>
      <c r="Z121" t="s">
        <v>262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11.15</v>
      </c>
      <c r="AN121" s="2">
        <v>11.15</v>
      </c>
      <c r="AO121" s="2">
        <v>0</v>
      </c>
      <c r="AP121" s="2">
        <v>0</v>
      </c>
      <c r="AQ121" s="2">
        <v>0</v>
      </c>
    </row>
    <row r="122" spans="1:43" x14ac:dyDescent="0.3">
      <c r="A122" s="1">
        <v>46104</v>
      </c>
      <c r="B122" t="s">
        <v>48</v>
      </c>
      <c r="C122">
        <v>649163</v>
      </c>
      <c r="D122">
        <v>2027996022</v>
      </c>
      <c r="E122" t="s">
        <v>186</v>
      </c>
      <c r="F122" t="s">
        <v>319</v>
      </c>
      <c r="G122" t="s">
        <v>51</v>
      </c>
      <c r="H122" t="s">
        <v>86</v>
      </c>
      <c r="I122" t="s">
        <v>65</v>
      </c>
      <c r="J122" t="s">
        <v>315</v>
      </c>
      <c r="K122">
        <v>821015</v>
      </c>
      <c r="L122" t="s">
        <v>276</v>
      </c>
      <c r="M122" t="s">
        <v>277</v>
      </c>
      <c r="N122" t="s">
        <v>57</v>
      </c>
      <c r="O122" s="1">
        <v>45743</v>
      </c>
      <c r="Q122" s="1">
        <v>46139</v>
      </c>
      <c r="R122" s="2">
        <v>16.29</v>
      </c>
      <c r="S122">
        <v>1</v>
      </c>
      <c r="T122" t="s">
        <v>58</v>
      </c>
      <c r="U122" t="s">
        <v>260</v>
      </c>
      <c r="V122" s="3">
        <v>0.1</v>
      </c>
      <c r="W122" s="2">
        <v>0</v>
      </c>
      <c r="X122">
        <v>0</v>
      </c>
      <c r="Y122" t="s">
        <v>261</v>
      </c>
      <c r="Z122" t="s">
        <v>262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1.63</v>
      </c>
      <c r="AN122" s="2">
        <v>1.63</v>
      </c>
      <c r="AO122" s="2">
        <v>0</v>
      </c>
      <c r="AP122" s="2">
        <v>0</v>
      </c>
      <c r="AQ122" s="2">
        <v>0</v>
      </c>
    </row>
    <row r="123" spans="1:43" x14ac:dyDescent="0.3">
      <c r="A123" s="1">
        <v>46104</v>
      </c>
      <c r="B123" t="s">
        <v>48</v>
      </c>
      <c r="C123">
        <v>649163</v>
      </c>
      <c r="D123">
        <v>2028004036</v>
      </c>
      <c r="E123" t="s">
        <v>320</v>
      </c>
      <c r="F123" t="s">
        <v>321</v>
      </c>
      <c r="G123" t="s">
        <v>51</v>
      </c>
      <c r="H123" t="s">
        <v>112</v>
      </c>
      <c r="I123" t="s">
        <v>65</v>
      </c>
      <c r="J123" t="s">
        <v>315</v>
      </c>
      <c r="K123">
        <v>816021</v>
      </c>
      <c r="L123" t="s">
        <v>311</v>
      </c>
      <c r="M123" t="s">
        <v>312</v>
      </c>
      <c r="N123" t="s">
        <v>57</v>
      </c>
      <c r="O123" s="1">
        <v>45741</v>
      </c>
      <c r="Q123" s="1">
        <v>46137</v>
      </c>
      <c r="R123" s="2">
        <v>21.96</v>
      </c>
      <c r="S123">
        <v>1</v>
      </c>
      <c r="T123" t="s">
        <v>58</v>
      </c>
      <c r="U123" t="s">
        <v>260</v>
      </c>
      <c r="V123" s="3">
        <v>0.1</v>
      </c>
      <c r="W123" s="2">
        <v>0</v>
      </c>
      <c r="X123">
        <v>0</v>
      </c>
      <c r="Y123" t="s">
        <v>261</v>
      </c>
      <c r="Z123" t="s">
        <v>262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2.2000000000000002</v>
      </c>
      <c r="AN123" s="2">
        <v>2.2000000000000002</v>
      </c>
      <c r="AO123" s="2">
        <v>0</v>
      </c>
      <c r="AP123" s="2">
        <v>0</v>
      </c>
      <c r="AQ123" s="2">
        <v>0</v>
      </c>
    </row>
    <row r="124" spans="1:43" x14ac:dyDescent="0.3">
      <c r="A124" s="1">
        <v>46104</v>
      </c>
      <c r="B124" t="s">
        <v>48</v>
      </c>
      <c r="C124">
        <v>649163</v>
      </c>
      <c r="D124">
        <v>2028498800</v>
      </c>
      <c r="E124" t="s">
        <v>322</v>
      </c>
      <c r="F124" t="s">
        <v>323</v>
      </c>
      <c r="G124" t="s">
        <v>51</v>
      </c>
      <c r="H124" t="s">
        <v>324</v>
      </c>
      <c r="I124" t="s">
        <v>65</v>
      </c>
      <c r="J124" t="s">
        <v>81</v>
      </c>
      <c r="K124">
        <v>823350</v>
      </c>
      <c r="L124" t="s">
        <v>67</v>
      </c>
      <c r="M124" t="s">
        <v>68</v>
      </c>
      <c r="N124" t="s">
        <v>57</v>
      </c>
      <c r="O124" s="1">
        <v>45772</v>
      </c>
      <c r="Q124" s="1">
        <v>46137</v>
      </c>
      <c r="R124" s="2">
        <v>28.95</v>
      </c>
      <c r="S124">
        <v>1</v>
      </c>
      <c r="T124" t="s">
        <v>58</v>
      </c>
      <c r="U124" t="s">
        <v>260</v>
      </c>
      <c r="V124" s="3">
        <v>0.75</v>
      </c>
      <c r="W124" s="2">
        <v>0</v>
      </c>
      <c r="X124">
        <v>0</v>
      </c>
      <c r="Y124" t="s">
        <v>60</v>
      </c>
      <c r="Z124" t="s">
        <v>262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21.71</v>
      </c>
      <c r="AN124" s="2">
        <v>21.71</v>
      </c>
      <c r="AO124" s="2">
        <v>0</v>
      </c>
      <c r="AP124" s="2">
        <v>0</v>
      </c>
      <c r="AQ124" s="2">
        <v>0</v>
      </c>
    </row>
    <row r="125" spans="1:43" x14ac:dyDescent="0.3">
      <c r="A125" s="1">
        <v>46104</v>
      </c>
      <c r="B125" t="s">
        <v>48</v>
      </c>
      <c r="C125">
        <v>649163</v>
      </c>
      <c r="D125">
        <v>2028859180</v>
      </c>
      <c r="E125" t="s">
        <v>325</v>
      </c>
      <c r="F125" t="s">
        <v>326</v>
      </c>
      <c r="G125" t="s">
        <v>51</v>
      </c>
      <c r="H125" t="s">
        <v>302</v>
      </c>
      <c r="I125" t="s">
        <v>65</v>
      </c>
      <c r="J125" t="s">
        <v>71</v>
      </c>
      <c r="K125">
        <v>651818</v>
      </c>
      <c r="L125" t="s">
        <v>96</v>
      </c>
      <c r="M125" t="s">
        <v>97</v>
      </c>
      <c r="N125" t="s">
        <v>271</v>
      </c>
      <c r="O125" s="1">
        <v>45815</v>
      </c>
      <c r="P125" s="1">
        <v>46104</v>
      </c>
      <c r="Q125" s="1">
        <v>46119</v>
      </c>
      <c r="R125" s="2">
        <v>-37.21</v>
      </c>
      <c r="S125">
        <v>1</v>
      </c>
      <c r="T125" t="s">
        <v>58</v>
      </c>
      <c r="U125" t="s">
        <v>260</v>
      </c>
      <c r="V125" s="3">
        <v>0.9</v>
      </c>
      <c r="W125" s="2">
        <v>0</v>
      </c>
      <c r="X125">
        <v>-1</v>
      </c>
      <c r="Y125" t="s">
        <v>60</v>
      </c>
      <c r="Z125" t="s">
        <v>262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-33.49</v>
      </c>
      <c r="AN125" s="2">
        <v>-33.49</v>
      </c>
      <c r="AO125" s="2">
        <v>0</v>
      </c>
      <c r="AP125" s="2">
        <v>0</v>
      </c>
      <c r="AQ125" s="2">
        <v>0</v>
      </c>
    </row>
    <row r="126" spans="1:43" x14ac:dyDescent="0.3">
      <c r="A126" s="1">
        <v>46104</v>
      </c>
      <c r="B126" t="s">
        <v>48</v>
      </c>
      <c r="C126">
        <v>649163</v>
      </c>
      <c r="D126">
        <v>2029038485</v>
      </c>
      <c r="E126" t="s">
        <v>327</v>
      </c>
      <c r="F126" t="s">
        <v>328</v>
      </c>
      <c r="G126" t="s">
        <v>51</v>
      </c>
      <c r="H126" t="s">
        <v>191</v>
      </c>
      <c r="I126" t="s">
        <v>65</v>
      </c>
      <c r="J126" t="s">
        <v>66</v>
      </c>
      <c r="K126">
        <v>673059</v>
      </c>
      <c r="L126" t="s">
        <v>76</v>
      </c>
      <c r="M126" t="s">
        <v>77</v>
      </c>
      <c r="N126" t="s">
        <v>57</v>
      </c>
      <c r="O126" s="1">
        <v>45798</v>
      </c>
      <c r="Q126" s="1">
        <v>46133</v>
      </c>
      <c r="R126" s="2">
        <v>50.74</v>
      </c>
      <c r="S126">
        <v>1</v>
      </c>
      <c r="T126" t="s">
        <v>58</v>
      </c>
      <c r="U126" t="s">
        <v>260</v>
      </c>
      <c r="V126" s="3">
        <v>0.75</v>
      </c>
      <c r="W126" s="2">
        <v>0</v>
      </c>
      <c r="X126">
        <v>0</v>
      </c>
      <c r="Y126" t="s">
        <v>60</v>
      </c>
      <c r="Z126" t="s">
        <v>262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38.06</v>
      </c>
      <c r="AN126" s="2">
        <v>38.06</v>
      </c>
      <c r="AO126" s="2">
        <v>0</v>
      </c>
      <c r="AP126" s="2">
        <v>0</v>
      </c>
      <c r="AQ126" s="2">
        <v>0</v>
      </c>
    </row>
    <row r="127" spans="1:43" x14ac:dyDescent="0.3">
      <c r="A127" s="1">
        <v>46104</v>
      </c>
      <c r="B127" t="s">
        <v>48</v>
      </c>
      <c r="C127">
        <v>649163</v>
      </c>
      <c r="D127">
        <v>2029101372</v>
      </c>
      <c r="E127" t="s">
        <v>329</v>
      </c>
      <c r="F127" t="s">
        <v>330</v>
      </c>
      <c r="G127" t="s">
        <v>51</v>
      </c>
      <c r="H127" t="s">
        <v>86</v>
      </c>
      <c r="I127" t="s">
        <v>65</v>
      </c>
      <c r="J127" t="s">
        <v>315</v>
      </c>
      <c r="K127">
        <v>767312</v>
      </c>
      <c r="L127" t="s">
        <v>185</v>
      </c>
      <c r="M127" t="s">
        <v>186</v>
      </c>
      <c r="N127" t="s">
        <v>57</v>
      </c>
      <c r="O127" s="1">
        <v>45801</v>
      </c>
      <c r="Q127" s="1">
        <v>46136</v>
      </c>
      <c r="R127" s="2">
        <v>53.79</v>
      </c>
      <c r="S127">
        <v>1</v>
      </c>
      <c r="T127" t="s">
        <v>58</v>
      </c>
      <c r="U127" t="s">
        <v>260</v>
      </c>
      <c r="V127" s="3">
        <v>0.65</v>
      </c>
      <c r="W127" s="2">
        <v>0</v>
      </c>
      <c r="X127">
        <v>0</v>
      </c>
      <c r="Y127" t="s">
        <v>60</v>
      </c>
      <c r="Z127" t="s">
        <v>262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34.96</v>
      </c>
      <c r="AN127" s="2">
        <v>34.96</v>
      </c>
      <c r="AO127" s="2">
        <v>0</v>
      </c>
      <c r="AP127" s="2">
        <v>0</v>
      </c>
      <c r="AQ127" s="2">
        <v>0</v>
      </c>
    </row>
    <row r="128" spans="1:43" x14ac:dyDescent="0.3">
      <c r="A128" s="1">
        <v>46104</v>
      </c>
      <c r="B128" t="s">
        <v>48</v>
      </c>
      <c r="C128">
        <v>649163</v>
      </c>
      <c r="D128">
        <v>2029285746</v>
      </c>
      <c r="E128" t="s">
        <v>331</v>
      </c>
      <c r="F128" t="s">
        <v>219</v>
      </c>
      <c r="G128" t="s">
        <v>51</v>
      </c>
      <c r="H128" t="s">
        <v>332</v>
      </c>
      <c r="I128" t="s">
        <v>65</v>
      </c>
      <c r="J128" t="s">
        <v>81</v>
      </c>
      <c r="K128">
        <v>673059</v>
      </c>
      <c r="L128" t="s">
        <v>76</v>
      </c>
      <c r="M128" t="s">
        <v>77</v>
      </c>
      <c r="N128" t="s">
        <v>271</v>
      </c>
      <c r="O128" s="1">
        <v>45839</v>
      </c>
      <c r="P128" s="1">
        <v>46104</v>
      </c>
      <c r="Q128" s="1">
        <v>46113</v>
      </c>
      <c r="R128" s="2">
        <v>-31.88</v>
      </c>
      <c r="S128">
        <v>1</v>
      </c>
      <c r="T128" t="s">
        <v>58</v>
      </c>
      <c r="U128" t="s">
        <v>260</v>
      </c>
      <c r="V128" s="3">
        <v>0.75</v>
      </c>
      <c r="W128" s="2">
        <v>0</v>
      </c>
      <c r="X128">
        <v>-1</v>
      </c>
      <c r="Y128" t="s">
        <v>60</v>
      </c>
      <c r="Z128" t="s">
        <v>262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-23.91</v>
      </c>
      <c r="AN128" s="2">
        <v>-23.91</v>
      </c>
      <c r="AO128" s="2">
        <v>0</v>
      </c>
      <c r="AP128" s="2">
        <v>0</v>
      </c>
      <c r="AQ128" s="2">
        <v>0</v>
      </c>
    </row>
    <row r="129" spans="1:43" x14ac:dyDescent="0.3">
      <c r="A129" s="1">
        <v>46104</v>
      </c>
      <c r="B129" t="s">
        <v>48</v>
      </c>
      <c r="C129">
        <v>649163</v>
      </c>
      <c r="D129">
        <v>2029567228</v>
      </c>
      <c r="E129" t="s">
        <v>333</v>
      </c>
      <c r="F129" t="s">
        <v>334</v>
      </c>
      <c r="G129" t="s">
        <v>51</v>
      </c>
      <c r="H129" t="s">
        <v>74</v>
      </c>
      <c r="I129" t="s">
        <v>65</v>
      </c>
      <c r="J129" t="s">
        <v>71</v>
      </c>
      <c r="K129">
        <v>767312</v>
      </c>
      <c r="L129" t="s">
        <v>185</v>
      </c>
      <c r="M129" t="s">
        <v>186</v>
      </c>
      <c r="N129" t="s">
        <v>57</v>
      </c>
      <c r="O129" s="1">
        <v>45829</v>
      </c>
      <c r="Q129" s="1">
        <v>46133</v>
      </c>
      <c r="R129" s="2">
        <v>47.75</v>
      </c>
      <c r="S129">
        <v>1</v>
      </c>
      <c r="T129" t="s">
        <v>58</v>
      </c>
      <c r="U129" t="s">
        <v>260</v>
      </c>
      <c r="V129" s="3">
        <v>0.9</v>
      </c>
      <c r="W129" s="2">
        <v>0</v>
      </c>
      <c r="X129">
        <v>0</v>
      </c>
      <c r="Y129" t="s">
        <v>60</v>
      </c>
      <c r="Z129" t="s">
        <v>262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42.98</v>
      </c>
      <c r="AN129" s="2">
        <v>42.98</v>
      </c>
      <c r="AO129" s="2">
        <v>0</v>
      </c>
      <c r="AP129" s="2">
        <v>0</v>
      </c>
      <c r="AQ129" s="2">
        <v>0</v>
      </c>
    </row>
    <row r="130" spans="1:43" x14ac:dyDescent="0.3">
      <c r="A130" s="1">
        <v>46104</v>
      </c>
      <c r="B130" t="s">
        <v>48</v>
      </c>
      <c r="C130">
        <v>649163</v>
      </c>
      <c r="D130">
        <v>2029620629</v>
      </c>
      <c r="E130" t="s">
        <v>335</v>
      </c>
      <c r="F130" t="s">
        <v>336</v>
      </c>
      <c r="G130" t="s">
        <v>51</v>
      </c>
      <c r="H130" t="s">
        <v>64</v>
      </c>
      <c r="I130" t="s">
        <v>65</v>
      </c>
      <c r="J130" t="s">
        <v>71</v>
      </c>
      <c r="K130">
        <v>824062</v>
      </c>
      <c r="L130" t="s">
        <v>91</v>
      </c>
      <c r="M130" t="s">
        <v>92</v>
      </c>
      <c r="N130" t="s">
        <v>57</v>
      </c>
      <c r="O130" s="1">
        <v>45833</v>
      </c>
      <c r="Q130" s="1">
        <v>46137</v>
      </c>
      <c r="R130" s="2">
        <v>145.06</v>
      </c>
      <c r="S130">
        <v>1</v>
      </c>
      <c r="T130" t="s">
        <v>58</v>
      </c>
      <c r="U130" t="s">
        <v>260</v>
      </c>
      <c r="V130" s="3">
        <v>0.9</v>
      </c>
      <c r="W130" s="2">
        <v>0</v>
      </c>
      <c r="X130">
        <v>0</v>
      </c>
      <c r="Y130" t="s">
        <v>60</v>
      </c>
      <c r="Z130" t="s">
        <v>262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130.55000000000001</v>
      </c>
      <c r="AN130" s="2">
        <v>130.55000000000001</v>
      </c>
      <c r="AO130" s="2">
        <v>0</v>
      </c>
      <c r="AP130" s="2">
        <v>0</v>
      </c>
      <c r="AQ130" s="2">
        <v>0</v>
      </c>
    </row>
    <row r="131" spans="1:43" x14ac:dyDescent="0.3">
      <c r="A131" s="1">
        <v>46104</v>
      </c>
      <c r="B131" t="s">
        <v>48</v>
      </c>
      <c r="C131">
        <v>649163</v>
      </c>
      <c r="D131">
        <v>2029756250</v>
      </c>
      <c r="E131" t="s">
        <v>337</v>
      </c>
      <c r="F131" t="s">
        <v>338</v>
      </c>
      <c r="G131" t="s">
        <v>51</v>
      </c>
      <c r="H131" t="s">
        <v>103</v>
      </c>
      <c r="I131" t="s">
        <v>65</v>
      </c>
      <c r="J131" t="s">
        <v>71</v>
      </c>
      <c r="K131">
        <v>823068</v>
      </c>
      <c r="L131" t="s">
        <v>149</v>
      </c>
      <c r="M131" t="s">
        <v>150</v>
      </c>
      <c r="N131" t="s">
        <v>57</v>
      </c>
      <c r="O131" s="1">
        <v>45843</v>
      </c>
      <c r="Q131" s="1">
        <v>46117</v>
      </c>
      <c r="R131" s="2">
        <v>31.19</v>
      </c>
      <c r="S131">
        <v>1</v>
      </c>
      <c r="T131" t="s">
        <v>58</v>
      </c>
      <c r="U131" t="s">
        <v>260</v>
      </c>
      <c r="V131" s="3">
        <v>0.9</v>
      </c>
      <c r="W131" s="2">
        <v>0</v>
      </c>
      <c r="X131">
        <v>0</v>
      </c>
      <c r="Y131" t="s">
        <v>60</v>
      </c>
      <c r="Z131" t="s">
        <v>262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28.07</v>
      </c>
      <c r="AN131" s="2">
        <v>28.07</v>
      </c>
      <c r="AO131" s="2">
        <v>0</v>
      </c>
      <c r="AP131" s="2">
        <v>0</v>
      </c>
      <c r="AQ131" s="2">
        <v>0</v>
      </c>
    </row>
    <row r="132" spans="1:43" x14ac:dyDescent="0.3">
      <c r="A132" s="1">
        <v>46104</v>
      </c>
      <c r="B132" t="s">
        <v>48</v>
      </c>
      <c r="C132">
        <v>649163</v>
      </c>
      <c r="D132">
        <v>2030077439</v>
      </c>
      <c r="E132" t="s">
        <v>339</v>
      </c>
      <c r="F132" t="s">
        <v>340</v>
      </c>
      <c r="G132" t="s">
        <v>51</v>
      </c>
      <c r="H132" t="s">
        <v>80</v>
      </c>
      <c r="I132" t="s">
        <v>65</v>
      </c>
      <c r="J132" t="s">
        <v>66</v>
      </c>
      <c r="K132">
        <v>856824</v>
      </c>
      <c r="L132" t="s">
        <v>125</v>
      </c>
      <c r="M132" t="s">
        <v>126</v>
      </c>
      <c r="N132" t="s">
        <v>57</v>
      </c>
      <c r="O132" s="1">
        <v>45860</v>
      </c>
      <c r="Q132" s="1">
        <v>46134</v>
      </c>
      <c r="R132" s="2">
        <v>48.01</v>
      </c>
      <c r="S132">
        <v>1</v>
      </c>
      <c r="T132" t="s">
        <v>58</v>
      </c>
      <c r="U132" t="s">
        <v>260</v>
      </c>
      <c r="V132" s="3">
        <v>0.75</v>
      </c>
      <c r="W132" s="2">
        <v>0</v>
      </c>
      <c r="X132">
        <v>0</v>
      </c>
      <c r="Y132" t="s">
        <v>60</v>
      </c>
      <c r="Z132" t="s">
        <v>262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36.01</v>
      </c>
      <c r="AN132" s="2">
        <v>36.01</v>
      </c>
      <c r="AO132" s="2">
        <v>0</v>
      </c>
      <c r="AP132" s="2">
        <v>0</v>
      </c>
      <c r="AQ132" s="2">
        <v>0</v>
      </c>
    </row>
    <row r="133" spans="1:43" x14ac:dyDescent="0.3">
      <c r="A133" s="1">
        <v>46104</v>
      </c>
      <c r="B133" t="s">
        <v>48</v>
      </c>
      <c r="C133">
        <v>649163</v>
      </c>
      <c r="D133">
        <v>2030079839</v>
      </c>
      <c r="E133" t="s">
        <v>341</v>
      </c>
      <c r="F133" t="s">
        <v>342</v>
      </c>
      <c r="G133" t="s">
        <v>51</v>
      </c>
      <c r="H133" t="s">
        <v>103</v>
      </c>
      <c r="I133" t="s">
        <v>65</v>
      </c>
      <c r="J133" t="s">
        <v>71</v>
      </c>
      <c r="K133">
        <v>823068</v>
      </c>
      <c r="L133" t="s">
        <v>149</v>
      </c>
      <c r="M133" t="s">
        <v>150</v>
      </c>
      <c r="N133" t="s">
        <v>57</v>
      </c>
      <c r="O133" s="1">
        <v>45861</v>
      </c>
      <c r="Q133" s="1">
        <v>46135</v>
      </c>
      <c r="R133" s="2">
        <v>100.34</v>
      </c>
      <c r="S133">
        <v>1</v>
      </c>
      <c r="T133" t="s">
        <v>58</v>
      </c>
      <c r="U133" t="s">
        <v>260</v>
      </c>
      <c r="V133" s="3">
        <v>0.9</v>
      </c>
      <c r="W133" s="2">
        <v>0</v>
      </c>
      <c r="X133">
        <v>0</v>
      </c>
      <c r="Y133" t="s">
        <v>60</v>
      </c>
      <c r="Z133" t="s">
        <v>262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90.31</v>
      </c>
      <c r="AN133" s="2">
        <v>90.31</v>
      </c>
      <c r="AO133" s="2">
        <v>0</v>
      </c>
      <c r="AP133" s="2">
        <v>0</v>
      </c>
      <c r="AQ133" s="2">
        <v>0</v>
      </c>
    </row>
    <row r="134" spans="1:43" x14ac:dyDescent="0.3">
      <c r="A134" s="1">
        <v>46104</v>
      </c>
      <c r="B134" t="s">
        <v>48</v>
      </c>
      <c r="C134">
        <v>649163</v>
      </c>
      <c r="D134">
        <v>2030085142</v>
      </c>
      <c r="E134" t="s">
        <v>343</v>
      </c>
      <c r="F134" t="s">
        <v>344</v>
      </c>
      <c r="G134" t="s">
        <v>51</v>
      </c>
      <c r="H134" t="s">
        <v>64</v>
      </c>
      <c r="I134" t="s">
        <v>65</v>
      </c>
      <c r="J134" t="s">
        <v>66</v>
      </c>
      <c r="K134">
        <v>673059</v>
      </c>
      <c r="L134" t="s">
        <v>76</v>
      </c>
      <c r="M134" t="s">
        <v>77</v>
      </c>
      <c r="N134" t="s">
        <v>57</v>
      </c>
      <c r="O134" s="1">
        <v>45861</v>
      </c>
      <c r="Q134" s="1">
        <v>46135</v>
      </c>
      <c r="R134" s="2">
        <v>78.430000000000007</v>
      </c>
      <c r="S134">
        <v>1</v>
      </c>
      <c r="T134" t="s">
        <v>58</v>
      </c>
      <c r="U134" t="s">
        <v>260</v>
      </c>
      <c r="V134" s="3">
        <v>0.75</v>
      </c>
      <c r="W134" s="2">
        <v>0</v>
      </c>
      <c r="X134">
        <v>0</v>
      </c>
      <c r="Y134" t="s">
        <v>60</v>
      </c>
      <c r="Z134" t="s">
        <v>262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58.82</v>
      </c>
      <c r="AN134" s="2">
        <v>58.82</v>
      </c>
      <c r="AO134" s="2">
        <v>0</v>
      </c>
      <c r="AP134" s="2">
        <v>0</v>
      </c>
      <c r="AQ134" s="2">
        <v>0</v>
      </c>
    </row>
    <row r="135" spans="1:43" x14ac:dyDescent="0.3">
      <c r="A135" s="1">
        <v>46104</v>
      </c>
      <c r="B135" t="s">
        <v>48</v>
      </c>
      <c r="C135">
        <v>649163</v>
      </c>
      <c r="D135">
        <v>2030108810</v>
      </c>
      <c r="E135" t="s">
        <v>345</v>
      </c>
      <c r="F135" t="s">
        <v>346</v>
      </c>
      <c r="G135" t="s">
        <v>51</v>
      </c>
      <c r="H135" t="s">
        <v>112</v>
      </c>
      <c r="I135" t="s">
        <v>65</v>
      </c>
      <c r="J135" t="s">
        <v>71</v>
      </c>
      <c r="K135">
        <v>796984</v>
      </c>
      <c r="L135" t="s">
        <v>347</v>
      </c>
      <c r="M135" t="s">
        <v>124</v>
      </c>
      <c r="N135" t="s">
        <v>57</v>
      </c>
      <c r="O135" s="1">
        <v>45862</v>
      </c>
      <c r="Q135" s="1">
        <v>46136</v>
      </c>
      <c r="R135" s="2">
        <v>36.130000000000003</v>
      </c>
      <c r="S135">
        <v>1</v>
      </c>
      <c r="T135" t="s">
        <v>58</v>
      </c>
      <c r="U135" t="s">
        <v>260</v>
      </c>
      <c r="V135" s="3">
        <v>0.9</v>
      </c>
      <c r="W135" s="2">
        <v>0</v>
      </c>
      <c r="X135">
        <v>0</v>
      </c>
      <c r="Y135" t="s">
        <v>60</v>
      </c>
      <c r="Z135" t="s">
        <v>262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32.520000000000003</v>
      </c>
      <c r="AN135" s="2">
        <v>32.520000000000003</v>
      </c>
      <c r="AO135" s="2">
        <v>0</v>
      </c>
      <c r="AP135" s="2">
        <v>0</v>
      </c>
      <c r="AQ135" s="2">
        <v>0</v>
      </c>
    </row>
    <row r="136" spans="1:43" x14ac:dyDescent="0.3">
      <c r="A136" s="1">
        <v>46104</v>
      </c>
      <c r="B136" t="s">
        <v>48</v>
      </c>
      <c r="C136">
        <v>649163</v>
      </c>
      <c r="D136">
        <v>2030315874</v>
      </c>
      <c r="E136" t="s">
        <v>348</v>
      </c>
      <c r="F136" t="s">
        <v>349</v>
      </c>
      <c r="G136" t="s">
        <v>51</v>
      </c>
      <c r="H136" t="s">
        <v>103</v>
      </c>
      <c r="I136" t="s">
        <v>65</v>
      </c>
      <c r="J136" t="s">
        <v>71</v>
      </c>
      <c r="K136">
        <v>823068</v>
      </c>
      <c r="L136" t="s">
        <v>149</v>
      </c>
      <c r="M136" t="s">
        <v>150</v>
      </c>
      <c r="N136" t="s">
        <v>57</v>
      </c>
      <c r="O136" s="1">
        <v>45890</v>
      </c>
      <c r="Q136" s="1">
        <v>46133</v>
      </c>
      <c r="R136" s="2">
        <v>129.13999999999999</v>
      </c>
      <c r="S136">
        <v>1</v>
      </c>
      <c r="T136" t="s">
        <v>58</v>
      </c>
      <c r="U136" t="s">
        <v>260</v>
      </c>
      <c r="V136" s="3">
        <v>0.9</v>
      </c>
      <c r="W136" s="2">
        <v>0</v>
      </c>
      <c r="X136">
        <v>0</v>
      </c>
      <c r="Y136" t="s">
        <v>60</v>
      </c>
      <c r="Z136" t="s">
        <v>262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116.23</v>
      </c>
      <c r="AN136" s="2">
        <v>116.23</v>
      </c>
      <c r="AO136" s="2">
        <v>0</v>
      </c>
      <c r="AP136" s="2">
        <v>0</v>
      </c>
      <c r="AQ136" s="2">
        <v>0</v>
      </c>
    </row>
    <row r="137" spans="1:43" x14ac:dyDescent="0.3">
      <c r="A137" s="1">
        <v>46104</v>
      </c>
      <c r="B137" t="s">
        <v>48</v>
      </c>
      <c r="C137">
        <v>649163</v>
      </c>
      <c r="D137">
        <v>2030567354</v>
      </c>
      <c r="E137" t="s">
        <v>295</v>
      </c>
      <c r="F137" t="s">
        <v>350</v>
      </c>
      <c r="G137" t="s">
        <v>51</v>
      </c>
      <c r="H137" t="s">
        <v>103</v>
      </c>
      <c r="I137" t="s">
        <v>65</v>
      </c>
      <c r="J137" t="s">
        <v>71</v>
      </c>
      <c r="K137">
        <v>823068</v>
      </c>
      <c r="L137" t="s">
        <v>149</v>
      </c>
      <c r="M137" t="s">
        <v>150</v>
      </c>
      <c r="N137" t="s">
        <v>57</v>
      </c>
      <c r="O137" s="1">
        <v>45892</v>
      </c>
      <c r="Q137" s="1">
        <v>46135</v>
      </c>
      <c r="R137" s="2">
        <v>106.25</v>
      </c>
      <c r="S137">
        <v>1</v>
      </c>
      <c r="T137" t="s">
        <v>58</v>
      </c>
      <c r="U137" t="s">
        <v>260</v>
      </c>
      <c r="V137" s="3">
        <v>0.9</v>
      </c>
      <c r="W137" s="2">
        <v>0</v>
      </c>
      <c r="X137">
        <v>0</v>
      </c>
      <c r="Y137" t="s">
        <v>60</v>
      </c>
      <c r="Z137" t="s">
        <v>262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95.62</v>
      </c>
      <c r="AN137" s="2">
        <v>95.62</v>
      </c>
      <c r="AO137" s="2">
        <v>0</v>
      </c>
      <c r="AP137" s="2">
        <v>0</v>
      </c>
      <c r="AQ137" s="2">
        <v>0</v>
      </c>
    </row>
    <row r="138" spans="1:43" x14ac:dyDescent="0.3">
      <c r="A138" s="1">
        <v>46104</v>
      </c>
      <c r="B138" t="s">
        <v>48</v>
      </c>
      <c r="C138">
        <v>649163</v>
      </c>
      <c r="D138">
        <v>2030678355</v>
      </c>
      <c r="E138" t="s">
        <v>351</v>
      </c>
      <c r="F138" t="s">
        <v>352</v>
      </c>
      <c r="G138" t="s">
        <v>51</v>
      </c>
      <c r="H138" t="s">
        <v>112</v>
      </c>
      <c r="I138" t="s">
        <v>65</v>
      </c>
      <c r="J138" t="s">
        <v>71</v>
      </c>
      <c r="K138">
        <v>816021</v>
      </c>
      <c r="L138" t="s">
        <v>311</v>
      </c>
      <c r="M138" t="s">
        <v>312</v>
      </c>
      <c r="N138" t="s">
        <v>57</v>
      </c>
      <c r="O138" s="1">
        <v>45901</v>
      </c>
      <c r="Q138" s="1">
        <v>46113</v>
      </c>
      <c r="R138" s="2">
        <v>-24.59</v>
      </c>
      <c r="S138">
        <v>1</v>
      </c>
      <c r="T138" t="s">
        <v>58</v>
      </c>
      <c r="U138" t="s">
        <v>260</v>
      </c>
      <c r="V138" s="3">
        <v>0.9</v>
      </c>
      <c r="W138" s="2">
        <v>0</v>
      </c>
      <c r="X138">
        <v>-1</v>
      </c>
      <c r="Y138" t="s">
        <v>60</v>
      </c>
      <c r="Z138" t="s">
        <v>262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-22.13</v>
      </c>
      <c r="AN138" s="2">
        <v>-22.13</v>
      </c>
      <c r="AO138" s="2">
        <v>0</v>
      </c>
      <c r="AP138" s="2">
        <v>0</v>
      </c>
      <c r="AQ138" s="2">
        <v>0</v>
      </c>
    </row>
    <row r="139" spans="1:43" x14ac:dyDescent="0.3">
      <c r="A139" s="1">
        <v>46104</v>
      </c>
      <c r="B139" t="s">
        <v>48</v>
      </c>
      <c r="C139">
        <v>649163</v>
      </c>
      <c r="D139">
        <v>2030716586</v>
      </c>
      <c r="E139" t="s">
        <v>323</v>
      </c>
      <c r="F139" t="s">
        <v>353</v>
      </c>
      <c r="G139" t="s">
        <v>51</v>
      </c>
      <c r="H139" t="s">
        <v>103</v>
      </c>
      <c r="I139" t="s">
        <v>65</v>
      </c>
      <c r="J139" t="s">
        <v>71</v>
      </c>
      <c r="K139">
        <v>823068</v>
      </c>
      <c r="L139" t="s">
        <v>149</v>
      </c>
      <c r="M139" t="s">
        <v>150</v>
      </c>
      <c r="N139" t="s">
        <v>57</v>
      </c>
      <c r="O139" s="1">
        <v>45922</v>
      </c>
      <c r="Q139" s="1">
        <v>46134</v>
      </c>
      <c r="R139" s="2">
        <v>109.06</v>
      </c>
      <c r="S139">
        <v>1</v>
      </c>
      <c r="T139" t="s">
        <v>58</v>
      </c>
      <c r="U139" t="s">
        <v>260</v>
      </c>
      <c r="V139" s="3">
        <v>0.9</v>
      </c>
      <c r="W139" s="2">
        <v>0</v>
      </c>
      <c r="X139">
        <v>0</v>
      </c>
      <c r="Y139" t="s">
        <v>60</v>
      </c>
      <c r="Z139" t="s">
        <v>262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0.02</v>
      </c>
      <c r="AM139" s="2">
        <v>98.13</v>
      </c>
      <c r="AN139" s="2">
        <v>98.13</v>
      </c>
      <c r="AO139" s="2">
        <v>0</v>
      </c>
      <c r="AP139" s="2">
        <v>0</v>
      </c>
      <c r="AQ139" s="2">
        <v>0</v>
      </c>
    </row>
    <row r="140" spans="1:43" x14ac:dyDescent="0.3">
      <c r="A140" s="1">
        <v>46104</v>
      </c>
      <c r="B140" t="s">
        <v>48</v>
      </c>
      <c r="C140">
        <v>649163</v>
      </c>
      <c r="D140">
        <v>2031180133</v>
      </c>
      <c r="E140" t="s">
        <v>354</v>
      </c>
      <c r="F140" t="s">
        <v>355</v>
      </c>
      <c r="G140" t="s">
        <v>51</v>
      </c>
      <c r="H140" t="s">
        <v>213</v>
      </c>
      <c r="I140" t="s">
        <v>65</v>
      </c>
      <c r="J140" t="s">
        <v>66</v>
      </c>
      <c r="K140">
        <v>823350</v>
      </c>
      <c r="L140" t="s">
        <v>67</v>
      </c>
      <c r="M140" t="s">
        <v>68</v>
      </c>
      <c r="N140" t="s">
        <v>57</v>
      </c>
      <c r="O140" s="1">
        <v>45924</v>
      </c>
      <c r="Q140" s="1">
        <v>46136</v>
      </c>
      <c r="R140" s="2">
        <v>71.63</v>
      </c>
      <c r="S140">
        <v>1</v>
      </c>
      <c r="T140" t="s">
        <v>58</v>
      </c>
      <c r="U140" t="s">
        <v>59</v>
      </c>
      <c r="V140" s="3">
        <v>0.75</v>
      </c>
      <c r="W140" s="2">
        <v>0</v>
      </c>
      <c r="X140">
        <v>0</v>
      </c>
      <c r="Y140" t="s">
        <v>60</v>
      </c>
      <c r="Z140" t="s">
        <v>262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53.72</v>
      </c>
      <c r="AN140" s="2">
        <v>53.72</v>
      </c>
      <c r="AO140" s="2">
        <v>0</v>
      </c>
      <c r="AP140" s="2">
        <v>0</v>
      </c>
      <c r="AQ140" s="2">
        <v>0</v>
      </c>
    </row>
    <row r="141" spans="1:43" x14ac:dyDescent="0.3">
      <c r="A141" s="1">
        <v>46104</v>
      </c>
      <c r="B141" t="s">
        <v>48</v>
      </c>
      <c r="C141">
        <v>649163</v>
      </c>
      <c r="D141">
        <v>2031242401</v>
      </c>
      <c r="E141" t="s">
        <v>356</v>
      </c>
      <c r="F141" t="s">
        <v>357</v>
      </c>
      <c r="G141" t="s">
        <v>51</v>
      </c>
      <c r="H141" t="s">
        <v>112</v>
      </c>
      <c r="I141" t="s">
        <v>65</v>
      </c>
      <c r="J141" t="s">
        <v>66</v>
      </c>
      <c r="K141">
        <v>816021</v>
      </c>
      <c r="L141" t="s">
        <v>311</v>
      </c>
      <c r="M141" t="s">
        <v>312</v>
      </c>
      <c r="N141" t="s">
        <v>57</v>
      </c>
      <c r="O141" s="1">
        <v>45925</v>
      </c>
      <c r="Q141" s="1">
        <v>46137</v>
      </c>
      <c r="R141" s="2">
        <v>40.06</v>
      </c>
      <c r="S141">
        <v>1</v>
      </c>
      <c r="T141" t="s">
        <v>58</v>
      </c>
      <c r="U141" t="s">
        <v>59</v>
      </c>
      <c r="V141" s="3">
        <v>0.75</v>
      </c>
      <c r="W141" s="2">
        <v>0</v>
      </c>
      <c r="X141">
        <v>0</v>
      </c>
      <c r="Y141" t="s">
        <v>60</v>
      </c>
      <c r="Z141" t="s">
        <v>262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30.04</v>
      </c>
      <c r="AN141" s="2">
        <v>30.04</v>
      </c>
      <c r="AO141" s="2">
        <v>0</v>
      </c>
      <c r="AP141" s="2">
        <v>0</v>
      </c>
      <c r="AQ141" s="2">
        <v>0</v>
      </c>
    </row>
    <row r="142" spans="1:43" x14ac:dyDescent="0.3">
      <c r="A142" s="1">
        <v>46104</v>
      </c>
      <c r="B142" t="s">
        <v>48</v>
      </c>
      <c r="C142">
        <v>649163</v>
      </c>
      <c r="D142">
        <v>2031596060</v>
      </c>
      <c r="E142" t="s">
        <v>358</v>
      </c>
      <c r="F142" t="s">
        <v>359</v>
      </c>
      <c r="G142" t="s">
        <v>51</v>
      </c>
      <c r="H142" t="s">
        <v>332</v>
      </c>
      <c r="I142" t="s">
        <v>65</v>
      </c>
      <c r="J142" t="s">
        <v>71</v>
      </c>
      <c r="K142">
        <v>753748</v>
      </c>
      <c r="L142" t="s">
        <v>146</v>
      </c>
      <c r="M142" t="s">
        <v>116</v>
      </c>
      <c r="N142" t="s">
        <v>57</v>
      </c>
      <c r="O142" s="1">
        <v>45962</v>
      </c>
      <c r="Q142" s="1">
        <v>46113</v>
      </c>
      <c r="R142" s="2">
        <v>99.58</v>
      </c>
      <c r="S142">
        <v>1</v>
      </c>
      <c r="T142" t="s">
        <v>58</v>
      </c>
      <c r="U142" t="s">
        <v>59</v>
      </c>
      <c r="V142" s="3">
        <v>0.9</v>
      </c>
      <c r="W142" s="2">
        <v>0</v>
      </c>
      <c r="X142">
        <v>0</v>
      </c>
      <c r="Y142" t="s">
        <v>60</v>
      </c>
      <c r="Z142" t="s">
        <v>262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89.62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</row>
    <row r="143" spans="1:43" x14ac:dyDescent="0.3">
      <c r="A143" s="1">
        <v>46104</v>
      </c>
      <c r="B143" t="s">
        <v>48</v>
      </c>
      <c r="C143">
        <v>649163</v>
      </c>
      <c r="D143">
        <v>2031738859</v>
      </c>
      <c r="E143" t="s">
        <v>360</v>
      </c>
      <c r="F143" t="s">
        <v>361</v>
      </c>
      <c r="G143" t="s">
        <v>51</v>
      </c>
      <c r="H143" t="s">
        <v>86</v>
      </c>
      <c r="I143" t="s">
        <v>65</v>
      </c>
      <c r="J143" t="s">
        <v>315</v>
      </c>
      <c r="K143">
        <v>673059</v>
      </c>
      <c r="L143" t="s">
        <v>76</v>
      </c>
      <c r="M143" t="s">
        <v>77</v>
      </c>
      <c r="N143" t="s">
        <v>57</v>
      </c>
      <c r="O143" s="1">
        <v>45952</v>
      </c>
      <c r="Q143" s="1">
        <v>46134</v>
      </c>
      <c r="R143" s="2">
        <v>41.51</v>
      </c>
      <c r="S143">
        <v>1</v>
      </c>
      <c r="T143" t="s">
        <v>58</v>
      </c>
      <c r="U143" t="s">
        <v>59</v>
      </c>
      <c r="V143" s="3">
        <v>0.65</v>
      </c>
      <c r="W143" s="2">
        <v>0</v>
      </c>
      <c r="X143">
        <v>0</v>
      </c>
      <c r="Y143" t="s">
        <v>60</v>
      </c>
      <c r="Z143" t="s">
        <v>262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26.98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</row>
    <row r="144" spans="1:43" x14ac:dyDescent="0.3">
      <c r="A144" s="1">
        <v>46104</v>
      </c>
      <c r="B144" t="s">
        <v>48</v>
      </c>
      <c r="C144">
        <v>649163</v>
      </c>
      <c r="D144">
        <v>2031759933</v>
      </c>
      <c r="E144" t="s">
        <v>362</v>
      </c>
      <c r="F144" t="s">
        <v>363</v>
      </c>
      <c r="G144" t="s">
        <v>51</v>
      </c>
      <c r="H144" t="s">
        <v>64</v>
      </c>
      <c r="I144" t="s">
        <v>65</v>
      </c>
      <c r="J144" t="s">
        <v>66</v>
      </c>
      <c r="K144">
        <v>823350</v>
      </c>
      <c r="L144" t="s">
        <v>67</v>
      </c>
      <c r="M144" t="s">
        <v>68</v>
      </c>
      <c r="N144" t="s">
        <v>57</v>
      </c>
      <c r="O144" s="1">
        <v>45954</v>
      </c>
      <c r="Q144" s="1">
        <v>46136</v>
      </c>
      <c r="R144" s="2">
        <v>25.33</v>
      </c>
      <c r="S144">
        <v>1</v>
      </c>
      <c r="T144" t="s">
        <v>58</v>
      </c>
      <c r="U144" t="s">
        <v>59</v>
      </c>
      <c r="V144" s="3">
        <v>0.75</v>
      </c>
      <c r="W144" s="2">
        <v>0</v>
      </c>
      <c r="X144">
        <v>0</v>
      </c>
      <c r="Y144" t="s">
        <v>60</v>
      </c>
      <c r="Z144" t="s">
        <v>262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19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</row>
    <row r="145" spans="1:43" x14ac:dyDescent="0.3">
      <c r="A145" s="1">
        <v>46104</v>
      </c>
      <c r="B145" t="s">
        <v>48</v>
      </c>
      <c r="C145">
        <v>649163</v>
      </c>
      <c r="D145">
        <v>2031759934</v>
      </c>
      <c r="E145" t="s">
        <v>362</v>
      </c>
      <c r="F145" t="s">
        <v>363</v>
      </c>
      <c r="G145" t="s">
        <v>51</v>
      </c>
      <c r="H145" t="s">
        <v>64</v>
      </c>
      <c r="I145" t="s">
        <v>65</v>
      </c>
      <c r="J145" t="s">
        <v>71</v>
      </c>
      <c r="K145">
        <v>823350</v>
      </c>
      <c r="L145" t="s">
        <v>67</v>
      </c>
      <c r="M145" t="s">
        <v>68</v>
      </c>
      <c r="N145" t="s">
        <v>57</v>
      </c>
      <c r="O145" s="1">
        <v>45954</v>
      </c>
      <c r="Q145" s="1">
        <v>46136</v>
      </c>
      <c r="R145" s="2">
        <v>42.75</v>
      </c>
      <c r="S145">
        <v>1</v>
      </c>
      <c r="T145" t="s">
        <v>58</v>
      </c>
      <c r="U145" t="s">
        <v>59</v>
      </c>
      <c r="V145" s="3">
        <v>0.9</v>
      </c>
      <c r="W145" s="2">
        <v>0</v>
      </c>
      <c r="X145">
        <v>0</v>
      </c>
      <c r="Y145" t="s">
        <v>60</v>
      </c>
      <c r="Z145" t="s">
        <v>262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38.479999999999997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</row>
    <row r="146" spans="1:43" x14ac:dyDescent="0.3">
      <c r="A146" s="1">
        <v>46104</v>
      </c>
      <c r="B146" t="s">
        <v>48</v>
      </c>
      <c r="C146">
        <v>649163</v>
      </c>
      <c r="D146">
        <v>2031775761</v>
      </c>
      <c r="E146" t="s">
        <v>364</v>
      </c>
      <c r="F146" t="s">
        <v>99</v>
      </c>
      <c r="G146" t="s">
        <v>51</v>
      </c>
      <c r="H146" t="s">
        <v>112</v>
      </c>
      <c r="I146" t="s">
        <v>65</v>
      </c>
      <c r="J146" t="s">
        <v>66</v>
      </c>
      <c r="K146">
        <v>816021</v>
      </c>
      <c r="L146" t="s">
        <v>311</v>
      </c>
      <c r="M146" t="s">
        <v>312</v>
      </c>
      <c r="N146" t="s">
        <v>57</v>
      </c>
      <c r="O146" s="1">
        <v>45954</v>
      </c>
      <c r="Q146" s="1">
        <v>46136</v>
      </c>
      <c r="R146" s="2">
        <v>59.29</v>
      </c>
      <c r="S146">
        <v>1</v>
      </c>
      <c r="T146" t="s">
        <v>58</v>
      </c>
      <c r="U146" t="s">
        <v>59</v>
      </c>
      <c r="V146" s="3">
        <v>0.75</v>
      </c>
      <c r="W146" s="2">
        <v>0</v>
      </c>
      <c r="X146">
        <v>0</v>
      </c>
      <c r="Y146" t="s">
        <v>60</v>
      </c>
      <c r="Z146" t="s">
        <v>262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44.47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</row>
    <row r="147" spans="1:43" x14ac:dyDescent="0.3">
      <c r="A147" s="1">
        <v>46104</v>
      </c>
      <c r="B147" t="s">
        <v>48</v>
      </c>
      <c r="C147">
        <v>649163</v>
      </c>
      <c r="D147">
        <v>2032072470</v>
      </c>
      <c r="E147" t="s">
        <v>365</v>
      </c>
      <c r="F147" t="s">
        <v>366</v>
      </c>
      <c r="G147" t="s">
        <v>51</v>
      </c>
      <c r="H147" t="s">
        <v>103</v>
      </c>
      <c r="I147" t="s">
        <v>65</v>
      </c>
      <c r="J147" t="s">
        <v>71</v>
      </c>
      <c r="K147">
        <v>652037</v>
      </c>
      <c r="L147" t="s">
        <v>132</v>
      </c>
      <c r="M147" t="s">
        <v>133</v>
      </c>
      <c r="N147" t="s">
        <v>57</v>
      </c>
      <c r="O147" s="1">
        <v>45986</v>
      </c>
      <c r="Q147" s="1">
        <v>46137</v>
      </c>
      <c r="R147" s="2">
        <v>100.12</v>
      </c>
      <c r="S147">
        <v>1</v>
      </c>
      <c r="T147" t="s">
        <v>58</v>
      </c>
      <c r="U147" t="s">
        <v>59</v>
      </c>
      <c r="V147" s="3">
        <v>0.9</v>
      </c>
      <c r="W147" s="2">
        <v>0</v>
      </c>
      <c r="X147">
        <v>0</v>
      </c>
      <c r="Y147" t="s">
        <v>60</v>
      </c>
      <c r="Z147" t="s">
        <v>262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90.11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</row>
    <row r="148" spans="1:43" x14ac:dyDescent="0.3">
      <c r="A148" s="1">
        <v>46104</v>
      </c>
      <c r="B148" t="s">
        <v>48</v>
      </c>
      <c r="C148">
        <v>649163</v>
      </c>
      <c r="D148">
        <v>2032293755</v>
      </c>
      <c r="E148" t="s">
        <v>367</v>
      </c>
      <c r="F148" t="s">
        <v>162</v>
      </c>
      <c r="G148" t="s">
        <v>51</v>
      </c>
      <c r="H148" t="s">
        <v>74</v>
      </c>
      <c r="I148" t="s">
        <v>65</v>
      </c>
      <c r="J148" t="s">
        <v>71</v>
      </c>
      <c r="K148">
        <v>822865</v>
      </c>
      <c r="L148" t="s">
        <v>368</v>
      </c>
      <c r="M148" t="s">
        <v>369</v>
      </c>
      <c r="N148" t="s">
        <v>57</v>
      </c>
      <c r="O148" s="1">
        <v>45983</v>
      </c>
      <c r="Q148" s="1">
        <v>46134</v>
      </c>
      <c r="R148" s="2">
        <v>27.48</v>
      </c>
      <c r="S148">
        <v>1</v>
      </c>
      <c r="T148" t="s">
        <v>58</v>
      </c>
      <c r="U148" t="s">
        <v>59</v>
      </c>
      <c r="V148" s="3">
        <v>0.9</v>
      </c>
      <c r="W148" s="2">
        <v>0</v>
      </c>
      <c r="X148">
        <v>0</v>
      </c>
      <c r="Y148" t="s">
        <v>60</v>
      </c>
      <c r="Z148" t="s">
        <v>262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24.73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</row>
    <row r="149" spans="1:43" x14ac:dyDescent="0.3">
      <c r="A149" s="1">
        <v>46104</v>
      </c>
      <c r="B149" t="s">
        <v>48</v>
      </c>
      <c r="C149">
        <v>649163</v>
      </c>
      <c r="D149">
        <v>2032333288</v>
      </c>
      <c r="E149" t="s">
        <v>370</v>
      </c>
      <c r="F149" t="s">
        <v>371</v>
      </c>
      <c r="G149" t="s">
        <v>51</v>
      </c>
      <c r="H149" t="s">
        <v>112</v>
      </c>
      <c r="I149" t="s">
        <v>65</v>
      </c>
      <c r="J149" t="s">
        <v>315</v>
      </c>
      <c r="K149">
        <v>816021</v>
      </c>
      <c r="L149" t="s">
        <v>311</v>
      </c>
      <c r="M149" t="s">
        <v>312</v>
      </c>
      <c r="N149" t="s">
        <v>57</v>
      </c>
      <c r="O149" s="1">
        <v>45650</v>
      </c>
      <c r="Q149" s="1">
        <v>46136</v>
      </c>
      <c r="R149" s="2">
        <v>6.31</v>
      </c>
      <c r="S149">
        <v>1</v>
      </c>
      <c r="T149" t="s">
        <v>58</v>
      </c>
      <c r="U149" t="s">
        <v>372</v>
      </c>
      <c r="V149" s="3">
        <v>0.1</v>
      </c>
      <c r="W149" s="2">
        <v>0</v>
      </c>
      <c r="X149">
        <v>0</v>
      </c>
      <c r="Y149" t="s">
        <v>261</v>
      </c>
      <c r="Z149" t="s">
        <v>262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0.63</v>
      </c>
      <c r="AN149" s="2">
        <v>0.63</v>
      </c>
      <c r="AO149" s="2">
        <v>0</v>
      </c>
      <c r="AP149" s="2">
        <v>0</v>
      </c>
      <c r="AQ149" s="2">
        <v>0</v>
      </c>
    </row>
    <row r="150" spans="1:43" x14ac:dyDescent="0.3">
      <c r="A150" s="1">
        <v>46104</v>
      </c>
      <c r="B150" t="s">
        <v>48</v>
      </c>
      <c r="C150">
        <v>649163</v>
      </c>
      <c r="D150">
        <v>2032365298</v>
      </c>
      <c r="E150" t="s">
        <v>373</v>
      </c>
      <c r="F150" t="s">
        <v>374</v>
      </c>
      <c r="G150" t="s">
        <v>51</v>
      </c>
      <c r="H150" t="s">
        <v>375</v>
      </c>
      <c r="I150" t="s">
        <v>65</v>
      </c>
      <c r="J150" t="s">
        <v>315</v>
      </c>
      <c r="K150">
        <v>768887</v>
      </c>
      <c r="L150" t="s">
        <v>153</v>
      </c>
      <c r="M150" t="s">
        <v>154</v>
      </c>
      <c r="N150" t="s">
        <v>57</v>
      </c>
      <c r="O150" s="1">
        <v>45987</v>
      </c>
      <c r="Q150" s="1">
        <v>46138</v>
      </c>
      <c r="R150" s="2">
        <v>35.5</v>
      </c>
      <c r="S150">
        <v>1</v>
      </c>
      <c r="T150" t="s">
        <v>58</v>
      </c>
      <c r="U150" t="s">
        <v>59</v>
      </c>
      <c r="V150" s="3">
        <v>0.65</v>
      </c>
      <c r="W150" s="2">
        <v>0</v>
      </c>
      <c r="X150">
        <v>0</v>
      </c>
      <c r="Y150" t="s">
        <v>60</v>
      </c>
      <c r="Z150" t="s">
        <v>262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23.08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</row>
    <row r="151" spans="1:43" x14ac:dyDescent="0.3">
      <c r="A151" s="1">
        <v>46104</v>
      </c>
      <c r="B151" t="s">
        <v>48</v>
      </c>
      <c r="C151">
        <v>649163</v>
      </c>
      <c r="D151">
        <v>2032585992</v>
      </c>
      <c r="E151" t="s">
        <v>376</v>
      </c>
      <c r="F151" t="s">
        <v>377</v>
      </c>
      <c r="G151" t="s">
        <v>51</v>
      </c>
      <c r="H151" t="s">
        <v>378</v>
      </c>
      <c r="I151" t="s">
        <v>65</v>
      </c>
      <c r="J151" t="s">
        <v>81</v>
      </c>
      <c r="K151">
        <v>651818</v>
      </c>
      <c r="L151" t="s">
        <v>96</v>
      </c>
      <c r="M151" t="s">
        <v>97</v>
      </c>
      <c r="N151" t="s">
        <v>57</v>
      </c>
      <c r="O151" s="1">
        <v>46043</v>
      </c>
      <c r="Q151" s="1">
        <v>46133</v>
      </c>
      <c r="R151" s="2">
        <v>32.700000000000003</v>
      </c>
      <c r="S151">
        <v>1</v>
      </c>
      <c r="T151" t="s">
        <v>58</v>
      </c>
      <c r="U151" t="s">
        <v>59</v>
      </c>
      <c r="V151" s="3">
        <v>0.75</v>
      </c>
      <c r="W151" s="2">
        <v>0</v>
      </c>
      <c r="X151">
        <v>0</v>
      </c>
      <c r="Y151" t="s">
        <v>60</v>
      </c>
      <c r="Z151" t="s">
        <v>262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24.52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</row>
    <row r="152" spans="1:43" x14ac:dyDescent="0.3">
      <c r="A152" s="1">
        <v>46104</v>
      </c>
      <c r="B152" t="s">
        <v>48</v>
      </c>
      <c r="C152">
        <v>649163</v>
      </c>
      <c r="D152">
        <v>2032703288</v>
      </c>
      <c r="E152" t="s">
        <v>379</v>
      </c>
      <c r="F152" t="s">
        <v>380</v>
      </c>
      <c r="G152" t="s">
        <v>51</v>
      </c>
      <c r="H152" t="s">
        <v>74</v>
      </c>
      <c r="I152" t="s">
        <v>65</v>
      </c>
      <c r="J152" t="s">
        <v>66</v>
      </c>
      <c r="K152">
        <v>753748</v>
      </c>
      <c r="L152" t="s">
        <v>146</v>
      </c>
      <c r="M152" t="s">
        <v>116</v>
      </c>
      <c r="N152" t="s">
        <v>57</v>
      </c>
      <c r="O152" s="1">
        <v>46023</v>
      </c>
      <c r="Q152" s="1">
        <v>46113</v>
      </c>
      <c r="R152" s="2">
        <v>74.11</v>
      </c>
      <c r="S152">
        <v>1</v>
      </c>
      <c r="T152" t="s">
        <v>58</v>
      </c>
      <c r="U152" t="s">
        <v>59</v>
      </c>
      <c r="V152" s="3">
        <v>0.75</v>
      </c>
      <c r="W152" s="2">
        <v>0</v>
      </c>
      <c r="X152">
        <v>0</v>
      </c>
      <c r="Y152" t="s">
        <v>60</v>
      </c>
      <c r="Z152" t="s">
        <v>262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55.58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</row>
    <row r="153" spans="1:43" x14ac:dyDescent="0.3">
      <c r="A153" s="1">
        <v>46104</v>
      </c>
      <c r="B153" t="s">
        <v>48</v>
      </c>
      <c r="C153">
        <v>649163</v>
      </c>
      <c r="D153">
        <v>2032822392</v>
      </c>
      <c r="E153" t="s">
        <v>381</v>
      </c>
      <c r="F153" t="s">
        <v>382</v>
      </c>
      <c r="G153" t="s">
        <v>51</v>
      </c>
      <c r="H153" t="s">
        <v>103</v>
      </c>
      <c r="I153" t="s">
        <v>65</v>
      </c>
      <c r="J153" t="s">
        <v>71</v>
      </c>
      <c r="K153">
        <v>652037</v>
      </c>
      <c r="L153" t="s">
        <v>132</v>
      </c>
      <c r="M153" t="s">
        <v>133</v>
      </c>
      <c r="N153" t="s">
        <v>57</v>
      </c>
      <c r="O153" s="1">
        <v>46015</v>
      </c>
      <c r="Q153" s="1">
        <v>46136</v>
      </c>
      <c r="R153" s="2">
        <v>31.55</v>
      </c>
      <c r="S153">
        <v>1</v>
      </c>
      <c r="T153" t="s">
        <v>58</v>
      </c>
      <c r="U153" t="s">
        <v>59</v>
      </c>
      <c r="V153" s="3">
        <v>0.9</v>
      </c>
      <c r="W153" s="2">
        <v>0</v>
      </c>
      <c r="X153">
        <v>0</v>
      </c>
      <c r="Y153" t="s">
        <v>60</v>
      </c>
      <c r="Z153" t="s">
        <v>262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28.4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</row>
    <row r="154" spans="1:43" x14ac:dyDescent="0.3">
      <c r="A154" s="1">
        <v>46104</v>
      </c>
      <c r="B154" t="s">
        <v>48</v>
      </c>
      <c r="C154">
        <v>649163</v>
      </c>
      <c r="D154">
        <v>2032910576</v>
      </c>
      <c r="E154" t="s">
        <v>383</v>
      </c>
      <c r="F154" t="s">
        <v>384</v>
      </c>
      <c r="G154" t="s">
        <v>51</v>
      </c>
      <c r="H154" t="s">
        <v>213</v>
      </c>
      <c r="I154" t="s">
        <v>65</v>
      </c>
      <c r="J154" t="s">
        <v>66</v>
      </c>
      <c r="K154">
        <v>753748</v>
      </c>
      <c r="L154" t="s">
        <v>146</v>
      </c>
      <c r="M154" t="s">
        <v>116</v>
      </c>
      <c r="N154" t="s">
        <v>271</v>
      </c>
      <c r="O154" s="1">
        <v>46054</v>
      </c>
      <c r="P154" s="1">
        <v>46104</v>
      </c>
      <c r="Q154" s="1">
        <v>46113</v>
      </c>
      <c r="R154" s="2">
        <v>-71.48</v>
      </c>
      <c r="S154">
        <v>1</v>
      </c>
      <c r="T154" t="s">
        <v>58</v>
      </c>
      <c r="U154" t="s">
        <v>59</v>
      </c>
      <c r="V154" s="3">
        <v>0.75</v>
      </c>
      <c r="W154" s="2">
        <v>0</v>
      </c>
      <c r="X154">
        <v>-1</v>
      </c>
      <c r="Y154" t="s">
        <v>60</v>
      </c>
      <c r="Z154" t="s">
        <v>262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-53.61</v>
      </c>
      <c r="AN154" s="2">
        <v>-53.61</v>
      </c>
      <c r="AO154" s="2">
        <v>0</v>
      </c>
      <c r="AP154" s="2">
        <v>0</v>
      </c>
      <c r="AQ154" s="2">
        <v>0</v>
      </c>
    </row>
    <row r="155" spans="1:43" x14ac:dyDescent="0.3">
      <c r="A155" s="1">
        <v>46104</v>
      </c>
      <c r="B155" t="s">
        <v>48</v>
      </c>
      <c r="C155">
        <v>649163</v>
      </c>
      <c r="D155">
        <v>2032937977</v>
      </c>
      <c r="E155" t="s">
        <v>385</v>
      </c>
      <c r="F155" t="s">
        <v>314</v>
      </c>
      <c r="G155" t="s">
        <v>51</v>
      </c>
      <c r="H155" t="s">
        <v>139</v>
      </c>
      <c r="I155" t="s">
        <v>65</v>
      </c>
      <c r="J155" t="s">
        <v>66</v>
      </c>
      <c r="K155">
        <v>651818</v>
      </c>
      <c r="L155" t="s">
        <v>96</v>
      </c>
      <c r="M155" t="s">
        <v>97</v>
      </c>
      <c r="N155" t="s">
        <v>57</v>
      </c>
      <c r="O155" s="1">
        <v>46027</v>
      </c>
      <c r="Q155" s="1">
        <v>46117</v>
      </c>
      <c r="R155" s="2">
        <v>59.64</v>
      </c>
      <c r="S155">
        <v>1</v>
      </c>
      <c r="T155" t="s">
        <v>58</v>
      </c>
      <c r="U155" t="s">
        <v>59</v>
      </c>
      <c r="V155" s="3">
        <v>0.75</v>
      </c>
      <c r="W155" s="2">
        <v>0</v>
      </c>
      <c r="X155">
        <v>0</v>
      </c>
      <c r="Y155" t="s">
        <v>60</v>
      </c>
      <c r="Z155" t="s">
        <v>262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44.73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</row>
    <row r="156" spans="1:43" x14ac:dyDescent="0.3">
      <c r="A156" s="1">
        <v>46104</v>
      </c>
      <c r="B156" t="s">
        <v>48</v>
      </c>
      <c r="C156">
        <v>649163</v>
      </c>
      <c r="D156">
        <v>2033055037</v>
      </c>
      <c r="E156" t="s">
        <v>386</v>
      </c>
      <c r="F156" t="s">
        <v>387</v>
      </c>
      <c r="G156" t="s">
        <v>51</v>
      </c>
      <c r="H156" t="s">
        <v>375</v>
      </c>
      <c r="I156" t="s">
        <v>65</v>
      </c>
      <c r="J156" t="s">
        <v>75</v>
      </c>
      <c r="K156">
        <v>673059</v>
      </c>
      <c r="L156" t="s">
        <v>76</v>
      </c>
      <c r="M156" t="s">
        <v>77</v>
      </c>
      <c r="N156" t="s">
        <v>57</v>
      </c>
      <c r="O156" s="1">
        <v>46045</v>
      </c>
      <c r="Q156" s="1">
        <v>46135</v>
      </c>
      <c r="R156" s="2">
        <v>40.56</v>
      </c>
      <c r="S156">
        <v>1</v>
      </c>
      <c r="T156" t="s">
        <v>58</v>
      </c>
      <c r="U156" t="s">
        <v>59</v>
      </c>
      <c r="V156" s="3">
        <v>0.75</v>
      </c>
      <c r="W156" s="2">
        <v>0</v>
      </c>
      <c r="X156">
        <v>0</v>
      </c>
      <c r="Y156" t="s">
        <v>60</v>
      </c>
      <c r="Z156" t="s">
        <v>262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30.42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</row>
    <row r="157" spans="1:43" x14ac:dyDescent="0.3">
      <c r="A157" s="1">
        <v>46104</v>
      </c>
      <c r="B157" t="s">
        <v>48</v>
      </c>
      <c r="C157">
        <v>649163</v>
      </c>
      <c r="D157">
        <v>2033072264</v>
      </c>
      <c r="E157" t="s">
        <v>388</v>
      </c>
      <c r="F157" t="s">
        <v>389</v>
      </c>
      <c r="G157" t="s">
        <v>51</v>
      </c>
      <c r="H157" t="s">
        <v>64</v>
      </c>
      <c r="I157" t="s">
        <v>65</v>
      </c>
      <c r="J157" t="s">
        <v>66</v>
      </c>
      <c r="K157">
        <v>673059</v>
      </c>
      <c r="L157" t="s">
        <v>76</v>
      </c>
      <c r="M157" t="s">
        <v>77</v>
      </c>
      <c r="N157" t="s">
        <v>57</v>
      </c>
      <c r="O157" s="1">
        <v>46049</v>
      </c>
      <c r="Q157" s="1">
        <v>46139</v>
      </c>
      <c r="R157" s="2">
        <v>33.9</v>
      </c>
      <c r="S157">
        <v>1</v>
      </c>
      <c r="T157" t="s">
        <v>58</v>
      </c>
      <c r="U157" t="s">
        <v>59</v>
      </c>
      <c r="V157" s="3">
        <v>0.75</v>
      </c>
      <c r="W157" s="2">
        <v>0</v>
      </c>
      <c r="X157">
        <v>0</v>
      </c>
      <c r="Y157" t="s">
        <v>60</v>
      </c>
      <c r="Z157" t="s">
        <v>262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25.42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</row>
    <row r="158" spans="1:43" x14ac:dyDescent="0.3">
      <c r="A158" s="1">
        <v>46104</v>
      </c>
      <c r="B158" t="s">
        <v>48</v>
      </c>
      <c r="C158">
        <v>649163</v>
      </c>
      <c r="D158">
        <v>2033168106</v>
      </c>
      <c r="E158" t="s">
        <v>390</v>
      </c>
      <c r="F158" t="s">
        <v>391</v>
      </c>
      <c r="G158" t="s">
        <v>51</v>
      </c>
      <c r="H158" t="s">
        <v>213</v>
      </c>
      <c r="I158" t="s">
        <v>65</v>
      </c>
      <c r="J158" t="s">
        <v>71</v>
      </c>
      <c r="K158">
        <v>893408</v>
      </c>
      <c r="L158" t="s">
        <v>392</v>
      </c>
      <c r="M158" t="s">
        <v>393</v>
      </c>
      <c r="N158" t="s">
        <v>57</v>
      </c>
      <c r="O158" s="1">
        <v>46053</v>
      </c>
      <c r="Q158" s="1">
        <v>46109</v>
      </c>
      <c r="R158" s="2">
        <v>-46</v>
      </c>
      <c r="S158">
        <v>1</v>
      </c>
      <c r="T158" t="s">
        <v>58</v>
      </c>
      <c r="U158" t="s">
        <v>59</v>
      </c>
      <c r="V158" s="3">
        <v>0.9</v>
      </c>
      <c r="W158" s="2">
        <v>0</v>
      </c>
      <c r="X158">
        <v>-1</v>
      </c>
      <c r="Y158" t="s">
        <v>60</v>
      </c>
      <c r="Z158" t="s">
        <v>262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-41.4</v>
      </c>
      <c r="AN158" s="2">
        <v>-41.4</v>
      </c>
      <c r="AO158" s="2">
        <v>0</v>
      </c>
      <c r="AP158" s="2">
        <v>0</v>
      </c>
      <c r="AQ158" s="2">
        <v>0</v>
      </c>
    </row>
    <row r="159" spans="1:43" x14ac:dyDescent="0.3">
      <c r="A159" s="1">
        <v>46104</v>
      </c>
      <c r="B159" t="s">
        <v>48</v>
      </c>
      <c r="C159">
        <v>649163</v>
      </c>
      <c r="D159">
        <v>2033180564</v>
      </c>
      <c r="E159" t="s">
        <v>394</v>
      </c>
      <c r="F159" t="s">
        <v>395</v>
      </c>
      <c r="G159" t="s">
        <v>51</v>
      </c>
      <c r="H159" t="s">
        <v>74</v>
      </c>
      <c r="I159" t="s">
        <v>65</v>
      </c>
      <c r="J159" t="s">
        <v>66</v>
      </c>
      <c r="K159">
        <v>753748</v>
      </c>
      <c r="L159" t="s">
        <v>146</v>
      </c>
      <c r="M159" t="s">
        <v>116</v>
      </c>
      <c r="N159" t="s">
        <v>57</v>
      </c>
      <c r="O159" s="1">
        <v>46046</v>
      </c>
      <c r="Q159" s="1">
        <v>46136</v>
      </c>
      <c r="R159" s="2">
        <v>108.13</v>
      </c>
      <c r="S159">
        <v>1</v>
      </c>
      <c r="T159" t="s">
        <v>58</v>
      </c>
      <c r="U159" t="s">
        <v>59</v>
      </c>
      <c r="V159" s="3">
        <v>0.75</v>
      </c>
      <c r="W159" s="2">
        <v>0</v>
      </c>
      <c r="X159">
        <v>0</v>
      </c>
      <c r="Y159" t="s">
        <v>60</v>
      </c>
      <c r="Z159" t="s">
        <v>262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81.099999999999994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</row>
    <row r="160" spans="1:43" x14ac:dyDescent="0.3">
      <c r="A160" s="1">
        <v>46104</v>
      </c>
      <c r="B160" t="s">
        <v>48</v>
      </c>
      <c r="C160">
        <v>649163</v>
      </c>
      <c r="D160">
        <v>2033197014</v>
      </c>
      <c r="E160" t="s">
        <v>396</v>
      </c>
      <c r="F160" t="s">
        <v>397</v>
      </c>
      <c r="G160" t="s">
        <v>51</v>
      </c>
      <c r="H160" t="s">
        <v>86</v>
      </c>
      <c r="I160" t="s">
        <v>65</v>
      </c>
      <c r="J160" t="s">
        <v>66</v>
      </c>
      <c r="K160">
        <v>813184</v>
      </c>
      <c r="L160" t="s">
        <v>398</v>
      </c>
      <c r="M160" t="s">
        <v>399</v>
      </c>
      <c r="N160" t="s">
        <v>57</v>
      </c>
      <c r="O160" s="1">
        <v>46044</v>
      </c>
      <c r="Q160" s="1">
        <v>46134</v>
      </c>
      <c r="R160" s="2">
        <v>34.21</v>
      </c>
      <c r="S160">
        <v>1</v>
      </c>
      <c r="T160" t="s">
        <v>58</v>
      </c>
      <c r="U160" t="s">
        <v>59</v>
      </c>
      <c r="V160" s="3">
        <v>0.75</v>
      </c>
      <c r="W160" s="2">
        <v>0</v>
      </c>
      <c r="X160">
        <v>0</v>
      </c>
      <c r="Y160" t="s">
        <v>60</v>
      </c>
      <c r="Z160" t="s">
        <v>262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25.66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</row>
    <row r="161" spans="1:43" x14ac:dyDescent="0.3">
      <c r="A161" s="1">
        <v>46104</v>
      </c>
      <c r="B161" t="s">
        <v>48</v>
      </c>
      <c r="C161">
        <v>649163</v>
      </c>
      <c r="D161">
        <v>2033232752</v>
      </c>
      <c r="E161" t="s">
        <v>400</v>
      </c>
      <c r="F161" t="s">
        <v>99</v>
      </c>
      <c r="G161" t="s">
        <v>51</v>
      </c>
      <c r="H161" t="s">
        <v>103</v>
      </c>
      <c r="I161" t="s">
        <v>65</v>
      </c>
      <c r="J161" t="s">
        <v>71</v>
      </c>
      <c r="K161">
        <v>823068</v>
      </c>
      <c r="L161" t="s">
        <v>149</v>
      </c>
      <c r="M161" t="s">
        <v>150</v>
      </c>
      <c r="N161" t="s">
        <v>57</v>
      </c>
      <c r="O161" s="1">
        <v>46048</v>
      </c>
      <c r="Q161" s="1">
        <v>46138</v>
      </c>
      <c r="R161" s="2">
        <v>113.13</v>
      </c>
      <c r="S161">
        <v>1</v>
      </c>
      <c r="T161" t="s">
        <v>58</v>
      </c>
      <c r="U161" t="s">
        <v>59</v>
      </c>
      <c r="V161" s="3">
        <v>0.9</v>
      </c>
      <c r="W161" s="2">
        <v>0</v>
      </c>
      <c r="X161">
        <v>0</v>
      </c>
      <c r="Y161" t="s">
        <v>60</v>
      </c>
      <c r="Z161" t="s">
        <v>262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101.82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</row>
    <row r="162" spans="1:43" x14ac:dyDescent="0.3">
      <c r="A162" s="1">
        <v>46104</v>
      </c>
      <c r="B162" t="s">
        <v>48</v>
      </c>
      <c r="C162">
        <v>649163</v>
      </c>
      <c r="D162">
        <v>2033245539</v>
      </c>
      <c r="E162" t="s">
        <v>401</v>
      </c>
      <c r="F162" t="s">
        <v>116</v>
      </c>
      <c r="G162" t="s">
        <v>51</v>
      </c>
      <c r="H162" t="s">
        <v>86</v>
      </c>
      <c r="I162" t="s">
        <v>65</v>
      </c>
      <c r="J162" t="s">
        <v>66</v>
      </c>
      <c r="K162">
        <v>856824</v>
      </c>
      <c r="L162" t="s">
        <v>125</v>
      </c>
      <c r="M162" t="s">
        <v>126</v>
      </c>
      <c r="N162" t="s">
        <v>57</v>
      </c>
      <c r="O162" s="1">
        <v>46043</v>
      </c>
      <c r="Q162" s="1">
        <v>46133</v>
      </c>
      <c r="R162" s="2">
        <v>9.1300000000000008</v>
      </c>
      <c r="S162">
        <v>1</v>
      </c>
      <c r="T162" t="s">
        <v>58</v>
      </c>
      <c r="U162" t="s">
        <v>59</v>
      </c>
      <c r="V162" s="3">
        <v>0.75</v>
      </c>
      <c r="W162" s="2">
        <v>0</v>
      </c>
      <c r="X162">
        <v>0</v>
      </c>
      <c r="Y162" t="s">
        <v>60</v>
      </c>
      <c r="Z162" t="s">
        <v>262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6.85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3">
      <c r="A163" s="1">
        <v>46104</v>
      </c>
      <c r="B163" t="s">
        <v>48</v>
      </c>
      <c r="C163">
        <v>649163</v>
      </c>
      <c r="D163">
        <v>2033259763</v>
      </c>
      <c r="E163" t="s">
        <v>402</v>
      </c>
      <c r="F163" t="s">
        <v>403</v>
      </c>
      <c r="G163" t="s">
        <v>51</v>
      </c>
      <c r="H163" t="s">
        <v>64</v>
      </c>
      <c r="I163" t="s">
        <v>65</v>
      </c>
      <c r="J163" t="s">
        <v>66</v>
      </c>
      <c r="K163">
        <v>823350</v>
      </c>
      <c r="L163" t="s">
        <v>67</v>
      </c>
      <c r="M163" t="s">
        <v>68</v>
      </c>
      <c r="N163" t="s">
        <v>57</v>
      </c>
      <c r="O163" s="1">
        <v>46047</v>
      </c>
      <c r="Q163" s="1">
        <v>46137</v>
      </c>
      <c r="R163" s="2">
        <v>69.3</v>
      </c>
      <c r="S163">
        <v>1</v>
      </c>
      <c r="T163" t="s">
        <v>58</v>
      </c>
      <c r="U163" t="s">
        <v>59</v>
      </c>
      <c r="V163" s="3">
        <v>0.75</v>
      </c>
      <c r="W163" s="2">
        <v>0</v>
      </c>
      <c r="X163">
        <v>0</v>
      </c>
      <c r="Y163" t="s">
        <v>60</v>
      </c>
      <c r="Z163" t="s">
        <v>262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51.98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</row>
    <row r="164" spans="1:43" x14ac:dyDescent="0.3">
      <c r="A164" s="1">
        <v>46104</v>
      </c>
      <c r="B164" t="s">
        <v>48</v>
      </c>
      <c r="C164">
        <v>649163</v>
      </c>
      <c r="D164">
        <v>2033302442</v>
      </c>
      <c r="E164" t="s">
        <v>404</v>
      </c>
      <c r="F164" t="s">
        <v>405</v>
      </c>
      <c r="G164" t="s">
        <v>51</v>
      </c>
      <c r="H164" t="s">
        <v>64</v>
      </c>
      <c r="I164" t="s">
        <v>65</v>
      </c>
      <c r="J164" t="s">
        <v>66</v>
      </c>
      <c r="K164">
        <v>843573</v>
      </c>
      <c r="L164" t="s">
        <v>406</v>
      </c>
      <c r="M164" t="s">
        <v>197</v>
      </c>
      <c r="N164" t="s">
        <v>57</v>
      </c>
      <c r="O164" s="1">
        <v>46047</v>
      </c>
      <c r="Q164" s="1">
        <v>46137</v>
      </c>
      <c r="R164" s="2">
        <v>37.33</v>
      </c>
      <c r="S164">
        <v>1</v>
      </c>
      <c r="T164" t="s">
        <v>58</v>
      </c>
      <c r="U164" t="s">
        <v>59</v>
      </c>
      <c r="V164" s="3">
        <v>0.75</v>
      </c>
      <c r="W164" s="2">
        <v>0</v>
      </c>
      <c r="X164">
        <v>0</v>
      </c>
      <c r="Y164" t="s">
        <v>60</v>
      </c>
      <c r="Z164" t="s">
        <v>262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28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</row>
    <row r="165" spans="1:43" x14ac:dyDescent="0.3">
      <c r="A165" s="1">
        <v>46104</v>
      </c>
      <c r="B165" t="s">
        <v>48</v>
      </c>
      <c r="C165">
        <v>649163</v>
      </c>
      <c r="D165">
        <v>2033782856</v>
      </c>
      <c r="E165" t="s">
        <v>407</v>
      </c>
      <c r="F165" t="s">
        <v>408</v>
      </c>
      <c r="G165" t="s">
        <v>51</v>
      </c>
      <c r="H165" t="s">
        <v>103</v>
      </c>
      <c r="I165" t="s">
        <v>65</v>
      </c>
      <c r="J165" t="s">
        <v>71</v>
      </c>
      <c r="K165">
        <v>902625</v>
      </c>
      <c r="L165" t="s">
        <v>108</v>
      </c>
      <c r="M165" t="s">
        <v>109</v>
      </c>
      <c r="N165" t="s">
        <v>57</v>
      </c>
      <c r="O165" s="1">
        <v>46074</v>
      </c>
      <c r="Q165" s="1">
        <v>46133</v>
      </c>
      <c r="R165" s="2">
        <v>20.059999999999999</v>
      </c>
      <c r="S165">
        <v>1</v>
      </c>
      <c r="T165" t="s">
        <v>58</v>
      </c>
      <c r="U165" t="s">
        <v>59</v>
      </c>
      <c r="V165" s="3">
        <v>0.9</v>
      </c>
      <c r="W165" s="2">
        <v>0</v>
      </c>
      <c r="X165">
        <v>0</v>
      </c>
      <c r="Y165" t="s">
        <v>60</v>
      </c>
      <c r="Z165" t="s">
        <v>262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18.05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</row>
    <row r="166" spans="1:43" x14ac:dyDescent="0.3">
      <c r="A166" s="1">
        <v>46104</v>
      </c>
      <c r="B166" t="s">
        <v>48</v>
      </c>
      <c r="C166">
        <v>649163</v>
      </c>
      <c r="D166">
        <v>2033798485</v>
      </c>
      <c r="E166" t="s">
        <v>409</v>
      </c>
      <c r="F166" t="s">
        <v>410</v>
      </c>
      <c r="G166" t="s">
        <v>51</v>
      </c>
      <c r="H166" t="s">
        <v>103</v>
      </c>
      <c r="I166" t="s">
        <v>65</v>
      </c>
      <c r="J166" t="s">
        <v>71</v>
      </c>
      <c r="K166">
        <v>902625</v>
      </c>
      <c r="L166" t="s">
        <v>108</v>
      </c>
      <c r="M166" t="s">
        <v>109</v>
      </c>
      <c r="N166" t="s">
        <v>57</v>
      </c>
      <c r="O166" s="1">
        <v>46075</v>
      </c>
      <c r="Q166" s="1">
        <v>46134</v>
      </c>
      <c r="R166" s="2">
        <v>60.25</v>
      </c>
      <c r="S166">
        <v>1</v>
      </c>
      <c r="T166" t="s">
        <v>58</v>
      </c>
      <c r="U166" t="s">
        <v>59</v>
      </c>
      <c r="V166" s="3">
        <v>0.9</v>
      </c>
      <c r="W166" s="2">
        <v>0</v>
      </c>
      <c r="X166">
        <v>0</v>
      </c>
      <c r="Y166" t="s">
        <v>60</v>
      </c>
      <c r="Z166" t="s">
        <v>262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54.22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3">
      <c r="A167" s="1">
        <v>46104</v>
      </c>
      <c r="B167" t="s">
        <v>48</v>
      </c>
      <c r="C167">
        <v>649163</v>
      </c>
      <c r="D167">
        <v>2033802655</v>
      </c>
      <c r="E167" t="s">
        <v>411</v>
      </c>
      <c r="F167" t="s">
        <v>412</v>
      </c>
      <c r="G167" t="s">
        <v>51</v>
      </c>
      <c r="H167" t="s">
        <v>86</v>
      </c>
      <c r="I167" t="s">
        <v>65</v>
      </c>
      <c r="J167" t="s">
        <v>66</v>
      </c>
      <c r="K167">
        <v>878036</v>
      </c>
      <c r="L167" t="s">
        <v>165</v>
      </c>
      <c r="M167" t="s">
        <v>166</v>
      </c>
      <c r="N167" t="s">
        <v>57</v>
      </c>
      <c r="O167" s="1">
        <v>46075</v>
      </c>
      <c r="Q167" s="1">
        <v>46134</v>
      </c>
      <c r="R167" s="2">
        <v>27.4</v>
      </c>
      <c r="S167">
        <v>1</v>
      </c>
      <c r="T167" t="s">
        <v>58</v>
      </c>
      <c r="U167" t="s">
        <v>59</v>
      </c>
      <c r="V167" s="3">
        <v>0.75</v>
      </c>
      <c r="W167" s="2">
        <v>0</v>
      </c>
      <c r="X167">
        <v>0</v>
      </c>
      <c r="Y167" t="s">
        <v>60</v>
      </c>
      <c r="Z167" t="s">
        <v>262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20.55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3">
      <c r="A168" s="1">
        <v>46104</v>
      </c>
      <c r="B168" t="s">
        <v>48</v>
      </c>
      <c r="C168">
        <v>649163</v>
      </c>
      <c r="D168">
        <v>2033806189</v>
      </c>
      <c r="E168" t="s">
        <v>242</v>
      </c>
      <c r="F168" t="s">
        <v>413</v>
      </c>
      <c r="G168" t="s">
        <v>51</v>
      </c>
      <c r="H168" t="s">
        <v>86</v>
      </c>
      <c r="I168" t="s">
        <v>65</v>
      </c>
      <c r="J168" t="s">
        <v>315</v>
      </c>
      <c r="K168">
        <v>882862</v>
      </c>
      <c r="L168" t="s">
        <v>414</v>
      </c>
      <c r="M168" t="s">
        <v>105</v>
      </c>
      <c r="N168" t="s">
        <v>57</v>
      </c>
      <c r="O168" s="1">
        <v>46079</v>
      </c>
      <c r="Q168" s="1">
        <v>46138</v>
      </c>
      <c r="R168" s="2">
        <v>87.26</v>
      </c>
      <c r="S168">
        <v>1</v>
      </c>
      <c r="T168" t="s">
        <v>58</v>
      </c>
      <c r="U168" t="s">
        <v>59</v>
      </c>
      <c r="V168" s="3">
        <v>0.65</v>
      </c>
      <c r="W168" s="2">
        <v>0</v>
      </c>
      <c r="X168">
        <v>0</v>
      </c>
      <c r="Y168" t="s">
        <v>60</v>
      </c>
      <c r="Z168" t="s">
        <v>262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56.72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</row>
    <row r="169" spans="1:43" x14ac:dyDescent="0.3">
      <c r="A169" s="1">
        <v>46104</v>
      </c>
      <c r="B169" t="s">
        <v>48</v>
      </c>
      <c r="C169">
        <v>649163</v>
      </c>
      <c r="D169">
        <v>2033849858</v>
      </c>
      <c r="E169" t="s">
        <v>415</v>
      </c>
      <c r="F169" t="s">
        <v>186</v>
      </c>
      <c r="G169" t="s">
        <v>51</v>
      </c>
      <c r="H169" t="s">
        <v>122</v>
      </c>
      <c r="I169" t="s">
        <v>65</v>
      </c>
      <c r="J169" t="s">
        <v>66</v>
      </c>
      <c r="K169">
        <v>673059</v>
      </c>
      <c r="L169" t="s">
        <v>76</v>
      </c>
      <c r="M169" t="s">
        <v>77</v>
      </c>
      <c r="N169" t="s">
        <v>57</v>
      </c>
      <c r="O169" s="1">
        <v>46077</v>
      </c>
      <c r="Q169" s="1">
        <v>46136</v>
      </c>
      <c r="R169" s="2">
        <v>102.33</v>
      </c>
      <c r="S169">
        <v>1</v>
      </c>
      <c r="T169" t="s">
        <v>58</v>
      </c>
      <c r="U169" t="s">
        <v>59</v>
      </c>
      <c r="V169" s="3">
        <v>0.75</v>
      </c>
      <c r="W169" s="2">
        <v>0</v>
      </c>
      <c r="X169">
        <v>0</v>
      </c>
      <c r="Y169" t="s">
        <v>60</v>
      </c>
      <c r="Z169" t="s">
        <v>262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76.75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3">
      <c r="A170" s="1">
        <v>46104</v>
      </c>
      <c r="B170" t="s">
        <v>48</v>
      </c>
      <c r="C170">
        <v>649163</v>
      </c>
      <c r="D170">
        <v>2033859752</v>
      </c>
      <c r="E170" t="s">
        <v>416</v>
      </c>
      <c r="F170" t="s">
        <v>417</v>
      </c>
      <c r="G170" t="s">
        <v>51</v>
      </c>
      <c r="H170" t="s">
        <v>418</v>
      </c>
      <c r="I170" t="s">
        <v>65</v>
      </c>
      <c r="J170" t="s">
        <v>71</v>
      </c>
      <c r="K170">
        <v>902625</v>
      </c>
      <c r="L170" t="s">
        <v>108</v>
      </c>
      <c r="M170" t="s">
        <v>109</v>
      </c>
      <c r="N170" t="s">
        <v>57</v>
      </c>
      <c r="O170" s="1">
        <v>46078</v>
      </c>
      <c r="Q170" s="1">
        <v>46137</v>
      </c>
      <c r="R170" s="2">
        <v>30.05</v>
      </c>
      <c r="S170">
        <v>1</v>
      </c>
      <c r="T170" t="s">
        <v>58</v>
      </c>
      <c r="U170" t="s">
        <v>59</v>
      </c>
      <c r="V170" s="3">
        <v>0.9</v>
      </c>
      <c r="W170" s="2">
        <v>0</v>
      </c>
      <c r="X170">
        <v>0</v>
      </c>
      <c r="Y170" t="s">
        <v>60</v>
      </c>
      <c r="Z170" t="s">
        <v>262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27.04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3">
      <c r="A171" s="1">
        <v>46104</v>
      </c>
      <c r="B171" t="s">
        <v>48</v>
      </c>
      <c r="C171">
        <v>649163</v>
      </c>
      <c r="D171">
        <v>2033900704</v>
      </c>
      <c r="E171" t="s">
        <v>419</v>
      </c>
      <c r="F171" t="s">
        <v>420</v>
      </c>
      <c r="G171" t="s">
        <v>51</v>
      </c>
      <c r="H171" t="s">
        <v>191</v>
      </c>
      <c r="I171" t="s">
        <v>65</v>
      </c>
      <c r="J171" t="s">
        <v>66</v>
      </c>
      <c r="K171">
        <v>673059</v>
      </c>
      <c r="L171" t="s">
        <v>76</v>
      </c>
      <c r="M171" t="s">
        <v>77</v>
      </c>
      <c r="N171" t="s">
        <v>271</v>
      </c>
      <c r="O171" s="1">
        <v>46095</v>
      </c>
      <c r="P171" s="1">
        <v>46104</v>
      </c>
      <c r="Q171" s="1">
        <v>46126</v>
      </c>
      <c r="R171" s="2">
        <v>-41.38</v>
      </c>
      <c r="S171">
        <v>1</v>
      </c>
      <c r="T171" t="s">
        <v>58</v>
      </c>
      <c r="U171" t="s">
        <v>59</v>
      </c>
      <c r="V171" s="3">
        <v>0.75</v>
      </c>
      <c r="W171" s="2">
        <v>0</v>
      </c>
      <c r="X171">
        <v>-1</v>
      </c>
      <c r="Y171" t="s">
        <v>60</v>
      </c>
      <c r="Z171" t="s">
        <v>262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-31.04</v>
      </c>
      <c r="AN171" s="2">
        <v>-31.04</v>
      </c>
      <c r="AO171" s="2">
        <v>0</v>
      </c>
      <c r="AP171" s="2">
        <v>0</v>
      </c>
      <c r="AQ171" s="2">
        <v>0</v>
      </c>
    </row>
    <row r="172" spans="1:43" x14ac:dyDescent="0.3">
      <c r="A172" s="1">
        <v>46104</v>
      </c>
      <c r="B172" t="s">
        <v>48</v>
      </c>
      <c r="C172">
        <v>649163</v>
      </c>
      <c r="D172">
        <v>2033916972</v>
      </c>
      <c r="E172" t="s">
        <v>173</v>
      </c>
      <c r="F172" t="s">
        <v>421</v>
      </c>
      <c r="G172" t="s">
        <v>51</v>
      </c>
      <c r="H172" t="s">
        <v>103</v>
      </c>
      <c r="I172" t="s">
        <v>65</v>
      </c>
      <c r="J172" t="s">
        <v>71</v>
      </c>
      <c r="K172">
        <v>902625</v>
      </c>
      <c r="L172" t="s">
        <v>108</v>
      </c>
      <c r="M172" t="s">
        <v>109</v>
      </c>
      <c r="N172" t="s">
        <v>57</v>
      </c>
      <c r="O172" s="1">
        <v>46079</v>
      </c>
      <c r="Q172" s="1">
        <v>46138</v>
      </c>
      <c r="R172" s="2">
        <v>17.8</v>
      </c>
      <c r="S172">
        <v>1</v>
      </c>
      <c r="T172" t="s">
        <v>58</v>
      </c>
      <c r="U172" t="s">
        <v>59</v>
      </c>
      <c r="V172" s="3">
        <v>0.9</v>
      </c>
      <c r="W172" s="2">
        <v>0</v>
      </c>
      <c r="X172">
        <v>0</v>
      </c>
      <c r="Y172" t="s">
        <v>60</v>
      </c>
      <c r="Z172" t="s">
        <v>262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16.02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3">
      <c r="A173" s="1">
        <v>46104</v>
      </c>
      <c r="B173" t="s">
        <v>48</v>
      </c>
      <c r="C173">
        <v>649163</v>
      </c>
      <c r="D173">
        <v>2033957113</v>
      </c>
      <c r="E173" t="s">
        <v>153</v>
      </c>
      <c r="F173" t="s">
        <v>422</v>
      </c>
      <c r="G173" t="s">
        <v>51</v>
      </c>
      <c r="H173" t="s">
        <v>64</v>
      </c>
      <c r="I173" t="s">
        <v>65</v>
      </c>
      <c r="J173" t="s">
        <v>71</v>
      </c>
      <c r="K173">
        <v>768887</v>
      </c>
      <c r="L173" t="s">
        <v>153</v>
      </c>
      <c r="M173" t="s">
        <v>154</v>
      </c>
      <c r="N173" t="s">
        <v>57</v>
      </c>
      <c r="O173" s="1">
        <v>46080</v>
      </c>
      <c r="Q173" s="1">
        <v>46139</v>
      </c>
      <c r="R173" s="2">
        <v>30.84</v>
      </c>
      <c r="S173">
        <v>1</v>
      </c>
      <c r="T173" t="s">
        <v>58</v>
      </c>
      <c r="U173" t="s">
        <v>59</v>
      </c>
      <c r="V173" s="3">
        <v>0.9</v>
      </c>
      <c r="W173" s="2">
        <v>0</v>
      </c>
      <c r="X173">
        <v>0</v>
      </c>
      <c r="Y173" t="s">
        <v>60</v>
      </c>
      <c r="Z173" t="s">
        <v>262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27.76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3">
      <c r="A174" s="1">
        <v>46104</v>
      </c>
      <c r="B174" t="s">
        <v>48</v>
      </c>
      <c r="C174">
        <v>649163</v>
      </c>
      <c r="D174">
        <v>2022974572</v>
      </c>
      <c r="E174" t="s">
        <v>423</v>
      </c>
      <c r="F174" t="s">
        <v>424</v>
      </c>
      <c r="G174" t="s">
        <v>51</v>
      </c>
      <c r="H174" t="s">
        <v>64</v>
      </c>
      <c r="I174" t="s">
        <v>157</v>
      </c>
      <c r="J174" t="s">
        <v>425</v>
      </c>
      <c r="K174">
        <v>651818</v>
      </c>
      <c r="L174" t="s">
        <v>96</v>
      </c>
      <c r="M174" t="s">
        <v>97</v>
      </c>
      <c r="N174" t="s">
        <v>57</v>
      </c>
      <c r="O174" s="1">
        <v>45433</v>
      </c>
      <c r="Q174" s="1">
        <v>46133</v>
      </c>
      <c r="R174" s="2">
        <v>15</v>
      </c>
      <c r="S174">
        <v>1</v>
      </c>
      <c r="T174" t="s">
        <v>58</v>
      </c>
      <c r="U174" t="s">
        <v>260</v>
      </c>
      <c r="V174" s="3">
        <v>0.28999999999999998</v>
      </c>
      <c r="W174" s="2">
        <v>0</v>
      </c>
      <c r="X174">
        <v>0</v>
      </c>
      <c r="Y174" t="s">
        <v>261</v>
      </c>
      <c r="Z174" t="s">
        <v>262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4.3499999999999996</v>
      </c>
      <c r="AN174" s="2">
        <v>4.3499999999999996</v>
      </c>
      <c r="AO174" s="2">
        <v>0</v>
      </c>
      <c r="AP174" s="2">
        <v>0</v>
      </c>
      <c r="AQ174" s="2">
        <v>0</v>
      </c>
    </row>
    <row r="175" spans="1:43" x14ac:dyDescent="0.3">
      <c r="A175" s="1">
        <v>46104</v>
      </c>
      <c r="B175" t="s">
        <v>48</v>
      </c>
      <c r="C175">
        <v>649163</v>
      </c>
      <c r="D175">
        <v>2023625918</v>
      </c>
      <c r="E175" t="s">
        <v>426</v>
      </c>
      <c r="F175" t="s">
        <v>427</v>
      </c>
      <c r="G175" t="s">
        <v>51</v>
      </c>
      <c r="H175" t="s">
        <v>129</v>
      </c>
      <c r="I175" t="s">
        <v>157</v>
      </c>
      <c r="J175" t="s">
        <v>428</v>
      </c>
      <c r="K175">
        <v>673059</v>
      </c>
      <c r="L175" t="s">
        <v>76</v>
      </c>
      <c r="M175" t="s">
        <v>77</v>
      </c>
      <c r="N175" t="s">
        <v>57</v>
      </c>
      <c r="O175" s="1">
        <v>45466</v>
      </c>
      <c r="Q175" s="1">
        <v>46135</v>
      </c>
      <c r="R175" s="2">
        <v>15</v>
      </c>
      <c r="S175">
        <v>1</v>
      </c>
      <c r="T175" t="s">
        <v>58</v>
      </c>
      <c r="U175" t="s">
        <v>260</v>
      </c>
      <c r="V175" s="3">
        <v>0.19</v>
      </c>
      <c r="W175" s="2">
        <v>0</v>
      </c>
      <c r="X175">
        <v>0</v>
      </c>
      <c r="Y175" t="s">
        <v>261</v>
      </c>
      <c r="Z175" t="s">
        <v>262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2.85</v>
      </c>
      <c r="AN175" s="2">
        <v>2.85</v>
      </c>
      <c r="AO175" s="2">
        <v>0</v>
      </c>
      <c r="AP175" s="2">
        <v>0</v>
      </c>
      <c r="AQ175" s="2">
        <v>0</v>
      </c>
    </row>
    <row r="176" spans="1:43" x14ac:dyDescent="0.3">
      <c r="A176" s="1">
        <v>46104</v>
      </c>
      <c r="B176" t="s">
        <v>48</v>
      </c>
      <c r="C176">
        <v>649163</v>
      </c>
      <c r="D176">
        <v>2023809266</v>
      </c>
      <c r="E176" t="s">
        <v>429</v>
      </c>
      <c r="F176" t="s">
        <v>430</v>
      </c>
      <c r="G176" t="s">
        <v>51</v>
      </c>
      <c r="H176" t="s">
        <v>191</v>
      </c>
      <c r="I176" t="s">
        <v>157</v>
      </c>
      <c r="J176" t="s">
        <v>425</v>
      </c>
      <c r="K176">
        <v>673059</v>
      </c>
      <c r="L176" t="s">
        <v>76</v>
      </c>
      <c r="M176" t="s">
        <v>77</v>
      </c>
      <c r="N176" t="s">
        <v>57</v>
      </c>
      <c r="O176" s="1">
        <v>45653</v>
      </c>
      <c r="Q176" s="1">
        <v>46139</v>
      </c>
      <c r="R176" s="2">
        <v>15</v>
      </c>
      <c r="S176">
        <v>1</v>
      </c>
      <c r="T176" t="s">
        <v>58</v>
      </c>
      <c r="U176" t="s">
        <v>260</v>
      </c>
      <c r="V176" s="3">
        <v>0.28999999999999998</v>
      </c>
      <c r="W176" s="2">
        <v>0</v>
      </c>
      <c r="X176">
        <v>0</v>
      </c>
      <c r="Y176" t="s">
        <v>261</v>
      </c>
      <c r="Z176" t="s">
        <v>262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4.3499999999999996</v>
      </c>
      <c r="AN176" s="2">
        <v>4.3499999999999996</v>
      </c>
      <c r="AO176" s="2">
        <v>0</v>
      </c>
      <c r="AP176" s="2">
        <v>0</v>
      </c>
      <c r="AQ176" s="2">
        <v>0</v>
      </c>
    </row>
    <row r="177" spans="1:43" x14ac:dyDescent="0.3">
      <c r="A177" s="1">
        <v>46104</v>
      </c>
      <c r="B177" t="s">
        <v>48</v>
      </c>
      <c r="C177">
        <v>649163</v>
      </c>
      <c r="D177">
        <v>2026265886</v>
      </c>
      <c r="E177" t="s">
        <v>431</v>
      </c>
      <c r="F177" t="s">
        <v>432</v>
      </c>
      <c r="G177" t="s">
        <v>51</v>
      </c>
      <c r="H177" t="s">
        <v>74</v>
      </c>
      <c r="I177" t="s">
        <v>157</v>
      </c>
      <c r="J177" t="s">
        <v>158</v>
      </c>
      <c r="K177">
        <v>756418</v>
      </c>
      <c r="L177" t="s">
        <v>433</v>
      </c>
      <c r="M177" t="s">
        <v>434</v>
      </c>
      <c r="N177" t="s">
        <v>57</v>
      </c>
      <c r="O177" s="1">
        <v>45647</v>
      </c>
      <c r="Q177" s="1">
        <v>46133</v>
      </c>
      <c r="R177" s="2">
        <v>15</v>
      </c>
      <c r="S177">
        <v>1</v>
      </c>
      <c r="T177" t="s">
        <v>58</v>
      </c>
      <c r="U177" t="s">
        <v>260</v>
      </c>
      <c r="V177" s="3">
        <v>0.1</v>
      </c>
      <c r="W177" s="2">
        <v>0</v>
      </c>
      <c r="X177">
        <v>0</v>
      </c>
      <c r="Y177" t="s">
        <v>261</v>
      </c>
      <c r="Z177" t="s">
        <v>262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1.5</v>
      </c>
      <c r="AN177" s="2">
        <v>1.5</v>
      </c>
      <c r="AO177" s="2">
        <v>0</v>
      </c>
      <c r="AP177" s="2">
        <v>0</v>
      </c>
      <c r="AQ177" s="2">
        <v>0</v>
      </c>
    </row>
    <row r="178" spans="1:43" x14ac:dyDescent="0.3">
      <c r="A178" s="1">
        <v>46104</v>
      </c>
      <c r="B178" t="s">
        <v>48</v>
      </c>
      <c r="C178">
        <v>649163</v>
      </c>
      <c r="D178">
        <v>2028533940</v>
      </c>
      <c r="E178" t="s">
        <v>435</v>
      </c>
      <c r="F178" t="s">
        <v>436</v>
      </c>
      <c r="G178" t="s">
        <v>51</v>
      </c>
      <c r="H178" t="s">
        <v>64</v>
      </c>
      <c r="I178" t="s">
        <v>157</v>
      </c>
      <c r="J178" t="s">
        <v>437</v>
      </c>
      <c r="K178">
        <v>820873</v>
      </c>
      <c r="L178" t="s">
        <v>438</v>
      </c>
      <c r="M178" t="s">
        <v>439</v>
      </c>
      <c r="N178" t="s">
        <v>57</v>
      </c>
      <c r="O178" s="1">
        <v>45770</v>
      </c>
      <c r="Q178" s="1">
        <v>46135</v>
      </c>
      <c r="R178" s="2">
        <v>15</v>
      </c>
      <c r="S178">
        <v>1</v>
      </c>
      <c r="T178" t="s">
        <v>58</v>
      </c>
      <c r="U178" t="s">
        <v>260</v>
      </c>
      <c r="V178" s="3">
        <v>0.38</v>
      </c>
      <c r="W178" s="2">
        <v>0</v>
      </c>
      <c r="X178">
        <v>0</v>
      </c>
      <c r="Y178" t="s">
        <v>60</v>
      </c>
      <c r="Z178" t="s">
        <v>262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5.7</v>
      </c>
      <c r="AN178" s="2">
        <v>5.7</v>
      </c>
      <c r="AO178" s="2">
        <v>0</v>
      </c>
      <c r="AP178" s="2">
        <v>0</v>
      </c>
      <c r="AQ178" s="2">
        <v>0</v>
      </c>
    </row>
    <row r="179" spans="1:43" x14ac:dyDescent="0.3">
      <c r="A179" s="1">
        <v>46104</v>
      </c>
      <c r="B179" t="s">
        <v>48</v>
      </c>
      <c r="C179">
        <v>649163</v>
      </c>
      <c r="D179">
        <v>2029051888</v>
      </c>
      <c r="E179" t="s">
        <v>167</v>
      </c>
      <c r="F179" t="s">
        <v>440</v>
      </c>
      <c r="G179" t="s">
        <v>51</v>
      </c>
      <c r="H179" t="s">
        <v>74</v>
      </c>
      <c r="I179" t="s">
        <v>157</v>
      </c>
      <c r="J179" t="s">
        <v>425</v>
      </c>
      <c r="K179">
        <v>856824</v>
      </c>
      <c r="L179" t="s">
        <v>125</v>
      </c>
      <c r="M179" t="s">
        <v>126</v>
      </c>
      <c r="N179" t="s">
        <v>57</v>
      </c>
      <c r="O179" s="1">
        <v>45799</v>
      </c>
      <c r="Q179" s="1">
        <v>46134</v>
      </c>
      <c r="R179" s="2">
        <v>15</v>
      </c>
      <c r="S179">
        <v>1</v>
      </c>
      <c r="T179" t="s">
        <v>58</v>
      </c>
      <c r="U179" t="s">
        <v>260</v>
      </c>
      <c r="V179" s="3">
        <v>0.28999999999999998</v>
      </c>
      <c r="W179" s="2">
        <v>0</v>
      </c>
      <c r="X179">
        <v>0</v>
      </c>
      <c r="Y179" t="s">
        <v>60</v>
      </c>
      <c r="Z179" t="s">
        <v>262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4.3499999999999996</v>
      </c>
      <c r="AN179" s="2">
        <v>4.3499999999999996</v>
      </c>
      <c r="AO179" s="2">
        <v>0</v>
      </c>
      <c r="AP179" s="2">
        <v>0</v>
      </c>
      <c r="AQ179" s="2">
        <v>0</v>
      </c>
    </row>
    <row r="180" spans="1:43" x14ac:dyDescent="0.3">
      <c r="A180" s="1">
        <v>46104</v>
      </c>
      <c r="B180" t="s">
        <v>48</v>
      </c>
      <c r="C180">
        <v>649163</v>
      </c>
      <c r="D180">
        <v>2029620631</v>
      </c>
      <c r="E180" t="s">
        <v>335</v>
      </c>
      <c r="F180" t="s">
        <v>336</v>
      </c>
      <c r="G180" t="s">
        <v>51</v>
      </c>
      <c r="H180" t="s">
        <v>64</v>
      </c>
      <c r="I180" t="s">
        <v>157</v>
      </c>
      <c r="J180" t="s">
        <v>437</v>
      </c>
      <c r="K180">
        <v>824062</v>
      </c>
      <c r="L180" t="s">
        <v>91</v>
      </c>
      <c r="M180" t="s">
        <v>92</v>
      </c>
      <c r="N180" t="s">
        <v>57</v>
      </c>
      <c r="O180" s="1">
        <v>45833</v>
      </c>
      <c r="Q180" s="1">
        <v>46137</v>
      </c>
      <c r="R180" s="2">
        <v>15</v>
      </c>
      <c r="S180">
        <v>1</v>
      </c>
      <c r="T180" t="s">
        <v>58</v>
      </c>
      <c r="U180" t="s">
        <v>260</v>
      </c>
      <c r="V180" s="3">
        <v>0.38</v>
      </c>
      <c r="W180" s="2">
        <v>0</v>
      </c>
      <c r="X180">
        <v>0</v>
      </c>
      <c r="Y180" t="s">
        <v>60</v>
      </c>
      <c r="Z180" t="s">
        <v>262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5.7</v>
      </c>
      <c r="AN180" s="2">
        <v>5.7</v>
      </c>
      <c r="AO180" s="2">
        <v>0</v>
      </c>
      <c r="AP180" s="2">
        <v>0</v>
      </c>
      <c r="AQ180" s="2">
        <v>0</v>
      </c>
    </row>
    <row r="181" spans="1:43" x14ac:dyDescent="0.3">
      <c r="A181" s="1">
        <v>46104</v>
      </c>
      <c r="B181" t="s">
        <v>48</v>
      </c>
      <c r="C181">
        <v>649163</v>
      </c>
      <c r="D181">
        <v>2029623278</v>
      </c>
      <c r="E181" t="s">
        <v>441</v>
      </c>
      <c r="F181" t="s">
        <v>442</v>
      </c>
      <c r="G181" t="s">
        <v>51</v>
      </c>
      <c r="H181" t="s">
        <v>64</v>
      </c>
      <c r="I181" t="s">
        <v>157</v>
      </c>
      <c r="J181" t="s">
        <v>437</v>
      </c>
      <c r="K181">
        <v>840313</v>
      </c>
      <c r="L181" t="s">
        <v>443</v>
      </c>
      <c r="M181" t="s">
        <v>444</v>
      </c>
      <c r="N181" t="s">
        <v>57</v>
      </c>
      <c r="O181" s="1">
        <v>45833</v>
      </c>
      <c r="Q181" s="1">
        <v>46137</v>
      </c>
      <c r="R181" s="2">
        <v>15</v>
      </c>
      <c r="S181">
        <v>1</v>
      </c>
      <c r="T181" t="s">
        <v>58</v>
      </c>
      <c r="U181" t="s">
        <v>260</v>
      </c>
      <c r="V181" s="3">
        <v>0.38</v>
      </c>
      <c r="W181" s="2">
        <v>0</v>
      </c>
      <c r="X181">
        <v>0</v>
      </c>
      <c r="Y181" t="s">
        <v>60</v>
      </c>
      <c r="Z181" t="s">
        <v>262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5.7</v>
      </c>
      <c r="AN181" s="2">
        <v>5.7</v>
      </c>
      <c r="AO181" s="2">
        <v>0</v>
      </c>
      <c r="AP181" s="2">
        <v>0</v>
      </c>
      <c r="AQ181" s="2">
        <v>0</v>
      </c>
    </row>
    <row r="182" spans="1:43" x14ac:dyDescent="0.3">
      <c r="A182" s="1">
        <v>46104</v>
      </c>
      <c r="B182" t="s">
        <v>48</v>
      </c>
      <c r="C182">
        <v>649163</v>
      </c>
      <c r="D182">
        <v>2031226329</v>
      </c>
      <c r="E182" t="s">
        <v>445</v>
      </c>
      <c r="F182" t="s">
        <v>446</v>
      </c>
      <c r="G182" t="s">
        <v>51</v>
      </c>
      <c r="H182" t="s">
        <v>74</v>
      </c>
      <c r="I182" t="s">
        <v>157</v>
      </c>
      <c r="J182" t="s">
        <v>437</v>
      </c>
      <c r="K182">
        <v>820873</v>
      </c>
      <c r="L182" t="s">
        <v>438</v>
      </c>
      <c r="M182" t="s">
        <v>439</v>
      </c>
      <c r="N182" t="s">
        <v>57</v>
      </c>
      <c r="O182" s="1">
        <v>45924</v>
      </c>
      <c r="Q182" s="1">
        <v>46136</v>
      </c>
      <c r="R182" s="2">
        <v>15</v>
      </c>
      <c r="S182">
        <v>1</v>
      </c>
      <c r="T182" t="s">
        <v>58</v>
      </c>
      <c r="U182" t="s">
        <v>447</v>
      </c>
      <c r="V182" s="3">
        <v>0.38</v>
      </c>
      <c r="W182" s="2">
        <v>0</v>
      </c>
      <c r="X182">
        <v>0</v>
      </c>
      <c r="Y182" t="s">
        <v>60</v>
      </c>
      <c r="Z182" t="s">
        <v>262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5.7</v>
      </c>
      <c r="AN182" s="2">
        <v>5.7</v>
      </c>
      <c r="AO182" s="2">
        <v>0</v>
      </c>
      <c r="AP182" s="2">
        <v>0</v>
      </c>
      <c r="AQ182" s="2">
        <v>0</v>
      </c>
    </row>
    <row r="183" spans="1:43" x14ac:dyDescent="0.3">
      <c r="A183" s="1">
        <v>46104</v>
      </c>
      <c r="B183" t="s">
        <v>48</v>
      </c>
      <c r="C183">
        <v>649163</v>
      </c>
      <c r="D183">
        <v>2031255011</v>
      </c>
      <c r="E183" t="s">
        <v>448</v>
      </c>
      <c r="F183" t="s">
        <v>449</v>
      </c>
      <c r="G183" t="s">
        <v>51</v>
      </c>
      <c r="H183" t="s">
        <v>64</v>
      </c>
      <c r="I183" t="s">
        <v>157</v>
      </c>
      <c r="J183" t="s">
        <v>437</v>
      </c>
      <c r="K183">
        <v>812994</v>
      </c>
      <c r="L183" t="s">
        <v>450</v>
      </c>
      <c r="M183" t="s">
        <v>451</v>
      </c>
      <c r="N183" t="s">
        <v>57</v>
      </c>
      <c r="O183" s="1">
        <v>45925</v>
      </c>
      <c r="Q183" s="1">
        <v>46137</v>
      </c>
      <c r="R183" s="2">
        <v>15</v>
      </c>
      <c r="S183">
        <v>1</v>
      </c>
      <c r="T183" t="s">
        <v>58</v>
      </c>
      <c r="U183" t="s">
        <v>447</v>
      </c>
      <c r="V183" s="3">
        <v>0.38</v>
      </c>
      <c r="W183" s="2">
        <v>0</v>
      </c>
      <c r="X183">
        <v>0</v>
      </c>
      <c r="Y183" t="s">
        <v>60</v>
      </c>
      <c r="Z183" t="s">
        <v>262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5.7</v>
      </c>
      <c r="AN183" s="2">
        <v>5.7</v>
      </c>
      <c r="AO183" s="2">
        <v>0</v>
      </c>
      <c r="AP183" s="2">
        <v>0</v>
      </c>
      <c r="AQ183" s="2">
        <v>0</v>
      </c>
    </row>
    <row r="184" spans="1:43" x14ac:dyDescent="0.3">
      <c r="A184" s="1">
        <v>46104</v>
      </c>
      <c r="B184" t="s">
        <v>48</v>
      </c>
      <c r="C184">
        <v>649163</v>
      </c>
      <c r="D184">
        <v>2031804599</v>
      </c>
      <c r="E184" t="s">
        <v>452</v>
      </c>
      <c r="F184" t="s">
        <v>453</v>
      </c>
      <c r="G184" t="s">
        <v>51</v>
      </c>
      <c r="H184" t="s">
        <v>324</v>
      </c>
      <c r="I184" t="s">
        <v>157</v>
      </c>
      <c r="J184" t="s">
        <v>454</v>
      </c>
      <c r="K184">
        <v>877790</v>
      </c>
      <c r="L184" t="s">
        <v>455</v>
      </c>
      <c r="M184" t="s">
        <v>456</v>
      </c>
      <c r="N184" t="s">
        <v>57</v>
      </c>
      <c r="O184" s="1">
        <v>45955</v>
      </c>
      <c r="Q184" s="1">
        <v>46137</v>
      </c>
      <c r="R184" s="2">
        <v>15</v>
      </c>
      <c r="S184">
        <v>1</v>
      </c>
      <c r="T184" t="s">
        <v>58</v>
      </c>
      <c r="U184" t="s">
        <v>447</v>
      </c>
      <c r="V184" s="3">
        <v>0.19</v>
      </c>
      <c r="W184" s="2">
        <v>0</v>
      </c>
      <c r="X184">
        <v>0</v>
      </c>
      <c r="Y184" t="s">
        <v>60</v>
      </c>
      <c r="Z184" t="s">
        <v>262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2.85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</row>
    <row r="185" spans="1:43" x14ac:dyDescent="0.3">
      <c r="A185" s="1">
        <v>46104</v>
      </c>
      <c r="B185" t="s">
        <v>48</v>
      </c>
      <c r="C185">
        <v>649163</v>
      </c>
      <c r="D185">
        <v>2032235343</v>
      </c>
      <c r="E185" t="s">
        <v>340</v>
      </c>
      <c r="F185" t="s">
        <v>457</v>
      </c>
      <c r="G185" t="s">
        <v>51</v>
      </c>
      <c r="H185" t="s">
        <v>458</v>
      </c>
      <c r="I185" t="s">
        <v>157</v>
      </c>
      <c r="J185" t="s">
        <v>158</v>
      </c>
      <c r="K185">
        <v>650218</v>
      </c>
      <c r="L185" t="s">
        <v>87</v>
      </c>
      <c r="M185" t="s">
        <v>88</v>
      </c>
      <c r="N185" t="s">
        <v>57</v>
      </c>
      <c r="O185" s="1">
        <v>45980</v>
      </c>
      <c r="Q185" s="1">
        <v>46131</v>
      </c>
      <c r="R185" s="2">
        <v>15</v>
      </c>
      <c r="S185">
        <v>1</v>
      </c>
      <c r="T185" t="s">
        <v>58</v>
      </c>
      <c r="U185" t="s">
        <v>59</v>
      </c>
      <c r="V185" s="3">
        <v>0.38</v>
      </c>
      <c r="W185" s="2">
        <v>0</v>
      </c>
      <c r="X185">
        <v>0</v>
      </c>
      <c r="Y185" t="s">
        <v>60</v>
      </c>
      <c r="Z185" t="s">
        <v>262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5.7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</row>
    <row r="186" spans="1:43" x14ac:dyDescent="0.3">
      <c r="A186" s="1">
        <v>46104</v>
      </c>
      <c r="B186" t="s">
        <v>48</v>
      </c>
      <c r="C186">
        <v>649163</v>
      </c>
      <c r="D186">
        <v>2032362850</v>
      </c>
      <c r="E186" t="s">
        <v>459</v>
      </c>
      <c r="F186" t="s">
        <v>460</v>
      </c>
      <c r="G186" t="s">
        <v>51</v>
      </c>
      <c r="H186" t="s">
        <v>74</v>
      </c>
      <c r="I186" t="s">
        <v>157</v>
      </c>
      <c r="J186" t="s">
        <v>425</v>
      </c>
      <c r="K186">
        <v>822733</v>
      </c>
      <c r="L186" t="s">
        <v>118</v>
      </c>
      <c r="M186" t="s">
        <v>119</v>
      </c>
      <c r="N186" t="s">
        <v>57</v>
      </c>
      <c r="O186" s="1">
        <v>46012</v>
      </c>
      <c r="Q186" s="1">
        <v>46133</v>
      </c>
      <c r="R186" s="2">
        <v>15</v>
      </c>
      <c r="S186">
        <v>1</v>
      </c>
      <c r="T186" t="s">
        <v>58</v>
      </c>
      <c r="U186" t="s">
        <v>372</v>
      </c>
      <c r="V186" s="3">
        <v>0.28999999999999998</v>
      </c>
      <c r="W186" s="2">
        <v>0</v>
      </c>
      <c r="X186">
        <v>0</v>
      </c>
      <c r="Y186" t="s">
        <v>60</v>
      </c>
      <c r="Z186" t="s">
        <v>262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4.3499999999999996</v>
      </c>
      <c r="AN186" s="2">
        <v>4.3499999999999996</v>
      </c>
      <c r="AO186" s="2">
        <v>0</v>
      </c>
      <c r="AP186" s="2">
        <v>0</v>
      </c>
      <c r="AQ186" s="2">
        <v>0</v>
      </c>
    </row>
    <row r="187" spans="1:43" x14ac:dyDescent="0.3">
      <c r="A187" s="1">
        <v>46104</v>
      </c>
      <c r="B187" t="s">
        <v>48</v>
      </c>
      <c r="C187">
        <v>649163</v>
      </c>
      <c r="D187">
        <v>2032581668</v>
      </c>
      <c r="E187" t="s">
        <v>461</v>
      </c>
      <c r="F187" t="s">
        <v>321</v>
      </c>
      <c r="G187" t="s">
        <v>51</v>
      </c>
      <c r="H187" t="s">
        <v>462</v>
      </c>
      <c r="I187" t="s">
        <v>157</v>
      </c>
      <c r="J187" t="s">
        <v>437</v>
      </c>
      <c r="K187">
        <v>650218</v>
      </c>
      <c r="L187" t="s">
        <v>87</v>
      </c>
      <c r="M187" t="s">
        <v>88</v>
      </c>
      <c r="N187" t="s">
        <v>271</v>
      </c>
      <c r="O187" s="1">
        <v>46023</v>
      </c>
      <c r="P187" s="1">
        <v>46104</v>
      </c>
      <c r="Q187" s="1">
        <v>46113</v>
      </c>
      <c r="R187" s="2">
        <v>-7.26</v>
      </c>
      <c r="S187">
        <v>1</v>
      </c>
      <c r="T187" t="s">
        <v>58</v>
      </c>
      <c r="U187" t="s">
        <v>447</v>
      </c>
      <c r="V187" s="3">
        <v>0.38</v>
      </c>
      <c r="W187" s="2">
        <v>0</v>
      </c>
      <c r="X187">
        <v>-1</v>
      </c>
      <c r="Y187" t="s">
        <v>60</v>
      </c>
      <c r="Z187" t="s">
        <v>262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-2.76</v>
      </c>
      <c r="AN187" s="2">
        <v>-2.76</v>
      </c>
      <c r="AO187" s="2">
        <v>0</v>
      </c>
      <c r="AP187" s="2">
        <v>0</v>
      </c>
      <c r="AQ187" s="2">
        <v>0</v>
      </c>
    </row>
    <row r="188" spans="1:43" x14ac:dyDescent="0.3">
      <c r="A188" s="1">
        <v>46104</v>
      </c>
      <c r="B188" t="s">
        <v>48</v>
      </c>
      <c r="C188">
        <v>649163</v>
      </c>
      <c r="D188">
        <v>2033245542</v>
      </c>
      <c r="E188" t="s">
        <v>401</v>
      </c>
      <c r="F188" t="s">
        <v>116</v>
      </c>
      <c r="G188" t="s">
        <v>51</v>
      </c>
      <c r="H188" t="s">
        <v>86</v>
      </c>
      <c r="I188" t="s">
        <v>157</v>
      </c>
      <c r="J188" t="s">
        <v>425</v>
      </c>
      <c r="K188">
        <v>856824</v>
      </c>
      <c r="L188" t="s">
        <v>125</v>
      </c>
      <c r="M188" t="s">
        <v>126</v>
      </c>
      <c r="N188" t="s">
        <v>57</v>
      </c>
      <c r="O188" s="1">
        <v>46043</v>
      </c>
      <c r="Q188" s="1">
        <v>46133</v>
      </c>
      <c r="R188" s="2">
        <v>15</v>
      </c>
      <c r="S188">
        <v>1</v>
      </c>
      <c r="T188" t="s">
        <v>58</v>
      </c>
      <c r="U188" t="s">
        <v>447</v>
      </c>
      <c r="V188" s="3">
        <v>0.28999999999999998</v>
      </c>
      <c r="W188" s="2">
        <v>0</v>
      </c>
      <c r="X188">
        <v>0</v>
      </c>
      <c r="Y188" t="s">
        <v>60</v>
      </c>
      <c r="Z188" t="s">
        <v>262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4.3499999999999996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3">
      <c r="A189" s="1">
        <v>46104</v>
      </c>
      <c r="B189" t="s">
        <v>48</v>
      </c>
      <c r="C189">
        <v>649163</v>
      </c>
      <c r="D189">
        <v>2033308066</v>
      </c>
      <c r="E189" t="s">
        <v>463</v>
      </c>
      <c r="F189" t="s">
        <v>464</v>
      </c>
      <c r="G189" t="s">
        <v>51</v>
      </c>
      <c r="H189" t="s">
        <v>86</v>
      </c>
      <c r="I189" t="s">
        <v>157</v>
      </c>
      <c r="J189" t="s">
        <v>158</v>
      </c>
      <c r="K189">
        <v>673059</v>
      </c>
      <c r="L189" t="s">
        <v>76</v>
      </c>
      <c r="M189" t="s">
        <v>77</v>
      </c>
      <c r="N189" t="s">
        <v>57</v>
      </c>
      <c r="O189" s="1">
        <v>46046</v>
      </c>
      <c r="Q189" s="1">
        <v>46136</v>
      </c>
      <c r="R189" s="2">
        <v>15</v>
      </c>
      <c r="S189">
        <v>1</v>
      </c>
      <c r="T189" t="s">
        <v>58</v>
      </c>
      <c r="U189" t="s">
        <v>447</v>
      </c>
      <c r="V189" s="3">
        <v>0.38</v>
      </c>
      <c r="W189" s="2">
        <v>0</v>
      </c>
      <c r="X189">
        <v>0</v>
      </c>
      <c r="Y189" t="s">
        <v>60</v>
      </c>
      <c r="Z189" t="s">
        <v>262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5.7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3">
      <c r="A190" s="1">
        <v>46104</v>
      </c>
      <c r="B190" t="s">
        <v>48</v>
      </c>
      <c r="C190">
        <v>649163</v>
      </c>
      <c r="D190">
        <v>2033325946</v>
      </c>
      <c r="E190" t="s">
        <v>465</v>
      </c>
      <c r="F190" t="s">
        <v>466</v>
      </c>
      <c r="G190" t="s">
        <v>51</v>
      </c>
      <c r="H190" t="s">
        <v>64</v>
      </c>
      <c r="I190" t="s">
        <v>157</v>
      </c>
      <c r="J190" t="s">
        <v>437</v>
      </c>
      <c r="K190">
        <v>820873</v>
      </c>
      <c r="L190" t="s">
        <v>438</v>
      </c>
      <c r="M190" t="s">
        <v>439</v>
      </c>
      <c r="N190" t="s">
        <v>57</v>
      </c>
      <c r="O190" s="1">
        <v>46049</v>
      </c>
      <c r="Q190" s="1">
        <v>46139</v>
      </c>
      <c r="R190" s="2">
        <v>15</v>
      </c>
      <c r="S190">
        <v>1</v>
      </c>
      <c r="T190" t="s">
        <v>58</v>
      </c>
      <c r="U190" t="s">
        <v>447</v>
      </c>
      <c r="V190" s="3">
        <v>0.38</v>
      </c>
      <c r="W190" s="2">
        <v>0</v>
      </c>
      <c r="X190">
        <v>0</v>
      </c>
      <c r="Y190" t="s">
        <v>60</v>
      </c>
      <c r="Z190" t="s">
        <v>262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5.7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3">
      <c r="A191" s="1">
        <v>46104</v>
      </c>
      <c r="B191" t="s">
        <v>48</v>
      </c>
      <c r="C191">
        <v>649163</v>
      </c>
      <c r="D191">
        <v>2033328487</v>
      </c>
      <c r="E191" t="s">
        <v>467</v>
      </c>
      <c r="F191" t="s">
        <v>468</v>
      </c>
      <c r="G191" t="s">
        <v>51</v>
      </c>
      <c r="H191" t="s">
        <v>64</v>
      </c>
      <c r="I191" t="s">
        <v>157</v>
      </c>
      <c r="J191" t="s">
        <v>437</v>
      </c>
      <c r="K191">
        <v>768887</v>
      </c>
      <c r="L191" t="s">
        <v>153</v>
      </c>
      <c r="M191" t="s">
        <v>154</v>
      </c>
      <c r="N191" t="s">
        <v>57</v>
      </c>
      <c r="O191" s="1">
        <v>46049</v>
      </c>
      <c r="Q191" s="1">
        <v>46139</v>
      </c>
      <c r="R191" s="2">
        <v>15</v>
      </c>
      <c r="S191">
        <v>1</v>
      </c>
      <c r="T191" t="s">
        <v>58</v>
      </c>
      <c r="U191" t="s">
        <v>447</v>
      </c>
      <c r="V191" s="3">
        <v>0.38</v>
      </c>
      <c r="W191" s="2">
        <v>0</v>
      </c>
      <c r="X191">
        <v>0</v>
      </c>
      <c r="Y191" t="s">
        <v>60</v>
      </c>
      <c r="Z191" t="s">
        <v>262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5.7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3">
      <c r="A192" s="1">
        <v>46104</v>
      </c>
      <c r="B192" t="s">
        <v>48</v>
      </c>
      <c r="C192">
        <v>649163</v>
      </c>
      <c r="D192">
        <v>2033754845</v>
      </c>
      <c r="E192" t="s">
        <v>469</v>
      </c>
      <c r="F192" t="s">
        <v>470</v>
      </c>
      <c r="G192" t="s">
        <v>51</v>
      </c>
      <c r="H192" t="s">
        <v>64</v>
      </c>
      <c r="I192" t="s">
        <v>157</v>
      </c>
      <c r="J192" t="s">
        <v>471</v>
      </c>
      <c r="K192">
        <v>820873</v>
      </c>
      <c r="L192" t="s">
        <v>438</v>
      </c>
      <c r="M192" t="s">
        <v>439</v>
      </c>
      <c r="N192" t="s">
        <v>57</v>
      </c>
      <c r="O192" s="1">
        <v>46073</v>
      </c>
      <c r="Q192" s="1">
        <v>46132</v>
      </c>
      <c r="R192" s="2">
        <v>26.83</v>
      </c>
      <c r="S192">
        <v>1</v>
      </c>
      <c r="T192" t="s">
        <v>58</v>
      </c>
      <c r="U192" t="s">
        <v>59</v>
      </c>
      <c r="V192" s="3">
        <v>0.38</v>
      </c>
      <c r="W192" s="2">
        <v>0</v>
      </c>
      <c r="X192">
        <v>0</v>
      </c>
      <c r="Y192" t="s">
        <v>60</v>
      </c>
      <c r="Z192" t="s">
        <v>262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10.199999999999999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</row>
    <row r="193" spans="1:43" x14ac:dyDescent="0.3">
      <c r="A193" s="1">
        <v>46104</v>
      </c>
      <c r="B193" t="s">
        <v>48</v>
      </c>
      <c r="C193">
        <v>649163</v>
      </c>
      <c r="D193">
        <v>2033754846</v>
      </c>
      <c r="E193" t="s">
        <v>469</v>
      </c>
      <c r="F193" t="s">
        <v>470</v>
      </c>
      <c r="G193" t="s">
        <v>51</v>
      </c>
      <c r="H193" t="s">
        <v>64</v>
      </c>
      <c r="I193" t="s">
        <v>157</v>
      </c>
      <c r="J193" t="s">
        <v>437</v>
      </c>
      <c r="K193">
        <v>820873</v>
      </c>
      <c r="L193" t="s">
        <v>438</v>
      </c>
      <c r="M193" t="s">
        <v>439</v>
      </c>
      <c r="N193" t="s">
        <v>57</v>
      </c>
      <c r="O193" s="1">
        <v>46073</v>
      </c>
      <c r="Q193" s="1">
        <v>46132</v>
      </c>
      <c r="R193" s="2">
        <v>15</v>
      </c>
      <c r="S193">
        <v>1</v>
      </c>
      <c r="T193" t="s">
        <v>58</v>
      </c>
      <c r="U193" t="s">
        <v>447</v>
      </c>
      <c r="V193" s="3">
        <v>0.38</v>
      </c>
      <c r="W193" s="2">
        <v>0</v>
      </c>
      <c r="X193">
        <v>0</v>
      </c>
      <c r="Y193" t="s">
        <v>60</v>
      </c>
      <c r="Z193" t="s">
        <v>262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5.7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</row>
    <row r="194" spans="1:43" x14ac:dyDescent="0.3">
      <c r="A194" s="1">
        <v>46104</v>
      </c>
      <c r="B194" t="s">
        <v>48</v>
      </c>
      <c r="C194">
        <v>649163</v>
      </c>
      <c r="D194">
        <v>2033773908</v>
      </c>
      <c r="E194" t="s">
        <v>472</v>
      </c>
      <c r="F194" t="s">
        <v>173</v>
      </c>
      <c r="G194" t="s">
        <v>51</v>
      </c>
      <c r="H194" t="s">
        <v>375</v>
      </c>
      <c r="I194" t="s">
        <v>157</v>
      </c>
      <c r="J194" t="s">
        <v>437</v>
      </c>
      <c r="K194">
        <v>856163</v>
      </c>
      <c r="L194" t="s">
        <v>67</v>
      </c>
      <c r="M194" t="s">
        <v>473</v>
      </c>
      <c r="N194" t="s">
        <v>57</v>
      </c>
      <c r="O194" s="1">
        <v>46076</v>
      </c>
      <c r="Q194" s="1">
        <v>46135</v>
      </c>
      <c r="R194" s="2">
        <v>15</v>
      </c>
      <c r="S194">
        <v>1</v>
      </c>
      <c r="T194" t="s">
        <v>58</v>
      </c>
      <c r="U194" t="s">
        <v>447</v>
      </c>
      <c r="V194" s="3">
        <v>0.38</v>
      </c>
      <c r="W194" s="2">
        <v>0</v>
      </c>
      <c r="X194">
        <v>0</v>
      </c>
      <c r="Y194" t="s">
        <v>60</v>
      </c>
      <c r="Z194" t="s">
        <v>262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5.7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</row>
    <row r="195" spans="1:43" x14ac:dyDescent="0.3">
      <c r="A195" s="1">
        <v>46104</v>
      </c>
      <c r="B195" t="s">
        <v>48</v>
      </c>
      <c r="C195">
        <v>649163</v>
      </c>
      <c r="D195">
        <v>2033881170</v>
      </c>
      <c r="E195" t="s">
        <v>474</v>
      </c>
      <c r="F195" t="s">
        <v>200</v>
      </c>
      <c r="G195" t="s">
        <v>51</v>
      </c>
      <c r="H195" t="s">
        <v>324</v>
      </c>
      <c r="I195" t="s">
        <v>157</v>
      </c>
      <c r="J195" t="s">
        <v>454</v>
      </c>
      <c r="K195">
        <v>942810</v>
      </c>
      <c r="L195" t="s">
        <v>475</v>
      </c>
      <c r="M195" t="s">
        <v>476</v>
      </c>
      <c r="N195" t="s">
        <v>57</v>
      </c>
      <c r="O195" s="1">
        <v>46078</v>
      </c>
      <c r="Q195" s="1">
        <v>46137</v>
      </c>
      <c r="R195" s="2">
        <v>15</v>
      </c>
      <c r="S195">
        <v>1</v>
      </c>
      <c r="T195" t="s">
        <v>58</v>
      </c>
      <c r="U195" t="s">
        <v>252</v>
      </c>
      <c r="V195" s="3">
        <v>0.19</v>
      </c>
      <c r="W195" s="2">
        <v>0</v>
      </c>
      <c r="X195">
        <v>0</v>
      </c>
      <c r="Y195" t="s">
        <v>60</v>
      </c>
      <c r="Z195" t="s">
        <v>262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2.85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</row>
    <row r="196" spans="1:43" x14ac:dyDescent="0.3">
      <c r="A196" s="1">
        <v>46104</v>
      </c>
      <c r="B196" t="s">
        <v>48</v>
      </c>
      <c r="C196">
        <v>649163</v>
      </c>
      <c r="D196">
        <v>2016328595</v>
      </c>
      <c r="E196" t="s">
        <v>294</v>
      </c>
      <c r="F196" t="s">
        <v>295</v>
      </c>
      <c r="G196" t="s">
        <v>51</v>
      </c>
      <c r="H196" t="s">
        <v>205</v>
      </c>
      <c r="I196" t="s">
        <v>163</v>
      </c>
      <c r="J196" t="s">
        <v>164</v>
      </c>
      <c r="K196">
        <v>651818</v>
      </c>
      <c r="L196" t="s">
        <v>96</v>
      </c>
      <c r="M196" t="s">
        <v>97</v>
      </c>
      <c r="N196" t="s">
        <v>57</v>
      </c>
      <c r="O196" s="1">
        <v>44829</v>
      </c>
      <c r="Q196" s="1">
        <v>46137</v>
      </c>
      <c r="R196" s="2">
        <v>42.47</v>
      </c>
      <c r="S196">
        <v>1</v>
      </c>
      <c r="T196" t="s">
        <v>58</v>
      </c>
      <c r="U196" t="s">
        <v>260</v>
      </c>
      <c r="V196" s="3">
        <v>0.06</v>
      </c>
      <c r="W196" s="2">
        <v>0</v>
      </c>
      <c r="X196">
        <v>0</v>
      </c>
      <c r="Y196" t="s">
        <v>261</v>
      </c>
      <c r="Z196" t="s">
        <v>262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2.5499999999999998</v>
      </c>
      <c r="AN196" s="2">
        <v>2.5499999999999998</v>
      </c>
      <c r="AO196" s="2">
        <v>0</v>
      </c>
      <c r="AP196" s="2">
        <v>0</v>
      </c>
      <c r="AQ196" s="2">
        <v>0</v>
      </c>
    </row>
    <row r="197" spans="1:43" x14ac:dyDescent="0.3">
      <c r="A197" s="1">
        <v>46104</v>
      </c>
      <c r="B197" t="s">
        <v>48</v>
      </c>
      <c r="C197">
        <v>649163</v>
      </c>
      <c r="D197">
        <v>2019459171</v>
      </c>
      <c r="E197" t="s">
        <v>477</v>
      </c>
      <c r="F197" t="s">
        <v>478</v>
      </c>
      <c r="G197" t="s">
        <v>51</v>
      </c>
      <c r="H197" t="s">
        <v>52</v>
      </c>
      <c r="I197" t="s">
        <v>163</v>
      </c>
      <c r="J197" t="s">
        <v>164</v>
      </c>
      <c r="K197">
        <v>702406</v>
      </c>
      <c r="L197" t="s">
        <v>259</v>
      </c>
      <c r="M197" t="s">
        <v>173</v>
      </c>
      <c r="N197" t="s">
        <v>57</v>
      </c>
      <c r="O197" s="1">
        <v>45129</v>
      </c>
      <c r="Q197" s="1">
        <v>46134</v>
      </c>
      <c r="R197" s="2">
        <v>57.29</v>
      </c>
      <c r="S197">
        <v>1</v>
      </c>
      <c r="T197" t="s">
        <v>58</v>
      </c>
      <c r="U197" t="s">
        <v>260</v>
      </c>
      <c r="V197" s="3">
        <v>0.06</v>
      </c>
      <c r="W197" s="2">
        <v>0</v>
      </c>
      <c r="X197">
        <v>0</v>
      </c>
      <c r="Y197" t="s">
        <v>261</v>
      </c>
      <c r="Z197" t="s">
        <v>262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3.44</v>
      </c>
      <c r="AN197" s="2">
        <v>3.44</v>
      </c>
      <c r="AO197" s="2">
        <v>0</v>
      </c>
      <c r="AP197" s="2">
        <v>0</v>
      </c>
      <c r="AQ197" s="2">
        <v>0</v>
      </c>
    </row>
    <row r="198" spans="1:43" x14ac:dyDescent="0.3">
      <c r="A198" s="1">
        <v>46104</v>
      </c>
      <c r="B198" t="s">
        <v>48</v>
      </c>
      <c r="C198">
        <v>649163</v>
      </c>
      <c r="D198">
        <v>2019665210</v>
      </c>
      <c r="E198" t="s">
        <v>479</v>
      </c>
      <c r="F198" t="s">
        <v>480</v>
      </c>
      <c r="G198" t="s">
        <v>51</v>
      </c>
      <c r="H198" t="s">
        <v>324</v>
      </c>
      <c r="I198" t="s">
        <v>163</v>
      </c>
      <c r="J198" t="s">
        <v>164</v>
      </c>
      <c r="K198">
        <v>673059</v>
      </c>
      <c r="L198" t="s">
        <v>76</v>
      </c>
      <c r="M198" t="s">
        <v>77</v>
      </c>
      <c r="N198" t="s">
        <v>57</v>
      </c>
      <c r="O198" s="1">
        <v>45192</v>
      </c>
      <c r="Q198" s="1">
        <v>46135</v>
      </c>
      <c r="R198" s="2">
        <v>42.78</v>
      </c>
      <c r="S198">
        <v>1</v>
      </c>
      <c r="T198" t="s">
        <v>58</v>
      </c>
      <c r="U198" t="s">
        <v>260</v>
      </c>
      <c r="V198" s="3">
        <v>0.06</v>
      </c>
      <c r="W198" s="2">
        <v>0</v>
      </c>
      <c r="X198">
        <v>0</v>
      </c>
      <c r="Y198" t="s">
        <v>261</v>
      </c>
      <c r="Z198" t="s">
        <v>262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2.57</v>
      </c>
      <c r="AN198" s="2">
        <v>2.57</v>
      </c>
      <c r="AO198" s="2">
        <v>0</v>
      </c>
      <c r="AP198" s="2">
        <v>0</v>
      </c>
      <c r="AQ198" s="2">
        <v>0</v>
      </c>
    </row>
    <row r="199" spans="1:43" x14ac:dyDescent="0.3">
      <c r="A199" s="1">
        <v>46104</v>
      </c>
      <c r="B199" t="s">
        <v>48</v>
      </c>
      <c r="C199">
        <v>649163</v>
      </c>
      <c r="D199">
        <v>2019971559</v>
      </c>
      <c r="E199" t="s">
        <v>481</v>
      </c>
      <c r="F199" t="s">
        <v>482</v>
      </c>
      <c r="G199" t="s">
        <v>51</v>
      </c>
      <c r="H199" t="s">
        <v>52</v>
      </c>
      <c r="I199" t="s">
        <v>163</v>
      </c>
      <c r="J199" t="s">
        <v>164</v>
      </c>
      <c r="K199">
        <v>678320</v>
      </c>
      <c r="L199" t="s">
        <v>483</v>
      </c>
      <c r="M199" t="s">
        <v>484</v>
      </c>
      <c r="N199" t="s">
        <v>57</v>
      </c>
      <c r="O199" s="1">
        <v>45163</v>
      </c>
      <c r="Q199" s="1">
        <v>46137</v>
      </c>
      <c r="R199" s="2">
        <v>49.12</v>
      </c>
      <c r="S199">
        <v>1</v>
      </c>
      <c r="T199" t="s">
        <v>58</v>
      </c>
      <c r="U199" t="s">
        <v>260</v>
      </c>
      <c r="V199" s="3">
        <v>0.06</v>
      </c>
      <c r="W199" s="2">
        <v>0</v>
      </c>
      <c r="X199">
        <v>0</v>
      </c>
      <c r="Y199" t="s">
        <v>261</v>
      </c>
      <c r="Z199" t="s">
        <v>262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2.95</v>
      </c>
      <c r="AN199" s="2">
        <v>2.95</v>
      </c>
      <c r="AO199" s="2">
        <v>0</v>
      </c>
      <c r="AP199" s="2">
        <v>0</v>
      </c>
      <c r="AQ199" s="2">
        <v>0</v>
      </c>
    </row>
    <row r="200" spans="1:43" x14ac:dyDescent="0.3">
      <c r="A200" s="1">
        <v>46104</v>
      </c>
      <c r="B200" t="s">
        <v>48</v>
      </c>
      <c r="C200">
        <v>649163</v>
      </c>
      <c r="D200">
        <v>2020534056</v>
      </c>
      <c r="E200" t="s">
        <v>258</v>
      </c>
      <c r="F200" t="s">
        <v>200</v>
      </c>
      <c r="G200" t="s">
        <v>51</v>
      </c>
      <c r="H200" t="s">
        <v>52</v>
      </c>
      <c r="I200" t="s">
        <v>163</v>
      </c>
      <c r="J200" t="s">
        <v>164</v>
      </c>
      <c r="K200">
        <v>702406</v>
      </c>
      <c r="L200" t="s">
        <v>259</v>
      </c>
      <c r="M200" t="s">
        <v>173</v>
      </c>
      <c r="N200" t="s">
        <v>57</v>
      </c>
      <c r="O200" s="1">
        <v>45224</v>
      </c>
      <c r="Q200" s="1">
        <v>46137</v>
      </c>
      <c r="R200" s="2">
        <v>32.979999999999997</v>
      </c>
      <c r="S200">
        <v>1</v>
      </c>
      <c r="T200" t="s">
        <v>58</v>
      </c>
      <c r="U200" t="s">
        <v>260</v>
      </c>
      <c r="V200" s="3">
        <v>0.06</v>
      </c>
      <c r="W200" s="2">
        <v>0</v>
      </c>
      <c r="X200">
        <v>0</v>
      </c>
      <c r="Y200" t="s">
        <v>261</v>
      </c>
      <c r="Z200" t="s">
        <v>262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1.98</v>
      </c>
      <c r="AN200" s="2">
        <v>1.98</v>
      </c>
      <c r="AO200" s="2">
        <v>0</v>
      </c>
      <c r="AP200" s="2">
        <v>0</v>
      </c>
      <c r="AQ200" s="2">
        <v>0</v>
      </c>
    </row>
    <row r="201" spans="1:43" x14ac:dyDescent="0.3">
      <c r="A201" s="1">
        <v>46104</v>
      </c>
      <c r="B201" t="s">
        <v>48</v>
      </c>
      <c r="C201">
        <v>649163</v>
      </c>
      <c r="D201">
        <v>2020849790</v>
      </c>
      <c r="E201" t="s">
        <v>485</v>
      </c>
      <c r="F201" t="s">
        <v>486</v>
      </c>
      <c r="G201" t="s">
        <v>51</v>
      </c>
      <c r="H201" t="s">
        <v>64</v>
      </c>
      <c r="I201" t="s">
        <v>163</v>
      </c>
      <c r="J201" t="s">
        <v>164</v>
      </c>
      <c r="K201">
        <v>673059</v>
      </c>
      <c r="L201" t="s">
        <v>76</v>
      </c>
      <c r="M201" t="s">
        <v>77</v>
      </c>
      <c r="N201" t="s">
        <v>57</v>
      </c>
      <c r="O201" s="1">
        <v>45251</v>
      </c>
      <c r="Q201" s="1">
        <v>46133</v>
      </c>
      <c r="R201" s="2">
        <v>47.78</v>
      </c>
      <c r="S201">
        <v>1</v>
      </c>
      <c r="T201" t="s">
        <v>58</v>
      </c>
      <c r="U201" t="s">
        <v>260</v>
      </c>
      <c r="V201" s="3">
        <v>0.06</v>
      </c>
      <c r="W201" s="2">
        <v>0</v>
      </c>
      <c r="X201">
        <v>0</v>
      </c>
      <c r="Y201" t="s">
        <v>261</v>
      </c>
      <c r="Z201" t="s">
        <v>262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2.87</v>
      </c>
      <c r="AN201" s="2">
        <v>2.87</v>
      </c>
      <c r="AO201" s="2">
        <v>0</v>
      </c>
      <c r="AP201" s="2">
        <v>0</v>
      </c>
      <c r="AQ201" s="2">
        <v>0</v>
      </c>
    </row>
    <row r="202" spans="1:43" x14ac:dyDescent="0.3">
      <c r="A202" s="1">
        <v>46104</v>
      </c>
      <c r="B202" t="s">
        <v>48</v>
      </c>
      <c r="C202">
        <v>649163</v>
      </c>
      <c r="D202">
        <v>2021499228</v>
      </c>
      <c r="E202" t="s">
        <v>487</v>
      </c>
      <c r="F202" t="s">
        <v>488</v>
      </c>
      <c r="G202" t="s">
        <v>51</v>
      </c>
      <c r="H202" t="s">
        <v>52</v>
      </c>
      <c r="I202" t="s">
        <v>163</v>
      </c>
      <c r="J202" t="s">
        <v>164</v>
      </c>
      <c r="K202">
        <v>678320</v>
      </c>
      <c r="L202" t="s">
        <v>483</v>
      </c>
      <c r="M202" t="s">
        <v>484</v>
      </c>
      <c r="N202" t="s">
        <v>57</v>
      </c>
      <c r="O202" s="1">
        <v>45314</v>
      </c>
      <c r="Q202" s="1">
        <v>46135</v>
      </c>
      <c r="R202" s="2">
        <v>39.979999999999997</v>
      </c>
      <c r="S202">
        <v>1</v>
      </c>
      <c r="T202" t="s">
        <v>58</v>
      </c>
      <c r="U202" t="s">
        <v>260</v>
      </c>
      <c r="V202" s="3">
        <v>0.06</v>
      </c>
      <c r="W202" s="2">
        <v>0</v>
      </c>
      <c r="X202">
        <v>0</v>
      </c>
      <c r="Y202" t="s">
        <v>261</v>
      </c>
      <c r="Z202" t="s">
        <v>262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2.4</v>
      </c>
      <c r="AN202" s="2">
        <v>2.4</v>
      </c>
      <c r="AO202" s="2">
        <v>0</v>
      </c>
      <c r="AP202" s="2">
        <v>0</v>
      </c>
      <c r="AQ202" s="2">
        <v>0</v>
      </c>
    </row>
    <row r="203" spans="1:43" x14ac:dyDescent="0.3">
      <c r="A203" s="1">
        <v>46104</v>
      </c>
      <c r="B203" t="s">
        <v>48</v>
      </c>
      <c r="C203">
        <v>649163</v>
      </c>
      <c r="D203">
        <v>2022823602</v>
      </c>
      <c r="E203" t="s">
        <v>489</v>
      </c>
      <c r="F203" t="s">
        <v>490</v>
      </c>
      <c r="G203" t="s">
        <v>51</v>
      </c>
      <c r="H203" t="s">
        <v>52</v>
      </c>
      <c r="I203" t="s">
        <v>163</v>
      </c>
      <c r="J203" t="s">
        <v>164</v>
      </c>
      <c r="K203">
        <v>702406</v>
      </c>
      <c r="L203" t="s">
        <v>259</v>
      </c>
      <c r="M203" t="s">
        <v>173</v>
      </c>
      <c r="N203" t="s">
        <v>57</v>
      </c>
      <c r="O203" s="1">
        <v>45406</v>
      </c>
      <c r="Q203" s="1">
        <v>46136</v>
      </c>
      <c r="R203" s="2">
        <v>58.98</v>
      </c>
      <c r="S203">
        <v>1</v>
      </c>
      <c r="T203" t="s">
        <v>58</v>
      </c>
      <c r="U203" t="s">
        <v>260</v>
      </c>
      <c r="V203" s="3">
        <v>0.06</v>
      </c>
      <c r="W203" s="2">
        <v>0</v>
      </c>
      <c r="X203">
        <v>0</v>
      </c>
      <c r="Y203" t="s">
        <v>261</v>
      </c>
      <c r="Z203" t="s">
        <v>262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3.54</v>
      </c>
      <c r="AN203" s="2">
        <v>3.54</v>
      </c>
      <c r="AO203" s="2">
        <v>0</v>
      </c>
      <c r="AP203" s="2">
        <v>0</v>
      </c>
      <c r="AQ203" s="2">
        <v>0</v>
      </c>
    </row>
    <row r="204" spans="1:43" x14ac:dyDescent="0.3">
      <c r="A204" s="1">
        <v>46104</v>
      </c>
      <c r="B204" t="s">
        <v>48</v>
      </c>
      <c r="C204">
        <v>649163</v>
      </c>
      <c r="D204">
        <v>2023230473</v>
      </c>
      <c r="E204" t="s">
        <v>491</v>
      </c>
      <c r="F204" t="s">
        <v>492</v>
      </c>
      <c r="G204" t="s">
        <v>51</v>
      </c>
      <c r="H204" t="s">
        <v>52</v>
      </c>
      <c r="I204" t="s">
        <v>163</v>
      </c>
      <c r="J204" t="s">
        <v>164</v>
      </c>
      <c r="K204">
        <v>702406</v>
      </c>
      <c r="L204" t="s">
        <v>259</v>
      </c>
      <c r="M204" t="s">
        <v>173</v>
      </c>
      <c r="N204" t="s">
        <v>57</v>
      </c>
      <c r="O204" s="1">
        <v>45436</v>
      </c>
      <c r="Q204" s="1">
        <v>46136</v>
      </c>
      <c r="R204" s="2">
        <v>40.119999999999997</v>
      </c>
      <c r="S204">
        <v>1</v>
      </c>
      <c r="T204" t="s">
        <v>58</v>
      </c>
      <c r="U204" t="s">
        <v>260</v>
      </c>
      <c r="V204" s="3">
        <v>0.06</v>
      </c>
      <c r="W204" s="2">
        <v>0</v>
      </c>
      <c r="X204">
        <v>0</v>
      </c>
      <c r="Y204" t="s">
        <v>261</v>
      </c>
      <c r="Z204" t="s">
        <v>262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2.41</v>
      </c>
      <c r="AN204" s="2">
        <v>2.41</v>
      </c>
      <c r="AO204" s="2">
        <v>0</v>
      </c>
      <c r="AP204" s="2">
        <v>0</v>
      </c>
      <c r="AQ204" s="2">
        <v>0</v>
      </c>
    </row>
    <row r="205" spans="1:43" x14ac:dyDescent="0.3">
      <c r="A205" s="1">
        <v>46104</v>
      </c>
      <c r="B205" t="s">
        <v>48</v>
      </c>
      <c r="C205">
        <v>649163</v>
      </c>
      <c r="D205">
        <v>2023233680</v>
      </c>
      <c r="E205" t="s">
        <v>493</v>
      </c>
      <c r="F205" t="s">
        <v>494</v>
      </c>
      <c r="G205" t="s">
        <v>51</v>
      </c>
      <c r="H205" t="s">
        <v>64</v>
      </c>
      <c r="I205" t="s">
        <v>163</v>
      </c>
      <c r="J205" t="s">
        <v>164</v>
      </c>
      <c r="K205">
        <v>757719</v>
      </c>
      <c r="L205" t="s">
        <v>495</v>
      </c>
      <c r="M205" t="s">
        <v>496</v>
      </c>
      <c r="N205" t="s">
        <v>57</v>
      </c>
      <c r="O205" s="1">
        <v>45436</v>
      </c>
      <c r="Q205" s="1">
        <v>46136</v>
      </c>
      <c r="R205" s="2">
        <v>31.28</v>
      </c>
      <c r="S205">
        <v>1</v>
      </c>
      <c r="T205" t="s">
        <v>58</v>
      </c>
      <c r="U205" t="s">
        <v>260</v>
      </c>
      <c r="V205" s="3">
        <v>0.06</v>
      </c>
      <c r="W205" s="2">
        <v>0</v>
      </c>
      <c r="X205">
        <v>0</v>
      </c>
      <c r="Y205" t="s">
        <v>261</v>
      </c>
      <c r="Z205" t="s">
        <v>262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1.88</v>
      </c>
      <c r="AN205" s="2">
        <v>1.88</v>
      </c>
      <c r="AO205" s="2">
        <v>0</v>
      </c>
      <c r="AP205" s="2">
        <v>0</v>
      </c>
      <c r="AQ205" s="2">
        <v>0</v>
      </c>
    </row>
    <row r="206" spans="1:43" x14ac:dyDescent="0.3">
      <c r="A206" s="1">
        <v>46104</v>
      </c>
      <c r="B206" t="s">
        <v>48</v>
      </c>
      <c r="C206">
        <v>649163</v>
      </c>
      <c r="D206">
        <v>2024049922</v>
      </c>
      <c r="E206" t="s">
        <v>497</v>
      </c>
      <c r="F206" t="s">
        <v>498</v>
      </c>
      <c r="G206" t="s">
        <v>51</v>
      </c>
      <c r="H206" t="s">
        <v>52</v>
      </c>
      <c r="I206" t="s">
        <v>163</v>
      </c>
      <c r="J206" t="s">
        <v>164</v>
      </c>
      <c r="K206">
        <v>702406</v>
      </c>
      <c r="L206" t="s">
        <v>259</v>
      </c>
      <c r="M206" t="s">
        <v>173</v>
      </c>
      <c r="N206" t="s">
        <v>57</v>
      </c>
      <c r="O206" s="1">
        <v>45497</v>
      </c>
      <c r="Q206" s="1">
        <v>46136</v>
      </c>
      <c r="R206" s="2">
        <v>40.119999999999997</v>
      </c>
      <c r="S206">
        <v>1</v>
      </c>
      <c r="T206" t="s">
        <v>58</v>
      </c>
      <c r="U206" t="s">
        <v>260</v>
      </c>
      <c r="V206" s="3">
        <v>0.06</v>
      </c>
      <c r="W206" s="2">
        <v>0</v>
      </c>
      <c r="X206">
        <v>0</v>
      </c>
      <c r="Y206" t="s">
        <v>261</v>
      </c>
      <c r="Z206" t="s">
        <v>262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2.41</v>
      </c>
      <c r="AN206" s="2">
        <v>2.41</v>
      </c>
      <c r="AO206" s="2">
        <v>0</v>
      </c>
      <c r="AP206" s="2">
        <v>0</v>
      </c>
      <c r="AQ206" s="2">
        <v>0</v>
      </c>
    </row>
    <row r="207" spans="1:43" x14ac:dyDescent="0.3">
      <c r="A207" s="1">
        <v>46104</v>
      </c>
      <c r="B207" t="s">
        <v>48</v>
      </c>
      <c r="C207">
        <v>649163</v>
      </c>
      <c r="D207">
        <v>2024489047</v>
      </c>
      <c r="E207" t="s">
        <v>499</v>
      </c>
      <c r="F207" t="s">
        <v>186</v>
      </c>
      <c r="G207" t="s">
        <v>51</v>
      </c>
      <c r="H207" t="s">
        <v>52</v>
      </c>
      <c r="I207" t="s">
        <v>163</v>
      </c>
      <c r="J207" t="s">
        <v>164</v>
      </c>
      <c r="K207">
        <v>702406</v>
      </c>
      <c r="L207" t="s">
        <v>259</v>
      </c>
      <c r="M207" t="s">
        <v>173</v>
      </c>
      <c r="N207" t="s">
        <v>57</v>
      </c>
      <c r="O207" s="1">
        <v>45526</v>
      </c>
      <c r="Q207" s="1">
        <v>46134</v>
      </c>
      <c r="R207" s="2">
        <v>47.29</v>
      </c>
      <c r="S207">
        <v>1</v>
      </c>
      <c r="T207" t="s">
        <v>58</v>
      </c>
      <c r="U207" t="s">
        <v>260</v>
      </c>
      <c r="V207" s="3">
        <v>0.06</v>
      </c>
      <c r="W207" s="2">
        <v>0</v>
      </c>
      <c r="X207">
        <v>0</v>
      </c>
      <c r="Y207" t="s">
        <v>261</v>
      </c>
      <c r="Z207" t="s">
        <v>262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2.84</v>
      </c>
      <c r="AN207" s="2">
        <v>2.84</v>
      </c>
      <c r="AO207" s="2">
        <v>0</v>
      </c>
      <c r="AP207" s="2">
        <v>0</v>
      </c>
      <c r="AQ207" s="2">
        <v>0</v>
      </c>
    </row>
    <row r="208" spans="1:43" x14ac:dyDescent="0.3">
      <c r="A208" s="1">
        <v>46104</v>
      </c>
      <c r="B208" t="s">
        <v>48</v>
      </c>
      <c r="C208">
        <v>649163</v>
      </c>
      <c r="D208">
        <v>2025028098</v>
      </c>
      <c r="E208" t="s">
        <v>500</v>
      </c>
      <c r="F208" t="s">
        <v>501</v>
      </c>
      <c r="G208" t="s">
        <v>51</v>
      </c>
      <c r="H208" t="s">
        <v>129</v>
      </c>
      <c r="I208" t="s">
        <v>163</v>
      </c>
      <c r="J208" t="s">
        <v>164</v>
      </c>
      <c r="K208">
        <v>673059</v>
      </c>
      <c r="L208" t="s">
        <v>76</v>
      </c>
      <c r="M208" t="s">
        <v>77</v>
      </c>
      <c r="N208" t="s">
        <v>57</v>
      </c>
      <c r="O208" s="1">
        <v>45561</v>
      </c>
      <c r="Q208" s="1">
        <v>46138</v>
      </c>
      <c r="R208" s="2">
        <v>37.840000000000003</v>
      </c>
      <c r="S208">
        <v>1</v>
      </c>
      <c r="T208" t="s">
        <v>58</v>
      </c>
      <c r="U208" t="s">
        <v>260</v>
      </c>
      <c r="V208" s="3">
        <v>0.06</v>
      </c>
      <c r="W208" s="2">
        <v>0</v>
      </c>
      <c r="X208">
        <v>0</v>
      </c>
      <c r="Y208" t="s">
        <v>261</v>
      </c>
      <c r="Z208" t="s">
        <v>262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2.27</v>
      </c>
      <c r="AN208" s="2">
        <v>2.27</v>
      </c>
      <c r="AO208" s="2">
        <v>0</v>
      </c>
      <c r="AP208" s="2">
        <v>0</v>
      </c>
      <c r="AQ208" s="2">
        <v>0</v>
      </c>
    </row>
    <row r="209" spans="1:43" x14ac:dyDescent="0.3">
      <c r="A209" s="1">
        <v>46104</v>
      </c>
      <c r="B209" t="s">
        <v>48</v>
      </c>
      <c r="C209">
        <v>649163</v>
      </c>
      <c r="D209">
        <v>2025233515</v>
      </c>
      <c r="E209" t="s">
        <v>298</v>
      </c>
      <c r="F209" t="s">
        <v>299</v>
      </c>
      <c r="G209" t="s">
        <v>51</v>
      </c>
      <c r="H209" t="s">
        <v>300</v>
      </c>
      <c r="I209" t="s">
        <v>163</v>
      </c>
      <c r="J209" t="s">
        <v>164</v>
      </c>
      <c r="K209">
        <v>767312</v>
      </c>
      <c r="L209" t="s">
        <v>185</v>
      </c>
      <c r="M209" t="s">
        <v>186</v>
      </c>
      <c r="N209" t="s">
        <v>271</v>
      </c>
      <c r="O209" s="1">
        <v>45586</v>
      </c>
      <c r="P209" s="1">
        <v>46104</v>
      </c>
      <c r="Q209" s="1">
        <v>46133</v>
      </c>
      <c r="R209" s="2">
        <v>26.74</v>
      </c>
      <c r="S209">
        <v>1</v>
      </c>
      <c r="T209" t="s">
        <v>58</v>
      </c>
      <c r="U209" t="s">
        <v>260</v>
      </c>
      <c r="V209" s="3">
        <v>0.06</v>
      </c>
      <c r="W209" s="2">
        <v>0</v>
      </c>
      <c r="X209">
        <v>0</v>
      </c>
      <c r="Y209" t="s">
        <v>261</v>
      </c>
      <c r="Z209" t="s">
        <v>262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1.6</v>
      </c>
      <c r="AN209" s="2">
        <v>1.6</v>
      </c>
      <c r="AO209" s="2">
        <v>0</v>
      </c>
      <c r="AP209" s="2">
        <v>0</v>
      </c>
      <c r="AQ209" s="2">
        <v>0</v>
      </c>
    </row>
    <row r="210" spans="1:43" x14ac:dyDescent="0.3">
      <c r="A210" s="1">
        <v>46104</v>
      </c>
      <c r="B210" t="s">
        <v>48</v>
      </c>
      <c r="C210">
        <v>649163</v>
      </c>
      <c r="D210">
        <v>2026265883</v>
      </c>
      <c r="E210" t="s">
        <v>431</v>
      </c>
      <c r="F210" t="s">
        <v>432</v>
      </c>
      <c r="G210" t="s">
        <v>51</v>
      </c>
      <c r="H210" t="s">
        <v>74</v>
      </c>
      <c r="I210" t="s">
        <v>163</v>
      </c>
      <c r="J210" t="s">
        <v>164</v>
      </c>
      <c r="K210">
        <v>756418</v>
      </c>
      <c r="L210" t="s">
        <v>433</v>
      </c>
      <c r="M210" t="s">
        <v>434</v>
      </c>
      <c r="N210" t="s">
        <v>57</v>
      </c>
      <c r="O210" s="1">
        <v>45647</v>
      </c>
      <c r="Q210" s="1">
        <v>46133</v>
      </c>
      <c r="R210" s="2">
        <v>53.2</v>
      </c>
      <c r="S210">
        <v>1</v>
      </c>
      <c r="T210" t="s">
        <v>58</v>
      </c>
      <c r="U210" t="s">
        <v>260</v>
      </c>
      <c r="V210" s="3">
        <v>0.06</v>
      </c>
      <c r="W210" s="2">
        <v>0</v>
      </c>
      <c r="X210">
        <v>0</v>
      </c>
      <c r="Y210" t="s">
        <v>261</v>
      </c>
      <c r="Z210" t="s">
        <v>262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3.19</v>
      </c>
      <c r="AN210" s="2">
        <v>3.19</v>
      </c>
      <c r="AO210" s="2">
        <v>0</v>
      </c>
      <c r="AP210" s="2">
        <v>0</v>
      </c>
      <c r="AQ210" s="2">
        <v>0</v>
      </c>
    </row>
    <row r="211" spans="1:43" x14ac:dyDescent="0.3">
      <c r="A211" s="1">
        <v>46104</v>
      </c>
      <c r="B211" t="s">
        <v>48</v>
      </c>
      <c r="C211">
        <v>649163</v>
      </c>
      <c r="D211">
        <v>2026696631</v>
      </c>
      <c r="E211" t="s">
        <v>502</v>
      </c>
      <c r="F211" t="s">
        <v>337</v>
      </c>
      <c r="G211" t="s">
        <v>51</v>
      </c>
      <c r="H211" t="s">
        <v>52</v>
      </c>
      <c r="I211" t="s">
        <v>163</v>
      </c>
      <c r="J211" t="s">
        <v>164</v>
      </c>
      <c r="K211">
        <v>728134</v>
      </c>
      <c r="L211" t="s">
        <v>503</v>
      </c>
      <c r="M211" t="s">
        <v>504</v>
      </c>
      <c r="N211" t="s">
        <v>57</v>
      </c>
      <c r="O211" s="1">
        <v>45679</v>
      </c>
      <c r="Q211" s="1">
        <v>46134</v>
      </c>
      <c r="R211" s="2">
        <v>81.58</v>
      </c>
      <c r="S211">
        <v>1</v>
      </c>
      <c r="T211" t="s">
        <v>58</v>
      </c>
      <c r="U211" t="s">
        <v>260</v>
      </c>
      <c r="V211" s="3">
        <v>0.06</v>
      </c>
      <c r="W211" s="2">
        <v>0</v>
      </c>
      <c r="X211">
        <v>0</v>
      </c>
      <c r="Y211" t="s">
        <v>261</v>
      </c>
      <c r="Z211" t="s">
        <v>262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4.8899999999999997</v>
      </c>
      <c r="AN211" s="2">
        <v>4.8899999999999997</v>
      </c>
      <c r="AO211" s="2">
        <v>0</v>
      </c>
      <c r="AP211" s="2">
        <v>0</v>
      </c>
      <c r="AQ211" s="2">
        <v>0</v>
      </c>
    </row>
    <row r="212" spans="1:43" x14ac:dyDescent="0.3">
      <c r="A212" s="1">
        <v>46104</v>
      </c>
      <c r="B212" t="s">
        <v>48</v>
      </c>
      <c r="C212">
        <v>649163</v>
      </c>
      <c r="D212">
        <v>2026757479</v>
      </c>
      <c r="E212" t="s">
        <v>505</v>
      </c>
      <c r="F212" t="s">
        <v>478</v>
      </c>
      <c r="G212" t="s">
        <v>51</v>
      </c>
      <c r="H212" t="s">
        <v>86</v>
      </c>
      <c r="I212" t="s">
        <v>163</v>
      </c>
      <c r="J212" t="s">
        <v>164</v>
      </c>
      <c r="K212">
        <v>650794</v>
      </c>
      <c r="L212" t="s">
        <v>132</v>
      </c>
      <c r="M212" t="s">
        <v>506</v>
      </c>
      <c r="N212" t="s">
        <v>57</v>
      </c>
      <c r="O212" s="1">
        <v>45682</v>
      </c>
      <c r="Q212" s="1">
        <v>46137</v>
      </c>
      <c r="R212" s="2">
        <v>61.9</v>
      </c>
      <c r="S212">
        <v>1</v>
      </c>
      <c r="T212" t="s">
        <v>58</v>
      </c>
      <c r="U212" t="s">
        <v>260</v>
      </c>
      <c r="V212" s="3">
        <v>0.06</v>
      </c>
      <c r="W212" s="2">
        <v>0</v>
      </c>
      <c r="X212">
        <v>0</v>
      </c>
      <c r="Y212" t="s">
        <v>261</v>
      </c>
      <c r="Z212" t="s">
        <v>262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3.71</v>
      </c>
      <c r="AN212" s="2">
        <v>3.71</v>
      </c>
      <c r="AO212" s="2">
        <v>0</v>
      </c>
      <c r="AP212" s="2">
        <v>0</v>
      </c>
      <c r="AQ212" s="2">
        <v>0</v>
      </c>
    </row>
    <row r="213" spans="1:43" x14ac:dyDescent="0.3">
      <c r="A213" s="1">
        <v>46104</v>
      </c>
      <c r="B213" t="s">
        <v>48</v>
      </c>
      <c r="C213">
        <v>649163</v>
      </c>
      <c r="D213">
        <v>2026760029</v>
      </c>
      <c r="E213" t="s">
        <v>507</v>
      </c>
      <c r="F213" t="s">
        <v>508</v>
      </c>
      <c r="G213" t="s">
        <v>51</v>
      </c>
      <c r="H213" t="s">
        <v>509</v>
      </c>
      <c r="I213" t="s">
        <v>163</v>
      </c>
      <c r="J213" t="s">
        <v>164</v>
      </c>
      <c r="K213">
        <v>767312</v>
      </c>
      <c r="L213" t="s">
        <v>185</v>
      </c>
      <c r="M213" t="s">
        <v>186</v>
      </c>
      <c r="N213" t="s">
        <v>57</v>
      </c>
      <c r="O213" s="1">
        <v>45682</v>
      </c>
      <c r="Q213" s="1">
        <v>46137</v>
      </c>
      <c r="R213" s="2">
        <v>22.84</v>
      </c>
      <c r="S213">
        <v>1</v>
      </c>
      <c r="T213" t="s">
        <v>58</v>
      </c>
      <c r="U213" t="s">
        <v>260</v>
      </c>
      <c r="V213" s="3">
        <v>0.06</v>
      </c>
      <c r="W213" s="2">
        <v>0</v>
      </c>
      <c r="X213">
        <v>0</v>
      </c>
      <c r="Y213" t="s">
        <v>261</v>
      </c>
      <c r="Z213" t="s">
        <v>262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1.37</v>
      </c>
      <c r="AN213" s="2">
        <v>1.37</v>
      </c>
      <c r="AO213" s="2">
        <v>0</v>
      </c>
      <c r="AP213" s="2">
        <v>0</v>
      </c>
      <c r="AQ213" s="2">
        <v>0</v>
      </c>
    </row>
    <row r="214" spans="1:43" x14ac:dyDescent="0.3">
      <c r="A214" s="1">
        <v>46104</v>
      </c>
      <c r="B214" t="s">
        <v>48</v>
      </c>
      <c r="C214">
        <v>649163</v>
      </c>
      <c r="D214">
        <v>2026783378</v>
      </c>
      <c r="E214" t="s">
        <v>313</v>
      </c>
      <c r="F214" t="s">
        <v>314</v>
      </c>
      <c r="G214" t="s">
        <v>51</v>
      </c>
      <c r="H214" t="s">
        <v>86</v>
      </c>
      <c r="I214" t="s">
        <v>163</v>
      </c>
      <c r="J214" t="s">
        <v>164</v>
      </c>
      <c r="K214">
        <v>673059</v>
      </c>
      <c r="L214" t="s">
        <v>76</v>
      </c>
      <c r="M214" t="s">
        <v>77</v>
      </c>
      <c r="N214" t="s">
        <v>57</v>
      </c>
      <c r="O214" s="1">
        <v>45709</v>
      </c>
      <c r="Q214" s="1">
        <v>46133</v>
      </c>
      <c r="R214" s="2">
        <v>54.86</v>
      </c>
      <c r="S214">
        <v>1</v>
      </c>
      <c r="T214" t="s">
        <v>58</v>
      </c>
      <c r="U214" t="s">
        <v>260</v>
      </c>
      <c r="V214" s="3">
        <v>0.06</v>
      </c>
      <c r="W214" s="2">
        <v>0</v>
      </c>
      <c r="X214">
        <v>0</v>
      </c>
      <c r="Y214" t="s">
        <v>261</v>
      </c>
      <c r="Z214" t="s">
        <v>262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3.29</v>
      </c>
      <c r="AN214" s="2">
        <v>3.29</v>
      </c>
      <c r="AO214" s="2">
        <v>0</v>
      </c>
      <c r="AP214" s="2">
        <v>0</v>
      </c>
      <c r="AQ214" s="2">
        <v>0</v>
      </c>
    </row>
    <row r="215" spans="1:43" x14ac:dyDescent="0.3">
      <c r="A215" s="1">
        <v>46104</v>
      </c>
      <c r="B215" t="s">
        <v>48</v>
      </c>
      <c r="C215">
        <v>649163</v>
      </c>
      <c r="D215">
        <v>2027321380</v>
      </c>
      <c r="E215" t="s">
        <v>510</v>
      </c>
      <c r="F215" t="s">
        <v>511</v>
      </c>
      <c r="G215" t="s">
        <v>51</v>
      </c>
      <c r="H215" t="s">
        <v>64</v>
      </c>
      <c r="I215" t="s">
        <v>163</v>
      </c>
      <c r="J215" t="s">
        <v>164</v>
      </c>
      <c r="K215">
        <v>673059</v>
      </c>
      <c r="L215" t="s">
        <v>76</v>
      </c>
      <c r="M215" t="s">
        <v>77</v>
      </c>
      <c r="N215" t="s">
        <v>57</v>
      </c>
      <c r="O215" s="1">
        <v>45713</v>
      </c>
      <c r="Q215" s="1">
        <v>46137</v>
      </c>
      <c r="R215" s="2">
        <v>27.64</v>
      </c>
      <c r="S215">
        <v>1</v>
      </c>
      <c r="T215" t="s">
        <v>58</v>
      </c>
      <c r="U215" t="s">
        <v>260</v>
      </c>
      <c r="V215" s="3">
        <v>0.06</v>
      </c>
      <c r="W215" s="2">
        <v>0</v>
      </c>
      <c r="X215">
        <v>0</v>
      </c>
      <c r="Y215" t="s">
        <v>261</v>
      </c>
      <c r="Z215" t="s">
        <v>262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1.66</v>
      </c>
      <c r="AN215" s="2">
        <v>1.66</v>
      </c>
      <c r="AO215" s="2">
        <v>0</v>
      </c>
      <c r="AP215" s="2">
        <v>0</v>
      </c>
      <c r="AQ215" s="2">
        <v>0</v>
      </c>
    </row>
    <row r="216" spans="1:43" x14ac:dyDescent="0.3">
      <c r="A216" s="1">
        <v>46104</v>
      </c>
      <c r="B216" t="s">
        <v>48</v>
      </c>
      <c r="C216">
        <v>649163</v>
      </c>
      <c r="D216">
        <v>2028005040</v>
      </c>
      <c r="E216" t="s">
        <v>512</v>
      </c>
      <c r="F216" t="s">
        <v>513</v>
      </c>
      <c r="G216" t="s">
        <v>51</v>
      </c>
      <c r="H216" t="s">
        <v>64</v>
      </c>
      <c r="I216" t="s">
        <v>163</v>
      </c>
      <c r="J216" t="s">
        <v>164</v>
      </c>
      <c r="K216">
        <v>824062</v>
      </c>
      <c r="L216" t="s">
        <v>91</v>
      </c>
      <c r="M216" t="s">
        <v>92</v>
      </c>
      <c r="N216" t="s">
        <v>57</v>
      </c>
      <c r="O216" s="1">
        <v>45741</v>
      </c>
      <c r="Q216" s="1">
        <v>46137</v>
      </c>
      <c r="R216" s="2">
        <v>184.68</v>
      </c>
      <c r="S216">
        <v>1</v>
      </c>
      <c r="T216" t="s">
        <v>58</v>
      </c>
      <c r="U216" t="s">
        <v>260</v>
      </c>
      <c r="V216" s="3">
        <v>0.06</v>
      </c>
      <c r="W216" s="2">
        <v>0</v>
      </c>
      <c r="X216">
        <v>0</v>
      </c>
      <c r="Y216" t="s">
        <v>261</v>
      </c>
      <c r="Z216" t="s">
        <v>262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11.08</v>
      </c>
      <c r="AN216" s="2">
        <v>11.08</v>
      </c>
      <c r="AO216" s="2">
        <v>0</v>
      </c>
      <c r="AP216" s="2">
        <v>0</v>
      </c>
      <c r="AQ216" s="2">
        <v>0</v>
      </c>
    </row>
    <row r="217" spans="1:43" x14ac:dyDescent="0.3">
      <c r="A217" s="1">
        <v>46104</v>
      </c>
      <c r="B217" t="s">
        <v>48</v>
      </c>
      <c r="C217">
        <v>649163</v>
      </c>
      <c r="D217">
        <v>2028498798</v>
      </c>
      <c r="E217" t="s">
        <v>322</v>
      </c>
      <c r="F217" t="s">
        <v>323</v>
      </c>
      <c r="G217" t="s">
        <v>51</v>
      </c>
      <c r="H217" t="s">
        <v>324</v>
      </c>
      <c r="I217" t="s">
        <v>163</v>
      </c>
      <c r="J217" t="s">
        <v>164</v>
      </c>
      <c r="K217">
        <v>823350</v>
      </c>
      <c r="L217" t="s">
        <v>67</v>
      </c>
      <c r="M217" t="s">
        <v>68</v>
      </c>
      <c r="N217" t="s">
        <v>57</v>
      </c>
      <c r="O217" s="1">
        <v>45772</v>
      </c>
      <c r="Q217" s="1">
        <v>46137</v>
      </c>
      <c r="R217" s="2">
        <v>58.15</v>
      </c>
      <c r="S217">
        <v>1</v>
      </c>
      <c r="T217" t="s">
        <v>58</v>
      </c>
      <c r="U217" t="s">
        <v>260</v>
      </c>
      <c r="V217" s="4">
        <v>0.375</v>
      </c>
      <c r="W217" s="2">
        <v>0</v>
      </c>
      <c r="X217">
        <v>0</v>
      </c>
      <c r="Y217" t="s">
        <v>60</v>
      </c>
      <c r="Z217" t="s">
        <v>262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21.81</v>
      </c>
      <c r="AN217" s="2">
        <v>21.81</v>
      </c>
      <c r="AO217" s="2">
        <v>0</v>
      </c>
      <c r="AP217" s="2">
        <v>0</v>
      </c>
      <c r="AQ217" s="2">
        <v>0</v>
      </c>
    </row>
    <row r="218" spans="1:43" x14ac:dyDescent="0.3">
      <c r="A218" s="1">
        <v>46104</v>
      </c>
      <c r="B218" t="s">
        <v>48</v>
      </c>
      <c r="C218">
        <v>649163</v>
      </c>
      <c r="D218">
        <v>2028627544</v>
      </c>
      <c r="E218" t="s">
        <v>514</v>
      </c>
      <c r="F218" t="s">
        <v>515</v>
      </c>
      <c r="G218" t="s">
        <v>51</v>
      </c>
      <c r="H218" t="s">
        <v>300</v>
      </c>
      <c r="I218" t="s">
        <v>163</v>
      </c>
      <c r="J218" t="s">
        <v>164</v>
      </c>
      <c r="K218">
        <v>820873</v>
      </c>
      <c r="L218" t="s">
        <v>438</v>
      </c>
      <c r="M218" t="s">
        <v>439</v>
      </c>
      <c r="N218" t="s">
        <v>57</v>
      </c>
      <c r="O218" s="1">
        <v>45774</v>
      </c>
      <c r="Q218" s="1">
        <v>46139</v>
      </c>
      <c r="R218" s="2">
        <v>18.64</v>
      </c>
      <c r="S218">
        <v>1</v>
      </c>
      <c r="T218" t="s">
        <v>58</v>
      </c>
      <c r="U218" t="s">
        <v>260</v>
      </c>
      <c r="V218" s="4">
        <v>0.375</v>
      </c>
      <c r="W218" s="2">
        <v>0</v>
      </c>
      <c r="X218">
        <v>0</v>
      </c>
      <c r="Y218" t="s">
        <v>60</v>
      </c>
      <c r="Z218" t="s">
        <v>262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6.99</v>
      </c>
      <c r="AN218" s="2">
        <v>6.99</v>
      </c>
      <c r="AO218" s="2">
        <v>0</v>
      </c>
      <c r="AP218" s="2">
        <v>0</v>
      </c>
      <c r="AQ218" s="2">
        <v>0</v>
      </c>
    </row>
    <row r="219" spans="1:43" x14ac:dyDescent="0.3">
      <c r="A219" s="1">
        <v>46104</v>
      </c>
      <c r="B219" t="s">
        <v>48</v>
      </c>
      <c r="C219">
        <v>649163</v>
      </c>
      <c r="D219">
        <v>2029038487</v>
      </c>
      <c r="E219" t="s">
        <v>327</v>
      </c>
      <c r="F219" t="s">
        <v>328</v>
      </c>
      <c r="G219" t="s">
        <v>51</v>
      </c>
      <c r="H219" t="s">
        <v>191</v>
      </c>
      <c r="I219" t="s">
        <v>163</v>
      </c>
      <c r="J219" t="s">
        <v>164</v>
      </c>
      <c r="K219">
        <v>673059</v>
      </c>
      <c r="L219" t="s">
        <v>76</v>
      </c>
      <c r="M219" t="s">
        <v>77</v>
      </c>
      <c r="N219" t="s">
        <v>57</v>
      </c>
      <c r="O219" s="1">
        <v>45798</v>
      </c>
      <c r="Q219" s="1">
        <v>46133</v>
      </c>
      <c r="R219" s="2">
        <v>60.1</v>
      </c>
      <c r="S219">
        <v>1</v>
      </c>
      <c r="T219" t="s">
        <v>58</v>
      </c>
      <c r="U219" t="s">
        <v>260</v>
      </c>
      <c r="V219" s="4">
        <v>0.375</v>
      </c>
      <c r="W219" s="2">
        <v>0</v>
      </c>
      <c r="X219">
        <v>0</v>
      </c>
      <c r="Y219" t="s">
        <v>60</v>
      </c>
      <c r="Z219" t="s">
        <v>262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22.54</v>
      </c>
      <c r="AN219" s="2">
        <v>22.54</v>
      </c>
      <c r="AO219" s="2">
        <v>0</v>
      </c>
      <c r="AP219" s="2">
        <v>0</v>
      </c>
      <c r="AQ219" s="2">
        <v>0</v>
      </c>
    </row>
    <row r="220" spans="1:43" x14ac:dyDescent="0.3">
      <c r="A220" s="1">
        <v>46104</v>
      </c>
      <c r="B220" t="s">
        <v>48</v>
      </c>
      <c r="C220">
        <v>649163</v>
      </c>
      <c r="D220">
        <v>2029046099</v>
      </c>
      <c r="E220" t="s">
        <v>516</v>
      </c>
      <c r="F220" t="s">
        <v>517</v>
      </c>
      <c r="G220" t="s">
        <v>51</v>
      </c>
      <c r="H220" t="s">
        <v>418</v>
      </c>
      <c r="I220" t="s">
        <v>163</v>
      </c>
      <c r="J220" t="s">
        <v>164</v>
      </c>
      <c r="K220">
        <v>649247</v>
      </c>
      <c r="L220" t="s">
        <v>269</v>
      </c>
      <c r="M220" t="s">
        <v>270</v>
      </c>
      <c r="N220" t="s">
        <v>57</v>
      </c>
      <c r="O220" s="1">
        <v>45799</v>
      </c>
      <c r="Q220" s="1">
        <v>46134</v>
      </c>
      <c r="R220" s="2">
        <v>54.16</v>
      </c>
      <c r="S220">
        <v>1</v>
      </c>
      <c r="T220" t="s">
        <v>58</v>
      </c>
      <c r="U220" t="s">
        <v>260</v>
      </c>
      <c r="V220" s="4">
        <v>0.375</v>
      </c>
      <c r="W220" s="2">
        <v>0</v>
      </c>
      <c r="X220">
        <v>0</v>
      </c>
      <c r="Y220" t="s">
        <v>60</v>
      </c>
      <c r="Z220" t="s">
        <v>262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20.309999999999999</v>
      </c>
      <c r="AN220" s="2">
        <v>20.309999999999999</v>
      </c>
      <c r="AO220" s="2">
        <v>0</v>
      </c>
      <c r="AP220" s="2">
        <v>0</v>
      </c>
      <c r="AQ220" s="2">
        <v>0</v>
      </c>
    </row>
    <row r="221" spans="1:43" x14ac:dyDescent="0.3">
      <c r="A221" s="1">
        <v>46104</v>
      </c>
      <c r="B221" t="s">
        <v>48</v>
      </c>
      <c r="C221">
        <v>649163</v>
      </c>
      <c r="D221">
        <v>2029081351</v>
      </c>
      <c r="E221" t="s">
        <v>236</v>
      </c>
      <c r="F221" t="s">
        <v>490</v>
      </c>
      <c r="G221" t="s">
        <v>51</v>
      </c>
      <c r="H221" t="s">
        <v>64</v>
      </c>
      <c r="I221" t="s">
        <v>163</v>
      </c>
      <c r="J221" t="s">
        <v>164</v>
      </c>
      <c r="K221">
        <v>823350</v>
      </c>
      <c r="L221" t="s">
        <v>67</v>
      </c>
      <c r="M221" t="s">
        <v>68</v>
      </c>
      <c r="N221" t="s">
        <v>57</v>
      </c>
      <c r="O221" s="1">
        <v>45800</v>
      </c>
      <c r="Q221" s="1">
        <v>46135</v>
      </c>
      <c r="R221" s="2">
        <v>57.19</v>
      </c>
      <c r="S221">
        <v>1</v>
      </c>
      <c r="T221" t="s">
        <v>58</v>
      </c>
      <c r="U221" t="s">
        <v>260</v>
      </c>
      <c r="V221" s="4">
        <v>0.375</v>
      </c>
      <c r="W221" s="2">
        <v>0</v>
      </c>
      <c r="X221">
        <v>0</v>
      </c>
      <c r="Y221" t="s">
        <v>60</v>
      </c>
      <c r="Z221" t="s">
        <v>262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21.45</v>
      </c>
      <c r="AN221" s="2">
        <v>21.45</v>
      </c>
      <c r="AO221" s="2">
        <v>0</v>
      </c>
      <c r="AP221" s="2">
        <v>0</v>
      </c>
      <c r="AQ221" s="2">
        <v>0</v>
      </c>
    </row>
    <row r="222" spans="1:43" x14ac:dyDescent="0.3">
      <c r="A222" s="1">
        <v>46104</v>
      </c>
      <c r="B222" t="s">
        <v>48</v>
      </c>
      <c r="C222">
        <v>649163</v>
      </c>
      <c r="D222">
        <v>2029285748</v>
      </c>
      <c r="E222" t="s">
        <v>331</v>
      </c>
      <c r="F222" t="s">
        <v>219</v>
      </c>
      <c r="G222" t="s">
        <v>51</v>
      </c>
      <c r="H222" t="s">
        <v>332</v>
      </c>
      <c r="I222" t="s">
        <v>163</v>
      </c>
      <c r="J222" t="s">
        <v>164</v>
      </c>
      <c r="K222">
        <v>673059</v>
      </c>
      <c r="L222" t="s">
        <v>76</v>
      </c>
      <c r="M222" t="s">
        <v>77</v>
      </c>
      <c r="N222" t="s">
        <v>271</v>
      </c>
      <c r="O222" s="1">
        <v>45839</v>
      </c>
      <c r="P222" s="1">
        <v>46104</v>
      </c>
      <c r="Q222" s="1">
        <v>46113</v>
      </c>
      <c r="R222" s="2">
        <v>-7.76</v>
      </c>
      <c r="S222">
        <v>1</v>
      </c>
      <c r="T222" t="s">
        <v>58</v>
      </c>
      <c r="U222" t="s">
        <v>260</v>
      </c>
      <c r="V222" s="4">
        <v>0.375</v>
      </c>
      <c r="W222" s="2">
        <v>0</v>
      </c>
      <c r="X222">
        <v>-1</v>
      </c>
      <c r="Y222" t="s">
        <v>60</v>
      </c>
      <c r="Z222" t="s">
        <v>262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-2.91</v>
      </c>
      <c r="AN222" s="2">
        <v>-2.91</v>
      </c>
      <c r="AO222" s="2">
        <v>0</v>
      </c>
      <c r="AP222" s="2">
        <v>0</v>
      </c>
      <c r="AQ222" s="2">
        <v>0</v>
      </c>
    </row>
    <row r="223" spans="1:43" x14ac:dyDescent="0.3">
      <c r="A223" s="1">
        <v>46104</v>
      </c>
      <c r="B223" t="s">
        <v>48</v>
      </c>
      <c r="C223">
        <v>649163</v>
      </c>
      <c r="D223">
        <v>2029567229</v>
      </c>
      <c r="E223" t="s">
        <v>333</v>
      </c>
      <c r="F223" t="s">
        <v>334</v>
      </c>
      <c r="G223" t="s">
        <v>51</v>
      </c>
      <c r="H223" t="s">
        <v>74</v>
      </c>
      <c r="I223" t="s">
        <v>163</v>
      </c>
      <c r="J223" t="s">
        <v>164</v>
      </c>
      <c r="K223">
        <v>767312</v>
      </c>
      <c r="L223" t="s">
        <v>185</v>
      </c>
      <c r="M223" t="s">
        <v>186</v>
      </c>
      <c r="N223" t="s">
        <v>57</v>
      </c>
      <c r="O223" s="1">
        <v>45829</v>
      </c>
      <c r="Q223" s="1">
        <v>46133</v>
      </c>
      <c r="R223" s="2">
        <v>74.290000000000006</v>
      </c>
      <c r="S223">
        <v>1</v>
      </c>
      <c r="T223" t="s">
        <v>58</v>
      </c>
      <c r="U223" t="s">
        <v>260</v>
      </c>
      <c r="V223" s="4">
        <v>0.375</v>
      </c>
      <c r="W223" s="2">
        <v>0</v>
      </c>
      <c r="X223">
        <v>0</v>
      </c>
      <c r="Y223" t="s">
        <v>60</v>
      </c>
      <c r="Z223" t="s">
        <v>262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27.86</v>
      </c>
      <c r="AN223" s="2">
        <v>27.86</v>
      </c>
      <c r="AO223" s="2">
        <v>0</v>
      </c>
      <c r="AP223" s="2">
        <v>0</v>
      </c>
      <c r="AQ223" s="2">
        <v>0</v>
      </c>
    </row>
    <row r="224" spans="1:43" x14ac:dyDescent="0.3">
      <c r="A224" s="1">
        <v>46104</v>
      </c>
      <c r="B224" t="s">
        <v>48</v>
      </c>
      <c r="C224">
        <v>649163</v>
      </c>
      <c r="D224">
        <v>2029851935</v>
      </c>
      <c r="E224" t="s">
        <v>518</v>
      </c>
      <c r="F224" t="s">
        <v>519</v>
      </c>
      <c r="G224" t="s">
        <v>51</v>
      </c>
      <c r="H224" t="s">
        <v>112</v>
      </c>
      <c r="I224" t="s">
        <v>163</v>
      </c>
      <c r="J224" t="s">
        <v>164</v>
      </c>
      <c r="K224">
        <v>824082</v>
      </c>
      <c r="L224" t="s">
        <v>113</v>
      </c>
      <c r="M224" t="s">
        <v>114</v>
      </c>
      <c r="N224" t="s">
        <v>57</v>
      </c>
      <c r="O224" s="1">
        <v>45847</v>
      </c>
      <c r="Q224" s="1">
        <v>46121</v>
      </c>
      <c r="R224" s="2">
        <v>203.78</v>
      </c>
      <c r="S224">
        <v>1</v>
      </c>
      <c r="T224" t="s">
        <v>58</v>
      </c>
      <c r="U224" t="s">
        <v>260</v>
      </c>
      <c r="V224" s="4">
        <v>0.375</v>
      </c>
      <c r="W224" s="2">
        <v>0</v>
      </c>
      <c r="X224">
        <v>0</v>
      </c>
      <c r="Y224" t="s">
        <v>60</v>
      </c>
      <c r="Z224" t="s">
        <v>262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76.42</v>
      </c>
      <c r="AN224" s="2">
        <v>76.42</v>
      </c>
      <c r="AO224" s="2">
        <v>0</v>
      </c>
      <c r="AP224" s="2">
        <v>0</v>
      </c>
      <c r="AQ224" s="2">
        <v>0</v>
      </c>
    </row>
    <row r="225" spans="1:43" x14ac:dyDescent="0.3">
      <c r="A225" s="1">
        <v>46104</v>
      </c>
      <c r="B225" t="s">
        <v>48</v>
      </c>
      <c r="C225">
        <v>649163</v>
      </c>
      <c r="D225">
        <v>2030085144</v>
      </c>
      <c r="E225" t="s">
        <v>343</v>
      </c>
      <c r="F225" t="s">
        <v>344</v>
      </c>
      <c r="G225" t="s">
        <v>51</v>
      </c>
      <c r="H225" t="s">
        <v>64</v>
      </c>
      <c r="I225" t="s">
        <v>163</v>
      </c>
      <c r="J225" t="s">
        <v>164</v>
      </c>
      <c r="K225">
        <v>673059</v>
      </c>
      <c r="L225" t="s">
        <v>76</v>
      </c>
      <c r="M225" t="s">
        <v>77</v>
      </c>
      <c r="N225" t="s">
        <v>57</v>
      </c>
      <c r="O225" s="1">
        <v>45861</v>
      </c>
      <c r="Q225" s="1">
        <v>46135</v>
      </c>
      <c r="R225" s="2">
        <v>77.48</v>
      </c>
      <c r="S225">
        <v>1</v>
      </c>
      <c r="T225" t="s">
        <v>58</v>
      </c>
      <c r="U225" t="s">
        <v>260</v>
      </c>
      <c r="V225" s="4">
        <v>0.375</v>
      </c>
      <c r="W225" s="2">
        <v>0</v>
      </c>
      <c r="X225">
        <v>0</v>
      </c>
      <c r="Y225" t="s">
        <v>60</v>
      </c>
      <c r="Z225" t="s">
        <v>262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29.06</v>
      </c>
      <c r="AN225" s="2">
        <v>29.06</v>
      </c>
      <c r="AO225" s="2">
        <v>0</v>
      </c>
      <c r="AP225" s="2">
        <v>0</v>
      </c>
      <c r="AQ225" s="2">
        <v>0</v>
      </c>
    </row>
    <row r="226" spans="1:43" x14ac:dyDescent="0.3">
      <c r="A226" s="1">
        <v>46104</v>
      </c>
      <c r="B226" t="s">
        <v>48</v>
      </c>
      <c r="C226">
        <v>649163</v>
      </c>
      <c r="D226">
        <v>2030108808</v>
      </c>
      <c r="E226" t="s">
        <v>345</v>
      </c>
      <c r="F226" t="s">
        <v>346</v>
      </c>
      <c r="G226" t="s">
        <v>51</v>
      </c>
      <c r="H226" t="s">
        <v>112</v>
      </c>
      <c r="I226" t="s">
        <v>163</v>
      </c>
      <c r="J226" t="s">
        <v>164</v>
      </c>
      <c r="K226">
        <v>796984</v>
      </c>
      <c r="L226" t="s">
        <v>347</v>
      </c>
      <c r="M226" t="s">
        <v>124</v>
      </c>
      <c r="N226" t="s">
        <v>57</v>
      </c>
      <c r="O226" s="1">
        <v>45862</v>
      </c>
      <c r="Q226" s="1">
        <v>46136</v>
      </c>
      <c r="R226" s="2">
        <v>47.28</v>
      </c>
      <c r="S226">
        <v>1</v>
      </c>
      <c r="T226" t="s">
        <v>58</v>
      </c>
      <c r="U226" t="s">
        <v>260</v>
      </c>
      <c r="V226" s="4">
        <v>0.375</v>
      </c>
      <c r="W226" s="2">
        <v>0</v>
      </c>
      <c r="X226">
        <v>0</v>
      </c>
      <c r="Y226" t="s">
        <v>60</v>
      </c>
      <c r="Z226" t="s">
        <v>262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17.73</v>
      </c>
      <c r="AN226" s="2">
        <v>17.73</v>
      </c>
      <c r="AO226" s="2">
        <v>0</v>
      </c>
      <c r="AP226" s="2">
        <v>0</v>
      </c>
      <c r="AQ226" s="2">
        <v>0</v>
      </c>
    </row>
    <row r="227" spans="1:43" x14ac:dyDescent="0.3">
      <c r="A227" s="1">
        <v>46104</v>
      </c>
      <c r="B227" t="s">
        <v>48</v>
      </c>
      <c r="C227">
        <v>649163</v>
      </c>
      <c r="D227">
        <v>2030125458</v>
      </c>
      <c r="E227" t="s">
        <v>520</v>
      </c>
      <c r="F227" t="s">
        <v>521</v>
      </c>
      <c r="G227" t="s">
        <v>51</v>
      </c>
      <c r="H227" t="s">
        <v>74</v>
      </c>
      <c r="I227" t="s">
        <v>163</v>
      </c>
      <c r="J227" t="s">
        <v>164</v>
      </c>
      <c r="K227">
        <v>856163</v>
      </c>
      <c r="L227" t="s">
        <v>67</v>
      </c>
      <c r="M227" t="s">
        <v>473</v>
      </c>
      <c r="N227" t="s">
        <v>57</v>
      </c>
      <c r="O227" s="1">
        <v>45863</v>
      </c>
      <c r="Q227" s="1">
        <v>46137</v>
      </c>
      <c r="R227" s="2">
        <v>50.3</v>
      </c>
      <c r="S227">
        <v>1</v>
      </c>
      <c r="T227" t="s">
        <v>58</v>
      </c>
      <c r="U227" t="s">
        <v>260</v>
      </c>
      <c r="V227" s="4">
        <v>0.375</v>
      </c>
      <c r="W227" s="2">
        <v>0</v>
      </c>
      <c r="X227">
        <v>0</v>
      </c>
      <c r="Y227" t="s">
        <v>60</v>
      </c>
      <c r="Z227" t="s">
        <v>262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18.86</v>
      </c>
      <c r="AN227" s="2">
        <v>18.86</v>
      </c>
      <c r="AO227" s="2">
        <v>0</v>
      </c>
      <c r="AP227" s="2">
        <v>0</v>
      </c>
      <c r="AQ227" s="2">
        <v>0</v>
      </c>
    </row>
    <row r="228" spans="1:43" x14ac:dyDescent="0.3">
      <c r="A228" s="1">
        <v>46104</v>
      </c>
      <c r="B228" t="s">
        <v>48</v>
      </c>
      <c r="C228">
        <v>649163</v>
      </c>
      <c r="D228">
        <v>2030455580</v>
      </c>
      <c r="E228" t="s">
        <v>522</v>
      </c>
      <c r="F228" t="s">
        <v>266</v>
      </c>
      <c r="G228" t="s">
        <v>51</v>
      </c>
      <c r="H228" t="s">
        <v>112</v>
      </c>
      <c r="I228" t="s">
        <v>163</v>
      </c>
      <c r="J228" t="s">
        <v>164</v>
      </c>
      <c r="K228">
        <v>816021</v>
      </c>
      <c r="L228" t="s">
        <v>311</v>
      </c>
      <c r="M228" t="s">
        <v>312</v>
      </c>
      <c r="N228" t="s">
        <v>57</v>
      </c>
      <c r="O228" s="1">
        <v>45882</v>
      </c>
      <c r="Q228" s="1">
        <v>46125</v>
      </c>
      <c r="R228" s="2">
        <v>-51.74</v>
      </c>
      <c r="S228">
        <v>1</v>
      </c>
      <c r="T228" t="s">
        <v>58</v>
      </c>
      <c r="U228" t="s">
        <v>260</v>
      </c>
      <c r="V228" s="4">
        <v>0.375</v>
      </c>
      <c r="W228" s="2">
        <v>0</v>
      </c>
      <c r="X228">
        <v>-1</v>
      </c>
      <c r="Y228" t="s">
        <v>60</v>
      </c>
      <c r="Z228" t="s">
        <v>262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-19.399999999999999</v>
      </c>
      <c r="AN228" s="2">
        <v>-19.399999999999999</v>
      </c>
      <c r="AO228" s="2">
        <v>0</v>
      </c>
      <c r="AP228" s="2">
        <v>0</v>
      </c>
      <c r="AQ228" s="2">
        <v>0</v>
      </c>
    </row>
    <row r="229" spans="1:43" x14ac:dyDescent="0.3">
      <c r="A229" s="1">
        <v>46104</v>
      </c>
      <c r="B229" t="s">
        <v>48</v>
      </c>
      <c r="C229">
        <v>649163</v>
      </c>
      <c r="D229">
        <v>2030590884</v>
      </c>
      <c r="E229" t="s">
        <v>523</v>
      </c>
      <c r="F229" t="s">
        <v>524</v>
      </c>
      <c r="G229" t="s">
        <v>51</v>
      </c>
      <c r="H229" t="s">
        <v>210</v>
      </c>
      <c r="I229" t="s">
        <v>163</v>
      </c>
      <c r="J229" t="s">
        <v>164</v>
      </c>
      <c r="K229">
        <v>767312</v>
      </c>
      <c r="L229" t="s">
        <v>185</v>
      </c>
      <c r="M229" t="s">
        <v>186</v>
      </c>
      <c r="N229" t="s">
        <v>57</v>
      </c>
      <c r="O229" s="1">
        <v>45890</v>
      </c>
      <c r="Q229" s="1">
        <v>46133</v>
      </c>
      <c r="R229" s="2">
        <v>17.37</v>
      </c>
      <c r="S229">
        <v>1</v>
      </c>
      <c r="T229" t="s">
        <v>58</v>
      </c>
      <c r="U229" t="s">
        <v>260</v>
      </c>
      <c r="V229" s="4">
        <v>0.375</v>
      </c>
      <c r="W229" s="2">
        <v>0</v>
      </c>
      <c r="X229">
        <v>0</v>
      </c>
      <c r="Y229" t="s">
        <v>60</v>
      </c>
      <c r="Z229" t="s">
        <v>262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6.51</v>
      </c>
      <c r="AN229" s="2">
        <v>6.51</v>
      </c>
      <c r="AO229" s="2">
        <v>0</v>
      </c>
      <c r="AP229" s="2">
        <v>0</v>
      </c>
      <c r="AQ229" s="2">
        <v>0</v>
      </c>
    </row>
    <row r="230" spans="1:43" x14ac:dyDescent="0.3">
      <c r="A230" s="1">
        <v>46104</v>
      </c>
      <c r="B230" t="s">
        <v>48</v>
      </c>
      <c r="C230">
        <v>649163</v>
      </c>
      <c r="D230">
        <v>2030601614</v>
      </c>
      <c r="E230" t="s">
        <v>168</v>
      </c>
      <c r="F230" t="s">
        <v>525</v>
      </c>
      <c r="G230" t="s">
        <v>51</v>
      </c>
      <c r="H230" t="s">
        <v>64</v>
      </c>
      <c r="I230" t="s">
        <v>163</v>
      </c>
      <c r="J230" t="s">
        <v>164</v>
      </c>
      <c r="K230">
        <v>813184</v>
      </c>
      <c r="L230" t="s">
        <v>398</v>
      </c>
      <c r="M230" t="s">
        <v>399</v>
      </c>
      <c r="N230" t="s">
        <v>57</v>
      </c>
      <c r="O230" s="1">
        <v>45891</v>
      </c>
      <c r="Q230" s="1">
        <v>46134</v>
      </c>
      <c r="R230" s="2">
        <v>63.37</v>
      </c>
      <c r="S230">
        <v>1</v>
      </c>
      <c r="T230" t="s">
        <v>58</v>
      </c>
      <c r="U230" t="s">
        <v>260</v>
      </c>
      <c r="V230" s="4">
        <v>0.375</v>
      </c>
      <c r="W230" s="2">
        <v>0</v>
      </c>
      <c r="X230">
        <v>0</v>
      </c>
      <c r="Y230" t="s">
        <v>60</v>
      </c>
      <c r="Z230" t="s">
        <v>262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23.76</v>
      </c>
      <c r="AN230" s="2">
        <v>23.76</v>
      </c>
      <c r="AO230" s="2">
        <v>0</v>
      </c>
      <c r="AP230" s="2">
        <v>0</v>
      </c>
      <c r="AQ230" s="2">
        <v>0</v>
      </c>
    </row>
    <row r="231" spans="1:43" x14ac:dyDescent="0.3">
      <c r="A231" s="1">
        <v>46104</v>
      </c>
      <c r="B231" t="s">
        <v>48</v>
      </c>
      <c r="C231">
        <v>649163</v>
      </c>
      <c r="D231">
        <v>2030601875</v>
      </c>
      <c r="E231" t="s">
        <v>526</v>
      </c>
      <c r="F231" t="s">
        <v>186</v>
      </c>
      <c r="G231" t="s">
        <v>51</v>
      </c>
      <c r="H231" t="s">
        <v>52</v>
      </c>
      <c r="I231" t="s">
        <v>163</v>
      </c>
      <c r="J231" t="s">
        <v>164</v>
      </c>
      <c r="K231">
        <v>702406</v>
      </c>
      <c r="L231" t="s">
        <v>259</v>
      </c>
      <c r="M231" t="s">
        <v>173</v>
      </c>
      <c r="N231" t="s">
        <v>57</v>
      </c>
      <c r="O231" s="1">
        <v>45890</v>
      </c>
      <c r="Q231" s="1">
        <v>46133</v>
      </c>
      <c r="R231" s="2">
        <v>36.65</v>
      </c>
      <c r="S231">
        <v>1</v>
      </c>
      <c r="T231" t="s">
        <v>58</v>
      </c>
      <c r="U231" t="s">
        <v>260</v>
      </c>
      <c r="V231" s="4">
        <v>0.375</v>
      </c>
      <c r="W231" s="2">
        <v>0</v>
      </c>
      <c r="X231">
        <v>0</v>
      </c>
      <c r="Y231" t="s">
        <v>60</v>
      </c>
      <c r="Z231" t="s">
        <v>262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13.74</v>
      </c>
      <c r="AN231" s="2">
        <v>13.74</v>
      </c>
      <c r="AO231" s="2">
        <v>0</v>
      </c>
      <c r="AP231" s="2">
        <v>0</v>
      </c>
      <c r="AQ231" s="2">
        <v>0</v>
      </c>
    </row>
    <row r="232" spans="1:43" x14ac:dyDescent="0.3">
      <c r="A232" s="1">
        <v>46104</v>
      </c>
      <c r="B232" t="s">
        <v>48</v>
      </c>
      <c r="C232">
        <v>649163</v>
      </c>
      <c r="D232">
        <v>2030670142</v>
      </c>
      <c r="E232" t="s">
        <v>527</v>
      </c>
      <c r="F232" t="s">
        <v>528</v>
      </c>
      <c r="G232" t="s">
        <v>51</v>
      </c>
      <c r="H232" t="s">
        <v>52</v>
      </c>
      <c r="I232" t="s">
        <v>163</v>
      </c>
      <c r="J232" t="s">
        <v>164</v>
      </c>
      <c r="K232">
        <v>650218</v>
      </c>
      <c r="L232" t="s">
        <v>87</v>
      </c>
      <c r="M232" t="s">
        <v>88</v>
      </c>
      <c r="N232" t="s">
        <v>57</v>
      </c>
      <c r="O232" s="1">
        <v>45895</v>
      </c>
      <c r="Q232" s="1">
        <v>46138</v>
      </c>
      <c r="R232" s="2">
        <v>36.11</v>
      </c>
      <c r="S232">
        <v>1</v>
      </c>
      <c r="T232" t="s">
        <v>58</v>
      </c>
      <c r="U232" t="s">
        <v>260</v>
      </c>
      <c r="V232" s="4">
        <v>0.375</v>
      </c>
      <c r="W232" s="2">
        <v>0</v>
      </c>
      <c r="X232">
        <v>0</v>
      </c>
      <c r="Y232" t="s">
        <v>60</v>
      </c>
      <c r="Z232" t="s">
        <v>262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13.54</v>
      </c>
      <c r="AN232" s="2">
        <v>13.54</v>
      </c>
      <c r="AO232" s="2">
        <v>0</v>
      </c>
      <c r="AP232" s="2">
        <v>0</v>
      </c>
      <c r="AQ232" s="2">
        <v>0</v>
      </c>
    </row>
    <row r="233" spans="1:43" x14ac:dyDescent="0.3">
      <c r="A233" s="1">
        <v>46104</v>
      </c>
      <c r="B233" t="s">
        <v>48</v>
      </c>
      <c r="C233">
        <v>649163</v>
      </c>
      <c r="D233">
        <v>2030678352</v>
      </c>
      <c r="E233" t="s">
        <v>351</v>
      </c>
      <c r="F233" t="s">
        <v>352</v>
      </c>
      <c r="G233" t="s">
        <v>51</v>
      </c>
      <c r="H233" t="s">
        <v>112</v>
      </c>
      <c r="I233" t="s">
        <v>163</v>
      </c>
      <c r="J233" t="s">
        <v>164</v>
      </c>
      <c r="K233">
        <v>816021</v>
      </c>
      <c r="L233" t="s">
        <v>311</v>
      </c>
      <c r="M233" t="s">
        <v>312</v>
      </c>
      <c r="N233" t="s">
        <v>57</v>
      </c>
      <c r="O233" s="1">
        <v>45901</v>
      </c>
      <c r="Q233" s="1">
        <v>46113</v>
      </c>
      <c r="R233" s="2">
        <v>-37.51</v>
      </c>
      <c r="S233">
        <v>1</v>
      </c>
      <c r="T233" t="s">
        <v>58</v>
      </c>
      <c r="U233" t="s">
        <v>260</v>
      </c>
      <c r="V233" s="4">
        <v>0.375</v>
      </c>
      <c r="W233" s="2">
        <v>0</v>
      </c>
      <c r="X233">
        <v>-1</v>
      </c>
      <c r="Y233" t="s">
        <v>60</v>
      </c>
      <c r="Z233" t="s">
        <v>262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-14.07</v>
      </c>
      <c r="AN233" s="2">
        <v>-14.07</v>
      </c>
      <c r="AO233" s="2">
        <v>0</v>
      </c>
      <c r="AP233" s="2">
        <v>0</v>
      </c>
      <c r="AQ233" s="2">
        <v>0</v>
      </c>
    </row>
    <row r="234" spans="1:43" x14ac:dyDescent="0.3">
      <c r="A234" s="1">
        <v>46104</v>
      </c>
      <c r="B234" t="s">
        <v>48</v>
      </c>
      <c r="C234">
        <v>649163</v>
      </c>
      <c r="D234">
        <v>2030697180</v>
      </c>
      <c r="E234" t="s">
        <v>278</v>
      </c>
      <c r="F234" t="s">
        <v>279</v>
      </c>
      <c r="G234" t="s">
        <v>51</v>
      </c>
      <c r="H234" t="s">
        <v>52</v>
      </c>
      <c r="I234" t="s">
        <v>163</v>
      </c>
      <c r="J234" t="s">
        <v>164</v>
      </c>
      <c r="K234">
        <v>885445</v>
      </c>
      <c r="L234" t="s">
        <v>55</v>
      </c>
      <c r="M234" t="s">
        <v>56</v>
      </c>
      <c r="N234" t="s">
        <v>57</v>
      </c>
      <c r="O234" s="1">
        <v>45901</v>
      </c>
      <c r="Q234" s="1">
        <v>46113</v>
      </c>
      <c r="R234" s="2">
        <v>89</v>
      </c>
      <c r="S234">
        <v>1</v>
      </c>
      <c r="T234" t="s">
        <v>58</v>
      </c>
      <c r="U234" t="s">
        <v>260</v>
      </c>
      <c r="V234" s="4">
        <v>0.375</v>
      </c>
      <c r="W234" s="2">
        <v>0</v>
      </c>
      <c r="X234">
        <v>0</v>
      </c>
      <c r="Y234" t="s">
        <v>60</v>
      </c>
      <c r="Z234" t="s">
        <v>262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33.380000000000003</v>
      </c>
      <c r="AN234" s="2">
        <v>33.380000000000003</v>
      </c>
      <c r="AO234" s="2">
        <v>0</v>
      </c>
      <c r="AP234" s="2">
        <v>0</v>
      </c>
      <c r="AQ234" s="2">
        <v>0</v>
      </c>
    </row>
    <row r="235" spans="1:43" x14ac:dyDescent="0.3">
      <c r="A235" s="1">
        <v>46104</v>
      </c>
      <c r="B235" t="s">
        <v>48</v>
      </c>
      <c r="C235">
        <v>649163</v>
      </c>
      <c r="D235">
        <v>2031180131</v>
      </c>
      <c r="E235" t="s">
        <v>354</v>
      </c>
      <c r="F235" t="s">
        <v>355</v>
      </c>
      <c r="G235" t="s">
        <v>51</v>
      </c>
      <c r="H235" t="s">
        <v>213</v>
      </c>
      <c r="I235" t="s">
        <v>163</v>
      </c>
      <c r="J235" t="s">
        <v>164</v>
      </c>
      <c r="K235">
        <v>823350</v>
      </c>
      <c r="L235" t="s">
        <v>67</v>
      </c>
      <c r="M235" t="s">
        <v>68</v>
      </c>
      <c r="N235" t="s">
        <v>57</v>
      </c>
      <c r="O235" s="1">
        <v>45924</v>
      </c>
      <c r="Q235" s="1">
        <v>46136</v>
      </c>
      <c r="R235" s="2">
        <v>69.69</v>
      </c>
      <c r="S235">
        <v>1</v>
      </c>
      <c r="T235" t="s">
        <v>58</v>
      </c>
      <c r="U235" t="s">
        <v>59</v>
      </c>
      <c r="V235" s="4">
        <v>0.375</v>
      </c>
      <c r="W235" s="2">
        <v>0</v>
      </c>
      <c r="X235">
        <v>0</v>
      </c>
      <c r="Y235" t="s">
        <v>60</v>
      </c>
      <c r="Z235" t="s">
        <v>262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26.13</v>
      </c>
      <c r="AN235" s="2">
        <v>26.13</v>
      </c>
      <c r="AO235" s="2">
        <v>0</v>
      </c>
      <c r="AP235" s="2">
        <v>0</v>
      </c>
      <c r="AQ235" s="2">
        <v>0</v>
      </c>
    </row>
    <row r="236" spans="1:43" x14ac:dyDescent="0.3">
      <c r="A236" s="1">
        <v>46104</v>
      </c>
      <c r="B236" t="s">
        <v>48</v>
      </c>
      <c r="C236">
        <v>649163</v>
      </c>
      <c r="D236">
        <v>2031205937</v>
      </c>
      <c r="E236" t="s">
        <v>529</v>
      </c>
      <c r="F236" t="s">
        <v>361</v>
      </c>
      <c r="G236" t="s">
        <v>51</v>
      </c>
      <c r="H236" t="s">
        <v>74</v>
      </c>
      <c r="I236" t="s">
        <v>163</v>
      </c>
      <c r="J236" t="s">
        <v>164</v>
      </c>
      <c r="K236">
        <v>767312</v>
      </c>
      <c r="L236" t="s">
        <v>185</v>
      </c>
      <c r="M236" t="s">
        <v>186</v>
      </c>
      <c r="N236" t="s">
        <v>57</v>
      </c>
      <c r="O236" s="1">
        <v>45923</v>
      </c>
      <c r="Q236" s="1">
        <v>46135</v>
      </c>
      <c r="R236" s="2">
        <v>28.38</v>
      </c>
      <c r="S236">
        <v>1</v>
      </c>
      <c r="T236" t="s">
        <v>58</v>
      </c>
      <c r="U236" t="s">
        <v>59</v>
      </c>
      <c r="V236" s="4">
        <v>0.375</v>
      </c>
      <c r="W236" s="2">
        <v>0</v>
      </c>
      <c r="X236">
        <v>0</v>
      </c>
      <c r="Y236" t="s">
        <v>60</v>
      </c>
      <c r="Z236" t="s">
        <v>262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10.64</v>
      </c>
      <c r="AN236" s="2">
        <v>10.64</v>
      </c>
      <c r="AO236" s="2">
        <v>0</v>
      </c>
      <c r="AP236" s="2">
        <v>0</v>
      </c>
      <c r="AQ236" s="2">
        <v>0</v>
      </c>
    </row>
    <row r="237" spans="1:43" x14ac:dyDescent="0.3">
      <c r="A237" s="1">
        <v>46104</v>
      </c>
      <c r="B237" t="s">
        <v>48</v>
      </c>
      <c r="C237">
        <v>649163</v>
      </c>
      <c r="D237">
        <v>2031218305</v>
      </c>
      <c r="E237" t="s">
        <v>530</v>
      </c>
      <c r="F237" t="s">
        <v>531</v>
      </c>
      <c r="G237" t="s">
        <v>51</v>
      </c>
      <c r="H237" t="s">
        <v>184</v>
      </c>
      <c r="I237" t="s">
        <v>163</v>
      </c>
      <c r="J237" t="s">
        <v>164</v>
      </c>
      <c r="K237">
        <v>767312</v>
      </c>
      <c r="L237" t="s">
        <v>185</v>
      </c>
      <c r="M237" t="s">
        <v>186</v>
      </c>
      <c r="N237" t="s">
        <v>57</v>
      </c>
      <c r="O237" s="1">
        <v>45924</v>
      </c>
      <c r="Q237" s="1">
        <v>46136</v>
      </c>
      <c r="R237" s="2">
        <v>78.349999999999994</v>
      </c>
      <c r="S237">
        <v>1</v>
      </c>
      <c r="T237" t="s">
        <v>58</v>
      </c>
      <c r="U237" t="s">
        <v>59</v>
      </c>
      <c r="V237" s="4">
        <v>0.375</v>
      </c>
      <c r="W237" s="2">
        <v>0</v>
      </c>
      <c r="X237">
        <v>0</v>
      </c>
      <c r="Y237" t="s">
        <v>60</v>
      </c>
      <c r="Z237" t="s">
        <v>262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29.38</v>
      </c>
      <c r="AN237" s="2">
        <v>29.38</v>
      </c>
      <c r="AO237" s="2">
        <v>0</v>
      </c>
      <c r="AP237" s="2">
        <v>0</v>
      </c>
      <c r="AQ237" s="2">
        <v>0</v>
      </c>
    </row>
    <row r="238" spans="1:43" x14ac:dyDescent="0.3">
      <c r="A238" s="1">
        <v>46104</v>
      </c>
      <c r="B238" t="s">
        <v>48</v>
      </c>
      <c r="C238">
        <v>649163</v>
      </c>
      <c r="D238">
        <v>2031249950</v>
      </c>
      <c r="E238" t="s">
        <v>532</v>
      </c>
      <c r="F238" t="s">
        <v>200</v>
      </c>
      <c r="G238" t="s">
        <v>51</v>
      </c>
      <c r="H238" t="s">
        <v>64</v>
      </c>
      <c r="I238" t="s">
        <v>163</v>
      </c>
      <c r="J238" t="s">
        <v>164</v>
      </c>
      <c r="K238">
        <v>756803</v>
      </c>
      <c r="L238" t="s">
        <v>159</v>
      </c>
      <c r="M238" t="s">
        <v>160</v>
      </c>
      <c r="N238" t="s">
        <v>57</v>
      </c>
      <c r="O238" s="1">
        <v>45925</v>
      </c>
      <c r="Q238" s="1">
        <v>46137</v>
      </c>
      <c r="R238" s="2">
        <v>53.87</v>
      </c>
      <c r="S238">
        <v>1</v>
      </c>
      <c r="T238" t="s">
        <v>58</v>
      </c>
      <c r="U238" t="s">
        <v>59</v>
      </c>
      <c r="V238" s="4">
        <v>0.375</v>
      </c>
      <c r="W238" s="2">
        <v>0</v>
      </c>
      <c r="X238">
        <v>0</v>
      </c>
      <c r="Y238" t="s">
        <v>60</v>
      </c>
      <c r="Z238" t="s">
        <v>262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20.2</v>
      </c>
      <c r="AN238" s="2">
        <v>20.2</v>
      </c>
      <c r="AO238" s="2">
        <v>0</v>
      </c>
      <c r="AP238" s="2">
        <v>0</v>
      </c>
      <c r="AQ238" s="2">
        <v>0</v>
      </c>
    </row>
    <row r="239" spans="1:43" x14ac:dyDescent="0.3">
      <c r="A239" s="1">
        <v>46104</v>
      </c>
      <c r="B239" t="s">
        <v>48</v>
      </c>
      <c r="C239">
        <v>649163</v>
      </c>
      <c r="D239">
        <v>2031255007</v>
      </c>
      <c r="E239" t="s">
        <v>448</v>
      </c>
      <c r="F239" t="s">
        <v>449</v>
      </c>
      <c r="G239" t="s">
        <v>51</v>
      </c>
      <c r="H239" t="s">
        <v>64</v>
      </c>
      <c r="I239" t="s">
        <v>163</v>
      </c>
      <c r="J239" t="s">
        <v>164</v>
      </c>
      <c r="K239">
        <v>812994</v>
      </c>
      <c r="L239" t="s">
        <v>450</v>
      </c>
      <c r="M239" t="s">
        <v>451</v>
      </c>
      <c r="N239" t="s">
        <v>57</v>
      </c>
      <c r="O239" s="1">
        <v>45925</v>
      </c>
      <c r="Q239" s="1">
        <v>46137</v>
      </c>
      <c r="R239" s="2">
        <v>257.49</v>
      </c>
      <c r="S239">
        <v>1</v>
      </c>
      <c r="T239" t="s">
        <v>58</v>
      </c>
      <c r="U239" t="s">
        <v>59</v>
      </c>
      <c r="V239" s="4">
        <v>0.375</v>
      </c>
      <c r="W239" s="2">
        <v>0</v>
      </c>
      <c r="X239">
        <v>0</v>
      </c>
      <c r="Y239" t="s">
        <v>60</v>
      </c>
      <c r="Z239" t="s">
        <v>262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96.56</v>
      </c>
      <c r="AN239" s="2">
        <v>96.56</v>
      </c>
      <c r="AO239" s="2">
        <v>0</v>
      </c>
      <c r="AP239" s="2">
        <v>0</v>
      </c>
      <c r="AQ239" s="2">
        <v>0</v>
      </c>
    </row>
    <row r="240" spans="1:43" x14ac:dyDescent="0.3">
      <c r="A240" s="1">
        <v>46104</v>
      </c>
      <c r="B240" t="s">
        <v>48</v>
      </c>
      <c r="C240">
        <v>649163</v>
      </c>
      <c r="D240">
        <v>2031719649</v>
      </c>
      <c r="E240" t="s">
        <v>533</v>
      </c>
      <c r="F240" t="s">
        <v>237</v>
      </c>
      <c r="G240" t="s">
        <v>51</v>
      </c>
      <c r="H240" t="s">
        <v>86</v>
      </c>
      <c r="I240" t="s">
        <v>163</v>
      </c>
      <c r="J240" t="s">
        <v>164</v>
      </c>
      <c r="K240">
        <v>812782</v>
      </c>
      <c r="L240" t="s">
        <v>236</v>
      </c>
      <c r="M240" t="s">
        <v>237</v>
      </c>
      <c r="N240" t="s">
        <v>57</v>
      </c>
      <c r="O240" s="1">
        <v>45951</v>
      </c>
      <c r="Q240" s="1">
        <v>46133</v>
      </c>
      <c r="R240" s="2">
        <v>27.97</v>
      </c>
      <c r="S240">
        <v>1</v>
      </c>
      <c r="T240" t="s">
        <v>58</v>
      </c>
      <c r="U240" t="s">
        <v>59</v>
      </c>
      <c r="V240" s="4">
        <v>0.375</v>
      </c>
      <c r="W240" s="2">
        <v>0</v>
      </c>
      <c r="X240">
        <v>0</v>
      </c>
      <c r="Y240" t="s">
        <v>60</v>
      </c>
      <c r="Z240" t="s">
        <v>262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10.49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</row>
    <row r="241" spans="1:43" x14ac:dyDescent="0.3">
      <c r="A241" s="1">
        <v>46104</v>
      </c>
      <c r="B241" t="s">
        <v>48</v>
      </c>
      <c r="C241">
        <v>649163</v>
      </c>
      <c r="D241">
        <v>2031738861</v>
      </c>
      <c r="E241" t="s">
        <v>360</v>
      </c>
      <c r="F241" t="s">
        <v>361</v>
      </c>
      <c r="G241" t="s">
        <v>51</v>
      </c>
      <c r="H241" t="s">
        <v>86</v>
      </c>
      <c r="I241" t="s">
        <v>163</v>
      </c>
      <c r="J241" t="s">
        <v>164</v>
      </c>
      <c r="K241">
        <v>673059</v>
      </c>
      <c r="L241" t="s">
        <v>76</v>
      </c>
      <c r="M241" t="s">
        <v>77</v>
      </c>
      <c r="N241" t="s">
        <v>57</v>
      </c>
      <c r="O241" s="1">
        <v>45952</v>
      </c>
      <c r="Q241" s="1">
        <v>46134</v>
      </c>
      <c r="R241" s="2">
        <v>24.54</v>
      </c>
      <c r="S241">
        <v>1</v>
      </c>
      <c r="T241" t="s">
        <v>58</v>
      </c>
      <c r="U241" t="s">
        <v>59</v>
      </c>
      <c r="V241" s="4">
        <v>0.375</v>
      </c>
      <c r="W241" s="2">
        <v>0</v>
      </c>
      <c r="X241">
        <v>0</v>
      </c>
      <c r="Y241" t="s">
        <v>60</v>
      </c>
      <c r="Z241" t="s">
        <v>262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9.1999999999999993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</row>
    <row r="242" spans="1:43" x14ac:dyDescent="0.3">
      <c r="A242" s="1">
        <v>46104</v>
      </c>
      <c r="B242" t="s">
        <v>48</v>
      </c>
      <c r="C242">
        <v>649163</v>
      </c>
      <c r="D242">
        <v>2031759931</v>
      </c>
      <c r="E242" t="s">
        <v>362</v>
      </c>
      <c r="F242" t="s">
        <v>363</v>
      </c>
      <c r="G242" t="s">
        <v>51</v>
      </c>
      <c r="H242" t="s">
        <v>64</v>
      </c>
      <c r="I242" t="s">
        <v>163</v>
      </c>
      <c r="J242" t="s">
        <v>164</v>
      </c>
      <c r="K242">
        <v>823350</v>
      </c>
      <c r="L242" t="s">
        <v>67</v>
      </c>
      <c r="M242" t="s">
        <v>68</v>
      </c>
      <c r="N242" t="s">
        <v>57</v>
      </c>
      <c r="O242" s="1">
        <v>45954</v>
      </c>
      <c r="Q242" s="1">
        <v>46136</v>
      </c>
      <c r="R242" s="2">
        <v>77.48</v>
      </c>
      <c r="S242">
        <v>1</v>
      </c>
      <c r="T242" t="s">
        <v>58</v>
      </c>
      <c r="U242" t="s">
        <v>59</v>
      </c>
      <c r="V242" s="4">
        <v>0.375</v>
      </c>
      <c r="W242" s="2">
        <v>0</v>
      </c>
      <c r="X242">
        <v>0</v>
      </c>
      <c r="Y242" t="s">
        <v>60</v>
      </c>
      <c r="Z242" t="s">
        <v>262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29.06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</row>
    <row r="243" spans="1:43" x14ac:dyDescent="0.3">
      <c r="A243" s="1">
        <v>46104</v>
      </c>
      <c r="B243" t="s">
        <v>48</v>
      </c>
      <c r="C243">
        <v>649163</v>
      </c>
      <c r="D243">
        <v>2032032433</v>
      </c>
      <c r="E243" t="s">
        <v>534</v>
      </c>
      <c r="F243" t="s">
        <v>535</v>
      </c>
      <c r="G243" t="s">
        <v>51</v>
      </c>
      <c r="H243" t="s">
        <v>64</v>
      </c>
      <c r="I243" t="s">
        <v>163</v>
      </c>
      <c r="J243" t="s">
        <v>164</v>
      </c>
      <c r="K243">
        <v>824076</v>
      </c>
      <c r="L243" t="s">
        <v>201</v>
      </c>
      <c r="M243" t="s">
        <v>202</v>
      </c>
      <c r="N243" t="s">
        <v>57</v>
      </c>
      <c r="O243" s="1">
        <v>45985</v>
      </c>
      <c r="Q243" s="1">
        <v>46136</v>
      </c>
      <c r="R243" s="2">
        <v>158.56</v>
      </c>
      <c r="S243">
        <v>1</v>
      </c>
      <c r="T243" t="s">
        <v>58</v>
      </c>
      <c r="U243" t="s">
        <v>59</v>
      </c>
      <c r="V243" s="4">
        <v>0.375</v>
      </c>
      <c r="W243" s="2">
        <v>0</v>
      </c>
      <c r="X243">
        <v>0</v>
      </c>
      <c r="Y243" t="s">
        <v>60</v>
      </c>
      <c r="Z243" t="s">
        <v>262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59.46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</row>
    <row r="244" spans="1:43" x14ac:dyDescent="0.3">
      <c r="A244" s="1">
        <v>46104</v>
      </c>
      <c r="B244" t="s">
        <v>48</v>
      </c>
      <c r="C244">
        <v>649163</v>
      </c>
      <c r="D244">
        <v>2032202380</v>
      </c>
      <c r="E244" t="s">
        <v>536</v>
      </c>
      <c r="F244" t="s">
        <v>537</v>
      </c>
      <c r="G244" t="s">
        <v>51</v>
      </c>
      <c r="H244" t="s">
        <v>300</v>
      </c>
      <c r="I244" t="s">
        <v>163</v>
      </c>
      <c r="J244" t="s">
        <v>164</v>
      </c>
      <c r="K244">
        <v>813184</v>
      </c>
      <c r="L244" t="s">
        <v>398</v>
      </c>
      <c r="M244" t="s">
        <v>399</v>
      </c>
      <c r="N244" t="s">
        <v>271</v>
      </c>
      <c r="O244" s="1">
        <v>45978</v>
      </c>
      <c r="P244" s="1">
        <v>46104</v>
      </c>
      <c r="Q244" s="1">
        <v>46129</v>
      </c>
      <c r="R244" s="2">
        <v>-101.58</v>
      </c>
      <c r="S244">
        <v>1</v>
      </c>
      <c r="T244" t="s">
        <v>58</v>
      </c>
      <c r="U244" t="s">
        <v>59</v>
      </c>
      <c r="V244" s="4">
        <v>0.375</v>
      </c>
      <c r="W244" s="2">
        <v>0</v>
      </c>
      <c r="X244">
        <v>-1</v>
      </c>
      <c r="Y244" t="s">
        <v>60</v>
      </c>
      <c r="Z244" t="s">
        <v>262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-38.090000000000003</v>
      </c>
      <c r="AN244" s="2">
        <v>-38.090000000000003</v>
      </c>
      <c r="AO244" s="2">
        <v>0</v>
      </c>
      <c r="AP244" s="2">
        <v>0</v>
      </c>
      <c r="AQ244" s="2">
        <v>0</v>
      </c>
    </row>
    <row r="245" spans="1:43" x14ac:dyDescent="0.3">
      <c r="A245" s="1">
        <v>46104</v>
      </c>
      <c r="B245" t="s">
        <v>48</v>
      </c>
      <c r="C245">
        <v>649163</v>
      </c>
      <c r="D245">
        <v>2032235342</v>
      </c>
      <c r="E245" t="s">
        <v>340</v>
      </c>
      <c r="F245" t="s">
        <v>457</v>
      </c>
      <c r="G245" t="s">
        <v>51</v>
      </c>
      <c r="H245" t="s">
        <v>458</v>
      </c>
      <c r="I245" t="s">
        <v>163</v>
      </c>
      <c r="J245" t="s">
        <v>164</v>
      </c>
      <c r="K245">
        <v>650218</v>
      </c>
      <c r="L245" t="s">
        <v>87</v>
      </c>
      <c r="M245" t="s">
        <v>88</v>
      </c>
      <c r="N245" t="s">
        <v>57</v>
      </c>
      <c r="O245" s="1">
        <v>45980</v>
      </c>
      <c r="Q245" s="1">
        <v>46131</v>
      </c>
      <c r="R245" s="2">
        <v>26.7</v>
      </c>
      <c r="S245">
        <v>1</v>
      </c>
      <c r="T245" t="s">
        <v>58</v>
      </c>
      <c r="U245" t="s">
        <v>59</v>
      </c>
      <c r="V245" s="4">
        <v>0.375</v>
      </c>
      <c r="W245" s="2">
        <v>0</v>
      </c>
      <c r="X245">
        <v>0</v>
      </c>
      <c r="Y245" t="s">
        <v>60</v>
      </c>
      <c r="Z245" t="s">
        <v>262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10.01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</row>
    <row r="246" spans="1:43" x14ac:dyDescent="0.3">
      <c r="A246" s="1">
        <v>46104</v>
      </c>
      <c r="B246" t="s">
        <v>48</v>
      </c>
      <c r="C246">
        <v>649163</v>
      </c>
      <c r="D246">
        <v>2032270276</v>
      </c>
      <c r="E246" t="s">
        <v>479</v>
      </c>
      <c r="F246" t="s">
        <v>538</v>
      </c>
      <c r="G246" t="s">
        <v>51</v>
      </c>
      <c r="H246" t="s">
        <v>74</v>
      </c>
      <c r="I246" t="s">
        <v>163</v>
      </c>
      <c r="J246" t="s">
        <v>164</v>
      </c>
      <c r="K246">
        <v>813184</v>
      </c>
      <c r="L246" t="s">
        <v>398</v>
      </c>
      <c r="M246" t="s">
        <v>399</v>
      </c>
      <c r="N246" t="s">
        <v>57</v>
      </c>
      <c r="O246" s="1">
        <v>45982</v>
      </c>
      <c r="Q246" s="1">
        <v>46133</v>
      </c>
      <c r="R246" s="2">
        <v>41.29</v>
      </c>
      <c r="S246">
        <v>1</v>
      </c>
      <c r="T246" t="s">
        <v>58</v>
      </c>
      <c r="U246" t="s">
        <v>59</v>
      </c>
      <c r="V246" s="4">
        <v>0.375</v>
      </c>
      <c r="W246" s="2">
        <v>0</v>
      </c>
      <c r="X246">
        <v>0</v>
      </c>
      <c r="Y246" t="s">
        <v>60</v>
      </c>
      <c r="Z246" t="s">
        <v>262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15.48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</row>
    <row r="247" spans="1:43" x14ac:dyDescent="0.3">
      <c r="A247" s="1">
        <v>46104</v>
      </c>
      <c r="B247" t="s">
        <v>48</v>
      </c>
      <c r="C247">
        <v>649163</v>
      </c>
      <c r="D247">
        <v>2032338433</v>
      </c>
      <c r="E247" t="s">
        <v>539</v>
      </c>
      <c r="F247" t="s">
        <v>540</v>
      </c>
      <c r="G247" t="s">
        <v>51</v>
      </c>
      <c r="H247" t="s">
        <v>74</v>
      </c>
      <c r="I247" t="s">
        <v>163</v>
      </c>
      <c r="J247" t="s">
        <v>164</v>
      </c>
      <c r="K247">
        <v>897073</v>
      </c>
      <c r="L247" t="s">
        <v>82</v>
      </c>
      <c r="M247" t="s">
        <v>83</v>
      </c>
      <c r="N247" t="s">
        <v>57</v>
      </c>
      <c r="O247" s="1">
        <v>45986</v>
      </c>
      <c r="Q247" s="1">
        <v>46137</v>
      </c>
      <c r="R247" s="2">
        <v>28.38</v>
      </c>
      <c r="S247">
        <v>1</v>
      </c>
      <c r="T247" t="s">
        <v>58</v>
      </c>
      <c r="U247" t="s">
        <v>59</v>
      </c>
      <c r="V247" s="4">
        <v>0.375</v>
      </c>
      <c r="W247" s="2">
        <v>0</v>
      </c>
      <c r="X247">
        <v>0</v>
      </c>
      <c r="Y247" t="s">
        <v>60</v>
      </c>
      <c r="Z247" t="s">
        <v>262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10.64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3" x14ac:dyDescent="0.3">
      <c r="A248" s="1">
        <v>46104</v>
      </c>
      <c r="B248" t="s">
        <v>48</v>
      </c>
      <c r="C248">
        <v>649163</v>
      </c>
      <c r="D248">
        <v>2032339032</v>
      </c>
      <c r="E248" t="s">
        <v>541</v>
      </c>
      <c r="F248" t="s">
        <v>542</v>
      </c>
      <c r="G248" t="s">
        <v>51</v>
      </c>
      <c r="H248" t="s">
        <v>300</v>
      </c>
      <c r="I248" t="s">
        <v>163</v>
      </c>
      <c r="J248" t="s">
        <v>164</v>
      </c>
      <c r="K248">
        <v>813184</v>
      </c>
      <c r="L248" t="s">
        <v>398</v>
      </c>
      <c r="M248" t="s">
        <v>399</v>
      </c>
      <c r="N248" t="s">
        <v>57</v>
      </c>
      <c r="O248" s="1">
        <v>45986</v>
      </c>
      <c r="Q248" s="1">
        <v>46137</v>
      </c>
      <c r="R248" s="2">
        <v>43.18</v>
      </c>
      <c r="S248">
        <v>1</v>
      </c>
      <c r="T248" t="s">
        <v>58</v>
      </c>
      <c r="U248" t="s">
        <v>59</v>
      </c>
      <c r="V248" s="4">
        <v>0.375</v>
      </c>
      <c r="W248" s="2">
        <v>0</v>
      </c>
      <c r="X248">
        <v>0</v>
      </c>
      <c r="Y248" t="s">
        <v>60</v>
      </c>
      <c r="Z248" t="s">
        <v>262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16.190000000000001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</row>
    <row r="249" spans="1:43" x14ac:dyDescent="0.3">
      <c r="A249" s="1">
        <v>46104</v>
      </c>
      <c r="B249" t="s">
        <v>48</v>
      </c>
      <c r="C249">
        <v>649163</v>
      </c>
      <c r="D249">
        <v>2032348501</v>
      </c>
      <c r="E249" t="s">
        <v>543</v>
      </c>
      <c r="F249" t="s">
        <v>544</v>
      </c>
      <c r="G249" t="s">
        <v>51</v>
      </c>
      <c r="H249" t="s">
        <v>64</v>
      </c>
      <c r="I249" t="s">
        <v>163</v>
      </c>
      <c r="J249" t="s">
        <v>164</v>
      </c>
      <c r="K249">
        <v>756803</v>
      </c>
      <c r="L249" t="s">
        <v>159</v>
      </c>
      <c r="M249" t="s">
        <v>160</v>
      </c>
      <c r="N249" t="s">
        <v>57</v>
      </c>
      <c r="O249" s="1">
        <v>45986</v>
      </c>
      <c r="Q249" s="1">
        <v>46137</v>
      </c>
      <c r="R249" s="2">
        <v>77.48</v>
      </c>
      <c r="S249">
        <v>1</v>
      </c>
      <c r="T249" t="s">
        <v>58</v>
      </c>
      <c r="U249" t="s">
        <v>59</v>
      </c>
      <c r="V249" s="4">
        <v>0.375</v>
      </c>
      <c r="W249" s="2">
        <v>0</v>
      </c>
      <c r="X249">
        <v>0</v>
      </c>
      <c r="Y249" t="s">
        <v>60</v>
      </c>
      <c r="Z249" t="s">
        <v>262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29.06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3" x14ac:dyDescent="0.3">
      <c r="A250" s="1">
        <v>46104</v>
      </c>
      <c r="B250" t="s">
        <v>48</v>
      </c>
      <c r="C250">
        <v>649163</v>
      </c>
      <c r="D250">
        <v>2032348658</v>
      </c>
      <c r="E250" t="s">
        <v>545</v>
      </c>
      <c r="F250" t="s">
        <v>546</v>
      </c>
      <c r="G250" t="s">
        <v>51</v>
      </c>
      <c r="H250" t="s">
        <v>324</v>
      </c>
      <c r="I250" t="s">
        <v>163</v>
      </c>
      <c r="J250" t="s">
        <v>164</v>
      </c>
      <c r="K250">
        <v>812656</v>
      </c>
      <c r="L250" t="s">
        <v>495</v>
      </c>
      <c r="M250" t="s">
        <v>547</v>
      </c>
      <c r="N250" t="s">
        <v>57</v>
      </c>
      <c r="O250" s="1">
        <v>45986</v>
      </c>
      <c r="Q250" s="1">
        <v>46137</v>
      </c>
      <c r="R250" s="2">
        <v>48.15</v>
      </c>
      <c r="S250">
        <v>1</v>
      </c>
      <c r="T250" t="s">
        <v>58</v>
      </c>
      <c r="U250" t="s">
        <v>59</v>
      </c>
      <c r="V250" s="4">
        <v>0.375</v>
      </c>
      <c r="W250" s="2">
        <v>0</v>
      </c>
      <c r="X250">
        <v>0</v>
      </c>
      <c r="Y250" t="s">
        <v>60</v>
      </c>
      <c r="Z250" t="s">
        <v>262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18.059999999999999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</row>
    <row r="251" spans="1:43" x14ac:dyDescent="0.3">
      <c r="A251" s="1">
        <v>46104</v>
      </c>
      <c r="B251" t="s">
        <v>48</v>
      </c>
      <c r="C251">
        <v>649163</v>
      </c>
      <c r="D251">
        <v>2032484434</v>
      </c>
      <c r="E251" t="s">
        <v>203</v>
      </c>
      <c r="F251" t="s">
        <v>548</v>
      </c>
      <c r="G251" t="s">
        <v>51</v>
      </c>
      <c r="H251" t="s">
        <v>191</v>
      </c>
      <c r="I251" t="s">
        <v>163</v>
      </c>
      <c r="J251" t="s">
        <v>164</v>
      </c>
      <c r="K251">
        <v>767312</v>
      </c>
      <c r="L251" t="s">
        <v>185</v>
      </c>
      <c r="M251" t="s">
        <v>186</v>
      </c>
      <c r="N251" t="s">
        <v>57</v>
      </c>
      <c r="O251" s="1">
        <v>46004</v>
      </c>
      <c r="Q251" s="1">
        <v>46125</v>
      </c>
      <c r="R251" s="2">
        <v>32.340000000000003</v>
      </c>
      <c r="S251">
        <v>1</v>
      </c>
      <c r="T251" t="s">
        <v>58</v>
      </c>
      <c r="U251" t="s">
        <v>59</v>
      </c>
      <c r="V251" s="4">
        <v>0.375</v>
      </c>
      <c r="W251" s="2">
        <v>0</v>
      </c>
      <c r="X251">
        <v>0</v>
      </c>
      <c r="Y251" t="s">
        <v>60</v>
      </c>
      <c r="Z251" t="s">
        <v>262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12.13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3" x14ac:dyDescent="0.3">
      <c r="A252" s="1">
        <v>46104</v>
      </c>
      <c r="B252" t="s">
        <v>48</v>
      </c>
      <c r="C252">
        <v>649163</v>
      </c>
      <c r="D252">
        <v>2032581666</v>
      </c>
      <c r="E252" t="s">
        <v>461</v>
      </c>
      <c r="F252" t="s">
        <v>321</v>
      </c>
      <c r="G252" t="s">
        <v>51</v>
      </c>
      <c r="H252" t="s">
        <v>462</v>
      </c>
      <c r="I252" t="s">
        <v>163</v>
      </c>
      <c r="J252" t="s">
        <v>164</v>
      </c>
      <c r="K252">
        <v>650218</v>
      </c>
      <c r="L252" t="s">
        <v>87</v>
      </c>
      <c r="M252" t="s">
        <v>88</v>
      </c>
      <c r="N252" t="s">
        <v>271</v>
      </c>
      <c r="O252" s="1">
        <v>46023</v>
      </c>
      <c r="P252" s="1">
        <v>46104</v>
      </c>
      <c r="Q252" s="1">
        <v>46113</v>
      </c>
      <c r="R252" s="2">
        <v>-30.84</v>
      </c>
      <c r="S252">
        <v>1</v>
      </c>
      <c r="T252" t="s">
        <v>58</v>
      </c>
      <c r="U252" t="s">
        <v>59</v>
      </c>
      <c r="V252" s="4">
        <v>0.375</v>
      </c>
      <c r="W252" s="2">
        <v>0</v>
      </c>
      <c r="X252">
        <v>-1</v>
      </c>
      <c r="Y252" t="s">
        <v>60</v>
      </c>
      <c r="Z252" t="s">
        <v>262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-11.56</v>
      </c>
      <c r="AN252" s="2">
        <v>-11.56</v>
      </c>
      <c r="AO252" s="2">
        <v>0</v>
      </c>
      <c r="AP252" s="2">
        <v>0</v>
      </c>
      <c r="AQ252" s="2">
        <v>0</v>
      </c>
    </row>
    <row r="253" spans="1:43" x14ac:dyDescent="0.3">
      <c r="A253" s="1">
        <v>46104</v>
      </c>
      <c r="B253" t="s">
        <v>48</v>
      </c>
      <c r="C253">
        <v>649163</v>
      </c>
      <c r="D253">
        <v>2032758290</v>
      </c>
      <c r="E253" t="s">
        <v>549</v>
      </c>
      <c r="F253" t="s">
        <v>501</v>
      </c>
      <c r="G253" t="s">
        <v>51</v>
      </c>
      <c r="H253" t="s">
        <v>332</v>
      </c>
      <c r="I253" t="s">
        <v>163</v>
      </c>
      <c r="J253" t="s">
        <v>164</v>
      </c>
      <c r="K253">
        <v>673059</v>
      </c>
      <c r="L253" t="s">
        <v>76</v>
      </c>
      <c r="M253" t="s">
        <v>77</v>
      </c>
      <c r="N253" t="s">
        <v>57</v>
      </c>
      <c r="O253" s="1">
        <v>46012</v>
      </c>
      <c r="Q253" s="1">
        <v>46133</v>
      </c>
      <c r="R253" s="2">
        <v>65.510000000000005</v>
      </c>
      <c r="S253">
        <v>1</v>
      </c>
      <c r="T253" t="s">
        <v>58</v>
      </c>
      <c r="U253" t="s">
        <v>59</v>
      </c>
      <c r="V253" s="4">
        <v>0.375</v>
      </c>
      <c r="W253" s="2">
        <v>0</v>
      </c>
      <c r="X253">
        <v>0</v>
      </c>
      <c r="Y253" t="s">
        <v>60</v>
      </c>
      <c r="Z253" t="s">
        <v>262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24.57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</row>
    <row r="254" spans="1:43" x14ac:dyDescent="0.3">
      <c r="A254" s="1">
        <v>46104</v>
      </c>
      <c r="B254" t="s">
        <v>48</v>
      </c>
      <c r="C254">
        <v>649163</v>
      </c>
      <c r="D254">
        <v>2032849421</v>
      </c>
      <c r="E254" t="s">
        <v>487</v>
      </c>
      <c r="F254" t="s">
        <v>550</v>
      </c>
      <c r="G254" t="s">
        <v>51</v>
      </c>
      <c r="H254" t="s">
        <v>210</v>
      </c>
      <c r="I254" t="s">
        <v>163</v>
      </c>
      <c r="J254" t="s">
        <v>164</v>
      </c>
      <c r="K254">
        <v>756418</v>
      </c>
      <c r="L254" t="s">
        <v>433</v>
      </c>
      <c r="M254" t="s">
        <v>434</v>
      </c>
      <c r="N254" t="s">
        <v>57</v>
      </c>
      <c r="O254" s="1">
        <v>46018</v>
      </c>
      <c r="Q254" s="1">
        <v>46139</v>
      </c>
      <c r="R254" s="2">
        <v>104.89</v>
      </c>
      <c r="S254">
        <v>1</v>
      </c>
      <c r="T254" t="s">
        <v>58</v>
      </c>
      <c r="U254" t="s">
        <v>59</v>
      </c>
      <c r="V254" s="4">
        <v>0.375</v>
      </c>
      <c r="W254" s="2">
        <v>0</v>
      </c>
      <c r="X254">
        <v>0</v>
      </c>
      <c r="Y254" t="s">
        <v>60</v>
      </c>
      <c r="Z254" t="s">
        <v>262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39.33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</row>
    <row r="255" spans="1:43" x14ac:dyDescent="0.3">
      <c r="A255" s="1">
        <v>46104</v>
      </c>
      <c r="B255" t="s">
        <v>48</v>
      </c>
      <c r="C255">
        <v>649163</v>
      </c>
      <c r="D255">
        <v>2032910577</v>
      </c>
      <c r="E255" t="s">
        <v>383</v>
      </c>
      <c r="F255" t="s">
        <v>384</v>
      </c>
      <c r="G255" t="s">
        <v>51</v>
      </c>
      <c r="H255" t="s">
        <v>213</v>
      </c>
      <c r="I255" t="s">
        <v>163</v>
      </c>
      <c r="J255" t="s">
        <v>164</v>
      </c>
      <c r="K255">
        <v>753748</v>
      </c>
      <c r="L255" t="s">
        <v>146</v>
      </c>
      <c r="M255" t="s">
        <v>116</v>
      </c>
      <c r="N255" t="s">
        <v>271</v>
      </c>
      <c r="O255" s="1">
        <v>46054</v>
      </c>
      <c r="P255" s="1">
        <v>46104</v>
      </c>
      <c r="Q255" s="1">
        <v>46113</v>
      </c>
      <c r="R255" s="2">
        <v>-38.06</v>
      </c>
      <c r="S255">
        <v>1</v>
      </c>
      <c r="T255" t="s">
        <v>58</v>
      </c>
      <c r="U255" t="s">
        <v>59</v>
      </c>
      <c r="V255" s="4">
        <v>0.375</v>
      </c>
      <c r="W255" s="2">
        <v>0</v>
      </c>
      <c r="X255">
        <v>-1</v>
      </c>
      <c r="Y255" t="s">
        <v>60</v>
      </c>
      <c r="Z255" t="s">
        <v>262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-14.27</v>
      </c>
      <c r="AN255" s="2">
        <v>-14.27</v>
      </c>
      <c r="AO255" s="2">
        <v>0</v>
      </c>
      <c r="AP255" s="2">
        <v>0</v>
      </c>
      <c r="AQ255" s="2">
        <v>0</v>
      </c>
    </row>
    <row r="256" spans="1:43" x14ac:dyDescent="0.3">
      <c r="A256" s="1">
        <v>46104</v>
      </c>
      <c r="B256" t="s">
        <v>48</v>
      </c>
      <c r="C256">
        <v>649163</v>
      </c>
      <c r="D256">
        <v>2033221220</v>
      </c>
      <c r="E256" t="s">
        <v>551</v>
      </c>
      <c r="F256" t="s">
        <v>552</v>
      </c>
      <c r="G256" t="s">
        <v>51</v>
      </c>
      <c r="H256" t="s">
        <v>74</v>
      </c>
      <c r="I256" t="s">
        <v>163</v>
      </c>
      <c r="J256" t="s">
        <v>164</v>
      </c>
      <c r="K256">
        <v>806645</v>
      </c>
      <c r="L256" t="s">
        <v>553</v>
      </c>
      <c r="M256" t="s">
        <v>554</v>
      </c>
      <c r="N256" t="s">
        <v>57</v>
      </c>
      <c r="O256" s="1">
        <v>46044</v>
      </c>
      <c r="Q256" s="1">
        <v>46134</v>
      </c>
      <c r="R256" s="2">
        <v>70.400000000000006</v>
      </c>
      <c r="S256">
        <v>1</v>
      </c>
      <c r="T256" t="s">
        <v>58</v>
      </c>
      <c r="U256" t="s">
        <v>59</v>
      </c>
      <c r="V256" s="4">
        <v>0.375</v>
      </c>
      <c r="W256" s="2">
        <v>0</v>
      </c>
      <c r="X256">
        <v>0</v>
      </c>
      <c r="Y256" t="s">
        <v>60</v>
      </c>
      <c r="Z256" t="s">
        <v>262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26.4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</row>
    <row r="257" spans="1:43" x14ac:dyDescent="0.3">
      <c r="A257" s="1">
        <v>46104</v>
      </c>
      <c r="B257" t="s">
        <v>48</v>
      </c>
      <c r="C257">
        <v>649163</v>
      </c>
      <c r="D257">
        <v>2033221545</v>
      </c>
      <c r="E257" t="s">
        <v>555</v>
      </c>
      <c r="F257" t="s">
        <v>556</v>
      </c>
      <c r="G257" t="s">
        <v>51</v>
      </c>
      <c r="H257" t="s">
        <v>74</v>
      </c>
      <c r="I257" t="s">
        <v>163</v>
      </c>
      <c r="J257" t="s">
        <v>164</v>
      </c>
      <c r="K257">
        <v>806645</v>
      </c>
      <c r="L257" t="s">
        <v>553</v>
      </c>
      <c r="M257" t="s">
        <v>554</v>
      </c>
      <c r="N257" t="s">
        <v>57</v>
      </c>
      <c r="O257" s="1">
        <v>46044</v>
      </c>
      <c r="Q257" s="1">
        <v>46134</v>
      </c>
      <c r="R257" s="2">
        <v>70.400000000000006</v>
      </c>
      <c r="S257">
        <v>1</v>
      </c>
      <c r="T257" t="s">
        <v>58</v>
      </c>
      <c r="U257" t="s">
        <v>59</v>
      </c>
      <c r="V257" s="4">
        <v>0.375</v>
      </c>
      <c r="W257" s="2">
        <v>0</v>
      </c>
      <c r="X257">
        <v>0</v>
      </c>
      <c r="Y257" t="s">
        <v>60</v>
      </c>
      <c r="Z257" t="s">
        <v>262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26.4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</row>
    <row r="258" spans="1:43" x14ac:dyDescent="0.3">
      <c r="A258" s="1">
        <v>46104</v>
      </c>
      <c r="B258" t="s">
        <v>48</v>
      </c>
      <c r="C258">
        <v>649163</v>
      </c>
      <c r="D258">
        <v>2033245540</v>
      </c>
      <c r="E258" t="s">
        <v>401</v>
      </c>
      <c r="F258" t="s">
        <v>116</v>
      </c>
      <c r="G258" t="s">
        <v>51</v>
      </c>
      <c r="H258" t="s">
        <v>86</v>
      </c>
      <c r="I258" t="s">
        <v>163</v>
      </c>
      <c r="J258" t="s">
        <v>164</v>
      </c>
      <c r="K258">
        <v>856824</v>
      </c>
      <c r="L258" t="s">
        <v>125</v>
      </c>
      <c r="M258" t="s">
        <v>126</v>
      </c>
      <c r="N258" t="s">
        <v>57</v>
      </c>
      <c r="O258" s="1">
        <v>46043</v>
      </c>
      <c r="Q258" s="1">
        <v>46133</v>
      </c>
      <c r="R258" s="2">
        <v>16.39</v>
      </c>
      <c r="S258">
        <v>1</v>
      </c>
      <c r="T258" t="s">
        <v>58</v>
      </c>
      <c r="U258" t="s">
        <v>59</v>
      </c>
      <c r="V258" s="4">
        <v>0.375</v>
      </c>
      <c r="W258" s="2">
        <v>0</v>
      </c>
      <c r="X258">
        <v>0</v>
      </c>
      <c r="Y258" t="s">
        <v>60</v>
      </c>
      <c r="Z258" t="s">
        <v>262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6.15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</row>
    <row r="259" spans="1:43" x14ac:dyDescent="0.3">
      <c r="A259" s="1">
        <v>46104</v>
      </c>
      <c r="B259" t="s">
        <v>48</v>
      </c>
      <c r="C259">
        <v>649163</v>
      </c>
      <c r="D259">
        <v>2033302441</v>
      </c>
      <c r="E259" t="s">
        <v>404</v>
      </c>
      <c r="F259" t="s">
        <v>405</v>
      </c>
      <c r="G259" t="s">
        <v>51</v>
      </c>
      <c r="H259" t="s">
        <v>64</v>
      </c>
      <c r="I259" t="s">
        <v>163</v>
      </c>
      <c r="J259" t="s">
        <v>164</v>
      </c>
      <c r="K259">
        <v>843573</v>
      </c>
      <c r="L259" t="s">
        <v>406</v>
      </c>
      <c r="M259" t="s">
        <v>197</v>
      </c>
      <c r="N259" t="s">
        <v>57</v>
      </c>
      <c r="O259" s="1">
        <v>46047</v>
      </c>
      <c r="Q259" s="1">
        <v>46137</v>
      </c>
      <c r="R259" s="2">
        <v>129.47999999999999</v>
      </c>
      <c r="S259">
        <v>1</v>
      </c>
      <c r="T259" t="s">
        <v>58</v>
      </c>
      <c r="U259" t="s">
        <v>59</v>
      </c>
      <c r="V259" s="4">
        <v>0.375</v>
      </c>
      <c r="W259" s="2">
        <v>0</v>
      </c>
      <c r="X259">
        <v>0</v>
      </c>
      <c r="Y259" t="s">
        <v>60</v>
      </c>
      <c r="Z259" t="s">
        <v>262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48.56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</row>
    <row r="260" spans="1:43" x14ac:dyDescent="0.3">
      <c r="A260" s="1">
        <v>46104</v>
      </c>
      <c r="B260" t="s">
        <v>48</v>
      </c>
      <c r="C260">
        <v>649163</v>
      </c>
      <c r="D260">
        <v>2033401870</v>
      </c>
      <c r="E260" t="s">
        <v>557</v>
      </c>
      <c r="F260" t="s">
        <v>389</v>
      </c>
      <c r="G260" t="s">
        <v>51</v>
      </c>
      <c r="H260" t="s">
        <v>86</v>
      </c>
      <c r="I260" t="s">
        <v>163</v>
      </c>
      <c r="J260" t="s">
        <v>164</v>
      </c>
      <c r="K260">
        <v>878036</v>
      </c>
      <c r="L260" t="s">
        <v>165</v>
      </c>
      <c r="M260" t="s">
        <v>166</v>
      </c>
      <c r="N260" t="s">
        <v>57</v>
      </c>
      <c r="O260" s="1">
        <v>46054</v>
      </c>
      <c r="Q260" s="1">
        <v>46113</v>
      </c>
      <c r="R260" s="2">
        <v>73.17</v>
      </c>
      <c r="S260">
        <v>1</v>
      </c>
      <c r="T260" t="s">
        <v>58</v>
      </c>
      <c r="U260" t="s">
        <v>59</v>
      </c>
      <c r="V260" s="4">
        <v>0.375</v>
      </c>
      <c r="W260" s="2">
        <v>0</v>
      </c>
      <c r="X260">
        <v>0</v>
      </c>
      <c r="Y260" t="s">
        <v>60</v>
      </c>
      <c r="Z260" t="s">
        <v>262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27.44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 x14ac:dyDescent="0.3">
      <c r="A261" s="1">
        <v>46104</v>
      </c>
      <c r="B261" t="s">
        <v>48</v>
      </c>
      <c r="C261">
        <v>649163</v>
      </c>
      <c r="D261">
        <v>2033404741</v>
      </c>
      <c r="E261" t="s">
        <v>557</v>
      </c>
      <c r="F261" t="s">
        <v>558</v>
      </c>
      <c r="G261" t="s">
        <v>51</v>
      </c>
      <c r="H261" t="s">
        <v>86</v>
      </c>
      <c r="I261" t="s">
        <v>163</v>
      </c>
      <c r="J261" t="s">
        <v>164</v>
      </c>
      <c r="K261">
        <v>878036</v>
      </c>
      <c r="L261" t="s">
        <v>165</v>
      </c>
      <c r="M261" t="s">
        <v>166</v>
      </c>
      <c r="N261" t="s">
        <v>57</v>
      </c>
      <c r="O261" s="1">
        <v>46054</v>
      </c>
      <c r="Q261" s="1">
        <v>46113</v>
      </c>
      <c r="R261" s="2">
        <v>73.17</v>
      </c>
      <c r="S261">
        <v>1</v>
      </c>
      <c r="T261" t="s">
        <v>58</v>
      </c>
      <c r="U261" t="s">
        <v>59</v>
      </c>
      <c r="V261" s="4">
        <v>0.375</v>
      </c>
      <c r="W261" s="2">
        <v>0</v>
      </c>
      <c r="X261">
        <v>0</v>
      </c>
      <c r="Y261" t="s">
        <v>60</v>
      </c>
      <c r="Z261" t="s">
        <v>262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27.44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 x14ac:dyDescent="0.3">
      <c r="A262" s="1">
        <v>46104</v>
      </c>
      <c r="B262" t="s">
        <v>48</v>
      </c>
      <c r="C262">
        <v>649163</v>
      </c>
      <c r="D262">
        <v>2033406247</v>
      </c>
      <c r="E262" t="s">
        <v>559</v>
      </c>
      <c r="F262" t="s">
        <v>560</v>
      </c>
      <c r="G262" t="s">
        <v>51</v>
      </c>
      <c r="H262" t="s">
        <v>86</v>
      </c>
      <c r="I262" t="s">
        <v>163</v>
      </c>
      <c r="J262" t="s">
        <v>164</v>
      </c>
      <c r="K262">
        <v>878036</v>
      </c>
      <c r="L262" t="s">
        <v>165</v>
      </c>
      <c r="M262" t="s">
        <v>166</v>
      </c>
      <c r="N262" t="s">
        <v>57</v>
      </c>
      <c r="O262" s="1">
        <v>46054</v>
      </c>
      <c r="Q262" s="1">
        <v>46113</v>
      </c>
      <c r="R262" s="2">
        <v>73.17</v>
      </c>
      <c r="S262">
        <v>1</v>
      </c>
      <c r="T262" t="s">
        <v>58</v>
      </c>
      <c r="U262" t="s">
        <v>59</v>
      </c>
      <c r="V262" s="4">
        <v>0.375</v>
      </c>
      <c r="W262" s="2">
        <v>0</v>
      </c>
      <c r="X262">
        <v>0</v>
      </c>
      <c r="Y262" t="s">
        <v>60</v>
      </c>
      <c r="Z262" t="s">
        <v>262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27.44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</row>
    <row r="263" spans="1:43" x14ac:dyDescent="0.3">
      <c r="A263" s="1">
        <v>46104</v>
      </c>
      <c r="B263" t="s">
        <v>48</v>
      </c>
      <c r="C263">
        <v>649163</v>
      </c>
      <c r="D263">
        <v>2033859751</v>
      </c>
      <c r="E263" t="s">
        <v>416</v>
      </c>
      <c r="F263" t="s">
        <v>417</v>
      </c>
      <c r="G263" t="s">
        <v>51</v>
      </c>
      <c r="H263" t="s">
        <v>418</v>
      </c>
      <c r="I263" t="s">
        <v>163</v>
      </c>
      <c r="J263" t="s">
        <v>164</v>
      </c>
      <c r="K263">
        <v>902625</v>
      </c>
      <c r="L263" t="s">
        <v>108</v>
      </c>
      <c r="M263" t="s">
        <v>109</v>
      </c>
      <c r="N263" t="s">
        <v>57</v>
      </c>
      <c r="O263" s="1">
        <v>46078</v>
      </c>
      <c r="Q263" s="1">
        <v>46137</v>
      </c>
      <c r="R263" s="2">
        <v>45.73</v>
      </c>
      <c r="S263">
        <v>1</v>
      </c>
      <c r="T263" t="s">
        <v>58</v>
      </c>
      <c r="U263" t="s">
        <v>59</v>
      </c>
      <c r="V263" s="4">
        <v>0.375</v>
      </c>
      <c r="W263" s="2">
        <v>0</v>
      </c>
      <c r="X263">
        <v>0</v>
      </c>
      <c r="Y263" t="s">
        <v>60</v>
      </c>
      <c r="Z263" t="s">
        <v>262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17.149999999999999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3" x14ac:dyDescent="0.3">
      <c r="A264" s="1">
        <v>46104</v>
      </c>
      <c r="B264" t="s">
        <v>48</v>
      </c>
      <c r="C264">
        <v>649163</v>
      </c>
      <c r="D264">
        <v>2033894680</v>
      </c>
      <c r="E264" t="s">
        <v>561</v>
      </c>
      <c r="F264" t="s">
        <v>562</v>
      </c>
      <c r="G264" t="s">
        <v>51</v>
      </c>
      <c r="H264" t="s">
        <v>191</v>
      </c>
      <c r="I264" t="s">
        <v>163</v>
      </c>
      <c r="J264" t="s">
        <v>164</v>
      </c>
      <c r="K264">
        <v>767312</v>
      </c>
      <c r="L264" t="s">
        <v>185</v>
      </c>
      <c r="M264" t="s">
        <v>186</v>
      </c>
      <c r="N264" t="s">
        <v>57</v>
      </c>
      <c r="O264" s="1">
        <v>46079</v>
      </c>
      <c r="Q264" s="1">
        <v>46138</v>
      </c>
      <c r="R264" s="2">
        <v>32.770000000000003</v>
      </c>
      <c r="S264">
        <v>1</v>
      </c>
      <c r="T264" t="s">
        <v>58</v>
      </c>
      <c r="U264" t="s">
        <v>59</v>
      </c>
      <c r="V264" s="4">
        <v>0.375</v>
      </c>
      <c r="W264" s="2">
        <v>0</v>
      </c>
      <c r="X264">
        <v>0</v>
      </c>
      <c r="Y264" t="s">
        <v>60</v>
      </c>
      <c r="Z264" t="s">
        <v>262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12.29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</row>
    <row r="265" spans="1:43" x14ac:dyDescent="0.3">
      <c r="A265" s="1">
        <v>46104</v>
      </c>
      <c r="B265" t="s">
        <v>48</v>
      </c>
      <c r="C265">
        <v>649163</v>
      </c>
      <c r="D265">
        <v>2033900705</v>
      </c>
      <c r="E265" t="s">
        <v>419</v>
      </c>
      <c r="F265" t="s">
        <v>420</v>
      </c>
      <c r="G265" t="s">
        <v>51</v>
      </c>
      <c r="H265" t="s">
        <v>191</v>
      </c>
      <c r="I265" t="s">
        <v>163</v>
      </c>
      <c r="J265" t="s">
        <v>164</v>
      </c>
      <c r="K265">
        <v>673059</v>
      </c>
      <c r="L265" t="s">
        <v>76</v>
      </c>
      <c r="M265" t="s">
        <v>77</v>
      </c>
      <c r="N265" t="s">
        <v>271</v>
      </c>
      <c r="O265" s="1">
        <v>46095</v>
      </c>
      <c r="P265" s="1">
        <v>46104</v>
      </c>
      <c r="Q265" s="1">
        <v>46126</v>
      </c>
      <c r="R265" s="2">
        <v>-79.97</v>
      </c>
      <c r="S265">
        <v>1</v>
      </c>
      <c r="T265" t="s">
        <v>58</v>
      </c>
      <c r="U265" t="s">
        <v>59</v>
      </c>
      <c r="V265" s="4">
        <v>0.375</v>
      </c>
      <c r="W265" s="2">
        <v>0</v>
      </c>
      <c r="X265">
        <v>-1</v>
      </c>
      <c r="Y265" t="s">
        <v>60</v>
      </c>
      <c r="Z265" t="s">
        <v>262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-29.99</v>
      </c>
      <c r="AN265" s="2">
        <v>-29.99</v>
      </c>
      <c r="AO265" s="2">
        <v>0</v>
      </c>
      <c r="AP265" s="2">
        <v>0</v>
      </c>
      <c r="AQ265" s="2">
        <v>0</v>
      </c>
    </row>
    <row r="266" spans="1:43" x14ac:dyDescent="0.3">
      <c r="A266" s="1">
        <v>46104</v>
      </c>
      <c r="B266" t="s">
        <v>48</v>
      </c>
      <c r="C266">
        <v>649163</v>
      </c>
      <c r="D266">
        <v>2026262564</v>
      </c>
      <c r="E266" t="s">
        <v>309</v>
      </c>
      <c r="F266" t="s">
        <v>310</v>
      </c>
      <c r="G266" t="s">
        <v>51</v>
      </c>
      <c r="H266" t="s">
        <v>112</v>
      </c>
      <c r="I266" t="s">
        <v>220</v>
      </c>
      <c r="J266" t="s">
        <v>221</v>
      </c>
      <c r="K266">
        <v>816021</v>
      </c>
      <c r="L266" t="s">
        <v>311</v>
      </c>
      <c r="M266" t="s">
        <v>312</v>
      </c>
      <c r="N266" t="s">
        <v>57</v>
      </c>
      <c r="O266" s="1">
        <v>45647</v>
      </c>
      <c r="Q266" s="1">
        <v>46133</v>
      </c>
      <c r="R266" s="2">
        <v>16.91</v>
      </c>
      <c r="S266">
        <v>1</v>
      </c>
      <c r="T266" t="s">
        <v>58</v>
      </c>
      <c r="U266" t="s">
        <v>260</v>
      </c>
      <c r="V266" s="3">
        <v>0.1</v>
      </c>
      <c r="W266" s="2">
        <v>0</v>
      </c>
      <c r="X266">
        <v>0</v>
      </c>
      <c r="Y266" t="s">
        <v>261</v>
      </c>
      <c r="Z266" t="s">
        <v>262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1.69</v>
      </c>
      <c r="AN266" s="2">
        <v>1.69</v>
      </c>
      <c r="AO266" s="2">
        <v>0</v>
      </c>
      <c r="AP266" s="2">
        <v>0</v>
      </c>
      <c r="AQ266" s="2">
        <v>0</v>
      </c>
    </row>
    <row r="267" spans="1:43" x14ac:dyDescent="0.3">
      <c r="A267" s="1">
        <v>46104</v>
      </c>
      <c r="B267" t="s">
        <v>48</v>
      </c>
      <c r="C267">
        <v>649163</v>
      </c>
      <c r="D267">
        <v>2026265884</v>
      </c>
      <c r="E267" t="s">
        <v>431</v>
      </c>
      <c r="F267" t="s">
        <v>432</v>
      </c>
      <c r="G267" t="s">
        <v>51</v>
      </c>
      <c r="H267" t="s">
        <v>74</v>
      </c>
      <c r="I267" t="s">
        <v>220</v>
      </c>
      <c r="J267" t="s">
        <v>221</v>
      </c>
      <c r="K267">
        <v>756418</v>
      </c>
      <c r="L267" t="s">
        <v>433</v>
      </c>
      <c r="M267" t="s">
        <v>434</v>
      </c>
      <c r="N267" t="s">
        <v>57</v>
      </c>
      <c r="O267" s="1">
        <v>45647</v>
      </c>
      <c r="Q267" s="1">
        <v>46133</v>
      </c>
      <c r="R267" s="2">
        <v>18.579999999999998</v>
      </c>
      <c r="S267">
        <v>1</v>
      </c>
      <c r="T267" t="s">
        <v>58</v>
      </c>
      <c r="U267" t="s">
        <v>260</v>
      </c>
      <c r="V267" s="3">
        <v>0.1</v>
      </c>
      <c r="W267" s="2">
        <v>0</v>
      </c>
      <c r="X267">
        <v>0</v>
      </c>
      <c r="Y267" t="s">
        <v>261</v>
      </c>
      <c r="Z267" t="s">
        <v>262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1.86</v>
      </c>
      <c r="AN267" s="2">
        <v>1.86</v>
      </c>
      <c r="AO267" s="2">
        <v>0</v>
      </c>
      <c r="AP267" s="2">
        <v>0</v>
      </c>
      <c r="AQ267" s="2">
        <v>0</v>
      </c>
    </row>
    <row r="268" spans="1:43" x14ac:dyDescent="0.3">
      <c r="A268" s="1">
        <v>46104</v>
      </c>
      <c r="B268" t="s">
        <v>48</v>
      </c>
      <c r="C268">
        <v>649163</v>
      </c>
      <c r="D268">
        <v>2026603377</v>
      </c>
      <c r="E268" t="s">
        <v>563</v>
      </c>
      <c r="F268" t="s">
        <v>564</v>
      </c>
      <c r="G268" t="s">
        <v>51</v>
      </c>
      <c r="H268" t="s">
        <v>52</v>
      </c>
      <c r="I268" t="s">
        <v>220</v>
      </c>
      <c r="J268" t="s">
        <v>221</v>
      </c>
      <c r="K268">
        <v>751867</v>
      </c>
      <c r="L268" t="s">
        <v>292</v>
      </c>
      <c r="M268" t="s">
        <v>293</v>
      </c>
      <c r="N268" t="s">
        <v>57</v>
      </c>
      <c r="O268" s="1">
        <v>45673</v>
      </c>
      <c r="Q268" s="1">
        <v>46128</v>
      </c>
      <c r="R268" s="2">
        <v>55.16</v>
      </c>
      <c r="S268">
        <v>1</v>
      </c>
      <c r="T268" t="s">
        <v>58</v>
      </c>
      <c r="U268" t="s">
        <v>260</v>
      </c>
      <c r="V268" s="3">
        <v>0.1</v>
      </c>
      <c r="W268" s="2">
        <v>0</v>
      </c>
      <c r="X268">
        <v>0</v>
      </c>
      <c r="Y268" t="s">
        <v>261</v>
      </c>
      <c r="Z268" t="s">
        <v>262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5.52</v>
      </c>
      <c r="AN268" s="2">
        <v>5.52</v>
      </c>
      <c r="AO268" s="2">
        <v>0</v>
      </c>
      <c r="AP268" s="2">
        <v>0</v>
      </c>
      <c r="AQ268" s="2">
        <v>0</v>
      </c>
    </row>
    <row r="269" spans="1:43" x14ac:dyDescent="0.3">
      <c r="A269" s="1">
        <v>46104</v>
      </c>
      <c r="B269" t="s">
        <v>48</v>
      </c>
      <c r="C269">
        <v>649163</v>
      </c>
      <c r="D269">
        <v>2026740150</v>
      </c>
      <c r="E269" t="s">
        <v>272</v>
      </c>
      <c r="F269" t="s">
        <v>273</v>
      </c>
      <c r="G269" t="s">
        <v>51</v>
      </c>
      <c r="H269" t="s">
        <v>52</v>
      </c>
      <c r="I269" t="s">
        <v>220</v>
      </c>
      <c r="J269" t="s">
        <v>221</v>
      </c>
      <c r="K269">
        <v>650218</v>
      </c>
      <c r="L269" t="s">
        <v>87</v>
      </c>
      <c r="M269" t="s">
        <v>88</v>
      </c>
      <c r="N269" t="s">
        <v>57</v>
      </c>
      <c r="O269" s="1">
        <v>45681</v>
      </c>
      <c r="Q269" s="1">
        <v>46136</v>
      </c>
      <c r="R269" s="2">
        <v>53.16</v>
      </c>
      <c r="S269">
        <v>1</v>
      </c>
      <c r="T269" t="s">
        <v>58</v>
      </c>
      <c r="U269" t="s">
        <v>260</v>
      </c>
      <c r="V269" s="3">
        <v>0.1</v>
      </c>
      <c r="W269" s="2">
        <v>0</v>
      </c>
      <c r="X269">
        <v>0</v>
      </c>
      <c r="Y269" t="s">
        <v>261</v>
      </c>
      <c r="Z269" t="s">
        <v>262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5.32</v>
      </c>
      <c r="AN269" s="2">
        <v>5.32</v>
      </c>
      <c r="AO269" s="2">
        <v>0</v>
      </c>
      <c r="AP269" s="2">
        <v>0</v>
      </c>
      <c r="AQ269" s="2">
        <v>0</v>
      </c>
    </row>
    <row r="270" spans="1:43" x14ac:dyDescent="0.3">
      <c r="A270" s="1">
        <v>46104</v>
      </c>
      <c r="B270" t="s">
        <v>48</v>
      </c>
      <c r="C270">
        <v>649163</v>
      </c>
      <c r="D270">
        <v>2027913473</v>
      </c>
      <c r="E270" t="s">
        <v>317</v>
      </c>
      <c r="F270" t="s">
        <v>318</v>
      </c>
      <c r="G270" t="s">
        <v>51</v>
      </c>
      <c r="H270" t="s">
        <v>112</v>
      </c>
      <c r="I270" t="s">
        <v>220</v>
      </c>
      <c r="J270" t="s">
        <v>221</v>
      </c>
      <c r="K270">
        <v>816021</v>
      </c>
      <c r="L270" t="s">
        <v>311</v>
      </c>
      <c r="M270" t="s">
        <v>312</v>
      </c>
      <c r="N270" t="s">
        <v>57</v>
      </c>
      <c r="O270" s="1">
        <v>45738</v>
      </c>
      <c r="Q270" s="1">
        <v>46134</v>
      </c>
      <c r="R270" s="2">
        <v>40.270000000000003</v>
      </c>
      <c r="S270">
        <v>1</v>
      </c>
      <c r="T270" t="s">
        <v>58</v>
      </c>
      <c r="U270" t="s">
        <v>260</v>
      </c>
      <c r="V270" s="3">
        <v>0.1</v>
      </c>
      <c r="W270" s="2">
        <v>0</v>
      </c>
      <c r="X270">
        <v>0</v>
      </c>
      <c r="Y270" t="s">
        <v>261</v>
      </c>
      <c r="Z270" t="s">
        <v>262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4.03</v>
      </c>
      <c r="AN270" s="2">
        <v>4.03</v>
      </c>
      <c r="AO270" s="2">
        <v>0</v>
      </c>
      <c r="AP270" s="2">
        <v>0</v>
      </c>
      <c r="AQ270" s="2">
        <v>0</v>
      </c>
    </row>
    <row r="271" spans="1:43" x14ac:dyDescent="0.3">
      <c r="A271" s="1">
        <v>46104</v>
      </c>
      <c r="B271" t="s">
        <v>48</v>
      </c>
      <c r="C271">
        <v>649163</v>
      </c>
      <c r="D271">
        <v>2028000915</v>
      </c>
      <c r="E271" t="s">
        <v>565</v>
      </c>
      <c r="F271" t="s">
        <v>566</v>
      </c>
      <c r="G271" t="s">
        <v>51</v>
      </c>
      <c r="H271" t="s">
        <v>567</v>
      </c>
      <c r="I271" t="s">
        <v>220</v>
      </c>
      <c r="J271" t="s">
        <v>568</v>
      </c>
      <c r="K271">
        <v>824062</v>
      </c>
      <c r="L271" t="s">
        <v>91</v>
      </c>
      <c r="M271" t="s">
        <v>92</v>
      </c>
      <c r="N271" t="s">
        <v>57</v>
      </c>
      <c r="O271" s="1">
        <v>45770</v>
      </c>
      <c r="Q271" s="1">
        <v>46135</v>
      </c>
      <c r="R271" s="2">
        <v>131.32</v>
      </c>
      <c r="S271">
        <v>1</v>
      </c>
      <c r="T271" t="s">
        <v>58</v>
      </c>
      <c r="U271" t="s">
        <v>260</v>
      </c>
      <c r="V271" s="3">
        <v>0.38</v>
      </c>
      <c r="W271" s="2">
        <v>0</v>
      </c>
      <c r="X271">
        <v>0</v>
      </c>
      <c r="Y271" t="s">
        <v>60</v>
      </c>
      <c r="Z271" t="s">
        <v>262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49.9</v>
      </c>
      <c r="AN271" s="2">
        <v>49.9</v>
      </c>
      <c r="AO271" s="2">
        <v>0</v>
      </c>
      <c r="AP271" s="2">
        <v>0</v>
      </c>
      <c r="AQ271" s="2">
        <v>0</v>
      </c>
    </row>
    <row r="272" spans="1:43" x14ac:dyDescent="0.3">
      <c r="A272" s="1">
        <v>46104</v>
      </c>
      <c r="B272" t="s">
        <v>48</v>
      </c>
      <c r="C272">
        <v>649163</v>
      </c>
      <c r="D272">
        <v>2028000916</v>
      </c>
      <c r="E272" t="s">
        <v>565</v>
      </c>
      <c r="F272" t="s">
        <v>566</v>
      </c>
      <c r="G272" t="s">
        <v>51</v>
      </c>
      <c r="H272" t="s">
        <v>567</v>
      </c>
      <c r="I272" t="s">
        <v>220</v>
      </c>
      <c r="J272" t="s">
        <v>569</v>
      </c>
      <c r="K272">
        <v>824062</v>
      </c>
      <c r="L272" t="s">
        <v>91</v>
      </c>
      <c r="M272" t="s">
        <v>92</v>
      </c>
      <c r="N272" t="s">
        <v>57</v>
      </c>
      <c r="O272" s="1">
        <v>45770</v>
      </c>
      <c r="Q272" s="1">
        <v>46135</v>
      </c>
      <c r="R272" s="2">
        <v>7.09</v>
      </c>
      <c r="S272">
        <v>1</v>
      </c>
      <c r="T272" t="s">
        <v>58</v>
      </c>
      <c r="U272" t="s">
        <v>260</v>
      </c>
      <c r="V272" s="3">
        <v>0.38</v>
      </c>
      <c r="W272" s="2">
        <v>0</v>
      </c>
      <c r="X272">
        <v>0</v>
      </c>
      <c r="Y272" t="s">
        <v>60</v>
      </c>
      <c r="Z272" t="s">
        <v>262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2.69</v>
      </c>
      <c r="AN272" s="2">
        <v>2.69</v>
      </c>
      <c r="AO272" s="2">
        <v>0</v>
      </c>
      <c r="AP272" s="2">
        <v>0</v>
      </c>
      <c r="AQ272" s="2">
        <v>0</v>
      </c>
    </row>
    <row r="273" spans="1:43" x14ac:dyDescent="0.3">
      <c r="A273" s="1">
        <v>46104</v>
      </c>
      <c r="B273" t="s">
        <v>48</v>
      </c>
      <c r="C273">
        <v>649163</v>
      </c>
      <c r="D273">
        <v>2028533939</v>
      </c>
      <c r="E273" t="s">
        <v>435</v>
      </c>
      <c r="F273" t="s">
        <v>436</v>
      </c>
      <c r="G273" t="s">
        <v>51</v>
      </c>
      <c r="H273" t="s">
        <v>64</v>
      </c>
      <c r="I273" t="s">
        <v>220</v>
      </c>
      <c r="J273" t="s">
        <v>568</v>
      </c>
      <c r="K273">
        <v>820873</v>
      </c>
      <c r="L273" t="s">
        <v>438</v>
      </c>
      <c r="M273" t="s">
        <v>439</v>
      </c>
      <c r="N273" t="s">
        <v>57</v>
      </c>
      <c r="O273" s="1">
        <v>45770</v>
      </c>
      <c r="Q273" s="1">
        <v>46135</v>
      </c>
      <c r="R273" s="2">
        <v>139</v>
      </c>
      <c r="S273">
        <v>1</v>
      </c>
      <c r="T273" t="s">
        <v>58</v>
      </c>
      <c r="U273" t="s">
        <v>260</v>
      </c>
      <c r="V273" s="3">
        <v>0.38</v>
      </c>
      <c r="W273" s="2">
        <v>0</v>
      </c>
      <c r="X273">
        <v>0</v>
      </c>
      <c r="Y273" t="s">
        <v>60</v>
      </c>
      <c r="Z273" t="s">
        <v>262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52.82</v>
      </c>
      <c r="AN273" s="2">
        <v>52.82</v>
      </c>
      <c r="AO273" s="2">
        <v>0</v>
      </c>
      <c r="AP273" s="2">
        <v>0</v>
      </c>
      <c r="AQ273" s="2">
        <v>0</v>
      </c>
    </row>
    <row r="274" spans="1:43" x14ac:dyDescent="0.3">
      <c r="A274" s="1">
        <v>46104</v>
      </c>
      <c r="B274" t="s">
        <v>48</v>
      </c>
      <c r="C274">
        <v>649163</v>
      </c>
      <c r="D274">
        <v>2028627542</v>
      </c>
      <c r="E274" t="s">
        <v>514</v>
      </c>
      <c r="F274" t="s">
        <v>515</v>
      </c>
      <c r="G274" t="s">
        <v>51</v>
      </c>
      <c r="H274" t="s">
        <v>300</v>
      </c>
      <c r="I274" t="s">
        <v>220</v>
      </c>
      <c r="J274" t="s">
        <v>569</v>
      </c>
      <c r="K274">
        <v>820873</v>
      </c>
      <c r="L274" t="s">
        <v>438</v>
      </c>
      <c r="M274" t="s">
        <v>439</v>
      </c>
      <c r="N274" t="s">
        <v>57</v>
      </c>
      <c r="O274" s="1">
        <v>45774</v>
      </c>
      <c r="Q274" s="1">
        <v>46139</v>
      </c>
      <c r="R274" s="2">
        <v>7.09</v>
      </c>
      <c r="S274">
        <v>1</v>
      </c>
      <c r="T274" t="s">
        <v>58</v>
      </c>
      <c r="U274" t="s">
        <v>260</v>
      </c>
      <c r="V274" s="3">
        <v>0.38</v>
      </c>
      <c r="W274" s="2">
        <v>0</v>
      </c>
      <c r="X274">
        <v>0</v>
      </c>
      <c r="Y274" t="s">
        <v>60</v>
      </c>
      <c r="Z274" t="s">
        <v>262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2.69</v>
      </c>
      <c r="AN274" s="2">
        <v>2.69</v>
      </c>
      <c r="AO274" s="2">
        <v>0</v>
      </c>
      <c r="AP274" s="2">
        <v>0</v>
      </c>
      <c r="AQ274" s="2">
        <v>0</v>
      </c>
    </row>
    <row r="275" spans="1:43" x14ac:dyDescent="0.3">
      <c r="A275" s="1">
        <v>46104</v>
      </c>
      <c r="B275" t="s">
        <v>48</v>
      </c>
      <c r="C275">
        <v>649163</v>
      </c>
      <c r="D275">
        <v>2029620627</v>
      </c>
      <c r="E275" t="s">
        <v>335</v>
      </c>
      <c r="F275" t="s">
        <v>336</v>
      </c>
      <c r="G275" t="s">
        <v>51</v>
      </c>
      <c r="H275" t="s">
        <v>64</v>
      </c>
      <c r="I275" t="s">
        <v>220</v>
      </c>
      <c r="J275" t="s">
        <v>568</v>
      </c>
      <c r="K275">
        <v>824062</v>
      </c>
      <c r="L275" t="s">
        <v>91</v>
      </c>
      <c r="M275" t="s">
        <v>92</v>
      </c>
      <c r="N275" t="s">
        <v>57</v>
      </c>
      <c r="O275" s="1">
        <v>45833</v>
      </c>
      <c r="Q275" s="1">
        <v>46137</v>
      </c>
      <c r="R275" s="2">
        <v>226.98</v>
      </c>
      <c r="S275">
        <v>1</v>
      </c>
      <c r="T275" t="s">
        <v>58</v>
      </c>
      <c r="U275" t="s">
        <v>260</v>
      </c>
      <c r="V275" s="3">
        <v>0.38</v>
      </c>
      <c r="W275" s="2">
        <v>0</v>
      </c>
      <c r="X275">
        <v>0</v>
      </c>
      <c r="Y275" t="s">
        <v>60</v>
      </c>
      <c r="Z275" t="s">
        <v>262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86.25</v>
      </c>
      <c r="AN275" s="2">
        <v>86.25</v>
      </c>
      <c r="AO275" s="2">
        <v>0</v>
      </c>
      <c r="AP275" s="2">
        <v>0</v>
      </c>
      <c r="AQ275" s="2">
        <v>0</v>
      </c>
    </row>
    <row r="276" spans="1:43" x14ac:dyDescent="0.3">
      <c r="A276" s="1">
        <v>46104</v>
      </c>
      <c r="B276" t="s">
        <v>48</v>
      </c>
      <c r="C276">
        <v>649163</v>
      </c>
      <c r="D276">
        <v>2029620628</v>
      </c>
      <c r="E276" t="s">
        <v>335</v>
      </c>
      <c r="F276" t="s">
        <v>336</v>
      </c>
      <c r="G276" t="s">
        <v>51</v>
      </c>
      <c r="H276" t="s">
        <v>64</v>
      </c>
      <c r="I276" t="s">
        <v>220</v>
      </c>
      <c r="J276" t="s">
        <v>569</v>
      </c>
      <c r="K276">
        <v>824062</v>
      </c>
      <c r="L276" t="s">
        <v>91</v>
      </c>
      <c r="M276" t="s">
        <v>92</v>
      </c>
      <c r="N276" t="s">
        <v>57</v>
      </c>
      <c r="O276" s="1">
        <v>45833</v>
      </c>
      <c r="Q276" s="1">
        <v>46137</v>
      </c>
      <c r="R276" s="2">
        <v>7.09</v>
      </c>
      <c r="S276">
        <v>1</v>
      </c>
      <c r="T276" t="s">
        <v>58</v>
      </c>
      <c r="U276" t="s">
        <v>260</v>
      </c>
      <c r="V276" s="3">
        <v>0.38</v>
      </c>
      <c r="W276" s="2">
        <v>0</v>
      </c>
      <c r="X276">
        <v>0</v>
      </c>
      <c r="Y276" t="s">
        <v>60</v>
      </c>
      <c r="Z276" t="s">
        <v>262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2.69</v>
      </c>
      <c r="AN276" s="2">
        <v>2.69</v>
      </c>
      <c r="AO276" s="2">
        <v>0</v>
      </c>
      <c r="AP276" s="2">
        <v>0</v>
      </c>
      <c r="AQ276" s="2">
        <v>0</v>
      </c>
    </row>
    <row r="277" spans="1:43" x14ac:dyDescent="0.3">
      <c r="A277" s="1">
        <v>46104</v>
      </c>
      <c r="B277" t="s">
        <v>48</v>
      </c>
      <c r="C277">
        <v>649163</v>
      </c>
      <c r="D277">
        <v>2029623274</v>
      </c>
      <c r="E277" t="s">
        <v>441</v>
      </c>
      <c r="F277" t="s">
        <v>442</v>
      </c>
      <c r="G277" t="s">
        <v>51</v>
      </c>
      <c r="H277" t="s">
        <v>64</v>
      </c>
      <c r="I277" t="s">
        <v>220</v>
      </c>
      <c r="J277" t="s">
        <v>568</v>
      </c>
      <c r="K277">
        <v>840313</v>
      </c>
      <c r="L277" t="s">
        <v>443</v>
      </c>
      <c r="M277" t="s">
        <v>444</v>
      </c>
      <c r="N277" t="s">
        <v>57</v>
      </c>
      <c r="O277" s="1">
        <v>45833</v>
      </c>
      <c r="Q277" s="1">
        <v>46137</v>
      </c>
      <c r="R277" s="2">
        <v>172.55</v>
      </c>
      <c r="S277">
        <v>1</v>
      </c>
      <c r="T277" t="s">
        <v>58</v>
      </c>
      <c r="U277" t="s">
        <v>260</v>
      </c>
      <c r="V277" s="3">
        <v>0.38</v>
      </c>
      <c r="W277" s="2">
        <v>0</v>
      </c>
      <c r="X277">
        <v>0</v>
      </c>
      <c r="Y277" t="s">
        <v>60</v>
      </c>
      <c r="Z277" t="s">
        <v>262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65.569999999999993</v>
      </c>
      <c r="AN277" s="2">
        <v>65.569999999999993</v>
      </c>
      <c r="AO277" s="2">
        <v>0</v>
      </c>
      <c r="AP277" s="2">
        <v>0</v>
      </c>
      <c r="AQ277" s="2">
        <v>0</v>
      </c>
    </row>
    <row r="278" spans="1:43" x14ac:dyDescent="0.3">
      <c r="A278" s="1">
        <v>46104</v>
      </c>
      <c r="B278" t="s">
        <v>48</v>
      </c>
      <c r="C278">
        <v>649163</v>
      </c>
      <c r="D278">
        <v>2029623275</v>
      </c>
      <c r="E278" t="s">
        <v>441</v>
      </c>
      <c r="F278" t="s">
        <v>442</v>
      </c>
      <c r="G278" t="s">
        <v>51</v>
      </c>
      <c r="H278" t="s">
        <v>64</v>
      </c>
      <c r="I278" t="s">
        <v>220</v>
      </c>
      <c r="J278" t="s">
        <v>569</v>
      </c>
      <c r="K278">
        <v>840313</v>
      </c>
      <c r="L278" t="s">
        <v>443</v>
      </c>
      <c r="M278" t="s">
        <v>444</v>
      </c>
      <c r="N278" t="s">
        <v>57</v>
      </c>
      <c r="O278" s="1">
        <v>45833</v>
      </c>
      <c r="Q278" s="1">
        <v>46137</v>
      </c>
      <c r="R278" s="2">
        <v>7.09</v>
      </c>
      <c r="S278">
        <v>1</v>
      </c>
      <c r="T278" t="s">
        <v>58</v>
      </c>
      <c r="U278" t="s">
        <v>260</v>
      </c>
      <c r="V278" s="3">
        <v>0.38</v>
      </c>
      <c r="W278" s="2">
        <v>0</v>
      </c>
      <c r="X278">
        <v>0</v>
      </c>
      <c r="Y278" t="s">
        <v>60</v>
      </c>
      <c r="Z278" t="s">
        <v>262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2.69</v>
      </c>
      <c r="AN278" s="2">
        <v>2.69</v>
      </c>
      <c r="AO278" s="2">
        <v>0</v>
      </c>
      <c r="AP278" s="2">
        <v>0</v>
      </c>
      <c r="AQ278" s="2">
        <v>0</v>
      </c>
    </row>
    <row r="279" spans="1:43" x14ac:dyDescent="0.3">
      <c r="A279" s="1">
        <v>46104</v>
      </c>
      <c r="B279" t="s">
        <v>48</v>
      </c>
      <c r="C279">
        <v>649163</v>
      </c>
      <c r="D279">
        <v>2029623276</v>
      </c>
      <c r="E279" t="s">
        <v>441</v>
      </c>
      <c r="F279" t="s">
        <v>442</v>
      </c>
      <c r="G279" t="s">
        <v>51</v>
      </c>
      <c r="H279" t="s">
        <v>64</v>
      </c>
      <c r="I279" t="s">
        <v>220</v>
      </c>
      <c r="J279" t="s">
        <v>221</v>
      </c>
      <c r="K279">
        <v>840313</v>
      </c>
      <c r="L279" t="s">
        <v>443</v>
      </c>
      <c r="M279" t="s">
        <v>444</v>
      </c>
      <c r="N279" t="s">
        <v>57</v>
      </c>
      <c r="O279" s="1">
        <v>45833</v>
      </c>
      <c r="Q279" s="1">
        <v>46137</v>
      </c>
      <c r="R279" s="2">
        <v>11.71</v>
      </c>
      <c r="S279">
        <v>1</v>
      </c>
      <c r="T279" t="s">
        <v>58</v>
      </c>
      <c r="U279" t="s">
        <v>260</v>
      </c>
      <c r="V279" s="3">
        <v>0.38</v>
      </c>
      <c r="W279" s="2">
        <v>0</v>
      </c>
      <c r="X279">
        <v>0</v>
      </c>
      <c r="Y279" t="s">
        <v>60</v>
      </c>
      <c r="Z279" t="s">
        <v>262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4.45</v>
      </c>
      <c r="AN279" s="2">
        <v>4.45</v>
      </c>
      <c r="AO279" s="2">
        <v>0</v>
      </c>
      <c r="AP279" s="2">
        <v>0</v>
      </c>
      <c r="AQ279" s="2">
        <v>0</v>
      </c>
    </row>
    <row r="280" spans="1:43" x14ac:dyDescent="0.3">
      <c r="A280" s="1">
        <v>46104</v>
      </c>
      <c r="B280" t="s">
        <v>48</v>
      </c>
      <c r="C280">
        <v>649163</v>
      </c>
      <c r="D280">
        <v>2030108811</v>
      </c>
      <c r="E280" t="s">
        <v>345</v>
      </c>
      <c r="F280" t="s">
        <v>346</v>
      </c>
      <c r="G280" t="s">
        <v>51</v>
      </c>
      <c r="H280" t="s">
        <v>112</v>
      </c>
      <c r="I280" t="s">
        <v>220</v>
      </c>
      <c r="J280" t="s">
        <v>221</v>
      </c>
      <c r="K280">
        <v>796984</v>
      </c>
      <c r="L280" t="s">
        <v>347</v>
      </c>
      <c r="M280" t="s">
        <v>124</v>
      </c>
      <c r="N280" t="s">
        <v>57</v>
      </c>
      <c r="O280" s="1">
        <v>45862</v>
      </c>
      <c r="Q280" s="1">
        <v>46136</v>
      </c>
      <c r="R280" s="2">
        <v>16.91</v>
      </c>
      <c r="S280">
        <v>1</v>
      </c>
      <c r="T280" t="s">
        <v>58</v>
      </c>
      <c r="U280" t="s">
        <v>260</v>
      </c>
      <c r="V280" s="3">
        <v>0.38</v>
      </c>
      <c r="W280" s="2">
        <v>0</v>
      </c>
      <c r="X280">
        <v>0</v>
      </c>
      <c r="Y280" t="s">
        <v>60</v>
      </c>
      <c r="Z280" t="s">
        <v>262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6.43</v>
      </c>
      <c r="AN280" s="2">
        <v>6.43</v>
      </c>
      <c r="AO280" s="2">
        <v>0</v>
      </c>
      <c r="AP280" s="2">
        <v>0</v>
      </c>
      <c r="AQ280" s="2">
        <v>0</v>
      </c>
    </row>
    <row r="281" spans="1:43" x14ac:dyDescent="0.3">
      <c r="A281" s="1">
        <v>46104</v>
      </c>
      <c r="B281" t="s">
        <v>48</v>
      </c>
      <c r="C281">
        <v>649163</v>
      </c>
      <c r="D281">
        <v>2030670141</v>
      </c>
      <c r="E281" t="s">
        <v>527</v>
      </c>
      <c r="F281" t="s">
        <v>528</v>
      </c>
      <c r="G281" t="s">
        <v>51</v>
      </c>
      <c r="H281" t="s">
        <v>52</v>
      </c>
      <c r="I281" t="s">
        <v>220</v>
      </c>
      <c r="J281" t="s">
        <v>221</v>
      </c>
      <c r="K281">
        <v>650218</v>
      </c>
      <c r="L281" t="s">
        <v>87</v>
      </c>
      <c r="M281" t="s">
        <v>88</v>
      </c>
      <c r="N281" t="s">
        <v>57</v>
      </c>
      <c r="O281" s="1">
        <v>45895</v>
      </c>
      <c r="Q281" s="1">
        <v>46138</v>
      </c>
      <c r="R281" s="2">
        <v>21.97</v>
      </c>
      <c r="S281">
        <v>1</v>
      </c>
      <c r="T281" t="s">
        <v>58</v>
      </c>
      <c r="U281" t="s">
        <v>260</v>
      </c>
      <c r="V281" s="3">
        <v>0.38</v>
      </c>
      <c r="W281" s="2">
        <v>0</v>
      </c>
      <c r="X281">
        <v>0</v>
      </c>
      <c r="Y281" t="s">
        <v>60</v>
      </c>
      <c r="Z281" t="s">
        <v>262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8.35</v>
      </c>
      <c r="AN281" s="2">
        <v>8.35</v>
      </c>
      <c r="AO281" s="2">
        <v>0</v>
      </c>
      <c r="AP281" s="2">
        <v>0</v>
      </c>
      <c r="AQ281" s="2">
        <v>0</v>
      </c>
    </row>
    <row r="282" spans="1:43" x14ac:dyDescent="0.3">
      <c r="A282" s="1">
        <v>46104</v>
      </c>
      <c r="B282" t="s">
        <v>48</v>
      </c>
      <c r="C282">
        <v>649163</v>
      </c>
      <c r="D282">
        <v>2030678353</v>
      </c>
      <c r="E282" t="s">
        <v>351</v>
      </c>
      <c r="F282" t="s">
        <v>352</v>
      </c>
      <c r="G282" t="s">
        <v>51</v>
      </c>
      <c r="H282" t="s">
        <v>112</v>
      </c>
      <c r="I282" t="s">
        <v>220</v>
      </c>
      <c r="J282" t="s">
        <v>221</v>
      </c>
      <c r="K282">
        <v>816021</v>
      </c>
      <c r="L282" t="s">
        <v>311</v>
      </c>
      <c r="M282" t="s">
        <v>312</v>
      </c>
      <c r="N282" t="s">
        <v>57</v>
      </c>
      <c r="O282" s="1">
        <v>45901</v>
      </c>
      <c r="Q282" s="1">
        <v>46113</v>
      </c>
      <c r="R282" s="2">
        <v>-16.91</v>
      </c>
      <c r="S282">
        <v>1</v>
      </c>
      <c r="T282" t="s">
        <v>58</v>
      </c>
      <c r="U282" t="s">
        <v>260</v>
      </c>
      <c r="V282" s="3">
        <v>0.38</v>
      </c>
      <c r="W282" s="2">
        <v>0</v>
      </c>
      <c r="X282">
        <v>-1</v>
      </c>
      <c r="Y282" t="s">
        <v>60</v>
      </c>
      <c r="Z282" t="s">
        <v>262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-6.43</v>
      </c>
      <c r="AN282" s="2">
        <v>-6.43</v>
      </c>
      <c r="AO282" s="2">
        <v>0</v>
      </c>
      <c r="AP282" s="2">
        <v>0</v>
      </c>
      <c r="AQ282" s="2">
        <v>0</v>
      </c>
    </row>
    <row r="283" spans="1:43" x14ac:dyDescent="0.3">
      <c r="A283" s="1">
        <v>46104</v>
      </c>
      <c r="B283" t="s">
        <v>48</v>
      </c>
      <c r="C283">
        <v>649163</v>
      </c>
      <c r="D283">
        <v>2030697179</v>
      </c>
      <c r="E283" t="s">
        <v>278</v>
      </c>
      <c r="F283" t="s">
        <v>279</v>
      </c>
      <c r="G283" t="s">
        <v>51</v>
      </c>
      <c r="H283" t="s">
        <v>52</v>
      </c>
      <c r="I283" t="s">
        <v>220</v>
      </c>
      <c r="J283" t="s">
        <v>221</v>
      </c>
      <c r="K283">
        <v>885445</v>
      </c>
      <c r="L283" t="s">
        <v>55</v>
      </c>
      <c r="M283" t="s">
        <v>56</v>
      </c>
      <c r="N283" t="s">
        <v>57</v>
      </c>
      <c r="O283" s="1">
        <v>45901</v>
      </c>
      <c r="Q283" s="1">
        <v>46113</v>
      </c>
      <c r="R283" s="2">
        <v>51.58</v>
      </c>
      <c r="S283">
        <v>1</v>
      </c>
      <c r="T283" t="s">
        <v>58</v>
      </c>
      <c r="U283" t="s">
        <v>260</v>
      </c>
      <c r="V283" s="3">
        <v>0.38</v>
      </c>
      <c r="W283" s="2">
        <v>0</v>
      </c>
      <c r="X283">
        <v>0</v>
      </c>
      <c r="Y283" t="s">
        <v>60</v>
      </c>
      <c r="Z283" t="s">
        <v>262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19.600000000000001</v>
      </c>
      <c r="AN283" s="2">
        <v>19.600000000000001</v>
      </c>
      <c r="AO283" s="2">
        <v>0</v>
      </c>
      <c r="AP283" s="2">
        <v>0</v>
      </c>
      <c r="AQ283" s="2">
        <v>0</v>
      </c>
    </row>
    <row r="284" spans="1:43" x14ac:dyDescent="0.3">
      <c r="A284" s="1">
        <v>46104</v>
      </c>
      <c r="B284" t="s">
        <v>48</v>
      </c>
      <c r="C284">
        <v>649163</v>
      </c>
      <c r="D284">
        <v>2031226327</v>
      </c>
      <c r="E284" t="s">
        <v>445</v>
      </c>
      <c r="F284" t="s">
        <v>446</v>
      </c>
      <c r="G284" t="s">
        <v>51</v>
      </c>
      <c r="H284" t="s">
        <v>74</v>
      </c>
      <c r="I284" t="s">
        <v>220</v>
      </c>
      <c r="J284" t="s">
        <v>568</v>
      </c>
      <c r="K284">
        <v>820873</v>
      </c>
      <c r="L284" t="s">
        <v>438</v>
      </c>
      <c r="M284" t="s">
        <v>439</v>
      </c>
      <c r="N284" t="s">
        <v>57</v>
      </c>
      <c r="O284" s="1">
        <v>45924</v>
      </c>
      <c r="Q284" s="1">
        <v>46136</v>
      </c>
      <c r="R284" s="2">
        <v>401.35</v>
      </c>
      <c r="S284">
        <v>1</v>
      </c>
      <c r="T284" t="s">
        <v>58</v>
      </c>
      <c r="U284" t="s">
        <v>59</v>
      </c>
      <c r="V284" s="3">
        <v>0.38</v>
      </c>
      <c r="W284" s="2">
        <v>0</v>
      </c>
      <c r="X284">
        <v>0</v>
      </c>
      <c r="Y284" t="s">
        <v>60</v>
      </c>
      <c r="Z284" t="s">
        <v>262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152.51</v>
      </c>
      <c r="AN284" s="2">
        <v>152.51</v>
      </c>
      <c r="AO284" s="2">
        <v>0</v>
      </c>
      <c r="AP284" s="2">
        <v>0</v>
      </c>
      <c r="AQ284" s="2">
        <v>0</v>
      </c>
    </row>
    <row r="285" spans="1:43" x14ac:dyDescent="0.3">
      <c r="A285" s="1">
        <v>46104</v>
      </c>
      <c r="B285" t="s">
        <v>48</v>
      </c>
      <c r="C285">
        <v>649163</v>
      </c>
      <c r="D285">
        <v>2031226328</v>
      </c>
      <c r="E285" t="s">
        <v>445</v>
      </c>
      <c r="F285" t="s">
        <v>446</v>
      </c>
      <c r="G285" t="s">
        <v>51</v>
      </c>
      <c r="H285" t="s">
        <v>74</v>
      </c>
      <c r="I285" t="s">
        <v>220</v>
      </c>
      <c r="J285" t="s">
        <v>569</v>
      </c>
      <c r="K285">
        <v>820873</v>
      </c>
      <c r="L285" t="s">
        <v>438</v>
      </c>
      <c r="M285" t="s">
        <v>439</v>
      </c>
      <c r="N285" t="s">
        <v>57</v>
      </c>
      <c r="O285" s="1">
        <v>45924</v>
      </c>
      <c r="Q285" s="1">
        <v>46136</v>
      </c>
      <c r="R285" s="2">
        <v>7.09</v>
      </c>
      <c r="S285">
        <v>1</v>
      </c>
      <c r="T285" t="s">
        <v>58</v>
      </c>
      <c r="U285" t="s">
        <v>59</v>
      </c>
      <c r="V285" s="3">
        <v>0.38</v>
      </c>
      <c r="W285" s="2">
        <v>0</v>
      </c>
      <c r="X285">
        <v>0</v>
      </c>
      <c r="Y285" t="s">
        <v>60</v>
      </c>
      <c r="Z285" t="s">
        <v>262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2.69</v>
      </c>
      <c r="AN285" s="2">
        <v>2.69</v>
      </c>
      <c r="AO285" s="2">
        <v>0</v>
      </c>
      <c r="AP285" s="2">
        <v>0</v>
      </c>
      <c r="AQ285" s="2">
        <v>0</v>
      </c>
    </row>
    <row r="286" spans="1:43" x14ac:dyDescent="0.3">
      <c r="A286" s="1">
        <v>46104</v>
      </c>
      <c r="B286" t="s">
        <v>48</v>
      </c>
      <c r="C286">
        <v>649163</v>
      </c>
      <c r="D286">
        <v>2031255008</v>
      </c>
      <c r="E286" t="s">
        <v>448</v>
      </c>
      <c r="F286" t="s">
        <v>449</v>
      </c>
      <c r="G286" t="s">
        <v>51</v>
      </c>
      <c r="H286" t="s">
        <v>64</v>
      </c>
      <c r="I286" t="s">
        <v>220</v>
      </c>
      <c r="J286" t="s">
        <v>568</v>
      </c>
      <c r="K286">
        <v>812994</v>
      </c>
      <c r="L286" t="s">
        <v>450</v>
      </c>
      <c r="M286" t="s">
        <v>451</v>
      </c>
      <c r="N286" t="s">
        <v>57</v>
      </c>
      <c r="O286" s="1">
        <v>45925</v>
      </c>
      <c r="Q286" s="1">
        <v>46137</v>
      </c>
      <c r="R286" s="2">
        <v>328.85</v>
      </c>
      <c r="S286">
        <v>1</v>
      </c>
      <c r="T286" t="s">
        <v>58</v>
      </c>
      <c r="U286" t="s">
        <v>59</v>
      </c>
      <c r="V286" s="3">
        <v>0.38</v>
      </c>
      <c r="W286" s="2">
        <v>0</v>
      </c>
      <c r="X286">
        <v>0</v>
      </c>
      <c r="Y286" t="s">
        <v>60</v>
      </c>
      <c r="Z286" t="s">
        <v>262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124.96</v>
      </c>
      <c r="AN286" s="2">
        <v>124.96</v>
      </c>
      <c r="AO286" s="2">
        <v>0</v>
      </c>
      <c r="AP286" s="2">
        <v>0</v>
      </c>
      <c r="AQ286" s="2">
        <v>0</v>
      </c>
    </row>
    <row r="287" spans="1:43" x14ac:dyDescent="0.3">
      <c r="A287" s="1">
        <v>46104</v>
      </c>
      <c r="B287" t="s">
        <v>48</v>
      </c>
      <c r="C287">
        <v>649163</v>
      </c>
      <c r="D287">
        <v>2031255009</v>
      </c>
      <c r="E287" t="s">
        <v>448</v>
      </c>
      <c r="F287" t="s">
        <v>449</v>
      </c>
      <c r="G287" t="s">
        <v>51</v>
      </c>
      <c r="H287" t="s">
        <v>64</v>
      </c>
      <c r="I287" t="s">
        <v>220</v>
      </c>
      <c r="J287" t="s">
        <v>569</v>
      </c>
      <c r="K287">
        <v>812994</v>
      </c>
      <c r="L287" t="s">
        <v>450</v>
      </c>
      <c r="M287" t="s">
        <v>451</v>
      </c>
      <c r="N287" t="s">
        <v>57</v>
      </c>
      <c r="O287" s="1">
        <v>45925</v>
      </c>
      <c r="Q287" s="1">
        <v>46137</v>
      </c>
      <c r="R287" s="2">
        <v>7.09</v>
      </c>
      <c r="S287">
        <v>1</v>
      </c>
      <c r="T287" t="s">
        <v>58</v>
      </c>
      <c r="U287" t="s">
        <v>59</v>
      </c>
      <c r="V287" s="3">
        <v>0.38</v>
      </c>
      <c r="W287" s="2">
        <v>0</v>
      </c>
      <c r="X287">
        <v>0</v>
      </c>
      <c r="Y287" t="s">
        <v>60</v>
      </c>
      <c r="Z287" t="s">
        <v>262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2.69</v>
      </c>
      <c r="AN287" s="2">
        <v>2.69</v>
      </c>
      <c r="AO287" s="2">
        <v>0</v>
      </c>
      <c r="AP287" s="2">
        <v>0</v>
      </c>
      <c r="AQ287" s="2">
        <v>0</v>
      </c>
    </row>
    <row r="288" spans="1:43" x14ac:dyDescent="0.3">
      <c r="A288" s="1">
        <v>46104</v>
      </c>
      <c r="B288" t="s">
        <v>48</v>
      </c>
      <c r="C288">
        <v>649163</v>
      </c>
      <c r="D288">
        <v>2032235341</v>
      </c>
      <c r="E288" t="s">
        <v>340</v>
      </c>
      <c r="F288" t="s">
        <v>457</v>
      </c>
      <c r="G288" t="s">
        <v>51</v>
      </c>
      <c r="H288" t="s">
        <v>458</v>
      </c>
      <c r="I288" t="s">
        <v>220</v>
      </c>
      <c r="J288" t="s">
        <v>221</v>
      </c>
      <c r="K288">
        <v>650218</v>
      </c>
      <c r="L288" t="s">
        <v>87</v>
      </c>
      <c r="M288" t="s">
        <v>88</v>
      </c>
      <c r="N288" t="s">
        <v>57</v>
      </c>
      <c r="O288" s="1">
        <v>45980</v>
      </c>
      <c r="Q288" s="1">
        <v>46131</v>
      </c>
      <c r="R288" s="2">
        <v>20.76</v>
      </c>
      <c r="S288">
        <v>1</v>
      </c>
      <c r="T288" t="s">
        <v>58</v>
      </c>
      <c r="U288" t="s">
        <v>59</v>
      </c>
      <c r="V288" s="3">
        <v>0.38</v>
      </c>
      <c r="W288" s="2">
        <v>0</v>
      </c>
      <c r="X288">
        <v>0</v>
      </c>
      <c r="Y288" t="s">
        <v>60</v>
      </c>
      <c r="Z288" t="s">
        <v>262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7.89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3">
      <c r="A289" s="1">
        <v>46104</v>
      </c>
      <c r="B289" t="s">
        <v>48</v>
      </c>
      <c r="C289">
        <v>649163</v>
      </c>
      <c r="D289">
        <v>2032581667</v>
      </c>
      <c r="E289" t="s">
        <v>461</v>
      </c>
      <c r="F289" t="s">
        <v>321</v>
      </c>
      <c r="G289" t="s">
        <v>51</v>
      </c>
      <c r="H289" t="s">
        <v>462</v>
      </c>
      <c r="I289" t="s">
        <v>220</v>
      </c>
      <c r="J289" t="s">
        <v>568</v>
      </c>
      <c r="K289">
        <v>650218</v>
      </c>
      <c r="L289" t="s">
        <v>87</v>
      </c>
      <c r="M289" t="s">
        <v>88</v>
      </c>
      <c r="N289" t="s">
        <v>271</v>
      </c>
      <c r="O289" s="1">
        <v>46023</v>
      </c>
      <c r="P289" s="1">
        <v>46104</v>
      </c>
      <c r="Q289" s="1">
        <v>46113</v>
      </c>
      <c r="R289" s="2">
        <v>-105.27</v>
      </c>
      <c r="S289">
        <v>1</v>
      </c>
      <c r="T289" t="s">
        <v>58</v>
      </c>
      <c r="U289" t="s">
        <v>59</v>
      </c>
      <c r="V289" s="3">
        <v>0.38</v>
      </c>
      <c r="W289" s="2">
        <v>0</v>
      </c>
      <c r="X289">
        <v>-1</v>
      </c>
      <c r="Y289" t="s">
        <v>60</v>
      </c>
      <c r="Z289" t="s">
        <v>262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-40</v>
      </c>
      <c r="AN289" s="2">
        <v>-40</v>
      </c>
      <c r="AO289" s="2">
        <v>0</v>
      </c>
      <c r="AP289" s="2">
        <v>0</v>
      </c>
      <c r="AQ289" s="2">
        <v>0</v>
      </c>
    </row>
    <row r="290" spans="1:43" x14ac:dyDescent="0.3">
      <c r="A290" s="1">
        <v>46104</v>
      </c>
      <c r="B290" t="s">
        <v>48</v>
      </c>
      <c r="C290">
        <v>649163</v>
      </c>
      <c r="D290">
        <v>2032603316</v>
      </c>
      <c r="E290" t="s">
        <v>284</v>
      </c>
      <c r="F290" t="s">
        <v>285</v>
      </c>
      <c r="G290" t="s">
        <v>51</v>
      </c>
      <c r="H290" t="s">
        <v>52</v>
      </c>
      <c r="I290" t="s">
        <v>220</v>
      </c>
      <c r="J290" t="s">
        <v>221</v>
      </c>
      <c r="K290">
        <v>929503</v>
      </c>
      <c r="L290" t="s">
        <v>286</v>
      </c>
      <c r="M290" t="s">
        <v>287</v>
      </c>
      <c r="N290" t="s">
        <v>57</v>
      </c>
      <c r="O290" s="1">
        <v>46017</v>
      </c>
      <c r="Q290" s="1">
        <v>46138</v>
      </c>
      <c r="R290" s="2">
        <v>61.39</v>
      </c>
      <c r="S290">
        <v>1</v>
      </c>
      <c r="T290" t="s">
        <v>58</v>
      </c>
      <c r="U290" t="s">
        <v>59</v>
      </c>
      <c r="V290" s="3">
        <v>0.38</v>
      </c>
      <c r="W290" s="2">
        <v>0</v>
      </c>
      <c r="X290">
        <v>0</v>
      </c>
      <c r="Y290" t="s">
        <v>60</v>
      </c>
      <c r="Z290" t="s">
        <v>262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23.33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</row>
    <row r="291" spans="1:43" x14ac:dyDescent="0.3">
      <c r="A291" s="1">
        <v>46104</v>
      </c>
      <c r="B291" t="s">
        <v>48</v>
      </c>
      <c r="C291">
        <v>649163</v>
      </c>
      <c r="D291">
        <v>2032624526</v>
      </c>
      <c r="E291" t="s">
        <v>288</v>
      </c>
      <c r="F291" t="s">
        <v>289</v>
      </c>
      <c r="G291" t="s">
        <v>51</v>
      </c>
      <c r="H291" t="s">
        <v>52</v>
      </c>
      <c r="I291" t="s">
        <v>220</v>
      </c>
      <c r="J291" t="s">
        <v>221</v>
      </c>
      <c r="K291">
        <v>885445</v>
      </c>
      <c r="L291" t="s">
        <v>55</v>
      </c>
      <c r="M291" t="s">
        <v>56</v>
      </c>
      <c r="N291" t="s">
        <v>57</v>
      </c>
      <c r="O291" s="1">
        <v>46016</v>
      </c>
      <c r="Q291" s="1">
        <v>46137</v>
      </c>
      <c r="R291" s="2">
        <v>55.16</v>
      </c>
      <c r="S291">
        <v>1</v>
      </c>
      <c r="T291" t="s">
        <v>58</v>
      </c>
      <c r="U291" t="s">
        <v>59</v>
      </c>
      <c r="V291" s="3">
        <v>0.38</v>
      </c>
      <c r="W291" s="2">
        <v>0</v>
      </c>
      <c r="X291">
        <v>0</v>
      </c>
      <c r="Y291" t="s">
        <v>60</v>
      </c>
      <c r="Z291" t="s">
        <v>262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20.96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</row>
    <row r="292" spans="1:43" x14ac:dyDescent="0.3">
      <c r="A292" s="1">
        <v>46104</v>
      </c>
      <c r="B292" t="s">
        <v>48</v>
      </c>
      <c r="C292">
        <v>649163</v>
      </c>
      <c r="D292">
        <v>2032795211</v>
      </c>
      <c r="E292" t="s">
        <v>290</v>
      </c>
      <c r="F292" t="s">
        <v>234</v>
      </c>
      <c r="G292" t="s">
        <v>51</v>
      </c>
      <c r="H292" t="s">
        <v>52</v>
      </c>
      <c r="I292" t="s">
        <v>220</v>
      </c>
      <c r="J292" t="s">
        <v>221</v>
      </c>
      <c r="K292">
        <v>885445</v>
      </c>
      <c r="L292" t="s">
        <v>55</v>
      </c>
      <c r="M292" t="s">
        <v>56</v>
      </c>
      <c r="N292" t="s">
        <v>57</v>
      </c>
      <c r="O292" s="1">
        <v>46016</v>
      </c>
      <c r="Q292" s="1">
        <v>46137</v>
      </c>
      <c r="R292" s="2">
        <v>51.58</v>
      </c>
      <c r="S292">
        <v>1</v>
      </c>
      <c r="T292" t="s">
        <v>58</v>
      </c>
      <c r="U292" t="s">
        <v>59</v>
      </c>
      <c r="V292" s="3">
        <v>0.38</v>
      </c>
      <c r="W292" s="2">
        <v>0</v>
      </c>
      <c r="X292">
        <v>0</v>
      </c>
      <c r="Y292" t="s">
        <v>60</v>
      </c>
      <c r="Z292" t="s">
        <v>262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19.600000000000001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</row>
    <row r="293" spans="1:43" x14ac:dyDescent="0.3">
      <c r="A293" s="1">
        <v>46104</v>
      </c>
      <c r="B293" t="s">
        <v>48</v>
      </c>
      <c r="C293">
        <v>649163</v>
      </c>
      <c r="D293">
        <v>2032878356</v>
      </c>
      <c r="E293" t="s">
        <v>570</v>
      </c>
      <c r="F293" t="s">
        <v>571</v>
      </c>
      <c r="G293" t="s">
        <v>51</v>
      </c>
      <c r="H293" t="s">
        <v>52</v>
      </c>
      <c r="I293" t="s">
        <v>220</v>
      </c>
      <c r="J293" t="s">
        <v>568</v>
      </c>
      <c r="K293">
        <v>896468</v>
      </c>
      <c r="L293" t="s">
        <v>572</v>
      </c>
      <c r="M293" t="s">
        <v>573</v>
      </c>
      <c r="N293" t="s">
        <v>57</v>
      </c>
      <c r="O293" s="1">
        <v>46046</v>
      </c>
      <c r="Q293" s="1">
        <v>46136</v>
      </c>
      <c r="R293" s="2">
        <v>238.1</v>
      </c>
      <c r="S293">
        <v>1</v>
      </c>
      <c r="T293" t="s">
        <v>58</v>
      </c>
      <c r="U293" t="s">
        <v>59</v>
      </c>
      <c r="V293" s="3">
        <v>0.08</v>
      </c>
      <c r="W293" s="2">
        <v>0</v>
      </c>
      <c r="X293">
        <v>0</v>
      </c>
      <c r="Y293" t="s">
        <v>60</v>
      </c>
      <c r="Z293" t="s">
        <v>262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19.05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</row>
    <row r="294" spans="1:43" x14ac:dyDescent="0.3">
      <c r="A294" s="1">
        <v>46104</v>
      </c>
      <c r="B294" t="s">
        <v>48</v>
      </c>
      <c r="C294">
        <v>649163</v>
      </c>
      <c r="D294">
        <v>2032878357</v>
      </c>
      <c r="E294" t="s">
        <v>570</v>
      </c>
      <c r="F294" t="s">
        <v>571</v>
      </c>
      <c r="G294" t="s">
        <v>51</v>
      </c>
      <c r="H294" t="s">
        <v>52</v>
      </c>
      <c r="I294" t="s">
        <v>220</v>
      </c>
      <c r="J294" t="s">
        <v>569</v>
      </c>
      <c r="K294">
        <v>896468</v>
      </c>
      <c r="L294" t="s">
        <v>572</v>
      </c>
      <c r="M294" t="s">
        <v>573</v>
      </c>
      <c r="N294" t="s">
        <v>57</v>
      </c>
      <c r="O294" s="1">
        <v>46046</v>
      </c>
      <c r="Q294" s="1">
        <v>46136</v>
      </c>
      <c r="R294" s="2">
        <v>7.09</v>
      </c>
      <c r="S294">
        <v>1</v>
      </c>
      <c r="T294" t="s">
        <v>58</v>
      </c>
      <c r="U294" t="s">
        <v>59</v>
      </c>
      <c r="V294" s="3">
        <v>0.08</v>
      </c>
      <c r="W294" s="2">
        <v>0</v>
      </c>
      <c r="X294">
        <v>0</v>
      </c>
      <c r="Y294" t="s">
        <v>60</v>
      </c>
      <c r="Z294" t="s">
        <v>262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0.56999999999999995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</row>
    <row r="295" spans="1:43" x14ac:dyDescent="0.3">
      <c r="A295" s="1">
        <v>46104</v>
      </c>
      <c r="B295" t="s">
        <v>48</v>
      </c>
      <c r="C295">
        <v>649163</v>
      </c>
      <c r="D295">
        <v>2033308065</v>
      </c>
      <c r="E295" t="s">
        <v>463</v>
      </c>
      <c r="F295" t="s">
        <v>464</v>
      </c>
      <c r="G295" t="s">
        <v>51</v>
      </c>
      <c r="H295" t="s">
        <v>86</v>
      </c>
      <c r="I295" t="s">
        <v>220</v>
      </c>
      <c r="J295" t="s">
        <v>221</v>
      </c>
      <c r="K295">
        <v>673059</v>
      </c>
      <c r="L295" t="s">
        <v>76</v>
      </c>
      <c r="M295" t="s">
        <v>77</v>
      </c>
      <c r="N295" t="s">
        <v>57</v>
      </c>
      <c r="O295" s="1">
        <v>46046</v>
      </c>
      <c r="Q295" s="1">
        <v>46136</v>
      </c>
      <c r="R295" s="2">
        <v>9.52</v>
      </c>
      <c r="S295">
        <v>1</v>
      </c>
      <c r="T295" t="s">
        <v>58</v>
      </c>
      <c r="U295" t="s">
        <v>59</v>
      </c>
      <c r="V295" s="3">
        <v>0.38</v>
      </c>
      <c r="W295" s="2">
        <v>0</v>
      </c>
      <c r="X295">
        <v>0</v>
      </c>
      <c r="Y295" t="s">
        <v>60</v>
      </c>
      <c r="Z295" t="s">
        <v>262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3.62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 x14ac:dyDescent="0.3">
      <c r="A296" s="1">
        <v>46104</v>
      </c>
      <c r="B296" t="s">
        <v>48</v>
      </c>
      <c r="C296">
        <v>649163</v>
      </c>
      <c r="D296">
        <v>2033325944</v>
      </c>
      <c r="E296" t="s">
        <v>465</v>
      </c>
      <c r="F296" t="s">
        <v>466</v>
      </c>
      <c r="G296" t="s">
        <v>51</v>
      </c>
      <c r="H296" t="s">
        <v>64</v>
      </c>
      <c r="I296" t="s">
        <v>220</v>
      </c>
      <c r="J296" t="s">
        <v>568</v>
      </c>
      <c r="K296">
        <v>820873</v>
      </c>
      <c r="L296" t="s">
        <v>438</v>
      </c>
      <c r="M296" t="s">
        <v>439</v>
      </c>
      <c r="N296" t="s">
        <v>57</v>
      </c>
      <c r="O296" s="1">
        <v>46049</v>
      </c>
      <c r="Q296" s="1">
        <v>46139</v>
      </c>
      <c r="R296" s="2">
        <v>268.01</v>
      </c>
      <c r="S296">
        <v>1</v>
      </c>
      <c r="T296" t="s">
        <v>58</v>
      </c>
      <c r="U296" t="s">
        <v>59</v>
      </c>
      <c r="V296" s="3">
        <v>0.38</v>
      </c>
      <c r="W296" s="2">
        <v>0</v>
      </c>
      <c r="X296">
        <v>0</v>
      </c>
      <c r="Y296" t="s">
        <v>60</v>
      </c>
      <c r="Z296" t="s">
        <v>262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101.84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</row>
    <row r="297" spans="1:43" x14ac:dyDescent="0.3">
      <c r="A297" s="1">
        <v>46104</v>
      </c>
      <c r="B297" t="s">
        <v>48</v>
      </c>
      <c r="C297">
        <v>649163</v>
      </c>
      <c r="D297">
        <v>2033325945</v>
      </c>
      <c r="E297" t="s">
        <v>465</v>
      </c>
      <c r="F297" t="s">
        <v>466</v>
      </c>
      <c r="G297" t="s">
        <v>51</v>
      </c>
      <c r="H297" t="s">
        <v>64</v>
      </c>
      <c r="I297" t="s">
        <v>220</v>
      </c>
      <c r="J297" t="s">
        <v>569</v>
      </c>
      <c r="K297">
        <v>820873</v>
      </c>
      <c r="L297" t="s">
        <v>438</v>
      </c>
      <c r="M297" t="s">
        <v>439</v>
      </c>
      <c r="N297" t="s">
        <v>57</v>
      </c>
      <c r="O297" s="1">
        <v>46049</v>
      </c>
      <c r="Q297" s="1">
        <v>46139</v>
      </c>
      <c r="R297" s="2">
        <v>7.09</v>
      </c>
      <c r="S297">
        <v>1</v>
      </c>
      <c r="T297" t="s">
        <v>58</v>
      </c>
      <c r="U297" t="s">
        <v>59</v>
      </c>
      <c r="V297" s="3">
        <v>0.38</v>
      </c>
      <c r="W297" s="2">
        <v>0</v>
      </c>
      <c r="X297">
        <v>0</v>
      </c>
      <c r="Y297" t="s">
        <v>60</v>
      </c>
      <c r="Z297" t="s">
        <v>262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2.69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 x14ac:dyDescent="0.3">
      <c r="A298" s="1">
        <v>46104</v>
      </c>
      <c r="B298" t="s">
        <v>48</v>
      </c>
      <c r="C298">
        <v>649163</v>
      </c>
      <c r="D298">
        <v>2033328485</v>
      </c>
      <c r="E298" t="s">
        <v>467</v>
      </c>
      <c r="F298" t="s">
        <v>468</v>
      </c>
      <c r="G298" t="s">
        <v>51</v>
      </c>
      <c r="H298" t="s">
        <v>64</v>
      </c>
      <c r="I298" t="s">
        <v>220</v>
      </c>
      <c r="J298" t="s">
        <v>569</v>
      </c>
      <c r="K298">
        <v>768887</v>
      </c>
      <c r="L298" t="s">
        <v>153</v>
      </c>
      <c r="M298" t="s">
        <v>154</v>
      </c>
      <c r="N298" t="s">
        <v>57</v>
      </c>
      <c r="O298" s="1">
        <v>46049</v>
      </c>
      <c r="Q298" s="1">
        <v>46139</v>
      </c>
      <c r="R298" s="2">
        <v>7.09</v>
      </c>
      <c r="S298">
        <v>1</v>
      </c>
      <c r="T298" t="s">
        <v>58</v>
      </c>
      <c r="U298" t="s">
        <v>59</v>
      </c>
      <c r="V298" s="3">
        <v>0.38</v>
      </c>
      <c r="W298" s="2">
        <v>0</v>
      </c>
      <c r="X298">
        <v>0</v>
      </c>
      <c r="Y298" t="s">
        <v>60</v>
      </c>
      <c r="Z298" t="s">
        <v>262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2.69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3">
      <c r="A299" s="1">
        <v>46104</v>
      </c>
      <c r="B299" t="s">
        <v>48</v>
      </c>
      <c r="C299">
        <v>649163</v>
      </c>
      <c r="D299">
        <v>2033328486</v>
      </c>
      <c r="E299" t="s">
        <v>467</v>
      </c>
      <c r="F299" t="s">
        <v>468</v>
      </c>
      <c r="G299" t="s">
        <v>51</v>
      </c>
      <c r="H299" t="s">
        <v>64</v>
      </c>
      <c r="I299" t="s">
        <v>220</v>
      </c>
      <c r="J299" t="s">
        <v>568</v>
      </c>
      <c r="K299">
        <v>768887</v>
      </c>
      <c r="L299" t="s">
        <v>153</v>
      </c>
      <c r="M299" t="s">
        <v>154</v>
      </c>
      <c r="N299" t="s">
        <v>57</v>
      </c>
      <c r="O299" s="1">
        <v>46049</v>
      </c>
      <c r="Q299" s="1">
        <v>46139</v>
      </c>
      <c r="R299" s="2">
        <v>230.74</v>
      </c>
      <c r="S299">
        <v>1</v>
      </c>
      <c r="T299" t="s">
        <v>58</v>
      </c>
      <c r="U299" t="s">
        <v>59</v>
      </c>
      <c r="V299" s="3">
        <v>0.38</v>
      </c>
      <c r="W299" s="2">
        <v>0</v>
      </c>
      <c r="X299">
        <v>0</v>
      </c>
      <c r="Y299" t="s">
        <v>60</v>
      </c>
      <c r="Z299" t="s">
        <v>262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87.68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</row>
    <row r="300" spans="1:43" x14ac:dyDescent="0.3">
      <c r="A300" s="1">
        <v>46104</v>
      </c>
      <c r="B300" t="s">
        <v>48</v>
      </c>
      <c r="C300">
        <v>649163</v>
      </c>
      <c r="D300">
        <v>2033754844</v>
      </c>
      <c r="E300" t="s">
        <v>469</v>
      </c>
      <c r="F300" t="s">
        <v>470</v>
      </c>
      <c r="G300" t="s">
        <v>51</v>
      </c>
      <c r="H300" t="s">
        <v>64</v>
      </c>
      <c r="I300" t="s">
        <v>220</v>
      </c>
      <c r="J300" t="s">
        <v>568</v>
      </c>
      <c r="K300">
        <v>820873</v>
      </c>
      <c r="L300" t="s">
        <v>438</v>
      </c>
      <c r="M300" t="s">
        <v>439</v>
      </c>
      <c r="N300" t="s">
        <v>57</v>
      </c>
      <c r="O300" s="1">
        <v>46073</v>
      </c>
      <c r="Q300" s="1">
        <v>46132</v>
      </c>
      <c r="R300" s="2">
        <v>131.32</v>
      </c>
      <c r="S300">
        <v>1</v>
      </c>
      <c r="T300" t="s">
        <v>58</v>
      </c>
      <c r="U300" t="s">
        <v>59</v>
      </c>
      <c r="V300" s="3">
        <v>0.38</v>
      </c>
      <c r="W300" s="2">
        <v>0</v>
      </c>
      <c r="X300">
        <v>0</v>
      </c>
      <c r="Y300" t="s">
        <v>60</v>
      </c>
      <c r="Z300" t="s">
        <v>262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49.9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</row>
    <row r="301" spans="1:43" x14ac:dyDescent="0.3">
      <c r="A301" s="1">
        <v>46104</v>
      </c>
      <c r="B301" t="s">
        <v>48</v>
      </c>
      <c r="C301">
        <v>649163</v>
      </c>
      <c r="D301">
        <v>2033773907</v>
      </c>
      <c r="E301" t="s">
        <v>472</v>
      </c>
      <c r="F301" t="s">
        <v>173</v>
      </c>
      <c r="G301" t="s">
        <v>51</v>
      </c>
      <c r="H301" t="s">
        <v>375</v>
      </c>
      <c r="I301" t="s">
        <v>220</v>
      </c>
      <c r="J301" t="s">
        <v>568</v>
      </c>
      <c r="K301">
        <v>856163</v>
      </c>
      <c r="L301" t="s">
        <v>67</v>
      </c>
      <c r="M301" t="s">
        <v>473</v>
      </c>
      <c r="N301" t="s">
        <v>57</v>
      </c>
      <c r="O301" s="1">
        <v>46076</v>
      </c>
      <c r="Q301" s="1">
        <v>46135</v>
      </c>
      <c r="R301" s="2">
        <v>241.74</v>
      </c>
      <c r="S301">
        <v>1</v>
      </c>
      <c r="T301" t="s">
        <v>58</v>
      </c>
      <c r="U301" t="s">
        <v>59</v>
      </c>
      <c r="V301" s="3">
        <v>0.38</v>
      </c>
      <c r="W301" s="2">
        <v>0</v>
      </c>
      <c r="X301">
        <v>0</v>
      </c>
      <c r="Y301" t="s">
        <v>60</v>
      </c>
      <c r="Z301" t="s">
        <v>262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91.86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3">
      <c r="A302" s="1">
        <v>46104</v>
      </c>
      <c r="B302" t="s">
        <v>48</v>
      </c>
      <c r="C302">
        <v>649163</v>
      </c>
      <c r="D302">
        <v>2033835425</v>
      </c>
      <c r="E302" t="s">
        <v>173</v>
      </c>
      <c r="F302" t="s">
        <v>291</v>
      </c>
      <c r="G302" t="s">
        <v>51</v>
      </c>
      <c r="H302" t="s">
        <v>100</v>
      </c>
      <c r="I302" t="s">
        <v>220</v>
      </c>
      <c r="J302" t="s">
        <v>221</v>
      </c>
      <c r="K302">
        <v>751867</v>
      </c>
      <c r="L302" t="s">
        <v>292</v>
      </c>
      <c r="M302" t="s">
        <v>293</v>
      </c>
      <c r="N302" t="s">
        <v>57</v>
      </c>
      <c r="O302" s="1">
        <v>46077</v>
      </c>
      <c r="Q302" s="1">
        <v>46136</v>
      </c>
      <c r="R302" s="2">
        <v>20.76</v>
      </c>
      <c r="S302">
        <v>1</v>
      </c>
      <c r="T302" t="s">
        <v>58</v>
      </c>
      <c r="U302" t="s">
        <v>59</v>
      </c>
      <c r="V302" s="3">
        <v>0.38</v>
      </c>
      <c r="W302" s="2">
        <v>0</v>
      </c>
      <c r="X302">
        <v>0</v>
      </c>
      <c r="Y302" t="s">
        <v>60</v>
      </c>
      <c r="Z302" t="s">
        <v>262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7.89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</row>
    <row r="303" spans="1:43" x14ac:dyDescent="0.3">
      <c r="A303" s="1">
        <v>46104</v>
      </c>
      <c r="B303" t="s">
        <v>48</v>
      </c>
      <c r="C303">
        <v>649163</v>
      </c>
      <c r="D303">
        <v>2032125777</v>
      </c>
      <c r="E303" t="s">
        <v>574</v>
      </c>
      <c r="F303" t="s">
        <v>575</v>
      </c>
      <c r="G303" t="s">
        <v>51</v>
      </c>
      <c r="H303" t="s">
        <v>139</v>
      </c>
      <c r="I303" t="s">
        <v>576</v>
      </c>
      <c r="J303" t="s">
        <v>577</v>
      </c>
      <c r="K303">
        <v>669316</v>
      </c>
      <c r="L303" t="s">
        <v>578</v>
      </c>
      <c r="M303" t="s">
        <v>579</v>
      </c>
      <c r="N303" t="s">
        <v>57</v>
      </c>
      <c r="O303" s="1">
        <v>45977</v>
      </c>
      <c r="Q303" s="1">
        <v>46128</v>
      </c>
      <c r="R303" s="2">
        <v>80.73</v>
      </c>
      <c r="S303">
        <v>1</v>
      </c>
      <c r="T303" t="s">
        <v>58</v>
      </c>
      <c r="U303" t="s">
        <v>59</v>
      </c>
      <c r="V303" s="3">
        <v>1.3</v>
      </c>
      <c r="W303" s="2">
        <v>0</v>
      </c>
      <c r="X303">
        <v>0</v>
      </c>
      <c r="Y303" t="s">
        <v>60</v>
      </c>
      <c r="Z303" t="s">
        <v>262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104.95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3">
      <c r="A304" s="1">
        <v>46104</v>
      </c>
      <c r="B304" t="s">
        <v>48</v>
      </c>
      <c r="C304">
        <v>649163</v>
      </c>
      <c r="D304">
        <v>2027922860</v>
      </c>
      <c r="E304" t="s">
        <v>580</v>
      </c>
      <c r="F304" t="s">
        <v>581</v>
      </c>
      <c r="G304" t="s">
        <v>51</v>
      </c>
      <c r="H304" t="s">
        <v>64</v>
      </c>
      <c r="I304" t="s">
        <v>582</v>
      </c>
      <c r="J304" t="s">
        <v>583</v>
      </c>
      <c r="K304">
        <v>768887</v>
      </c>
      <c r="L304" t="s">
        <v>153</v>
      </c>
      <c r="M304" t="s">
        <v>154</v>
      </c>
      <c r="N304" t="s">
        <v>271</v>
      </c>
      <c r="O304" s="1">
        <v>45748</v>
      </c>
      <c r="P304" s="1">
        <v>46104</v>
      </c>
      <c r="Q304" s="1">
        <v>46113</v>
      </c>
      <c r="R304" s="2">
        <v>-139.18</v>
      </c>
      <c r="S304">
        <v>1</v>
      </c>
      <c r="T304" t="s">
        <v>58</v>
      </c>
      <c r="U304" t="s">
        <v>260</v>
      </c>
      <c r="V304" s="3">
        <v>0.26</v>
      </c>
      <c r="W304" s="2">
        <v>0</v>
      </c>
      <c r="X304">
        <v>-1</v>
      </c>
      <c r="Y304" t="s">
        <v>60</v>
      </c>
      <c r="Z304" t="s">
        <v>262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-36.19</v>
      </c>
      <c r="AN304" s="2">
        <v>-36.19</v>
      </c>
      <c r="AO304" s="2">
        <v>0</v>
      </c>
      <c r="AP304" s="2">
        <v>0</v>
      </c>
      <c r="AQ304" s="2">
        <v>0</v>
      </c>
    </row>
    <row r="305" spans="1:43" x14ac:dyDescent="0.3">
      <c r="A305" s="1">
        <v>46104</v>
      </c>
      <c r="B305" t="s">
        <v>48</v>
      </c>
      <c r="C305">
        <v>649163</v>
      </c>
      <c r="D305">
        <v>2016328596</v>
      </c>
      <c r="E305" t="s">
        <v>294</v>
      </c>
      <c r="F305" t="s">
        <v>295</v>
      </c>
      <c r="G305" t="s">
        <v>51</v>
      </c>
      <c r="H305" t="s">
        <v>205</v>
      </c>
      <c r="I305" t="s">
        <v>222</v>
      </c>
      <c r="J305" t="s">
        <v>224</v>
      </c>
      <c r="K305">
        <v>651818</v>
      </c>
      <c r="L305" t="s">
        <v>96</v>
      </c>
      <c r="M305" t="s">
        <v>97</v>
      </c>
      <c r="N305" t="s">
        <v>57</v>
      </c>
      <c r="O305" s="1">
        <v>44829</v>
      </c>
      <c r="Q305" s="1">
        <v>46137</v>
      </c>
      <c r="R305" s="2">
        <v>32.42</v>
      </c>
      <c r="S305">
        <v>1</v>
      </c>
      <c r="T305" t="s">
        <v>58</v>
      </c>
      <c r="U305" t="s">
        <v>260</v>
      </c>
      <c r="V305" s="3">
        <v>0.1</v>
      </c>
      <c r="W305" s="2">
        <v>0</v>
      </c>
      <c r="X305">
        <v>0</v>
      </c>
      <c r="Y305" t="s">
        <v>261</v>
      </c>
      <c r="Z305" t="s">
        <v>262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3.24</v>
      </c>
      <c r="AN305" s="2">
        <v>3.24</v>
      </c>
      <c r="AO305" s="2">
        <v>0</v>
      </c>
      <c r="AP305" s="2">
        <v>0</v>
      </c>
      <c r="AQ305" s="2">
        <v>0</v>
      </c>
    </row>
    <row r="306" spans="1:43" x14ac:dyDescent="0.3">
      <c r="A306" s="1">
        <v>46104</v>
      </c>
      <c r="B306" t="s">
        <v>48</v>
      </c>
      <c r="C306">
        <v>649163</v>
      </c>
      <c r="D306">
        <v>2016875098</v>
      </c>
      <c r="E306" t="s">
        <v>584</v>
      </c>
      <c r="F306" t="s">
        <v>585</v>
      </c>
      <c r="G306" t="s">
        <v>51</v>
      </c>
      <c r="H306" t="s">
        <v>586</v>
      </c>
      <c r="I306" t="s">
        <v>222</v>
      </c>
      <c r="J306" t="s">
        <v>228</v>
      </c>
      <c r="K306">
        <v>652037</v>
      </c>
      <c r="L306" t="s">
        <v>132</v>
      </c>
      <c r="M306" t="s">
        <v>133</v>
      </c>
      <c r="N306" t="s">
        <v>57</v>
      </c>
      <c r="O306" s="1">
        <v>44887</v>
      </c>
      <c r="Q306" s="1">
        <v>46134</v>
      </c>
      <c r="R306" s="2">
        <v>93.84</v>
      </c>
      <c r="S306">
        <v>1</v>
      </c>
      <c r="T306" t="s">
        <v>58</v>
      </c>
      <c r="U306" t="s">
        <v>260</v>
      </c>
      <c r="V306" s="3">
        <v>0.09</v>
      </c>
      <c r="W306" s="2">
        <v>0</v>
      </c>
      <c r="X306">
        <v>0</v>
      </c>
      <c r="Y306" t="s">
        <v>261</v>
      </c>
      <c r="Z306" t="s">
        <v>262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8.4499999999999993</v>
      </c>
      <c r="AN306" s="2">
        <v>8.4499999999999993</v>
      </c>
      <c r="AO306" s="2">
        <v>0</v>
      </c>
      <c r="AP306" s="2">
        <v>0</v>
      </c>
      <c r="AQ306" s="2">
        <v>0</v>
      </c>
    </row>
    <row r="307" spans="1:43" x14ac:dyDescent="0.3">
      <c r="A307" s="1">
        <v>46104</v>
      </c>
      <c r="B307" t="s">
        <v>48</v>
      </c>
      <c r="C307">
        <v>649163</v>
      </c>
      <c r="D307">
        <v>2017608417</v>
      </c>
      <c r="E307" t="s">
        <v>296</v>
      </c>
      <c r="F307" t="s">
        <v>587</v>
      </c>
      <c r="G307" t="s">
        <v>51</v>
      </c>
      <c r="H307" t="s">
        <v>302</v>
      </c>
      <c r="I307" t="s">
        <v>222</v>
      </c>
      <c r="J307" t="s">
        <v>224</v>
      </c>
      <c r="K307">
        <v>651818</v>
      </c>
      <c r="L307" t="s">
        <v>96</v>
      </c>
      <c r="M307" t="s">
        <v>97</v>
      </c>
      <c r="N307" t="s">
        <v>57</v>
      </c>
      <c r="O307" s="1">
        <v>44983</v>
      </c>
      <c r="Q307" s="1">
        <v>46138</v>
      </c>
      <c r="R307" s="2">
        <v>163.25</v>
      </c>
      <c r="S307">
        <v>1</v>
      </c>
      <c r="T307" t="s">
        <v>58</v>
      </c>
      <c r="U307" t="s">
        <v>260</v>
      </c>
      <c r="V307" s="3">
        <v>0.1</v>
      </c>
      <c r="W307" s="2">
        <v>0</v>
      </c>
      <c r="X307">
        <v>0</v>
      </c>
      <c r="Y307" t="s">
        <v>261</v>
      </c>
      <c r="Z307" t="s">
        <v>262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16.32</v>
      </c>
      <c r="AN307" s="2">
        <v>16.32</v>
      </c>
      <c r="AO307" s="2">
        <v>0</v>
      </c>
      <c r="AP307" s="2">
        <v>0</v>
      </c>
      <c r="AQ307" s="2">
        <v>0</v>
      </c>
    </row>
    <row r="308" spans="1:43" x14ac:dyDescent="0.3">
      <c r="A308" s="1">
        <v>46104</v>
      </c>
      <c r="B308" t="s">
        <v>48</v>
      </c>
      <c r="C308">
        <v>649163</v>
      </c>
      <c r="D308">
        <v>2018107017</v>
      </c>
      <c r="E308" t="s">
        <v>588</v>
      </c>
      <c r="F308" t="s">
        <v>589</v>
      </c>
      <c r="G308" t="s">
        <v>51</v>
      </c>
      <c r="H308" t="s">
        <v>122</v>
      </c>
      <c r="I308" t="s">
        <v>222</v>
      </c>
      <c r="J308" t="s">
        <v>223</v>
      </c>
      <c r="K308">
        <v>673059</v>
      </c>
      <c r="L308" t="s">
        <v>76</v>
      </c>
      <c r="M308" t="s">
        <v>77</v>
      </c>
      <c r="N308" t="s">
        <v>57</v>
      </c>
      <c r="O308" s="1">
        <v>45012</v>
      </c>
      <c r="Q308" s="1">
        <v>46139</v>
      </c>
      <c r="R308" s="2">
        <v>35.369999999999997</v>
      </c>
      <c r="S308">
        <v>1</v>
      </c>
      <c r="T308" t="s">
        <v>58</v>
      </c>
      <c r="U308" t="s">
        <v>260</v>
      </c>
      <c r="V308" s="3">
        <v>0.15</v>
      </c>
      <c r="W308" s="2">
        <v>0</v>
      </c>
      <c r="X308">
        <v>0</v>
      </c>
      <c r="Y308" t="s">
        <v>261</v>
      </c>
      <c r="Z308" t="s">
        <v>262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5.31</v>
      </c>
      <c r="AN308" s="2">
        <v>5.31</v>
      </c>
      <c r="AO308" s="2">
        <v>0</v>
      </c>
      <c r="AP308" s="2">
        <v>0</v>
      </c>
      <c r="AQ308" s="2">
        <v>0</v>
      </c>
    </row>
    <row r="309" spans="1:43" x14ac:dyDescent="0.3">
      <c r="A309" s="1">
        <v>46104</v>
      </c>
      <c r="B309" t="s">
        <v>48</v>
      </c>
      <c r="C309">
        <v>649163</v>
      </c>
      <c r="D309">
        <v>2019665208</v>
      </c>
      <c r="E309" t="s">
        <v>479</v>
      </c>
      <c r="F309" t="s">
        <v>480</v>
      </c>
      <c r="G309" t="s">
        <v>51</v>
      </c>
      <c r="H309" t="s">
        <v>324</v>
      </c>
      <c r="I309" t="s">
        <v>222</v>
      </c>
      <c r="J309" t="s">
        <v>590</v>
      </c>
      <c r="K309">
        <v>673059</v>
      </c>
      <c r="L309" t="s">
        <v>76</v>
      </c>
      <c r="M309" t="s">
        <v>77</v>
      </c>
      <c r="N309" t="s">
        <v>57</v>
      </c>
      <c r="O309" s="1">
        <v>45192</v>
      </c>
      <c r="Q309" s="1">
        <v>46135</v>
      </c>
      <c r="R309" s="2">
        <v>8.3699999999999992</v>
      </c>
      <c r="S309">
        <v>1</v>
      </c>
      <c r="T309" t="s">
        <v>58</v>
      </c>
      <c r="U309" t="s">
        <v>260</v>
      </c>
      <c r="V309" s="3">
        <v>0.15</v>
      </c>
      <c r="W309" s="2">
        <v>0</v>
      </c>
      <c r="X309">
        <v>0</v>
      </c>
      <c r="Y309" t="s">
        <v>261</v>
      </c>
      <c r="Z309" t="s">
        <v>262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1.26</v>
      </c>
      <c r="AN309" s="2">
        <v>1.26</v>
      </c>
      <c r="AO309" s="2">
        <v>0</v>
      </c>
      <c r="AP309" s="2">
        <v>0</v>
      </c>
      <c r="AQ309" s="2">
        <v>0</v>
      </c>
    </row>
    <row r="310" spans="1:43" x14ac:dyDescent="0.3">
      <c r="A310" s="1">
        <v>46104</v>
      </c>
      <c r="B310" t="s">
        <v>48</v>
      </c>
      <c r="C310">
        <v>649163</v>
      </c>
      <c r="D310">
        <v>2019665209</v>
      </c>
      <c r="E310" t="s">
        <v>479</v>
      </c>
      <c r="F310" t="s">
        <v>480</v>
      </c>
      <c r="G310" t="s">
        <v>51</v>
      </c>
      <c r="H310" t="s">
        <v>324</v>
      </c>
      <c r="I310" t="s">
        <v>222</v>
      </c>
      <c r="J310" t="s">
        <v>223</v>
      </c>
      <c r="K310">
        <v>673059</v>
      </c>
      <c r="L310" t="s">
        <v>76</v>
      </c>
      <c r="M310" t="s">
        <v>77</v>
      </c>
      <c r="N310" t="s">
        <v>57</v>
      </c>
      <c r="O310" s="1">
        <v>45192</v>
      </c>
      <c r="Q310" s="1">
        <v>46135</v>
      </c>
      <c r="R310" s="2">
        <v>62.38</v>
      </c>
      <c r="S310">
        <v>1</v>
      </c>
      <c r="T310" t="s">
        <v>58</v>
      </c>
      <c r="U310" t="s">
        <v>260</v>
      </c>
      <c r="V310" s="3">
        <v>0.15</v>
      </c>
      <c r="W310" s="2">
        <v>0</v>
      </c>
      <c r="X310">
        <v>0</v>
      </c>
      <c r="Y310" t="s">
        <v>261</v>
      </c>
      <c r="Z310" t="s">
        <v>262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9.36</v>
      </c>
      <c r="AN310" s="2">
        <v>9.36</v>
      </c>
      <c r="AO310" s="2">
        <v>0</v>
      </c>
      <c r="AP310" s="2">
        <v>0</v>
      </c>
      <c r="AQ310" s="2">
        <v>0</v>
      </c>
    </row>
    <row r="311" spans="1:43" x14ac:dyDescent="0.3">
      <c r="A311" s="1">
        <v>46104</v>
      </c>
      <c r="B311" t="s">
        <v>48</v>
      </c>
      <c r="C311">
        <v>649163</v>
      </c>
      <c r="D311">
        <v>2021939084</v>
      </c>
      <c r="E311" t="s">
        <v>591</v>
      </c>
      <c r="F311" t="s">
        <v>592</v>
      </c>
      <c r="G311" t="s">
        <v>51</v>
      </c>
      <c r="H311" t="s">
        <v>324</v>
      </c>
      <c r="I311" t="s">
        <v>222</v>
      </c>
      <c r="J311" t="s">
        <v>590</v>
      </c>
      <c r="K311">
        <v>673059</v>
      </c>
      <c r="L311" t="s">
        <v>76</v>
      </c>
      <c r="M311" t="s">
        <v>77</v>
      </c>
      <c r="N311" t="s">
        <v>57</v>
      </c>
      <c r="O311" s="1">
        <v>45346</v>
      </c>
      <c r="Q311" s="1">
        <v>46136</v>
      </c>
      <c r="R311" s="2">
        <v>8.3699999999999992</v>
      </c>
      <c r="S311">
        <v>1</v>
      </c>
      <c r="T311" t="s">
        <v>58</v>
      </c>
      <c r="U311" t="s">
        <v>260</v>
      </c>
      <c r="V311" s="3">
        <v>0.15</v>
      </c>
      <c r="W311" s="2">
        <v>0</v>
      </c>
      <c r="X311">
        <v>0</v>
      </c>
      <c r="Y311" t="s">
        <v>261</v>
      </c>
      <c r="Z311" t="s">
        <v>262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1.26</v>
      </c>
      <c r="AN311" s="2">
        <v>1.26</v>
      </c>
      <c r="AO311" s="2">
        <v>0</v>
      </c>
      <c r="AP311" s="2">
        <v>0</v>
      </c>
      <c r="AQ311" s="2">
        <v>0</v>
      </c>
    </row>
    <row r="312" spans="1:43" x14ac:dyDescent="0.3">
      <c r="A312" s="1">
        <v>46104</v>
      </c>
      <c r="B312" t="s">
        <v>48</v>
      </c>
      <c r="C312">
        <v>649163</v>
      </c>
      <c r="D312">
        <v>2022085303</v>
      </c>
      <c r="E312" t="s">
        <v>593</v>
      </c>
      <c r="F312" t="s">
        <v>594</v>
      </c>
      <c r="G312" t="s">
        <v>51</v>
      </c>
      <c r="H312" t="s">
        <v>191</v>
      </c>
      <c r="I312" t="s">
        <v>222</v>
      </c>
      <c r="J312" t="s">
        <v>223</v>
      </c>
      <c r="K312">
        <v>673059</v>
      </c>
      <c r="L312" t="s">
        <v>76</v>
      </c>
      <c r="M312" t="s">
        <v>77</v>
      </c>
      <c r="N312" t="s">
        <v>57</v>
      </c>
      <c r="O312" s="1">
        <v>45374</v>
      </c>
      <c r="Q312" s="1">
        <v>46135</v>
      </c>
      <c r="R312" s="2">
        <v>159</v>
      </c>
      <c r="S312">
        <v>1</v>
      </c>
      <c r="T312" t="s">
        <v>58</v>
      </c>
      <c r="U312" t="s">
        <v>260</v>
      </c>
      <c r="V312" s="3">
        <v>0.15</v>
      </c>
      <c r="W312" s="2">
        <v>0</v>
      </c>
      <c r="X312">
        <v>0</v>
      </c>
      <c r="Y312" t="s">
        <v>261</v>
      </c>
      <c r="Z312" t="s">
        <v>262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23.85</v>
      </c>
      <c r="AN312" s="2">
        <v>23.85</v>
      </c>
      <c r="AO312" s="2">
        <v>0</v>
      </c>
      <c r="AP312" s="2">
        <v>0</v>
      </c>
      <c r="AQ312" s="2">
        <v>0</v>
      </c>
    </row>
    <row r="313" spans="1:43" x14ac:dyDescent="0.3">
      <c r="A313" s="1">
        <v>46104</v>
      </c>
      <c r="B313" t="s">
        <v>48</v>
      </c>
      <c r="C313">
        <v>649163</v>
      </c>
      <c r="D313">
        <v>2022148752</v>
      </c>
      <c r="E313" t="s">
        <v>595</v>
      </c>
      <c r="F313" t="s">
        <v>596</v>
      </c>
      <c r="G313" t="s">
        <v>51</v>
      </c>
      <c r="H313" t="s">
        <v>597</v>
      </c>
      <c r="I313" t="s">
        <v>222</v>
      </c>
      <c r="J313" t="s">
        <v>224</v>
      </c>
      <c r="K313">
        <v>651818</v>
      </c>
      <c r="L313" t="s">
        <v>96</v>
      </c>
      <c r="M313" t="s">
        <v>97</v>
      </c>
      <c r="N313" t="s">
        <v>57</v>
      </c>
      <c r="O313" s="1">
        <v>45377</v>
      </c>
      <c r="Q313" s="1">
        <v>46138</v>
      </c>
      <c r="R313" s="2">
        <v>51.31</v>
      </c>
      <c r="S313">
        <v>1</v>
      </c>
      <c r="T313" t="s">
        <v>58</v>
      </c>
      <c r="U313" t="s">
        <v>260</v>
      </c>
      <c r="V313" s="3">
        <v>0.1</v>
      </c>
      <c r="W313" s="2">
        <v>0</v>
      </c>
      <c r="X313">
        <v>0</v>
      </c>
      <c r="Y313" t="s">
        <v>261</v>
      </c>
      <c r="Z313" t="s">
        <v>262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5.13</v>
      </c>
      <c r="AN313" s="2">
        <v>5.13</v>
      </c>
      <c r="AO313" s="2">
        <v>0</v>
      </c>
      <c r="AP313" s="2">
        <v>0</v>
      </c>
      <c r="AQ313" s="2">
        <v>0</v>
      </c>
    </row>
    <row r="314" spans="1:43" x14ac:dyDescent="0.3">
      <c r="A314" s="1">
        <v>46104</v>
      </c>
      <c r="B314" t="s">
        <v>48</v>
      </c>
      <c r="C314">
        <v>649163</v>
      </c>
      <c r="D314">
        <v>2022373049</v>
      </c>
      <c r="E314" t="s">
        <v>313</v>
      </c>
      <c r="F314" t="s">
        <v>598</v>
      </c>
      <c r="G314" t="s">
        <v>51</v>
      </c>
      <c r="H314" t="s">
        <v>86</v>
      </c>
      <c r="I314" t="s">
        <v>222</v>
      </c>
      <c r="J314" t="s">
        <v>223</v>
      </c>
      <c r="K314">
        <v>673059</v>
      </c>
      <c r="L314" t="s">
        <v>76</v>
      </c>
      <c r="M314" t="s">
        <v>77</v>
      </c>
      <c r="N314" t="s">
        <v>57</v>
      </c>
      <c r="O314" s="1">
        <v>45372</v>
      </c>
      <c r="Q314" s="1">
        <v>46133</v>
      </c>
      <c r="R314" s="2">
        <v>57.27</v>
      </c>
      <c r="S314">
        <v>1</v>
      </c>
      <c r="T314" t="s">
        <v>58</v>
      </c>
      <c r="U314" t="s">
        <v>260</v>
      </c>
      <c r="V314" s="3">
        <v>0.15</v>
      </c>
      <c r="W314" s="2">
        <v>0</v>
      </c>
      <c r="X314">
        <v>0</v>
      </c>
      <c r="Y314" t="s">
        <v>261</v>
      </c>
      <c r="Z314" t="s">
        <v>262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8.59</v>
      </c>
      <c r="AN314" s="2">
        <v>8.59</v>
      </c>
      <c r="AO314" s="2">
        <v>0</v>
      </c>
      <c r="AP314" s="2">
        <v>0</v>
      </c>
      <c r="AQ314" s="2">
        <v>0</v>
      </c>
    </row>
    <row r="315" spans="1:43" x14ac:dyDescent="0.3">
      <c r="A315" s="1">
        <v>46104</v>
      </c>
      <c r="B315" t="s">
        <v>48</v>
      </c>
      <c r="C315">
        <v>649163</v>
      </c>
      <c r="D315">
        <v>2023233681</v>
      </c>
      <c r="E315" t="s">
        <v>493</v>
      </c>
      <c r="F315" t="s">
        <v>494</v>
      </c>
      <c r="G315" t="s">
        <v>51</v>
      </c>
      <c r="H315" t="s">
        <v>64</v>
      </c>
      <c r="I315" t="s">
        <v>222</v>
      </c>
      <c r="J315" t="s">
        <v>223</v>
      </c>
      <c r="K315">
        <v>757719</v>
      </c>
      <c r="L315" t="s">
        <v>495</v>
      </c>
      <c r="M315" t="s">
        <v>496</v>
      </c>
      <c r="N315" t="s">
        <v>57</v>
      </c>
      <c r="O315" s="1">
        <v>45436</v>
      </c>
      <c r="Q315" s="1">
        <v>46136</v>
      </c>
      <c r="R315" s="2">
        <v>47.71</v>
      </c>
      <c r="S315">
        <v>1</v>
      </c>
      <c r="T315" t="s">
        <v>58</v>
      </c>
      <c r="U315" t="s">
        <v>260</v>
      </c>
      <c r="V315" s="3">
        <v>0.15</v>
      </c>
      <c r="W315" s="2">
        <v>0</v>
      </c>
      <c r="X315">
        <v>0</v>
      </c>
      <c r="Y315" t="s">
        <v>261</v>
      </c>
      <c r="Z315" t="s">
        <v>262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7.16</v>
      </c>
      <c r="AN315" s="2">
        <v>7.16</v>
      </c>
      <c r="AO315" s="2">
        <v>0</v>
      </c>
      <c r="AP315" s="2">
        <v>0</v>
      </c>
      <c r="AQ315" s="2">
        <v>0</v>
      </c>
    </row>
    <row r="316" spans="1:43" x14ac:dyDescent="0.3">
      <c r="A316" s="1">
        <v>46104</v>
      </c>
      <c r="B316" t="s">
        <v>48</v>
      </c>
      <c r="C316">
        <v>649163</v>
      </c>
      <c r="D316">
        <v>2024487768</v>
      </c>
      <c r="E316" t="s">
        <v>599</v>
      </c>
      <c r="F316" t="s">
        <v>600</v>
      </c>
      <c r="G316" t="s">
        <v>51</v>
      </c>
      <c r="H316" t="s">
        <v>64</v>
      </c>
      <c r="I316" t="s">
        <v>222</v>
      </c>
      <c r="J316" t="s">
        <v>223</v>
      </c>
      <c r="K316">
        <v>757039</v>
      </c>
      <c r="L316" t="s">
        <v>599</v>
      </c>
      <c r="M316" t="s">
        <v>295</v>
      </c>
      <c r="N316" t="s">
        <v>57</v>
      </c>
      <c r="O316" s="1">
        <v>45526</v>
      </c>
      <c r="Q316" s="1">
        <v>46134</v>
      </c>
      <c r="R316" s="2">
        <v>49.8</v>
      </c>
      <c r="S316">
        <v>1</v>
      </c>
      <c r="T316" t="s">
        <v>58</v>
      </c>
      <c r="U316" t="s">
        <v>260</v>
      </c>
      <c r="V316" s="3">
        <v>0.15</v>
      </c>
      <c r="W316" s="2">
        <v>0</v>
      </c>
      <c r="X316">
        <v>0</v>
      </c>
      <c r="Y316" t="s">
        <v>261</v>
      </c>
      <c r="Z316" t="s">
        <v>262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7.47</v>
      </c>
      <c r="AN316" s="2">
        <v>7.47</v>
      </c>
      <c r="AO316" s="2">
        <v>0</v>
      </c>
      <c r="AP316" s="2">
        <v>0</v>
      </c>
      <c r="AQ316" s="2">
        <v>0</v>
      </c>
    </row>
    <row r="317" spans="1:43" x14ac:dyDescent="0.3">
      <c r="A317" s="1">
        <v>46104</v>
      </c>
      <c r="B317" t="s">
        <v>48</v>
      </c>
      <c r="C317">
        <v>649163</v>
      </c>
      <c r="D317">
        <v>2025022512</v>
      </c>
      <c r="E317" t="s">
        <v>153</v>
      </c>
      <c r="F317" t="s">
        <v>154</v>
      </c>
      <c r="G317" t="s">
        <v>51</v>
      </c>
      <c r="H317" t="s">
        <v>64</v>
      </c>
      <c r="I317" t="s">
        <v>222</v>
      </c>
      <c r="J317" t="s">
        <v>223</v>
      </c>
      <c r="K317">
        <v>768887</v>
      </c>
      <c r="L317" t="s">
        <v>153</v>
      </c>
      <c r="M317" t="s">
        <v>154</v>
      </c>
      <c r="N317" t="s">
        <v>57</v>
      </c>
      <c r="O317" s="1">
        <v>45561</v>
      </c>
      <c r="Q317" s="1">
        <v>46138</v>
      </c>
      <c r="R317" s="2">
        <v>122.22</v>
      </c>
      <c r="S317">
        <v>1</v>
      </c>
      <c r="T317" t="s">
        <v>58</v>
      </c>
      <c r="U317" t="s">
        <v>260</v>
      </c>
      <c r="V317" s="3">
        <v>0.15</v>
      </c>
      <c r="W317" s="2">
        <v>0</v>
      </c>
      <c r="X317">
        <v>0</v>
      </c>
      <c r="Y317" t="s">
        <v>261</v>
      </c>
      <c r="Z317" t="s">
        <v>262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18.329999999999998</v>
      </c>
      <c r="AN317" s="2">
        <v>18.329999999999998</v>
      </c>
      <c r="AO317" s="2">
        <v>0</v>
      </c>
      <c r="AP317" s="2">
        <v>0</v>
      </c>
      <c r="AQ317" s="2">
        <v>0</v>
      </c>
    </row>
    <row r="318" spans="1:43" x14ac:dyDescent="0.3">
      <c r="A318" s="1">
        <v>46104</v>
      </c>
      <c r="B318" t="s">
        <v>48</v>
      </c>
      <c r="C318">
        <v>649163</v>
      </c>
      <c r="D318">
        <v>2025233513</v>
      </c>
      <c r="E318" t="s">
        <v>298</v>
      </c>
      <c r="F318" t="s">
        <v>299</v>
      </c>
      <c r="G318" t="s">
        <v>51</v>
      </c>
      <c r="H318" t="s">
        <v>300</v>
      </c>
      <c r="I318" t="s">
        <v>222</v>
      </c>
      <c r="J318" t="s">
        <v>223</v>
      </c>
      <c r="K318">
        <v>767312</v>
      </c>
      <c r="L318" t="s">
        <v>185</v>
      </c>
      <c r="M318" t="s">
        <v>186</v>
      </c>
      <c r="N318" t="s">
        <v>271</v>
      </c>
      <c r="O318" s="1">
        <v>45586</v>
      </c>
      <c r="P318" s="1">
        <v>46104</v>
      </c>
      <c r="Q318" s="1">
        <v>46133</v>
      </c>
      <c r="R318" s="2">
        <v>28.73</v>
      </c>
      <c r="S318">
        <v>1</v>
      </c>
      <c r="T318" t="s">
        <v>58</v>
      </c>
      <c r="U318" t="s">
        <v>260</v>
      </c>
      <c r="V318" s="3">
        <v>0.15</v>
      </c>
      <c r="W318" s="2">
        <v>0</v>
      </c>
      <c r="X318">
        <v>0</v>
      </c>
      <c r="Y318" t="s">
        <v>261</v>
      </c>
      <c r="Z318" t="s">
        <v>262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4.3099999999999996</v>
      </c>
      <c r="AN318" s="2">
        <v>4.3099999999999996</v>
      </c>
      <c r="AO318" s="2">
        <v>0</v>
      </c>
      <c r="AP318" s="2">
        <v>0</v>
      </c>
      <c r="AQ318" s="2">
        <v>0</v>
      </c>
    </row>
    <row r="319" spans="1:43" x14ac:dyDescent="0.3">
      <c r="A319" s="1">
        <v>46104</v>
      </c>
      <c r="B319" t="s">
        <v>48</v>
      </c>
      <c r="C319">
        <v>649163</v>
      </c>
      <c r="D319">
        <v>2025418184</v>
      </c>
      <c r="E319" t="s">
        <v>601</v>
      </c>
      <c r="F319" t="s">
        <v>602</v>
      </c>
      <c r="G319" t="s">
        <v>51</v>
      </c>
      <c r="H319" t="s">
        <v>64</v>
      </c>
      <c r="I319" t="s">
        <v>222</v>
      </c>
      <c r="J319" t="s">
        <v>223</v>
      </c>
      <c r="K319">
        <v>807212</v>
      </c>
      <c r="L319" t="s">
        <v>246</v>
      </c>
      <c r="M319" t="s">
        <v>247</v>
      </c>
      <c r="N319" t="s">
        <v>57</v>
      </c>
      <c r="O319" s="1">
        <v>45587</v>
      </c>
      <c r="Q319" s="1">
        <v>46134</v>
      </c>
      <c r="R319" s="2">
        <v>11.5</v>
      </c>
      <c r="S319">
        <v>1</v>
      </c>
      <c r="T319" t="s">
        <v>58</v>
      </c>
      <c r="U319" t="s">
        <v>260</v>
      </c>
      <c r="V319" s="3">
        <v>0.15</v>
      </c>
      <c r="W319" s="2">
        <v>0</v>
      </c>
      <c r="X319">
        <v>0</v>
      </c>
      <c r="Y319" t="s">
        <v>261</v>
      </c>
      <c r="Z319" t="s">
        <v>262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1.72</v>
      </c>
      <c r="AN319" s="2">
        <v>1.72</v>
      </c>
      <c r="AO319" s="2">
        <v>0</v>
      </c>
      <c r="AP319" s="2">
        <v>0</v>
      </c>
      <c r="AQ319" s="2">
        <v>0</v>
      </c>
    </row>
    <row r="320" spans="1:43" x14ac:dyDescent="0.3">
      <c r="A320" s="1">
        <v>46104</v>
      </c>
      <c r="B320" t="s">
        <v>48</v>
      </c>
      <c r="C320">
        <v>649163</v>
      </c>
      <c r="D320">
        <v>2025432387</v>
      </c>
      <c r="E320" t="s">
        <v>603</v>
      </c>
      <c r="F320" t="s">
        <v>604</v>
      </c>
      <c r="G320" t="s">
        <v>51</v>
      </c>
      <c r="H320" t="s">
        <v>74</v>
      </c>
      <c r="I320" t="s">
        <v>222</v>
      </c>
      <c r="J320" t="s">
        <v>224</v>
      </c>
      <c r="K320">
        <v>767312</v>
      </c>
      <c r="L320" t="s">
        <v>185</v>
      </c>
      <c r="M320" t="s">
        <v>186</v>
      </c>
      <c r="N320" t="s">
        <v>57</v>
      </c>
      <c r="O320" s="1">
        <v>45588</v>
      </c>
      <c r="Q320" s="1">
        <v>46135</v>
      </c>
      <c r="R320" s="2">
        <v>31.17</v>
      </c>
      <c r="S320">
        <v>1</v>
      </c>
      <c r="T320" t="s">
        <v>58</v>
      </c>
      <c r="U320" t="s">
        <v>260</v>
      </c>
      <c r="V320" s="3">
        <v>0.1</v>
      </c>
      <c r="W320" s="2">
        <v>0</v>
      </c>
      <c r="X320">
        <v>0</v>
      </c>
      <c r="Y320" t="s">
        <v>261</v>
      </c>
      <c r="Z320" t="s">
        <v>262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3.12</v>
      </c>
      <c r="AN320" s="2">
        <v>3.12</v>
      </c>
      <c r="AO320" s="2">
        <v>0</v>
      </c>
      <c r="AP320" s="2">
        <v>0</v>
      </c>
      <c r="AQ320" s="2">
        <v>0</v>
      </c>
    </row>
    <row r="321" spans="1:43" x14ac:dyDescent="0.3">
      <c r="A321" s="1">
        <v>46104</v>
      </c>
      <c r="B321" t="s">
        <v>48</v>
      </c>
      <c r="C321">
        <v>649163</v>
      </c>
      <c r="D321">
        <v>2025895058</v>
      </c>
      <c r="E321" t="s">
        <v>605</v>
      </c>
      <c r="F321" t="s">
        <v>606</v>
      </c>
      <c r="G321" t="s">
        <v>51</v>
      </c>
      <c r="H321" t="s">
        <v>64</v>
      </c>
      <c r="I321" t="s">
        <v>222</v>
      </c>
      <c r="J321" t="s">
        <v>223</v>
      </c>
      <c r="K321">
        <v>807212</v>
      </c>
      <c r="L321" t="s">
        <v>246</v>
      </c>
      <c r="M321" t="s">
        <v>247</v>
      </c>
      <c r="N321" t="s">
        <v>57</v>
      </c>
      <c r="O321" s="1">
        <v>45619</v>
      </c>
      <c r="Q321" s="1">
        <v>46135</v>
      </c>
      <c r="R321" s="2">
        <v>49.92</v>
      </c>
      <c r="S321">
        <v>1</v>
      </c>
      <c r="T321" t="s">
        <v>58</v>
      </c>
      <c r="U321" t="s">
        <v>260</v>
      </c>
      <c r="V321" s="3">
        <v>0.15</v>
      </c>
      <c r="W321" s="2">
        <v>0</v>
      </c>
      <c r="X321">
        <v>0</v>
      </c>
      <c r="Y321" t="s">
        <v>261</v>
      </c>
      <c r="Z321" t="s">
        <v>262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7.49</v>
      </c>
      <c r="AN321" s="2">
        <v>7.49</v>
      </c>
      <c r="AO321" s="2">
        <v>0</v>
      </c>
      <c r="AP321" s="2">
        <v>0</v>
      </c>
      <c r="AQ321" s="2">
        <v>0</v>
      </c>
    </row>
    <row r="322" spans="1:43" x14ac:dyDescent="0.3">
      <c r="A322" s="1">
        <v>46104</v>
      </c>
      <c r="B322" t="s">
        <v>48</v>
      </c>
      <c r="C322">
        <v>649163</v>
      </c>
      <c r="D322">
        <v>2026084250</v>
      </c>
      <c r="E322" t="s">
        <v>607</v>
      </c>
      <c r="F322" t="s">
        <v>608</v>
      </c>
      <c r="G322" t="s">
        <v>51</v>
      </c>
      <c r="H322" t="s">
        <v>74</v>
      </c>
      <c r="I322" t="s">
        <v>222</v>
      </c>
      <c r="J322" t="s">
        <v>223</v>
      </c>
      <c r="K322">
        <v>753748</v>
      </c>
      <c r="L322" t="s">
        <v>146</v>
      </c>
      <c r="M322" t="s">
        <v>116</v>
      </c>
      <c r="N322" t="s">
        <v>271</v>
      </c>
      <c r="O322" s="1">
        <v>45658</v>
      </c>
      <c r="P322" s="1">
        <v>46104</v>
      </c>
      <c r="Q322" s="1">
        <v>46113</v>
      </c>
      <c r="R322" s="2">
        <v>-178.32</v>
      </c>
      <c r="S322">
        <v>1</v>
      </c>
      <c r="T322" t="s">
        <v>58</v>
      </c>
      <c r="U322" t="s">
        <v>260</v>
      </c>
      <c r="V322" s="3">
        <v>0.15</v>
      </c>
      <c r="W322" s="2">
        <v>0</v>
      </c>
      <c r="X322">
        <v>-1</v>
      </c>
      <c r="Y322" t="s">
        <v>261</v>
      </c>
      <c r="Z322" t="s">
        <v>262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-26.75</v>
      </c>
      <c r="AN322" s="2">
        <v>-26.75</v>
      </c>
      <c r="AO322" s="2">
        <v>0</v>
      </c>
      <c r="AP322" s="2">
        <v>0</v>
      </c>
      <c r="AQ322" s="2">
        <v>0</v>
      </c>
    </row>
    <row r="323" spans="1:43" x14ac:dyDescent="0.3">
      <c r="A323" s="1">
        <v>46104</v>
      </c>
      <c r="B323" t="s">
        <v>48</v>
      </c>
      <c r="C323">
        <v>649163</v>
      </c>
      <c r="D323">
        <v>2026262565</v>
      </c>
      <c r="E323" t="s">
        <v>309</v>
      </c>
      <c r="F323" t="s">
        <v>310</v>
      </c>
      <c r="G323" t="s">
        <v>51</v>
      </c>
      <c r="H323" t="s">
        <v>112</v>
      </c>
      <c r="I323" t="s">
        <v>222</v>
      </c>
      <c r="J323" t="s">
        <v>223</v>
      </c>
      <c r="K323">
        <v>816021</v>
      </c>
      <c r="L323" t="s">
        <v>311</v>
      </c>
      <c r="M323" t="s">
        <v>312</v>
      </c>
      <c r="N323" t="s">
        <v>57</v>
      </c>
      <c r="O323" s="1">
        <v>45647</v>
      </c>
      <c r="Q323" s="1">
        <v>46133</v>
      </c>
      <c r="R323" s="2">
        <v>9.1</v>
      </c>
      <c r="S323">
        <v>1</v>
      </c>
      <c r="T323" t="s">
        <v>58</v>
      </c>
      <c r="U323" t="s">
        <v>260</v>
      </c>
      <c r="V323" s="3">
        <v>0.15</v>
      </c>
      <c r="W323" s="2">
        <v>0</v>
      </c>
      <c r="X323">
        <v>0</v>
      </c>
      <c r="Y323" t="s">
        <v>261</v>
      </c>
      <c r="Z323" t="s">
        <v>262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1.36</v>
      </c>
      <c r="AN323" s="2">
        <v>1.36</v>
      </c>
      <c r="AO323" s="2">
        <v>0</v>
      </c>
      <c r="AP323" s="2">
        <v>0</v>
      </c>
      <c r="AQ323" s="2">
        <v>0</v>
      </c>
    </row>
    <row r="324" spans="1:43" x14ac:dyDescent="0.3">
      <c r="A324" s="1">
        <v>46104</v>
      </c>
      <c r="B324" t="s">
        <v>48</v>
      </c>
      <c r="C324">
        <v>649163</v>
      </c>
      <c r="D324">
        <v>2026262567</v>
      </c>
      <c r="E324" t="s">
        <v>309</v>
      </c>
      <c r="F324" t="s">
        <v>310</v>
      </c>
      <c r="G324" t="s">
        <v>51</v>
      </c>
      <c r="H324" t="s">
        <v>112</v>
      </c>
      <c r="I324" t="s">
        <v>222</v>
      </c>
      <c r="J324" t="s">
        <v>590</v>
      </c>
      <c r="K324">
        <v>816021</v>
      </c>
      <c r="L324" t="s">
        <v>311</v>
      </c>
      <c r="M324" t="s">
        <v>312</v>
      </c>
      <c r="N324" t="s">
        <v>57</v>
      </c>
      <c r="O324" s="1">
        <v>45647</v>
      </c>
      <c r="Q324" s="1">
        <v>46133</v>
      </c>
      <c r="R324" s="2">
        <v>6.3</v>
      </c>
      <c r="S324">
        <v>1</v>
      </c>
      <c r="T324" t="s">
        <v>58</v>
      </c>
      <c r="U324" t="s">
        <v>260</v>
      </c>
      <c r="V324" s="3">
        <v>0.15</v>
      </c>
      <c r="W324" s="2">
        <v>0</v>
      </c>
      <c r="X324">
        <v>0</v>
      </c>
      <c r="Y324" t="s">
        <v>261</v>
      </c>
      <c r="Z324" t="s">
        <v>262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0.94</v>
      </c>
      <c r="AN324" s="2">
        <v>0.94</v>
      </c>
      <c r="AO324" s="2">
        <v>0</v>
      </c>
      <c r="AP324" s="2">
        <v>0</v>
      </c>
      <c r="AQ324" s="2">
        <v>0</v>
      </c>
    </row>
    <row r="325" spans="1:43" x14ac:dyDescent="0.3">
      <c r="A325" s="1">
        <v>46104</v>
      </c>
      <c r="B325" t="s">
        <v>48</v>
      </c>
      <c r="C325">
        <v>649163</v>
      </c>
      <c r="D325">
        <v>2026263730</v>
      </c>
      <c r="E325" t="s">
        <v>609</v>
      </c>
      <c r="F325" t="s">
        <v>610</v>
      </c>
      <c r="G325" t="s">
        <v>51</v>
      </c>
      <c r="H325" t="s">
        <v>64</v>
      </c>
      <c r="I325" t="s">
        <v>222</v>
      </c>
      <c r="J325" t="s">
        <v>223</v>
      </c>
      <c r="K325">
        <v>807212</v>
      </c>
      <c r="L325" t="s">
        <v>246</v>
      </c>
      <c r="M325" t="s">
        <v>247</v>
      </c>
      <c r="N325" t="s">
        <v>57</v>
      </c>
      <c r="O325" s="1">
        <v>45647</v>
      </c>
      <c r="Q325" s="1">
        <v>46133</v>
      </c>
      <c r="R325" s="2">
        <v>126.92</v>
      </c>
      <c r="S325">
        <v>1</v>
      </c>
      <c r="T325" t="s">
        <v>58</v>
      </c>
      <c r="U325" t="s">
        <v>260</v>
      </c>
      <c r="V325" s="3">
        <v>0.15</v>
      </c>
      <c r="W325" s="2">
        <v>0</v>
      </c>
      <c r="X325">
        <v>0</v>
      </c>
      <c r="Y325" t="s">
        <v>261</v>
      </c>
      <c r="Z325" t="s">
        <v>262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19.04</v>
      </c>
      <c r="AN325" s="2">
        <v>19.04</v>
      </c>
      <c r="AO325" s="2">
        <v>0</v>
      </c>
      <c r="AP325" s="2">
        <v>0</v>
      </c>
      <c r="AQ325" s="2">
        <v>0</v>
      </c>
    </row>
    <row r="326" spans="1:43" x14ac:dyDescent="0.3">
      <c r="A326" s="1">
        <v>46104</v>
      </c>
      <c r="B326" t="s">
        <v>48</v>
      </c>
      <c r="C326">
        <v>649163</v>
      </c>
      <c r="D326">
        <v>2026265885</v>
      </c>
      <c r="E326" t="s">
        <v>431</v>
      </c>
      <c r="F326" t="s">
        <v>432</v>
      </c>
      <c r="G326" t="s">
        <v>51</v>
      </c>
      <c r="H326" t="s">
        <v>74</v>
      </c>
      <c r="I326" t="s">
        <v>222</v>
      </c>
      <c r="J326" t="s">
        <v>224</v>
      </c>
      <c r="K326">
        <v>756418</v>
      </c>
      <c r="L326" t="s">
        <v>433</v>
      </c>
      <c r="M326" t="s">
        <v>434</v>
      </c>
      <c r="N326" t="s">
        <v>57</v>
      </c>
      <c r="O326" s="1">
        <v>45647</v>
      </c>
      <c r="Q326" s="1">
        <v>46133</v>
      </c>
      <c r="R326" s="2">
        <v>32.33</v>
      </c>
      <c r="S326">
        <v>1</v>
      </c>
      <c r="T326" t="s">
        <v>58</v>
      </c>
      <c r="U326" t="s">
        <v>260</v>
      </c>
      <c r="V326" s="3">
        <v>0.1</v>
      </c>
      <c r="W326" s="2">
        <v>0</v>
      </c>
      <c r="X326">
        <v>0</v>
      </c>
      <c r="Y326" t="s">
        <v>261</v>
      </c>
      <c r="Z326" t="s">
        <v>262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3.23</v>
      </c>
      <c r="AN326" s="2">
        <v>3.23</v>
      </c>
      <c r="AO326" s="2">
        <v>0</v>
      </c>
      <c r="AP326" s="2">
        <v>0</v>
      </c>
      <c r="AQ326" s="2">
        <v>0</v>
      </c>
    </row>
    <row r="327" spans="1:43" x14ac:dyDescent="0.3">
      <c r="A327" s="1">
        <v>46104</v>
      </c>
      <c r="B327" t="s">
        <v>48</v>
      </c>
      <c r="C327">
        <v>649163</v>
      </c>
      <c r="D327">
        <v>2026293121</v>
      </c>
      <c r="E327" t="s">
        <v>611</v>
      </c>
      <c r="F327" t="s">
        <v>612</v>
      </c>
      <c r="G327" t="s">
        <v>51</v>
      </c>
      <c r="H327" t="s">
        <v>64</v>
      </c>
      <c r="I327" t="s">
        <v>222</v>
      </c>
      <c r="J327" t="s">
        <v>223</v>
      </c>
      <c r="K327">
        <v>757719</v>
      </c>
      <c r="L327" t="s">
        <v>495</v>
      </c>
      <c r="M327" t="s">
        <v>496</v>
      </c>
      <c r="N327" t="s">
        <v>57</v>
      </c>
      <c r="O327" s="1">
        <v>45650</v>
      </c>
      <c r="Q327" s="1">
        <v>46136</v>
      </c>
      <c r="R327" s="2">
        <v>88.96</v>
      </c>
      <c r="S327">
        <v>1</v>
      </c>
      <c r="T327" t="s">
        <v>58</v>
      </c>
      <c r="U327" t="s">
        <v>260</v>
      </c>
      <c r="V327" s="3">
        <v>0.15</v>
      </c>
      <c r="W327" s="2">
        <v>0</v>
      </c>
      <c r="X327">
        <v>0</v>
      </c>
      <c r="Y327" t="s">
        <v>261</v>
      </c>
      <c r="Z327" t="s">
        <v>262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13.34</v>
      </c>
      <c r="AN327" s="2">
        <v>13.34</v>
      </c>
      <c r="AO327" s="2">
        <v>0</v>
      </c>
      <c r="AP327" s="2">
        <v>0</v>
      </c>
      <c r="AQ327" s="2">
        <v>0</v>
      </c>
    </row>
    <row r="328" spans="1:43" x14ac:dyDescent="0.3">
      <c r="A328" s="1">
        <v>46104</v>
      </c>
      <c r="B328" t="s">
        <v>48</v>
      </c>
      <c r="C328">
        <v>649163</v>
      </c>
      <c r="D328">
        <v>2026295209</v>
      </c>
      <c r="E328" t="s">
        <v>370</v>
      </c>
      <c r="F328" t="s">
        <v>219</v>
      </c>
      <c r="G328" t="s">
        <v>51</v>
      </c>
      <c r="H328" t="s">
        <v>112</v>
      </c>
      <c r="I328" t="s">
        <v>222</v>
      </c>
      <c r="J328" t="s">
        <v>223</v>
      </c>
      <c r="K328">
        <v>816021</v>
      </c>
      <c r="L328" t="s">
        <v>311</v>
      </c>
      <c r="M328" t="s">
        <v>312</v>
      </c>
      <c r="N328" t="s">
        <v>57</v>
      </c>
      <c r="O328" s="1">
        <v>45650</v>
      </c>
      <c r="Q328" s="1">
        <v>46136</v>
      </c>
      <c r="R328" s="2">
        <v>18.28</v>
      </c>
      <c r="S328">
        <v>1</v>
      </c>
      <c r="T328" t="s">
        <v>58</v>
      </c>
      <c r="U328" t="s">
        <v>260</v>
      </c>
      <c r="V328" s="3">
        <v>0.15</v>
      </c>
      <c r="W328" s="2">
        <v>0</v>
      </c>
      <c r="X328">
        <v>0</v>
      </c>
      <c r="Y328" t="s">
        <v>261</v>
      </c>
      <c r="Z328" t="s">
        <v>262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2.74</v>
      </c>
      <c r="AN328" s="2">
        <v>2.74</v>
      </c>
      <c r="AO328" s="2">
        <v>0</v>
      </c>
      <c r="AP328" s="2">
        <v>0</v>
      </c>
      <c r="AQ328" s="2">
        <v>0</v>
      </c>
    </row>
    <row r="329" spans="1:43" x14ac:dyDescent="0.3">
      <c r="A329" s="1">
        <v>46104</v>
      </c>
      <c r="B329" t="s">
        <v>48</v>
      </c>
      <c r="C329">
        <v>649163</v>
      </c>
      <c r="D329">
        <v>2026295210</v>
      </c>
      <c r="E329" t="s">
        <v>370</v>
      </c>
      <c r="F329" t="s">
        <v>219</v>
      </c>
      <c r="G329" t="s">
        <v>51</v>
      </c>
      <c r="H329" t="s">
        <v>112</v>
      </c>
      <c r="I329" t="s">
        <v>222</v>
      </c>
      <c r="J329" t="s">
        <v>590</v>
      </c>
      <c r="K329">
        <v>816021</v>
      </c>
      <c r="L329" t="s">
        <v>311</v>
      </c>
      <c r="M329" t="s">
        <v>312</v>
      </c>
      <c r="N329" t="s">
        <v>57</v>
      </c>
      <c r="O329" s="1">
        <v>45650</v>
      </c>
      <c r="Q329" s="1">
        <v>46136</v>
      </c>
      <c r="R329" s="2">
        <v>14.65</v>
      </c>
      <c r="S329">
        <v>1</v>
      </c>
      <c r="T329" t="s">
        <v>58</v>
      </c>
      <c r="U329" t="s">
        <v>260</v>
      </c>
      <c r="V329" s="3">
        <v>0.15</v>
      </c>
      <c r="W329" s="2">
        <v>0</v>
      </c>
      <c r="X329">
        <v>0</v>
      </c>
      <c r="Y329" t="s">
        <v>261</v>
      </c>
      <c r="Z329" t="s">
        <v>262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2.2000000000000002</v>
      </c>
      <c r="AN329" s="2">
        <v>2.2000000000000002</v>
      </c>
      <c r="AO329" s="2">
        <v>0</v>
      </c>
      <c r="AP329" s="2">
        <v>0</v>
      </c>
      <c r="AQ329" s="2">
        <v>0</v>
      </c>
    </row>
    <row r="330" spans="1:43" x14ac:dyDescent="0.3">
      <c r="A330" s="1">
        <v>46104</v>
      </c>
      <c r="B330" t="s">
        <v>48</v>
      </c>
      <c r="C330">
        <v>649163</v>
      </c>
      <c r="D330">
        <v>2026603378</v>
      </c>
      <c r="E330" t="s">
        <v>563</v>
      </c>
      <c r="F330" t="s">
        <v>564</v>
      </c>
      <c r="G330" t="s">
        <v>51</v>
      </c>
      <c r="H330" t="s">
        <v>52</v>
      </c>
      <c r="I330" t="s">
        <v>222</v>
      </c>
      <c r="J330" t="s">
        <v>590</v>
      </c>
      <c r="K330">
        <v>751867</v>
      </c>
      <c r="L330" t="s">
        <v>292</v>
      </c>
      <c r="M330" t="s">
        <v>293</v>
      </c>
      <c r="N330" t="s">
        <v>57</v>
      </c>
      <c r="O330" s="1">
        <v>45673</v>
      </c>
      <c r="Q330" s="1">
        <v>46128</v>
      </c>
      <c r="R330" s="2">
        <v>25.73</v>
      </c>
      <c r="S330">
        <v>1</v>
      </c>
      <c r="T330" t="s">
        <v>58</v>
      </c>
      <c r="U330" t="s">
        <v>260</v>
      </c>
      <c r="V330" s="3">
        <v>0.15</v>
      </c>
      <c r="W330" s="2">
        <v>0</v>
      </c>
      <c r="X330">
        <v>0</v>
      </c>
      <c r="Y330" t="s">
        <v>261</v>
      </c>
      <c r="Z330" t="s">
        <v>262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3.86</v>
      </c>
      <c r="AN330" s="2">
        <v>3.86</v>
      </c>
      <c r="AO330" s="2">
        <v>0</v>
      </c>
      <c r="AP330" s="2">
        <v>0</v>
      </c>
      <c r="AQ330" s="2">
        <v>0</v>
      </c>
    </row>
    <row r="331" spans="1:43" x14ac:dyDescent="0.3">
      <c r="A331" s="1">
        <v>46104</v>
      </c>
      <c r="B331" t="s">
        <v>48</v>
      </c>
      <c r="C331">
        <v>649163</v>
      </c>
      <c r="D331">
        <v>2026693770</v>
      </c>
      <c r="E331" t="s">
        <v>613</v>
      </c>
      <c r="F331" t="s">
        <v>614</v>
      </c>
      <c r="G331" t="s">
        <v>51</v>
      </c>
      <c r="H331" t="s">
        <v>184</v>
      </c>
      <c r="I331" t="s">
        <v>222</v>
      </c>
      <c r="J331" t="s">
        <v>224</v>
      </c>
      <c r="K331">
        <v>767312</v>
      </c>
      <c r="L331" t="s">
        <v>185</v>
      </c>
      <c r="M331" t="s">
        <v>186</v>
      </c>
      <c r="N331" t="s">
        <v>57</v>
      </c>
      <c r="O331" s="1">
        <v>45679</v>
      </c>
      <c r="Q331" s="1">
        <v>46134</v>
      </c>
      <c r="R331" s="2">
        <v>58.17</v>
      </c>
      <c r="S331">
        <v>1</v>
      </c>
      <c r="T331" t="s">
        <v>58</v>
      </c>
      <c r="U331" t="s">
        <v>260</v>
      </c>
      <c r="V331" s="3">
        <v>0.1</v>
      </c>
      <c r="W331" s="2">
        <v>0</v>
      </c>
      <c r="X331">
        <v>0</v>
      </c>
      <c r="Y331" t="s">
        <v>261</v>
      </c>
      <c r="Z331" t="s">
        <v>262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5.82</v>
      </c>
      <c r="AN331" s="2">
        <v>5.82</v>
      </c>
      <c r="AO331" s="2">
        <v>0</v>
      </c>
      <c r="AP331" s="2">
        <v>0</v>
      </c>
      <c r="AQ331" s="2">
        <v>0</v>
      </c>
    </row>
    <row r="332" spans="1:43" x14ac:dyDescent="0.3">
      <c r="A332" s="1">
        <v>46104</v>
      </c>
      <c r="B332" t="s">
        <v>48</v>
      </c>
      <c r="C332">
        <v>649163</v>
      </c>
      <c r="D332">
        <v>2026734001</v>
      </c>
      <c r="E332" t="s">
        <v>615</v>
      </c>
      <c r="F332" t="s">
        <v>436</v>
      </c>
      <c r="G332" t="s">
        <v>51</v>
      </c>
      <c r="H332" t="s">
        <v>86</v>
      </c>
      <c r="I332" t="s">
        <v>222</v>
      </c>
      <c r="J332" t="s">
        <v>223</v>
      </c>
      <c r="K332">
        <v>768887</v>
      </c>
      <c r="L332" t="s">
        <v>153</v>
      </c>
      <c r="M332" t="s">
        <v>154</v>
      </c>
      <c r="N332" t="s">
        <v>57</v>
      </c>
      <c r="O332" s="1">
        <v>45681</v>
      </c>
      <c r="Q332" s="1">
        <v>46136</v>
      </c>
      <c r="R332" s="2">
        <v>22.19</v>
      </c>
      <c r="S332">
        <v>1</v>
      </c>
      <c r="T332" t="s">
        <v>58</v>
      </c>
      <c r="U332" t="s">
        <v>260</v>
      </c>
      <c r="V332" s="3">
        <v>0.15</v>
      </c>
      <c r="W332" s="2">
        <v>0</v>
      </c>
      <c r="X332">
        <v>0</v>
      </c>
      <c r="Y332" t="s">
        <v>261</v>
      </c>
      <c r="Z332" t="s">
        <v>262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3.33</v>
      </c>
      <c r="AN332" s="2">
        <v>3.33</v>
      </c>
      <c r="AO332" s="2">
        <v>0</v>
      </c>
      <c r="AP332" s="2">
        <v>0</v>
      </c>
      <c r="AQ332" s="2">
        <v>0</v>
      </c>
    </row>
    <row r="333" spans="1:43" x14ac:dyDescent="0.3">
      <c r="A333" s="1">
        <v>46104</v>
      </c>
      <c r="B333" t="s">
        <v>48</v>
      </c>
      <c r="C333">
        <v>649163</v>
      </c>
      <c r="D333">
        <v>2026783375</v>
      </c>
      <c r="E333" t="s">
        <v>313</v>
      </c>
      <c r="F333" t="s">
        <v>314</v>
      </c>
      <c r="G333" t="s">
        <v>51</v>
      </c>
      <c r="H333" t="s">
        <v>86</v>
      </c>
      <c r="I333" t="s">
        <v>222</v>
      </c>
      <c r="J333" t="s">
        <v>223</v>
      </c>
      <c r="K333">
        <v>673059</v>
      </c>
      <c r="L333" t="s">
        <v>76</v>
      </c>
      <c r="M333" t="s">
        <v>77</v>
      </c>
      <c r="N333" t="s">
        <v>57</v>
      </c>
      <c r="O333" s="1">
        <v>45709</v>
      </c>
      <c r="Q333" s="1">
        <v>46133</v>
      </c>
      <c r="R333" s="2">
        <v>57.27</v>
      </c>
      <c r="S333">
        <v>1</v>
      </c>
      <c r="T333" t="s">
        <v>58</v>
      </c>
      <c r="U333" t="s">
        <v>260</v>
      </c>
      <c r="V333" s="3">
        <v>0.15</v>
      </c>
      <c r="W333" s="2">
        <v>0</v>
      </c>
      <c r="X333">
        <v>0</v>
      </c>
      <c r="Y333" t="s">
        <v>261</v>
      </c>
      <c r="Z333" t="s">
        <v>262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8.59</v>
      </c>
      <c r="AN333" s="2">
        <v>8.59</v>
      </c>
      <c r="AO333" s="2">
        <v>0</v>
      </c>
      <c r="AP333" s="2">
        <v>0</v>
      </c>
      <c r="AQ333" s="2">
        <v>0</v>
      </c>
    </row>
    <row r="334" spans="1:43" x14ac:dyDescent="0.3">
      <c r="A334" s="1">
        <v>46104</v>
      </c>
      <c r="B334" t="s">
        <v>48</v>
      </c>
      <c r="C334">
        <v>649163</v>
      </c>
      <c r="D334">
        <v>2026783377</v>
      </c>
      <c r="E334" t="s">
        <v>313</v>
      </c>
      <c r="F334" t="s">
        <v>314</v>
      </c>
      <c r="G334" t="s">
        <v>51</v>
      </c>
      <c r="H334" t="s">
        <v>86</v>
      </c>
      <c r="I334" t="s">
        <v>222</v>
      </c>
      <c r="J334" t="s">
        <v>590</v>
      </c>
      <c r="K334">
        <v>673059</v>
      </c>
      <c r="L334" t="s">
        <v>76</v>
      </c>
      <c r="M334" t="s">
        <v>77</v>
      </c>
      <c r="N334" t="s">
        <v>57</v>
      </c>
      <c r="O334" s="1">
        <v>45709</v>
      </c>
      <c r="Q334" s="1">
        <v>46133</v>
      </c>
      <c r="R334" s="2">
        <v>25.73</v>
      </c>
      <c r="S334">
        <v>1</v>
      </c>
      <c r="T334" t="s">
        <v>58</v>
      </c>
      <c r="U334" t="s">
        <v>260</v>
      </c>
      <c r="V334" s="3">
        <v>0.15</v>
      </c>
      <c r="W334" s="2">
        <v>0</v>
      </c>
      <c r="X334">
        <v>0</v>
      </c>
      <c r="Y334" t="s">
        <v>261</v>
      </c>
      <c r="Z334" t="s">
        <v>262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3.86</v>
      </c>
      <c r="AN334" s="2">
        <v>3.86</v>
      </c>
      <c r="AO334" s="2">
        <v>0</v>
      </c>
      <c r="AP334" s="2">
        <v>0</v>
      </c>
      <c r="AQ334" s="2">
        <v>0</v>
      </c>
    </row>
    <row r="335" spans="1:43" x14ac:dyDescent="0.3">
      <c r="A335" s="1">
        <v>46104</v>
      </c>
      <c r="B335" t="s">
        <v>48</v>
      </c>
      <c r="C335">
        <v>649163</v>
      </c>
      <c r="D335">
        <v>2026848316</v>
      </c>
      <c r="E335" t="s">
        <v>616</v>
      </c>
      <c r="F335" t="s">
        <v>377</v>
      </c>
      <c r="G335" t="s">
        <v>51</v>
      </c>
      <c r="H335" t="s">
        <v>64</v>
      </c>
      <c r="I335" t="s">
        <v>222</v>
      </c>
      <c r="J335" t="s">
        <v>223</v>
      </c>
      <c r="K335">
        <v>673059</v>
      </c>
      <c r="L335" t="s">
        <v>76</v>
      </c>
      <c r="M335" t="s">
        <v>77</v>
      </c>
      <c r="N335" t="s">
        <v>271</v>
      </c>
      <c r="O335" s="1">
        <v>45717</v>
      </c>
      <c r="P335" s="1">
        <v>46104</v>
      </c>
      <c r="Q335" s="1">
        <v>46113</v>
      </c>
      <c r="R335" s="2">
        <v>-56.55</v>
      </c>
      <c r="S335">
        <v>1</v>
      </c>
      <c r="T335" t="s">
        <v>58</v>
      </c>
      <c r="U335" t="s">
        <v>260</v>
      </c>
      <c r="V335" s="3">
        <v>0.15</v>
      </c>
      <c r="W335" s="2">
        <v>0</v>
      </c>
      <c r="X335">
        <v>-1</v>
      </c>
      <c r="Y335" t="s">
        <v>261</v>
      </c>
      <c r="Z335" t="s">
        <v>262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-8.48</v>
      </c>
      <c r="AN335" s="2">
        <v>-8.48</v>
      </c>
      <c r="AO335" s="2">
        <v>0</v>
      </c>
      <c r="AP335" s="2">
        <v>0</v>
      </c>
      <c r="AQ335" s="2">
        <v>0</v>
      </c>
    </row>
    <row r="336" spans="1:43" x14ac:dyDescent="0.3">
      <c r="A336" s="1">
        <v>46104</v>
      </c>
      <c r="B336" t="s">
        <v>48</v>
      </c>
      <c r="C336">
        <v>649163</v>
      </c>
      <c r="D336">
        <v>2026848317</v>
      </c>
      <c r="E336" t="s">
        <v>616</v>
      </c>
      <c r="F336" t="s">
        <v>377</v>
      </c>
      <c r="G336" t="s">
        <v>51</v>
      </c>
      <c r="H336" t="s">
        <v>64</v>
      </c>
      <c r="I336" t="s">
        <v>222</v>
      </c>
      <c r="J336" t="s">
        <v>590</v>
      </c>
      <c r="K336">
        <v>673059</v>
      </c>
      <c r="L336" t="s">
        <v>76</v>
      </c>
      <c r="M336" t="s">
        <v>77</v>
      </c>
      <c r="N336" t="s">
        <v>271</v>
      </c>
      <c r="O336" s="1">
        <v>45717</v>
      </c>
      <c r="P336" s="1">
        <v>46104</v>
      </c>
      <c r="Q336" s="1">
        <v>46113</v>
      </c>
      <c r="R336" s="2">
        <v>-18.260000000000002</v>
      </c>
      <c r="S336">
        <v>1</v>
      </c>
      <c r="T336" t="s">
        <v>58</v>
      </c>
      <c r="U336" t="s">
        <v>260</v>
      </c>
      <c r="V336" s="3">
        <v>0.15</v>
      </c>
      <c r="W336" s="2">
        <v>0</v>
      </c>
      <c r="X336">
        <v>-1</v>
      </c>
      <c r="Y336" t="s">
        <v>261</v>
      </c>
      <c r="Z336" t="s">
        <v>262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-2.74</v>
      </c>
      <c r="AN336" s="2">
        <v>-2.74</v>
      </c>
      <c r="AO336" s="2">
        <v>0</v>
      </c>
      <c r="AP336" s="2">
        <v>0</v>
      </c>
      <c r="AQ336" s="2">
        <v>0</v>
      </c>
    </row>
    <row r="337" spans="1:43" x14ac:dyDescent="0.3">
      <c r="A337" s="1">
        <v>46104</v>
      </c>
      <c r="B337" t="s">
        <v>48</v>
      </c>
      <c r="C337">
        <v>649163</v>
      </c>
      <c r="D337">
        <v>2027258064</v>
      </c>
      <c r="E337" t="s">
        <v>167</v>
      </c>
      <c r="F337" t="s">
        <v>316</v>
      </c>
      <c r="G337" t="s">
        <v>51</v>
      </c>
      <c r="H337" t="s">
        <v>86</v>
      </c>
      <c r="I337" t="s">
        <v>222</v>
      </c>
      <c r="J337" t="s">
        <v>223</v>
      </c>
      <c r="K337">
        <v>673059</v>
      </c>
      <c r="L337" t="s">
        <v>76</v>
      </c>
      <c r="M337" t="s">
        <v>77</v>
      </c>
      <c r="N337" t="s">
        <v>57</v>
      </c>
      <c r="O337" s="1">
        <v>45710</v>
      </c>
      <c r="Q337" s="1">
        <v>46134</v>
      </c>
      <c r="R337" s="2">
        <v>42.36</v>
      </c>
      <c r="S337">
        <v>1</v>
      </c>
      <c r="T337" t="s">
        <v>58</v>
      </c>
      <c r="U337" t="s">
        <v>260</v>
      </c>
      <c r="V337" s="3">
        <v>0.15</v>
      </c>
      <c r="W337" s="2">
        <v>0</v>
      </c>
      <c r="X337">
        <v>0</v>
      </c>
      <c r="Y337" t="s">
        <v>261</v>
      </c>
      <c r="Z337" t="s">
        <v>262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6.35</v>
      </c>
      <c r="AN337" s="2">
        <v>6.35</v>
      </c>
      <c r="AO337" s="2">
        <v>0</v>
      </c>
      <c r="AP337" s="2">
        <v>0</v>
      </c>
      <c r="AQ337" s="2">
        <v>0</v>
      </c>
    </row>
    <row r="338" spans="1:43" x14ac:dyDescent="0.3">
      <c r="A338" s="1">
        <v>46104</v>
      </c>
      <c r="B338" t="s">
        <v>48</v>
      </c>
      <c r="C338">
        <v>649163</v>
      </c>
      <c r="D338">
        <v>2027258065</v>
      </c>
      <c r="E338" t="s">
        <v>167</v>
      </c>
      <c r="F338" t="s">
        <v>316</v>
      </c>
      <c r="G338" t="s">
        <v>51</v>
      </c>
      <c r="H338" t="s">
        <v>86</v>
      </c>
      <c r="I338" t="s">
        <v>222</v>
      </c>
      <c r="J338" t="s">
        <v>590</v>
      </c>
      <c r="K338">
        <v>673059</v>
      </c>
      <c r="L338" t="s">
        <v>76</v>
      </c>
      <c r="M338" t="s">
        <v>77</v>
      </c>
      <c r="N338" t="s">
        <v>57</v>
      </c>
      <c r="O338" s="1">
        <v>45710</v>
      </c>
      <c r="Q338" s="1">
        <v>46134</v>
      </c>
      <c r="R338" s="2">
        <v>25.73</v>
      </c>
      <c r="S338">
        <v>1</v>
      </c>
      <c r="T338" t="s">
        <v>58</v>
      </c>
      <c r="U338" t="s">
        <v>260</v>
      </c>
      <c r="V338" s="3">
        <v>0.15</v>
      </c>
      <c r="W338" s="2">
        <v>0</v>
      </c>
      <c r="X338">
        <v>0</v>
      </c>
      <c r="Y338" t="s">
        <v>261</v>
      </c>
      <c r="Z338" t="s">
        <v>262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3.86</v>
      </c>
      <c r="AN338" s="2">
        <v>3.86</v>
      </c>
      <c r="AO338" s="2">
        <v>0</v>
      </c>
      <c r="AP338" s="2">
        <v>0</v>
      </c>
      <c r="AQ338" s="2">
        <v>0</v>
      </c>
    </row>
    <row r="339" spans="1:43" x14ac:dyDescent="0.3">
      <c r="A339" s="1">
        <v>46104</v>
      </c>
      <c r="B339" t="s">
        <v>48</v>
      </c>
      <c r="C339">
        <v>649163</v>
      </c>
      <c r="D339">
        <v>2027258067</v>
      </c>
      <c r="E339" t="s">
        <v>167</v>
      </c>
      <c r="F339" t="s">
        <v>316</v>
      </c>
      <c r="G339" t="s">
        <v>51</v>
      </c>
      <c r="H339" t="s">
        <v>86</v>
      </c>
      <c r="I339" t="s">
        <v>222</v>
      </c>
      <c r="J339" t="s">
        <v>224</v>
      </c>
      <c r="K339">
        <v>673059</v>
      </c>
      <c r="L339" t="s">
        <v>76</v>
      </c>
      <c r="M339" t="s">
        <v>77</v>
      </c>
      <c r="N339" t="s">
        <v>57</v>
      </c>
      <c r="O339" s="1">
        <v>45710</v>
      </c>
      <c r="Q339" s="1">
        <v>46134</v>
      </c>
      <c r="R339" s="2">
        <v>31.08</v>
      </c>
      <c r="S339">
        <v>1</v>
      </c>
      <c r="T339" t="s">
        <v>58</v>
      </c>
      <c r="U339" t="s">
        <v>260</v>
      </c>
      <c r="V339" s="3">
        <v>0.1</v>
      </c>
      <c r="W339" s="2">
        <v>0</v>
      </c>
      <c r="X339">
        <v>0</v>
      </c>
      <c r="Y339" t="s">
        <v>261</v>
      </c>
      <c r="Z339" t="s">
        <v>262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3.11</v>
      </c>
      <c r="AN339" s="2">
        <v>3.11</v>
      </c>
      <c r="AO339" s="2">
        <v>0</v>
      </c>
      <c r="AP339" s="2">
        <v>0</v>
      </c>
      <c r="AQ339" s="2">
        <v>0</v>
      </c>
    </row>
    <row r="340" spans="1:43" x14ac:dyDescent="0.3">
      <c r="A340" s="1">
        <v>46104</v>
      </c>
      <c r="B340" t="s">
        <v>48</v>
      </c>
      <c r="C340">
        <v>649163</v>
      </c>
      <c r="D340">
        <v>2027321379</v>
      </c>
      <c r="E340" t="s">
        <v>510</v>
      </c>
      <c r="F340" t="s">
        <v>511</v>
      </c>
      <c r="G340" t="s">
        <v>51</v>
      </c>
      <c r="H340" t="s">
        <v>64</v>
      </c>
      <c r="I340" t="s">
        <v>222</v>
      </c>
      <c r="J340" t="s">
        <v>223</v>
      </c>
      <c r="K340">
        <v>673059</v>
      </c>
      <c r="L340" t="s">
        <v>76</v>
      </c>
      <c r="M340" t="s">
        <v>77</v>
      </c>
      <c r="N340" t="s">
        <v>57</v>
      </c>
      <c r="O340" s="1">
        <v>45713</v>
      </c>
      <c r="Q340" s="1">
        <v>46137</v>
      </c>
      <c r="R340" s="2">
        <v>38.17</v>
      </c>
      <c r="S340">
        <v>1</v>
      </c>
      <c r="T340" t="s">
        <v>58</v>
      </c>
      <c r="U340" t="s">
        <v>260</v>
      </c>
      <c r="V340" s="3">
        <v>0.15</v>
      </c>
      <c r="W340" s="2">
        <v>0</v>
      </c>
      <c r="X340">
        <v>0</v>
      </c>
      <c r="Y340" t="s">
        <v>261</v>
      </c>
      <c r="Z340" t="s">
        <v>262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5.73</v>
      </c>
      <c r="AN340" s="2">
        <v>5.73</v>
      </c>
      <c r="AO340" s="2">
        <v>0</v>
      </c>
      <c r="AP340" s="2">
        <v>0</v>
      </c>
      <c r="AQ340" s="2">
        <v>0</v>
      </c>
    </row>
    <row r="341" spans="1:43" x14ac:dyDescent="0.3">
      <c r="A341" s="1">
        <v>46104</v>
      </c>
      <c r="B341" t="s">
        <v>48</v>
      </c>
      <c r="C341">
        <v>649163</v>
      </c>
      <c r="D341">
        <v>2027406567</v>
      </c>
      <c r="E341" t="s">
        <v>617</v>
      </c>
      <c r="F341" t="s">
        <v>618</v>
      </c>
      <c r="G341" t="s">
        <v>51</v>
      </c>
      <c r="H341" t="s">
        <v>64</v>
      </c>
      <c r="I341" t="s">
        <v>222</v>
      </c>
      <c r="J341" t="s">
        <v>223</v>
      </c>
      <c r="K341">
        <v>764123</v>
      </c>
      <c r="L341" t="s">
        <v>619</v>
      </c>
      <c r="M341" t="s">
        <v>620</v>
      </c>
      <c r="N341" t="s">
        <v>57</v>
      </c>
      <c r="O341" s="1">
        <v>45715</v>
      </c>
      <c r="Q341" s="1">
        <v>46139</v>
      </c>
      <c r="R341" s="2">
        <v>101.22</v>
      </c>
      <c r="S341">
        <v>1</v>
      </c>
      <c r="T341" t="s">
        <v>58</v>
      </c>
      <c r="U341" t="s">
        <v>260</v>
      </c>
      <c r="V341" s="3">
        <v>0.15</v>
      </c>
      <c r="W341" s="2">
        <v>0</v>
      </c>
      <c r="X341">
        <v>0</v>
      </c>
      <c r="Y341" t="s">
        <v>261</v>
      </c>
      <c r="Z341" t="s">
        <v>262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15.18</v>
      </c>
      <c r="AN341" s="2">
        <v>15.18</v>
      </c>
      <c r="AO341" s="2">
        <v>0</v>
      </c>
      <c r="AP341" s="2">
        <v>0</v>
      </c>
      <c r="AQ341" s="2">
        <v>0</v>
      </c>
    </row>
    <row r="342" spans="1:43" x14ac:dyDescent="0.3">
      <c r="A342" s="1">
        <v>46104</v>
      </c>
      <c r="B342" t="s">
        <v>48</v>
      </c>
      <c r="C342">
        <v>649163</v>
      </c>
      <c r="D342">
        <v>2027904551</v>
      </c>
      <c r="E342" t="s">
        <v>621</v>
      </c>
      <c r="F342" t="s">
        <v>622</v>
      </c>
      <c r="G342" t="s">
        <v>51</v>
      </c>
      <c r="H342" t="s">
        <v>64</v>
      </c>
      <c r="I342" t="s">
        <v>222</v>
      </c>
      <c r="J342" t="s">
        <v>224</v>
      </c>
      <c r="K342">
        <v>813181</v>
      </c>
      <c r="L342" t="s">
        <v>621</v>
      </c>
      <c r="M342" t="s">
        <v>622</v>
      </c>
      <c r="N342" t="s">
        <v>57</v>
      </c>
      <c r="O342" s="1">
        <v>45741</v>
      </c>
      <c r="Q342" s="1">
        <v>46137</v>
      </c>
      <c r="R342" s="2">
        <v>46.42</v>
      </c>
      <c r="S342">
        <v>1</v>
      </c>
      <c r="T342" t="s">
        <v>58</v>
      </c>
      <c r="U342" t="s">
        <v>260</v>
      </c>
      <c r="V342" s="3">
        <v>0.1</v>
      </c>
      <c r="W342" s="2">
        <v>0</v>
      </c>
      <c r="X342">
        <v>0</v>
      </c>
      <c r="Y342" t="s">
        <v>261</v>
      </c>
      <c r="Z342" t="s">
        <v>262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4.6399999999999997</v>
      </c>
      <c r="AN342" s="2">
        <v>4.6399999999999997</v>
      </c>
      <c r="AO342" s="2">
        <v>0</v>
      </c>
      <c r="AP342" s="2">
        <v>0</v>
      </c>
      <c r="AQ342" s="2">
        <v>0</v>
      </c>
    </row>
    <row r="343" spans="1:43" x14ac:dyDescent="0.3">
      <c r="A343" s="1">
        <v>46104</v>
      </c>
      <c r="B343" t="s">
        <v>48</v>
      </c>
      <c r="C343">
        <v>649163</v>
      </c>
      <c r="D343">
        <v>2027913472</v>
      </c>
      <c r="E343" t="s">
        <v>317</v>
      </c>
      <c r="F343" t="s">
        <v>318</v>
      </c>
      <c r="G343" t="s">
        <v>51</v>
      </c>
      <c r="H343" t="s">
        <v>112</v>
      </c>
      <c r="I343" t="s">
        <v>222</v>
      </c>
      <c r="J343" t="s">
        <v>223</v>
      </c>
      <c r="K343">
        <v>816021</v>
      </c>
      <c r="L343" t="s">
        <v>311</v>
      </c>
      <c r="M343" t="s">
        <v>312</v>
      </c>
      <c r="N343" t="s">
        <v>57</v>
      </c>
      <c r="O343" s="1">
        <v>45738</v>
      </c>
      <c r="Q343" s="1">
        <v>46134</v>
      </c>
      <c r="R343" s="2">
        <v>7.89</v>
      </c>
      <c r="S343">
        <v>1</v>
      </c>
      <c r="T343" t="s">
        <v>58</v>
      </c>
      <c r="U343" t="s">
        <v>260</v>
      </c>
      <c r="V343" s="3">
        <v>0.15</v>
      </c>
      <c r="W343" s="2">
        <v>0</v>
      </c>
      <c r="X343">
        <v>0</v>
      </c>
      <c r="Y343" t="s">
        <v>261</v>
      </c>
      <c r="Z343" t="s">
        <v>262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1.18</v>
      </c>
      <c r="AN343" s="2">
        <v>1.18</v>
      </c>
      <c r="AO343" s="2">
        <v>0</v>
      </c>
      <c r="AP343" s="2">
        <v>0</v>
      </c>
      <c r="AQ343" s="2">
        <v>0</v>
      </c>
    </row>
    <row r="344" spans="1:43" x14ac:dyDescent="0.3">
      <c r="A344" s="1">
        <v>46104</v>
      </c>
      <c r="B344" t="s">
        <v>48</v>
      </c>
      <c r="C344">
        <v>649163</v>
      </c>
      <c r="D344">
        <v>2027957199</v>
      </c>
      <c r="E344" t="s">
        <v>623</v>
      </c>
      <c r="F344" t="s">
        <v>446</v>
      </c>
      <c r="G344" t="s">
        <v>51</v>
      </c>
      <c r="H344" t="s">
        <v>103</v>
      </c>
      <c r="I344" t="s">
        <v>222</v>
      </c>
      <c r="J344" t="s">
        <v>224</v>
      </c>
      <c r="K344">
        <v>823068</v>
      </c>
      <c r="L344" t="s">
        <v>149</v>
      </c>
      <c r="M344" t="s">
        <v>150</v>
      </c>
      <c r="N344" t="s">
        <v>57</v>
      </c>
      <c r="O344" s="1">
        <v>45743</v>
      </c>
      <c r="Q344" s="1">
        <v>46139</v>
      </c>
      <c r="R344" s="2">
        <v>96.17</v>
      </c>
      <c r="S344">
        <v>1</v>
      </c>
      <c r="T344" t="s">
        <v>58</v>
      </c>
      <c r="U344" t="s">
        <v>260</v>
      </c>
      <c r="V344" s="3">
        <v>0.1</v>
      </c>
      <c r="W344" s="2">
        <v>0</v>
      </c>
      <c r="X344">
        <v>0</v>
      </c>
      <c r="Y344" t="s">
        <v>261</v>
      </c>
      <c r="Z344" t="s">
        <v>262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9.6199999999999992</v>
      </c>
      <c r="AN344" s="2">
        <v>9.6199999999999992</v>
      </c>
      <c r="AO344" s="2">
        <v>0</v>
      </c>
      <c r="AP344" s="2">
        <v>0</v>
      </c>
      <c r="AQ344" s="2">
        <v>0</v>
      </c>
    </row>
    <row r="345" spans="1:43" x14ac:dyDescent="0.3">
      <c r="A345" s="1">
        <v>46104</v>
      </c>
      <c r="B345" t="s">
        <v>48</v>
      </c>
      <c r="C345">
        <v>649163</v>
      </c>
      <c r="D345">
        <v>2027996023</v>
      </c>
      <c r="E345" t="s">
        <v>186</v>
      </c>
      <c r="F345" t="s">
        <v>319</v>
      </c>
      <c r="G345" t="s">
        <v>51</v>
      </c>
      <c r="H345" t="s">
        <v>86</v>
      </c>
      <c r="I345" t="s">
        <v>222</v>
      </c>
      <c r="J345" t="s">
        <v>223</v>
      </c>
      <c r="K345">
        <v>821015</v>
      </c>
      <c r="L345" t="s">
        <v>276</v>
      </c>
      <c r="M345" t="s">
        <v>277</v>
      </c>
      <c r="N345" t="s">
        <v>57</v>
      </c>
      <c r="O345" s="1">
        <v>45743</v>
      </c>
      <c r="Q345" s="1">
        <v>46139</v>
      </c>
      <c r="R345" s="2">
        <v>18.350000000000001</v>
      </c>
      <c r="S345">
        <v>1</v>
      </c>
      <c r="T345" t="s">
        <v>58</v>
      </c>
      <c r="U345" t="s">
        <v>260</v>
      </c>
      <c r="V345" s="3">
        <v>0.15</v>
      </c>
      <c r="W345" s="2">
        <v>0</v>
      </c>
      <c r="X345">
        <v>0</v>
      </c>
      <c r="Y345" t="s">
        <v>261</v>
      </c>
      <c r="Z345" t="s">
        <v>262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2.75</v>
      </c>
      <c r="AN345" s="2">
        <v>2.75</v>
      </c>
      <c r="AO345" s="2">
        <v>0</v>
      </c>
      <c r="AP345" s="2">
        <v>0</v>
      </c>
      <c r="AQ345" s="2">
        <v>0</v>
      </c>
    </row>
    <row r="346" spans="1:43" x14ac:dyDescent="0.3">
      <c r="A346" s="1">
        <v>46104</v>
      </c>
      <c r="B346" t="s">
        <v>48</v>
      </c>
      <c r="C346">
        <v>649163</v>
      </c>
      <c r="D346">
        <v>2028000917</v>
      </c>
      <c r="E346" t="s">
        <v>565</v>
      </c>
      <c r="F346" t="s">
        <v>566</v>
      </c>
      <c r="G346" t="s">
        <v>51</v>
      </c>
      <c r="H346" t="s">
        <v>567</v>
      </c>
      <c r="I346" t="s">
        <v>222</v>
      </c>
      <c r="J346" t="s">
        <v>223</v>
      </c>
      <c r="K346">
        <v>824062</v>
      </c>
      <c r="L346" t="s">
        <v>91</v>
      </c>
      <c r="M346" t="s">
        <v>92</v>
      </c>
      <c r="N346" t="s">
        <v>57</v>
      </c>
      <c r="O346" s="1">
        <v>45770</v>
      </c>
      <c r="Q346" s="1">
        <v>46135</v>
      </c>
      <c r="R346" s="2">
        <v>54.98</v>
      </c>
      <c r="S346">
        <v>1</v>
      </c>
      <c r="T346" t="s">
        <v>58</v>
      </c>
      <c r="U346" t="s">
        <v>260</v>
      </c>
      <c r="V346" s="3">
        <v>0.7</v>
      </c>
      <c r="W346" s="2">
        <v>0</v>
      </c>
      <c r="X346">
        <v>0</v>
      </c>
      <c r="Y346" t="s">
        <v>60</v>
      </c>
      <c r="Z346" t="s">
        <v>262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38.49</v>
      </c>
      <c r="AN346" s="2">
        <v>38.49</v>
      </c>
      <c r="AO346" s="2">
        <v>0</v>
      </c>
      <c r="AP346" s="2">
        <v>0</v>
      </c>
      <c r="AQ346" s="2">
        <v>0</v>
      </c>
    </row>
    <row r="347" spans="1:43" x14ac:dyDescent="0.3">
      <c r="A347" s="1">
        <v>46104</v>
      </c>
      <c r="B347" t="s">
        <v>48</v>
      </c>
      <c r="C347">
        <v>649163</v>
      </c>
      <c r="D347">
        <v>2028004035</v>
      </c>
      <c r="E347" t="s">
        <v>320</v>
      </c>
      <c r="F347" t="s">
        <v>321</v>
      </c>
      <c r="G347" t="s">
        <v>51</v>
      </c>
      <c r="H347" t="s">
        <v>112</v>
      </c>
      <c r="I347" t="s">
        <v>222</v>
      </c>
      <c r="J347" t="s">
        <v>223</v>
      </c>
      <c r="K347">
        <v>816021</v>
      </c>
      <c r="L347" t="s">
        <v>311</v>
      </c>
      <c r="M347" t="s">
        <v>312</v>
      </c>
      <c r="N347" t="s">
        <v>57</v>
      </c>
      <c r="O347" s="1">
        <v>45741</v>
      </c>
      <c r="Q347" s="1">
        <v>46137</v>
      </c>
      <c r="R347" s="2">
        <v>9.1</v>
      </c>
      <c r="S347">
        <v>1</v>
      </c>
      <c r="T347" t="s">
        <v>58</v>
      </c>
      <c r="U347" t="s">
        <v>260</v>
      </c>
      <c r="V347" s="3">
        <v>0.15</v>
      </c>
      <c r="W347" s="2">
        <v>0</v>
      </c>
      <c r="X347">
        <v>0</v>
      </c>
      <c r="Y347" t="s">
        <v>261</v>
      </c>
      <c r="Z347" t="s">
        <v>262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1.36</v>
      </c>
      <c r="AN347" s="2">
        <v>1.36</v>
      </c>
      <c r="AO347" s="2">
        <v>0</v>
      </c>
      <c r="AP347" s="2">
        <v>0</v>
      </c>
      <c r="AQ347" s="2">
        <v>0</v>
      </c>
    </row>
    <row r="348" spans="1:43" x14ac:dyDescent="0.3">
      <c r="A348" s="1">
        <v>46104</v>
      </c>
      <c r="B348" t="s">
        <v>48</v>
      </c>
      <c r="C348">
        <v>649163</v>
      </c>
      <c r="D348">
        <v>2028005041</v>
      </c>
      <c r="E348" t="s">
        <v>512</v>
      </c>
      <c r="F348" t="s">
        <v>513</v>
      </c>
      <c r="G348" t="s">
        <v>51</v>
      </c>
      <c r="H348" t="s">
        <v>64</v>
      </c>
      <c r="I348" t="s">
        <v>222</v>
      </c>
      <c r="J348" t="s">
        <v>223</v>
      </c>
      <c r="K348">
        <v>824062</v>
      </c>
      <c r="L348" t="s">
        <v>91</v>
      </c>
      <c r="M348" t="s">
        <v>92</v>
      </c>
      <c r="N348" t="s">
        <v>57</v>
      </c>
      <c r="O348" s="1">
        <v>45741</v>
      </c>
      <c r="Q348" s="1">
        <v>46137</v>
      </c>
      <c r="R348" s="2">
        <v>15.75</v>
      </c>
      <c r="S348">
        <v>1</v>
      </c>
      <c r="T348" t="s">
        <v>58</v>
      </c>
      <c r="U348" t="s">
        <v>260</v>
      </c>
      <c r="V348" s="3">
        <v>0.15</v>
      </c>
      <c r="W348" s="2">
        <v>0</v>
      </c>
      <c r="X348">
        <v>0</v>
      </c>
      <c r="Y348" t="s">
        <v>261</v>
      </c>
      <c r="Z348" t="s">
        <v>262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2.36</v>
      </c>
      <c r="AN348" s="2">
        <v>2.36</v>
      </c>
      <c r="AO348" s="2">
        <v>0</v>
      </c>
      <c r="AP348" s="2">
        <v>0</v>
      </c>
      <c r="AQ348" s="2">
        <v>0</v>
      </c>
    </row>
    <row r="349" spans="1:43" x14ac:dyDescent="0.3">
      <c r="A349" s="1">
        <v>46104</v>
      </c>
      <c r="B349" t="s">
        <v>48</v>
      </c>
      <c r="C349">
        <v>649163</v>
      </c>
      <c r="D349">
        <v>2028007024</v>
      </c>
      <c r="E349" t="s">
        <v>624</v>
      </c>
      <c r="F349" t="s">
        <v>625</v>
      </c>
      <c r="G349" t="s">
        <v>51</v>
      </c>
      <c r="H349" t="s">
        <v>64</v>
      </c>
      <c r="I349" t="s">
        <v>222</v>
      </c>
      <c r="J349" t="s">
        <v>223</v>
      </c>
      <c r="K349">
        <v>760902</v>
      </c>
      <c r="L349" t="s">
        <v>626</v>
      </c>
      <c r="M349" t="s">
        <v>627</v>
      </c>
      <c r="N349" t="s">
        <v>57</v>
      </c>
      <c r="O349" s="1">
        <v>45741</v>
      </c>
      <c r="Q349" s="1">
        <v>46137</v>
      </c>
      <c r="R349" s="2">
        <v>19</v>
      </c>
      <c r="S349">
        <v>1</v>
      </c>
      <c r="T349" t="s">
        <v>58</v>
      </c>
      <c r="U349" t="s">
        <v>260</v>
      </c>
      <c r="V349" s="3">
        <v>0.15</v>
      </c>
      <c r="W349" s="2">
        <v>0</v>
      </c>
      <c r="X349">
        <v>0</v>
      </c>
      <c r="Y349" t="s">
        <v>261</v>
      </c>
      <c r="Z349" t="s">
        <v>262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2.85</v>
      </c>
      <c r="AN349" s="2">
        <v>2.85</v>
      </c>
      <c r="AO349" s="2">
        <v>0</v>
      </c>
      <c r="AP349" s="2">
        <v>0</v>
      </c>
      <c r="AQ349" s="2">
        <v>0</v>
      </c>
    </row>
    <row r="350" spans="1:43" x14ac:dyDescent="0.3">
      <c r="A350" s="1">
        <v>46104</v>
      </c>
      <c r="B350" t="s">
        <v>48</v>
      </c>
      <c r="C350">
        <v>649163</v>
      </c>
      <c r="D350">
        <v>2028019977</v>
      </c>
      <c r="E350" t="s">
        <v>524</v>
      </c>
      <c r="F350" t="s">
        <v>77</v>
      </c>
      <c r="G350" t="s">
        <v>51</v>
      </c>
      <c r="H350" t="s">
        <v>191</v>
      </c>
      <c r="I350" t="s">
        <v>222</v>
      </c>
      <c r="J350" t="s">
        <v>223</v>
      </c>
      <c r="K350">
        <v>822865</v>
      </c>
      <c r="L350" t="s">
        <v>368</v>
      </c>
      <c r="M350" t="s">
        <v>369</v>
      </c>
      <c r="N350" t="s">
        <v>57</v>
      </c>
      <c r="O350" s="1">
        <v>45742</v>
      </c>
      <c r="Q350" s="1">
        <v>46138</v>
      </c>
      <c r="R350" s="2">
        <v>128.80000000000001</v>
      </c>
      <c r="S350">
        <v>1</v>
      </c>
      <c r="T350" t="s">
        <v>58</v>
      </c>
      <c r="U350" t="s">
        <v>260</v>
      </c>
      <c r="V350" s="3">
        <v>0.15</v>
      </c>
      <c r="W350" s="2">
        <v>0</v>
      </c>
      <c r="X350">
        <v>0</v>
      </c>
      <c r="Y350" t="s">
        <v>261</v>
      </c>
      <c r="Z350" t="s">
        <v>262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19.32</v>
      </c>
      <c r="AN350" s="2">
        <v>19.32</v>
      </c>
      <c r="AO350" s="2">
        <v>0</v>
      </c>
      <c r="AP350" s="2">
        <v>0</v>
      </c>
      <c r="AQ350" s="2">
        <v>0</v>
      </c>
    </row>
    <row r="351" spans="1:43" x14ac:dyDescent="0.3">
      <c r="A351" s="1">
        <v>46104</v>
      </c>
      <c r="B351" t="s">
        <v>48</v>
      </c>
      <c r="C351">
        <v>649163</v>
      </c>
      <c r="D351">
        <v>2028498799</v>
      </c>
      <c r="E351" t="s">
        <v>322</v>
      </c>
      <c r="F351" t="s">
        <v>323</v>
      </c>
      <c r="G351" t="s">
        <v>51</v>
      </c>
      <c r="H351" t="s">
        <v>324</v>
      </c>
      <c r="I351" t="s">
        <v>222</v>
      </c>
      <c r="J351" t="s">
        <v>223</v>
      </c>
      <c r="K351">
        <v>823350</v>
      </c>
      <c r="L351" t="s">
        <v>67</v>
      </c>
      <c r="M351" t="s">
        <v>68</v>
      </c>
      <c r="N351" t="s">
        <v>57</v>
      </c>
      <c r="O351" s="1">
        <v>45772</v>
      </c>
      <c r="Q351" s="1">
        <v>46137</v>
      </c>
      <c r="R351" s="2">
        <v>30.58</v>
      </c>
      <c r="S351">
        <v>1</v>
      </c>
      <c r="T351" t="s">
        <v>58</v>
      </c>
      <c r="U351" t="s">
        <v>260</v>
      </c>
      <c r="V351" s="3">
        <v>0.7</v>
      </c>
      <c r="W351" s="2">
        <v>0</v>
      </c>
      <c r="X351">
        <v>0</v>
      </c>
      <c r="Y351" t="s">
        <v>60</v>
      </c>
      <c r="Z351" t="s">
        <v>262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21.41</v>
      </c>
      <c r="AN351" s="2">
        <v>21.41</v>
      </c>
      <c r="AO351" s="2">
        <v>0</v>
      </c>
      <c r="AP351" s="2">
        <v>0</v>
      </c>
      <c r="AQ351" s="2">
        <v>0</v>
      </c>
    </row>
    <row r="352" spans="1:43" x14ac:dyDescent="0.3">
      <c r="A352" s="1">
        <v>46104</v>
      </c>
      <c r="B352" t="s">
        <v>48</v>
      </c>
      <c r="C352">
        <v>649163</v>
      </c>
      <c r="D352">
        <v>2028498801</v>
      </c>
      <c r="E352" t="s">
        <v>322</v>
      </c>
      <c r="F352" t="s">
        <v>323</v>
      </c>
      <c r="G352" t="s">
        <v>51</v>
      </c>
      <c r="H352" t="s">
        <v>324</v>
      </c>
      <c r="I352" t="s">
        <v>222</v>
      </c>
      <c r="J352" t="s">
        <v>224</v>
      </c>
      <c r="K352">
        <v>823350</v>
      </c>
      <c r="L352" t="s">
        <v>67</v>
      </c>
      <c r="M352" t="s">
        <v>68</v>
      </c>
      <c r="N352" t="s">
        <v>57</v>
      </c>
      <c r="O352" s="1">
        <v>45772</v>
      </c>
      <c r="Q352" s="1">
        <v>46137</v>
      </c>
      <c r="R352" s="2">
        <v>56.75</v>
      </c>
      <c r="S352">
        <v>1</v>
      </c>
      <c r="T352" t="s">
        <v>58</v>
      </c>
      <c r="U352" t="s">
        <v>260</v>
      </c>
      <c r="V352" s="3">
        <v>0.9</v>
      </c>
      <c r="W352" s="2">
        <v>0</v>
      </c>
      <c r="X352">
        <v>0</v>
      </c>
      <c r="Y352" t="s">
        <v>60</v>
      </c>
      <c r="Z352" t="s">
        <v>262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51.08</v>
      </c>
      <c r="AN352" s="2">
        <v>51.08</v>
      </c>
      <c r="AO352" s="2">
        <v>0</v>
      </c>
      <c r="AP352" s="2">
        <v>0</v>
      </c>
      <c r="AQ352" s="2">
        <v>0</v>
      </c>
    </row>
    <row r="353" spans="1:43" x14ac:dyDescent="0.3">
      <c r="A353" s="1">
        <v>46104</v>
      </c>
      <c r="B353" t="s">
        <v>48</v>
      </c>
      <c r="C353">
        <v>649163</v>
      </c>
      <c r="D353">
        <v>2028547423</v>
      </c>
      <c r="E353" t="s">
        <v>628</v>
      </c>
      <c r="F353" t="s">
        <v>124</v>
      </c>
      <c r="G353" t="s">
        <v>51</v>
      </c>
      <c r="H353" t="s">
        <v>64</v>
      </c>
      <c r="I353" t="s">
        <v>222</v>
      </c>
      <c r="J353" t="s">
        <v>223</v>
      </c>
      <c r="K353">
        <v>812656</v>
      </c>
      <c r="L353" t="s">
        <v>495</v>
      </c>
      <c r="M353" t="s">
        <v>547</v>
      </c>
      <c r="N353" t="s">
        <v>57</v>
      </c>
      <c r="O353" s="1">
        <v>45770</v>
      </c>
      <c r="Q353" s="1">
        <v>46135</v>
      </c>
      <c r="R353" s="2">
        <v>35.700000000000003</v>
      </c>
      <c r="S353">
        <v>1</v>
      </c>
      <c r="T353" t="s">
        <v>58</v>
      </c>
      <c r="U353" t="s">
        <v>260</v>
      </c>
      <c r="V353" s="3">
        <v>0.7</v>
      </c>
      <c r="W353" s="2">
        <v>0</v>
      </c>
      <c r="X353">
        <v>0</v>
      </c>
      <c r="Y353" t="s">
        <v>60</v>
      </c>
      <c r="Z353" t="s">
        <v>262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24.99</v>
      </c>
      <c r="AN353" s="2">
        <v>24.99</v>
      </c>
      <c r="AO353" s="2">
        <v>0</v>
      </c>
      <c r="AP353" s="2">
        <v>0</v>
      </c>
      <c r="AQ353" s="2">
        <v>0</v>
      </c>
    </row>
    <row r="354" spans="1:43" x14ac:dyDescent="0.3">
      <c r="A354" s="1">
        <v>46104</v>
      </c>
      <c r="B354" t="s">
        <v>48</v>
      </c>
      <c r="C354">
        <v>649163</v>
      </c>
      <c r="D354">
        <v>2028582349</v>
      </c>
      <c r="E354" t="s">
        <v>629</v>
      </c>
      <c r="F354" t="s">
        <v>630</v>
      </c>
      <c r="G354" t="s">
        <v>51</v>
      </c>
      <c r="H354" t="s">
        <v>64</v>
      </c>
      <c r="I354" t="s">
        <v>222</v>
      </c>
      <c r="J354" t="s">
        <v>223</v>
      </c>
      <c r="K354">
        <v>821015</v>
      </c>
      <c r="L354" t="s">
        <v>276</v>
      </c>
      <c r="M354" t="s">
        <v>277</v>
      </c>
      <c r="N354" t="s">
        <v>271</v>
      </c>
      <c r="O354" s="1">
        <v>45784</v>
      </c>
      <c r="P354" s="1">
        <v>46104</v>
      </c>
      <c r="Q354" s="1">
        <v>46119</v>
      </c>
      <c r="R354" s="2">
        <v>-50.01</v>
      </c>
      <c r="S354">
        <v>1</v>
      </c>
      <c r="T354" t="s">
        <v>58</v>
      </c>
      <c r="U354" t="s">
        <v>260</v>
      </c>
      <c r="V354" s="3">
        <v>0.7</v>
      </c>
      <c r="W354" s="2">
        <v>0</v>
      </c>
      <c r="X354">
        <v>-1</v>
      </c>
      <c r="Y354" t="s">
        <v>60</v>
      </c>
      <c r="Z354" t="s">
        <v>262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-35.01</v>
      </c>
      <c r="AN354" s="2">
        <v>-35.01</v>
      </c>
      <c r="AO354" s="2">
        <v>0</v>
      </c>
      <c r="AP354" s="2">
        <v>0</v>
      </c>
      <c r="AQ354" s="2">
        <v>0</v>
      </c>
    </row>
    <row r="355" spans="1:43" x14ac:dyDescent="0.3">
      <c r="A355" s="1">
        <v>46104</v>
      </c>
      <c r="B355" t="s">
        <v>48</v>
      </c>
      <c r="C355">
        <v>649163</v>
      </c>
      <c r="D355">
        <v>2028627543</v>
      </c>
      <c r="E355" t="s">
        <v>514</v>
      </c>
      <c r="F355" t="s">
        <v>515</v>
      </c>
      <c r="G355" t="s">
        <v>51</v>
      </c>
      <c r="H355" t="s">
        <v>300</v>
      </c>
      <c r="I355" t="s">
        <v>222</v>
      </c>
      <c r="J355" t="s">
        <v>223</v>
      </c>
      <c r="K355">
        <v>820873</v>
      </c>
      <c r="L355" t="s">
        <v>438</v>
      </c>
      <c r="M355" t="s">
        <v>439</v>
      </c>
      <c r="N355" t="s">
        <v>57</v>
      </c>
      <c r="O355" s="1">
        <v>45774</v>
      </c>
      <c r="Q355" s="1">
        <v>46139</v>
      </c>
      <c r="R355" s="2">
        <v>11.5</v>
      </c>
      <c r="S355">
        <v>1</v>
      </c>
      <c r="T355" t="s">
        <v>58</v>
      </c>
      <c r="U355" t="s">
        <v>260</v>
      </c>
      <c r="V355" s="3">
        <v>0.7</v>
      </c>
      <c r="W355" s="2">
        <v>0</v>
      </c>
      <c r="X355">
        <v>0</v>
      </c>
      <c r="Y355" t="s">
        <v>60</v>
      </c>
      <c r="Z355" t="s">
        <v>262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8.0500000000000007</v>
      </c>
      <c r="AN355" s="2">
        <v>8.0500000000000007</v>
      </c>
      <c r="AO355" s="2">
        <v>0</v>
      </c>
      <c r="AP355" s="2">
        <v>0</v>
      </c>
      <c r="AQ355" s="2">
        <v>0</v>
      </c>
    </row>
    <row r="356" spans="1:43" x14ac:dyDescent="0.3">
      <c r="A356" s="1">
        <v>46104</v>
      </c>
      <c r="B356" t="s">
        <v>48</v>
      </c>
      <c r="C356">
        <v>649163</v>
      </c>
      <c r="D356">
        <v>2028800424</v>
      </c>
      <c r="E356" t="s">
        <v>631</v>
      </c>
      <c r="F356" t="s">
        <v>632</v>
      </c>
      <c r="G356" t="s">
        <v>51</v>
      </c>
      <c r="H356" t="s">
        <v>332</v>
      </c>
      <c r="I356" t="s">
        <v>222</v>
      </c>
      <c r="J356" t="s">
        <v>223</v>
      </c>
      <c r="K356">
        <v>673059</v>
      </c>
      <c r="L356" t="s">
        <v>76</v>
      </c>
      <c r="M356" t="s">
        <v>77</v>
      </c>
      <c r="N356" t="s">
        <v>57</v>
      </c>
      <c r="O356" s="1">
        <v>45804</v>
      </c>
      <c r="Q356" s="1">
        <v>46139</v>
      </c>
      <c r="R356" s="2">
        <v>141.32</v>
      </c>
      <c r="S356">
        <v>1</v>
      </c>
      <c r="T356" t="s">
        <v>58</v>
      </c>
      <c r="U356" t="s">
        <v>260</v>
      </c>
      <c r="V356" s="3">
        <v>0.7</v>
      </c>
      <c r="W356" s="2">
        <v>0</v>
      </c>
      <c r="X356">
        <v>0</v>
      </c>
      <c r="Y356" t="s">
        <v>60</v>
      </c>
      <c r="Z356" t="s">
        <v>262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98.92</v>
      </c>
      <c r="AN356" s="2">
        <v>98.92</v>
      </c>
      <c r="AO356" s="2">
        <v>0</v>
      </c>
      <c r="AP356" s="2">
        <v>0</v>
      </c>
      <c r="AQ356" s="2">
        <v>0</v>
      </c>
    </row>
    <row r="357" spans="1:43" x14ac:dyDescent="0.3">
      <c r="A357" s="1">
        <v>46104</v>
      </c>
      <c r="B357" t="s">
        <v>48</v>
      </c>
      <c r="C357">
        <v>649163</v>
      </c>
      <c r="D357">
        <v>2028937325</v>
      </c>
      <c r="E357" t="s">
        <v>633</v>
      </c>
      <c r="F357" t="s">
        <v>138</v>
      </c>
      <c r="G357" t="s">
        <v>51</v>
      </c>
      <c r="H357" t="s">
        <v>74</v>
      </c>
      <c r="I357" t="s">
        <v>222</v>
      </c>
      <c r="J357" t="s">
        <v>223</v>
      </c>
      <c r="K357">
        <v>856163</v>
      </c>
      <c r="L357" t="s">
        <v>67</v>
      </c>
      <c r="M357" t="s">
        <v>473</v>
      </c>
      <c r="N357" t="s">
        <v>57</v>
      </c>
      <c r="O357" s="1">
        <v>45792</v>
      </c>
      <c r="Q357" s="1">
        <v>46127</v>
      </c>
      <c r="R357" s="2">
        <v>-163.43</v>
      </c>
      <c r="S357">
        <v>1</v>
      </c>
      <c r="T357" t="s">
        <v>58</v>
      </c>
      <c r="U357" t="s">
        <v>260</v>
      </c>
      <c r="V357" s="3">
        <v>0.7</v>
      </c>
      <c r="W357" s="2">
        <v>0</v>
      </c>
      <c r="X357">
        <v>-1</v>
      </c>
      <c r="Y357" t="s">
        <v>60</v>
      </c>
      <c r="Z357" t="s">
        <v>262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-114.4</v>
      </c>
      <c r="AN357" s="2">
        <v>-114.4</v>
      </c>
      <c r="AO357" s="2">
        <v>0</v>
      </c>
      <c r="AP357" s="2">
        <v>0</v>
      </c>
      <c r="AQ357" s="2">
        <v>0</v>
      </c>
    </row>
    <row r="358" spans="1:43" x14ac:dyDescent="0.3">
      <c r="A358" s="1">
        <v>46104</v>
      </c>
      <c r="B358" t="s">
        <v>48</v>
      </c>
      <c r="C358">
        <v>649163</v>
      </c>
      <c r="D358">
        <v>2029038486</v>
      </c>
      <c r="E358" t="s">
        <v>327</v>
      </c>
      <c r="F358" t="s">
        <v>328</v>
      </c>
      <c r="G358" t="s">
        <v>51</v>
      </c>
      <c r="H358" t="s">
        <v>191</v>
      </c>
      <c r="I358" t="s">
        <v>222</v>
      </c>
      <c r="J358" t="s">
        <v>223</v>
      </c>
      <c r="K358">
        <v>673059</v>
      </c>
      <c r="L358" t="s">
        <v>76</v>
      </c>
      <c r="M358" t="s">
        <v>77</v>
      </c>
      <c r="N358" t="s">
        <v>57</v>
      </c>
      <c r="O358" s="1">
        <v>45798</v>
      </c>
      <c r="Q358" s="1">
        <v>46133</v>
      </c>
      <c r="R358" s="2">
        <v>61.99</v>
      </c>
      <c r="S358">
        <v>1</v>
      </c>
      <c r="T358" t="s">
        <v>58</v>
      </c>
      <c r="U358" t="s">
        <v>260</v>
      </c>
      <c r="V358" s="3">
        <v>0.7</v>
      </c>
      <c r="W358" s="2">
        <v>0</v>
      </c>
      <c r="X358">
        <v>0</v>
      </c>
      <c r="Y358" t="s">
        <v>60</v>
      </c>
      <c r="Z358" t="s">
        <v>262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43.39</v>
      </c>
      <c r="AN358" s="2">
        <v>43.39</v>
      </c>
      <c r="AO358" s="2">
        <v>0</v>
      </c>
      <c r="AP358" s="2">
        <v>0</v>
      </c>
      <c r="AQ358" s="2">
        <v>0</v>
      </c>
    </row>
    <row r="359" spans="1:43" x14ac:dyDescent="0.3">
      <c r="A359" s="1">
        <v>46104</v>
      </c>
      <c r="B359" t="s">
        <v>48</v>
      </c>
      <c r="C359">
        <v>649163</v>
      </c>
      <c r="D359">
        <v>2029039457</v>
      </c>
      <c r="E359" t="s">
        <v>634</v>
      </c>
      <c r="F359" t="s">
        <v>635</v>
      </c>
      <c r="G359" t="s">
        <v>51</v>
      </c>
      <c r="H359" t="s">
        <v>86</v>
      </c>
      <c r="I359" t="s">
        <v>222</v>
      </c>
      <c r="J359" t="s">
        <v>223</v>
      </c>
      <c r="K359">
        <v>767312</v>
      </c>
      <c r="L359" t="s">
        <v>185</v>
      </c>
      <c r="M359" t="s">
        <v>186</v>
      </c>
      <c r="N359" t="s">
        <v>57</v>
      </c>
      <c r="O359" s="1">
        <v>45798</v>
      </c>
      <c r="Q359" s="1">
        <v>46133</v>
      </c>
      <c r="R359" s="2">
        <v>23</v>
      </c>
      <c r="S359">
        <v>1</v>
      </c>
      <c r="T359" t="s">
        <v>58</v>
      </c>
      <c r="U359" t="s">
        <v>260</v>
      </c>
      <c r="V359" s="3">
        <v>0.7</v>
      </c>
      <c r="W359" s="2">
        <v>0</v>
      </c>
      <c r="X359">
        <v>0</v>
      </c>
      <c r="Y359" t="s">
        <v>60</v>
      </c>
      <c r="Z359" t="s">
        <v>262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16.100000000000001</v>
      </c>
      <c r="AN359" s="2">
        <v>16.100000000000001</v>
      </c>
      <c r="AO359" s="2">
        <v>0</v>
      </c>
      <c r="AP359" s="2">
        <v>0</v>
      </c>
      <c r="AQ359" s="2">
        <v>0</v>
      </c>
    </row>
    <row r="360" spans="1:43" x14ac:dyDescent="0.3">
      <c r="A360" s="1">
        <v>46104</v>
      </c>
      <c r="B360" t="s">
        <v>48</v>
      </c>
      <c r="C360">
        <v>649163</v>
      </c>
      <c r="D360">
        <v>2029039458</v>
      </c>
      <c r="E360" t="s">
        <v>634</v>
      </c>
      <c r="F360" t="s">
        <v>635</v>
      </c>
      <c r="G360" t="s">
        <v>51</v>
      </c>
      <c r="H360" t="s">
        <v>86</v>
      </c>
      <c r="I360" t="s">
        <v>222</v>
      </c>
      <c r="J360" t="s">
        <v>224</v>
      </c>
      <c r="K360">
        <v>767312</v>
      </c>
      <c r="L360" t="s">
        <v>185</v>
      </c>
      <c r="M360" t="s">
        <v>186</v>
      </c>
      <c r="N360" t="s">
        <v>57</v>
      </c>
      <c r="O360" s="1">
        <v>45798</v>
      </c>
      <c r="Q360" s="1">
        <v>46133</v>
      </c>
      <c r="R360" s="2">
        <v>48</v>
      </c>
      <c r="S360">
        <v>1</v>
      </c>
      <c r="T360" t="s">
        <v>58</v>
      </c>
      <c r="U360" t="s">
        <v>260</v>
      </c>
      <c r="V360" s="3">
        <v>0.9</v>
      </c>
      <c r="W360" s="2">
        <v>0</v>
      </c>
      <c r="X360">
        <v>0</v>
      </c>
      <c r="Y360" t="s">
        <v>60</v>
      </c>
      <c r="Z360" t="s">
        <v>262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43.2</v>
      </c>
      <c r="AN360" s="2">
        <v>43.2</v>
      </c>
      <c r="AO360" s="2">
        <v>0</v>
      </c>
      <c r="AP360" s="2">
        <v>0</v>
      </c>
      <c r="AQ360" s="2">
        <v>0</v>
      </c>
    </row>
    <row r="361" spans="1:43" x14ac:dyDescent="0.3">
      <c r="A361" s="1">
        <v>46104</v>
      </c>
      <c r="B361" t="s">
        <v>48</v>
      </c>
      <c r="C361">
        <v>649163</v>
      </c>
      <c r="D361">
        <v>2029057172</v>
      </c>
      <c r="E361" t="s">
        <v>636</v>
      </c>
      <c r="F361" t="s">
        <v>637</v>
      </c>
      <c r="G361" t="s">
        <v>51</v>
      </c>
      <c r="H361" t="s">
        <v>300</v>
      </c>
      <c r="I361" t="s">
        <v>222</v>
      </c>
      <c r="J361" t="s">
        <v>223</v>
      </c>
      <c r="K361">
        <v>813184</v>
      </c>
      <c r="L361" t="s">
        <v>398</v>
      </c>
      <c r="M361" t="s">
        <v>399</v>
      </c>
      <c r="N361" t="s">
        <v>57</v>
      </c>
      <c r="O361" s="1">
        <v>45799</v>
      </c>
      <c r="Q361" s="1">
        <v>46134</v>
      </c>
      <c r="R361" s="2">
        <v>78.73</v>
      </c>
      <c r="S361">
        <v>1</v>
      </c>
      <c r="T361" t="s">
        <v>58</v>
      </c>
      <c r="U361" t="s">
        <v>260</v>
      </c>
      <c r="V361" s="3">
        <v>0.7</v>
      </c>
      <c r="W361" s="2">
        <v>0</v>
      </c>
      <c r="X361">
        <v>0</v>
      </c>
      <c r="Y361" t="s">
        <v>60</v>
      </c>
      <c r="Z361" t="s">
        <v>262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55.11</v>
      </c>
      <c r="AN361" s="2">
        <v>55.11</v>
      </c>
      <c r="AO361" s="2">
        <v>0</v>
      </c>
      <c r="AP361" s="2">
        <v>0</v>
      </c>
      <c r="AQ361" s="2">
        <v>0</v>
      </c>
    </row>
    <row r="362" spans="1:43" x14ac:dyDescent="0.3">
      <c r="A362" s="1">
        <v>46104</v>
      </c>
      <c r="B362" t="s">
        <v>48</v>
      </c>
      <c r="C362">
        <v>649163</v>
      </c>
      <c r="D362">
        <v>2029073661</v>
      </c>
      <c r="E362" t="s">
        <v>274</v>
      </c>
      <c r="F362" t="s">
        <v>268</v>
      </c>
      <c r="G362" t="s">
        <v>51</v>
      </c>
      <c r="H362" t="s">
        <v>100</v>
      </c>
      <c r="I362" t="s">
        <v>222</v>
      </c>
      <c r="J362" t="s">
        <v>223</v>
      </c>
      <c r="K362">
        <v>821015</v>
      </c>
      <c r="L362" t="s">
        <v>276</v>
      </c>
      <c r="M362" t="s">
        <v>277</v>
      </c>
      <c r="N362" t="s">
        <v>57</v>
      </c>
      <c r="O362" s="1">
        <v>45801</v>
      </c>
      <c r="Q362" s="1">
        <v>46136</v>
      </c>
      <c r="R362" s="2">
        <v>26.32</v>
      </c>
      <c r="S362">
        <v>1</v>
      </c>
      <c r="T362" t="s">
        <v>58</v>
      </c>
      <c r="U362" t="s">
        <v>260</v>
      </c>
      <c r="V362" s="3">
        <v>0.7</v>
      </c>
      <c r="W362" s="2">
        <v>0</v>
      </c>
      <c r="X362">
        <v>0</v>
      </c>
      <c r="Y362" t="s">
        <v>60</v>
      </c>
      <c r="Z362" t="s">
        <v>262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18.420000000000002</v>
      </c>
      <c r="AN362" s="2">
        <v>18.420000000000002</v>
      </c>
      <c r="AO362" s="2">
        <v>0</v>
      </c>
      <c r="AP362" s="2">
        <v>0</v>
      </c>
      <c r="AQ362" s="2">
        <v>0</v>
      </c>
    </row>
    <row r="363" spans="1:43" x14ac:dyDescent="0.3">
      <c r="A363" s="1">
        <v>46104</v>
      </c>
      <c r="B363" t="s">
        <v>48</v>
      </c>
      <c r="C363">
        <v>649163</v>
      </c>
      <c r="D363">
        <v>2029081352</v>
      </c>
      <c r="E363" t="s">
        <v>236</v>
      </c>
      <c r="F363" t="s">
        <v>490</v>
      </c>
      <c r="G363" t="s">
        <v>51</v>
      </c>
      <c r="H363" t="s">
        <v>64</v>
      </c>
      <c r="I363" t="s">
        <v>222</v>
      </c>
      <c r="J363" t="s">
        <v>223</v>
      </c>
      <c r="K363">
        <v>823350</v>
      </c>
      <c r="L363" t="s">
        <v>67</v>
      </c>
      <c r="M363" t="s">
        <v>68</v>
      </c>
      <c r="N363" t="s">
        <v>57</v>
      </c>
      <c r="O363" s="1">
        <v>45800</v>
      </c>
      <c r="Q363" s="1">
        <v>46135</v>
      </c>
      <c r="R363" s="2">
        <v>11.5</v>
      </c>
      <c r="S363">
        <v>1</v>
      </c>
      <c r="T363" t="s">
        <v>58</v>
      </c>
      <c r="U363" t="s">
        <v>260</v>
      </c>
      <c r="V363" s="3">
        <v>0.7</v>
      </c>
      <c r="W363" s="2">
        <v>0</v>
      </c>
      <c r="X363">
        <v>0</v>
      </c>
      <c r="Y363" t="s">
        <v>60</v>
      </c>
      <c r="Z363" t="s">
        <v>262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8.0500000000000007</v>
      </c>
      <c r="AN363" s="2">
        <v>8.0500000000000007</v>
      </c>
      <c r="AO363" s="2">
        <v>0</v>
      </c>
      <c r="AP363" s="2">
        <v>0</v>
      </c>
      <c r="AQ363" s="2">
        <v>0</v>
      </c>
    </row>
    <row r="364" spans="1:43" x14ac:dyDescent="0.3">
      <c r="A364" s="1">
        <v>46104</v>
      </c>
      <c r="B364" t="s">
        <v>48</v>
      </c>
      <c r="C364">
        <v>649163</v>
      </c>
      <c r="D364">
        <v>2029101373</v>
      </c>
      <c r="E364" t="s">
        <v>329</v>
      </c>
      <c r="F364" t="s">
        <v>330</v>
      </c>
      <c r="G364" t="s">
        <v>51</v>
      </c>
      <c r="H364" t="s">
        <v>86</v>
      </c>
      <c r="I364" t="s">
        <v>222</v>
      </c>
      <c r="J364" t="s">
        <v>224</v>
      </c>
      <c r="K364">
        <v>767312</v>
      </c>
      <c r="L364" t="s">
        <v>185</v>
      </c>
      <c r="M364" t="s">
        <v>186</v>
      </c>
      <c r="N364" t="s">
        <v>57</v>
      </c>
      <c r="O364" s="1">
        <v>45801</v>
      </c>
      <c r="Q364" s="1">
        <v>46136</v>
      </c>
      <c r="R364" s="2">
        <v>33.75</v>
      </c>
      <c r="S364">
        <v>1</v>
      </c>
      <c r="T364" t="s">
        <v>58</v>
      </c>
      <c r="U364" t="s">
        <v>260</v>
      </c>
      <c r="V364" s="3">
        <v>0.9</v>
      </c>
      <c r="W364" s="2">
        <v>0</v>
      </c>
      <c r="X364">
        <v>0</v>
      </c>
      <c r="Y364" t="s">
        <v>60</v>
      </c>
      <c r="Z364" t="s">
        <v>262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30.38</v>
      </c>
      <c r="AN364" s="2">
        <v>30.38</v>
      </c>
      <c r="AO364" s="2">
        <v>0</v>
      </c>
      <c r="AP364" s="2">
        <v>0</v>
      </c>
      <c r="AQ364" s="2">
        <v>0</v>
      </c>
    </row>
    <row r="365" spans="1:43" x14ac:dyDescent="0.3">
      <c r="A365" s="1">
        <v>46104</v>
      </c>
      <c r="B365" t="s">
        <v>48</v>
      </c>
      <c r="C365">
        <v>649163</v>
      </c>
      <c r="D365">
        <v>2029101374</v>
      </c>
      <c r="E365" t="s">
        <v>329</v>
      </c>
      <c r="F365" t="s">
        <v>330</v>
      </c>
      <c r="G365" t="s">
        <v>51</v>
      </c>
      <c r="H365" t="s">
        <v>86</v>
      </c>
      <c r="I365" t="s">
        <v>222</v>
      </c>
      <c r="J365" t="s">
        <v>223</v>
      </c>
      <c r="K365">
        <v>767312</v>
      </c>
      <c r="L365" t="s">
        <v>185</v>
      </c>
      <c r="M365" t="s">
        <v>186</v>
      </c>
      <c r="N365" t="s">
        <v>57</v>
      </c>
      <c r="O365" s="1">
        <v>45801</v>
      </c>
      <c r="Q365" s="1">
        <v>46136</v>
      </c>
      <c r="R365" s="2">
        <v>27.89</v>
      </c>
      <c r="S365">
        <v>1</v>
      </c>
      <c r="T365" t="s">
        <v>58</v>
      </c>
      <c r="U365" t="s">
        <v>260</v>
      </c>
      <c r="V365" s="3">
        <v>0.7</v>
      </c>
      <c r="W365" s="2">
        <v>0</v>
      </c>
      <c r="X365">
        <v>0</v>
      </c>
      <c r="Y365" t="s">
        <v>60</v>
      </c>
      <c r="Z365" t="s">
        <v>262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19.52</v>
      </c>
      <c r="AN365" s="2">
        <v>19.52</v>
      </c>
      <c r="AO365" s="2">
        <v>0</v>
      </c>
      <c r="AP365" s="2">
        <v>0</v>
      </c>
      <c r="AQ365" s="2">
        <v>0</v>
      </c>
    </row>
    <row r="366" spans="1:43" x14ac:dyDescent="0.3">
      <c r="A366" s="1">
        <v>46104</v>
      </c>
      <c r="B366" t="s">
        <v>48</v>
      </c>
      <c r="C366">
        <v>649163</v>
      </c>
      <c r="D366">
        <v>2029112078</v>
      </c>
      <c r="E366" t="s">
        <v>638</v>
      </c>
      <c r="F366" t="s">
        <v>639</v>
      </c>
      <c r="G366" t="s">
        <v>51</v>
      </c>
      <c r="H366" t="s">
        <v>64</v>
      </c>
      <c r="I366" t="s">
        <v>222</v>
      </c>
      <c r="J366" t="s">
        <v>223</v>
      </c>
      <c r="K366">
        <v>812656</v>
      </c>
      <c r="L366" t="s">
        <v>495</v>
      </c>
      <c r="M366" t="s">
        <v>547</v>
      </c>
      <c r="N366" t="s">
        <v>57</v>
      </c>
      <c r="O366" s="1">
        <v>45802</v>
      </c>
      <c r="Q366" s="1">
        <v>46137</v>
      </c>
      <c r="R366" s="2">
        <v>46.08</v>
      </c>
      <c r="S366">
        <v>1</v>
      </c>
      <c r="T366" t="s">
        <v>58</v>
      </c>
      <c r="U366" t="s">
        <v>260</v>
      </c>
      <c r="V366" s="3">
        <v>0.7</v>
      </c>
      <c r="W366" s="2">
        <v>0</v>
      </c>
      <c r="X366">
        <v>0</v>
      </c>
      <c r="Y366" t="s">
        <v>60</v>
      </c>
      <c r="Z366" t="s">
        <v>262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32.26</v>
      </c>
      <c r="AN366" s="2">
        <v>32.26</v>
      </c>
      <c r="AO366" s="2">
        <v>0</v>
      </c>
      <c r="AP366" s="2">
        <v>0</v>
      </c>
      <c r="AQ366" s="2">
        <v>0</v>
      </c>
    </row>
    <row r="367" spans="1:43" x14ac:dyDescent="0.3">
      <c r="A367" s="1">
        <v>46104</v>
      </c>
      <c r="B367" t="s">
        <v>48</v>
      </c>
      <c r="C367">
        <v>649163</v>
      </c>
      <c r="D367">
        <v>2029118392</v>
      </c>
      <c r="E367" t="s">
        <v>640</v>
      </c>
      <c r="F367" t="s">
        <v>641</v>
      </c>
      <c r="G367" t="s">
        <v>51</v>
      </c>
      <c r="H367" t="s">
        <v>64</v>
      </c>
      <c r="I367" t="s">
        <v>222</v>
      </c>
      <c r="J367" t="s">
        <v>223</v>
      </c>
      <c r="K367">
        <v>807212</v>
      </c>
      <c r="L367" t="s">
        <v>246</v>
      </c>
      <c r="M367" t="s">
        <v>247</v>
      </c>
      <c r="N367" t="s">
        <v>57</v>
      </c>
      <c r="O367" s="1">
        <v>45803</v>
      </c>
      <c r="Q367" s="1">
        <v>46138</v>
      </c>
      <c r="R367" s="2">
        <v>76.709999999999994</v>
      </c>
      <c r="S367">
        <v>1</v>
      </c>
      <c r="T367" t="s">
        <v>58</v>
      </c>
      <c r="U367" t="s">
        <v>260</v>
      </c>
      <c r="V367" s="3">
        <v>0.7</v>
      </c>
      <c r="W367" s="2">
        <v>0</v>
      </c>
      <c r="X367">
        <v>0</v>
      </c>
      <c r="Y367" t="s">
        <v>60</v>
      </c>
      <c r="Z367" t="s">
        <v>262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53.7</v>
      </c>
      <c r="AN367" s="2">
        <v>53.7</v>
      </c>
      <c r="AO367" s="2">
        <v>0</v>
      </c>
      <c r="AP367" s="2">
        <v>0</v>
      </c>
      <c r="AQ367" s="2">
        <v>0</v>
      </c>
    </row>
    <row r="368" spans="1:43" x14ac:dyDescent="0.3">
      <c r="A368" s="1">
        <v>46104</v>
      </c>
      <c r="B368" t="s">
        <v>48</v>
      </c>
      <c r="C368">
        <v>649163</v>
      </c>
      <c r="D368">
        <v>2029118625</v>
      </c>
      <c r="E368" t="s">
        <v>640</v>
      </c>
      <c r="F368" t="s">
        <v>642</v>
      </c>
      <c r="G368" t="s">
        <v>51</v>
      </c>
      <c r="H368" t="s">
        <v>64</v>
      </c>
      <c r="I368" t="s">
        <v>222</v>
      </c>
      <c r="J368" t="s">
        <v>223</v>
      </c>
      <c r="K368">
        <v>807212</v>
      </c>
      <c r="L368" t="s">
        <v>246</v>
      </c>
      <c r="M368" t="s">
        <v>247</v>
      </c>
      <c r="N368" t="s">
        <v>57</v>
      </c>
      <c r="O368" s="1">
        <v>45803</v>
      </c>
      <c r="Q368" s="1">
        <v>46138</v>
      </c>
      <c r="R368" s="2">
        <v>51</v>
      </c>
      <c r="S368">
        <v>1</v>
      </c>
      <c r="T368" t="s">
        <v>58</v>
      </c>
      <c r="U368" t="s">
        <v>260</v>
      </c>
      <c r="V368" s="3">
        <v>0.7</v>
      </c>
      <c r="W368" s="2">
        <v>0</v>
      </c>
      <c r="X368">
        <v>0</v>
      </c>
      <c r="Y368" t="s">
        <v>60</v>
      </c>
      <c r="Z368" t="s">
        <v>262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35.700000000000003</v>
      </c>
      <c r="AN368" s="2">
        <v>35.700000000000003</v>
      </c>
      <c r="AO368" s="2">
        <v>0</v>
      </c>
      <c r="AP368" s="2">
        <v>0</v>
      </c>
      <c r="AQ368" s="2">
        <v>0</v>
      </c>
    </row>
    <row r="369" spans="1:43" x14ac:dyDescent="0.3">
      <c r="A369" s="1">
        <v>46104</v>
      </c>
      <c r="B369" t="s">
        <v>48</v>
      </c>
      <c r="C369">
        <v>649163</v>
      </c>
      <c r="D369">
        <v>2029285747</v>
      </c>
      <c r="E369" t="s">
        <v>331</v>
      </c>
      <c r="F369" t="s">
        <v>219</v>
      </c>
      <c r="G369" t="s">
        <v>51</v>
      </c>
      <c r="H369" t="s">
        <v>332</v>
      </c>
      <c r="I369" t="s">
        <v>222</v>
      </c>
      <c r="J369" t="s">
        <v>223</v>
      </c>
      <c r="K369">
        <v>673059</v>
      </c>
      <c r="L369" t="s">
        <v>76</v>
      </c>
      <c r="M369" t="s">
        <v>77</v>
      </c>
      <c r="N369" t="s">
        <v>271</v>
      </c>
      <c r="O369" s="1">
        <v>45839</v>
      </c>
      <c r="P369" s="1">
        <v>46104</v>
      </c>
      <c r="Q369" s="1">
        <v>46113</v>
      </c>
      <c r="R369" s="2">
        <v>-36.619999999999997</v>
      </c>
      <c r="S369">
        <v>1</v>
      </c>
      <c r="T369" t="s">
        <v>58</v>
      </c>
      <c r="U369" t="s">
        <v>260</v>
      </c>
      <c r="V369" s="3">
        <v>0.7</v>
      </c>
      <c r="W369" s="2">
        <v>0</v>
      </c>
      <c r="X369">
        <v>-1</v>
      </c>
      <c r="Y369" t="s">
        <v>60</v>
      </c>
      <c r="Z369" t="s">
        <v>262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-25.63</v>
      </c>
      <c r="AN369" s="2">
        <v>-25.63</v>
      </c>
      <c r="AO369" s="2">
        <v>0</v>
      </c>
      <c r="AP369" s="2">
        <v>0</v>
      </c>
      <c r="AQ369" s="2">
        <v>0</v>
      </c>
    </row>
    <row r="370" spans="1:43" x14ac:dyDescent="0.3">
      <c r="A370" s="1">
        <v>46104</v>
      </c>
      <c r="B370" t="s">
        <v>48</v>
      </c>
      <c r="C370">
        <v>649163</v>
      </c>
      <c r="D370">
        <v>2029567227</v>
      </c>
      <c r="E370" t="s">
        <v>333</v>
      </c>
      <c r="F370" t="s">
        <v>334</v>
      </c>
      <c r="G370" t="s">
        <v>51</v>
      </c>
      <c r="H370" t="s">
        <v>74</v>
      </c>
      <c r="I370" t="s">
        <v>222</v>
      </c>
      <c r="J370" t="s">
        <v>223</v>
      </c>
      <c r="K370">
        <v>767312</v>
      </c>
      <c r="L370" t="s">
        <v>185</v>
      </c>
      <c r="M370" t="s">
        <v>186</v>
      </c>
      <c r="N370" t="s">
        <v>57</v>
      </c>
      <c r="O370" s="1">
        <v>45829</v>
      </c>
      <c r="Q370" s="1">
        <v>46133</v>
      </c>
      <c r="R370" s="2">
        <v>190.26</v>
      </c>
      <c r="S370">
        <v>1</v>
      </c>
      <c r="T370" t="s">
        <v>58</v>
      </c>
      <c r="U370" t="s">
        <v>260</v>
      </c>
      <c r="V370" s="3">
        <v>0.7</v>
      </c>
      <c r="W370" s="2">
        <v>0</v>
      </c>
      <c r="X370">
        <v>0</v>
      </c>
      <c r="Y370" t="s">
        <v>60</v>
      </c>
      <c r="Z370" t="s">
        <v>262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133.18</v>
      </c>
      <c r="AN370" s="2">
        <v>133.18</v>
      </c>
      <c r="AO370" s="2">
        <v>0</v>
      </c>
      <c r="AP370" s="2">
        <v>0</v>
      </c>
      <c r="AQ370" s="2">
        <v>0</v>
      </c>
    </row>
    <row r="371" spans="1:43" x14ac:dyDescent="0.3">
      <c r="A371" s="1">
        <v>46104</v>
      </c>
      <c r="B371" t="s">
        <v>48</v>
      </c>
      <c r="C371">
        <v>649163</v>
      </c>
      <c r="D371">
        <v>2029598584</v>
      </c>
      <c r="E371" t="s">
        <v>643</v>
      </c>
      <c r="F371" t="s">
        <v>644</v>
      </c>
      <c r="G371" t="s">
        <v>51</v>
      </c>
      <c r="H371" t="s">
        <v>64</v>
      </c>
      <c r="I371" t="s">
        <v>222</v>
      </c>
      <c r="J371" t="s">
        <v>223</v>
      </c>
      <c r="K371">
        <v>807212</v>
      </c>
      <c r="L371" t="s">
        <v>246</v>
      </c>
      <c r="M371" t="s">
        <v>247</v>
      </c>
      <c r="N371" t="s">
        <v>57</v>
      </c>
      <c r="O371" s="1">
        <v>45832</v>
      </c>
      <c r="Q371" s="1">
        <v>46136</v>
      </c>
      <c r="R371" s="2">
        <v>90.45</v>
      </c>
      <c r="S371">
        <v>1</v>
      </c>
      <c r="T371" t="s">
        <v>58</v>
      </c>
      <c r="U371" t="s">
        <v>260</v>
      </c>
      <c r="V371" s="3">
        <v>0.7</v>
      </c>
      <c r="W371" s="2">
        <v>0</v>
      </c>
      <c r="X371">
        <v>0</v>
      </c>
      <c r="Y371" t="s">
        <v>60</v>
      </c>
      <c r="Z371" t="s">
        <v>262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63.32</v>
      </c>
      <c r="AN371" s="2">
        <v>63.32</v>
      </c>
      <c r="AO371" s="2">
        <v>0</v>
      </c>
      <c r="AP371" s="2">
        <v>0</v>
      </c>
      <c r="AQ371" s="2">
        <v>0</v>
      </c>
    </row>
    <row r="372" spans="1:43" x14ac:dyDescent="0.3">
      <c r="A372" s="1">
        <v>46104</v>
      </c>
      <c r="B372" t="s">
        <v>48</v>
      </c>
      <c r="C372">
        <v>649163</v>
      </c>
      <c r="D372">
        <v>2029620630</v>
      </c>
      <c r="E372" t="s">
        <v>335</v>
      </c>
      <c r="F372" t="s">
        <v>336</v>
      </c>
      <c r="G372" t="s">
        <v>51</v>
      </c>
      <c r="H372" t="s">
        <v>64</v>
      </c>
      <c r="I372" t="s">
        <v>222</v>
      </c>
      <c r="J372" t="s">
        <v>223</v>
      </c>
      <c r="K372">
        <v>824062</v>
      </c>
      <c r="L372" t="s">
        <v>91</v>
      </c>
      <c r="M372" t="s">
        <v>92</v>
      </c>
      <c r="N372" t="s">
        <v>57</v>
      </c>
      <c r="O372" s="1">
        <v>45833</v>
      </c>
      <c r="Q372" s="1">
        <v>46137</v>
      </c>
      <c r="R372" s="2">
        <v>11.5</v>
      </c>
      <c r="S372">
        <v>1</v>
      </c>
      <c r="T372" t="s">
        <v>58</v>
      </c>
      <c r="U372" t="s">
        <v>260</v>
      </c>
      <c r="V372" s="3">
        <v>0.7</v>
      </c>
      <c r="W372" s="2">
        <v>0</v>
      </c>
      <c r="X372">
        <v>0</v>
      </c>
      <c r="Y372" t="s">
        <v>60</v>
      </c>
      <c r="Z372" t="s">
        <v>262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8.0500000000000007</v>
      </c>
      <c r="AN372" s="2">
        <v>8.0500000000000007</v>
      </c>
      <c r="AO372" s="2">
        <v>0</v>
      </c>
      <c r="AP372" s="2">
        <v>0</v>
      </c>
      <c r="AQ372" s="2">
        <v>0</v>
      </c>
    </row>
    <row r="373" spans="1:43" x14ac:dyDescent="0.3">
      <c r="A373" s="1">
        <v>46104</v>
      </c>
      <c r="B373" t="s">
        <v>48</v>
      </c>
      <c r="C373">
        <v>649163</v>
      </c>
      <c r="D373">
        <v>2029623277</v>
      </c>
      <c r="E373" t="s">
        <v>441</v>
      </c>
      <c r="F373" t="s">
        <v>442</v>
      </c>
      <c r="G373" t="s">
        <v>51</v>
      </c>
      <c r="H373" t="s">
        <v>64</v>
      </c>
      <c r="I373" t="s">
        <v>222</v>
      </c>
      <c r="J373" t="s">
        <v>223</v>
      </c>
      <c r="K373">
        <v>840313</v>
      </c>
      <c r="L373" t="s">
        <v>443</v>
      </c>
      <c r="M373" t="s">
        <v>444</v>
      </c>
      <c r="N373" t="s">
        <v>57</v>
      </c>
      <c r="O373" s="1">
        <v>45833</v>
      </c>
      <c r="Q373" s="1">
        <v>46137</v>
      </c>
      <c r="R373" s="2">
        <v>56.5</v>
      </c>
      <c r="S373">
        <v>1</v>
      </c>
      <c r="T373" t="s">
        <v>58</v>
      </c>
      <c r="U373" t="s">
        <v>260</v>
      </c>
      <c r="V373" s="3">
        <v>0.7</v>
      </c>
      <c r="W373" s="2">
        <v>0</v>
      </c>
      <c r="X373">
        <v>0</v>
      </c>
      <c r="Y373" t="s">
        <v>60</v>
      </c>
      <c r="Z373" t="s">
        <v>262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39.549999999999997</v>
      </c>
      <c r="AN373" s="2">
        <v>39.549999999999997</v>
      </c>
      <c r="AO373" s="2">
        <v>0</v>
      </c>
      <c r="AP373" s="2">
        <v>0</v>
      </c>
      <c r="AQ373" s="2">
        <v>0</v>
      </c>
    </row>
    <row r="374" spans="1:43" x14ac:dyDescent="0.3">
      <c r="A374" s="1">
        <v>46104</v>
      </c>
      <c r="B374" t="s">
        <v>48</v>
      </c>
      <c r="C374">
        <v>649163</v>
      </c>
      <c r="D374">
        <v>2029647651</v>
      </c>
      <c r="E374" t="s">
        <v>645</v>
      </c>
      <c r="F374" t="s">
        <v>646</v>
      </c>
      <c r="G374" t="s">
        <v>51</v>
      </c>
      <c r="H374" t="s">
        <v>64</v>
      </c>
      <c r="I374" t="s">
        <v>222</v>
      </c>
      <c r="J374" t="s">
        <v>224</v>
      </c>
      <c r="K374">
        <v>807212</v>
      </c>
      <c r="L374" t="s">
        <v>246</v>
      </c>
      <c r="M374" t="s">
        <v>247</v>
      </c>
      <c r="N374" t="s">
        <v>57</v>
      </c>
      <c r="O374" s="1">
        <v>45834</v>
      </c>
      <c r="Q374" s="1">
        <v>46138</v>
      </c>
      <c r="R374" s="2">
        <v>17.62</v>
      </c>
      <c r="S374">
        <v>1</v>
      </c>
      <c r="T374" t="s">
        <v>58</v>
      </c>
      <c r="U374" t="s">
        <v>260</v>
      </c>
      <c r="V374" s="3">
        <v>0.9</v>
      </c>
      <c r="W374" s="2">
        <v>0</v>
      </c>
      <c r="X374">
        <v>0</v>
      </c>
      <c r="Y374" t="s">
        <v>60</v>
      </c>
      <c r="Z374" t="s">
        <v>262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15.86</v>
      </c>
      <c r="AN374" s="2">
        <v>15.86</v>
      </c>
      <c r="AO374" s="2">
        <v>0</v>
      </c>
      <c r="AP374" s="2">
        <v>0</v>
      </c>
      <c r="AQ374" s="2">
        <v>0</v>
      </c>
    </row>
    <row r="375" spans="1:43" x14ac:dyDescent="0.3">
      <c r="A375" s="1">
        <v>46104</v>
      </c>
      <c r="B375" t="s">
        <v>48</v>
      </c>
      <c r="C375">
        <v>649163</v>
      </c>
      <c r="D375">
        <v>2029756251</v>
      </c>
      <c r="E375" t="s">
        <v>337</v>
      </c>
      <c r="F375" t="s">
        <v>338</v>
      </c>
      <c r="G375" t="s">
        <v>51</v>
      </c>
      <c r="H375" t="s">
        <v>103</v>
      </c>
      <c r="I375" t="s">
        <v>222</v>
      </c>
      <c r="J375" t="s">
        <v>590</v>
      </c>
      <c r="K375">
        <v>823068</v>
      </c>
      <c r="L375" t="s">
        <v>149</v>
      </c>
      <c r="M375" t="s">
        <v>150</v>
      </c>
      <c r="N375" t="s">
        <v>57</v>
      </c>
      <c r="O375" s="1">
        <v>45843</v>
      </c>
      <c r="Q375" s="1">
        <v>46117</v>
      </c>
      <c r="R375" s="2">
        <v>24.61</v>
      </c>
      <c r="S375">
        <v>1</v>
      </c>
      <c r="T375" t="s">
        <v>58</v>
      </c>
      <c r="U375" t="s">
        <v>260</v>
      </c>
      <c r="V375" s="3">
        <v>0.7</v>
      </c>
      <c r="W375" s="2">
        <v>0</v>
      </c>
      <c r="X375">
        <v>0</v>
      </c>
      <c r="Y375" t="s">
        <v>60</v>
      </c>
      <c r="Z375" t="s">
        <v>262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17.23</v>
      </c>
      <c r="AN375" s="2">
        <v>17.23</v>
      </c>
      <c r="AO375" s="2">
        <v>0</v>
      </c>
      <c r="AP375" s="2">
        <v>0</v>
      </c>
      <c r="AQ375" s="2">
        <v>0</v>
      </c>
    </row>
    <row r="376" spans="1:43" x14ac:dyDescent="0.3">
      <c r="A376" s="1">
        <v>46104</v>
      </c>
      <c r="B376" t="s">
        <v>48</v>
      </c>
      <c r="C376">
        <v>649163</v>
      </c>
      <c r="D376">
        <v>2029851936</v>
      </c>
      <c r="E376" t="s">
        <v>518</v>
      </c>
      <c r="F376" t="s">
        <v>519</v>
      </c>
      <c r="G376" t="s">
        <v>51</v>
      </c>
      <c r="H376" t="s">
        <v>112</v>
      </c>
      <c r="I376" t="s">
        <v>222</v>
      </c>
      <c r="J376" t="s">
        <v>223</v>
      </c>
      <c r="K376">
        <v>824082</v>
      </c>
      <c r="L376" t="s">
        <v>113</v>
      </c>
      <c r="M376" t="s">
        <v>114</v>
      </c>
      <c r="N376" t="s">
        <v>57</v>
      </c>
      <c r="O376" s="1">
        <v>45847</v>
      </c>
      <c r="Q376" s="1">
        <v>46121</v>
      </c>
      <c r="R376" s="2">
        <v>23.38</v>
      </c>
      <c r="S376">
        <v>1</v>
      </c>
      <c r="T376" t="s">
        <v>58</v>
      </c>
      <c r="U376" t="s">
        <v>260</v>
      </c>
      <c r="V376" s="3">
        <v>0.7</v>
      </c>
      <c r="W376" s="2">
        <v>0</v>
      </c>
      <c r="X376">
        <v>0</v>
      </c>
      <c r="Y376" t="s">
        <v>60</v>
      </c>
      <c r="Z376" t="s">
        <v>262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16.37</v>
      </c>
      <c r="AN376" s="2">
        <v>16.37</v>
      </c>
      <c r="AO376" s="2">
        <v>0</v>
      </c>
      <c r="AP376" s="2">
        <v>0</v>
      </c>
      <c r="AQ376" s="2">
        <v>0</v>
      </c>
    </row>
    <row r="377" spans="1:43" x14ac:dyDescent="0.3">
      <c r="A377" s="1">
        <v>46104</v>
      </c>
      <c r="B377" t="s">
        <v>48</v>
      </c>
      <c r="C377">
        <v>649163</v>
      </c>
      <c r="D377">
        <v>2030055437</v>
      </c>
      <c r="E377" t="s">
        <v>647</v>
      </c>
      <c r="F377" t="s">
        <v>648</v>
      </c>
      <c r="G377" t="s">
        <v>51</v>
      </c>
      <c r="H377" t="s">
        <v>64</v>
      </c>
      <c r="I377" t="s">
        <v>222</v>
      </c>
      <c r="J377" t="s">
        <v>223</v>
      </c>
      <c r="K377">
        <v>807212</v>
      </c>
      <c r="L377" t="s">
        <v>246</v>
      </c>
      <c r="M377" t="s">
        <v>247</v>
      </c>
      <c r="N377" t="s">
        <v>271</v>
      </c>
      <c r="O377" s="1">
        <v>45859</v>
      </c>
      <c r="P377" s="1">
        <v>46104</v>
      </c>
      <c r="Q377" s="1">
        <v>46133</v>
      </c>
      <c r="R377" s="2">
        <v>32.200000000000003</v>
      </c>
      <c r="S377">
        <v>1</v>
      </c>
      <c r="T377" t="s">
        <v>58</v>
      </c>
      <c r="U377" t="s">
        <v>260</v>
      </c>
      <c r="V377" s="3">
        <v>0.7</v>
      </c>
      <c r="W377" s="2">
        <v>0</v>
      </c>
      <c r="X377">
        <v>0</v>
      </c>
      <c r="Y377" t="s">
        <v>60</v>
      </c>
      <c r="Z377" t="s">
        <v>262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22.54</v>
      </c>
      <c r="AN377" s="2">
        <v>22.54</v>
      </c>
      <c r="AO377" s="2">
        <v>0</v>
      </c>
      <c r="AP377" s="2">
        <v>0</v>
      </c>
      <c r="AQ377" s="2">
        <v>0</v>
      </c>
    </row>
    <row r="378" spans="1:43" x14ac:dyDescent="0.3">
      <c r="A378" s="1">
        <v>46104</v>
      </c>
      <c r="B378" t="s">
        <v>48</v>
      </c>
      <c r="C378">
        <v>649163</v>
      </c>
      <c r="D378">
        <v>2030055518</v>
      </c>
      <c r="E378" t="s">
        <v>649</v>
      </c>
      <c r="F378" t="s">
        <v>650</v>
      </c>
      <c r="G378" t="s">
        <v>51</v>
      </c>
      <c r="H378" t="s">
        <v>64</v>
      </c>
      <c r="I378" t="s">
        <v>222</v>
      </c>
      <c r="J378" t="s">
        <v>223</v>
      </c>
      <c r="K378">
        <v>807212</v>
      </c>
      <c r="L378" t="s">
        <v>246</v>
      </c>
      <c r="M378" t="s">
        <v>247</v>
      </c>
      <c r="N378" t="s">
        <v>57</v>
      </c>
      <c r="O378" s="1">
        <v>45859</v>
      </c>
      <c r="Q378" s="1">
        <v>46133</v>
      </c>
      <c r="R378" s="2">
        <v>34</v>
      </c>
      <c r="S378">
        <v>1</v>
      </c>
      <c r="T378" t="s">
        <v>58</v>
      </c>
      <c r="U378" t="s">
        <v>260</v>
      </c>
      <c r="V378" s="3">
        <v>0.7</v>
      </c>
      <c r="W378" s="2">
        <v>0</v>
      </c>
      <c r="X378">
        <v>0</v>
      </c>
      <c r="Y378" t="s">
        <v>60</v>
      </c>
      <c r="Z378" t="s">
        <v>262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23.8</v>
      </c>
      <c r="AN378" s="2">
        <v>23.8</v>
      </c>
      <c r="AO378" s="2">
        <v>0</v>
      </c>
      <c r="AP378" s="2">
        <v>0</v>
      </c>
      <c r="AQ378" s="2">
        <v>0</v>
      </c>
    </row>
    <row r="379" spans="1:43" x14ac:dyDescent="0.3">
      <c r="A379" s="1">
        <v>46104</v>
      </c>
      <c r="B379" t="s">
        <v>48</v>
      </c>
      <c r="C379">
        <v>649163</v>
      </c>
      <c r="D379">
        <v>2030076096</v>
      </c>
      <c r="E379" t="s">
        <v>651</v>
      </c>
      <c r="F379" t="s">
        <v>246</v>
      </c>
      <c r="G379" t="s">
        <v>51</v>
      </c>
      <c r="H379" t="s">
        <v>64</v>
      </c>
      <c r="I379" t="s">
        <v>222</v>
      </c>
      <c r="J379" t="s">
        <v>223</v>
      </c>
      <c r="K379">
        <v>807212</v>
      </c>
      <c r="L379" t="s">
        <v>246</v>
      </c>
      <c r="M379" t="s">
        <v>247</v>
      </c>
      <c r="N379" t="s">
        <v>57</v>
      </c>
      <c r="O379" s="1">
        <v>45860</v>
      </c>
      <c r="Q379" s="1">
        <v>46134</v>
      </c>
      <c r="R379" s="2">
        <v>34</v>
      </c>
      <c r="S379">
        <v>1</v>
      </c>
      <c r="T379" t="s">
        <v>58</v>
      </c>
      <c r="U379" t="s">
        <v>260</v>
      </c>
      <c r="V379" s="3">
        <v>0.7</v>
      </c>
      <c r="W379" s="2">
        <v>0</v>
      </c>
      <c r="X379">
        <v>0</v>
      </c>
      <c r="Y379" t="s">
        <v>60</v>
      </c>
      <c r="Z379" t="s">
        <v>262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23.8</v>
      </c>
      <c r="AN379" s="2">
        <v>23.8</v>
      </c>
      <c r="AO379" s="2">
        <v>0</v>
      </c>
      <c r="AP379" s="2">
        <v>0</v>
      </c>
      <c r="AQ379" s="2">
        <v>0</v>
      </c>
    </row>
    <row r="380" spans="1:43" x14ac:dyDescent="0.3">
      <c r="A380" s="1">
        <v>46104</v>
      </c>
      <c r="B380" t="s">
        <v>48</v>
      </c>
      <c r="C380">
        <v>649163</v>
      </c>
      <c r="D380">
        <v>2030079840</v>
      </c>
      <c r="E380" t="s">
        <v>341</v>
      </c>
      <c r="F380" t="s">
        <v>342</v>
      </c>
      <c r="G380" t="s">
        <v>51</v>
      </c>
      <c r="H380" t="s">
        <v>103</v>
      </c>
      <c r="I380" t="s">
        <v>222</v>
      </c>
      <c r="J380" t="s">
        <v>590</v>
      </c>
      <c r="K380">
        <v>823068</v>
      </c>
      <c r="L380" t="s">
        <v>149</v>
      </c>
      <c r="M380" t="s">
        <v>150</v>
      </c>
      <c r="N380" t="s">
        <v>57</v>
      </c>
      <c r="O380" s="1">
        <v>45861</v>
      </c>
      <c r="Q380" s="1">
        <v>46135</v>
      </c>
      <c r="R380" s="2">
        <v>24.61</v>
      </c>
      <c r="S380">
        <v>1</v>
      </c>
      <c r="T380" t="s">
        <v>58</v>
      </c>
      <c r="U380" t="s">
        <v>260</v>
      </c>
      <c r="V380" s="3">
        <v>0.7</v>
      </c>
      <c r="W380" s="2">
        <v>0</v>
      </c>
      <c r="X380">
        <v>0</v>
      </c>
      <c r="Y380" t="s">
        <v>60</v>
      </c>
      <c r="Z380" t="s">
        <v>262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17.23</v>
      </c>
      <c r="AN380" s="2">
        <v>17.23</v>
      </c>
      <c r="AO380" s="2">
        <v>0</v>
      </c>
      <c r="AP380" s="2">
        <v>0</v>
      </c>
      <c r="AQ380" s="2">
        <v>0</v>
      </c>
    </row>
    <row r="381" spans="1:43" x14ac:dyDescent="0.3">
      <c r="A381" s="1">
        <v>46104</v>
      </c>
      <c r="B381" t="s">
        <v>48</v>
      </c>
      <c r="C381">
        <v>649163</v>
      </c>
      <c r="D381">
        <v>2030085143</v>
      </c>
      <c r="E381" t="s">
        <v>343</v>
      </c>
      <c r="F381" t="s">
        <v>344</v>
      </c>
      <c r="G381" t="s">
        <v>51</v>
      </c>
      <c r="H381" t="s">
        <v>64</v>
      </c>
      <c r="I381" t="s">
        <v>222</v>
      </c>
      <c r="J381" t="s">
        <v>223</v>
      </c>
      <c r="K381">
        <v>673059</v>
      </c>
      <c r="L381" t="s">
        <v>76</v>
      </c>
      <c r="M381" t="s">
        <v>77</v>
      </c>
      <c r="N381" t="s">
        <v>57</v>
      </c>
      <c r="O381" s="1">
        <v>45861</v>
      </c>
      <c r="Q381" s="1">
        <v>46135</v>
      </c>
      <c r="R381" s="2">
        <v>153.9</v>
      </c>
      <c r="S381">
        <v>1</v>
      </c>
      <c r="T381" t="s">
        <v>58</v>
      </c>
      <c r="U381" t="s">
        <v>260</v>
      </c>
      <c r="V381" s="3">
        <v>0.7</v>
      </c>
      <c r="W381" s="2">
        <v>0</v>
      </c>
      <c r="X381">
        <v>0</v>
      </c>
      <c r="Y381" t="s">
        <v>60</v>
      </c>
      <c r="Z381" t="s">
        <v>262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107.73</v>
      </c>
      <c r="AN381" s="2">
        <v>107.73</v>
      </c>
      <c r="AO381" s="2">
        <v>0</v>
      </c>
      <c r="AP381" s="2">
        <v>0</v>
      </c>
      <c r="AQ381" s="2">
        <v>0</v>
      </c>
    </row>
    <row r="382" spans="1:43" x14ac:dyDescent="0.3">
      <c r="A382" s="1">
        <v>46104</v>
      </c>
      <c r="B382" t="s">
        <v>48</v>
      </c>
      <c r="C382">
        <v>649163</v>
      </c>
      <c r="D382">
        <v>2030108809</v>
      </c>
      <c r="E382" t="s">
        <v>345</v>
      </c>
      <c r="F382" t="s">
        <v>346</v>
      </c>
      <c r="G382" t="s">
        <v>51</v>
      </c>
      <c r="H382" t="s">
        <v>112</v>
      </c>
      <c r="I382" t="s">
        <v>222</v>
      </c>
      <c r="J382" t="s">
        <v>223</v>
      </c>
      <c r="K382">
        <v>796984</v>
      </c>
      <c r="L382" t="s">
        <v>347</v>
      </c>
      <c r="M382" t="s">
        <v>124</v>
      </c>
      <c r="N382" t="s">
        <v>57</v>
      </c>
      <c r="O382" s="1">
        <v>45862</v>
      </c>
      <c r="Q382" s="1">
        <v>46136</v>
      </c>
      <c r="R382" s="2">
        <v>9.1</v>
      </c>
      <c r="S382">
        <v>1</v>
      </c>
      <c r="T382" t="s">
        <v>58</v>
      </c>
      <c r="U382" t="s">
        <v>260</v>
      </c>
      <c r="V382" s="3">
        <v>0.7</v>
      </c>
      <c r="W382" s="2">
        <v>0</v>
      </c>
      <c r="X382">
        <v>0</v>
      </c>
      <c r="Y382" t="s">
        <v>60</v>
      </c>
      <c r="Z382" t="s">
        <v>262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6.37</v>
      </c>
      <c r="AN382" s="2">
        <v>6.37</v>
      </c>
      <c r="AO382" s="2">
        <v>0</v>
      </c>
      <c r="AP382" s="2">
        <v>0</v>
      </c>
      <c r="AQ382" s="2">
        <v>0</v>
      </c>
    </row>
    <row r="383" spans="1:43" x14ac:dyDescent="0.3">
      <c r="A383" s="1">
        <v>46104</v>
      </c>
      <c r="B383" t="s">
        <v>48</v>
      </c>
      <c r="C383">
        <v>649163</v>
      </c>
      <c r="D383">
        <v>2030114522</v>
      </c>
      <c r="E383" t="s">
        <v>652</v>
      </c>
      <c r="F383" t="s">
        <v>653</v>
      </c>
      <c r="G383" t="s">
        <v>51</v>
      </c>
      <c r="H383" t="s">
        <v>64</v>
      </c>
      <c r="I383" t="s">
        <v>222</v>
      </c>
      <c r="J383" t="s">
        <v>223</v>
      </c>
      <c r="K383">
        <v>839554</v>
      </c>
      <c r="L383" t="s">
        <v>654</v>
      </c>
      <c r="M383" t="s">
        <v>655</v>
      </c>
      <c r="N383" t="s">
        <v>57</v>
      </c>
      <c r="O383" s="1">
        <v>45863</v>
      </c>
      <c r="Q383" s="1">
        <v>46137</v>
      </c>
      <c r="R383" s="2">
        <v>207.64</v>
      </c>
      <c r="S383">
        <v>1</v>
      </c>
      <c r="T383" t="s">
        <v>58</v>
      </c>
      <c r="U383" t="s">
        <v>260</v>
      </c>
      <c r="V383" s="3">
        <v>0.7</v>
      </c>
      <c r="W383" s="2">
        <v>0</v>
      </c>
      <c r="X383">
        <v>0</v>
      </c>
      <c r="Y383" t="s">
        <v>60</v>
      </c>
      <c r="Z383" t="s">
        <v>262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145.35</v>
      </c>
      <c r="AN383" s="2">
        <v>145.35</v>
      </c>
      <c r="AO383" s="2">
        <v>0</v>
      </c>
      <c r="AP383" s="2">
        <v>0</v>
      </c>
      <c r="AQ383" s="2">
        <v>0</v>
      </c>
    </row>
    <row r="384" spans="1:43" x14ac:dyDescent="0.3">
      <c r="A384" s="1">
        <v>46104</v>
      </c>
      <c r="B384" t="s">
        <v>48</v>
      </c>
      <c r="C384">
        <v>649163</v>
      </c>
      <c r="D384">
        <v>2030117415</v>
      </c>
      <c r="E384" t="s">
        <v>656</v>
      </c>
      <c r="F384" t="s">
        <v>657</v>
      </c>
      <c r="G384" t="s">
        <v>51</v>
      </c>
      <c r="H384" t="s">
        <v>324</v>
      </c>
      <c r="I384" t="s">
        <v>222</v>
      </c>
      <c r="J384" t="s">
        <v>224</v>
      </c>
      <c r="K384">
        <v>767312</v>
      </c>
      <c r="L384" t="s">
        <v>185</v>
      </c>
      <c r="M384" t="s">
        <v>186</v>
      </c>
      <c r="N384" t="s">
        <v>57</v>
      </c>
      <c r="O384" s="1">
        <v>45863</v>
      </c>
      <c r="Q384" s="1">
        <v>46137</v>
      </c>
      <c r="R384" s="2">
        <v>69.08</v>
      </c>
      <c r="S384">
        <v>1</v>
      </c>
      <c r="T384" t="s">
        <v>58</v>
      </c>
      <c r="U384" t="s">
        <v>260</v>
      </c>
      <c r="V384" s="3">
        <v>0.9</v>
      </c>
      <c r="W384" s="2">
        <v>0</v>
      </c>
      <c r="X384">
        <v>0</v>
      </c>
      <c r="Y384" t="s">
        <v>60</v>
      </c>
      <c r="Z384" t="s">
        <v>262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62.17</v>
      </c>
      <c r="AN384" s="2">
        <v>62.17</v>
      </c>
      <c r="AO384" s="2">
        <v>0</v>
      </c>
      <c r="AP384" s="2">
        <v>0</v>
      </c>
      <c r="AQ384" s="2">
        <v>0</v>
      </c>
    </row>
    <row r="385" spans="1:43" x14ac:dyDescent="0.3">
      <c r="A385" s="1">
        <v>46104</v>
      </c>
      <c r="B385" t="s">
        <v>48</v>
      </c>
      <c r="C385">
        <v>649163</v>
      </c>
      <c r="D385">
        <v>2030125457</v>
      </c>
      <c r="E385" t="s">
        <v>520</v>
      </c>
      <c r="F385" t="s">
        <v>521</v>
      </c>
      <c r="G385" t="s">
        <v>51</v>
      </c>
      <c r="H385" t="s">
        <v>74</v>
      </c>
      <c r="I385" t="s">
        <v>222</v>
      </c>
      <c r="J385" t="s">
        <v>223</v>
      </c>
      <c r="K385">
        <v>856163</v>
      </c>
      <c r="L385" t="s">
        <v>67</v>
      </c>
      <c r="M385" t="s">
        <v>473</v>
      </c>
      <c r="N385" t="s">
        <v>57</v>
      </c>
      <c r="O385" s="1">
        <v>45863</v>
      </c>
      <c r="Q385" s="1">
        <v>46137</v>
      </c>
      <c r="R385" s="2">
        <v>13</v>
      </c>
      <c r="S385">
        <v>1</v>
      </c>
      <c r="T385" t="s">
        <v>58</v>
      </c>
      <c r="U385" t="s">
        <v>260</v>
      </c>
      <c r="V385" s="3">
        <v>0.7</v>
      </c>
      <c r="W385" s="2">
        <v>0</v>
      </c>
      <c r="X385">
        <v>0</v>
      </c>
      <c r="Y385" t="s">
        <v>60</v>
      </c>
      <c r="Z385" t="s">
        <v>262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9.1</v>
      </c>
      <c r="AN385" s="2">
        <v>9.1</v>
      </c>
      <c r="AO385" s="2">
        <v>0</v>
      </c>
      <c r="AP385" s="2">
        <v>0</v>
      </c>
      <c r="AQ385" s="2">
        <v>0</v>
      </c>
    </row>
    <row r="386" spans="1:43" x14ac:dyDescent="0.3">
      <c r="A386" s="1">
        <v>46104</v>
      </c>
      <c r="B386" t="s">
        <v>48</v>
      </c>
      <c r="C386">
        <v>649163</v>
      </c>
      <c r="D386">
        <v>2030129459</v>
      </c>
      <c r="E386" t="s">
        <v>558</v>
      </c>
      <c r="F386" t="s">
        <v>658</v>
      </c>
      <c r="G386" t="s">
        <v>51</v>
      </c>
      <c r="H386" t="s">
        <v>139</v>
      </c>
      <c r="I386" t="s">
        <v>222</v>
      </c>
      <c r="J386" t="s">
        <v>223</v>
      </c>
      <c r="K386">
        <v>822865</v>
      </c>
      <c r="L386" t="s">
        <v>368</v>
      </c>
      <c r="M386" t="s">
        <v>369</v>
      </c>
      <c r="N386" t="s">
        <v>57</v>
      </c>
      <c r="O386" s="1">
        <v>45863</v>
      </c>
      <c r="Q386" s="1">
        <v>46137</v>
      </c>
      <c r="R386" s="2">
        <v>30.68</v>
      </c>
      <c r="S386">
        <v>1</v>
      </c>
      <c r="T386" t="s">
        <v>58</v>
      </c>
      <c r="U386" t="s">
        <v>260</v>
      </c>
      <c r="V386" s="3">
        <v>0.7</v>
      </c>
      <c r="W386" s="2">
        <v>0</v>
      </c>
      <c r="X386">
        <v>0</v>
      </c>
      <c r="Y386" t="s">
        <v>60</v>
      </c>
      <c r="Z386" t="s">
        <v>262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21.48</v>
      </c>
      <c r="AN386" s="2">
        <v>21.48</v>
      </c>
      <c r="AO386" s="2">
        <v>0</v>
      </c>
      <c r="AP386" s="2">
        <v>0</v>
      </c>
      <c r="AQ386" s="2">
        <v>0</v>
      </c>
    </row>
    <row r="387" spans="1:43" x14ac:dyDescent="0.3">
      <c r="A387" s="1">
        <v>46104</v>
      </c>
      <c r="B387" t="s">
        <v>48</v>
      </c>
      <c r="C387">
        <v>649163</v>
      </c>
      <c r="D387">
        <v>2030313588</v>
      </c>
      <c r="E387" t="s">
        <v>659</v>
      </c>
      <c r="F387" t="s">
        <v>660</v>
      </c>
      <c r="G387" t="s">
        <v>51</v>
      </c>
      <c r="H387" t="s">
        <v>86</v>
      </c>
      <c r="I387" t="s">
        <v>222</v>
      </c>
      <c r="J387" t="s">
        <v>223</v>
      </c>
      <c r="K387">
        <v>673059</v>
      </c>
      <c r="L387" t="s">
        <v>76</v>
      </c>
      <c r="M387" t="s">
        <v>77</v>
      </c>
      <c r="N387" t="s">
        <v>57</v>
      </c>
      <c r="O387" s="1">
        <v>45894</v>
      </c>
      <c r="Q387" s="1">
        <v>46137</v>
      </c>
      <c r="R387" s="2">
        <v>120.91</v>
      </c>
      <c r="S387">
        <v>1</v>
      </c>
      <c r="T387" t="s">
        <v>58</v>
      </c>
      <c r="U387" t="s">
        <v>260</v>
      </c>
      <c r="V387" s="3">
        <v>0.7</v>
      </c>
      <c r="W387" s="2">
        <v>0</v>
      </c>
      <c r="X387">
        <v>0</v>
      </c>
      <c r="Y387" t="s">
        <v>60</v>
      </c>
      <c r="Z387" t="s">
        <v>262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84.64</v>
      </c>
      <c r="AN387" s="2">
        <v>84.64</v>
      </c>
      <c r="AO387" s="2">
        <v>0</v>
      </c>
      <c r="AP387" s="2">
        <v>0</v>
      </c>
      <c r="AQ387" s="2">
        <v>0</v>
      </c>
    </row>
    <row r="388" spans="1:43" x14ac:dyDescent="0.3">
      <c r="A388" s="1">
        <v>46104</v>
      </c>
      <c r="B388" t="s">
        <v>48</v>
      </c>
      <c r="C388">
        <v>649163</v>
      </c>
      <c r="D388">
        <v>2030315872</v>
      </c>
      <c r="E388" t="s">
        <v>348</v>
      </c>
      <c r="F388" t="s">
        <v>349</v>
      </c>
      <c r="G388" t="s">
        <v>51</v>
      </c>
      <c r="H388" t="s">
        <v>103</v>
      </c>
      <c r="I388" t="s">
        <v>222</v>
      </c>
      <c r="J388" t="s">
        <v>228</v>
      </c>
      <c r="K388">
        <v>823068</v>
      </c>
      <c r="L388" t="s">
        <v>149</v>
      </c>
      <c r="M388" t="s">
        <v>150</v>
      </c>
      <c r="N388" t="s">
        <v>57</v>
      </c>
      <c r="O388" s="1">
        <v>45890</v>
      </c>
      <c r="Q388" s="1">
        <v>46133</v>
      </c>
      <c r="R388" s="2">
        <v>43.86</v>
      </c>
      <c r="S388">
        <v>1</v>
      </c>
      <c r="T388" t="s">
        <v>58</v>
      </c>
      <c r="U388" t="s">
        <v>260</v>
      </c>
      <c r="V388" s="3">
        <v>0.42</v>
      </c>
      <c r="W388" s="2">
        <v>0</v>
      </c>
      <c r="X388">
        <v>0</v>
      </c>
      <c r="Y388" t="s">
        <v>60</v>
      </c>
      <c r="Z388" t="s">
        <v>262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18.420000000000002</v>
      </c>
      <c r="AN388" s="2">
        <v>18.420000000000002</v>
      </c>
      <c r="AO388" s="2">
        <v>0</v>
      </c>
      <c r="AP388" s="2">
        <v>0</v>
      </c>
      <c r="AQ388" s="2">
        <v>0</v>
      </c>
    </row>
    <row r="389" spans="1:43" x14ac:dyDescent="0.3">
      <c r="A389" s="1">
        <v>46104</v>
      </c>
      <c r="B389" t="s">
        <v>48</v>
      </c>
      <c r="C389">
        <v>649163</v>
      </c>
      <c r="D389">
        <v>2030315873</v>
      </c>
      <c r="E389" t="s">
        <v>348</v>
      </c>
      <c r="F389" t="s">
        <v>349</v>
      </c>
      <c r="G389" t="s">
        <v>51</v>
      </c>
      <c r="H389" t="s">
        <v>103</v>
      </c>
      <c r="I389" t="s">
        <v>222</v>
      </c>
      <c r="J389" t="s">
        <v>590</v>
      </c>
      <c r="K389">
        <v>823068</v>
      </c>
      <c r="L389" t="s">
        <v>149</v>
      </c>
      <c r="M389" t="s">
        <v>150</v>
      </c>
      <c r="N389" t="s">
        <v>57</v>
      </c>
      <c r="O389" s="1">
        <v>45890</v>
      </c>
      <c r="Q389" s="1">
        <v>46133</v>
      </c>
      <c r="R389" s="2">
        <v>24.61</v>
      </c>
      <c r="S389">
        <v>1</v>
      </c>
      <c r="T389" t="s">
        <v>58</v>
      </c>
      <c r="U389" t="s">
        <v>260</v>
      </c>
      <c r="V389" s="3">
        <v>0.7</v>
      </c>
      <c r="W389" s="2">
        <v>0</v>
      </c>
      <c r="X389">
        <v>0</v>
      </c>
      <c r="Y389" t="s">
        <v>60</v>
      </c>
      <c r="Z389" t="s">
        <v>262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17.23</v>
      </c>
      <c r="AN389" s="2">
        <v>17.23</v>
      </c>
      <c r="AO389" s="2">
        <v>0</v>
      </c>
      <c r="AP389" s="2">
        <v>0</v>
      </c>
      <c r="AQ389" s="2">
        <v>0</v>
      </c>
    </row>
    <row r="390" spans="1:43" x14ac:dyDescent="0.3">
      <c r="A390" s="1">
        <v>46104</v>
      </c>
      <c r="B390" t="s">
        <v>48</v>
      </c>
      <c r="C390">
        <v>649163</v>
      </c>
      <c r="D390">
        <v>2030461447</v>
      </c>
      <c r="E390" t="s">
        <v>266</v>
      </c>
      <c r="F390" t="s">
        <v>661</v>
      </c>
      <c r="G390" t="s">
        <v>51</v>
      </c>
      <c r="H390" t="s">
        <v>597</v>
      </c>
      <c r="I390" t="s">
        <v>222</v>
      </c>
      <c r="J390" t="s">
        <v>224</v>
      </c>
      <c r="K390">
        <v>767312</v>
      </c>
      <c r="L390" t="s">
        <v>185</v>
      </c>
      <c r="M390" t="s">
        <v>186</v>
      </c>
      <c r="N390" t="s">
        <v>57</v>
      </c>
      <c r="O390" s="1">
        <v>45892</v>
      </c>
      <c r="Q390" s="1">
        <v>46135</v>
      </c>
      <c r="R390" s="2">
        <v>51.25</v>
      </c>
      <c r="S390">
        <v>1</v>
      </c>
      <c r="T390" t="s">
        <v>58</v>
      </c>
      <c r="U390" t="s">
        <v>260</v>
      </c>
      <c r="V390" s="3">
        <v>0.9</v>
      </c>
      <c r="W390" s="2">
        <v>0</v>
      </c>
      <c r="X390">
        <v>0</v>
      </c>
      <c r="Y390" t="s">
        <v>60</v>
      </c>
      <c r="Z390" t="s">
        <v>262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46.12</v>
      </c>
      <c r="AN390" s="2">
        <v>46.12</v>
      </c>
      <c r="AO390" s="2">
        <v>0</v>
      </c>
      <c r="AP390" s="2">
        <v>0</v>
      </c>
      <c r="AQ390" s="2">
        <v>0</v>
      </c>
    </row>
    <row r="391" spans="1:43" x14ac:dyDescent="0.3">
      <c r="A391" s="1">
        <v>46104</v>
      </c>
      <c r="B391" t="s">
        <v>48</v>
      </c>
      <c r="C391">
        <v>649163</v>
      </c>
      <c r="D391">
        <v>2030567353</v>
      </c>
      <c r="E391" t="s">
        <v>295</v>
      </c>
      <c r="F391" t="s">
        <v>350</v>
      </c>
      <c r="G391" t="s">
        <v>51</v>
      </c>
      <c r="H391" t="s">
        <v>103</v>
      </c>
      <c r="I391" t="s">
        <v>222</v>
      </c>
      <c r="J391" t="s">
        <v>590</v>
      </c>
      <c r="K391">
        <v>823068</v>
      </c>
      <c r="L391" t="s">
        <v>149</v>
      </c>
      <c r="M391" t="s">
        <v>150</v>
      </c>
      <c r="N391" t="s">
        <v>57</v>
      </c>
      <c r="O391" s="1">
        <v>45892</v>
      </c>
      <c r="Q391" s="1">
        <v>46135</v>
      </c>
      <c r="R391" s="2">
        <v>24.61</v>
      </c>
      <c r="S391">
        <v>1</v>
      </c>
      <c r="T391" t="s">
        <v>58</v>
      </c>
      <c r="U391" t="s">
        <v>260</v>
      </c>
      <c r="V391" s="3">
        <v>0.7</v>
      </c>
      <c r="W391" s="2">
        <v>0</v>
      </c>
      <c r="X391">
        <v>0</v>
      </c>
      <c r="Y391" t="s">
        <v>60</v>
      </c>
      <c r="Z391" t="s">
        <v>262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17.23</v>
      </c>
      <c r="AN391" s="2">
        <v>17.23</v>
      </c>
      <c r="AO391" s="2">
        <v>0</v>
      </c>
      <c r="AP391" s="2">
        <v>0</v>
      </c>
      <c r="AQ391" s="2">
        <v>0</v>
      </c>
    </row>
    <row r="392" spans="1:43" x14ac:dyDescent="0.3">
      <c r="A392" s="1">
        <v>46104</v>
      </c>
      <c r="B392" t="s">
        <v>48</v>
      </c>
      <c r="C392">
        <v>649163</v>
      </c>
      <c r="D392">
        <v>2030567355</v>
      </c>
      <c r="E392" t="s">
        <v>295</v>
      </c>
      <c r="F392" t="s">
        <v>350</v>
      </c>
      <c r="G392" t="s">
        <v>51</v>
      </c>
      <c r="H392" t="s">
        <v>103</v>
      </c>
      <c r="I392" t="s">
        <v>222</v>
      </c>
      <c r="J392" t="s">
        <v>228</v>
      </c>
      <c r="K392">
        <v>823068</v>
      </c>
      <c r="L392" t="s">
        <v>149</v>
      </c>
      <c r="M392" t="s">
        <v>150</v>
      </c>
      <c r="N392" t="s">
        <v>57</v>
      </c>
      <c r="O392" s="1">
        <v>45892</v>
      </c>
      <c r="Q392" s="1">
        <v>46135</v>
      </c>
      <c r="R392" s="2">
        <v>38.85</v>
      </c>
      <c r="S392">
        <v>1</v>
      </c>
      <c r="T392" t="s">
        <v>58</v>
      </c>
      <c r="U392" t="s">
        <v>260</v>
      </c>
      <c r="V392" s="3">
        <v>0.42</v>
      </c>
      <c r="W392" s="2">
        <v>0</v>
      </c>
      <c r="X392">
        <v>0</v>
      </c>
      <c r="Y392" t="s">
        <v>60</v>
      </c>
      <c r="Z392" t="s">
        <v>262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16.32</v>
      </c>
      <c r="AN392" s="2">
        <v>16.32</v>
      </c>
      <c r="AO392" s="2">
        <v>0</v>
      </c>
      <c r="AP392" s="2">
        <v>0</v>
      </c>
      <c r="AQ392" s="2">
        <v>0</v>
      </c>
    </row>
    <row r="393" spans="1:43" x14ac:dyDescent="0.3">
      <c r="A393" s="1">
        <v>46104</v>
      </c>
      <c r="B393" t="s">
        <v>48</v>
      </c>
      <c r="C393">
        <v>649163</v>
      </c>
      <c r="D393">
        <v>2030594253</v>
      </c>
      <c r="E393" t="s">
        <v>662</v>
      </c>
      <c r="F393" t="s">
        <v>663</v>
      </c>
      <c r="G393" t="s">
        <v>51</v>
      </c>
      <c r="H393" t="s">
        <v>64</v>
      </c>
      <c r="I393" t="s">
        <v>222</v>
      </c>
      <c r="J393" t="s">
        <v>223</v>
      </c>
      <c r="K393">
        <v>807212</v>
      </c>
      <c r="L393" t="s">
        <v>246</v>
      </c>
      <c r="M393" t="s">
        <v>247</v>
      </c>
      <c r="N393" t="s">
        <v>57</v>
      </c>
      <c r="O393" s="1">
        <v>45890</v>
      </c>
      <c r="Q393" s="1">
        <v>46133</v>
      </c>
      <c r="R393" s="2">
        <v>58.24</v>
      </c>
      <c r="S393">
        <v>1</v>
      </c>
      <c r="T393" t="s">
        <v>58</v>
      </c>
      <c r="U393" t="s">
        <v>260</v>
      </c>
      <c r="V393" s="3">
        <v>0.7</v>
      </c>
      <c r="W393" s="2">
        <v>0</v>
      </c>
      <c r="X393">
        <v>0</v>
      </c>
      <c r="Y393" t="s">
        <v>60</v>
      </c>
      <c r="Z393" t="s">
        <v>262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40.770000000000003</v>
      </c>
      <c r="AN393" s="2">
        <v>40.770000000000003</v>
      </c>
      <c r="AO393" s="2">
        <v>0</v>
      </c>
      <c r="AP393" s="2">
        <v>0</v>
      </c>
      <c r="AQ393" s="2">
        <v>0</v>
      </c>
    </row>
    <row r="394" spans="1:43" x14ac:dyDescent="0.3">
      <c r="A394" s="1">
        <v>46104</v>
      </c>
      <c r="B394" t="s">
        <v>48</v>
      </c>
      <c r="C394">
        <v>649163</v>
      </c>
      <c r="D394">
        <v>2030613892</v>
      </c>
      <c r="E394" t="s">
        <v>664</v>
      </c>
      <c r="F394" t="s">
        <v>665</v>
      </c>
      <c r="G394" t="s">
        <v>51</v>
      </c>
      <c r="H394" t="s">
        <v>64</v>
      </c>
      <c r="I394" t="s">
        <v>222</v>
      </c>
      <c r="J394" t="s">
        <v>223</v>
      </c>
      <c r="K394">
        <v>812656</v>
      </c>
      <c r="L394" t="s">
        <v>495</v>
      </c>
      <c r="M394" t="s">
        <v>547</v>
      </c>
      <c r="N394" t="s">
        <v>57</v>
      </c>
      <c r="O394" s="1">
        <v>45891</v>
      </c>
      <c r="Q394" s="1">
        <v>46134</v>
      </c>
      <c r="R394" s="2">
        <v>110.16</v>
      </c>
      <c r="S394">
        <v>1</v>
      </c>
      <c r="T394" t="s">
        <v>58</v>
      </c>
      <c r="U394" t="s">
        <v>260</v>
      </c>
      <c r="V394" s="3">
        <v>0.7</v>
      </c>
      <c r="W394" s="2">
        <v>0</v>
      </c>
      <c r="X394">
        <v>0</v>
      </c>
      <c r="Y394" t="s">
        <v>60</v>
      </c>
      <c r="Z394" t="s">
        <v>262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77.11</v>
      </c>
      <c r="AN394" s="2">
        <v>77.11</v>
      </c>
      <c r="AO394" s="2">
        <v>0</v>
      </c>
      <c r="AP394" s="2">
        <v>0</v>
      </c>
      <c r="AQ394" s="2">
        <v>0</v>
      </c>
    </row>
    <row r="395" spans="1:43" x14ac:dyDescent="0.3">
      <c r="A395" s="1">
        <v>46104</v>
      </c>
      <c r="B395" t="s">
        <v>48</v>
      </c>
      <c r="C395">
        <v>649163</v>
      </c>
      <c r="D395">
        <v>2030678354</v>
      </c>
      <c r="E395" t="s">
        <v>351</v>
      </c>
      <c r="F395" t="s">
        <v>352</v>
      </c>
      <c r="G395" t="s">
        <v>51</v>
      </c>
      <c r="H395" t="s">
        <v>112</v>
      </c>
      <c r="I395" t="s">
        <v>222</v>
      </c>
      <c r="J395" t="s">
        <v>223</v>
      </c>
      <c r="K395">
        <v>816021</v>
      </c>
      <c r="L395" t="s">
        <v>311</v>
      </c>
      <c r="M395" t="s">
        <v>312</v>
      </c>
      <c r="N395" t="s">
        <v>57</v>
      </c>
      <c r="O395" s="1">
        <v>45901</v>
      </c>
      <c r="Q395" s="1">
        <v>46113</v>
      </c>
      <c r="R395" s="2">
        <v>-9.1</v>
      </c>
      <c r="S395">
        <v>1</v>
      </c>
      <c r="T395" t="s">
        <v>58</v>
      </c>
      <c r="U395" t="s">
        <v>260</v>
      </c>
      <c r="V395" s="3">
        <v>0.7</v>
      </c>
      <c r="W395" s="2">
        <v>0</v>
      </c>
      <c r="X395">
        <v>-1</v>
      </c>
      <c r="Y395" t="s">
        <v>60</v>
      </c>
      <c r="Z395" t="s">
        <v>262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-6.37</v>
      </c>
      <c r="AN395" s="2">
        <v>-6.37</v>
      </c>
      <c r="AO395" s="2">
        <v>0</v>
      </c>
      <c r="AP395" s="2">
        <v>0</v>
      </c>
      <c r="AQ395" s="2">
        <v>0</v>
      </c>
    </row>
    <row r="396" spans="1:43" x14ac:dyDescent="0.3">
      <c r="A396" s="1">
        <v>46104</v>
      </c>
      <c r="B396" t="s">
        <v>48</v>
      </c>
      <c r="C396">
        <v>649163</v>
      </c>
      <c r="D396">
        <v>2030697182</v>
      </c>
      <c r="E396" t="s">
        <v>278</v>
      </c>
      <c r="F396" t="s">
        <v>279</v>
      </c>
      <c r="G396" t="s">
        <v>51</v>
      </c>
      <c r="H396" t="s">
        <v>52</v>
      </c>
      <c r="I396" t="s">
        <v>222</v>
      </c>
      <c r="J396" t="s">
        <v>224</v>
      </c>
      <c r="K396">
        <v>885445</v>
      </c>
      <c r="L396" t="s">
        <v>55</v>
      </c>
      <c r="M396" t="s">
        <v>56</v>
      </c>
      <c r="N396" t="s">
        <v>57</v>
      </c>
      <c r="O396" s="1">
        <v>45901</v>
      </c>
      <c r="Q396" s="1">
        <v>46113</v>
      </c>
      <c r="R396" s="2">
        <v>68.63</v>
      </c>
      <c r="S396">
        <v>1</v>
      </c>
      <c r="T396" t="s">
        <v>58</v>
      </c>
      <c r="U396" t="s">
        <v>260</v>
      </c>
      <c r="V396" s="3">
        <v>0.9</v>
      </c>
      <c r="W396" s="2">
        <v>0</v>
      </c>
      <c r="X396">
        <v>0</v>
      </c>
      <c r="Y396" t="s">
        <v>60</v>
      </c>
      <c r="Z396" t="s">
        <v>262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61.77</v>
      </c>
      <c r="AN396" s="2">
        <v>61.77</v>
      </c>
      <c r="AO396" s="2">
        <v>0</v>
      </c>
      <c r="AP396" s="2">
        <v>0</v>
      </c>
      <c r="AQ396" s="2">
        <v>0</v>
      </c>
    </row>
    <row r="397" spans="1:43" x14ac:dyDescent="0.3">
      <c r="A397" s="1">
        <v>46104</v>
      </c>
      <c r="B397" t="s">
        <v>48</v>
      </c>
      <c r="C397">
        <v>649163</v>
      </c>
      <c r="D397">
        <v>2030716585</v>
      </c>
      <c r="E397" t="s">
        <v>323</v>
      </c>
      <c r="F397" t="s">
        <v>353</v>
      </c>
      <c r="G397" t="s">
        <v>51</v>
      </c>
      <c r="H397" t="s">
        <v>103</v>
      </c>
      <c r="I397" t="s">
        <v>222</v>
      </c>
      <c r="J397" t="s">
        <v>590</v>
      </c>
      <c r="K397">
        <v>823068</v>
      </c>
      <c r="L397" t="s">
        <v>149</v>
      </c>
      <c r="M397" t="s">
        <v>150</v>
      </c>
      <c r="N397" t="s">
        <v>57</v>
      </c>
      <c r="O397" s="1">
        <v>45922</v>
      </c>
      <c r="Q397" s="1">
        <v>46134</v>
      </c>
      <c r="R397" s="2">
        <v>24.61</v>
      </c>
      <c r="S397">
        <v>1</v>
      </c>
      <c r="T397" t="s">
        <v>58</v>
      </c>
      <c r="U397" t="s">
        <v>260</v>
      </c>
      <c r="V397" s="3">
        <v>0.7</v>
      </c>
      <c r="W397" s="2">
        <v>0</v>
      </c>
      <c r="X397">
        <v>0</v>
      </c>
      <c r="Y397" t="s">
        <v>60</v>
      </c>
      <c r="Z397" t="s">
        <v>262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17.23</v>
      </c>
      <c r="AN397" s="2">
        <v>17.23</v>
      </c>
      <c r="AO397" s="2">
        <v>0</v>
      </c>
      <c r="AP397" s="2">
        <v>0</v>
      </c>
      <c r="AQ397" s="2">
        <v>0</v>
      </c>
    </row>
    <row r="398" spans="1:43" x14ac:dyDescent="0.3">
      <c r="A398" s="1">
        <v>46104</v>
      </c>
      <c r="B398" t="s">
        <v>48</v>
      </c>
      <c r="C398">
        <v>649163</v>
      </c>
      <c r="D398">
        <v>2031180132</v>
      </c>
      <c r="E398" t="s">
        <v>354</v>
      </c>
      <c r="F398" t="s">
        <v>355</v>
      </c>
      <c r="G398" t="s">
        <v>51</v>
      </c>
      <c r="H398" t="s">
        <v>213</v>
      </c>
      <c r="I398" t="s">
        <v>222</v>
      </c>
      <c r="J398" t="s">
        <v>223</v>
      </c>
      <c r="K398">
        <v>823350</v>
      </c>
      <c r="L398" t="s">
        <v>67</v>
      </c>
      <c r="M398" t="s">
        <v>68</v>
      </c>
      <c r="N398" t="s">
        <v>57</v>
      </c>
      <c r="O398" s="1">
        <v>45924</v>
      </c>
      <c r="Q398" s="1">
        <v>46136</v>
      </c>
      <c r="R398" s="2">
        <v>101.99</v>
      </c>
      <c r="S398">
        <v>1</v>
      </c>
      <c r="T398" t="s">
        <v>58</v>
      </c>
      <c r="U398" t="s">
        <v>59</v>
      </c>
      <c r="V398" s="3">
        <v>0.7</v>
      </c>
      <c r="W398" s="2">
        <v>0</v>
      </c>
      <c r="X398">
        <v>0</v>
      </c>
      <c r="Y398" t="s">
        <v>60</v>
      </c>
      <c r="Z398" t="s">
        <v>262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71.39</v>
      </c>
      <c r="AN398" s="2">
        <v>71.39</v>
      </c>
      <c r="AO398" s="2">
        <v>0</v>
      </c>
      <c r="AP398" s="2">
        <v>0</v>
      </c>
      <c r="AQ398" s="2">
        <v>0</v>
      </c>
    </row>
    <row r="399" spans="1:43" x14ac:dyDescent="0.3">
      <c r="A399" s="1">
        <v>46104</v>
      </c>
      <c r="B399" t="s">
        <v>48</v>
      </c>
      <c r="C399">
        <v>649163</v>
      </c>
      <c r="D399">
        <v>2031205938</v>
      </c>
      <c r="E399" t="s">
        <v>529</v>
      </c>
      <c r="F399" t="s">
        <v>361</v>
      </c>
      <c r="G399" t="s">
        <v>51</v>
      </c>
      <c r="H399" t="s">
        <v>74</v>
      </c>
      <c r="I399" t="s">
        <v>222</v>
      </c>
      <c r="J399" t="s">
        <v>224</v>
      </c>
      <c r="K399">
        <v>767312</v>
      </c>
      <c r="L399" t="s">
        <v>185</v>
      </c>
      <c r="M399" t="s">
        <v>186</v>
      </c>
      <c r="N399" t="s">
        <v>57</v>
      </c>
      <c r="O399" s="1">
        <v>45923</v>
      </c>
      <c r="Q399" s="1">
        <v>46135</v>
      </c>
      <c r="R399" s="2">
        <v>12.96</v>
      </c>
      <c r="S399">
        <v>1</v>
      </c>
      <c r="T399" t="s">
        <v>58</v>
      </c>
      <c r="U399" t="s">
        <v>59</v>
      </c>
      <c r="V399" s="3">
        <v>0.9</v>
      </c>
      <c r="W399" s="2">
        <v>0</v>
      </c>
      <c r="X399">
        <v>0</v>
      </c>
      <c r="Y399" t="s">
        <v>60</v>
      </c>
      <c r="Z399" t="s">
        <v>262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11.66</v>
      </c>
      <c r="AN399" s="2">
        <v>11.66</v>
      </c>
      <c r="AO399" s="2">
        <v>0</v>
      </c>
      <c r="AP399" s="2">
        <v>0</v>
      </c>
      <c r="AQ399" s="2">
        <v>0</v>
      </c>
    </row>
    <row r="400" spans="1:43" x14ac:dyDescent="0.3">
      <c r="A400" s="1">
        <v>46104</v>
      </c>
      <c r="B400" t="s">
        <v>48</v>
      </c>
      <c r="C400">
        <v>649163</v>
      </c>
      <c r="D400">
        <v>2031242400</v>
      </c>
      <c r="E400" t="s">
        <v>356</v>
      </c>
      <c r="F400" t="s">
        <v>357</v>
      </c>
      <c r="G400" t="s">
        <v>51</v>
      </c>
      <c r="H400" t="s">
        <v>112</v>
      </c>
      <c r="I400" t="s">
        <v>222</v>
      </c>
      <c r="J400" t="s">
        <v>223</v>
      </c>
      <c r="K400">
        <v>816021</v>
      </c>
      <c r="L400" t="s">
        <v>311</v>
      </c>
      <c r="M400" t="s">
        <v>312</v>
      </c>
      <c r="N400" t="s">
        <v>57</v>
      </c>
      <c r="O400" s="1">
        <v>45925</v>
      </c>
      <c r="Q400" s="1">
        <v>46137</v>
      </c>
      <c r="R400" s="2">
        <v>27.38</v>
      </c>
      <c r="S400">
        <v>1</v>
      </c>
      <c r="T400" t="s">
        <v>58</v>
      </c>
      <c r="U400" t="s">
        <v>59</v>
      </c>
      <c r="V400" s="3">
        <v>0.7</v>
      </c>
      <c r="W400" s="2">
        <v>0</v>
      </c>
      <c r="X400">
        <v>0</v>
      </c>
      <c r="Y400" t="s">
        <v>60</v>
      </c>
      <c r="Z400" t="s">
        <v>262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19.170000000000002</v>
      </c>
      <c r="AN400" s="2">
        <v>19.170000000000002</v>
      </c>
      <c r="AO400" s="2">
        <v>0</v>
      </c>
      <c r="AP400" s="2">
        <v>0</v>
      </c>
      <c r="AQ400" s="2">
        <v>0</v>
      </c>
    </row>
    <row r="401" spans="1:43" x14ac:dyDescent="0.3">
      <c r="A401" s="1">
        <v>46104</v>
      </c>
      <c r="B401" t="s">
        <v>48</v>
      </c>
      <c r="C401">
        <v>649163</v>
      </c>
      <c r="D401">
        <v>2031249951</v>
      </c>
      <c r="E401" t="s">
        <v>532</v>
      </c>
      <c r="F401" t="s">
        <v>200</v>
      </c>
      <c r="G401" t="s">
        <v>51</v>
      </c>
      <c r="H401" t="s">
        <v>64</v>
      </c>
      <c r="I401" t="s">
        <v>222</v>
      </c>
      <c r="J401" t="s">
        <v>223</v>
      </c>
      <c r="K401">
        <v>756803</v>
      </c>
      <c r="L401" t="s">
        <v>159</v>
      </c>
      <c r="M401" t="s">
        <v>160</v>
      </c>
      <c r="N401" t="s">
        <v>57</v>
      </c>
      <c r="O401" s="1">
        <v>45925</v>
      </c>
      <c r="Q401" s="1">
        <v>46137</v>
      </c>
      <c r="R401" s="2">
        <v>28.9</v>
      </c>
      <c r="S401">
        <v>1</v>
      </c>
      <c r="T401" t="s">
        <v>58</v>
      </c>
      <c r="U401" t="s">
        <v>59</v>
      </c>
      <c r="V401" s="3">
        <v>0.7</v>
      </c>
      <c r="W401" s="2">
        <v>0</v>
      </c>
      <c r="X401">
        <v>0</v>
      </c>
      <c r="Y401" t="s">
        <v>60</v>
      </c>
      <c r="Z401" t="s">
        <v>262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20.23</v>
      </c>
      <c r="AN401" s="2">
        <v>20.23</v>
      </c>
      <c r="AO401" s="2">
        <v>0</v>
      </c>
      <c r="AP401" s="2">
        <v>0</v>
      </c>
      <c r="AQ401" s="2">
        <v>0</v>
      </c>
    </row>
    <row r="402" spans="1:43" x14ac:dyDescent="0.3">
      <c r="A402" s="1">
        <v>46104</v>
      </c>
      <c r="B402" t="s">
        <v>48</v>
      </c>
      <c r="C402">
        <v>649163</v>
      </c>
      <c r="D402">
        <v>2031255010</v>
      </c>
      <c r="E402" t="s">
        <v>448</v>
      </c>
      <c r="F402" t="s">
        <v>449</v>
      </c>
      <c r="G402" t="s">
        <v>51</v>
      </c>
      <c r="H402" t="s">
        <v>64</v>
      </c>
      <c r="I402" t="s">
        <v>222</v>
      </c>
      <c r="J402" t="s">
        <v>223</v>
      </c>
      <c r="K402">
        <v>812994</v>
      </c>
      <c r="L402" t="s">
        <v>450</v>
      </c>
      <c r="M402" t="s">
        <v>451</v>
      </c>
      <c r="N402" t="s">
        <v>57</v>
      </c>
      <c r="O402" s="1">
        <v>45925</v>
      </c>
      <c r="Q402" s="1">
        <v>46137</v>
      </c>
      <c r="R402" s="2">
        <v>86.25</v>
      </c>
      <c r="S402">
        <v>1</v>
      </c>
      <c r="T402" t="s">
        <v>58</v>
      </c>
      <c r="U402" t="s">
        <v>59</v>
      </c>
      <c r="V402" s="3">
        <v>0.7</v>
      </c>
      <c r="W402" s="2">
        <v>0</v>
      </c>
      <c r="X402">
        <v>0</v>
      </c>
      <c r="Y402" t="s">
        <v>60</v>
      </c>
      <c r="Z402" t="s">
        <v>262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60.38</v>
      </c>
      <c r="AN402" s="2">
        <v>60.38</v>
      </c>
      <c r="AO402" s="2">
        <v>0</v>
      </c>
      <c r="AP402" s="2">
        <v>0</v>
      </c>
      <c r="AQ402" s="2">
        <v>0</v>
      </c>
    </row>
    <row r="403" spans="1:43" x14ac:dyDescent="0.3">
      <c r="A403" s="1">
        <v>46104</v>
      </c>
      <c r="B403" t="s">
        <v>48</v>
      </c>
      <c r="C403">
        <v>649163</v>
      </c>
      <c r="D403">
        <v>2031596061</v>
      </c>
      <c r="E403" t="s">
        <v>358</v>
      </c>
      <c r="F403" t="s">
        <v>359</v>
      </c>
      <c r="G403" t="s">
        <v>51</v>
      </c>
      <c r="H403" t="s">
        <v>332</v>
      </c>
      <c r="I403" t="s">
        <v>222</v>
      </c>
      <c r="J403" t="s">
        <v>223</v>
      </c>
      <c r="K403">
        <v>753748</v>
      </c>
      <c r="L403" t="s">
        <v>146</v>
      </c>
      <c r="M403" t="s">
        <v>116</v>
      </c>
      <c r="N403" t="s">
        <v>57</v>
      </c>
      <c r="O403" s="1">
        <v>45962</v>
      </c>
      <c r="Q403" s="1">
        <v>46113</v>
      </c>
      <c r="R403" s="2">
        <v>24.98</v>
      </c>
      <c r="S403">
        <v>1</v>
      </c>
      <c r="T403" t="s">
        <v>58</v>
      </c>
      <c r="U403" t="s">
        <v>59</v>
      </c>
      <c r="V403" s="3">
        <v>0.7</v>
      </c>
      <c r="W403" s="2">
        <v>0</v>
      </c>
      <c r="X403">
        <v>0</v>
      </c>
      <c r="Y403" t="s">
        <v>60</v>
      </c>
      <c r="Z403" t="s">
        <v>262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17.489999999999998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</row>
    <row r="404" spans="1:43" x14ac:dyDescent="0.3">
      <c r="A404" s="1">
        <v>46104</v>
      </c>
      <c r="B404" t="s">
        <v>48</v>
      </c>
      <c r="C404">
        <v>649163</v>
      </c>
      <c r="D404">
        <v>2031719648</v>
      </c>
      <c r="E404" t="s">
        <v>533</v>
      </c>
      <c r="F404" t="s">
        <v>237</v>
      </c>
      <c r="G404" t="s">
        <v>51</v>
      </c>
      <c r="H404" t="s">
        <v>86</v>
      </c>
      <c r="I404" t="s">
        <v>222</v>
      </c>
      <c r="J404" t="s">
        <v>223</v>
      </c>
      <c r="K404">
        <v>812782</v>
      </c>
      <c r="L404" t="s">
        <v>236</v>
      </c>
      <c r="M404" t="s">
        <v>237</v>
      </c>
      <c r="N404" t="s">
        <v>57</v>
      </c>
      <c r="O404" s="1">
        <v>45951</v>
      </c>
      <c r="Q404" s="1">
        <v>46133</v>
      </c>
      <c r="R404" s="2">
        <v>11.74</v>
      </c>
      <c r="S404">
        <v>1</v>
      </c>
      <c r="T404" t="s">
        <v>58</v>
      </c>
      <c r="U404" t="s">
        <v>59</v>
      </c>
      <c r="V404" s="3">
        <v>0.7</v>
      </c>
      <c r="W404" s="2">
        <v>0</v>
      </c>
      <c r="X404">
        <v>0</v>
      </c>
      <c r="Y404" t="s">
        <v>60</v>
      </c>
      <c r="Z404" t="s">
        <v>262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8.2200000000000006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</row>
    <row r="405" spans="1:43" x14ac:dyDescent="0.3">
      <c r="A405" s="1">
        <v>46104</v>
      </c>
      <c r="B405" t="s">
        <v>48</v>
      </c>
      <c r="C405">
        <v>649163</v>
      </c>
      <c r="D405">
        <v>2031731468</v>
      </c>
      <c r="E405" t="s">
        <v>666</v>
      </c>
      <c r="F405" t="s">
        <v>667</v>
      </c>
      <c r="G405" t="s">
        <v>51</v>
      </c>
      <c r="H405" t="s">
        <v>184</v>
      </c>
      <c r="I405" t="s">
        <v>222</v>
      </c>
      <c r="J405" t="s">
        <v>224</v>
      </c>
      <c r="K405">
        <v>767312</v>
      </c>
      <c r="L405" t="s">
        <v>185</v>
      </c>
      <c r="M405" t="s">
        <v>186</v>
      </c>
      <c r="N405" t="s">
        <v>57</v>
      </c>
      <c r="O405" s="1">
        <v>45951</v>
      </c>
      <c r="Q405" s="1">
        <v>46133</v>
      </c>
      <c r="R405" s="2">
        <v>15.33</v>
      </c>
      <c r="S405">
        <v>1</v>
      </c>
      <c r="T405" t="s">
        <v>58</v>
      </c>
      <c r="U405" t="s">
        <v>59</v>
      </c>
      <c r="V405" s="3">
        <v>0.9</v>
      </c>
      <c r="W405" s="2">
        <v>0</v>
      </c>
      <c r="X405">
        <v>0</v>
      </c>
      <c r="Y405" t="s">
        <v>60</v>
      </c>
      <c r="Z405" t="s">
        <v>262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13.8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</row>
    <row r="406" spans="1:43" x14ac:dyDescent="0.3">
      <c r="A406" s="1">
        <v>46104</v>
      </c>
      <c r="B406" t="s">
        <v>48</v>
      </c>
      <c r="C406">
        <v>649163</v>
      </c>
      <c r="D406">
        <v>2031738860</v>
      </c>
      <c r="E406" t="s">
        <v>360</v>
      </c>
      <c r="F406" t="s">
        <v>361</v>
      </c>
      <c r="G406" t="s">
        <v>51</v>
      </c>
      <c r="H406" t="s">
        <v>86</v>
      </c>
      <c r="I406" t="s">
        <v>222</v>
      </c>
      <c r="J406" t="s">
        <v>223</v>
      </c>
      <c r="K406">
        <v>673059</v>
      </c>
      <c r="L406" t="s">
        <v>76</v>
      </c>
      <c r="M406" t="s">
        <v>77</v>
      </c>
      <c r="N406" t="s">
        <v>57</v>
      </c>
      <c r="O406" s="1">
        <v>45952</v>
      </c>
      <c r="Q406" s="1">
        <v>46134</v>
      </c>
      <c r="R406" s="2">
        <v>31.23</v>
      </c>
      <c r="S406">
        <v>1</v>
      </c>
      <c r="T406" t="s">
        <v>58</v>
      </c>
      <c r="U406" t="s">
        <v>59</v>
      </c>
      <c r="V406" s="3">
        <v>0.7</v>
      </c>
      <c r="W406" s="2">
        <v>0</v>
      </c>
      <c r="X406">
        <v>0</v>
      </c>
      <c r="Y406" t="s">
        <v>60</v>
      </c>
      <c r="Z406" t="s">
        <v>262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21.86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</row>
    <row r="407" spans="1:43" x14ac:dyDescent="0.3">
      <c r="A407" s="1">
        <v>46104</v>
      </c>
      <c r="B407" t="s">
        <v>48</v>
      </c>
      <c r="C407">
        <v>649163</v>
      </c>
      <c r="D407">
        <v>2031750243</v>
      </c>
      <c r="E407" t="s">
        <v>668</v>
      </c>
      <c r="F407" t="s">
        <v>669</v>
      </c>
      <c r="G407" t="s">
        <v>51</v>
      </c>
      <c r="H407" t="s">
        <v>378</v>
      </c>
      <c r="I407" t="s">
        <v>222</v>
      </c>
      <c r="J407" t="s">
        <v>223</v>
      </c>
      <c r="K407">
        <v>767312</v>
      </c>
      <c r="L407" t="s">
        <v>185</v>
      </c>
      <c r="M407" t="s">
        <v>186</v>
      </c>
      <c r="N407" t="s">
        <v>57</v>
      </c>
      <c r="O407" s="1">
        <v>45952</v>
      </c>
      <c r="Q407" s="1">
        <v>46134</v>
      </c>
      <c r="R407" s="2">
        <v>62.75</v>
      </c>
      <c r="S407">
        <v>1</v>
      </c>
      <c r="T407" t="s">
        <v>58</v>
      </c>
      <c r="U407" t="s">
        <v>59</v>
      </c>
      <c r="V407" s="3">
        <v>0.7</v>
      </c>
      <c r="W407" s="2">
        <v>0</v>
      </c>
      <c r="X407">
        <v>0</v>
      </c>
      <c r="Y407" t="s">
        <v>60</v>
      </c>
      <c r="Z407" t="s">
        <v>262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43.92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</row>
    <row r="408" spans="1:43" x14ac:dyDescent="0.3">
      <c r="A408" s="1">
        <v>46104</v>
      </c>
      <c r="B408" t="s">
        <v>48</v>
      </c>
      <c r="C408">
        <v>649163</v>
      </c>
      <c r="D408">
        <v>2031750244</v>
      </c>
      <c r="E408" t="s">
        <v>668</v>
      </c>
      <c r="F408" t="s">
        <v>669</v>
      </c>
      <c r="G408" t="s">
        <v>51</v>
      </c>
      <c r="H408" t="s">
        <v>378</v>
      </c>
      <c r="I408" t="s">
        <v>222</v>
      </c>
      <c r="J408" t="s">
        <v>224</v>
      </c>
      <c r="K408">
        <v>767312</v>
      </c>
      <c r="L408" t="s">
        <v>185</v>
      </c>
      <c r="M408" t="s">
        <v>186</v>
      </c>
      <c r="N408" t="s">
        <v>57</v>
      </c>
      <c r="O408" s="1">
        <v>45952</v>
      </c>
      <c r="Q408" s="1">
        <v>46134</v>
      </c>
      <c r="R408" s="2">
        <v>37.880000000000003</v>
      </c>
      <c r="S408">
        <v>1</v>
      </c>
      <c r="T408" t="s">
        <v>58</v>
      </c>
      <c r="U408" t="s">
        <v>59</v>
      </c>
      <c r="V408" s="3">
        <v>0.9</v>
      </c>
      <c r="W408" s="2">
        <v>0</v>
      </c>
      <c r="X408">
        <v>0</v>
      </c>
      <c r="Y408" t="s">
        <v>60</v>
      </c>
      <c r="Z408" t="s">
        <v>262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34.090000000000003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</row>
    <row r="409" spans="1:43" x14ac:dyDescent="0.3">
      <c r="A409" s="1">
        <v>46104</v>
      </c>
      <c r="B409" t="s">
        <v>48</v>
      </c>
      <c r="C409">
        <v>649163</v>
      </c>
      <c r="D409">
        <v>2031757551</v>
      </c>
      <c r="E409" t="s">
        <v>670</v>
      </c>
      <c r="F409" t="s">
        <v>658</v>
      </c>
      <c r="G409" t="s">
        <v>51</v>
      </c>
      <c r="H409" t="s">
        <v>332</v>
      </c>
      <c r="I409" t="s">
        <v>222</v>
      </c>
      <c r="J409" t="s">
        <v>223</v>
      </c>
      <c r="K409">
        <v>753748</v>
      </c>
      <c r="L409" t="s">
        <v>146</v>
      </c>
      <c r="M409" t="s">
        <v>116</v>
      </c>
      <c r="N409" t="s">
        <v>271</v>
      </c>
      <c r="O409" s="1">
        <v>45962</v>
      </c>
      <c r="P409" s="1">
        <v>46104</v>
      </c>
      <c r="Q409" s="1">
        <v>46113</v>
      </c>
      <c r="R409" s="2">
        <v>-153.31</v>
      </c>
      <c r="S409">
        <v>1</v>
      </c>
      <c r="T409" t="s">
        <v>58</v>
      </c>
      <c r="U409" t="s">
        <v>59</v>
      </c>
      <c r="V409" s="3">
        <v>0.7</v>
      </c>
      <c r="W409" s="2">
        <v>0</v>
      </c>
      <c r="X409">
        <v>-1</v>
      </c>
      <c r="Y409" t="s">
        <v>60</v>
      </c>
      <c r="Z409" t="s">
        <v>262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-107.32</v>
      </c>
      <c r="AN409" s="2">
        <v>-107.32</v>
      </c>
      <c r="AO409" s="2">
        <v>0</v>
      </c>
      <c r="AP409" s="2">
        <v>0</v>
      </c>
      <c r="AQ409" s="2">
        <v>0</v>
      </c>
    </row>
    <row r="410" spans="1:43" x14ac:dyDescent="0.3">
      <c r="A410" s="1">
        <v>46104</v>
      </c>
      <c r="B410" t="s">
        <v>48</v>
      </c>
      <c r="C410">
        <v>649163</v>
      </c>
      <c r="D410">
        <v>2031759932</v>
      </c>
      <c r="E410" t="s">
        <v>362</v>
      </c>
      <c r="F410" t="s">
        <v>363</v>
      </c>
      <c r="G410" t="s">
        <v>51</v>
      </c>
      <c r="H410" t="s">
        <v>64</v>
      </c>
      <c r="I410" t="s">
        <v>222</v>
      </c>
      <c r="J410" t="s">
        <v>223</v>
      </c>
      <c r="K410">
        <v>823350</v>
      </c>
      <c r="L410" t="s">
        <v>67</v>
      </c>
      <c r="M410" t="s">
        <v>68</v>
      </c>
      <c r="N410" t="s">
        <v>57</v>
      </c>
      <c r="O410" s="1">
        <v>45954</v>
      </c>
      <c r="Q410" s="1">
        <v>46136</v>
      </c>
      <c r="R410" s="2">
        <v>63.95</v>
      </c>
      <c r="S410">
        <v>1</v>
      </c>
      <c r="T410" t="s">
        <v>58</v>
      </c>
      <c r="U410" t="s">
        <v>59</v>
      </c>
      <c r="V410" s="3">
        <v>0.7</v>
      </c>
      <c r="W410" s="2">
        <v>0</v>
      </c>
      <c r="X410">
        <v>0</v>
      </c>
      <c r="Y410" t="s">
        <v>60</v>
      </c>
      <c r="Z410" t="s">
        <v>262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44.76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</row>
    <row r="411" spans="1:43" x14ac:dyDescent="0.3">
      <c r="A411" s="1">
        <v>46104</v>
      </c>
      <c r="B411" t="s">
        <v>48</v>
      </c>
      <c r="C411">
        <v>649163</v>
      </c>
      <c r="D411">
        <v>2031767154</v>
      </c>
      <c r="E411" t="s">
        <v>671</v>
      </c>
      <c r="F411" t="s">
        <v>672</v>
      </c>
      <c r="G411" t="s">
        <v>51</v>
      </c>
      <c r="H411" t="s">
        <v>86</v>
      </c>
      <c r="I411" t="s">
        <v>222</v>
      </c>
      <c r="J411" t="s">
        <v>223</v>
      </c>
      <c r="K411">
        <v>812656</v>
      </c>
      <c r="L411" t="s">
        <v>495</v>
      </c>
      <c r="M411" t="s">
        <v>547</v>
      </c>
      <c r="N411" t="s">
        <v>57</v>
      </c>
      <c r="O411" s="1">
        <v>45953</v>
      </c>
      <c r="Q411" s="1">
        <v>46135</v>
      </c>
      <c r="R411" s="2">
        <v>59.57</v>
      </c>
      <c r="S411">
        <v>1</v>
      </c>
      <c r="T411" t="s">
        <v>58</v>
      </c>
      <c r="U411" t="s">
        <v>59</v>
      </c>
      <c r="V411" s="3">
        <v>0.7</v>
      </c>
      <c r="W411" s="2">
        <v>0</v>
      </c>
      <c r="X411">
        <v>0</v>
      </c>
      <c r="Y411" t="s">
        <v>60</v>
      </c>
      <c r="Z411" t="s">
        <v>262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41.7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</row>
    <row r="412" spans="1:43" x14ac:dyDescent="0.3">
      <c r="A412" s="1">
        <v>46104</v>
      </c>
      <c r="B412" t="s">
        <v>48</v>
      </c>
      <c r="C412">
        <v>649163</v>
      </c>
      <c r="D412">
        <v>2031773320</v>
      </c>
      <c r="E412" t="s">
        <v>673</v>
      </c>
      <c r="F412" t="s">
        <v>674</v>
      </c>
      <c r="G412" t="s">
        <v>51</v>
      </c>
      <c r="H412" t="s">
        <v>74</v>
      </c>
      <c r="I412" t="s">
        <v>222</v>
      </c>
      <c r="J412" t="s">
        <v>223</v>
      </c>
      <c r="K412">
        <v>812656</v>
      </c>
      <c r="L412" t="s">
        <v>495</v>
      </c>
      <c r="M412" t="s">
        <v>547</v>
      </c>
      <c r="N412" t="s">
        <v>57</v>
      </c>
      <c r="O412" s="1">
        <v>45954</v>
      </c>
      <c r="Q412" s="1">
        <v>46136</v>
      </c>
      <c r="R412" s="2">
        <v>132.82</v>
      </c>
      <c r="S412">
        <v>1</v>
      </c>
      <c r="T412" t="s">
        <v>58</v>
      </c>
      <c r="U412" t="s">
        <v>59</v>
      </c>
      <c r="V412" s="3">
        <v>0.7</v>
      </c>
      <c r="W412" s="2">
        <v>0</v>
      </c>
      <c r="X412">
        <v>0</v>
      </c>
      <c r="Y412" t="s">
        <v>60</v>
      </c>
      <c r="Z412" t="s">
        <v>262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92.97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</row>
    <row r="413" spans="1:43" x14ac:dyDescent="0.3">
      <c r="A413" s="1">
        <v>46104</v>
      </c>
      <c r="B413" t="s">
        <v>48</v>
      </c>
      <c r="C413">
        <v>649163</v>
      </c>
      <c r="D413">
        <v>2031775760</v>
      </c>
      <c r="E413" t="s">
        <v>364</v>
      </c>
      <c r="F413" t="s">
        <v>99</v>
      </c>
      <c r="G413" t="s">
        <v>51</v>
      </c>
      <c r="H413" t="s">
        <v>112</v>
      </c>
      <c r="I413" t="s">
        <v>222</v>
      </c>
      <c r="J413" t="s">
        <v>223</v>
      </c>
      <c r="K413">
        <v>816021</v>
      </c>
      <c r="L413" t="s">
        <v>311</v>
      </c>
      <c r="M413" t="s">
        <v>312</v>
      </c>
      <c r="N413" t="s">
        <v>57</v>
      </c>
      <c r="O413" s="1">
        <v>45954</v>
      </c>
      <c r="Q413" s="1">
        <v>46136</v>
      </c>
      <c r="R413" s="2">
        <v>9.1</v>
      </c>
      <c r="S413">
        <v>1</v>
      </c>
      <c r="T413" t="s">
        <v>58</v>
      </c>
      <c r="U413" t="s">
        <v>59</v>
      </c>
      <c r="V413" s="3">
        <v>0.7</v>
      </c>
      <c r="W413" s="2">
        <v>0</v>
      </c>
      <c r="X413">
        <v>0</v>
      </c>
      <c r="Y413" t="s">
        <v>60</v>
      </c>
      <c r="Z413" t="s">
        <v>262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6.37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</row>
    <row r="414" spans="1:43" x14ac:dyDescent="0.3">
      <c r="A414" s="1">
        <v>46104</v>
      </c>
      <c r="B414" t="s">
        <v>48</v>
      </c>
      <c r="C414">
        <v>649163</v>
      </c>
      <c r="D414">
        <v>2031775762</v>
      </c>
      <c r="E414" t="s">
        <v>364</v>
      </c>
      <c r="F414" t="s">
        <v>99</v>
      </c>
      <c r="G414" t="s">
        <v>51</v>
      </c>
      <c r="H414" t="s">
        <v>112</v>
      </c>
      <c r="I414" t="s">
        <v>222</v>
      </c>
      <c r="J414" t="s">
        <v>227</v>
      </c>
      <c r="K414">
        <v>816021</v>
      </c>
      <c r="L414" t="s">
        <v>311</v>
      </c>
      <c r="M414" t="s">
        <v>312</v>
      </c>
      <c r="N414" t="s">
        <v>57</v>
      </c>
      <c r="O414" s="1">
        <v>45954</v>
      </c>
      <c r="Q414" s="1">
        <v>46136</v>
      </c>
      <c r="R414" s="2">
        <v>6.3</v>
      </c>
      <c r="S414">
        <v>1</v>
      </c>
      <c r="T414" t="s">
        <v>58</v>
      </c>
      <c r="U414" t="s">
        <v>59</v>
      </c>
      <c r="V414" s="3">
        <v>0.7</v>
      </c>
      <c r="W414" s="2">
        <v>0</v>
      </c>
      <c r="X414">
        <v>0</v>
      </c>
      <c r="Y414" t="s">
        <v>60</v>
      </c>
      <c r="Z414" t="s">
        <v>262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4.41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</row>
    <row r="415" spans="1:43" x14ac:dyDescent="0.3">
      <c r="A415" s="1">
        <v>46104</v>
      </c>
      <c r="B415" t="s">
        <v>48</v>
      </c>
      <c r="C415">
        <v>649163</v>
      </c>
      <c r="D415">
        <v>2031780521</v>
      </c>
      <c r="E415" t="s">
        <v>675</v>
      </c>
      <c r="F415" t="s">
        <v>478</v>
      </c>
      <c r="G415" t="s">
        <v>51</v>
      </c>
      <c r="H415" t="s">
        <v>103</v>
      </c>
      <c r="I415" t="s">
        <v>222</v>
      </c>
      <c r="J415" t="s">
        <v>227</v>
      </c>
      <c r="K415">
        <v>751867</v>
      </c>
      <c r="L415" t="s">
        <v>292</v>
      </c>
      <c r="M415" t="s">
        <v>293</v>
      </c>
      <c r="N415" t="s">
        <v>57</v>
      </c>
      <c r="O415" s="1">
        <v>45954</v>
      </c>
      <c r="Q415" s="1">
        <v>46136</v>
      </c>
      <c r="R415" s="2">
        <v>24.61</v>
      </c>
      <c r="S415">
        <v>1</v>
      </c>
      <c r="T415" t="s">
        <v>58</v>
      </c>
      <c r="U415" t="s">
        <v>59</v>
      </c>
      <c r="V415" s="3">
        <v>0.7</v>
      </c>
      <c r="W415" s="2">
        <v>0</v>
      </c>
      <c r="X415">
        <v>0</v>
      </c>
      <c r="Y415" t="s">
        <v>60</v>
      </c>
      <c r="Z415" t="s">
        <v>262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17.23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</row>
    <row r="416" spans="1:43" x14ac:dyDescent="0.3">
      <c r="A416" s="1">
        <v>46104</v>
      </c>
      <c r="B416" t="s">
        <v>48</v>
      </c>
      <c r="C416">
        <v>649163</v>
      </c>
      <c r="D416">
        <v>2031799852</v>
      </c>
      <c r="E416" t="s">
        <v>676</v>
      </c>
      <c r="F416" t="s">
        <v>581</v>
      </c>
      <c r="G416" t="s">
        <v>51</v>
      </c>
      <c r="H416" t="s">
        <v>86</v>
      </c>
      <c r="I416" t="s">
        <v>222</v>
      </c>
      <c r="J416" t="s">
        <v>223</v>
      </c>
      <c r="K416">
        <v>856824</v>
      </c>
      <c r="L416" t="s">
        <v>125</v>
      </c>
      <c r="M416" t="s">
        <v>126</v>
      </c>
      <c r="N416" t="s">
        <v>57</v>
      </c>
      <c r="O416" s="1">
        <v>45957</v>
      </c>
      <c r="Q416" s="1">
        <v>46139</v>
      </c>
      <c r="R416" s="2">
        <v>50.9</v>
      </c>
      <c r="S416">
        <v>1</v>
      </c>
      <c r="T416" t="s">
        <v>58</v>
      </c>
      <c r="U416" t="s">
        <v>59</v>
      </c>
      <c r="V416" s="3">
        <v>0.7</v>
      </c>
      <c r="W416" s="2">
        <v>0</v>
      </c>
      <c r="X416">
        <v>0</v>
      </c>
      <c r="Y416" t="s">
        <v>60</v>
      </c>
      <c r="Z416" t="s">
        <v>262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35.630000000000003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</row>
    <row r="417" spans="1:43" x14ac:dyDescent="0.3">
      <c r="A417" s="1">
        <v>46104</v>
      </c>
      <c r="B417" t="s">
        <v>48</v>
      </c>
      <c r="C417">
        <v>649163</v>
      </c>
      <c r="D417">
        <v>2031805822</v>
      </c>
      <c r="E417" t="s">
        <v>677</v>
      </c>
      <c r="F417" t="s">
        <v>478</v>
      </c>
      <c r="G417" t="s">
        <v>51</v>
      </c>
      <c r="H417" t="s">
        <v>74</v>
      </c>
      <c r="I417" t="s">
        <v>222</v>
      </c>
      <c r="J417" t="s">
        <v>223</v>
      </c>
      <c r="K417">
        <v>822865</v>
      </c>
      <c r="L417" t="s">
        <v>368</v>
      </c>
      <c r="M417" t="s">
        <v>369</v>
      </c>
      <c r="N417" t="s">
        <v>57</v>
      </c>
      <c r="O417" s="1">
        <v>45955</v>
      </c>
      <c r="Q417" s="1">
        <v>46137</v>
      </c>
      <c r="R417" s="2">
        <v>83</v>
      </c>
      <c r="S417">
        <v>1</v>
      </c>
      <c r="T417" t="s">
        <v>58</v>
      </c>
      <c r="U417" t="s">
        <v>59</v>
      </c>
      <c r="V417" s="3">
        <v>0.7</v>
      </c>
      <c r="W417" s="2">
        <v>0</v>
      </c>
      <c r="X417">
        <v>0</v>
      </c>
      <c r="Y417" t="s">
        <v>60</v>
      </c>
      <c r="Z417" t="s">
        <v>262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58.1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</row>
    <row r="418" spans="1:43" x14ac:dyDescent="0.3">
      <c r="A418" s="1">
        <v>46104</v>
      </c>
      <c r="B418" t="s">
        <v>48</v>
      </c>
      <c r="C418">
        <v>649163</v>
      </c>
      <c r="D418">
        <v>2031909834</v>
      </c>
      <c r="E418" t="s">
        <v>678</v>
      </c>
      <c r="F418" t="s">
        <v>679</v>
      </c>
      <c r="G418" t="s">
        <v>51</v>
      </c>
      <c r="H418" t="s">
        <v>117</v>
      </c>
      <c r="I418" t="s">
        <v>222</v>
      </c>
      <c r="J418" t="s">
        <v>224</v>
      </c>
      <c r="K418">
        <v>651818</v>
      </c>
      <c r="L418" t="s">
        <v>96</v>
      </c>
      <c r="M418" t="s">
        <v>97</v>
      </c>
      <c r="N418" t="s">
        <v>57</v>
      </c>
      <c r="O418" s="1">
        <v>45982</v>
      </c>
      <c r="Q418" s="1">
        <v>46133</v>
      </c>
      <c r="R418" s="2">
        <v>69.08</v>
      </c>
      <c r="S418">
        <v>1</v>
      </c>
      <c r="T418" t="s">
        <v>58</v>
      </c>
      <c r="U418" t="s">
        <v>59</v>
      </c>
      <c r="V418" s="3">
        <v>0.9</v>
      </c>
      <c r="W418" s="2">
        <v>0</v>
      </c>
      <c r="X418">
        <v>0</v>
      </c>
      <c r="Y418" t="s">
        <v>60</v>
      </c>
      <c r="Z418" t="s">
        <v>262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62.17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</row>
    <row r="419" spans="1:43" x14ac:dyDescent="0.3">
      <c r="A419" s="1">
        <v>46104</v>
      </c>
      <c r="B419" t="s">
        <v>48</v>
      </c>
      <c r="C419">
        <v>649163</v>
      </c>
      <c r="D419">
        <v>2031947513</v>
      </c>
      <c r="E419" t="s">
        <v>680</v>
      </c>
      <c r="F419" t="s">
        <v>681</v>
      </c>
      <c r="G419" t="s">
        <v>51</v>
      </c>
      <c r="H419" t="s">
        <v>64</v>
      </c>
      <c r="I419" t="s">
        <v>222</v>
      </c>
      <c r="J419" t="s">
        <v>223</v>
      </c>
      <c r="K419">
        <v>807212</v>
      </c>
      <c r="L419" t="s">
        <v>246</v>
      </c>
      <c r="M419" t="s">
        <v>247</v>
      </c>
      <c r="N419" t="s">
        <v>57</v>
      </c>
      <c r="O419" s="1">
        <v>45963</v>
      </c>
      <c r="Q419" s="1">
        <v>46114</v>
      </c>
      <c r="R419" s="2">
        <v>66.36</v>
      </c>
      <c r="S419">
        <v>1</v>
      </c>
      <c r="T419" t="s">
        <v>58</v>
      </c>
      <c r="U419" t="s">
        <v>59</v>
      </c>
      <c r="V419" s="3">
        <v>0.7</v>
      </c>
      <c r="W419" s="2">
        <v>0</v>
      </c>
      <c r="X419">
        <v>0</v>
      </c>
      <c r="Y419" t="s">
        <v>60</v>
      </c>
      <c r="Z419" t="s">
        <v>262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46.45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</row>
    <row r="420" spans="1:43" x14ac:dyDescent="0.3">
      <c r="A420" s="1">
        <v>46104</v>
      </c>
      <c r="B420" t="s">
        <v>48</v>
      </c>
      <c r="C420">
        <v>649163</v>
      </c>
      <c r="D420">
        <v>2032032432</v>
      </c>
      <c r="E420" t="s">
        <v>534</v>
      </c>
      <c r="F420" t="s">
        <v>535</v>
      </c>
      <c r="G420" t="s">
        <v>51</v>
      </c>
      <c r="H420" t="s">
        <v>64</v>
      </c>
      <c r="I420" t="s">
        <v>222</v>
      </c>
      <c r="J420" t="s">
        <v>223</v>
      </c>
      <c r="K420">
        <v>824076</v>
      </c>
      <c r="L420" t="s">
        <v>201</v>
      </c>
      <c r="M420" t="s">
        <v>202</v>
      </c>
      <c r="N420" t="s">
        <v>57</v>
      </c>
      <c r="O420" s="1">
        <v>45985</v>
      </c>
      <c r="Q420" s="1">
        <v>46136</v>
      </c>
      <c r="R420" s="2">
        <v>15.75</v>
      </c>
      <c r="S420">
        <v>1</v>
      </c>
      <c r="T420" t="s">
        <v>58</v>
      </c>
      <c r="U420" t="s">
        <v>59</v>
      </c>
      <c r="V420" s="3">
        <v>0.7</v>
      </c>
      <c r="W420" s="2">
        <v>0</v>
      </c>
      <c r="X420">
        <v>0</v>
      </c>
      <c r="Y420" t="s">
        <v>60</v>
      </c>
      <c r="Z420" t="s">
        <v>262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11.02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</row>
    <row r="421" spans="1:43" x14ac:dyDescent="0.3">
      <c r="A421" s="1">
        <v>46104</v>
      </c>
      <c r="B421" t="s">
        <v>48</v>
      </c>
      <c r="C421">
        <v>649163</v>
      </c>
      <c r="D421">
        <v>2032063079</v>
      </c>
      <c r="E421" t="s">
        <v>682</v>
      </c>
      <c r="F421" t="s">
        <v>77</v>
      </c>
      <c r="G421" t="s">
        <v>51</v>
      </c>
      <c r="H421" t="s">
        <v>64</v>
      </c>
      <c r="I421" t="s">
        <v>222</v>
      </c>
      <c r="J421" t="s">
        <v>223</v>
      </c>
      <c r="K421">
        <v>856163</v>
      </c>
      <c r="L421" t="s">
        <v>67</v>
      </c>
      <c r="M421" t="s">
        <v>473</v>
      </c>
      <c r="N421" t="s">
        <v>57</v>
      </c>
      <c r="O421" s="1">
        <v>45976</v>
      </c>
      <c r="Q421" s="1">
        <v>46127</v>
      </c>
      <c r="R421" s="2">
        <v>74.58</v>
      </c>
      <c r="S421">
        <v>1</v>
      </c>
      <c r="T421" t="s">
        <v>58</v>
      </c>
      <c r="U421" t="s">
        <v>59</v>
      </c>
      <c r="V421" s="3">
        <v>0.7</v>
      </c>
      <c r="W421" s="2">
        <v>0</v>
      </c>
      <c r="X421">
        <v>0</v>
      </c>
      <c r="Y421" t="s">
        <v>60</v>
      </c>
      <c r="Z421" t="s">
        <v>262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52.21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</row>
    <row r="422" spans="1:43" x14ac:dyDescent="0.3">
      <c r="A422" s="1">
        <v>46104</v>
      </c>
      <c r="B422" t="s">
        <v>48</v>
      </c>
      <c r="C422">
        <v>649163</v>
      </c>
      <c r="D422">
        <v>2032241078</v>
      </c>
      <c r="E422" t="s">
        <v>683</v>
      </c>
      <c r="F422" t="s">
        <v>684</v>
      </c>
      <c r="G422" t="s">
        <v>51</v>
      </c>
      <c r="H422" t="s">
        <v>64</v>
      </c>
      <c r="I422" t="s">
        <v>222</v>
      </c>
      <c r="J422" t="s">
        <v>223</v>
      </c>
      <c r="K422">
        <v>807212</v>
      </c>
      <c r="L422" t="s">
        <v>246</v>
      </c>
      <c r="M422" t="s">
        <v>247</v>
      </c>
      <c r="N422" t="s">
        <v>271</v>
      </c>
      <c r="O422" s="1">
        <v>46023</v>
      </c>
      <c r="P422" s="1">
        <v>46104</v>
      </c>
      <c r="Q422" s="1">
        <v>46113</v>
      </c>
      <c r="R422" s="2">
        <v>-11.74</v>
      </c>
      <c r="S422">
        <v>1</v>
      </c>
      <c r="T422" t="s">
        <v>58</v>
      </c>
      <c r="U422" t="s">
        <v>59</v>
      </c>
      <c r="V422" s="3">
        <v>0.7</v>
      </c>
      <c r="W422" s="2">
        <v>0</v>
      </c>
      <c r="X422">
        <v>-1</v>
      </c>
      <c r="Y422" t="s">
        <v>60</v>
      </c>
      <c r="Z422" t="s">
        <v>262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-8.2200000000000006</v>
      </c>
      <c r="AN422" s="2">
        <v>-8.2200000000000006</v>
      </c>
      <c r="AO422" s="2">
        <v>0</v>
      </c>
      <c r="AP422" s="2">
        <v>0</v>
      </c>
      <c r="AQ422" s="2">
        <v>0</v>
      </c>
    </row>
    <row r="423" spans="1:43" x14ac:dyDescent="0.3">
      <c r="A423" s="1">
        <v>46104</v>
      </c>
      <c r="B423" t="s">
        <v>48</v>
      </c>
      <c r="C423">
        <v>649163</v>
      </c>
      <c r="D423">
        <v>2032255258</v>
      </c>
      <c r="E423" t="s">
        <v>685</v>
      </c>
      <c r="F423" t="s">
        <v>686</v>
      </c>
      <c r="G423" t="s">
        <v>51</v>
      </c>
      <c r="H423" t="s">
        <v>64</v>
      </c>
      <c r="I423" t="s">
        <v>222</v>
      </c>
      <c r="J423" t="s">
        <v>223</v>
      </c>
      <c r="K423">
        <v>813184</v>
      </c>
      <c r="L423" t="s">
        <v>398</v>
      </c>
      <c r="M423" t="s">
        <v>399</v>
      </c>
      <c r="N423" t="s">
        <v>57</v>
      </c>
      <c r="O423" s="1">
        <v>45982</v>
      </c>
      <c r="Q423" s="1">
        <v>46133</v>
      </c>
      <c r="R423" s="2">
        <v>46.08</v>
      </c>
      <c r="S423">
        <v>1</v>
      </c>
      <c r="T423" t="s">
        <v>58</v>
      </c>
      <c r="U423" t="s">
        <v>59</v>
      </c>
      <c r="V423" s="3">
        <v>0.7</v>
      </c>
      <c r="W423" s="2">
        <v>0</v>
      </c>
      <c r="X423">
        <v>0</v>
      </c>
      <c r="Y423" t="s">
        <v>60</v>
      </c>
      <c r="Z423" t="s">
        <v>262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32.26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</row>
    <row r="424" spans="1:43" x14ac:dyDescent="0.3">
      <c r="A424" s="1">
        <v>46104</v>
      </c>
      <c r="B424" t="s">
        <v>48</v>
      </c>
      <c r="C424">
        <v>649163</v>
      </c>
      <c r="D424">
        <v>2032270277</v>
      </c>
      <c r="E424" t="s">
        <v>479</v>
      </c>
      <c r="F424" t="s">
        <v>538</v>
      </c>
      <c r="G424" t="s">
        <v>51</v>
      </c>
      <c r="H424" t="s">
        <v>74</v>
      </c>
      <c r="I424" t="s">
        <v>222</v>
      </c>
      <c r="J424" t="s">
        <v>223</v>
      </c>
      <c r="K424">
        <v>813184</v>
      </c>
      <c r="L424" t="s">
        <v>398</v>
      </c>
      <c r="M424" t="s">
        <v>399</v>
      </c>
      <c r="N424" t="s">
        <v>57</v>
      </c>
      <c r="O424" s="1">
        <v>45982</v>
      </c>
      <c r="Q424" s="1">
        <v>46133</v>
      </c>
      <c r="R424" s="2">
        <v>48.76</v>
      </c>
      <c r="S424">
        <v>1</v>
      </c>
      <c r="T424" t="s">
        <v>58</v>
      </c>
      <c r="U424" t="s">
        <v>59</v>
      </c>
      <c r="V424" s="3">
        <v>0.7</v>
      </c>
      <c r="W424" s="2">
        <v>0</v>
      </c>
      <c r="X424">
        <v>0</v>
      </c>
      <c r="Y424" t="s">
        <v>60</v>
      </c>
      <c r="Z424" t="s">
        <v>262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34.130000000000003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</row>
    <row r="425" spans="1:43" x14ac:dyDescent="0.3">
      <c r="A425" s="1">
        <v>46104</v>
      </c>
      <c r="B425" t="s">
        <v>48</v>
      </c>
      <c r="C425">
        <v>649163</v>
      </c>
      <c r="D425">
        <v>2032270278</v>
      </c>
      <c r="E425" t="s">
        <v>479</v>
      </c>
      <c r="F425" t="s">
        <v>538</v>
      </c>
      <c r="G425" t="s">
        <v>51</v>
      </c>
      <c r="H425" t="s">
        <v>74</v>
      </c>
      <c r="I425" t="s">
        <v>222</v>
      </c>
      <c r="J425" t="s">
        <v>224</v>
      </c>
      <c r="K425">
        <v>813184</v>
      </c>
      <c r="L425" t="s">
        <v>398</v>
      </c>
      <c r="M425" t="s">
        <v>399</v>
      </c>
      <c r="N425" t="s">
        <v>57</v>
      </c>
      <c r="O425" s="1">
        <v>45982</v>
      </c>
      <c r="Q425" s="1">
        <v>46133</v>
      </c>
      <c r="R425" s="2">
        <v>11.88</v>
      </c>
      <c r="S425">
        <v>1</v>
      </c>
      <c r="T425" t="s">
        <v>58</v>
      </c>
      <c r="U425" t="s">
        <v>59</v>
      </c>
      <c r="V425" s="3">
        <v>0.9</v>
      </c>
      <c r="W425" s="2">
        <v>0</v>
      </c>
      <c r="X425">
        <v>0</v>
      </c>
      <c r="Y425" t="s">
        <v>60</v>
      </c>
      <c r="Z425" t="s">
        <v>262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10.69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</row>
    <row r="426" spans="1:43" x14ac:dyDescent="0.3">
      <c r="A426" s="1">
        <v>46104</v>
      </c>
      <c r="B426" t="s">
        <v>48</v>
      </c>
      <c r="C426">
        <v>649163</v>
      </c>
      <c r="D426">
        <v>2032281783</v>
      </c>
      <c r="E426" t="s">
        <v>687</v>
      </c>
      <c r="F426" t="s">
        <v>688</v>
      </c>
      <c r="G426" t="s">
        <v>51</v>
      </c>
      <c r="H426" t="s">
        <v>86</v>
      </c>
      <c r="I426" t="s">
        <v>222</v>
      </c>
      <c r="J426" t="s">
        <v>223</v>
      </c>
      <c r="K426">
        <v>877182</v>
      </c>
      <c r="L426" t="s">
        <v>689</v>
      </c>
      <c r="M426" t="s">
        <v>690</v>
      </c>
      <c r="N426" t="s">
        <v>57</v>
      </c>
      <c r="O426" s="1">
        <v>45982</v>
      </c>
      <c r="Q426" s="1">
        <v>46133</v>
      </c>
      <c r="R426" s="2">
        <v>31.23</v>
      </c>
      <c r="S426">
        <v>1</v>
      </c>
      <c r="T426" t="s">
        <v>58</v>
      </c>
      <c r="U426" t="s">
        <v>59</v>
      </c>
      <c r="V426" s="3">
        <v>0.7</v>
      </c>
      <c r="W426" s="2">
        <v>0</v>
      </c>
      <c r="X426">
        <v>0</v>
      </c>
      <c r="Y426" t="s">
        <v>60</v>
      </c>
      <c r="Z426" t="s">
        <v>262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21.86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</row>
    <row r="427" spans="1:43" x14ac:dyDescent="0.3">
      <c r="A427" s="1">
        <v>46104</v>
      </c>
      <c r="B427" t="s">
        <v>48</v>
      </c>
      <c r="C427">
        <v>649163</v>
      </c>
      <c r="D427">
        <v>2032293754</v>
      </c>
      <c r="E427" t="s">
        <v>367</v>
      </c>
      <c r="F427" t="s">
        <v>162</v>
      </c>
      <c r="G427" t="s">
        <v>51</v>
      </c>
      <c r="H427" t="s">
        <v>74</v>
      </c>
      <c r="I427" t="s">
        <v>222</v>
      </c>
      <c r="J427" t="s">
        <v>223</v>
      </c>
      <c r="K427">
        <v>822865</v>
      </c>
      <c r="L427" t="s">
        <v>368</v>
      </c>
      <c r="M427" t="s">
        <v>369</v>
      </c>
      <c r="N427" t="s">
        <v>57</v>
      </c>
      <c r="O427" s="1">
        <v>45983</v>
      </c>
      <c r="Q427" s="1">
        <v>46134</v>
      </c>
      <c r="R427" s="2">
        <v>83</v>
      </c>
      <c r="S427">
        <v>1</v>
      </c>
      <c r="T427" t="s">
        <v>58</v>
      </c>
      <c r="U427" t="s">
        <v>59</v>
      </c>
      <c r="V427" s="3">
        <v>0.7</v>
      </c>
      <c r="W427" s="2">
        <v>0</v>
      </c>
      <c r="X427">
        <v>0</v>
      </c>
      <c r="Y427" t="s">
        <v>60</v>
      </c>
      <c r="Z427" t="s">
        <v>262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58.1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</row>
    <row r="428" spans="1:43" x14ac:dyDescent="0.3">
      <c r="A428" s="1">
        <v>46104</v>
      </c>
      <c r="B428" t="s">
        <v>48</v>
      </c>
      <c r="C428">
        <v>649163</v>
      </c>
      <c r="D428">
        <v>2032297145</v>
      </c>
      <c r="E428" t="s">
        <v>691</v>
      </c>
      <c r="F428" t="s">
        <v>293</v>
      </c>
      <c r="G428" t="s">
        <v>51</v>
      </c>
      <c r="H428" t="s">
        <v>103</v>
      </c>
      <c r="I428" t="s">
        <v>222</v>
      </c>
      <c r="J428" t="s">
        <v>224</v>
      </c>
      <c r="K428">
        <v>823068</v>
      </c>
      <c r="L428" t="s">
        <v>149</v>
      </c>
      <c r="M428" t="s">
        <v>150</v>
      </c>
      <c r="N428" t="s">
        <v>57</v>
      </c>
      <c r="O428" s="1">
        <v>45988</v>
      </c>
      <c r="Q428" s="1">
        <v>46139</v>
      </c>
      <c r="R428" s="2">
        <v>67.88</v>
      </c>
      <c r="S428">
        <v>1</v>
      </c>
      <c r="T428" t="s">
        <v>58</v>
      </c>
      <c r="U428" t="s">
        <v>59</v>
      </c>
      <c r="V428" s="3">
        <v>0.9</v>
      </c>
      <c r="W428" s="2">
        <v>0</v>
      </c>
      <c r="X428">
        <v>0</v>
      </c>
      <c r="Y428" t="s">
        <v>60</v>
      </c>
      <c r="Z428" t="s">
        <v>262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61.09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</row>
    <row r="429" spans="1:43" x14ac:dyDescent="0.3">
      <c r="A429" s="1">
        <v>46104</v>
      </c>
      <c r="B429" t="s">
        <v>48</v>
      </c>
      <c r="C429">
        <v>649163</v>
      </c>
      <c r="D429">
        <v>2032297146</v>
      </c>
      <c r="E429" t="s">
        <v>691</v>
      </c>
      <c r="F429" t="s">
        <v>293</v>
      </c>
      <c r="G429" t="s">
        <v>51</v>
      </c>
      <c r="H429" t="s">
        <v>103</v>
      </c>
      <c r="I429" t="s">
        <v>222</v>
      </c>
      <c r="J429" t="s">
        <v>227</v>
      </c>
      <c r="K429">
        <v>823068</v>
      </c>
      <c r="L429" t="s">
        <v>149</v>
      </c>
      <c r="M429" t="s">
        <v>150</v>
      </c>
      <c r="N429" t="s">
        <v>57</v>
      </c>
      <c r="O429" s="1">
        <v>45988</v>
      </c>
      <c r="Q429" s="1">
        <v>46139</v>
      </c>
      <c r="R429" s="2">
        <v>24.61</v>
      </c>
      <c r="S429">
        <v>1</v>
      </c>
      <c r="T429" t="s">
        <v>58</v>
      </c>
      <c r="U429" t="s">
        <v>59</v>
      </c>
      <c r="V429" s="3">
        <v>0.7</v>
      </c>
      <c r="W429" s="2">
        <v>0</v>
      </c>
      <c r="X429">
        <v>0</v>
      </c>
      <c r="Y429" t="s">
        <v>60</v>
      </c>
      <c r="Z429" t="s">
        <v>262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17.23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</row>
    <row r="430" spans="1:43" x14ac:dyDescent="0.3">
      <c r="A430" s="1">
        <v>46104</v>
      </c>
      <c r="B430" t="s">
        <v>48</v>
      </c>
      <c r="C430">
        <v>649163</v>
      </c>
      <c r="D430">
        <v>2032309635</v>
      </c>
      <c r="E430" t="s">
        <v>692</v>
      </c>
      <c r="F430" t="s">
        <v>693</v>
      </c>
      <c r="G430" t="s">
        <v>51</v>
      </c>
      <c r="H430" t="s">
        <v>324</v>
      </c>
      <c r="I430" t="s">
        <v>222</v>
      </c>
      <c r="J430" t="s">
        <v>223</v>
      </c>
      <c r="K430">
        <v>812656</v>
      </c>
      <c r="L430" t="s">
        <v>495</v>
      </c>
      <c r="M430" t="s">
        <v>547</v>
      </c>
      <c r="N430" t="s">
        <v>57</v>
      </c>
      <c r="O430" s="1">
        <v>45983</v>
      </c>
      <c r="Q430" s="1">
        <v>46134</v>
      </c>
      <c r="R430" s="2">
        <v>61.02</v>
      </c>
      <c r="S430">
        <v>1</v>
      </c>
      <c r="T430" t="s">
        <v>58</v>
      </c>
      <c r="U430" t="s">
        <v>59</v>
      </c>
      <c r="V430" s="3">
        <v>0.7</v>
      </c>
      <c r="W430" s="2">
        <v>0</v>
      </c>
      <c r="X430">
        <v>0</v>
      </c>
      <c r="Y430" t="s">
        <v>60</v>
      </c>
      <c r="Z430" t="s">
        <v>262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42.71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</row>
    <row r="431" spans="1:43" x14ac:dyDescent="0.3">
      <c r="A431" s="1">
        <v>46104</v>
      </c>
      <c r="B431" t="s">
        <v>48</v>
      </c>
      <c r="C431">
        <v>649163</v>
      </c>
      <c r="D431">
        <v>2032332136</v>
      </c>
      <c r="E431" t="s">
        <v>694</v>
      </c>
      <c r="F431" t="s">
        <v>695</v>
      </c>
      <c r="G431" t="s">
        <v>51</v>
      </c>
      <c r="H431" t="s">
        <v>332</v>
      </c>
      <c r="I431" t="s">
        <v>222</v>
      </c>
      <c r="J431" t="s">
        <v>223</v>
      </c>
      <c r="K431">
        <v>756418</v>
      </c>
      <c r="L431" t="s">
        <v>433</v>
      </c>
      <c r="M431" t="s">
        <v>434</v>
      </c>
      <c r="N431" t="s">
        <v>57</v>
      </c>
      <c r="O431" s="1">
        <v>45986</v>
      </c>
      <c r="Q431" s="1">
        <v>46137</v>
      </c>
      <c r="R431" s="2">
        <v>38.18</v>
      </c>
      <c r="S431">
        <v>1</v>
      </c>
      <c r="T431" t="s">
        <v>58</v>
      </c>
      <c r="U431" t="s">
        <v>59</v>
      </c>
      <c r="V431" s="3">
        <v>0.7</v>
      </c>
      <c r="W431" s="2">
        <v>0</v>
      </c>
      <c r="X431">
        <v>0</v>
      </c>
      <c r="Y431" t="s">
        <v>60</v>
      </c>
      <c r="Z431" t="s">
        <v>262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26.73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</row>
    <row r="432" spans="1:43" x14ac:dyDescent="0.3">
      <c r="A432" s="1">
        <v>46104</v>
      </c>
      <c r="B432" t="s">
        <v>48</v>
      </c>
      <c r="C432">
        <v>649163</v>
      </c>
      <c r="D432">
        <v>2032338434</v>
      </c>
      <c r="E432" t="s">
        <v>539</v>
      </c>
      <c r="F432" t="s">
        <v>540</v>
      </c>
      <c r="G432" t="s">
        <v>51</v>
      </c>
      <c r="H432" t="s">
        <v>74</v>
      </c>
      <c r="I432" t="s">
        <v>222</v>
      </c>
      <c r="J432" t="s">
        <v>223</v>
      </c>
      <c r="K432">
        <v>897073</v>
      </c>
      <c r="L432" t="s">
        <v>82</v>
      </c>
      <c r="M432" t="s">
        <v>83</v>
      </c>
      <c r="N432" t="s">
        <v>57</v>
      </c>
      <c r="O432" s="1">
        <v>45986</v>
      </c>
      <c r="Q432" s="1">
        <v>46137</v>
      </c>
      <c r="R432" s="2">
        <v>22</v>
      </c>
      <c r="S432">
        <v>1</v>
      </c>
      <c r="T432" t="s">
        <v>58</v>
      </c>
      <c r="U432" t="s">
        <v>59</v>
      </c>
      <c r="V432" s="3">
        <v>0.7</v>
      </c>
      <c r="W432" s="2">
        <v>0</v>
      </c>
      <c r="X432">
        <v>0</v>
      </c>
      <c r="Y432" t="s">
        <v>60</v>
      </c>
      <c r="Z432" t="s">
        <v>262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15.4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</row>
    <row r="433" spans="1:43" x14ac:dyDescent="0.3">
      <c r="A433" s="1">
        <v>46104</v>
      </c>
      <c r="B433" t="s">
        <v>48</v>
      </c>
      <c r="C433">
        <v>649163</v>
      </c>
      <c r="D433">
        <v>2032339031</v>
      </c>
      <c r="E433" t="s">
        <v>541</v>
      </c>
      <c r="F433" t="s">
        <v>542</v>
      </c>
      <c r="G433" t="s">
        <v>51</v>
      </c>
      <c r="H433" t="s">
        <v>300</v>
      </c>
      <c r="I433" t="s">
        <v>222</v>
      </c>
      <c r="J433" t="s">
        <v>223</v>
      </c>
      <c r="K433">
        <v>813184</v>
      </c>
      <c r="L433" t="s">
        <v>398</v>
      </c>
      <c r="M433" t="s">
        <v>399</v>
      </c>
      <c r="N433" t="s">
        <v>57</v>
      </c>
      <c r="O433" s="1">
        <v>45986</v>
      </c>
      <c r="Q433" s="1">
        <v>46137</v>
      </c>
      <c r="R433" s="2">
        <v>68.8</v>
      </c>
      <c r="S433">
        <v>1</v>
      </c>
      <c r="T433" t="s">
        <v>58</v>
      </c>
      <c r="U433" t="s">
        <v>59</v>
      </c>
      <c r="V433" s="3">
        <v>0.7</v>
      </c>
      <c r="W433" s="2">
        <v>0</v>
      </c>
      <c r="X433">
        <v>0</v>
      </c>
      <c r="Y433" t="s">
        <v>60</v>
      </c>
      <c r="Z433" t="s">
        <v>262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48.16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</row>
    <row r="434" spans="1:43" x14ac:dyDescent="0.3">
      <c r="A434" s="1">
        <v>46104</v>
      </c>
      <c r="B434" t="s">
        <v>48</v>
      </c>
      <c r="C434">
        <v>649163</v>
      </c>
      <c r="D434">
        <v>2032342902</v>
      </c>
      <c r="E434" t="s">
        <v>696</v>
      </c>
      <c r="F434" t="s">
        <v>697</v>
      </c>
      <c r="G434" t="s">
        <v>51</v>
      </c>
      <c r="H434" t="s">
        <v>64</v>
      </c>
      <c r="I434" t="s">
        <v>222</v>
      </c>
      <c r="J434" t="s">
        <v>223</v>
      </c>
      <c r="K434">
        <v>673059</v>
      </c>
      <c r="L434" t="s">
        <v>76</v>
      </c>
      <c r="M434" t="s">
        <v>77</v>
      </c>
      <c r="N434" t="s">
        <v>57</v>
      </c>
      <c r="O434" s="1">
        <v>46043</v>
      </c>
      <c r="Q434" s="1">
        <v>46133</v>
      </c>
      <c r="R434" s="2">
        <v>100.21</v>
      </c>
      <c r="S434">
        <v>1</v>
      </c>
      <c r="T434" t="s">
        <v>58</v>
      </c>
      <c r="U434" t="s">
        <v>59</v>
      </c>
      <c r="V434" s="3">
        <v>0.7</v>
      </c>
      <c r="W434" s="2">
        <v>0</v>
      </c>
      <c r="X434">
        <v>0</v>
      </c>
      <c r="Y434" t="s">
        <v>60</v>
      </c>
      <c r="Z434" t="s">
        <v>262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70.150000000000006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</row>
    <row r="435" spans="1:43" x14ac:dyDescent="0.3">
      <c r="A435" s="1">
        <v>46104</v>
      </c>
      <c r="B435" t="s">
        <v>48</v>
      </c>
      <c r="C435">
        <v>649163</v>
      </c>
      <c r="D435">
        <v>2032348502</v>
      </c>
      <c r="E435" t="s">
        <v>543</v>
      </c>
      <c r="F435" t="s">
        <v>544</v>
      </c>
      <c r="G435" t="s">
        <v>51</v>
      </c>
      <c r="H435" t="s">
        <v>64</v>
      </c>
      <c r="I435" t="s">
        <v>222</v>
      </c>
      <c r="J435" t="s">
        <v>223</v>
      </c>
      <c r="K435">
        <v>756803</v>
      </c>
      <c r="L435" t="s">
        <v>159</v>
      </c>
      <c r="M435" t="s">
        <v>160</v>
      </c>
      <c r="N435" t="s">
        <v>57</v>
      </c>
      <c r="O435" s="1">
        <v>45986</v>
      </c>
      <c r="Q435" s="1">
        <v>46137</v>
      </c>
      <c r="R435" s="2">
        <v>27.58</v>
      </c>
      <c r="S435">
        <v>1</v>
      </c>
      <c r="T435" t="s">
        <v>58</v>
      </c>
      <c r="U435" t="s">
        <v>59</v>
      </c>
      <c r="V435" s="3">
        <v>0.7</v>
      </c>
      <c r="W435" s="2">
        <v>0</v>
      </c>
      <c r="X435">
        <v>0</v>
      </c>
      <c r="Y435" t="s">
        <v>60</v>
      </c>
      <c r="Z435" t="s">
        <v>262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19.309999999999999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</row>
    <row r="436" spans="1:43" x14ac:dyDescent="0.3">
      <c r="A436" s="1">
        <v>46104</v>
      </c>
      <c r="B436" t="s">
        <v>48</v>
      </c>
      <c r="C436">
        <v>649163</v>
      </c>
      <c r="D436">
        <v>2032348659</v>
      </c>
      <c r="E436" t="s">
        <v>545</v>
      </c>
      <c r="F436" t="s">
        <v>546</v>
      </c>
      <c r="G436" t="s">
        <v>51</v>
      </c>
      <c r="H436" t="s">
        <v>324</v>
      </c>
      <c r="I436" t="s">
        <v>222</v>
      </c>
      <c r="J436" t="s">
        <v>223</v>
      </c>
      <c r="K436">
        <v>812656</v>
      </c>
      <c r="L436" t="s">
        <v>495</v>
      </c>
      <c r="M436" t="s">
        <v>547</v>
      </c>
      <c r="N436" t="s">
        <v>57</v>
      </c>
      <c r="O436" s="1">
        <v>45986</v>
      </c>
      <c r="Q436" s="1">
        <v>46137</v>
      </c>
      <c r="R436" s="2">
        <v>26.31</v>
      </c>
      <c r="S436">
        <v>1</v>
      </c>
      <c r="T436" t="s">
        <v>58</v>
      </c>
      <c r="U436" t="s">
        <v>59</v>
      </c>
      <c r="V436" s="3">
        <v>0.7</v>
      </c>
      <c r="W436" s="2">
        <v>0</v>
      </c>
      <c r="X436">
        <v>0</v>
      </c>
      <c r="Y436" t="s">
        <v>60</v>
      </c>
      <c r="Z436" t="s">
        <v>262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18.420000000000002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</row>
    <row r="437" spans="1:43" x14ac:dyDescent="0.3">
      <c r="A437" s="1">
        <v>46104</v>
      </c>
      <c r="B437" t="s">
        <v>48</v>
      </c>
      <c r="C437">
        <v>649163</v>
      </c>
      <c r="D437">
        <v>2032355303</v>
      </c>
      <c r="E437" t="s">
        <v>698</v>
      </c>
      <c r="F437" t="s">
        <v>699</v>
      </c>
      <c r="G437" t="s">
        <v>51</v>
      </c>
      <c r="H437" t="s">
        <v>64</v>
      </c>
      <c r="I437" t="s">
        <v>222</v>
      </c>
      <c r="J437" t="s">
        <v>223</v>
      </c>
      <c r="K437">
        <v>806645</v>
      </c>
      <c r="L437" t="s">
        <v>553</v>
      </c>
      <c r="M437" t="s">
        <v>554</v>
      </c>
      <c r="N437" t="s">
        <v>57</v>
      </c>
      <c r="O437" s="1">
        <v>45987</v>
      </c>
      <c r="Q437" s="1">
        <v>46138</v>
      </c>
      <c r="R437" s="2">
        <v>34</v>
      </c>
      <c r="S437">
        <v>1</v>
      </c>
      <c r="T437" t="s">
        <v>58</v>
      </c>
      <c r="U437" t="s">
        <v>59</v>
      </c>
      <c r="V437" s="3">
        <v>0.7</v>
      </c>
      <c r="W437" s="2">
        <v>0</v>
      </c>
      <c r="X437">
        <v>0</v>
      </c>
      <c r="Y437" t="s">
        <v>60</v>
      </c>
      <c r="Z437" t="s">
        <v>262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23.8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3">
      <c r="A438" s="1">
        <v>46104</v>
      </c>
      <c r="B438" t="s">
        <v>48</v>
      </c>
      <c r="C438">
        <v>649163</v>
      </c>
      <c r="D438">
        <v>2032377140</v>
      </c>
      <c r="E438" t="s">
        <v>700</v>
      </c>
      <c r="F438" t="s">
        <v>124</v>
      </c>
      <c r="G438" t="s">
        <v>51</v>
      </c>
      <c r="H438" t="s">
        <v>64</v>
      </c>
      <c r="I438" t="s">
        <v>222</v>
      </c>
      <c r="J438" t="s">
        <v>223</v>
      </c>
      <c r="K438">
        <v>820873</v>
      </c>
      <c r="L438" t="s">
        <v>438</v>
      </c>
      <c r="M438" t="s">
        <v>439</v>
      </c>
      <c r="N438" t="s">
        <v>57</v>
      </c>
      <c r="O438" s="1">
        <v>45988</v>
      </c>
      <c r="Q438" s="1">
        <v>46139</v>
      </c>
      <c r="R438" s="2">
        <v>39.25</v>
      </c>
      <c r="S438">
        <v>1</v>
      </c>
      <c r="T438" t="s">
        <v>58</v>
      </c>
      <c r="U438" t="s">
        <v>59</v>
      </c>
      <c r="V438" s="3">
        <v>0.7</v>
      </c>
      <c r="W438" s="2">
        <v>0</v>
      </c>
      <c r="X438">
        <v>0</v>
      </c>
      <c r="Y438" t="s">
        <v>60</v>
      </c>
      <c r="Z438" t="s">
        <v>262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27.48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</row>
    <row r="439" spans="1:43" x14ac:dyDescent="0.3">
      <c r="A439" s="1">
        <v>46104</v>
      </c>
      <c r="B439" t="s">
        <v>48</v>
      </c>
      <c r="C439">
        <v>649163</v>
      </c>
      <c r="D439">
        <v>2032384112</v>
      </c>
      <c r="E439" t="s">
        <v>701</v>
      </c>
      <c r="F439" t="s">
        <v>702</v>
      </c>
      <c r="G439" t="s">
        <v>51</v>
      </c>
      <c r="H439" t="s">
        <v>300</v>
      </c>
      <c r="I439" t="s">
        <v>222</v>
      </c>
      <c r="J439" t="s">
        <v>223</v>
      </c>
      <c r="K439">
        <v>813184</v>
      </c>
      <c r="L439" t="s">
        <v>398</v>
      </c>
      <c r="M439" t="s">
        <v>399</v>
      </c>
      <c r="N439" t="s">
        <v>57</v>
      </c>
      <c r="O439" s="1">
        <v>45988</v>
      </c>
      <c r="Q439" s="1">
        <v>46139</v>
      </c>
      <c r="R439" s="2">
        <v>49.46</v>
      </c>
      <c r="S439">
        <v>1</v>
      </c>
      <c r="T439" t="s">
        <v>58</v>
      </c>
      <c r="U439" t="s">
        <v>59</v>
      </c>
      <c r="V439" s="3">
        <v>0.7</v>
      </c>
      <c r="W439" s="2">
        <v>0</v>
      </c>
      <c r="X439">
        <v>0</v>
      </c>
      <c r="Y439" t="s">
        <v>60</v>
      </c>
      <c r="Z439" t="s">
        <v>262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34.619999999999997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</row>
    <row r="440" spans="1:43" x14ac:dyDescent="0.3">
      <c r="A440" s="1">
        <v>46104</v>
      </c>
      <c r="B440" t="s">
        <v>48</v>
      </c>
      <c r="C440">
        <v>649163</v>
      </c>
      <c r="D440">
        <v>2032585991</v>
      </c>
      <c r="E440" t="s">
        <v>376</v>
      </c>
      <c r="F440" t="s">
        <v>377</v>
      </c>
      <c r="G440" t="s">
        <v>51</v>
      </c>
      <c r="H440" t="s">
        <v>378</v>
      </c>
      <c r="I440" t="s">
        <v>222</v>
      </c>
      <c r="J440" t="s">
        <v>223</v>
      </c>
      <c r="K440">
        <v>651818</v>
      </c>
      <c r="L440" t="s">
        <v>96</v>
      </c>
      <c r="M440" t="s">
        <v>97</v>
      </c>
      <c r="N440" t="s">
        <v>57</v>
      </c>
      <c r="O440" s="1">
        <v>46043</v>
      </c>
      <c r="Q440" s="1">
        <v>46133</v>
      </c>
      <c r="R440" s="2">
        <v>53.82</v>
      </c>
      <c r="S440">
        <v>1</v>
      </c>
      <c r="T440" t="s">
        <v>58</v>
      </c>
      <c r="U440" t="s">
        <v>59</v>
      </c>
      <c r="V440" s="3">
        <v>0.7</v>
      </c>
      <c r="W440" s="2">
        <v>0</v>
      </c>
      <c r="X440">
        <v>0</v>
      </c>
      <c r="Y440" t="s">
        <v>60</v>
      </c>
      <c r="Z440" t="s">
        <v>262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37.67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</row>
    <row r="441" spans="1:43" x14ac:dyDescent="0.3">
      <c r="A441" s="1">
        <v>46104</v>
      </c>
      <c r="B441" t="s">
        <v>48</v>
      </c>
      <c r="C441">
        <v>649163</v>
      </c>
      <c r="D441">
        <v>2032585993</v>
      </c>
      <c r="E441" t="s">
        <v>376</v>
      </c>
      <c r="F441" t="s">
        <v>377</v>
      </c>
      <c r="G441" t="s">
        <v>51</v>
      </c>
      <c r="H441" t="s">
        <v>378</v>
      </c>
      <c r="I441" t="s">
        <v>222</v>
      </c>
      <c r="J441" t="s">
        <v>224</v>
      </c>
      <c r="K441">
        <v>651818</v>
      </c>
      <c r="L441" t="s">
        <v>96</v>
      </c>
      <c r="M441" t="s">
        <v>97</v>
      </c>
      <c r="N441" t="s">
        <v>57</v>
      </c>
      <c r="O441" s="1">
        <v>46043</v>
      </c>
      <c r="Q441" s="1">
        <v>46133</v>
      </c>
      <c r="R441" s="2">
        <v>48.5</v>
      </c>
      <c r="S441">
        <v>1</v>
      </c>
      <c r="T441" t="s">
        <v>58</v>
      </c>
      <c r="U441" t="s">
        <v>59</v>
      </c>
      <c r="V441" s="3">
        <v>0.9</v>
      </c>
      <c r="W441" s="2">
        <v>0</v>
      </c>
      <c r="X441">
        <v>0</v>
      </c>
      <c r="Y441" t="s">
        <v>60</v>
      </c>
      <c r="Z441" t="s">
        <v>262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43.65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</row>
    <row r="442" spans="1:43" x14ac:dyDescent="0.3">
      <c r="A442" s="1">
        <v>46104</v>
      </c>
      <c r="B442" t="s">
        <v>48</v>
      </c>
      <c r="C442">
        <v>649163</v>
      </c>
      <c r="D442">
        <v>2032689734</v>
      </c>
      <c r="E442" t="s">
        <v>703</v>
      </c>
      <c r="F442" t="s">
        <v>116</v>
      </c>
      <c r="G442" t="s">
        <v>51</v>
      </c>
      <c r="H442" t="s">
        <v>86</v>
      </c>
      <c r="I442" t="s">
        <v>222</v>
      </c>
      <c r="J442" t="s">
        <v>223</v>
      </c>
      <c r="K442">
        <v>878036</v>
      </c>
      <c r="L442" t="s">
        <v>165</v>
      </c>
      <c r="M442" t="s">
        <v>166</v>
      </c>
      <c r="N442" t="s">
        <v>57</v>
      </c>
      <c r="O442" s="1">
        <v>46007</v>
      </c>
      <c r="Q442" s="1">
        <v>46128</v>
      </c>
      <c r="R442" s="2">
        <v>22.83</v>
      </c>
      <c r="S442">
        <v>1</v>
      </c>
      <c r="T442" t="s">
        <v>58</v>
      </c>
      <c r="U442" t="s">
        <v>59</v>
      </c>
      <c r="V442" s="3">
        <v>0.7</v>
      </c>
      <c r="W442" s="2">
        <v>0</v>
      </c>
      <c r="X442">
        <v>0</v>
      </c>
      <c r="Y442" t="s">
        <v>60</v>
      </c>
      <c r="Z442" t="s">
        <v>262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15.98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</row>
    <row r="443" spans="1:43" x14ac:dyDescent="0.3">
      <c r="A443" s="1">
        <v>46104</v>
      </c>
      <c r="B443" t="s">
        <v>48</v>
      </c>
      <c r="C443">
        <v>649163</v>
      </c>
      <c r="D443">
        <v>2032703289</v>
      </c>
      <c r="E443" t="s">
        <v>379</v>
      </c>
      <c r="F443" t="s">
        <v>380</v>
      </c>
      <c r="G443" t="s">
        <v>51</v>
      </c>
      <c r="H443" t="s">
        <v>74</v>
      </c>
      <c r="I443" t="s">
        <v>222</v>
      </c>
      <c r="J443" t="s">
        <v>223</v>
      </c>
      <c r="K443">
        <v>753748</v>
      </c>
      <c r="L443" t="s">
        <v>146</v>
      </c>
      <c r="M443" t="s">
        <v>116</v>
      </c>
      <c r="N443" t="s">
        <v>57</v>
      </c>
      <c r="O443" s="1">
        <v>46023</v>
      </c>
      <c r="Q443" s="1">
        <v>46113</v>
      </c>
      <c r="R443" s="2">
        <v>172.75</v>
      </c>
      <c r="S443">
        <v>1</v>
      </c>
      <c r="T443" t="s">
        <v>58</v>
      </c>
      <c r="U443" t="s">
        <v>59</v>
      </c>
      <c r="V443" s="3">
        <v>0.7</v>
      </c>
      <c r="W443" s="2">
        <v>0</v>
      </c>
      <c r="X443">
        <v>0</v>
      </c>
      <c r="Y443" t="s">
        <v>60</v>
      </c>
      <c r="Z443" t="s">
        <v>262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120.92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</row>
    <row r="444" spans="1:43" x14ac:dyDescent="0.3">
      <c r="A444" s="1">
        <v>46104</v>
      </c>
      <c r="B444" t="s">
        <v>48</v>
      </c>
      <c r="C444">
        <v>649163</v>
      </c>
      <c r="D444">
        <v>2032758291</v>
      </c>
      <c r="E444" t="s">
        <v>549</v>
      </c>
      <c r="F444" t="s">
        <v>501</v>
      </c>
      <c r="G444" t="s">
        <v>51</v>
      </c>
      <c r="H444" t="s">
        <v>332</v>
      </c>
      <c r="I444" t="s">
        <v>222</v>
      </c>
      <c r="J444" t="s">
        <v>223</v>
      </c>
      <c r="K444">
        <v>673059</v>
      </c>
      <c r="L444" t="s">
        <v>76</v>
      </c>
      <c r="M444" t="s">
        <v>77</v>
      </c>
      <c r="N444" t="s">
        <v>57</v>
      </c>
      <c r="O444" s="1">
        <v>46012</v>
      </c>
      <c r="Q444" s="1">
        <v>46133</v>
      </c>
      <c r="R444" s="2">
        <v>89.72</v>
      </c>
      <c r="S444">
        <v>1</v>
      </c>
      <c r="T444" t="s">
        <v>58</v>
      </c>
      <c r="U444" t="s">
        <v>59</v>
      </c>
      <c r="V444" s="3">
        <v>0.7</v>
      </c>
      <c r="W444" s="2">
        <v>0</v>
      </c>
      <c r="X444">
        <v>0</v>
      </c>
      <c r="Y444" t="s">
        <v>60</v>
      </c>
      <c r="Z444" t="s">
        <v>262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62.8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3">
      <c r="A445" s="1">
        <v>46104</v>
      </c>
      <c r="B445" t="s">
        <v>48</v>
      </c>
      <c r="C445">
        <v>649163</v>
      </c>
      <c r="D445">
        <v>2032795213</v>
      </c>
      <c r="E445" t="s">
        <v>290</v>
      </c>
      <c r="F445" t="s">
        <v>234</v>
      </c>
      <c r="G445" t="s">
        <v>51</v>
      </c>
      <c r="H445" t="s">
        <v>52</v>
      </c>
      <c r="I445" t="s">
        <v>222</v>
      </c>
      <c r="J445" t="s">
        <v>224</v>
      </c>
      <c r="K445">
        <v>885445</v>
      </c>
      <c r="L445" t="s">
        <v>55</v>
      </c>
      <c r="M445" t="s">
        <v>56</v>
      </c>
      <c r="N445" t="s">
        <v>57</v>
      </c>
      <c r="O445" s="1">
        <v>46016</v>
      </c>
      <c r="Q445" s="1">
        <v>46137</v>
      </c>
      <c r="R445" s="2">
        <v>71.75</v>
      </c>
      <c r="S445">
        <v>1</v>
      </c>
      <c r="T445" t="s">
        <v>58</v>
      </c>
      <c r="U445" t="s">
        <v>59</v>
      </c>
      <c r="V445" s="3">
        <v>0.9</v>
      </c>
      <c r="W445" s="2">
        <v>0</v>
      </c>
      <c r="X445">
        <v>0</v>
      </c>
      <c r="Y445" t="s">
        <v>60</v>
      </c>
      <c r="Z445" t="s">
        <v>262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64.58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</row>
    <row r="446" spans="1:43" x14ac:dyDescent="0.3">
      <c r="A446" s="1">
        <v>46104</v>
      </c>
      <c r="B446" t="s">
        <v>48</v>
      </c>
      <c r="C446">
        <v>649163</v>
      </c>
      <c r="D446">
        <v>2032820066</v>
      </c>
      <c r="E446" t="s">
        <v>431</v>
      </c>
      <c r="F446" t="s">
        <v>704</v>
      </c>
      <c r="G446" t="s">
        <v>51</v>
      </c>
      <c r="H446" t="s">
        <v>103</v>
      </c>
      <c r="I446" t="s">
        <v>222</v>
      </c>
      <c r="J446" t="s">
        <v>224</v>
      </c>
      <c r="K446">
        <v>652037</v>
      </c>
      <c r="L446" t="s">
        <v>132</v>
      </c>
      <c r="M446" t="s">
        <v>133</v>
      </c>
      <c r="N446" t="s">
        <v>57</v>
      </c>
      <c r="O446" s="1">
        <v>46015</v>
      </c>
      <c r="Q446" s="1">
        <v>46136</v>
      </c>
      <c r="R446" s="2">
        <v>76.17</v>
      </c>
      <c r="S446">
        <v>1</v>
      </c>
      <c r="T446" t="s">
        <v>58</v>
      </c>
      <c r="U446" t="s">
        <v>59</v>
      </c>
      <c r="V446" s="3">
        <v>0.9</v>
      </c>
      <c r="W446" s="2">
        <v>0</v>
      </c>
      <c r="X446">
        <v>0</v>
      </c>
      <c r="Y446" t="s">
        <v>60</v>
      </c>
      <c r="Z446" t="s">
        <v>262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68.55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</row>
    <row r="447" spans="1:43" x14ac:dyDescent="0.3">
      <c r="A447" s="1">
        <v>46104</v>
      </c>
      <c r="B447" t="s">
        <v>48</v>
      </c>
      <c r="C447">
        <v>649163</v>
      </c>
      <c r="D447">
        <v>2032827124</v>
      </c>
      <c r="E447" t="s">
        <v>705</v>
      </c>
      <c r="F447" t="s">
        <v>295</v>
      </c>
      <c r="G447" t="s">
        <v>51</v>
      </c>
      <c r="H447" t="s">
        <v>191</v>
      </c>
      <c r="I447" t="s">
        <v>222</v>
      </c>
      <c r="J447" t="s">
        <v>223</v>
      </c>
      <c r="K447">
        <v>867497</v>
      </c>
      <c r="L447" t="s">
        <v>706</v>
      </c>
      <c r="M447" t="s">
        <v>707</v>
      </c>
      <c r="N447" t="s">
        <v>57</v>
      </c>
      <c r="O447" s="1">
        <v>46016</v>
      </c>
      <c r="Q447" s="1">
        <v>46137</v>
      </c>
      <c r="R447" s="2">
        <v>51.74</v>
      </c>
      <c r="S447">
        <v>1</v>
      </c>
      <c r="T447" t="s">
        <v>58</v>
      </c>
      <c r="U447" t="s">
        <v>59</v>
      </c>
      <c r="V447" s="3">
        <v>0.7</v>
      </c>
      <c r="W447" s="2">
        <v>0</v>
      </c>
      <c r="X447">
        <v>0</v>
      </c>
      <c r="Y447" t="s">
        <v>60</v>
      </c>
      <c r="Z447" t="s">
        <v>262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36.22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</row>
    <row r="448" spans="1:43" x14ac:dyDescent="0.3">
      <c r="A448" s="1">
        <v>46104</v>
      </c>
      <c r="B448" t="s">
        <v>48</v>
      </c>
      <c r="C448">
        <v>649163</v>
      </c>
      <c r="D448">
        <v>2032829633</v>
      </c>
      <c r="E448" t="s">
        <v>708</v>
      </c>
      <c r="F448" t="s">
        <v>709</v>
      </c>
      <c r="G448" t="s">
        <v>51</v>
      </c>
      <c r="H448" t="s">
        <v>117</v>
      </c>
      <c r="I448" t="s">
        <v>222</v>
      </c>
      <c r="J448" t="s">
        <v>223</v>
      </c>
      <c r="K448">
        <v>893408</v>
      </c>
      <c r="L448" t="s">
        <v>392</v>
      </c>
      <c r="M448" t="s">
        <v>393</v>
      </c>
      <c r="N448" t="s">
        <v>57</v>
      </c>
      <c r="O448" s="1">
        <v>46015</v>
      </c>
      <c r="Q448" s="1">
        <v>46136</v>
      </c>
      <c r="R448" s="2">
        <v>217.09</v>
      </c>
      <c r="S448">
        <v>1</v>
      </c>
      <c r="T448" t="s">
        <v>58</v>
      </c>
      <c r="U448" t="s">
        <v>59</v>
      </c>
      <c r="V448" s="3">
        <v>0.7</v>
      </c>
      <c r="W448" s="2">
        <v>0</v>
      </c>
      <c r="X448">
        <v>0</v>
      </c>
      <c r="Y448" t="s">
        <v>60</v>
      </c>
      <c r="Z448" t="s">
        <v>262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151.96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</row>
    <row r="449" spans="1:43" x14ac:dyDescent="0.3">
      <c r="A449" s="1">
        <v>46104</v>
      </c>
      <c r="B449" t="s">
        <v>48</v>
      </c>
      <c r="C449">
        <v>649163</v>
      </c>
      <c r="D449">
        <v>2032903420</v>
      </c>
      <c r="E449" t="s">
        <v>710</v>
      </c>
      <c r="F449" t="s">
        <v>711</v>
      </c>
      <c r="G449" t="s">
        <v>51</v>
      </c>
      <c r="H449" t="s">
        <v>64</v>
      </c>
      <c r="I449" t="s">
        <v>222</v>
      </c>
      <c r="J449" t="s">
        <v>228</v>
      </c>
      <c r="K449">
        <v>821015</v>
      </c>
      <c r="L449" t="s">
        <v>276</v>
      </c>
      <c r="M449" t="s">
        <v>277</v>
      </c>
      <c r="N449" t="s">
        <v>271</v>
      </c>
      <c r="O449" s="1">
        <v>46023</v>
      </c>
      <c r="P449" s="1">
        <v>46104</v>
      </c>
      <c r="Q449" s="1">
        <v>46113</v>
      </c>
      <c r="R449" s="2">
        <v>-20.56</v>
      </c>
      <c r="S449">
        <v>1</v>
      </c>
      <c r="T449" t="s">
        <v>58</v>
      </c>
      <c r="U449" t="s">
        <v>59</v>
      </c>
      <c r="V449" s="3">
        <v>0.42</v>
      </c>
      <c r="W449" s="2">
        <v>0</v>
      </c>
      <c r="X449">
        <v>-1</v>
      </c>
      <c r="Y449" t="s">
        <v>60</v>
      </c>
      <c r="Z449" t="s">
        <v>262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-8.64</v>
      </c>
      <c r="AN449" s="2">
        <v>-8.64</v>
      </c>
      <c r="AO449" s="2">
        <v>0</v>
      </c>
      <c r="AP449" s="2">
        <v>0</v>
      </c>
      <c r="AQ449" s="2">
        <v>0</v>
      </c>
    </row>
    <row r="450" spans="1:43" x14ac:dyDescent="0.3">
      <c r="A450" s="1">
        <v>46104</v>
      </c>
      <c r="B450" t="s">
        <v>48</v>
      </c>
      <c r="C450">
        <v>649163</v>
      </c>
      <c r="D450">
        <v>2032910575</v>
      </c>
      <c r="E450" t="s">
        <v>383</v>
      </c>
      <c r="F450" t="s">
        <v>384</v>
      </c>
      <c r="G450" t="s">
        <v>51</v>
      </c>
      <c r="H450" t="s">
        <v>213</v>
      </c>
      <c r="I450" t="s">
        <v>222</v>
      </c>
      <c r="J450" t="s">
        <v>223</v>
      </c>
      <c r="K450">
        <v>753748</v>
      </c>
      <c r="L450" t="s">
        <v>146</v>
      </c>
      <c r="M450" t="s">
        <v>116</v>
      </c>
      <c r="N450" t="s">
        <v>271</v>
      </c>
      <c r="O450" s="1">
        <v>46054</v>
      </c>
      <c r="P450" s="1">
        <v>46104</v>
      </c>
      <c r="Q450" s="1">
        <v>46113</v>
      </c>
      <c r="R450" s="2">
        <v>-22.61</v>
      </c>
      <c r="S450">
        <v>1</v>
      </c>
      <c r="T450" t="s">
        <v>58</v>
      </c>
      <c r="U450" t="s">
        <v>59</v>
      </c>
      <c r="V450" s="3">
        <v>0.7</v>
      </c>
      <c r="W450" s="2">
        <v>0</v>
      </c>
      <c r="X450">
        <v>-1</v>
      </c>
      <c r="Y450" t="s">
        <v>60</v>
      </c>
      <c r="Z450" t="s">
        <v>262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-15.83</v>
      </c>
      <c r="AN450" s="2">
        <v>-15.83</v>
      </c>
      <c r="AO450" s="2">
        <v>0</v>
      </c>
      <c r="AP450" s="2">
        <v>0</v>
      </c>
      <c r="AQ450" s="2">
        <v>0</v>
      </c>
    </row>
    <row r="451" spans="1:43" x14ac:dyDescent="0.3">
      <c r="A451" s="1">
        <v>46104</v>
      </c>
      <c r="B451" t="s">
        <v>48</v>
      </c>
      <c r="C451">
        <v>649163</v>
      </c>
      <c r="D451">
        <v>2032937978</v>
      </c>
      <c r="E451" t="s">
        <v>385</v>
      </c>
      <c r="F451" t="s">
        <v>314</v>
      </c>
      <c r="G451" t="s">
        <v>51</v>
      </c>
      <c r="H451" t="s">
        <v>139</v>
      </c>
      <c r="I451" t="s">
        <v>222</v>
      </c>
      <c r="J451" t="s">
        <v>223</v>
      </c>
      <c r="K451">
        <v>651818</v>
      </c>
      <c r="L451" t="s">
        <v>96</v>
      </c>
      <c r="M451" t="s">
        <v>97</v>
      </c>
      <c r="N451" t="s">
        <v>57</v>
      </c>
      <c r="O451" s="1">
        <v>46027</v>
      </c>
      <c r="Q451" s="1">
        <v>46117</v>
      </c>
      <c r="R451" s="2">
        <v>30.68</v>
      </c>
      <c r="S451">
        <v>1</v>
      </c>
      <c r="T451" t="s">
        <v>58</v>
      </c>
      <c r="U451" t="s">
        <v>59</v>
      </c>
      <c r="V451" s="3">
        <v>0.7</v>
      </c>
      <c r="W451" s="2">
        <v>0</v>
      </c>
      <c r="X451">
        <v>0</v>
      </c>
      <c r="Y451" t="s">
        <v>60</v>
      </c>
      <c r="Z451" t="s">
        <v>262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21.48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</row>
    <row r="452" spans="1:43" x14ac:dyDescent="0.3">
      <c r="A452" s="1">
        <v>46104</v>
      </c>
      <c r="B452" t="s">
        <v>48</v>
      </c>
      <c r="C452">
        <v>649163</v>
      </c>
      <c r="D452">
        <v>2033039874</v>
      </c>
      <c r="E452" t="s">
        <v>712</v>
      </c>
      <c r="F452" t="s">
        <v>713</v>
      </c>
      <c r="G452" t="s">
        <v>51</v>
      </c>
      <c r="H452" t="s">
        <v>64</v>
      </c>
      <c r="I452" t="s">
        <v>222</v>
      </c>
      <c r="J452" t="s">
        <v>223</v>
      </c>
      <c r="K452">
        <v>807212</v>
      </c>
      <c r="L452" t="s">
        <v>246</v>
      </c>
      <c r="M452" t="s">
        <v>247</v>
      </c>
      <c r="N452" t="s">
        <v>57</v>
      </c>
      <c r="O452" s="1">
        <v>46030</v>
      </c>
      <c r="Q452" s="1">
        <v>46120</v>
      </c>
      <c r="R452" s="2">
        <v>95.92</v>
      </c>
      <c r="S452">
        <v>1</v>
      </c>
      <c r="T452" t="s">
        <v>58</v>
      </c>
      <c r="U452" t="s">
        <v>59</v>
      </c>
      <c r="V452" s="3">
        <v>0.7</v>
      </c>
      <c r="W452" s="2">
        <v>0</v>
      </c>
      <c r="X452">
        <v>0</v>
      </c>
      <c r="Y452" t="s">
        <v>60</v>
      </c>
      <c r="Z452" t="s">
        <v>262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67.14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</row>
    <row r="453" spans="1:43" x14ac:dyDescent="0.3">
      <c r="A453" s="1">
        <v>46104</v>
      </c>
      <c r="B453" t="s">
        <v>48</v>
      </c>
      <c r="C453">
        <v>649163</v>
      </c>
      <c r="D453">
        <v>2033055036</v>
      </c>
      <c r="E453" t="s">
        <v>386</v>
      </c>
      <c r="F453" t="s">
        <v>387</v>
      </c>
      <c r="G453" t="s">
        <v>51</v>
      </c>
      <c r="H453" t="s">
        <v>375</v>
      </c>
      <c r="I453" t="s">
        <v>222</v>
      </c>
      <c r="J453" t="s">
        <v>223</v>
      </c>
      <c r="K453">
        <v>673059</v>
      </c>
      <c r="L453" t="s">
        <v>76</v>
      </c>
      <c r="M453" t="s">
        <v>77</v>
      </c>
      <c r="N453" t="s">
        <v>57</v>
      </c>
      <c r="O453" s="1">
        <v>46045</v>
      </c>
      <c r="Q453" s="1">
        <v>46135</v>
      </c>
      <c r="R453" s="2">
        <v>61.85</v>
      </c>
      <c r="S453">
        <v>1</v>
      </c>
      <c r="T453" t="s">
        <v>58</v>
      </c>
      <c r="U453" t="s">
        <v>59</v>
      </c>
      <c r="V453" s="3">
        <v>0.7</v>
      </c>
      <c r="W453" s="2">
        <v>0</v>
      </c>
      <c r="X453">
        <v>0</v>
      </c>
      <c r="Y453" t="s">
        <v>60</v>
      </c>
      <c r="Z453" t="s">
        <v>262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43.3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</row>
    <row r="454" spans="1:43" x14ac:dyDescent="0.3">
      <c r="A454" s="1">
        <v>46104</v>
      </c>
      <c r="B454" t="s">
        <v>48</v>
      </c>
      <c r="C454">
        <v>649163</v>
      </c>
      <c r="D454">
        <v>2033072263</v>
      </c>
      <c r="E454" t="s">
        <v>388</v>
      </c>
      <c r="F454" t="s">
        <v>389</v>
      </c>
      <c r="G454" t="s">
        <v>51</v>
      </c>
      <c r="H454" t="s">
        <v>64</v>
      </c>
      <c r="I454" t="s">
        <v>222</v>
      </c>
      <c r="J454" t="s">
        <v>223</v>
      </c>
      <c r="K454">
        <v>673059</v>
      </c>
      <c r="L454" t="s">
        <v>76</v>
      </c>
      <c r="M454" t="s">
        <v>77</v>
      </c>
      <c r="N454" t="s">
        <v>57</v>
      </c>
      <c r="O454" s="1">
        <v>46049</v>
      </c>
      <c r="Q454" s="1">
        <v>46139</v>
      </c>
      <c r="R454" s="2">
        <v>41.29</v>
      </c>
      <c r="S454">
        <v>1</v>
      </c>
      <c r="T454" t="s">
        <v>58</v>
      </c>
      <c r="U454" t="s">
        <v>59</v>
      </c>
      <c r="V454" s="3">
        <v>0.7</v>
      </c>
      <c r="W454" s="2">
        <v>0</v>
      </c>
      <c r="X454">
        <v>0</v>
      </c>
      <c r="Y454" t="s">
        <v>60</v>
      </c>
      <c r="Z454" t="s">
        <v>262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28.9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</row>
    <row r="455" spans="1:43" x14ac:dyDescent="0.3">
      <c r="A455" s="1">
        <v>46104</v>
      </c>
      <c r="B455" t="s">
        <v>48</v>
      </c>
      <c r="C455">
        <v>649163</v>
      </c>
      <c r="D455">
        <v>2033168107</v>
      </c>
      <c r="E455" t="s">
        <v>390</v>
      </c>
      <c r="F455" t="s">
        <v>391</v>
      </c>
      <c r="G455" t="s">
        <v>51</v>
      </c>
      <c r="H455" t="s">
        <v>213</v>
      </c>
      <c r="I455" t="s">
        <v>222</v>
      </c>
      <c r="J455" t="s">
        <v>223</v>
      </c>
      <c r="K455">
        <v>893408</v>
      </c>
      <c r="L455" t="s">
        <v>392</v>
      </c>
      <c r="M455" t="s">
        <v>393</v>
      </c>
      <c r="N455" t="s">
        <v>57</v>
      </c>
      <c r="O455" s="1">
        <v>46053</v>
      </c>
      <c r="Q455" s="1">
        <v>46109</v>
      </c>
      <c r="R455" s="2">
        <v>-36.1</v>
      </c>
      <c r="S455">
        <v>1</v>
      </c>
      <c r="T455" t="s">
        <v>58</v>
      </c>
      <c r="U455" t="s">
        <v>59</v>
      </c>
      <c r="V455" s="3">
        <v>0.7</v>
      </c>
      <c r="W455" s="2">
        <v>0</v>
      </c>
      <c r="X455">
        <v>-1</v>
      </c>
      <c r="Y455" t="s">
        <v>60</v>
      </c>
      <c r="Z455" t="s">
        <v>262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-25.27</v>
      </c>
      <c r="AN455" s="2">
        <v>-25.27</v>
      </c>
      <c r="AO455" s="2">
        <v>0</v>
      </c>
      <c r="AP455" s="2">
        <v>0</v>
      </c>
      <c r="AQ455" s="2">
        <v>0</v>
      </c>
    </row>
    <row r="456" spans="1:43" x14ac:dyDescent="0.3">
      <c r="A456" s="1">
        <v>46104</v>
      </c>
      <c r="B456" t="s">
        <v>48</v>
      </c>
      <c r="C456">
        <v>649163</v>
      </c>
      <c r="D456">
        <v>2033180565</v>
      </c>
      <c r="E456" t="s">
        <v>394</v>
      </c>
      <c r="F456" t="s">
        <v>395</v>
      </c>
      <c r="G456" t="s">
        <v>51</v>
      </c>
      <c r="H456" t="s">
        <v>74</v>
      </c>
      <c r="I456" t="s">
        <v>222</v>
      </c>
      <c r="J456" t="s">
        <v>223</v>
      </c>
      <c r="K456">
        <v>753748</v>
      </c>
      <c r="L456" t="s">
        <v>146</v>
      </c>
      <c r="M456" t="s">
        <v>116</v>
      </c>
      <c r="N456" t="s">
        <v>57</v>
      </c>
      <c r="O456" s="1">
        <v>46046</v>
      </c>
      <c r="Q456" s="1">
        <v>46136</v>
      </c>
      <c r="R456" s="2">
        <v>50.24</v>
      </c>
      <c r="S456">
        <v>1</v>
      </c>
      <c r="T456" t="s">
        <v>58</v>
      </c>
      <c r="U456" t="s">
        <v>59</v>
      </c>
      <c r="V456" s="3">
        <v>0.7</v>
      </c>
      <c r="W456" s="2">
        <v>0</v>
      </c>
      <c r="X456">
        <v>0</v>
      </c>
      <c r="Y456" t="s">
        <v>60</v>
      </c>
      <c r="Z456" t="s">
        <v>262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35.17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</row>
    <row r="457" spans="1:43" x14ac:dyDescent="0.3">
      <c r="A457" s="1">
        <v>46104</v>
      </c>
      <c r="B457" t="s">
        <v>48</v>
      </c>
      <c r="C457">
        <v>649163</v>
      </c>
      <c r="D457">
        <v>2033197012</v>
      </c>
      <c r="E457" t="s">
        <v>396</v>
      </c>
      <c r="F457" t="s">
        <v>397</v>
      </c>
      <c r="G457" t="s">
        <v>51</v>
      </c>
      <c r="H457" t="s">
        <v>86</v>
      </c>
      <c r="I457" t="s">
        <v>222</v>
      </c>
      <c r="J457" t="s">
        <v>223</v>
      </c>
      <c r="K457">
        <v>813184</v>
      </c>
      <c r="L457" t="s">
        <v>398</v>
      </c>
      <c r="M457" t="s">
        <v>399</v>
      </c>
      <c r="N457" t="s">
        <v>57</v>
      </c>
      <c r="O457" s="1">
        <v>46044</v>
      </c>
      <c r="Q457" s="1">
        <v>46134</v>
      </c>
      <c r="R457" s="2">
        <v>42.36</v>
      </c>
      <c r="S457">
        <v>1</v>
      </c>
      <c r="T457" t="s">
        <v>58</v>
      </c>
      <c r="U457" t="s">
        <v>59</v>
      </c>
      <c r="V457" s="3">
        <v>0.7</v>
      </c>
      <c r="W457" s="2">
        <v>0</v>
      </c>
      <c r="X457">
        <v>0</v>
      </c>
      <c r="Y457" t="s">
        <v>60</v>
      </c>
      <c r="Z457" t="s">
        <v>262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29.65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</row>
    <row r="458" spans="1:43" x14ac:dyDescent="0.3">
      <c r="A458" s="1">
        <v>46104</v>
      </c>
      <c r="B458" t="s">
        <v>48</v>
      </c>
      <c r="C458">
        <v>649163</v>
      </c>
      <c r="D458">
        <v>2033197013</v>
      </c>
      <c r="E458" t="s">
        <v>396</v>
      </c>
      <c r="F458" t="s">
        <v>397</v>
      </c>
      <c r="G458" t="s">
        <v>51</v>
      </c>
      <c r="H458" t="s">
        <v>86</v>
      </c>
      <c r="I458" t="s">
        <v>222</v>
      </c>
      <c r="J458" t="s">
        <v>224</v>
      </c>
      <c r="K458">
        <v>813184</v>
      </c>
      <c r="L458" t="s">
        <v>398</v>
      </c>
      <c r="M458" t="s">
        <v>399</v>
      </c>
      <c r="N458" t="s">
        <v>57</v>
      </c>
      <c r="O458" s="1">
        <v>46044</v>
      </c>
      <c r="Q458" s="1">
        <v>46134</v>
      </c>
      <c r="R458" s="2">
        <v>21.73</v>
      </c>
      <c r="S458">
        <v>1</v>
      </c>
      <c r="T458" t="s">
        <v>58</v>
      </c>
      <c r="U458" t="s">
        <v>59</v>
      </c>
      <c r="V458" s="3">
        <v>0.9</v>
      </c>
      <c r="W458" s="2">
        <v>0</v>
      </c>
      <c r="X458">
        <v>0</v>
      </c>
      <c r="Y458" t="s">
        <v>60</v>
      </c>
      <c r="Z458" t="s">
        <v>262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19.559999999999999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3" x14ac:dyDescent="0.3">
      <c r="A459" s="1">
        <v>46104</v>
      </c>
      <c r="B459" t="s">
        <v>48</v>
      </c>
      <c r="C459">
        <v>649163</v>
      </c>
      <c r="D459">
        <v>2033221221</v>
      </c>
      <c r="E459" t="s">
        <v>551</v>
      </c>
      <c r="F459" t="s">
        <v>552</v>
      </c>
      <c r="G459" t="s">
        <v>51</v>
      </c>
      <c r="H459" t="s">
        <v>74</v>
      </c>
      <c r="I459" t="s">
        <v>222</v>
      </c>
      <c r="J459" t="s">
        <v>223</v>
      </c>
      <c r="K459">
        <v>806645</v>
      </c>
      <c r="L459" t="s">
        <v>553</v>
      </c>
      <c r="M459" t="s">
        <v>554</v>
      </c>
      <c r="N459" t="s">
        <v>57</v>
      </c>
      <c r="O459" s="1">
        <v>46044</v>
      </c>
      <c r="Q459" s="1">
        <v>46134</v>
      </c>
      <c r="R459" s="2">
        <v>48.76</v>
      </c>
      <c r="S459">
        <v>1</v>
      </c>
      <c r="T459" t="s">
        <v>58</v>
      </c>
      <c r="U459" t="s">
        <v>59</v>
      </c>
      <c r="V459" s="3">
        <v>0.7</v>
      </c>
      <c r="W459" s="2">
        <v>0</v>
      </c>
      <c r="X459">
        <v>0</v>
      </c>
      <c r="Y459" t="s">
        <v>60</v>
      </c>
      <c r="Z459" t="s">
        <v>262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34.130000000000003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</row>
    <row r="460" spans="1:43" x14ac:dyDescent="0.3">
      <c r="A460" s="1">
        <v>46104</v>
      </c>
      <c r="B460" t="s">
        <v>48</v>
      </c>
      <c r="C460">
        <v>649163</v>
      </c>
      <c r="D460">
        <v>2033221544</v>
      </c>
      <c r="E460" t="s">
        <v>555</v>
      </c>
      <c r="F460" t="s">
        <v>556</v>
      </c>
      <c r="G460" t="s">
        <v>51</v>
      </c>
      <c r="H460" t="s">
        <v>74</v>
      </c>
      <c r="I460" t="s">
        <v>222</v>
      </c>
      <c r="J460" t="s">
        <v>223</v>
      </c>
      <c r="K460">
        <v>806645</v>
      </c>
      <c r="L460" t="s">
        <v>553</v>
      </c>
      <c r="M460" t="s">
        <v>554</v>
      </c>
      <c r="N460" t="s">
        <v>57</v>
      </c>
      <c r="O460" s="1">
        <v>46044</v>
      </c>
      <c r="Q460" s="1">
        <v>46134</v>
      </c>
      <c r="R460" s="2">
        <v>13</v>
      </c>
      <c r="S460">
        <v>1</v>
      </c>
      <c r="T460" t="s">
        <v>58</v>
      </c>
      <c r="U460" t="s">
        <v>59</v>
      </c>
      <c r="V460" s="3">
        <v>0.7</v>
      </c>
      <c r="W460" s="2">
        <v>0</v>
      </c>
      <c r="X460">
        <v>0</v>
      </c>
      <c r="Y460" t="s">
        <v>60</v>
      </c>
      <c r="Z460" t="s">
        <v>262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9.1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</row>
    <row r="461" spans="1:43" x14ac:dyDescent="0.3">
      <c r="A461" s="1">
        <v>46104</v>
      </c>
      <c r="B461" t="s">
        <v>48</v>
      </c>
      <c r="C461">
        <v>649163</v>
      </c>
      <c r="D461">
        <v>2033232751</v>
      </c>
      <c r="E461" t="s">
        <v>400</v>
      </c>
      <c r="F461" t="s">
        <v>99</v>
      </c>
      <c r="G461" t="s">
        <v>51</v>
      </c>
      <c r="H461" t="s">
        <v>103</v>
      </c>
      <c r="I461" t="s">
        <v>222</v>
      </c>
      <c r="J461" t="s">
        <v>227</v>
      </c>
      <c r="K461">
        <v>823068</v>
      </c>
      <c r="L461" t="s">
        <v>149</v>
      </c>
      <c r="M461" t="s">
        <v>150</v>
      </c>
      <c r="N461" t="s">
        <v>57</v>
      </c>
      <c r="O461" s="1">
        <v>46048</v>
      </c>
      <c r="Q461" s="1">
        <v>46138</v>
      </c>
      <c r="R461" s="2">
        <v>24.61</v>
      </c>
      <c r="S461">
        <v>1</v>
      </c>
      <c r="T461" t="s">
        <v>58</v>
      </c>
      <c r="U461" t="s">
        <v>59</v>
      </c>
      <c r="V461" s="3">
        <v>0.7</v>
      </c>
      <c r="W461" s="2">
        <v>0</v>
      </c>
      <c r="X461">
        <v>0</v>
      </c>
      <c r="Y461" t="s">
        <v>60</v>
      </c>
      <c r="Z461" t="s">
        <v>262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17.23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</row>
    <row r="462" spans="1:43" x14ac:dyDescent="0.3">
      <c r="A462" s="1">
        <v>46104</v>
      </c>
      <c r="B462" t="s">
        <v>48</v>
      </c>
      <c r="C462">
        <v>649163</v>
      </c>
      <c r="D462">
        <v>2033238217</v>
      </c>
      <c r="E462" t="s">
        <v>714</v>
      </c>
      <c r="F462" t="s">
        <v>715</v>
      </c>
      <c r="G462" t="s">
        <v>51</v>
      </c>
      <c r="H462" t="s">
        <v>378</v>
      </c>
      <c r="I462" t="s">
        <v>222</v>
      </c>
      <c r="J462" t="s">
        <v>228</v>
      </c>
      <c r="K462">
        <v>767312</v>
      </c>
      <c r="L462" t="s">
        <v>185</v>
      </c>
      <c r="M462" t="s">
        <v>186</v>
      </c>
      <c r="N462" t="s">
        <v>57</v>
      </c>
      <c r="O462" s="1">
        <v>46078</v>
      </c>
      <c r="Q462" s="1">
        <v>46137</v>
      </c>
      <c r="R462" s="2">
        <v>26.5</v>
      </c>
      <c r="S462">
        <v>1</v>
      </c>
      <c r="T462" t="s">
        <v>58</v>
      </c>
      <c r="U462" t="s">
        <v>59</v>
      </c>
      <c r="V462" s="3">
        <v>0.42</v>
      </c>
      <c r="W462" s="2">
        <v>0</v>
      </c>
      <c r="X462">
        <v>0</v>
      </c>
      <c r="Y462" t="s">
        <v>60</v>
      </c>
      <c r="Z462" t="s">
        <v>262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11.13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</row>
    <row r="463" spans="1:43" x14ac:dyDescent="0.3">
      <c r="A463" s="1">
        <v>46104</v>
      </c>
      <c r="B463" t="s">
        <v>48</v>
      </c>
      <c r="C463">
        <v>649163</v>
      </c>
      <c r="D463">
        <v>2033245538</v>
      </c>
      <c r="E463" t="s">
        <v>401</v>
      </c>
      <c r="F463" t="s">
        <v>116</v>
      </c>
      <c r="G463" t="s">
        <v>51</v>
      </c>
      <c r="H463" t="s">
        <v>86</v>
      </c>
      <c r="I463" t="s">
        <v>222</v>
      </c>
      <c r="J463" t="s">
        <v>223</v>
      </c>
      <c r="K463">
        <v>856824</v>
      </c>
      <c r="L463" t="s">
        <v>125</v>
      </c>
      <c r="M463" t="s">
        <v>126</v>
      </c>
      <c r="N463" t="s">
        <v>57</v>
      </c>
      <c r="O463" s="1">
        <v>46043</v>
      </c>
      <c r="Q463" s="1">
        <v>46133</v>
      </c>
      <c r="R463" s="2">
        <v>18.350000000000001</v>
      </c>
      <c r="S463">
        <v>1</v>
      </c>
      <c r="T463" t="s">
        <v>58</v>
      </c>
      <c r="U463" t="s">
        <v>59</v>
      </c>
      <c r="V463" s="3">
        <v>0.7</v>
      </c>
      <c r="W463" s="2">
        <v>0</v>
      </c>
      <c r="X463">
        <v>0</v>
      </c>
      <c r="Y463" t="s">
        <v>60</v>
      </c>
      <c r="Z463" t="s">
        <v>262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12.84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3" x14ac:dyDescent="0.3">
      <c r="A464" s="1">
        <v>46104</v>
      </c>
      <c r="B464" t="s">
        <v>48</v>
      </c>
      <c r="C464">
        <v>649163</v>
      </c>
      <c r="D464">
        <v>2033245541</v>
      </c>
      <c r="E464" t="s">
        <v>401</v>
      </c>
      <c r="F464" t="s">
        <v>116</v>
      </c>
      <c r="G464" t="s">
        <v>51</v>
      </c>
      <c r="H464" t="s">
        <v>86</v>
      </c>
      <c r="I464" t="s">
        <v>222</v>
      </c>
      <c r="J464" t="s">
        <v>224</v>
      </c>
      <c r="K464">
        <v>856824</v>
      </c>
      <c r="L464" t="s">
        <v>125</v>
      </c>
      <c r="M464" t="s">
        <v>126</v>
      </c>
      <c r="N464" t="s">
        <v>57</v>
      </c>
      <c r="O464" s="1">
        <v>46043</v>
      </c>
      <c r="Q464" s="1">
        <v>46133</v>
      </c>
      <c r="R464" s="2">
        <v>9.0500000000000007</v>
      </c>
      <c r="S464">
        <v>1</v>
      </c>
      <c r="T464" t="s">
        <v>58</v>
      </c>
      <c r="U464" t="s">
        <v>59</v>
      </c>
      <c r="V464" s="3">
        <v>0.9</v>
      </c>
      <c r="W464" s="2">
        <v>0</v>
      </c>
      <c r="X464">
        <v>0</v>
      </c>
      <c r="Y464" t="s">
        <v>60</v>
      </c>
      <c r="Z464" t="s">
        <v>262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8.14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</row>
    <row r="465" spans="1:43" x14ac:dyDescent="0.3">
      <c r="A465" s="1">
        <v>46104</v>
      </c>
      <c r="B465" t="s">
        <v>48</v>
      </c>
      <c r="C465">
        <v>649163</v>
      </c>
      <c r="D465">
        <v>2033246456</v>
      </c>
      <c r="E465" t="s">
        <v>716</v>
      </c>
      <c r="F465" t="s">
        <v>345</v>
      </c>
      <c r="G465" t="s">
        <v>51</v>
      </c>
      <c r="H465" t="s">
        <v>74</v>
      </c>
      <c r="I465" t="s">
        <v>222</v>
      </c>
      <c r="J465" t="s">
        <v>223</v>
      </c>
      <c r="K465">
        <v>932159</v>
      </c>
      <c r="L465" t="s">
        <v>717</v>
      </c>
      <c r="M465" t="s">
        <v>718</v>
      </c>
      <c r="N465" t="s">
        <v>57</v>
      </c>
      <c r="O465" s="1">
        <v>46043</v>
      </c>
      <c r="Q465" s="1">
        <v>46133</v>
      </c>
      <c r="R465" s="2">
        <v>134.71</v>
      </c>
      <c r="S465">
        <v>1</v>
      </c>
      <c r="T465" t="s">
        <v>58</v>
      </c>
      <c r="U465" t="s">
        <v>59</v>
      </c>
      <c r="V465" s="3">
        <v>0.7</v>
      </c>
      <c r="W465" s="2">
        <v>0</v>
      </c>
      <c r="X465">
        <v>0</v>
      </c>
      <c r="Y465" t="s">
        <v>60</v>
      </c>
      <c r="Z465" t="s">
        <v>262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94.3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</row>
    <row r="466" spans="1:43" x14ac:dyDescent="0.3">
      <c r="A466" s="1">
        <v>46104</v>
      </c>
      <c r="B466" t="s">
        <v>48</v>
      </c>
      <c r="C466">
        <v>649163</v>
      </c>
      <c r="D466">
        <v>2033259762</v>
      </c>
      <c r="E466" t="s">
        <v>402</v>
      </c>
      <c r="F466" t="s">
        <v>403</v>
      </c>
      <c r="G466" t="s">
        <v>51</v>
      </c>
      <c r="H466" t="s">
        <v>64</v>
      </c>
      <c r="I466" t="s">
        <v>222</v>
      </c>
      <c r="J466" t="s">
        <v>223</v>
      </c>
      <c r="K466">
        <v>823350</v>
      </c>
      <c r="L466" t="s">
        <v>67</v>
      </c>
      <c r="M466" t="s">
        <v>68</v>
      </c>
      <c r="N466" t="s">
        <v>57</v>
      </c>
      <c r="O466" s="1">
        <v>46047</v>
      </c>
      <c r="Q466" s="1">
        <v>46137</v>
      </c>
      <c r="R466" s="2">
        <v>124.72</v>
      </c>
      <c r="S466">
        <v>1</v>
      </c>
      <c r="T466" t="s">
        <v>58</v>
      </c>
      <c r="U466" t="s">
        <v>59</v>
      </c>
      <c r="V466" s="3">
        <v>0.7</v>
      </c>
      <c r="W466" s="2">
        <v>0</v>
      </c>
      <c r="X466">
        <v>0</v>
      </c>
      <c r="Y466" t="s">
        <v>60</v>
      </c>
      <c r="Z466" t="s">
        <v>262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87.3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</row>
    <row r="467" spans="1:43" x14ac:dyDescent="0.3">
      <c r="A467" s="1">
        <v>46104</v>
      </c>
      <c r="B467" t="s">
        <v>48</v>
      </c>
      <c r="C467">
        <v>649163</v>
      </c>
      <c r="D467">
        <v>2033263674</v>
      </c>
      <c r="E467" t="s">
        <v>242</v>
      </c>
      <c r="F467" t="s">
        <v>719</v>
      </c>
      <c r="G467" t="s">
        <v>51</v>
      </c>
      <c r="H467" t="s">
        <v>103</v>
      </c>
      <c r="I467" t="s">
        <v>222</v>
      </c>
      <c r="J467" t="s">
        <v>227</v>
      </c>
      <c r="K467">
        <v>861933</v>
      </c>
      <c r="L467" t="s">
        <v>104</v>
      </c>
      <c r="M467" t="s">
        <v>105</v>
      </c>
      <c r="N467" t="s">
        <v>57</v>
      </c>
      <c r="O467" s="1">
        <v>46045</v>
      </c>
      <c r="Q467" s="1">
        <v>46135</v>
      </c>
      <c r="R467" s="2">
        <v>24.61</v>
      </c>
      <c r="S467">
        <v>1</v>
      </c>
      <c r="T467" t="s">
        <v>58</v>
      </c>
      <c r="U467" t="s">
        <v>59</v>
      </c>
      <c r="V467" s="3">
        <v>0.7</v>
      </c>
      <c r="W467" s="2">
        <v>0</v>
      </c>
      <c r="X467">
        <v>0</v>
      </c>
      <c r="Y467" t="s">
        <v>60</v>
      </c>
      <c r="Z467" t="s">
        <v>262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17.23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3">
      <c r="A468" s="1">
        <v>46104</v>
      </c>
      <c r="B468" t="s">
        <v>48</v>
      </c>
      <c r="C468">
        <v>649163</v>
      </c>
      <c r="D468">
        <v>2033263675</v>
      </c>
      <c r="E468" t="s">
        <v>242</v>
      </c>
      <c r="F468" t="s">
        <v>719</v>
      </c>
      <c r="G468" t="s">
        <v>51</v>
      </c>
      <c r="H468" t="s">
        <v>103</v>
      </c>
      <c r="I468" t="s">
        <v>222</v>
      </c>
      <c r="J468" t="s">
        <v>224</v>
      </c>
      <c r="K468">
        <v>861933</v>
      </c>
      <c r="L468" t="s">
        <v>104</v>
      </c>
      <c r="M468" t="s">
        <v>105</v>
      </c>
      <c r="N468" t="s">
        <v>57</v>
      </c>
      <c r="O468" s="1">
        <v>46045</v>
      </c>
      <c r="Q468" s="1">
        <v>46135</v>
      </c>
      <c r="R468" s="2">
        <v>21.83</v>
      </c>
      <c r="S468">
        <v>1</v>
      </c>
      <c r="T468" t="s">
        <v>58</v>
      </c>
      <c r="U468" t="s">
        <v>59</v>
      </c>
      <c r="V468" s="3">
        <v>0.9</v>
      </c>
      <c r="W468" s="2">
        <v>0</v>
      </c>
      <c r="X468">
        <v>0</v>
      </c>
      <c r="Y468" t="s">
        <v>60</v>
      </c>
      <c r="Z468" t="s">
        <v>262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19.649999999999999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</row>
    <row r="469" spans="1:43" x14ac:dyDescent="0.3">
      <c r="A469" s="1">
        <v>46104</v>
      </c>
      <c r="B469" t="s">
        <v>48</v>
      </c>
      <c r="C469">
        <v>649163</v>
      </c>
      <c r="D469">
        <v>2033270598</v>
      </c>
      <c r="E469" t="s">
        <v>720</v>
      </c>
      <c r="F469" t="s">
        <v>148</v>
      </c>
      <c r="G469" t="s">
        <v>51</v>
      </c>
      <c r="H469" t="s">
        <v>100</v>
      </c>
      <c r="I469" t="s">
        <v>222</v>
      </c>
      <c r="J469" t="s">
        <v>223</v>
      </c>
      <c r="K469">
        <v>673059</v>
      </c>
      <c r="L469" t="s">
        <v>76</v>
      </c>
      <c r="M469" t="s">
        <v>77</v>
      </c>
      <c r="N469" t="s">
        <v>57</v>
      </c>
      <c r="O469" s="1">
        <v>46045</v>
      </c>
      <c r="Q469" s="1">
        <v>46135</v>
      </c>
      <c r="R469" s="2">
        <v>23.25</v>
      </c>
      <c r="S469">
        <v>1</v>
      </c>
      <c r="T469" t="s">
        <v>58</v>
      </c>
      <c r="U469" t="s">
        <v>59</v>
      </c>
      <c r="V469" s="3">
        <v>0.7</v>
      </c>
      <c r="W469" s="2">
        <v>0</v>
      </c>
      <c r="X469">
        <v>0</v>
      </c>
      <c r="Y469" t="s">
        <v>60</v>
      </c>
      <c r="Z469" t="s">
        <v>262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16.28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</row>
    <row r="470" spans="1:43" x14ac:dyDescent="0.3">
      <c r="A470" s="1">
        <v>46104</v>
      </c>
      <c r="B470" t="s">
        <v>48</v>
      </c>
      <c r="C470">
        <v>649163</v>
      </c>
      <c r="D470">
        <v>2033276389</v>
      </c>
      <c r="E470" t="s">
        <v>721</v>
      </c>
      <c r="F470" t="s">
        <v>722</v>
      </c>
      <c r="G470" t="s">
        <v>51</v>
      </c>
      <c r="H470" t="s">
        <v>103</v>
      </c>
      <c r="I470" t="s">
        <v>222</v>
      </c>
      <c r="J470" t="s">
        <v>227</v>
      </c>
      <c r="K470">
        <v>902625</v>
      </c>
      <c r="L470" t="s">
        <v>108</v>
      </c>
      <c r="M470" t="s">
        <v>109</v>
      </c>
      <c r="N470" t="s">
        <v>57</v>
      </c>
      <c r="O470" s="1">
        <v>46045</v>
      </c>
      <c r="Q470" s="1">
        <v>46135</v>
      </c>
      <c r="R470" s="2">
        <v>55.58</v>
      </c>
      <c r="S470">
        <v>1</v>
      </c>
      <c r="T470" t="s">
        <v>58</v>
      </c>
      <c r="U470" t="s">
        <v>59</v>
      </c>
      <c r="V470" s="3">
        <v>0.7</v>
      </c>
      <c r="W470" s="2">
        <v>0</v>
      </c>
      <c r="X470">
        <v>0</v>
      </c>
      <c r="Y470" t="s">
        <v>60</v>
      </c>
      <c r="Z470" t="s">
        <v>262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38.909999999999997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3">
      <c r="A471" s="1">
        <v>46104</v>
      </c>
      <c r="B471" t="s">
        <v>48</v>
      </c>
      <c r="C471">
        <v>649163</v>
      </c>
      <c r="D471">
        <v>2033297762</v>
      </c>
      <c r="E471" t="s">
        <v>723</v>
      </c>
      <c r="F471" t="s">
        <v>377</v>
      </c>
      <c r="G471" t="s">
        <v>51</v>
      </c>
      <c r="H471" t="s">
        <v>86</v>
      </c>
      <c r="I471" t="s">
        <v>222</v>
      </c>
      <c r="J471" t="s">
        <v>223</v>
      </c>
      <c r="K471">
        <v>878036</v>
      </c>
      <c r="L471" t="s">
        <v>165</v>
      </c>
      <c r="M471" t="s">
        <v>166</v>
      </c>
      <c r="N471" t="s">
        <v>57</v>
      </c>
      <c r="O471" s="1">
        <v>46046</v>
      </c>
      <c r="Q471" s="1">
        <v>46136</v>
      </c>
      <c r="R471" s="2">
        <v>29.58</v>
      </c>
      <c r="S471">
        <v>1</v>
      </c>
      <c r="T471" t="s">
        <v>58</v>
      </c>
      <c r="U471" t="s">
        <v>59</v>
      </c>
      <c r="V471" s="3">
        <v>0.7</v>
      </c>
      <c r="W471" s="2">
        <v>0</v>
      </c>
      <c r="X471">
        <v>0</v>
      </c>
      <c r="Y471" t="s">
        <v>60</v>
      </c>
      <c r="Z471" t="s">
        <v>262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20.71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3">
      <c r="A472" s="1">
        <v>46104</v>
      </c>
      <c r="B472" t="s">
        <v>48</v>
      </c>
      <c r="C472">
        <v>649163</v>
      </c>
      <c r="D472">
        <v>2033305008</v>
      </c>
      <c r="E472" t="s">
        <v>724</v>
      </c>
      <c r="F472" t="s">
        <v>725</v>
      </c>
      <c r="G472" t="s">
        <v>51</v>
      </c>
      <c r="H472" t="s">
        <v>52</v>
      </c>
      <c r="I472" t="s">
        <v>222</v>
      </c>
      <c r="J472" t="s">
        <v>224</v>
      </c>
      <c r="K472">
        <v>651818</v>
      </c>
      <c r="L472" t="s">
        <v>96</v>
      </c>
      <c r="M472" t="s">
        <v>97</v>
      </c>
      <c r="N472" t="s">
        <v>57</v>
      </c>
      <c r="O472" s="1">
        <v>46074</v>
      </c>
      <c r="Q472" s="1">
        <v>46133</v>
      </c>
      <c r="R472" s="2">
        <v>51.63</v>
      </c>
      <c r="S472">
        <v>1</v>
      </c>
      <c r="T472" t="s">
        <v>58</v>
      </c>
      <c r="U472" t="s">
        <v>59</v>
      </c>
      <c r="V472" s="3">
        <v>0.9</v>
      </c>
      <c r="W472" s="2">
        <v>0</v>
      </c>
      <c r="X472">
        <v>0</v>
      </c>
      <c r="Y472" t="s">
        <v>60</v>
      </c>
      <c r="Z472" t="s">
        <v>262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46.47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</row>
    <row r="473" spans="1:43" x14ac:dyDescent="0.3">
      <c r="A473" s="1">
        <v>46104</v>
      </c>
      <c r="B473" t="s">
        <v>48</v>
      </c>
      <c r="C473">
        <v>649163</v>
      </c>
      <c r="D473">
        <v>2033305450</v>
      </c>
      <c r="E473" t="s">
        <v>651</v>
      </c>
      <c r="F473" t="s">
        <v>726</v>
      </c>
      <c r="G473" t="s">
        <v>51</v>
      </c>
      <c r="H473" t="s">
        <v>64</v>
      </c>
      <c r="I473" t="s">
        <v>222</v>
      </c>
      <c r="J473" t="s">
        <v>223</v>
      </c>
      <c r="K473">
        <v>807212</v>
      </c>
      <c r="L473" t="s">
        <v>246</v>
      </c>
      <c r="M473" t="s">
        <v>247</v>
      </c>
      <c r="N473" t="s">
        <v>57</v>
      </c>
      <c r="O473" s="1">
        <v>46046</v>
      </c>
      <c r="Q473" s="1">
        <v>46136</v>
      </c>
      <c r="R473" s="2">
        <v>52</v>
      </c>
      <c r="S473">
        <v>1</v>
      </c>
      <c r="T473" t="s">
        <v>58</v>
      </c>
      <c r="U473" t="s">
        <v>59</v>
      </c>
      <c r="V473" s="3">
        <v>0.7</v>
      </c>
      <c r="W473" s="2">
        <v>0</v>
      </c>
      <c r="X473">
        <v>0</v>
      </c>
      <c r="Y473" t="s">
        <v>60</v>
      </c>
      <c r="Z473" t="s">
        <v>262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36.4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3">
      <c r="A474" s="1">
        <v>46104</v>
      </c>
      <c r="B474" t="s">
        <v>48</v>
      </c>
      <c r="C474">
        <v>649163</v>
      </c>
      <c r="D474">
        <v>2033337348</v>
      </c>
      <c r="E474" t="s">
        <v>566</v>
      </c>
      <c r="F474" t="s">
        <v>727</v>
      </c>
      <c r="G474" t="s">
        <v>51</v>
      </c>
      <c r="H474" t="s">
        <v>64</v>
      </c>
      <c r="I474" t="s">
        <v>222</v>
      </c>
      <c r="J474" t="s">
        <v>223</v>
      </c>
      <c r="K474">
        <v>768887</v>
      </c>
      <c r="L474" t="s">
        <v>153</v>
      </c>
      <c r="M474" t="s">
        <v>154</v>
      </c>
      <c r="N474" t="s">
        <v>57</v>
      </c>
      <c r="O474" s="1">
        <v>46049</v>
      </c>
      <c r="Q474" s="1">
        <v>46139</v>
      </c>
      <c r="R474" s="2">
        <v>49.8</v>
      </c>
      <c r="S474">
        <v>1</v>
      </c>
      <c r="T474" t="s">
        <v>58</v>
      </c>
      <c r="U474" t="s">
        <v>59</v>
      </c>
      <c r="V474" s="3">
        <v>0.7</v>
      </c>
      <c r="W474" s="2">
        <v>0</v>
      </c>
      <c r="X474">
        <v>0</v>
      </c>
      <c r="Y474" t="s">
        <v>60</v>
      </c>
      <c r="Z474" t="s">
        <v>262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34.86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3">
      <c r="A475" s="1">
        <v>46104</v>
      </c>
      <c r="B475" t="s">
        <v>48</v>
      </c>
      <c r="C475">
        <v>649163</v>
      </c>
      <c r="D475">
        <v>2033401871</v>
      </c>
      <c r="E475" t="s">
        <v>557</v>
      </c>
      <c r="F475" t="s">
        <v>389</v>
      </c>
      <c r="G475" t="s">
        <v>51</v>
      </c>
      <c r="H475" t="s">
        <v>86</v>
      </c>
      <c r="I475" t="s">
        <v>222</v>
      </c>
      <c r="J475" t="s">
        <v>223</v>
      </c>
      <c r="K475">
        <v>878036</v>
      </c>
      <c r="L475" t="s">
        <v>165</v>
      </c>
      <c r="M475" t="s">
        <v>166</v>
      </c>
      <c r="N475" t="s">
        <v>57</v>
      </c>
      <c r="O475" s="1">
        <v>46054</v>
      </c>
      <c r="Q475" s="1">
        <v>46113</v>
      </c>
      <c r="R475" s="2">
        <v>19.100000000000001</v>
      </c>
      <c r="S475">
        <v>1</v>
      </c>
      <c r="T475" t="s">
        <v>58</v>
      </c>
      <c r="U475" t="s">
        <v>59</v>
      </c>
      <c r="V475" s="3">
        <v>0.7</v>
      </c>
      <c r="W475" s="2">
        <v>0</v>
      </c>
      <c r="X475">
        <v>0</v>
      </c>
      <c r="Y475" t="s">
        <v>60</v>
      </c>
      <c r="Z475" t="s">
        <v>262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13.37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3">
      <c r="A476" s="1">
        <v>46104</v>
      </c>
      <c r="B476" t="s">
        <v>48</v>
      </c>
      <c r="C476">
        <v>649163</v>
      </c>
      <c r="D476">
        <v>2033404742</v>
      </c>
      <c r="E476" t="s">
        <v>557</v>
      </c>
      <c r="F476" t="s">
        <v>558</v>
      </c>
      <c r="G476" t="s">
        <v>51</v>
      </c>
      <c r="H476" t="s">
        <v>86</v>
      </c>
      <c r="I476" t="s">
        <v>222</v>
      </c>
      <c r="J476" t="s">
        <v>223</v>
      </c>
      <c r="K476">
        <v>878036</v>
      </c>
      <c r="L476" t="s">
        <v>165</v>
      </c>
      <c r="M476" t="s">
        <v>166</v>
      </c>
      <c r="N476" t="s">
        <v>57</v>
      </c>
      <c r="O476" s="1">
        <v>46054</v>
      </c>
      <c r="Q476" s="1">
        <v>46113</v>
      </c>
      <c r="R476" s="2">
        <v>19.100000000000001</v>
      </c>
      <c r="S476">
        <v>1</v>
      </c>
      <c r="T476" t="s">
        <v>58</v>
      </c>
      <c r="U476" t="s">
        <v>59</v>
      </c>
      <c r="V476" s="3">
        <v>0.7</v>
      </c>
      <c r="W476" s="2">
        <v>0</v>
      </c>
      <c r="X476">
        <v>0</v>
      </c>
      <c r="Y476" t="s">
        <v>60</v>
      </c>
      <c r="Z476" t="s">
        <v>262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13.37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3">
      <c r="A477" s="1">
        <v>46104</v>
      </c>
      <c r="B477" t="s">
        <v>48</v>
      </c>
      <c r="C477">
        <v>649163</v>
      </c>
      <c r="D477">
        <v>2033406248</v>
      </c>
      <c r="E477" t="s">
        <v>559</v>
      </c>
      <c r="F477" t="s">
        <v>560</v>
      </c>
      <c r="G477" t="s">
        <v>51</v>
      </c>
      <c r="H477" t="s">
        <v>86</v>
      </c>
      <c r="I477" t="s">
        <v>222</v>
      </c>
      <c r="J477" t="s">
        <v>223</v>
      </c>
      <c r="K477">
        <v>878036</v>
      </c>
      <c r="L477" t="s">
        <v>165</v>
      </c>
      <c r="M477" t="s">
        <v>166</v>
      </c>
      <c r="N477" t="s">
        <v>57</v>
      </c>
      <c r="O477" s="1">
        <v>46054</v>
      </c>
      <c r="Q477" s="1">
        <v>46113</v>
      </c>
      <c r="R477" s="2">
        <v>11.74</v>
      </c>
      <c r="S477">
        <v>1</v>
      </c>
      <c r="T477" t="s">
        <v>58</v>
      </c>
      <c r="U477" t="s">
        <v>59</v>
      </c>
      <c r="V477" s="3">
        <v>0.7</v>
      </c>
      <c r="W477" s="2">
        <v>0</v>
      </c>
      <c r="X477">
        <v>0</v>
      </c>
      <c r="Y477" t="s">
        <v>60</v>
      </c>
      <c r="Z477" t="s">
        <v>262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8.2200000000000006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3">
      <c r="A478" s="1">
        <v>46104</v>
      </c>
      <c r="B478" t="s">
        <v>48</v>
      </c>
      <c r="C478">
        <v>649163</v>
      </c>
      <c r="D478">
        <v>2033569244</v>
      </c>
      <c r="E478" t="s">
        <v>728</v>
      </c>
      <c r="F478" t="s">
        <v>729</v>
      </c>
      <c r="G478" t="s">
        <v>51</v>
      </c>
      <c r="H478" t="s">
        <v>103</v>
      </c>
      <c r="I478" t="s">
        <v>222</v>
      </c>
      <c r="J478" t="s">
        <v>224</v>
      </c>
      <c r="K478">
        <v>902625</v>
      </c>
      <c r="L478" t="s">
        <v>108</v>
      </c>
      <c r="M478" t="s">
        <v>109</v>
      </c>
      <c r="N478" t="s">
        <v>271</v>
      </c>
      <c r="O478" s="1">
        <v>46081</v>
      </c>
      <c r="P478" s="1">
        <v>46104</v>
      </c>
      <c r="Q478" s="1">
        <v>46109</v>
      </c>
      <c r="R478" s="2">
        <v>-23.05</v>
      </c>
      <c r="S478">
        <v>1</v>
      </c>
      <c r="T478" t="s">
        <v>58</v>
      </c>
      <c r="U478" t="s">
        <v>59</v>
      </c>
      <c r="V478" s="3">
        <v>0.9</v>
      </c>
      <c r="W478" s="2">
        <v>0</v>
      </c>
      <c r="X478">
        <v>-1</v>
      </c>
      <c r="Y478" t="s">
        <v>60</v>
      </c>
      <c r="Z478" t="s">
        <v>262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-20.74</v>
      </c>
      <c r="AN478" s="2">
        <v>-20.74</v>
      </c>
      <c r="AO478" s="2">
        <v>0</v>
      </c>
      <c r="AP478" s="2">
        <v>0</v>
      </c>
      <c r="AQ478" s="2">
        <v>0</v>
      </c>
    </row>
    <row r="479" spans="1:43" x14ac:dyDescent="0.3">
      <c r="A479" s="1">
        <v>46104</v>
      </c>
      <c r="B479" t="s">
        <v>48</v>
      </c>
      <c r="C479">
        <v>649163</v>
      </c>
      <c r="D479">
        <v>2033569245</v>
      </c>
      <c r="E479" t="s">
        <v>728</v>
      </c>
      <c r="F479" t="s">
        <v>729</v>
      </c>
      <c r="G479" t="s">
        <v>51</v>
      </c>
      <c r="H479" t="s">
        <v>103</v>
      </c>
      <c r="I479" t="s">
        <v>222</v>
      </c>
      <c r="J479" t="s">
        <v>227</v>
      </c>
      <c r="K479">
        <v>902625</v>
      </c>
      <c r="L479" t="s">
        <v>108</v>
      </c>
      <c r="M479" t="s">
        <v>109</v>
      </c>
      <c r="N479" t="s">
        <v>271</v>
      </c>
      <c r="O479" s="1">
        <v>46081</v>
      </c>
      <c r="P479" s="1">
        <v>46104</v>
      </c>
      <c r="Q479" s="1">
        <v>46109</v>
      </c>
      <c r="R479" s="2">
        <v>-24.61</v>
      </c>
      <c r="S479">
        <v>1</v>
      </c>
      <c r="T479" t="s">
        <v>58</v>
      </c>
      <c r="U479" t="s">
        <v>59</v>
      </c>
      <c r="V479" s="3">
        <v>0.7</v>
      </c>
      <c r="W479" s="2">
        <v>0</v>
      </c>
      <c r="X479">
        <v>-1</v>
      </c>
      <c r="Y479" t="s">
        <v>60</v>
      </c>
      <c r="Z479" t="s">
        <v>262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-17.23</v>
      </c>
      <c r="AN479" s="2">
        <v>-17.23</v>
      </c>
      <c r="AO479" s="2">
        <v>0</v>
      </c>
      <c r="AP479" s="2">
        <v>0</v>
      </c>
      <c r="AQ479" s="2">
        <v>0</v>
      </c>
    </row>
    <row r="480" spans="1:43" x14ac:dyDescent="0.3">
      <c r="A480" s="1">
        <v>46104</v>
      </c>
      <c r="B480" t="s">
        <v>48</v>
      </c>
      <c r="C480">
        <v>649163</v>
      </c>
      <c r="D480">
        <v>2033625344</v>
      </c>
      <c r="E480" t="s">
        <v>730</v>
      </c>
      <c r="F480" t="s">
        <v>731</v>
      </c>
      <c r="G480" t="s">
        <v>51</v>
      </c>
      <c r="H480" t="s">
        <v>378</v>
      </c>
      <c r="I480" t="s">
        <v>222</v>
      </c>
      <c r="J480" t="s">
        <v>228</v>
      </c>
      <c r="K480">
        <v>767312</v>
      </c>
      <c r="L480" t="s">
        <v>185</v>
      </c>
      <c r="M480" t="s">
        <v>186</v>
      </c>
      <c r="N480" t="s">
        <v>57</v>
      </c>
      <c r="O480" s="1">
        <v>46072</v>
      </c>
      <c r="Q480" s="1">
        <v>46131</v>
      </c>
      <c r="R480" s="2">
        <v>-26.5</v>
      </c>
      <c r="S480">
        <v>1</v>
      </c>
      <c r="T480" t="s">
        <v>58</v>
      </c>
      <c r="U480" t="s">
        <v>59</v>
      </c>
      <c r="V480" s="3">
        <v>0.42</v>
      </c>
      <c r="W480" s="2">
        <v>0</v>
      </c>
      <c r="X480">
        <v>-1</v>
      </c>
      <c r="Y480" t="s">
        <v>60</v>
      </c>
      <c r="Z480" t="s">
        <v>262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-11.13</v>
      </c>
      <c r="AN480" s="2">
        <v>-11.13</v>
      </c>
      <c r="AO480" s="2">
        <v>0</v>
      </c>
      <c r="AP480" s="2">
        <v>0</v>
      </c>
      <c r="AQ480" s="2">
        <v>0</v>
      </c>
    </row>
    <row r="481" spans="1:43" x14ac:dyDescent="0.3">
      <c r="A481" s="1">
        <v>46104</v>
      </c>
      <c r="B481" t="s">
        <v>48</v>
      </c>
      <c r="C481">
        <v>649163</v>
      </c>
      <c r="D481">
        <v>2033773906</v>
      </c>
      <c r="E481" t="s">
        <v>472</v>
      </c>
      <c r="F481" t="s">
        <v>173</v>
      </c>
      <c r="G481" t="s">
        <v>51</v>
      </c>
      <c r="H481" t="s">
        <v>375</v>
      </c>
      <c r="I481" t="s">
        <v>222</v>
      </c>
      <c r="J481" t="s">
        <v>223</v>
      </c>
      <c r="K481">
        <v>856163</v>
      </c>
      <c r="L481" t="s">
        <v>67</v>
      </c>
      <c r="M481" t="s">
        <v>473</v>
      </c>
      <c r="N481" t="s">
        <v>57</v>
      </c>
      <c r="O481" s="1">
        <v>46076</v>
      </c>
      <c r="Q481" s="1">
        <v>46135</v>
      </c>
      <c r="R481" s="2">
        <v>26.82</v>
      </c>
      <c r="S481">
        <v>1</v>
      </c>
      <c r="T481" t="s">
        <v>58</v>
      </c>
      <c r="U481" t="s">
        <v>59</v>
      </c>
      <c r="V481" s="3">
        <v>0.7</v>
      </c>
      <c r="W481" s="2">
        <v>0</v>
      </c>
      <c r="X481">
        <v>0</v>
      </c>
      <c r="Y481" t="s">
        <v>60</v>
      </c>
      <c r="Z481" t="s">
        <v>262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18.77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3">
      <c r="A482" s="1">
        <v>46104</v>
      </c>
      <c r="B482" t="s">
        <v>48</v>
      </c>
      <c r="C482">
        <v>649163</v>
      </c>
      <c r="D482">
        <v>2033778075</v>
      </c>
      <c r="E482" t="s">
        <v>732</v>
      </c>
      <c r="F482" t="s">
        <v>733</v>
      </c>
      <c r="G482" t="s">
        <v>51</v>
      </c>
      <c r="H482" t="s">
        <v>205</v>
      </c>
      <c r="I482" t="s">
        <v>222</v>
      </c>
      <c r="J482" t="s">
        <v>223</v>
      </c>
      <c r="K482">
        <v>651818</v>
      </c>
      <c r="L482" t="s">
        <v>96</v>
      </c>
      <c r="M482" t="s">
        <v>97</v>
      </c>
      <c r="N482" t="s">
        <v>57</v>
      </c>
      <c r="O482" s="1">
        <v>46074</v>
      </c>
      <c r="Q482" s="1">
        <v>46133</v>
      </c>
      <c r="R482" s="2">
        <v>45.46</v>
      </c>
      <c r="S482">
        <v>1</v>
      </c>
      <c r="T482" t="s">
        <v>58</v>
      </c>
      <c r="U482" t="s">
        <v>59</v>
      </c>
      <c r="V482" s="3">
        <v>0.7</v>
      </c>
      <c r="W482" s="2">
        <v>0</v>
      </c>
      <c r="X482">
        <v>0</v>
      </c>
      <c r="Y482" t="s">
        <v>60</v>
      </c>
      <c r="Z482" t="s">
        <v>262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31.82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3">
      <c r="A483" s="1">
        <v>46104</v>
      </c>
      <c r="B483" t="s">
        <v>48</v>
      </c>
      <c r="C483">
        <v>649163</v>
      </c>
      <c r="D483">
        <v>2033782854</v>
      </c>
      <c r="E483" t="s">
        <v>407</v>
      </c>
      <c r="F483" t="s">
        <v>408</v>
      </c>
      <c r="G483" t="s">
        <v>51</v>
      </c>
      <c r="H483" t="s">
        <v>103</v>
      </c>
      <c r="I483" t="s">
        <v>222</v>
      </c>
      <c r="J483" t="s">
        <v>228</v>
      </c>
      <c r="K483">
        <v>902625</v>
      </c>
      <c r="L483" t="s">
        <v>108</v>
      </c>
      <c r="M483" t="s">
        <v>109</v>
      </c>
      <c r="N483" t="s">
        <v>57</v>
      </c>
      <c r="O483" s="1">
        <v>46074</v>
      </c>
      <c r="Q483" s="1">
        <v>46133</v>
      </c>
      <c r="R483" s="2">
        <v>25.25</v>
      </c>
      <c r="S483">
        <v>1</v>
      </c>
      <c r="T483" t="s">
        <v>58</v>
      </c>
      <c r="U483" t="s">
        <v>59</v>
      </c>
      <c r="V483" s="3">
        <v>0.42</v>
      </c>
      <c r="W483" s="2">
        <v>0</v>
      </c>
      <c r="X483">
        <v>0</v>
      </c>
      <c r="Y483" t="s">
        <v>60</v>
      </c>
      <c r="Z483" t="s">
        <v>262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10.6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3">
      <c r="A484" s="1">
        <v>46104</v>
      </c>
      <c r="B484" t="s">
        <v>48</v>
      </c>
      <c r="C484">
        <v>649163</v>
      </c>
      <c r="D484">
        <v>2033782855</v>
      </c>
      <c r="E484" t="s">
        <v>407</v>
      </c>
      <c r="F484" t="s">
        <v>408</v>
      </c>
      <c r="G484" t="s">
        <v>51</v>
      </c>
      <c r="H484" t="s">
        <v>103</v>
      </c>
      <c r="I484" t="s">
        <v>222</v>
      </c>
      <c r="J484" t="s">
        <v>227</v>
      </c>
      <c r="K484">
        <v>902625</v>
      </c>
      <c r="L484" t="s">
        <v>108</v>
      </c>
      <c r="M484" t="s">
        <v>109</v>
      </c>
      <c r="N484" t="s">
        <v>57</v>
      </c>
      <c r="O484" s="1">
        <v>46074</v>
      </c>
      <c r="Q484" s="1">
        <v>46133</v>
      </c>
      <c r="R484" s="2">
        <v>24.61</v>
      </c>
      <c r="S484">
        <v>1</v>
      </c>
      <c r="T484" t="s">
        <v>58</v>
      </c>
      <c r="U484" t="s">
        <v>59</v>
      </c>
      <c r="V484" s="3">
        <v>0.7</v>
      </c>
      <c r="W484" s="2">
        <v>0</v>
      </c>
      <c r="X484">
        <v>0</v>
      </c>
      <c r="Y484" t="s">
        <v>60</v>
      </c>
      <c r="Z484" t="s">
        <v>262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17.23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3">
      <c r="A485" s="1">
        <v>46104</v>
      </c>
      <c r="B485" t="s">
        <v>48</v>
      </c>
      <c r="C485">
        <v>649163</v>
      </c>
      <c r="D485">
        <v>2033783858</v>
      </c>
      <c r="E485" t="s">
        <v>734</v>
      </c>
      <c r="F485" t="s">
        <v>735</v>
      </c>
      <c r="G485" t="s">
        <v>51</v>
      </c>
      <c r="H485" t="s">
        <v>597</v>
      </c>
      <c r="I485" t="s">
        <v>222</v>
      </c>
      <c r="J485" t="s">
        <v>223</v>
      </c>
      <c r="K485">
        <v>875334</v>
      </c>
      <c r="L485" t="s">
        <v>240</v>
      </c>
      <c r="M485" t="s">
        <v>241</v>
      </c>
      <c r="N485" t="s">
        <v>57</v>
      </c>
      <c r="O485" s="1">
        <v>46074</v>
      </c>
      <c r="Q485" s="1">
        <v>46133</v>
      </c>
      <c r="R485" s="2">
        <v>35.04</v>
      </c>
      <c r="S485">
        <v>1</v>
      </c>
      <c r="T485" t="s">
        <v>58</v>
      </c>
      <c r="U485" t="s">
        <v>59</v>
      </c>
      <c r="V485" s="3">
        <v>0.7</v>
      </c>
      <c r="W485" s="2">
        <v>0</v>
      </c>
      <c r="X485">
        <v>0</v>
      </c>
      <c r="Y485" t="s">
        <v>60</v>
      </c>
      <c r="Z485" t="s">
        <v>262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24.53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3">
      <c r="A486" s="1">
        <v>46104</v>
      </c>
      <c r="B486" t="s">
        <v>48</v>
      </c>
      <c r="C486">
        <v>649163</v>
      </c>
      <c r="D486">
        <v>2033791592</v>
      </c>
      <c r="E486" t="s">
        <v>736</v>
      </c>
      <c r="F486" t="s">
        <v>737</v>
      </c>
      <c r="G486" t="s">
        <v>51</v>
      </c>
      <c r="H486" t="s">
        <v>103</v>
      </c>
      <c r="I486" t="s">
        <v>222</v>
      </c>
      <c r="J486" t="s">
        <v>228</v>
      </c>
      <c r="K486">
        <v>902625</v>
      </c>
      <c r="L486" t="s">
        <v>108</v>
      </c>
      <c r="M486" t="s">
        <v>109</v>
      </c>
      <c r="N486" t="s">
        <v>57</v>
      </c>
      <c r="O486" s="1">
        <v>46074</v>
      </c>
      <c r="Q486" s="1">
        <v>46133</v>
      </c>
      <c r="R486" s="2">
        <v>45.36</v>
      </c>
      <c r="S486">
        <v>1</v>
      </c>
      <c r="T486" t="s">
        <v>58</v>
      </c>
      <c r="U486" t="s">
        <v>59</v>
      </c>
      <c r="V486" s="3">
        <v>0.42</v>
      </c>
      <c r="W486" s="2">
        <v>0</v>
      </c>
      <c r="X486">
        <v>0</v>
      </c>
      <c r="Y486" t="s">
        <v>60</v>
      </c>
      <c r="Z486" t="s">
        <v>262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19.05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3">
      <c r="A487" s="1">
        <v>46104</v>
      </c>
      <c r="B487" t="s">
        <v>48</v>
      </c>
      <c r="C487">
        <v>649163</v>
      </c>
      <c r="D487">
        <v>2033802654</v>
      </c>
      <c r="E487" t="s">
        <v>411</v>
      </c>
      <c r="F487" t="s">
        <v>412</v>
      </c>
      <c r="G487" t="s">
        <v>51</v>
      </c>
      <c r="H487" t="s">
        <v>86</v>
      </c>
      <c r="I487" t="s">
        <v>222</v>
      </c>
      <c r="J487" t="s">
        <v>223</v>
      </c>
      <c r="K487">
        <v>878036</v>
      </c>
      <c r="L487" t="s">
        <v>165</v>
      </c>
      <c r="M487" t="s">
        <v>166</v>
      </c>
      <c r="N487" t="s">
        <v>57</v>
      </c>
      <c r="O487" s="1">
        <v>46075</v>
      </c>
      <c r="Q487" s="1">
        <v>46134</v>
      </c>
      <c r="R487" s="2">
        <v>20.07</v>
      </c>
      <c r="S487">
        <v>1</v>
      </c>
      <c r="T487" t="s">
        <v>58</v>
      </c>
      <c r="U487" t="s">
        <v>59</v>
      </c>
      <c r="V487" s="3">
        <v>0.7</v>
      </c>
      <c r="W487" s="2">
        <v>0</v>
      </c>
      <c r="X487">
        <v>0</v>
      </c>
      <c r="Y487" t="s">
        <v>60</v>
      </c>
      <c r="Z487" t="s">
        <v>262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14.05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3">
      <c r="A488" s="1">
        <v>46104</v>
      </c>
      <c r="B488" t="s">
        <v>48</v>
      </c>
      <c r="C488">
        <v>649163</v>
      </c>
      <c r="D488">
        <v>2033806188</v>
      </c>
      <c r="E488" t="s">
        <v>242</v>
      </c>
      <c r="F488" t="s">
        <v>413</v>
      </c>
      <c r="G488" t="s">
        <v>51</v>
      </c>
      <c r="H488" t="s">
        <v>86</v>
      </c>
      <c r="I488" t="s">
        <v>222</v>
      </c>
      <c r="J488" t="s">
        <v>223</v>
      </c>
      <c r="K488">
        <v>882862</v>
      </c>
      <c r="L488" t="s">
        <v>414</v>
      </c>
      <c r="M488" t="s">
        <v>105</v>
      </c>
      <c r="N488" t="s">
        <v>57</v>
      </c>
      <c r="O488" s="1">
        <v>46079</v>
      </c>
      <c r="Q488" s="1">
        <v>46138</v>
      </c>
      <c r="R488" s="2">
        <v>100.95</v>
      </c>
      <c r="S488">
        <v>1</v>
      </c>
      <c r="T488" t="s">
        <v>58</v>
      </c>
      <c r="U488" t="s">
        <v>59</v>
      </c>
      <c r="V488" s="3">
        <v>0.7</v>
      </c>
      <c r="W488" s="2">
        <v>0</v>
      </c>
      <c r="X488">
        <v>0</v>
      </c>
      <c r="Y488" t="s">
        <v>60</v>
      </c>
      <c r="Z488" t="s">
        <v>262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70.66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3">
      <c r="A489" s="1">
        <v>46104</v>
      </c>
      <c r="B489" t="s">
        <v>48</v>
      </c>
      <c r="C489">
        <v>649163</v>
      </c>
      <c r="D489">
        <v>2033831847</v>
      </c>
      <c r="E489" t="s">
        <v>738</v>
      </c>
      <c r="F489" t="s">
        <v>739</v>
      </c>
      <c r="G489" t="s">
        <v>51</v>
      </c>
      <c r="H489" t="s">
        <v>86</v>
      </c>
      <c r="I489" t="s">
        <v>222</v>
      </c>
      <c r="J489" t="s">
        <v>223</v>
      </c>
      <c r="K489">
        <v>821087</v>
      </c>
      <c r="L489" t="s">
        <v>740</v>
      </c>
      <c r="M489" t="s">
        <v>741</v>
      </c>
      <c r="N489" t="s">
        <v>57</v>
      </c>
      <c r="O489" s="1">
        <v>46077</v>
      </c>
      <c r="Q489" s="1">
        <v>46136</v>
      </c>
      <c r="R489" s="2">
        <v>57.27</v>
      </c>
      <c r="S489">
        <v>1</v>
      </c>
      <c r="T489" t="s">
        <v>58</v>
      </c>
      <c r="U489" t="s">
        <v>59</v>
      </c>
      <c r="V489" s="3">
        <v>0.7</v>
      </c>
      <c r="W489" s="2">
        <v>0</v>
      </c>
      <c r="X489">
        <v>0</v>
      </c>
      <c r="Y489" t="s">
        <v>60</v>
      </c>
      <c r="Z489" t="s">
        <v>262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40.090000000000003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3">
      <c r="A490" s="1">
        <v>46104</v>
      </c>
      <c r="B490" t="s">
        <v>48</v>
      </c>
      <c r="C490">
        <v>649163</v>
      </c>
      <c r="D490">
        <v>2033849859</v>
      </c>
      <c r="E490" t="s">
        <v>415</v>
      </c>
      <c r="F490" t="s">
        <v>186</v>
      </c>
      <c r="G490" t="s">
        <v>51</v>
      </c>
      <c r="H490" t="s">
        <v>122</v>
      </c>
      <c r="I490" t="s">
        <v>222</v>
      </c>
      <c r="J490" t="s">
        <v>223</v>
      </c>
      <c r="K490">
        <v>673059</v>
      </c>
      <c r="L490" t="s">
        <v>76</v>
      </c>
      <c r="M490" t="s">
        <v>77</v>
      </c>
      <c r="N490" t="s">
        <v>57</v>
      </c>
      <c r="O490" s="1">
        <v>46077</v>
      </c>
      <c r="Q490" s="1">
        <v>46136</v>
      </c>
      <c r="R490" s="2">
        <v>137.37</v>
      </c>
      <c r="S490">
        <v>1</v>
      </c>
      <c r="T490" t="s">
        <v>58</v>
      </c>
      <c r="U490" t="s">
        <v>59</v>
      </c>
      <c r="V490" s="3">
        <v>0.7</v>
      </c>
      <c r="W490" s="2">
        <v>0</v>
      </c>
      <c r="X490">
        <v>0</v>
      </c>
      <c r="Y490" t="s">
        <v>60</v>
      </c>
      <c r="Z490" t="s">
        <v>262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96.16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3">
      <c r="A491" s="1">
        <v>46104</v>
      </c>
      <c r="B491" t="s">
        <v>48</v>
      </c>
      <c r="C491">
        <v>649163</v>
      </c>
      <c r="D491">
        <v>2033881169</v>
      </c>
      <c r="E491" t="s">
        <v>474</v>
      </c>
      <c r="F491" t="s">
        <v>200</v>
      </c>
      <c r="G491" t="s">
        <v>51</v>
      </c>
      <c r="H491" t="s">
        <v>324</v>
      </c>
      <c r="I491" t="s">
        <v>222</v>
      </c>
      <c r="J491" t="s">
        <v>223</v>
      </c>
      <c r="K491">
        <v>942810</v>
      </c>
      <c r="L491" t="s">
        <v>475</v>
      </c>
      <c r="M491" t="s">
        <v>476</v>
      </c>
      <c r="N491" t="s">
        <v>57</v>
      </c>
      <c r="O491" s="1">
        <v>46078</v>
      </c>
      <c r="Q491" s="1">
        <v>46137</v>
      </c>
      <c r="R491" s="2">
        <v>15.18</v>
      </c>
      <c r="S491">
        <v>1</v>
      </c>
      <c r="T491" t="s">
        <v>58</v>
      </c>
      <c r="U491" t="s">
        <v>59</v>
      </c>
      <c r="V491" s="3">
        <v>0.7</v>
      </c>
      <c r="W491" s="2">
        <v>0</v>
      </c>
      <c r="X491">
        <v>0</v>
      </c>
      <c r="Y491" t="s">
        <v>60</v>
      </c>
      <c r="Z491" t="s">
        <v>262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10.63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3">
      <c r="A492" s="1">
        <v>46104</v>
      </c>
      <c r="B492" t="s">
        <v>48</v>
      </c>
      <c r="C492">
        <v>649163</v>
      </c>
      <c r="D492">
        <v>2033886802</v>
      </c>
      <c r="E492" t="s">
        <v>742</v>
      </c>
      <c r="F492" t="s">
        <v>743</v>
      </c>
      <c r="G492" t="s">
        <v>51</v>
      </c>
      <c r="H492" t="s">
        <v>64</v>
      </c>
      <c r="I492" t="s">
        <v>222</v>
      </c>
      <c r="J492" t="s">
        <v>223</v>
      </c>
      <c r="K492">
        <v>812656</v>
      </c>
      <c r="L492" t="s">
        <v>495</v>
      </c>
      <c r="M492" t="s">
        <v>547</v>
      </c>
      <c r="N492" t="s">
        <v>57</v>
      </c>
      <c r="O492" s="1">
        <v>46079</v>
      </c>
      <c r="Q492" s="1">
        <v>46138</v>
      </c>
      <c r="R492" s="2">
        <v>45.68</v>
      </c>
      <c r="S492">
        <v>1</v>
      </c>
      <c r="T492" t="s">
        <v>58</v>
      </c>
      <c r="U492" t="s">
        <v>59</v>
      </c>
      <c r="V492" s="3">
        <v>0.7</v>
      </c>
      <c r="W492" s="2">
        <v>0</v>
      </c>
      <c r="X492">
        <v>0</v>
      </c>
      <c r="Y492" t="s">
        <v>60</v>
      </c>
      <c r="Z492" t="s">
        <v>262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31.98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3">
      <c r="A493" s="1">
        <v>46104</v>
      </c>
      <c r="B493" t="s">
        <v>48</v>
      </c>
      <c r="C493">
        <v>649163</v>
      </c>
      <c r="D493">
        <v>2033900703</v>
      </c>
      <c r="E493" t="s">
        <v>419</v>
      </c>
      <c r="F493" t="s">
        <v>420</v>
      </c>
      <c r="G493" t="s">
        <v>51</v>
      </c>
      <c r="H493" t="s">
        <v>191</v>
      </c>
      <c r="I493" t="s">
        <v>222</v>
      </c>
      <c r="J493" t="s">
        <v>223</v>
      </c>
      <c r="K493">
        <v>673059</v>
      </c>
      <c r="L493" t="s">
        <v>76</v>
      </c>
      <c r="M493" t="s">
        <v>77</v>
      </c>
      <c r="N493" t="s">
        <v>271</v>
      </c>
      <c r="O493" s="1">
        <v>46095</v>
      </c>
      <c r="P493" s="1">
        <v>46104</v>
      </c>
      <c r="Q493" s="1">
        <v>46126</v>
      </c>
      <c r="R493" s="2">
        <v>-104.7</v>
      </c>
      <c r="S493">
        <v>1</v>
      </c>
      <c r="T493" t="s">
        <v>58</v>
      </c>
      <c r="U493" t="s">
        <v>59</v>
      </c>
      <c r="V493" s="3">
        <v>0.7</v>
      </c>
      <c r="W493" s="2">
        <v>0</v>
      </c>
      <c r="X493">
        <v>-1</v>
      </c>
      <c r="Y493" t="s">
        <v>60</v>
      </c>
      <c r="Z493" t="s">
        <v>262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-73.290000000000006</v>
      </c>
      <c r="AN493" s="2">
        <v>-73.290000000000006</v>
      </c>
      <c r="AO493" s="2">
        <v>0</v>
      </c>
      <c r="AP493" s="2">
        <v>0</v>
      </c>
      <c r="AQ493" s="2">
        <v>0</v>
      </c>
    </row>
    <row r="494" spans="1:43" x14ac:dyDescent="0.3">
      <c r="A494" s="1">
        <v>46104</v>
      </c>
      <c r="B494" t="s">
        <v>48</v>
      </c>
      <c r="C494">
        <v>649163</v>
      </c>
      <c r="D494">
        <v>2033916971</v>
      </c>
      <c r="E494" t="s">
        <v>173</v>
      </c>
      <c r="F494" t="s">
        <v>421</v>
      </c>
      <c r="G494" t="s">
        <v>51</v>
      </c>
      <c r="H494" t="s">
        <v>103</v>
      </c>
      <c r="I494" t="s">
        <v>222</v>
      </c>
      <c r="J494" t="s">
        <v>227</v>
      </c>
      <c r="K494">
        <v>902625</v>
      </c>
      <c r="L494" t="s">
        <v>108</v>
      </c>
      <c r="M494" t="s">
        <v>109</v>
      </c>
      <c r="N494" t="s">
        <v>57</v>
      </c>
      <c r="O494" s="1">
        <v>46079</v>
      </c>
      <c r="Q494" s="1">
        <v>46138</v>
      </c>
      <c r="R494" s="2">
        <v>24.61</v>
      </c>
      <c r="S494">
        <v>1</v>
      </c>
      <c r="T494" t="s">
        <v>58</v>
      </c>
      <c r="U494" t="s">
        <v>59</v>
      </c>
      <c r="V494" s="3">
        <v>0.7</v>
      </c>
      <c r="W494" s="2">
        <v>0</v>
      </c>
      <c r="X494">
        <v>0</v>
      </c>
      <c r="Y494" t="s">
        <v>60</v>
      </c>
      <c r="Z494" t="s">
        <v>262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17.23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3">
      <c r="A495" s="1">
        <v>46104</v>
      </c>
      <c r="B495" t="s">
        <v>48</v>
      </c>
      <c r="C495">
        <v>649163</v>
      </c>
      <c r="D495">
        <v>2033916973</v>
      </c>
      <c r="E495" t="s">
        <v>173</v>
      </c>
      <c r="F495" t="s">
        <v>421</v>
      </c>
      <c r="G495" t="s">
        <v>51</v>
      </c>
      <c r="H495" t="s">
        <v>103</v>
      </c>
      <c r="I495" t="s">
        <v>222</v>
      </c>
      <c r="J495" t="s">
        <v>228</v>
      </c>
      <c r="K495">
        <v>902625</v>
      </c>
      <c r="L495" t="s">
        <v>108</v>
      </c>
      <c r="M495" t="s">
        <v>109</v>
      </c>
      <c r="N495" t="s">
        <v>57</v>
      </c>
      <c r="O495" s="1">
        <v>46079</v>
      </c>
      <c r="Q495" s="1">
        <v>46138</v>
      </c>
      <c r="R495" s="2">
        <v>21.08</v>
      </c>
      <c r="S495">
        <v>1</v>
      </c>
      <c r="T495" t="s">
        <v>58</v>
      </c>
      <c r="U495" t="s">
        <v>59</v>
      </c>
      <c r="V495" s="3">
        <v>0.42</v>
      </c>
      <c r="W495" s="2">
        <v>0</v>
      </c>
      <c r="X495">
        <v>0</v>
      </c>
      <c r="Y495" t="s">
        <v>60</v>
      </c>
      <c r="Z495" t="s">
        <v>262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8.85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3">
      <c r="A496" s="1">
        <v>46104</v>
      </c>
      <c r="B496" t="s">
        <v>48</v>
      </c>
      <c r="C496">
        <v>649163</v>
      </c>
      <c r="D496">
        <v>2033944262</v>
      </c>
      <c r="E496" t="s">
        <v>744</v>
      </c>
      <c r="F496" t="s">
        <v>745</v>
      </c>
      <c r="G496" t="s">
        <v>51</v>
      </c>
      <c r="H496" t="s">
        <v>64</v>
      </c>
      <c r="I496" t="s">
        <v>222</v>
      </c>
      <c r="J496" t="s">
        <v>223</v>
      </c>
      <c r="K496">
        <v>807212</v>
      </c>
      <c r="L496" t="s">
        <v>246</v>
      </c>
      <c r="M496" t="s">
        <v>247</v>
      </c>
      <c r="N496" t="s">
        <v>57</v>
      </c>
      <c r="O496" s="1">
        <v>46080</v>
      </c>
      <c r="Q496" s="1">
        <v>46139</v>
      </c>
      <c r="R496" s="2">
        <v>76.709999999999994</v>
      </c>
      <c r="S496">
        <v>1</v>
      </c>
      <c r="T496" t="s">
        <v>58</v>
      </c>
      <c r="U496" t="s">
        <v>59</v>
      </c>
      <c r="V496" s="3">
        <v>0.7</v>
      </c>
      <c r="W496" s="2">
        <v>0</v>
      </c>
      <c r="X496">
        <v>0</v>
      </c>
      <c r="Y496" t="s">
        <v>60</v>
      </c>
      <c r="Z496" t="s">
        <v>262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53.7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3">
      <c r="A497" s="1">
        <v>46104</v>
      </c>
      <c r="B497" t="s">
        <v>48</v>
      </c>
      <c r="C497">
        <v>649163</v>
      </c>
      <c r="D497">
        <v>2033944263</v>
      </c>
      <c r="E497" t="s">
        <v>744</v>
      </c>
      <c r="F497" t="s">
        <v>745</v>
      </c>
      <c r="G497" t="s">
        <v>51</v>
      </c>
      <c r="H497" t="s">
        <v>64</v>
      </c>
      <c r="I497" t="s">
        <v>222</v>
      </c>
      <c r="J497" t="s">
        <v>224</v>
      </c>
      <c r="K497">
        <v>807212</v>
      </c>
      <c r="L497" t="s">
        <v>246</v>
      </c>
      <c r="M497" t="s">
        <v>247</v>
      </c>
      <c r="N497" t="s">
        <v>57</v>
      </c>
      <c r="O497" s="1">
        <v>46080</v>
      </c>
      <c r="Q497" s="1">
        <v>46139</v>
      </c>
      <c r="R497" s="2">
        <v>20.55</v>
      </c>
      <c r="S497">
        <v>1</v>
      </c>
      <c r="T497" t="s">
        <v>58</v>
      </c>
      <c r="U497" t="s">
        <v>59</v>
      </c>
      <c r="V497" s="3">
        <v>0.9</v>
      </c>
      <c r="W497" s="2">
        <v>0</v>
      </c>
      <c r="X497">
        <v>0</v>
      </c>
      <c r="Y497" t="s">
        <v>60</v>
      </c>
      <c r="Z497" t="s">
        <v>262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18.5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3">
      <c r="A498" s="1">
        <v>46104</v>
      </c>
      <c r="B498" t="s">
        <v>48</v>
      </c>
      <c r="C498">
        <v>649163</v>
      </c>
      <c r="D498">
        <v>2033947307</v>
      </c>
      <c r="E498" t="s">
        <v>746</v>
      </c>
      <c r="F498" t="s">
        <v>747</v>
      </c>
      <c r="G498" t="s">
        <v>51</v>
      </c>
      <c r="H498" t="s">
        <v>74</v>
      </c>
      <c r="I498" t="s">
        <v>222</v>
      </c>
      <c r="J498" t="s">
        <v>223</v>
      </c>
      <c r="K498">
        <v>767312</v>
      </c>
      <c r="L498" t="s">
        <v>185</v>
      </c>
      <c r="M498" t="s">
        <v>186</v>
      </c>
      <c r="N498" t="s">
        <v>57</v>
      </c>
      <c r="O498" s="1">
        <v>46080</v>
      </c>
      <c r="Q498" s="1">
        <v>46139</v>
      </c>
      <c r="R498" s="2">
        <v>49.12</v>
      </c>
      <c r="S498">
        <v>1</v>
      </c>
      <c r="T498" t="s">
        <v>58</v>
      </c>
      <c r="U498" t="s">
        <v>59</v>
      </c>
      <c r="V498" s="3">
        <v>0.7</v>
      </c>
      <c r="W498" s="2">
        <v>0</v>
      </c>
      <c r="X498">
        <v>0</v>
      </c>
      <c r="Y498" t="s">
        <v>60</v>
      </c>
      <c r="Z498" t="s">
        <v>262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34.380000000000003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3">
      <c r="A499" s="1">
        <v>46104</v>
      </c>
      <c r="B499" t="s">
        <v>48</v>
      </c>
      <c r="C499">
        <v>649163</v>
      </c>
      <c r="D499">
        <v>2033957114</v>
      </c>
      <c r="E499" t="s">
        <v>153</v>
      </c>
      <c r="F499" t="s">
        <v>422</v>
      </c>
      <c r="G499" t="s">
        <v>51</v>
      </c>
      <c r="H499" t="s">
        <v>64</v>
      </c>
      <c r="I499" t="s">
        <v>222</v>
      </c>
      <c r="J499" t="s">
        <v>223</v>
      </c>
      <c r="K499">
        <v>768887</v>
      </c>
      <c r="L499" t="s">
        <v>153</v>
      </c>
      <c r="M499" t="s">
        <v>154</v>
      </c>
      <c r="N499" t="s">
        <v>57</v>
      </c>
      <c r="O499" s="1">
        <v>46080</v>
      </c>
      <c r="Q499" s="1">
        <v>46139</v>
      </c>
      <c r="R499" s="2">
        <v>39.35</v>
      </c>
      <c r="S499">
        <v>1</v>
      </c>
      <c r="T499" t="s">
        <v>58</v>
      </c>
      <c r="U499" t="s">
        <v>59</v>
      </c>
      <c r="V499" s="3">
        <v>0.7</v>
      </c>
      <c r="W499" s="2">
        <v>0</v>
      </c>
      <c r="X499">
        <v>0</v>
      </c>
      <c r="Y499" t="s">
        <v>60</v>
      </c>
      <c r="Z499" t="s">
        <v>262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27.54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3">
      <c r="A500" s="1">
        <v>46104</v>
      </c>
      <c r="B500" t="s">
        <v>48</v>
      </c>
      <c r="C500">
        <v>649163</v>
      </c>
      <c r="D500">
        <v>2033957887</v>
      </c>
      <c r="E500" t="s">
        <v>450</v>
      </c>
      <c r="F500" t="s">
        <v>451</v>
      </c>
      <c r="G500" t="s">
        <v>51</v>
      </c>
      <c r="H500" t="s">
        <v>64</v>
      </c>
      <c r="I500" t="s">
        <v>222</v>
      </c>
      <c r="J500" t="s">
        <v>224</v>
      </c>
      <c r="K500">
        <v>812994</v>
      </c>
      <c r="L500" t="s">
        <v>450</v>
      </c>
      <c r="M500" t="s">
        <v>451</v>
      </c>
      <c r="N500" t="s">
        <v>57</v>
      </c>
      <c r="O500" s="1">
        <v>46080</v>
      </c>
      <c r="Q500" s="1">
        <v>46139</v>
      </c>
      <c r="R500" s="2">
        <v>27.85</v>
      </c>
      <c r="S500">
        <v>1</v>
      </c>
      <c r="T500" t="s">
        <v>58</v>
      </c>
      <c r="U500" t="s">
        <v>59</v>
      </c>
      <c r="V500" s="3">
        <v>0.9</v>
      </c>
      <c r="W500" s="2">
        <v>0</v>
      </c>
      <c r="X500">
        <v>0</v>
      </c>
      <c r="Y500" t="s">
        <v>60</v>
      </c>
      <c r="Z500" t="s">
        <v>262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25.06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3">
      <c r="A501" s="1">
        <v>46104</v>
      </c>
      <c r="B501" t="s">
        <v>48</v>
      </c>
      <c r="C501">
        <v>649163</v>
      </c>
      <c r="D501">
        <v>2034200142</v>
      </c>
      <c r="E501" t="s">
        <v>748</v>
      </c>
      <c r="F501" t="s">
        <v>749</v>
      </c>
      <c r="G501" t="s">
        <v>51</v>
      </c>
      <c r="H501" t="s">
        <v>64</v>
      </c>
      <c r="I501" t="s">
        <v>222</v>
      </c>
      <c r="J501" t="s">
        <v>223</v>
      </c>
      <c r="K501">
        <v>807212</v>
      </c>
      <c r="L501" t="s">
        <v>246</v>
      </c>
      <c r="M501" t="s">
        <v>247</v>
      </c>
      <c r="N501" t="s">
        <v>271</v>
      </c>
      <c r="O501" s="1">
        <v>46089</v>
      </c>
      <c r="P501" s="1">
        <v>46097</v>
      </c>
      <c r="Q501" s="1">
        <v>46120</v>
      </c>
      <c r="R501" s="2">
        <v>-61.26</v>
      </c>
      <c r="S501">
        <v>1</v>
      </c>
      <c r="T501" t="s">
        <v>58</v>
      </c>
      <c r="U501" t="s">
        <v>59</v>
      </c>
      <c r="V501" s="3">
        <v>0.7</v>
      </c>
      <c r="W501" s="2">
        <v>0</v>
      </c>
      <c r="X501">
        <v>-1</v>
      </c>
      <c r="Y501" t="s">
        <v>60</v>
      </c>
      <c r="Z501" t="s">
        <v>262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-42.88</v>
      </c>
      <c r="AN501" s="2">
        <v>-42.88</v>
      </c>
      <c r="AO501" s="2">
        <v>0</v>
      </c>
      <c r="AP501" s="2">
        <v>0</v>
      </c>
      <c r="AQ501" s="2">
        <v>0</v>
      </c>
    </row>
    <row r="502" spans="1:43" x14ac:dyDescent="0.3">
      <c r="A502" s="1">
        <v>46104</v>
      </c>
      <c r="B502" t="s">
        <v>48</v>
      </c>
      <c r="C502">
        <v>649163</v>
      </c>
      <c r="D502">
        <v>2023809265</v>
      </c>
      <c r="E502" t="s">
        <v>429</v>
      </c>
      <c r="F502" t="s">
        <v>430</v>
      </c>
      <c r="G502" t="s">
        <v>51</v>
      </c>
      <c r="H502" t="s">
        <v>191</v>
      </c>
      <c r="I502" t="s">
        <v>250</v>
      </c>
      <c r="J502" t="s">
        <v>750</v>
      </c>
      <c r="K502">
        <v>673059</v>
      </c>
      <c r="L502" t="s">
        <v>76</v>
      </c>
      <c r="M502" t="s">
        <v>77</v>
      </c>
      <c r="N502" t="s">
        <v>57</v>
      </c>
      <c r="O502" s="1">
        <v>45653</v>
      </c>
      <c r="Q502" s="1">
        <v>46138</v>
      </c>
      <c r="R502" s="2">
        <v>252.6</v>
      </c>
      <c r="S502">
        <v>1</v>
      </c>
      <c r="T502" t="s">
        <v>58</v>
      </c>
      <c r="U502" t="s">
        <v>260</v>
      </c>
      <c r="V502" s="3">
        <v>0.28999999999999998</v>
      </c>
      <c r="W502" s="2">
        <v>0</v>
      </c>
      <c r="X502">
        <v>0</v>
      </c>
      <c r="Y502" t="s">
        <v>261</v>
      </c>
      <c r="Z502" t="s">
        <v>262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73.25</v>
      </c>
      <c r="AN502" s="2">
        <v>73.25</v>
      </c>
      <c r="AO502" s="2">
        <v>0</v>
      </c>
      <c r="AP502" s="2">
        <v>0</v>
      </c>
      <c r="AQ502" s="2">
        <v>0</v>
      </c>
    </row>
    <row r="503" spans="1:43" x14ac:dyDescent="0.3">
      <c r="A503" s="1">
        <v>46104</v>
      </c>
      <c r="B503" t="s">
        <v>48</v>
      </c>
      <c r="C503">
        <v>649163</v>
      </c>
      <c r="D503">
        <v>2031780523</v>
      </c>
      <c r="E503" t="s">
        <v>675</v>
      </c>
      <c r="F503" t="s">
        <v>478</v>
      </c>
      <c r="G503" t="s">
        <v>51</v>
      </c>
      <c r="H503" t="s">
        <v>103</v>
      </c>
      <c r="I503" t="s">
        <v>250</v>
      </c>
      <c r="J503" t="s">
        <v>751</v>
      </c>
      <c r="K503">
        <v>751867</v>
      </c>
      <c r="L503" t="s">
        <v>292</v>
      </c>
      <c r="M503" t="s">
        <v>293</v>
      </c>
      <c r="N503" t="s">
        <v>57</v>
      </c>
      <c r="O503" s="1">
        <v>45954</v>
      </c>
      <c r="Q503" s="1">
        <v>46136</v>
      </c>
      <c r="R503" s="2">
        <v>9.9499999999999993</v>
      </c>
      <c r="S503">
        <v>1</v>
      </c>
      <c r="T503" t="s">
        <v>58</v>
      </c>
      <c r="U503" t="s">
        <v>752</v>
      </c>
      <c r="V503" s="3">
        <v>0.27</v>
      </c>
      <c r="W503" s="2">
        <v>0</v>
      </c>
      <c r="X503">
        <v>0</v>
      </c>
      <c r="Y503" t="s">
        <v>60</v>
      </c>
      <c r="Z503" t="s">
        <v>262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2.69</v>
      </c>
      <c r="AN503" s="2">
        <v>2.69</v>
      </c>
      <c r="AO503" s="2">
        <v>0</v>
      </c>
      <c r="AP503" s="2">
        <v>0</v>
      </c>
      <c r="AQ503" s="2">
        <v>0</v>
      </c>
    </row>
    <row r="504" spans="1:43" x14ac:dyDescent="0.3">
      <c r="A504" s="1">
        <v>46104</v>
      </c>
      <c r="B504" t="s">
        <v>48</v>
      </c>
      <c r="C504">
        <v>649163</v>
      </c>
      <c r="D504">
        <v>2031804598</v>
      </c>
      <c r="E504" t="s">
        <v>452</v>
      </c>
      <c r="F504" t="s">
        <v>453</v>
      </c>
      <c r="G504" t="s">
        <v>51</v>
      </c>
      <c r="H504" t="s">
        <v>324</v>
      </c>
      <c r="I504" t="s">
        <v>250</v>
      </c>
      <c r="J504" t="s">
        <v>753</v>
      </c>
      <c r="K504">
        <v>877790</v>
      </c>
      <c r="L504" t="s">
        <v>455</v>
      </c>
      <c r="M504" t="s">
        <v>456</v>
      </c>
      <c r="N504" t="s">
        <v>57</v>
      </c>
      <c r="O504" s="1">
        <v>45955</v>
      </c>
      <c r="Q504" s="1">
        <v>46137</v>
      </c>
      <c r="R504" s="2">
        <v>832.5</v>
      </c>
      <c r="S504">
        <v>1</v>
      </c>
      <c r="T504" t="s">
        <v>58</v>
      </c>
      <c r="U504" t="s">
        <v>447</v>
      </c>
      <c r="V504" s="3">
        <v>0.19</v>
      </c>
      <c r="W504" s="2">
        <v>0</v>
      </c>
      <c r="X504">
        <v>0</v>
      </c>
      <c r="Y504" t="s">
        <v>60</v>
      </c>
      <c r="Z504" t="s">
        <v>262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158.18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3">
      <c r="A505" s="1">
        <v>46104</v>
      </c>
      <c r="B505" t="s">
        <v>48</v>
      </c>
      <c r="C505">
        <v>649163</v>
      </c>
      <c r="D505">
        <v>2033175258</v>
      </c>
      <c r="E505" t="s">
        <v>754</v>
      </c>
      <c r="F505" t="s">
        <v>755</v>
      </c>
      <c r="G505" t="s">
        <v>51</v>
      </c>
      <c r="H505" t="s">
        <v>103</v>
      </c>
      <c r="I505" t="s">
        <v>250</v>
      </c>
      <c r="J505" t="s">
        <v>756</v>
      </c>
      <c r="K505">
        <v>902625</v>
      </c>
      <c r="L505" t="s">
        <v>108</v>
      </c>
      <c r="M505" t="s">
        <v>109</v>
      </c>
      <c r="N505" t="s">
        <v>57</v>
      </c>
      <c r="O505" s="1">
        <v>46038</v>
      </c>
      <c r="Q505" s="1">
        <v>46128</v>
      </c>
      <c r="R505" s="2">
        <v>96.07</v>
      </c>
      <c r="S505">
        <v>1</v>
      </c>
      <c r="T505" t="s">
        <v>58</v>
      </c>
      <c r="U505" t="s">
        <v>752</v>
      </c>
      <c r="V505" s="3">
        <v>0.27</v>
      </c>
      <c r="W505" s="2">
        <v>0</v>
      </c>
      <c r="X505">
        <v>0</v>
      </c>
      <c r="Y505" t="s">
        <v>60</v>
      </c>
      <c r="Z505" t="s">
        <v>262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25.94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3">
      <c r="A506" s="1">
        <v>46104</v>
      </c>
      <c r="B506" t="s">
        <v>48</v>
      </c>
      <c r="C506">
        <v>649163</v>
      </c>
      <c r="D506">
        <v>2033175259</v>
      </c>
      <c r="E506" t="s">
        <v>754</v>
      </c>
      <c r="F506" t="s">
        <v>755</v>
      </c>
      <c r="G506" t="s">
        <v>51</v>
      </c>
      <c r="H506" t="s">
        <v>103</v>
      </c>
      <c r="I506" t="s">
        <v>250</v>
      </c>
      <c r="J506" t="s">
        <v>751</v>
      </c>
      <c r="K506">
        <v>902625</v>
      </c>
      <c r="L506" t="s">
        <v>108</v>
      </c>
      <c r="M506" t="s">
        <v>109</v>
      </c>
      <c r="N506" t="s">
        <v>57</v>
      </c>
      <c r="O506" s="1">
        <v>46038</v>
      </c>
      <c r="Q506" s="1">
        <v>46128</v>
      </c>
      <c r="R506" s="2">
        <v>9.9499999999999993</v>
      </c>
      <c r="S506">
        <v>1</v>
      </c>
      <c r="T506" t="s">
        <v>58</v>
      </c>
      <c r="U506" t="s">
        <v>752</v>
      </c>
      <c r="V506" s="3">
        <v>0.27</v>
      </c>
      <c r="W506" s="2">
        <v>0</v>
      </c>
      <c r="X506">
        <v>0</v>
      </c>
      <c r="Y506" t="s">
        <v>60</v>
      </c>
      <c r="Z506" t="s">
        <v>262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2.69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3">
      <c r="A507" s="1">
        <v>46104</v>
      </c>
      <c r="B507" t="s">
        <v>48</v>
      </c>
      <c r="C507">
        <v>649163</v>
      </c>
      <c r="D507">
        <v>2033175260</v>
      </c>
      <c r="E507" t="s">
        <v>754</v>
      </c>
      <c r="F507" t="s">
        <v>755</v>
      </c>
      <c r="G507" t="s">
        <v>51</v>
      </c>
      <c r="H507" t="s">
        <v>103</v>
      </c>
      <c r="I507" t="s">
        <v>250</v>
      </c>
      <c r="J507" t="s">
        <v>751</v>
      </c>
      <c r="K507">
        <v>902625</v>
      </c>
      <c r="L507" t="s">
        <v>108</v>
      </c>
      <c r="M507" t="s">
        <v>109</v>
      </c>
      <c r="N507" t="s">
        <v>57</v>
      </c>
      <c r="O507" s="1">
        <v>46038</v>
      </c>
      <c r="Q507" s="1">
        <v>46128</v>
      </c>
      <c r="R507" s="2">
        <v>5</v>
      </c>
      <c r="S507">
        <v>1</v>
      </c>
      <c r="T507" t="s">
        <v>58</v>
      </c>
      <c r="U507" t="s">
        <v>752</v>
      </c>
      <c r="V507" s="3">
        <v>0.27</v>
      </c>
      <c r="W507" s="2">
        <v>0</v>
      </c>
      <c r="X507">
        <v>0</v>
      </c>
      <c r="Y507" t="s">
        <v>60</v>
      </c>
      <c r="Z507" t="s">
        <v>262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1.35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3">
      <c r="A508" s="1">
        <v>46104</v>
      </c>
      <c r="B508" t="s">
        <v>48</v>
      </c>
      <c r="C508">
        <v>649163</v>
      </c>
      <c r="D508">
        <v>2033245537</v>
      </c>
      <c r="E508" t="s">
        <v>401</v>
      </c>
      <c r="F508" t="s">
        <v>116</v>
      </c>
      <c r="G508" t="s">
        <v>51</v>
      </c>
      <c r="H508" t="s">
        <v>86</v>
      </c>
      <c r="I508" t="s">
        <v>250</v>
      </c>
      <c r="J508" t="s">
        <v>757</v>
      </c>
      <c r="K508">
        <v>856824</v>
      </c>
      <c r="L508" t="s">
        <v>125</v>
      </c>
      <c r="M508" t="s">
        <v>126</v>
      </c>
      <c r="N508" t="s">
        <v>57</v>
      </c>
      <c r="O508" s="1">
        <v>46043</v>
      </c>
      <c r="Q508" s="1">
        <v>46133</v>
      </c>
      <c r="R508" s="2">
        <v>120.16</v>
      </c>
      <c r="S508">
        <v>1</v>
      </c>
      <c r="T508" t="s">
        <v>58</v>
      </c>
      <c r="U508" t="s">
        <v>447</v>
      </c>
      <c r="V508" s="3">
        <v>0.28999999999999998</v>
      </c>
      <c r="W508" s="2">
        <v>0</v>
      </c>
      <c r="X508">
        <v>0</v>
      </c>
      <c r="Y508" t="s">
        <v>60</v>
      </c>
      <c r="Z508" t="s">
        <v>262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34.85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3">
      <c r="A509" s="1">
        <v>46104</v>
      </c>
      <c r="B509" t="s">
        <v>48</v>
      </c>
      <c r="C509">
        <v>649163</v>
      </c>
      <c r="D509">
        <v>2033276387</v>
      </c>
      <c r="E509" t="s">
        <v>721</v>
      </c>
      <c r="F509" t="s">
        <v>722</v>
      </c>
      <c r="G509" t="s">
        <v>51</v>
      </c>
      <c r="H509" t="s">
        <v>103</v>
      </c>
      <c r="I509" t="s">
        <v>250</v>
      </c>
      <c r="J509" t="s">
        <v>756</v>
      </c>
      <c r="K509">
        <v>902625</v>
      </c>
      <c r="L509" t="s">
        <v>108</v>
      </c>
      <c r="M509" t="s">
        <v>109</v>
      </c>
      <c r="N509" t="s">
        <v>57</v>
      </c>
      <c r="O509" s="1">
        <v>46045</v>
      </c>
      <c r="Q509" s="1">
        <v>46135</v>
      </c>
      <c r="R509" s="2">
        <v>344.59</v>
      </c>
      <c r="S509">
        <v>1</v>
      </c>
      <c r="T509" t="s">
        <v>58</v>
      </c>
      <c r="U509" t="s">
        <v>752</v>
      </c>
      <c r="V509" s="3">
        <v>0.27</v>
      </c>
      <c r="W509" s="2">
        <v>0</v>
      </c>
      <c r="X509">
        <v>0</v>
      </c>
      <c r="Y509" t="s">
        <v>60</v>
      </c>
      <c r="Z509" t="s">
        <v>262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93.04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3">
      <c r="A510" s="1">
        <v>46104</v>
      </c>
      <c r="B510" t="s">
        <v>48</v>
      </c>
      <c r="C510">
        <v>649163</v>
      </c>
      <c r="D510">
        <v>2033276388</v>
      </c>
      <c r="E510" t="s">
        <v>721</v>
      </c>
      <c r="F510" t="s">
        <v>722</v>
      </c>
      <c r="G510" t="s">
        <v>51</v>
      </c>
      <c r="H510" t="s">
        <v>103</v>
      </c>
      <c r="I510" t="s">
        <v>250</v>
      </c>
      <c r="J510" t="s">
        <v>751</v>
      </c>
      <c r="K510">
        <v>902625</v>
      </c>
      <c r="L510" t="s">
        <v>108</v>
      </c>
      <c r="M510" t="s">
        <v>109</v>
      </c>
      <c r="N510" t="s">
        <v>57</v>
      </c>
      <c r="O510" s="1">
        <v>46045</v>
      </c>
      <c r="Q510" s="1">
        <v>46135</v>
      </c>
      <c r="R510" s="2">
        <v>9.9499999999999993</v>
      </c>
      <c r="S510">
        <v>1</v>
      </c>
      <c r="T510" t="s">
        <v>58</v>
      </c>
      <c r="U510" t="s">
        <v>752</v>
      </c>
      <c r="V510" s="3">
        <v>0.27</v>
      </c>
      <c r="W510" s="2">
        <v>0</v>
      </c>
      <c r="X510">
        <v>0</v>
      </c>
      <c r="Y510" t="s">
        <v>60</v>
      </c>
      <c r="Z510" t="s">
        <v>262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2.69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3">
      <c r="A511" s="1">
        <v>46104</v>
      </c>
      <c r="B511" t="s">
        <v>48</v>
      </c>
      <c r="C511">
        <v>649163</v>
      </c>
      <c r="D511">
        <v>2033308064</v>
      </c>
      <c r="E511" t="s">
        <v>463</v>
      </c>
      <c r="F511" t="s">
        <v>464</v>
      </c>
      <c r="G511" t="s">
        <v>51</v>
      </c>
      <c r="H511" t="s">
        <v>86</v>
      </c>
      <c r="I511" t="s">
        <v>250</v>
      </c>
      <c r="J511" t="s">
        <v>757</v>
      </c>
      <c r="K511">
        <v>673059</v>
      </c>
      <c r="L511" t="s">
        <v>76</v>
      </c>
      <c r="M511" t="s">
        <v>77</v>
      </c>
      <c r="N511" t="s">
        <v>57</v>
      </c>
      <c r="O511" s="1">
        <v>46046</v>
      </c>
      <c r="Q511" s="1">
        <v>46136</v>
      </c>
      <c r="R511" s="2">
        <v>105.4</v>
      </c>
      <c r="S511">
        <v>1</v>
      </c>
      <c r="T511" t="s">
        <v>58</v>
      </c>
      <c r="U511" t="s">
        <v>447</v>
      </c>
      <c r="V511" s="3">
        <v>0.28999999999999998</v>
      </c>
      <c r="W511" s="2">
        <v>0</v>
      </c>
      <c r="X511">
        <v>0</v>
      </c>
      <c r="Y511" t="s">
        <v>60</v>
      </c>
      <c r="Z511" t="s">
        <v>262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30.57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3">
      <c r="A512" s="1">
        <v>46104</v>
      </c>
      <c r="B512" t="s">
        <v>48</v>
      </c>
      <c r="C512">
        <v>649163</v>
      </c>
      <c r="D512">
        <v>2033328298</v>
      </c>
      <c r="E512" t="s">
        <v>758</v>
      </c>
      <c r="F512" t="s">
        <v>759</v>
      </c>
      <c r="G512" t="s">
        <v>51</v>
      </c>
      <c r="H512" t="s">
        <v>597</v>
      </c>
      <c r="I512" t="s">
        <v>250</v>
      </c>
      <c r="J512" t="s">
        <v>760</v>
      </c>
      <c r="K512">
        <v>875334</v>
      </c>
      <c r="L512" t="s">
        <v>240</v>
      </c>
      <c r="M512" t="s">
        <v>241</v>
      </c>
      <c r="N512" t="s">
        <v>57</v>
      </c>
      <c r="O512" s="1">
        <v>46049</v>
      </c>
      <c r="Q512" s="1">
        <v>46139</v>
      </c>
      <c r="R512" s="2">
        <v>431.46</v>
      </c>
      <c r="S512">
        <v>1</v>
      </c>
      <c r="T512" t="s">
        <v>58</v>
      </c>
      <c r="U512" t="s">
        <v>252</v>
      </c>
      <c r="V512" s="3">
        <v>0.24</v>
      </c>
      <c r="W512" s="2">
        <v>0</v>
      </c>
      <c r="X512">
        <v>0</v>
      </c>
      <c r="Y512" t="s">
        <v>60</v>
      </c>
      <c r="Z512" t="s">
        <v>262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103.55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 x14ac:dyDescent="0.3">
      <c r="A513" s="1">
        <v>46104</v>
      </c>
      <c r="B513" t="s">
        <v>48</v>
      </c>
      <c r="C513">
        <v>649163</v>
      </c>
      <c r="D513">
        <v>2033328299</v>
      </c>
      <c r="E513" t="s">
        <v>758</v>
      </c>
      <c r="F513" t="s">
        <v>759</v>
      </c>
      <c r="G513" t="s">
        <v>51</v>
      </c>
      <c r="H513" t="s">
        <v>597</v>
      </c>
      <c r="I513" t="s">
        <v>250</v>
      </c>
      <c r="J513" t="s">
        <v>761</v>
      </c>
      <c r="K513">
        <v>875334</v>
      </c>
      <c r="L513" t="s">
        <v>240</v>
      </c>
      <c r="M513" t="s">
        <v>241</v>
      </c>
      <c r="N513" t="s">
        <v>57</v>
      </c>
      <c r="O513" s="1">
        <v>46049</v>
      </c>
      <c r="Q513" s="1">
        <v>46139</v>
      </c>
      <c r="R513" s="2">
        <v>9.9499999999999993</v>
      </c>
      <c r="S513">
        <v>1</v>
      </c>
      <c r="T513" t="s">
        <v>58</v>
      </c>
      <c r="U513" t="s">
        <v>252</v>
      </c>
      <c r="V513" s="3">
        <v>0.24</v>
      </c>
      <c r="W513" s="2">
        <v>0</v>
      </c>
      <c r="X513">
        <v>0</v>
      </c>
      <c r="Y513" t="s">
        <v>60</v>
      </c>
      <c r="Z513" t="s">
        <v>262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2.39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3">
      <c r="A514" s="1">
        <v>46104</v>
      </c>
      <c r="B514" t="s">
        <v>48</v>
      </c>
      <c r="C514">
        <v>649163</v>
      </c>
      <c r="D514">
        <v>2033778074</v>
      </c>
      <c r="E514" t="s">
        <v>732</v>
      </c>
      <c r="F514" t="s">
        <v>733</v>
      </c>
      <c r="G514" t="s">
        <v>51</v>
      </c>
      <c r="H514" t="s">
        <v>205</v>
      </c>
      <c r="I514" t="s">
        <v>250</v>
      </c>
      <c r="J514" t="s">
        <v>762</v>
      </c>
      <c r="K514">
        <v>651818</v>
      </c>
      <c r="L514" t="s">
        <v>96</v>
      </c>
      <c r="M514" t="s">
        <v>97</v>
      </c>
      <c r="N514" t="s">
        <v>57</v>
      </c>
      <c r="O514" s="1">
        <v>46074</v>
      </c>
      <c r="Q514" s="1">
        <v>46133</v>
      </c>
      <c r="R514" s="2">
        <v>117.75</v>
      </c>
      <c r="S514">
        <v>1</v>
      </c>
      <c r="T514" t="s">
        <v>58</v>
      </c>
      <c r="U514" t="s">
        <v>447</v>
      </c>
      <c r="V514" s="3">
        <v>0.27</v>
      </c>
      <c r="W514" s="2">
        <v>0</v>
      </c>
      <c r="X514">
        <v>0</v>
      </c>
      <c r="Y514" t="s">
        <v>60</v>
      </c>
      <c r="Z514" t="s">
        <v>262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31.79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 x14ac:dyDescent="0.3">
      <c r="A515" s="1">
        <v>46104</v>
      </c>
      <c r="B515" t="s">
        <v>48</v>
      </c>
      <c r="C515">
        <v>649163</v>
      </c>
      <c r="D515">
        <v>2033881168</v>
      </c>
      <c r="E515" t="s">
        <v>474</v>
      </c>
      <c r="F515" t="s">
        <v>200</v>
      </c>
      <c r="G515" t="s">
        <v>51</v>
      </c>
      <c r="H515" t="s">
        <v>324</v>
      </c>
      <c r="I515" t="s">
        <v>250</v>
      </c>
      <c r="J515" t="s">
        <v>763</v>
      </c>
      <c r="K515">
        <v>942810</v>
      </c>
      <c r="L515" t="s">
        <v>475</v>
      </c>
      <c r="M515" t="s">
        <v>476</v>
      </c>
      <c r="N515" t="s">
        <v>57</v>
      </c>
      <c r="O515" s="1">
        <v>46078</v>
      </c>
      <c r="Q515" s="1">
        <v>46137</v>
      </c>
      <c r="R515" s="2">
        <v>899.13</v>
      </c>
      <c r="S515">
        <v>1</v>
      </c>
      <c r="T515" t="s">
        <v>58</v>
      </c>
      <c r="U515" t="s">
        <v>252</v>
      </c>
      <c r="V515" s="3">
        <v>0.19</v>
      </c>
      <c r="W515" s="2">
        <v>0</v>
      </c>
      <c r="X515">
        <v>0</v>
      </c>
      <c r="Y515" t="s">
        <v>60</v>
      </c>
      <c r="Z515" t="s">
        <v>262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170.83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 x14ac:dyDescent="0.3">
      <c r="A516" s="1">
        <v>46104</v>
      </c>
      <c r="B516" t="s">
        <v>48</v>
      </c>
      <c r="C516">
        <v>649163</v>
      </c>
      <c r="D516">
        <v>2018421687</v>
      </c>
      <c r="E516" t="s">
        <v>764</v>
      </c>
      <c r="F516" t="s">
        <v>765</v>
      </c>
      <c r="G516" t="s">
        <v>51</v>
      </c>
      <c r="H516" t="s">
        <v>86</v>
      </c>
      <c r="I516" t="s">
        <v>256</v>
      </c>
      <c r="J516" t="s">
        <v>257</v>
      </c>
      <c r="K516">
        <v>673059</v>
      </c>
      <c r="L516" t="s">
        <v>76</v>
      </c>
      <c r="M516" t="s">
        <v>77</v>
      </c>
      <c r="N516" t="s">
        <v>57</v>
      </c>
      <c r="O516" s="1">
        <v>45037</v>
      </c>
      <c r="Q516" s="1">
        <v>46133</v>
      </c>
      <c r="R516" s="2">
        <v>113.49</v>
      </c>
      <c r="S516">
        <v>1</v>
      </c>
      <c r="T516" t="s">
        <v>58</v>
      </c>
      <c r="U516" t="s">
        <v>260</v>
      </c>
      <c r="V516" s="4">
        <v>5.2499999999999998E-2</v>
      </c>
      <c r="W516" s="2">
        <v>0</v>
      </c>
      <c r="X516">
        <v>0</v>
      </c>
      <c r="Y516" t="s">
        <v>261</v>
      </c>
      <c r="Z516" t="s">
        <v>262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5.96</v>
      </c>
      <c r="AN516" s="2">
        <v>5.96</v>
      </c>
      <c r="AO516" s="2">
        <v>0</v>
      </c>
      <c r="AP516" s="2">
        <v>0</v>
      </c>
      <c r="AQ516" s="2">
        <v>0</v>
      </c>
    </row>
    <row r="517" spans="1:43" x14ac:dyDescent="0.3">
      <c r="A517" s="1">
        <v>46104</v>
      </c>
      <c r="B517" t="s">
        <v>48</v>
      </c>
      <c r="C517">
        <v>649163</v>
      </c>
      <c r="D517">
        <v>2020850122</v>
      </c>
      <c r="E517" t="s">
        <v>766</v>
      </c>
      <c r="F517" t="s">
        <v>293</v>
      </c>
      <c r="G517" t="s">
        <v>51</v>
      </c>
      <c r="H517" t="s">
        <v>100</v>
      </c>
      <c r="I517" t="s">
        <v>256</v>
      </c>
      <c r="J517" t="s">
        <v>257</v>
      </c>
      <c r="K517">
        <v>649164</v>
      </c>
      <c r="L517" t="s">
        <v>265</v>
      </c>
      <c r="M517" t="s">
        <v>266</v>
      </c>
      <c r="N517" t="s">
        <v>57</v>
      </c>
      <c r="O517" s="1">
        <v>45251</v>
      </c>
      <c r="Q517" s="1">
        <v>46133</v>
      </c>
      <c r="R517" s="2">
        <v>130.83000000000001</v>
      </c>
      <c r="S517">
        <v>1</v>
      </c>
      <c r="T517" t="s">
        <v>58</v>
      </c>
      <c r="U517" t="s">
        <v>260</v>
      </c>
      <c r="V517" s="4">
        <v>5.2499999999999998E-2</v>
      </c>
      <c r="W517" s="2">
        <v>0</v>
      </c>
      <c r="X517">
        <v>0</v>
      </c>
      <c r="Y517" t="s">
        <v>261</v>
      </c>
      <c r="Z517" t="s">
        <v>262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6.87</v>
      </c>
      <c r="AN517" s="2">
        <v>6.87</v>
      </c>
      <c r="AO517" s="2">
        <v>0</v>
      </c>
      <c r="AP517" s="2">
        <v>0</v>
      </c>
      <c r="AQ517" s="2">
        <v>0</v>
      </c>
    </row>
    <row r="518" spans="1:43" x14ac:dyDescent="0.3">
      <c r="A518" s="1">
        <v>46104</v>
      </c>
      <c r="B518" t="s">
        <v>48</v>
      </c>
      <c r="C518">
        <v>649163</v>
      </c>
      <c r="D518">
        <v>2025333216</v>
      </c>
      <c r="E518" t="s">
        <v>767</v>
      </c>
      <c r="F518" t="s">
        <v>768</v>
      </c>
      <c r="G518" t="s">
        <v>51</v>
      </c>
      <c r="H518" t="s">
        <v>64</v>
      </c>
      <c r="I518" t="s">
        <v>256</v>
      </c>
      <c r="J518" t="s">
        <v>257</v>
      </c>
      <c r="K518">
        <v>766422</v>
      </c>
      <c r="L518" t="s">
        <v>769</v>
      </c>
      <c r="M518" t="s">
        <v>97</v>
      </c>
      <c r="N518" t="s">
        <v>57</v>
      </c>
      <c r="O518" s="1">
        <v>45581</v>
      </c>
      <c r="Q518" s="1">
        <v>46128</v>
      </c>
      <c r="R518" s="2">
        <v>53.01</v>
      </c>
      <c r="S518">
        <v>1</v>
      </c>
      <c r="T518" t="s">
        <v>58</v>
      </c>
      <c r="U518" t="s">
        <v>260</v>
      </c>
      <c r="V518" s="4">
        <v>5.2499999999999998E-2</v>
      </c>
      <c r="W518" s="2">
        <v>0</v>
      </c>
      <c r="X518">
        <v>0</v>
      </c>
      <c r="Y518" t="s">
        <v>261</v>
      </c>
      <c r="Z518" t="s">
        <v>262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2.78</v>
      </c>
      <c r="AN518" s="2">
        <v>2.78</v>
      </c>
      <c r="AO518" s="2">
        <v>0</v>
      </c>
      <c r="AP518" s="2">
        <v>0</v>
      </c>
      <c r="AQ518" s="2">
        <v>0</v>
      </c>
    </row>
    <row r="519" spans="1:43" x14ac:dyDescent="0.3">
      <c r="A519" s="1">
        <v>46104</v>
      </c>
      <c r="B519" t="s">
        <v>48</v>
      </c>
      <c r="C519">
        <v>649163</v>
      </c>
      <c r="D519">
        <v>2026211393</v>
      </c>
      <c r="E519" t="s">
        <v>770</v>
      </c>
      <c r="F519" t="s">
        <v>771</v>
      </c>
      <c r="G519" t="s">
        <v>51</v>
      </c>
      <c r="H519" t="s">
        <v>52</v>
      </c>
      <c r="I519" t="s">
        <v>256</v>
      </c>
      <c r="J519" t="s">
        <v>257</v>
      </c>
      <c r="K519">
        <v>728134</v>
      </c>
      <c r="L519" t="s">
        <v>503</v>
      </c>
      <c r="M519" t="s">
        <v>504</v>
      </c>
      <c r="N519" t="s">
        <v>57</v>
      </c>
      <c r="O519" s="1">
        <v>45644</v>
      </c>
      <c r="Q519" s="1">
        <v>46130</v>
      </c>
      <c r="R519" s="2">
        <v>45.54</v>
      </c>
      <c r="S519">
        <v>1</v>
      </c>
      <c r="T519" t="s">
        <v>58</v>
      </c>
      <c r="U519" t="s">
        <v>260</v>
      </c>
      <c r="V519" s="4">
        <v>5.2499999999999998E-2</v>
      </c>
      <c r="W519" s="2">
        <v>0</v>
      </c>
      <c r="X519">
        <v>0</v>
      </c>
      <c r="Y519" t="s">
        <v>261</v>
      </c>
      <c r="Z519" t="s">
        <v>262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2.39</v>
      </c>
      <c r="AN519" s="2">
        <v>2.39</v>
      </c>
      <c r="AO519" s="2">
        <v>0</v>
      </c>
      <c r="AP519" s="2">
        <v>0</v>
      </c>
      <c r="AQ519" s="2">
        <v>0</v>
      </c>
    </row>
    <row r="520" spans="1:43" x14ac:dyDescent="0.3">
      <c r="A520" s="1">
        <v>46104</v>
      </c>
      <c r="B520" t="s">
        <v>48</v>
      </c>
      <c r="C520">
        <v>649163</v>
      </c>
      <c r="D520">
        <v>2026212129</v>
      </c>
      <c r="E520" t="s">
        <v>772</v>
      </c>
      <c r="F520" t="s">
        <v>99</v>
      </c>
      <c r="G520" t="s">
        <v>51</v>
      </c>
      <c r="H520" t="s">
        <v>52</v>
      </c>
      <c r="I520" t="s">
        <v>256</v>
      </c>
      <c r="J520" t="s">
        <v>257</v>
      </c>
      <c r="K520">
        <v>728134</v>
      </c>
      <c r="L520" t="s">
        <v>503</v>
      </c>
      <c r="M520" t="s">
        <v>504</v>
      </c>
      <c r="N520" t="s">
        <v>57</v>
      </c>
      <c r="O520" s="1">
        <v>45644</v>
      </c>
      <c r="Q520" s="1">
        <v>46130</v>
      </c>
      <c r="R520" s="2">
        <v>45.54</v>
      </c>
      <c r="S520">
        <v>1</v>
      </c>
      <c r="T520" t="s">
        <v>58</v>
      </c>
      <c r="U520" t="s">
        <v>260</v>
      </c>
      <c r="V520" s="4">
        <v>5.2499999999999998E-2</v>
      </c>
      <c r="W520" s="2">
        <v>0</v>
      </c>
      <c r="X520">
        <v>0</v>
      </c>
      <c r="Y520" t="s">
        <v>261</v>
      </c>
      <c r="Z520" t="s">
        <v>262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2.39</v>
      </c>
      <c r="AN520" s="2">
        <v>2.39</v>
      </c>
      <c r="AO520" s="2">
        <v>0</v>
      </c>
      <c r="AP520" s="2">
        <v>0</v>
      </c>
      <c r="AQ520" s="2">
        <v>0</v>
      </c>
    </row>
    <row r="521" spans="1:43" x14ac:dyDescent="0.3">
      <c r="A521" s="1">
        <v>46104</v>
      </c>
      <c r="B521" t="s">
        <v>48</v>
      </c>
      <c r="C521">
        <v>649163</v>
      </c>
      <c r="D521">
        <v>2026607392</v>
      </c>
      <c r="E521" t="s">
        <v>773</v>
      </c>
      <c r="F521" t="s">
        <v>639</v>
      </c>
      <c r="G521" t="s">
        <v>51</v>
      </c>
      <c r="H521" t="s">
        <v>52</v>
      </c>
      <c r="I521" t="s">
        <v>256</v>
      </c>
      <c r="J521" t="s">
        <v>257</v>
      </c>
      <c r="K521">
        <v>728134</v>
      </c>
      <c r="L521" t="s">
        <v>503</v>
      </c>
      <c r="M521" t="s">
        <v>504</v>
      </c>
      <c r="N521" t="s">
        <v>57</v>
      </c>
      <c r="O521" s="1">
        <v>45673</v>
      </c>
      <c r="Q521" s="1">
        <v>46128</v>
      </c>
      <c r="R521" s="2">
        <v>78.83</v>
      </c>
      <c r="S521">
        <v>1</v>
      </c>
      <c r="T521" t="s">
        <v>58</v>
      </c>
      <c r="U521" t="s">
        <v>260</v>
      </c>
      <c r="V521" s="4">
        <v>5.2499999999999998E-2</v>
      </c>
      <c r="W521" s="2">
        <v>0</v>
      </c>
      <c r="X521">
        <v>0</v>
      </c>
      <c r="Y521" t="s">
        <v>261</v>
      </c>
      <c r="Z521" t="s">
        <v>262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4.1399999999999997</v>
      </c>
      <c r="AN521" s="2">
        <v>4.1399999999999997</v>
      </c>
      <c r="AO521" s="2">
        <v>0</v>
      </c>
      <c r="AP521" s="2">
        <v>0</v>
      </c>
      <c r="AQ521" s="2">
        <v>0</v>
      </c>
    </row>
    <row r="522" spans="1:43" x14ac:dyDescent="0.3">
      <c r="A522" s="1">
        <v>46104</v>
      </c>
      <c r="B522" t="s">
        <v>48</v>
      </c>
      <c r="C522">
        <v>649163</v>
      </c>
      <c r="D522">
        <v>2027883703</v>
      </c>
      <c r="E522" t="s">
        <v>774</v>
      </c>
      <c r="F522" t="s">
        <v>775</v>
      </c>
      <c r="G522" t="s">
        <v>51</v>
      </c>
      <c r="H522" t="s">
        <v>86</v>
      </c>
      <c r="I522" t="s">
        <v>256</v>
      </c>
      <c r="J522" t="s">
        <v>257</v>
      </c>
      <c r="K522">
        <v>767312</v>
      </c>
      <c r="L522" t="s">
        <v>185</v>
      </c>
      <c r="M522" t="s">
        <v>186</v>
      </c>
      <c r="N522" t="s">
        <v>57</v>
      </c>
      <c r="O522" s="1">
        <v>45735</v>
      </c>
      <c r="Q522" s="1">
        <v>46131</v>
      </c>
      <c r="R522" s="2">
        <v>31.52</v>
      </c>
      <c r="S522">
        <v>1</v>
      </c>
      <c r="T522" t="s">
        <v>58</v>
      </c>
      <c r="U522" t="s">
        <v>260</v>
      </c>
      <c r="V522" s="4">
        <v>5.2499999999999998E-2</v>
      </c>
      <c r="W522" s="2">
        <v>0</v>
      </c>
      <c r="X522">
        <v>0</v>
      </c>
      <c r="Y522" t="s">
        <v>261</v>
      </c>
      <c r="Z522" t="s">
        <v>262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1.65</v>
      </c>
      <c r="AN522" s="2">
        <v>1.65</v>
      </c>
      <c r="AO522" s="2">
        <v>0</v>
      </c>
      <c r="AP522" s="2">
        <v>0</v>
      </c>
      <c r="AQ522" s="2">
        <v>0</v>
      </c>
    </row>
    <row r="523" spans="1:43" x14ac:dyDescent="0.3">
      <c r="A523" s="1">
        <v>46104</v>
      </c>
      <c r="B523" t="s">
        <v>48</v>
      </c>
      <c r="C523">
        <v>649163</v>
      </c>
      <c r="D523">
        <v>2029303774</v>
      </c>
      <c r="E523" t="s">
        <v>776</v>
      </c>
      <c r="F523" t="s">
        <v>239</v>
      </c>
      <c r="G523" t="s">
        <v>51</v>
      </c>
      <c r="H523" t="s">
        <v>52</v>
      </c>
      <c r="I523" t="s">
        <v>256</v>
      </c>
      <c r="J523" t="s">
        <v>257</v>
      </c>
      <c r="K523">
        <v>728134</v>
      </c>
      <c r="L523" t="s">
        <v>503</v>
      </c>
      <c r="M523" t="s">
        <v>504</v>
      </c>
      <c r="N523" t="s">
        <v>57</v>
      </c>
      <c r="O523" s="1">
        <v>45798</v>
      </c>
      <c r="Q523" s="1">
        <v>46133</v>
      </c>
      <c r="R523" s="2">
        <v>37.32</v>
      </c>
      <c r="S523">
        <v>1</v>
      </c>
      <c r="T523" t="s">
        <v>58</v>
      </c>
      <c r="U523" t="s">
        <v>260</v>
      </c>
      <c r="V523" s="3">
        <v>0.47</v>
      </c>
      <c r="W523" s="2">
        <v>0</v>
      </c>
      <c r="X523">
        <v>0</v>
      </c>
      <c r="Y523" t="s">
        <v>60</v>
      </c>
      <c r="Z523" t="s">
        <v>262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17.54</v>
      </c>
      <c r="AN523" s="2">
        <v>17.54</v>
      </c>
      <c r="AO523" s="2">
        <v>0</v>
      </c>
      <c r="AP523" s="2">
        <v>0</v>
      </c>
      <c r="AQ523" s="2">
        <v>0</v>
      </c>
    </row>
    <row r="524" spans="1:43" x14ac:dyDescent="0.3">
      <c r="A524" s="1">
        <v>46104</v>
      </c>
      <c r="B524" t="s">
        <v>48</v>
      </c>
      <c r="C524">
        <v>649163</v>
      </c>
      <c r="D524">
        <v>2031646838</v>
      </c>
      <c r="E524" t="s">
        <v>505</v>
      </c>
      <c r="F524" t="s">
        <v>200</v>
      </c>
      <c r="G524" t="s">
        <v>51</v>
      </c>
      <c r="H524" t="s">
        <v>213</v>
      </c>
      <c r="I524" t="s">
        <v>256</v>
      </c>
      <c r="J524" t="s">
        <v>257</v>
      </c>
      <c r="K524">
        <v>822733</v>
      </c>
      <c r="L524" t="s">
        <v>118</v>
      </c>
      <c r="M524" t="s">
        <v>119</v>
      </c>
      <c r="N524" t="s">
        <v>57</v>
      </c>
      <c r="O524" s="1">
        <v>45948</v>
      </c>
      <c r="Q524" s="1">
        <v>46130</v>
      </c>
      <c r="R524" s="2">
        <v>74.209999999999994</v>
      </c>
      <c r="S524">
        <v>1</v>
      </c>
      <c r="T524" t="s">
        <v>58</v>
      </c>
      <c r="U524" t="s">
        <v>59</v>
      </c>
      <c r="V524" s="3">
        <v>0.47</v>
      </c>
      <c r="W524" s="2">
        <v>0</v>
      </c>
      <c r="X524">
        <v>0</v>
      </c>
      <c r="Y524" t="s">
        <v>60</v>
      </c>
      <c r="Z524" t="s">
        <v>262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34.880000000000003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3">
      <c r="A525" s="1">
        <v>46104</v>
      </c>
      <c r="B525" t="s">
        <v>48</v>
      </c>
      <c r="C525">
        <v>649163</v>
      </c>
      <c r="D525">
        <v>2033231625</v>
      </c>
      <c r="E525" t="s">
        <v>777</v>
      </c>
      <c r="F525" t="s">
        <v>186</v>
      </c>
      <c r="G525" t="s">
        <v>51</v>
      </c>
      <c r="H525" t="s">
        <v>64</v>
      </c>
      <c r="I525" t="s">
        <v>256</v>
      </c>
      <c r="J525" t="s">
        <v>257</v>
      </c>
      <c r="K525">
        <v>806645</v>
      </c>
      <c r="L525" t="s">
        <v>553</v>
      </c>
      <c r="M525" t="s">
        <v>554</v>
      </c>
      <c r="N525" t="s">
        <v>57</v>
      </c>
      <c r="O525" s="1">
        <v>46042</v>
      </c>
      <c r="Q525" s="1">
        <v>46132</v>
      </c>
      <c r="R525" s="2">
        <v>85.58</v>
      </c>
      <c r="S525">
        <v>1</v>
      </c>
      <c r="T525" t="s">
        <v>58</v>
      </c>
      <c r="U525" t="s">
        <v>59</v>
      </c>
      <c r="V525" s="3">
        <v>0.47</v>
      </c>
      <c r="W525" s="2">
        <v>0</v>
      </c>
      <c r="X525">
        <v>0</v>
      </c>
      <c r="Y525" t="s">
        <v>60</v>
      </c>
      <c r="Z525" t="s">
        <v>262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40.22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</row>
    <row r="526" spans="1:43" x14ac:dyDescent="0.3">
      <c r="A526" s="1">
        <v>46104</v>
      </c>
      <c r="B526" t="s">
        <v>778</v>
      </c>
      <c r="C526">
        <v>649163</v>
      </c>
      <c r="D526">
        <v>2025233514</v>
      </c>
      <c r="E526" t="s">
        <v>298</v>
      </c>
      <c r="F526" t="s">
        <v>299</v>
      </c>
      <c r="G526" t="s">
        <v>51</v>
      </c>
      <c r="I526" t="s">
        <v>65</v>
      </c>
      <c r="J526" t="s">
        <v>71</v>
      </c>
      <c r="K526">
        <v>649163</v>
      </c>
      <c r="L526" t="s">
        <v>185</v>
      </c>
      <c r="M526" t="s">
        <v>186</v>
      </c>
      <c r="N526" t="s">
        <v>271</v>
      </c>
      <c r="O526" s="1">
        <v>45586</v>
      </c>
      <c r="P526" s="1">
        <v>46104</v>
      </c>
      <c r="R526" s="2">
        <v>0</v>
      </c>
      <c r="AB526" s="2">
        <v>0</v>
      </c>
      <c r="AC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</row>
    <row r="527" spans="1:43" x14ac:dyDescent="0.3">
      <c r="A527" s="1">
        <v>46104</v>
      </c>
      <c r="B527" t="s">
        <v>778</v>
      </c>
      <c r="C527">
        <v>649163</v>
      </c>
      <c r="D527">
        <v>2025233515</v>
      </c>
      <c r="E527" t="s">
        <v>298</v>
      </c>
      <c r="F527" t="s">
        <v>299</v>
      </c>
      <c r="G527" t="s">
        <v>51</v>
      </c>
      <c r="I527" t="s">
        <v>163</v>
      </c>
      <c r="J527" t="s">
        <v>164</v>
      </c>
      <c r="K527">
        <v>649163</v>
      </c>
      <c r="L527" t="s">
        <v>185</v>
      </c>
      <c r="M527" t="s">
        <v>186</v>
      </c>
      <c r="N527" t="s">
        <v>271</v>
      </c>
      <c r="O527" s="1">
        <v>45586</v>
      </c>
      <c r="P527" s="1">
        <v>46104</v>
      </c>
      <c r="R527" s="2">
        <v>0</v>
      </c>
      <c r="AB527" s="2">
        <v>0</v>
      </c>
      <c r="AC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</row>
    <row r="528" spans="1:43" x14ac:dyDescent="0.3">
      <c r="A528" s="1">
        <v>46104</v>
      </c>
      <c r="B528" t="s">
        <v>778</v>
      </c>
      <c r="C528">
        <v>649163</v>
      </c>
      <c r="D528">
        <v>2025233513</v>
      </c>
      <c r="E528" t="s">
        <v>298</v>
      </c>
      <c r="F528" t="s">
        <v>299</v>
      </c>
      <c r="G528" t="s">
        <v>51</v>
      </c>
      <c r="I528" t="s">
        <v>222</v>
      </c>
      <c r="J528" t="s">
        <v>223</v>
      </c>
      <c r="K528">
        <v>649163</v>
      </c>
      <c r="L528" t="s">
        <v>185</v>
      </c>
      <c r="M528" t="s">
        <v>186</v>
      </c>
      <c r="N528" t="s">
        <v>271</v>
      </c>
      <c r="O528" s="1">
        <v>45586</v>
      </c>
      <c r="P528" s="1">
        <v>46104</v>
      </c>
      <c r="R528" s="2">
        <v>0</v>
      </c>
      <c r="AB528" s="2">
        <v>0</v>
      </c>
      <c r="AC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3">
      <c r="A529" s="1">
        <v>46104</v>
      </c>
      <c r="B529" t="s">
        <v>778</v>
      </c>
      <c r="C529">
        <v>756418</v>
      </c>
      <c r="D529">
        <v>2026213329</v>
      </c>
      <c r="E529" t="s">
        <v>779</v>
      </c>
      <c r="F529" t="s">
        <v>780</v>
      </c>
      <c r="G529" t="s">
        <v>51</v>
      </c>
      <c r="I529" t="s">
        <v>157</v>
      </c>
      <c r="J529" t="s">
        <v>158</v>
      </c>
      <c r="K529">
        <v>756418</v>
      </c>
      <c r="L529" t="s">
        <v>433</v>
      </c>
      <c r="M529" t="s">
        <v>434</v>
      </c>
      <c r="N529" t="s">
        <v>271</v>
      </c>
      <c r="O529" s="1">
        <v>45644</v>
      </c>
      <c r="P529" s="1">
        <v>46104</v>
      </c>
      <c r="R529" s="2">
        <v>0</v>
      </c>
      <c r="AB529" s="2">
        <v>0</v>
      </c>
      <c r="AC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3">
      <c r="A530" s="1">
        <v>46104</v>
      </c>
      <c r="B530" t="s">
        <v>778</v>
      </c>
      <c r="C530">
        <v>649163</v>
      </c>
      <c r="D530">
        <v>2026084250</v>
      </c>
      <c r="E530" t="s">
        <v>607</v>
      </c>
      <c r="F530" t="s">
        <v>608</v>
      </c>
      <c r="G530" t="s">
        <v>51</v>
      </c>
      <c r="I530" t="s">
        <v>222</v>
      </c>
      <c r="J530" t="s">
        <v>223</v>
      </c>
      <c r="K530">
        <v>649163</v>
      </c>
      <c r="L530" t="s">
        <v>146</v>
      </c>
      <c r="M530" t="s">
        <v>116</v>
      </c>
      <c r="N530" t="s">
        <v>271</v>
      </c>
      <c r="O530" s="1">
        <v>45658</v>
      </c>
      <c r="P530" s="1">
        <v>46104</v>
      </c>
      <c r="R530" s="2">
        <v>0</v>
      </c>
      <c r="AB530" s="2">
        <v>0</v>
      </c>
      <c r="AC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 x14ac:dyDescent="0.3">
      <c r="A531" s="1">
        <v>46104</v>
      </c>
      <c r="B531" t="s">
        <v>778</v>
      </c>
      <c r="C531">
        <v>756418</v>
      </c>
      <c r="D531">
        <v>2026213327</v>
      </c>
      <c r="E531" t="s">
        <v>779</v>
      </c>
      <c r="F531" t="s">
        <v>780</v>
      </c>
      <c r="G531" t="s">
        <v>51</v>
      </c>
      <c r="I531" t="s">
        <v>220</v>
      </c>
      <c r="J531" t="s">
        <v>221</v>
      </c>
      <c r="K531">
        <v>756418</v>
      </c>
      <c r="L531" t="s">
        <v>433</v>
      </c>
      <c r="M531" t="s">
        <v>434</v>
      </c>
      <c r="N531" t="s">
        <v>271</v>
      </c>
      <c r="O531" s="1">
        <v>45644</v>
      </c>
      <c r="P531" s="1">
        <v>46104</v>
      </c>
      <c r="R531" s="2">
        <v>0</v>
      </c>
      <c r="AB531" s="2">
        <v>0</v>
      </c>
      <c r="AC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3">
      <c r="A532" s="1">
        <v>46104</v>
      </c>
      <c r="B532" t="s">
        <v>778</v>
      </c>
      <c r="C532">
        <v>756418</v>
      </c>
      <c r="D532">
        <v>2026213328</v>
      </c>
      <c r="E532" t="s">
        <v>779</v>
      </c>
      <c r="F532" t="s">
        <v>780</v>
      </c>
      <c r="G532" t="s">
        <v>51</v>
      </c>
      <c r="I532" t="s">
        <v>222</v>
      </c>
      <c r="J532" t="s">
        <v>223</v>
      </c>
      <c r="K532">
        <v>756418</v>
      </c>
      <c r="L532" t="s">
        <v>433</v>
      </c>
      <c r="M532" t="s">
        <v>434</v>
      </c>
      <c r="N532" t="s">
        <v>271</v>
      </c>
      <c r="O532" s="1">
        <v>45644</v>
      </c>
      <c r="P532" s="1">
        <v>46104</v>
      </c>
      <c r="R532" s="2">
        <v>0</v>
      </c>
      <c r="AB532" s="2">
        <v>0</v>
      </c>
      <c r="AC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3">
      <c r="A533" s="1">
        <v>46104</v>
      </c>
      <c r="B533" t="s">
        <v>778</v>
      </c>
      <c r="C533">
        <v>756418</v>
      </c>
      <c r="D533">
        <v>2026213326</v>
      </c>
      <c r="E533" t="s">
        <v>779</v>
      </c>
      <c r="F533" t="s">
        <v>780</v>
      </c>
      <c r="G533" t="s">
        <v>51</v>
      </c>
      <c r="I533" t="s">
        <v>163</v>
      </c>
      <c r="J533" t="s">
        <v>164</v>
      </c>
      <c r="K533">
        <v>756418</v>
      </c>
      <c r="L533" t="s">
        <v>433</v>
      </c>
      <c r="M533" t="s">
        <v>434</v>
      </c>
      <c r="N533" t="s">
        <v>271</v>
      </c>
      <c r="O533" s="1">
        <v>45644</v>
      </c>
      <c r="P533" s="1">
        <v>46104</v>
      </c>
      <c r="R533" s="2">
        <v>0</v>
      </c>
      <c r="AB533" s="2">
        <v>0</v>
      </c>
      <c r="AC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3">
      <c r="A534" s="1">
        <v>46104</v>
      </c>
      <c r="B534" t="s">
        <v>778</v>
      </c>
      <c r="C534">
        <v>649163</v>
      </c>
      <c r="D534">
        <v>2026245239</v>
      </c>
      <c r="E534" t="s">
        <v>267</v>
      </c>
      <c r="F534" t="s">
        <v>268</v>
      </c>
      <c r="G534" t="s">
        <v>51</v>
      </c>
      <c r="I534" t="s">
        <v>53</v>
      </c>
      <c r="J534" t="s">
        <v>54</v>
      </c>
      <c r="K534">
        <v>649163</v>
      </c>
      <c r="L534" t="s">
        <v>269</v>
      </c>
      <c r="M534" t="s">
        <v>270</v>
      </c>
      <c r="N534" t="s">
        <v>271</v>
      </c>
      <c r="O534" s="1">
        <v>45658</v>
      </c>
      <c r="P534" s="1">
        <v>46104</v>
      </c>
      <c r="R534" s="2">
        <v>0</v>
      </c>
      <c r="AB534" s="2">
        <v>0</v>
      </c>
      <c r="AC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3">
      <c r="A535" s="1">
        <v>46104</v>
      </c>
      <c r="B535" t="s">
        <v>778</v>
      </c>
      <c r="C535">
        <v>649163</v>
      </c>
      <c r="D535">
        <v>2026848316</v>
      </c>
      <c r="E535" t="s">
        <v>616</v>
      </c>
      <c r="F535" t="s">
        <v>377</v>
      </c>
      <c r="G535" t="s">
        <v>51</v>
      </c>
      <c r="I535" t="s">
        <v>222</v>
      </c>
      <c r="J535" t="s">
        <v>223</v>
      </c>
      <c r="K535">
        <v>649163</v>
      </c>
      <c r="L535" t="s">
        <v>76</v>
      </c>
      <c r="M535" t="s">
        <v>77</v>
      </c>
      <c r="N535" t="s">
        <v>271</v>
      </c>
      <c r="O535" s="1">
        <v>45717</v>
      </c>
      <c r="P535" s="1">
        <v>46104</v>
      </c>
      <c r="R535" s="2">
        <v>0</v>
      </c>
      <c r="AB535" s="2">
        <v>0</v>
      </c>
      <c r="AC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3">
      <c r="A536" s="1">
        <v>46104</v>
      </c>
      <c r="B536" t="s">
        <v>778</v>
      </c>
      <c r="C536">
        <v>649163</v>
      </c>
      <c r="D536">
        <v>2026848317</v>
      </c>
      <c r="E536" t="s">
        <v>616</v>
      </c>
      <c r="F536" t="s">
        <v>377</v>
      </c>
      <c r="G536" t="s">
        <v>51</v>
      </c>
      <c r="I536" t="s">
        <v>222</v>
      </c>
      <c r="J536" t="s">
        <v>590</v>
      </c>
      <c r="K536">
        <v>649163</v>
      </c>
      <c r="L536" t="s">
        <v>76</v>
      </c>
      <c r="M536" t="s">
        <v>77</v>
      </c>
      <c r="N536" t="s">
        <v>271</v>
      </c>
      <c r="O536" s="1">
        <v>45717</v>
      </c>
      <c r="P536" s="1">
        <v>46104</v>
      </c>
      <c r="R536" s="2">
        <v>0</v>
      </c>
      <c r="AB536" s="2">
        <v>0</v>
      </c>
      <c r="AC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 x14ac:dyDescent="0.3">
      <c r="A537" s="1">
        <v>46104</v>
      </c>
      <c r="B537" t="s">
        <v>778</v>
      </c>
      <c r="C537">
        <v>649163</v>
      </c>
      <c r="D537">
        <v>2028582349</v>
      </c>
      <c r="E537" t="s">
        <v>629</v>
      </c>
      <c r="F537" t="s">
        <v>630</v>
      </c>
      <c r="G537" t="s">
        <v>51</v>
      </c>
      <c r="I537" t="s">
        <v>222</v>
      </c>
      <c r="J537" t="s">
        <v>223</v>
      </c>
      <c r="K537">
        <v>649163</v>
      </c>
      <c r="L537" t="s">
        <v>276</v>
      </c>
      <c r="M537" t="s">
        <v>277</v>
      </c>
      <c r="N537" t="s">
        <v>271</v>
      </c>
      <c r="O537" s="1">
        <v>45784</v>
      </c>
      <c r="P537" s="1">
        <v>46104</v>
      </c>
      <c r="R537" s="2">
        <v>0</v>
      </c>
      <c r="AB537" s="2">
        <v>0</v>
      </c>
      <c r="AC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 x14ac:dyDescent="0.3">
      <c r="A538" s="1">
        <v>46104</v>
      </c>
      <c r="B538" t="s">
        <v>778</v>
      </c>
      <c r="C538">
        <v>649163</v>
      </c>
      <c r="D538">
        <v>2028859180</v>
      </c>
      <c r="E538" t="s">
        <v>325</v>
      </c>
      <c r="F538" t="s">
        <v>326</v>
      </c>
      <c r="G538" t="s">
        <v>51</v>
      </c>
      <c r="I538" t="s">
        <v>65</v>
      </c>
      <c r="J538" t="s">
        <v>71</v>
      </c>
      <c r="K538">
        <v>649163</v>
      </c>
      <c r="L538" t="s">
        <v>96</v>
      </c>
      <c r="M538" t="s">
        <v>97</v>
      </c>
      <c r="N538" t="s">
        <v>271</v>
      </c>
      <c r="O538" s="1">
        <v>45815</v>
      </c>
      <c r="P538" s="1">
        <v>46104</v>
      </c>
      <c r="R538" s="2">
        <v>0</v>
      </c>
      <c r="AB538" s="2">
        <v>311.42</v>
      </c>
      <c r="AC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311.42</v>
      </c>
      <c r="AN538" s="2">
        <v>0</v>
      </c>
      <c r="AO538" s="2">
        <v>0</v>
      </c>
      <c r="AP538" s="2">
        <v>0</v>
      </c>
      <c r="AQ538" s="2">
        <v>0</v>
      </c>
    </row>
    <row r="539" spans="1:43" x14ac:dyDescent="0.3">
      <c r="A539" s="1">
        <v>46104</v>
      </c>
      <c r="B539" t="s">
        <v>778</v>
      </c>
      <c r="C539">
        <v>649163</v>
      </c>
      <c r="D539">
        <v>2029285746</v>
      </c>
      <c r="E539" t="s">
        <v>331</v>
      </c>
      <c r="F539" t="s">
        <v>219</v>
      </c>
      <c r="G539" t="s">
        <v>51</v>
      </c>
      <c r="I539" t="s">
        <v>65</v>
      </c>
      <c r="J539" t="s">
        <v>81</v>
      </c>
      <c r="K539">
        <v>649163</v>
      </c>
      <c r="L539" t="s">
        <v>76</v>
      </c>
      <c r="M539" t="s">
        <v>77</v>
      </c>
      <c r="N539" t="s">
        <v>271</v>
      </c>
      <c r="O539" s="1">
        <v>45839</v>
      </c>
      <c r="P539" s="1">
        <v>46104</v>
      </c>
      <c r="R539" s="2">
        <v>0</v>
      </c>
      <c r="AB539" s="2">
        <v>296.45999999999998</v>
      </c>
      <c r="AC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296.45999999999998</v>
      </c>
      <c r="AN539" s="2">
        <v>0</v>
      </c>
      <c r="AO539" s="2">
        <v>0</v>
      </c>
      <c r="AP539" s="2">
        <v>0</v>
      </c>
      <c r="AQ539" s="2">
        <v>0</v>
      </c>
    </row>
    <row r="540" spans="1:43" x14ac:dyDescent="0.3">
      <c r="A540" s="1">
        <v>46104</v>
      </c>
      <c r="B540" t="s">
        <v>778</v>
      </c>
      <c r="C540">
        <v>649163</v>
      </c>
      <c r="D540">
        <v>2029285747</v>
      </c>
      <c r="E540" t="s">
        <v>331</v>
      </c>
      <c r="F540" t="s">
        <v>219</v>
      </c>
      <c r="G540" t="s">
        <v>51</v>
      </c>
      <c r="I540" t="s">
        <v>222</v>
      </c>
      <c r="J540" t="s">
        <v>223</v>
      </c>
      <c r="K540">
        <v>649163</v>
      </c>
      <c r="L540" t="s">
        <v>76</v>
      </c>
      <c r="M540" t="s">
        <v>77</v>
      </c>
      <c r="N540" t="s">
        <v>271</v>
      </c>
      <c r="O540" s="1">
        <v>45839</v>
      </c>
      <c r="P540" s="1">
        <v>46104</v>
      </c>
      <c r="R540" s="2">
        <v>0</v>
      </c>
      <c r="AB540" s="2">
        <v>317.89999999999998</v>
      </c>
      <c r="AC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317.89999999999998</v>
      </c>
      <c r="AN540" s="2">
        <v>0</v>
      </c>
      <c r="AO540" s="2">
        <v>0</v>
      </c>
      <c r="AP540" s="2">
        <v>0</v>
      </c>
      <c r="AQ540" s="2">
        <v>0</v>
      </c>
    </row>
    <row r="541" spans="1:43" x14ac:dyDescent="0.3">
      <c r="A541" s="1">
        <v>46104</v>
      </c>
      <c r="B541" t="s">
        <v>778</v>
      </c>
      <c r="C541">
        <v>649163</v>
      </c>
      <c r="D541">
        <v>2029285748</v>
      </c>
      <c r="E541" t="s">
        <v>331</v>
      </c>
      <c r="F541" t="s">
        <v>219</v>
      </c>
      <c r="G541" t="s">
        <v>51</v>
      </c>
      <c r="I541" t="s">
        <v>163</v>
      </c>
      <c r="J541" t="s">
        <v>164</v>
      </c>
      <c r="K541">
        <v>649163</v>
      </c>
      <c r="L541" t="s">
        <v>76</v>
      </c>
      <c r="M541" t="s">
        <v>77</v>
      </c>
      <c r="N541" t="s">
        <v>271</v>
      </c>
      <c r="O541" s="1">
        <v>45839</v>
      </c>
      <c r="P541" s="1">
        <v>46104</v>
      </c>
      <c r="R541" s="2">
        <v>0</v>
      </c>
      <c r="AB541" s="2">
        <v>36.07</v>
      </c>
      <c r="AC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36.07</v>
      </c>
      <c r="AN541" s="2">
        <v>0</v>
      </c>
      <c r="AO541" s="2">
        <v>0</v>
      </c>
      <c r="AP541" s="2">
        <v>0</v>
      </c>
      <c r="AQ541" s="2">
        <v>0</v>
      </c>
    </row>
    <row r="542" spans="1:43" x14ac:dyDescent="0.3">
      <c r="A542" s="1">
        <v>46104</v>
      </c>
      <c r="B542" t="s">
        <v>778</v>
      </c>
      <c r="C542">
        <v>673059</v>
      </c>
      <c r="D542">
        <v>2030008353</v>
      </c>
      <c r="E542" t="s">
        <v>781</v>
      </c>
      <c r="F542" t="s">
        <v>664</v>
      </c>
      <c r="G542" t="s">
        <v>51</v>
      </c>
      <c r="I542" t="s">
        <v>222</v>
      </c>
      <c r="J542" t="s">
        <v>223</v>
      </c>
      <c r="K542">
        <v>673059</v>
      </c>
      <c r="L542" t="s">
        <v>76</v>
      </c>
      <c r="M542" t="s">
        <v>77</v>
      </c>
      <c r="N542" t="s">
        <v>271</v>
      </c>
      <c r="O542" s="1">
        <v>45856</v>
      </c>
      <c r="P542" s="1">
        <v>46104</v>
      </c>
      <c r="R542" s="2">
        <v>0</v>
      </c>
      <c r="AB542" s="2">
        <v>131.38</v>
      </c>
      <c r="AC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131.38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3">
      <c r="A543" s="1">
        <v>46104</v>
      </c>
      <c r="B543" t="s">
        <v>778</v>
      </c>
      <c r="C543">
        <v>839554</v>
      </c>
      <c r="D543">
        <v>2030017882</v>
      </c>
      <c r="E543" t="s">
        <v>782</v>
      </c>
      <c r="F543" t="s">
        <v>783</v>
      </c>
      <c r="G543" t="s">
        <v>51</v>
      </c>
      <c r="I543" t="s">
        <v>222</v>
      </c>
      <c r="J543" t="s">
        <v>223</v>
      </c>
      <c r="K543">
        <v>839554</v>
      </c>
      <c r="L543" t="s">
        <v>654</v>
      </c>
      <c r="M543" t="s">
        <v>655</v>
      </c>
      <c r="N543" t="s">
        <v>271</v>
      </c>
      <c r="O543" s="1">
        <v>45856</v>
      </c>
      <c r="P543" s="1">
        <v>46104</v>
      </c>
      <c r="R543" s="2">
        <v>0</v>
      </c>
      <c r="AB543" s="2">
        <v>237.3</v>
      </c>
      <c r="AC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237.3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3">
      <c r="A544" s="1">
        <v>46104</v>
      </c>
      <c r="B544" t="s">
        <v>778</v>
      </c>
      <c r="C544">
        <v>649163</v>
      </c>
      <c r="D544">
        <v>2030055437</v>
      </c>
      <c r="E544" t="s">
        <v>647</v>
      </c>
      <c r="F544" t="s">
        <v>648</v>
      </c>
      <c r="G544" t="s">
        <v>51</v>
      </c>
      <c r="I544" t="s">
        <v>222</v>
      </c>
      <c r="J544" t="s">
        <v>223</v>
      </c>
      <c r="K544">
        <v>649163</v>
      </c>
      <c r="L544" t="s">
        <v>246</v>
      </c>
      <c r="M544" t="s">
        <v>247</v>
      </c>
      <c r="N544" t="s">
        <v>271</v>
      </c>
      <c r="O544" s="1">
        <v>45859</v>
      </c>
      <c r="P544" s="1">
        <v>46104</v>
      </c>
      <c r="R544" s="2">
        <v>0</v>
      </c>
      <c r="AB544" s="2">
        <v>135.24</v>
      </c>
      <c r="AC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135.24</v>
      </c>
      <c r="AN544" s="2">
        <v>0</v>
      </c>
      <c r="AO544" s="2">
        <v>0</v>
      </c>
      <c r="AP544" s="2">
        <v>0</v>
      </c>
      <c r="AQ544" s="2">
        <v>0</v>
      </c>
    </row>
    <row r="545" spans="1:43" x14ac:dyDescent="0.3">
      <c r="A545" s="1">
        <v>46104</v>
      </c>
      <c r="B545" t="s">
        <v>778</v>
      </c>
      <c r="C545">
        <v>673059</v>
      </c>
      <c r="D545">
        <v>2030008352</v>
      </c>
      <c r="E545" t="s">
        <v>781</v>
      </c>
      <c r="F545" t="s">
        <v>664</v>
      </c>
      <c r="G545" t="s">
        <v>51</v>
      </c>
      <c r="I545" t="s">
        <v>65</v>
      </c>
      <c r="J545" t="s">
        <v>66</v>
      </c>
      <c r="K545">
        <v>673059</v>
      </c>
      <c r="L545" t="s">
        <v>76</v>
      </c>
      <c r="M545" t="s">
        <v>77</v>
      </c>
      <c r="N545" t="s">
        <v>271</v>
      </c>
      <c r="O545" s="1">
        <v>45856</v>
      </c>
      <c r="P545" s="1">
        <v>46104</v>
      </c>
      <c r="R545" s="2">
        <v>0</v>
      </c>
      <c r="AB545" s="2">
        <v>300.29000000000002</v>
      </c>
      <c r="AC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300.29000000000002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3">
      <c r="A546" s="1">
        <v>46104</v>
      </c>
      <c r="B546" t="s">
        <v>778</v>
      </c>
      <c r="C546">
        <v>807212</v>
      </c>
      <c r="D546">
        <v>2031232214</v>
      </c>
      <c r="E546" t="s">
        <v>784</v>
      </c>
      <c r="F546" t="s">
        <v>248</v>
      </c>
      <c r="G546" t="s">
        <v>51</v>
      </c>
      <c r="I546" t="s">
        <v>222</v>
      </c>
      <c r="J546" t="s">
        <v>223</v>
      </c>
      <c r="K546">
        <v>807212</v>
      </c>
      <c r="L546" t="s">
        <v>246</v>
      </c>
      <c r="M546" t="s">
        <v>247</v>
      </c>
      <c r="N546" t="s">
        <v>271</v>
      </c>
      <c r="O546" s="1">
        <v>45924</v>
      </c>
      <c r="P546" s="1">
        <v>46104</v>
      </c>
      <c r="R546" s="2">
        <v>0</v>
      </c>
      <c r="AB546" s="2">
        <v>121.38</v>
      </c>
      <c r="AC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101.15</v>
      </c>
      <c r="AN546" s="2">
        <v>-20.23</v>
      </c>
      <c r="AO546" s="2">
        <v>-20.23</v>
      </c>
      <c r="AP546" s="2">
        <v>0</v>
      </c>
      <c r="AQ546" s="2">
        <v>0</v>
      </c>
    </row>
    <row r="547" spans="1:43" x14ac:dyDescent="0.3">
      <c r="A547" s="1">
        <v>46104</v>
      </c>
      <c r="B547" t="s">
        <v>778</v>
      </c>
      <c r="C547">
        <v>649163</v>
      </c>
      <c r="D547">
        <v>2031757551</v>
      </c>
      <c r="E547" t="s">
        <v>670</v>
      </c>
      <c r="F547" t="s">
        <v>658</v>
      </c>
      <c r="G547" t="s">
        <v>51</v>
      </c>
      <c r="I547" t="s">
        <v>222</v>
      </c>
      <c r="J547" t="s">
        <v>223</v>
      </c>
      <c r="K547">
        <v>649163</v>
      </c>
      <c r="L547" t="s">
        <v>146</v>
      </c>
      <c r="M547" t="s">
        <v>116</v>
      </c>
      <c r="N547" t="s">
        <v>271</v>
      </c>
      <c r="O547" s="1">
        <v>45962</v>
      </c>
      <c r="P547" s="1">
        <v>46104</v>
      </c>
      <c r="R547" s="2">
        <v>0</v>
      </c>
      <c r="AB547" s="2">
        <v>621.66</v>
      </c>
      <c r="AC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518.04999999999995</v>
      </c>
      <c r="AN547" s="2">
        <v>-103.61</v>
      </c>
      <c r="AO547" s="2">
        <v>-103.61</v>
      </c>
      <c r="AP547" s="2">
        <v>0</v>
      </c>
      <c r="AQ547" s="2">
        <v>0</v>
      </c>
    </row>
    <row r="548" spans="1:43" x14ac:dyDescent="0.3">
      <c r="A548" s="1">
        <v>46104</v>
      </c>
      <c r="B548" t="s">
        <v>778</v>
      </c>
      <c r="C548">
        <v>649163</v>
      </c>
      <c r="D548">
        <v>2032202380</v>
      </c>
      <c r="E548" t="s">
        <v>536</v>
      </c>
      <c r="F548" t="s">
        <v>537</v>
      </c>
      <c r="G548" t="s">
        <v>51</v>
      </c>
      <c r="I548" t="s">
        <v>163</v>
      </c>
      <c r="J548" t="s">
        <v>164</v>
      </c>
      <c r="K548">
        <v>649163</v>
      </c>
      <c r="L548" t="s">
        <v>398</v>
      </c>
      <c r="M548" t="s">
        <v>399</v>
      </c>
      <c r="N548" t="s">
        <v>271</v>
      </c>
      <c r="O548" s="1">
        <v>45978</v>
      </c>
      <c r="P548" s="1">
        <v>46104</v>
      </c>
      <c r="R548" s="2">
        <v>0</v>
      </c>
      <c r="AB548" s="2">
        <v>114.3</v>
      </c>
      <c r="AC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95.25</v>
      </c>
      <c r="AN548" s="2">
        <v>-19.05</v>
      </c>
      <c r="AO548" s="2">
        <v>-19.05</v>
      </c>
      <c r="AP548" s="2">
        <v>0</v>
      </c>
      <c r="AQ548" s="2">
        <v>0</v>
      </c>
    </row>
    <row r="549" spans="1:43" x14ac:dyDescent="0.3">
      <c r="A549" s="1">
        <v>46104</v>
      </c>
      <c r="B549" t="s">
        <v>778</v>
      </c>
      <c r="C549">
        <v>813184</v>
      </c>
      <c r="D549">
        <v>2032250175</v>
      </c>
      <c r="E549" t="s">
        <v>785</v>
      </c>
      <c r="F549" t="s">
        <v>535</v>
      </c>
      <c r="G549" t="s">
        <v>51</v>
      </c>
      <c r="I549" t="s">
        <v>222</v>
      </c>
      <c r="J549" t="s">
        <v>223</v>
      </c>
      <c r="K549">
        <v>813184</v>
      </c>
      <c r="L549" t="s">
        <v>398</v>
      </c>
      <c r="M549" t="s">
        <v>399</v>
      </c>
      <c r="N549" t="s">
        <v>271</v>
      </c>
      <c r="O549" s="1">
        <v>45981</v>
      </c>
      <c r="P549" s="1">
        <v>46104</v>
      </c>
      <c r="R549" s="2">
        <v>0</v>
      </c>
      <c r="AB549" s="2">
        <v>48.3</v>
      </c>
      <c r="AC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24.15</v>
      </c>
      <c r="AN549" s="2">
        <v>-24.15</v>
      </c>
      <c r="AO549" s="2">
        <v>-24.15</v>
      </c>
      <c r="AP549" s="2">
        <v>0</v>
      </c>
      <c r="AQ549" s="2">
        <v>0</v>
      </c>
    </row>
    <row r="550" spans="1:43" x14ac:dyDescent="0.3">
      <c r="A550" s="1">
        <v>46104</v>
      </c>
      <c r="B550" t="s">
        <v>778</v>
      </c>
      <c r="C550">
        <v>813184</v>
      </c>
      <c r="D550">
        <v>2032250176</v>
      </c>
      <c r="E550" t="s">
        <v>785</v>
      </c>
      <c r="F550" t="s">
        <v>535</v>
      </c>
      <c r="G550" t="s">
        <v>51</v>
      </c>
      <c r="I550" t="s">
        <v>163</v>
      </c>
      <c r="J550" t="s">
        <v>164</v>
      </c>
      <c r="K550">
        <v>813184</v>
      </c>
      <c r="L550" t="s">
        <v>398</v>
      </c>
      <c r="M550" t="s">
        <v>399</v>
      </c>
      <c r="N550" t="s">
        <v>271</v>
      </c>
      <c r="O550" s="1">
        <v>45981</v>
      </c>
      <c r="P550" s="1">
        <v>46104</v>
      </c>
      <c r="R550" s="2">
        <v>0</v>
      </c>
      <c r="AB550" s="2">
        <v>121.2</v>
      </c>
      <c r="AC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60.6</v>
      </c>
      <c r="AN550" s="2">
        <v>-60.6</v>
      </c>
      <c r="AO550" s="2">
        <v>-60.6</v>
      </c>
      <c r="AP550" s="2">
        <v>0</v>
      </c>
      <c r="AQ550" s="2">
        <v>0</v>
      </c>
    </row>
    <row r="551" spans="1:43" x14ac:dyDescent="0.3">
      <c r="A551" s="1">
        <v>46104</v>
      </c>
      <c r="B551" t="s">
        <v>778</v>
      </c>
      <c r="C551">
        <v>649163</v>
      </c>
      <c r="D551">
        <v>2032581666</v>
      </c>
      <c r="E551" t="s">
        <v>461</v>
      </c>
      <c r="F551" t="s">
        <v>321</v>
      </c>
      <c r="G551" t="s">
        <v>51</v>
      </c>
      <c r="I551" t="s">
        <v>163</v>
      </c>
      <c r="J551" t="s">
        <v>164</v>
      </c>
      <c r="K551">
        <v>649163</v>
      </c>
      <c r="L551" t="s">
        <v>87</v>
      </c>
      <c r="M551" t="s">
        <v>88</v>
      </c>
      <c r="N551" t="s">
        <v>271</v>
      </c>
      <c r="O551" s="1">
        <v>46023</v>
      </c>
      <c r="P551" s="1">
        <v>46104</v>
      </c>
      <c r="R551" s="2">
        <v>0</v>
      </c>
      <c r="AB551" s="2">
        <v>143.4</v>
      </c>
      <c r="AC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71.7</v>
      </c>
      <c r="AN551" s="2">
        <v>-71.7</v>
      </c>
      <c r="AO551" s="2">
        <v>-71.7</v>
      </c>
      <c r="AP551" s="2">
        <v>0</v>
      </c>
      <c r="AQ551" s="2">
        <v>0</v>
      </c>
    </row>
    <row r="552" spans="1:43" x14ac:dyDescent="0.3">
      <c r="A552" s="1">
        <v>46104</v>
      </c>
      <c r="B552" t="s">
        <v>778</v>
      </c>
      <c r="C552">
        <v>649163</v>
      </c>
      <c r="D552">
        <v>2032581667</v>
      </c>
      <c r="E552" t="s">
        <v>461</v>
      </c>
      <c r="F552" t="s">
        <v>321</v>
      </c>
      <c r="G552" t="s">
        <v>51</v>
      </c>
      <c r="I552" t="s">
        <v>220</v>
      </c>
      <c r="J552" t="s">
        <v>568</v>
      </c>
      <c r="K552">
        <v>649163</v>
      </c>
      <c r="L552" t="s">
        <v>87</v>
      </c>
      <c r="M552" t="s">
        <v>88</v>
      </c>
      <c r="N552" t="s">
        <v>271</v>
      </c>
      <c r="O552" s="1">
        <v>46023</v>
      </c>
      <c r="P552" s="1">
        <v>46104</v>
      </c>
      <c r="R552" s="2">
        <v>0</v>
      </c>
      <c r="AB552" s="2">
        <v>496.02</v>
      </c>
      <c r="AC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248.01</v>
      </c>
      <c r="AN552" s="2">
        <v>-248.01</v>
      </c>
      <c r="AO552" s="2">
        <v>-248.01</v>
      </c>
      <c r="AP552" s="2">
        <v>0</v>
      </c>
      <c r="AQ552" s="2">
        <v>0</v>
      </c>
    </row>
    <row r="553" spans="1:43" x14ac:dyDescent="0.3">
      <c r="A553" s="1">
        <v>46104</v>
      </c>
      <c r="B553" t="s">
        <v>778</v>
      </c>
      <c r="C553">
        <v>649163</v>
      </c>
      <c r="D553">
        <v>2032581668</v>
      </c>
      <c r="E553" t="s">
        <v>461</v>
      </c>
      <c r="F553" t="s">
        <v>321</v>
      </c>
      <c r="G553" t="s">
        <v>51</v>
      </c>
      <c r="I553" t="s">
        <v>157</v>
      </c>
      <c r="J553" t="s">
        <v>437</v>
      </c>
      <c r="K553">
        <v>649163</v>
      </c>
      <c r="L553" t="s">
        <v>87</v>
      </c>
      <c r="M553" t="s">
        <v>88</v>
      </c>
      <c r="N553" t="s">
        <v>271</v>
      </c>
      <c r="O553" s="1">
        <v>46023</v>
      </c>
      <c r="P553" s="1">
        <v>46104</v>
      </c>
      <c r="R553" s="2">
        <v>0</v>
      </c>
      <c r="AB553" s="2">
        <v>34.200000000000003</v>
      </c>
      <c r="AC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17.100000000000001</v>
      </c>
      <c r="AN553" s="2">
        <v>-17.100000000000001</v>
      </c>
      <c r="AO553" s="2">
        <v>-17.100000000000001</v>
      </c>
      <c r="AP553" s="2">
        <v>0</v>
      </c>
      <c r="AQ553" s="2">
        <v>0</v>
      </c>
    </row>
    <row r="554" spans="1:43" x14ac:dyDescent="0.3">
      <c r="A554" s="1">
        <v>46104</v>
      </c>
      <c r="B554" t="s">
        <v>778</v>
      </c>
      <c r="C554">
        <v>823350</v>
      </c>
      <c r="D554">
        <v>2032712958</v>
      </c>
      <c r="E554" t="s">
        <v>786</v>
      </c>
      <c r="F554" t="s">
        <v>787</v>
      </c>
      <c r="G554" t="s">
        <v>51</v>
      </c>
      <c r="I554" t="s">
        <v>163</v>
      </c>
      <c r="J554" t="s">
        <v>164</v>
      </c>
      <c r="K554">
        <v>823350</v>
      </c>
      <c r="L554" t="s">
        <v>67</v>
      </c>
      <c r="M554" t="s">
        <v>68</v>
      </c>
      <c r="N554" t="s">
        <v>271</v>
      </c>
      <c r="O554" s="1">
        <v>46013</v>
      </c>
      <c r="P554" s="1">
        <v>46104</v>
      </c>
      <c r="R554" s="2">
        <v>0</v>
      </c>
      <c r="AB554" s="2">
        <v>174.36</v>
      </c>
      <c r="AC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87.18</v>
      </c>
      <c r="AN554" s="2">
        <v>-87.18</v>
      </c>
      <c r="AO554" s="2">
        <v>-87.18</v>
      </c>
      <c r="AP554" s="2">
        <v>0</v>
      </c>
      <c r="AQ554" s="2">
        <v>0</v>
      </c>
    </row>
    <row r="555" spans="1:43" x14ac:dyDescent="0.3">
      <c r="A555" s="1">
        <v>46104</v>
      </c>
      <c r="B555" t="s">
        <v>778</v>
      </c>
      <c r="C555">
        <v>823350</v>
      </c>
      <c r="D555">
        <v>2032712959</v>
      </c>
      <c r="E555" t="s">
        <v>786</v>
      </c>
      <c r="F555" t="s">
        <v>787</v>
      </c>
      <c r="G555" t="s">
        <v>51</v>
      </c>
      <c r="I555" t="s">
        <v>222</v>
      </c>
      <c r="J555" t="s">
        <v>223</v>
      </c>
      <c r="K555">
        <v>823350</v>
      </c>
      <c r="L555" t="s">
        <v>67</v>
      </c>
      <c r="M555" t="s">
        <v>68</v>
      </c>
      <c r="N555" t="s">
        <v>271</v>
      </c>
      <c r="O555" s="1">
        <v>46013</v>
      </c>
      <c r="P555" s="1">
        <v>46104</v>
      </c>
      <c r="R555" s="2">
        <v>0</v>
      </c>
      <c r="AB555" s="2">
        <v>48.3</v>
      </c>
      <c r="AC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24.15</v>
      </c>
      <c r="AN555" s="2">
        <v>-24.15</v>
      </c>
      <c r="AO555" s="2">
        <v>-24.15</v>
      </c>
      <c r="AP555" s="2">
        <v>0</v>
      </c>
      <c r="AQ555" s="2">
        <v>0</v>
      </c>
    </row>
    <row r="556" spans="1:43" x14ac:dyDescent="0.3">
      <c r="A556" s="1">
        <v>46104</v>
      </c>
      <c r="B556" t="s">
        <v>778</v>
      </c>
      <c r="C556">
        <v>806645</v>
      </c>
      <c r="D556">
        <v>2032779505</v>
      </c>
      <c r="E556" t="s">
        <v>788</v>
      </c>
      <c r="F556" t="s">
        <v>789</v>
      </c>
      <c r="G556" t="s">
        <v>51</v>
      </c>
      <c r="I556" t="s">
        <v>163</v>
      </c>
      <c r="J556" t="s">
        <v>164</v>
      </c>
      <c r="K556">
        <v>806645</v>
      </c>
      <c r="L556" t="s">
        <v>553</v>
      </c>
      <c r="M556" t="s">
        <v>554</v>
      </c>
      <c r="N556" t="s">
        <v>271</v>
      </c>
      <c r="O556" s="1">
        <v>46011</v>
      </c>
      <c r="P556" s="1">
        <v>46104</v>
      </c>
      <c r="R556" s="2">
        <v>0</v>
      </c>
      <c r="AB556" s="2">
        <v>142.56</v>
      </c>
      <c r="AC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71.28</v>
      </c>
      <c r="AN556" s="2">
        <v>-71.28</v>
      </c>
      <c r="AO556" s="2">
        <v>-71.28</v>
      </c>
      <c r="AP556" s="2">
        <v>0</v>
      </c>
      <c r="AQ556" s="2">
        <v>0</v>
      </c>
    </row>
    <row r="557" spans="1:43" x14ac:dyDescent="0.3">
      <c r="A557" s="1">
        <v>46104</v>
      </c>
      <c r="B557" t="s">
        <v>778</v>
      </c>
      <c r="C557">
        <v>649163</v>
      </c>
      <c r="D557">
        <v>2032241078</v>
      </c>
      <c r="E557" t="s">
        <v>683</v>
      </c>
      <c r="F557" t="s">
        <v>684</v>
      </c>
      <c r="G557" t="s">
        <v>51</v>
      </c>
      <c r="I557" t="s">
        <v>222</v>
      </c>
      <c r="J557" t="s">
        <v>223</v>
      </c>
      <c r="K557">
        <v>649163</v>
      </c>
      <c r="L557" t="s">
        <v>246</v>
      </c>
      <c r="M557" t="s">
        <v>247</v>
      </c>
      <c r="N557" t="s">
        <v>271</v>
      </c>
      <c r="O557" s="1">
        <v>46023</v>
      </c>
      <c r="P557" s="1">
        <v>46104</v>
      </c>
      <c r="R557" s="2">
        <v>0</v>
      </c>
      <c r="AB557" s="2">
        <v>138.96</v>
      </c>
      <c r="AC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69.48</v>
      </c>
      <c r="AN557" s="2">
        <v>-69.48</v>
      </c>
      <c r="AO557" s="2">
        <v>-69.48</v>
      </c>
      <c r="AP557" s="2">
        <v>0</v>
      </c>
      <c r="AQ557" s="2">
        <v>0</v>
      </c>
    </row>
    <row r="558" spans="1:43" x14ac:dyDescent="0.3">
      <c r="A558" s="1">
        <v>46104</v>
      </c>
      <c r="B558" t="s">
        <v>778</v>
      </c>
      <c r="C558">
        <v>651818</v>
      </c>
      <c r="D558">
        <v>2032613369</v>
      </c>
      <c r="E558" t="s">
        <v>790</v>
      </c>
      <c r="F558" t="s">
        <v>341</v>
      </c>
      <c r="G558" t="s">
        <v>51</v>
      </c>
      <c r="I558" t="s">
        <v>250</v>
      </c>
      <c r="J558" t="s">
        <v>750</v>
      </c>
      <c r="K558">
        <v>651818</v>
      </c>
      <c r="L558" t="s">
        <v>96</v>
      </c>
      <c r="M558" t="s">
        <v>97</v>
      </c>
      <c r="N558" t="s">
        <v>271</v>
      </c>
      <c r="O558" s="1">
        <v>46023</v>
      </c>
      <c r="P558" s="1">
        <v>46104</v>
      </c>
      <c r="R558" s="2">
        <v>0</v>
      </c>
      <c r="AB558" s="2">
        <v>1208.76</v>
      </c>
      <c r="AC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604.38</v>
      </c>
      <c r="AN558" s="2">
        <v>-604.38</v>
      </c>
      <c r="AO558" s="2">
        <v>-604.38</v>
      </c>
      <c r="AP558" s="2">
        <v>0</v>
      </c>
      <c r="AQ558" s="2">
        <v>0</v>
      </c>
    </row>
    <row r="559" spans="1:43" x14ac:dyDescent="0.3">
      <c r="A559" s="1">
        <v>46104</v>
      </c>
      <c r="B559" t="s">
        <v>778</v>
      </c>
      <c r="C559">
        <v>753748</v>
      </c>
      <c r="D559">
        <v>2032667519</v>
      </c>
      <c r="E559" t="s">
        <v>791</v>
      </c>
      <c r="F559" t="s">
        <v>200</v>
      </c>
      <c r="G559" t="s">
        <v>51</v>
      </c>
      <c r="I559" t="s">
        <v>65</v>
      </c>
      <c r="J559" t="s">
        <v>71</v>
      </c>
      <c r="K559">
        <v>753748</v>
      </c>
      <c r="L559" t="s">
        <v>146</v>
      </c>
      <c r="M559" t="s">
        <v>116</v>
      </c>
      <c r="N559" t="s">
        <v>271</v>
      </c>
      <c r="O559" s="1">
        <v>46023</v>
      </c>
      <c r="P559" s="1">
        <v>46104</v>
      </c>
      <c r="R559" s="2">
        <v>0</v>
      </c>
      <c r="AB559" s="2">
        <v>817.38</v>
      </c>
      <c r="AC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408.69</v>
      </c>
      <c r="AN559" s="2">
        <v>-408.69</v>
      </c>
      <c r="AO559" s="2">
        <v>-408.69</v>
      </c>
      <c r="AP559" s="2">
        <v>0</v>
      </c>
      <c r="AQ559" s="2">
        <v>0</v>
      </c>
    </row>
    <row r="560" spans="1:43" x14ac:dyDescent="0.3">
      <c r="A560" s="1">
        <v>46104</v>
      </c>
      <c r="B560" t="s">
        <v>778</v>
      </c>
      <c r="C560">
        <v>753748</v>
      </c>
      <c r="D560">
        <v>2032667520</v>
      </c>
      <c r="E560" t="s">
        <v>791</v>
      </c>
      <c r="F560" t="s">
        <v>200</v>
      </c>
      <c r="G560" t="s">
        <v>51</v>
      </c>
      <c r="I560" t="s">
        <v>222</v>
      </c>
      <c r="J560" t="s">
        <v>223</v>
      </c>
      <c r="K560">
        <v>753748</v>
      </c>
      <c r="L560" t="s">
        <v>146</v>
      </c>
      <c r="M560" t="s">
        <v>116</v>
      </c>
      <c r="N560" t="s">
        <v>271</v>
      </c>
      <c r="O560" s="1">
        <v>46023</v>
      </c>
      <c r="P560" s="1">
        <v>46104</v>
      </c>
      <c r="R560" s="2">
        <v>0</v>
      </c>
      <c r="AB560" s="2">
        <v>601.20000000000005</v>
      </c>
      <c r="AC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300.60000000000002</v>
      </c>
      <c r="AN560" s="2">
        <v>-300.60000000000002</v>
      </c>
      <c r="AO560" s="2">
        <v>-300.60000000000002</v>
      </c>
      <c r="AP560" s="2">
        <v>0</v>
      </c>
      <c r="AQ560" s="2">
        <v>0</v>
      </c>
    </row>
    <row r="561" spans="1:48" x14ac:dyDescent="0.3">
      <c r="A561" s="1">
        <v>46104</v>
      </c>
      <c r="B561" t="s">
        <v>778</v>
      </c>
      <c r="C561">
        <v>649163</v>
      </c>
      <c r="D561">
        <v>2032903420</v>
      </c>
      <c r="E561" t="s">
        <v>710</v>
      </c>
      <c r="F561" t="s">
        <v>711</v>
      </c>
      <c r="G561" t="s">
        <v>51</v>
      </c>
      <c r="I561" t="s">
        <v>222</v>
      </c>
      <c r="J561" t="s">
        <v>228</v>
      </c>
      <c r="K561">
        <v>649163</v>
      </c>
      <c r="L561" t="s">
        <v>276</v>
      </c>
      <c r="M561" t="s">
        <v>277</v>
      </c>
      <c r="N561" t="s">
        <v>271</v>
      </c>
      <c r="O561" s="1">
        <v>46023</v>
      </c>
      <c r="P561" s="1">
        <v>46104</v>
      </c>
      <c r="R561" s="2">
        <v>0</v>
      </c>
      <c r="AB561" s="2">
        <v>107.1</v>
      </c>
      <c r="AC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53.55</v>
      </c>
      <c r="AN561" s="2">
        <v>-53.55</v>
      </c>
      <c r="AO561" s="2">
        <v>-53.55</v>
      </c>
      <c r="AP561" s="2">
        <v>0</v>
      </c>
      <c r="AQ561" s="2">
        <v>0</v>
      </c>
    </row>
    <row r="562" spans="1:48" x14ac:dyDescent="0.3">
      <c r="A562" s="1">
        <v>46104</v>
      </c>
      <c r="B562" t="s">
        <v>778</v>
      </c>
      <c r="C562">
        <v>649163</v>
      </c>
      <c r="D562">
        <v>2032910575</v>
      </c>
      <c r="E562" t="s">
        <v>383</v>
      </c>
      <c r="F562" t="s">
        <v>384</v>
      </c>
      <c r="G562" t="s">
        <v>51</v>
      </c>
      <c r="I562" t="s">
        <v>222</v>
      </c>
      <c r="J562" t="s">
        <v>223</v>
      </c>
      <c r="K562">
        <v>649163</v>
      </c>
      <c r="L562" t="s">
        <v>146</v>
      </c>
      <c r="M562" t="s">
        <v>116</v>
      </c>
      <c r="N562" t="s">
        <v>271</v>
      </c>
      <c r="O562" s="1">
        <v>46054</v>
      </c>
      <c r="P562" s="1">
        <v>46104</v>
      </c>
      <c r="R562" s="2">
        <v>0</v>
      </c>
      <c r="AB562" s="2">
        <v>196.2</v>
      </c>
      <c r="AC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65.400000000000006</v>
      </c>
      <c r="AN562" s="2">
        <v>-130.80000000000001</v>
      </c>
      <c r="AO562" s="2">
        <v>-130.80000000000001</v>
      </c>
      <c r="AP562" s="2">
        <v>0</v>
      </c>
      <c r="AQ562" s="2">
        <v>0</v>
      </c>
    </row>
    <row r="563" spans="1:48" x14ac:dyDescent="0.3">
      <c r="A563" s="1">
        <v>46104</v>
      </c>
      <c r="B563" t="s">
        <v>778</v>
      </c>
      <c r="C563">
        <v>649163</v>
      </c>
      <c r="D563">
        <v>2032910576</v>
      </c>
      <c r="E563" t="s">
        <v>383</v>
      </c>
      <c r="F563" t="s">
        <v>384</v>
      </c>
      <c r="G563" t="s">
        <v>51</v>
      </c>
      <c r="I563" t="s">
        <v>65</v>
      </c>
      <c r="J563" t="s">
        <v>66</v>
      </c>
      <c r="K563">
        <v>649163</v>
      </c>
      <c r="L563" t="s">
        <v>146</v>
      </c>
      <c r="M563" t="s">
        <v>116</v>
      </c>
      <c r="N563" t="s">
        <v>271</v>
      </c>
      <c r="O563" s="1">
        <v>46054</v>
      </c>
      <c r="P563" s="1">
        <v>46104</v>
      </c>
      <c r="R563" s="2">
        <v>0</v>
      </c>
      <c r="AB563" s="2">
        <v>664.8</v>
      </c>
      <c r="AC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221.6</v>
      </c>
      <c r="AN563" s="2">
        <v>-443.2</v>
      </c>
      <c r="AO563" s="2">
        <v>-443.2</v>
      </c>
      <c r="AP563" s="2">
        <v>0</v>
      </c>
      <c r="AQ563" s="2">
        <v>0</v>
      </c>
    </row>
    <row r="564" spans="1:48" x14ac:dyDescent="0.3">
      <c r="A564" s="1">
        <v>46104</v>
      </c>
      <c r="B564" t="s">
        <v>778</v>
      </c>
      <c r="C564">
        <v>649163</v>
      </c>
      <c r="D564">
        <v>2032910577</v>
      </c>
      <c r="E564" t="s">
        <v>383</v>
      </c>
      <c r="F564" t="s">
        <v>384</v>
      </c>
      <c r="G564" t="s">
        <v>51</v>
      </c>
      <c r="I564" t="s">
        <v>163</v>
      </c>
      <c r="J564" t="s">
        <v>164</v>
      </c>
      <c r="K564">
        <v>649163</v>
      </c>
      <c r="L564" t="s">
        <v>146</v>
      </c>
      <c r="M564" t="s">
        <v>116</v>
      </c>
      <c r="N564" t="s">
        <v>271</v>
      </c>
      <c r="O564" s="1">
        <v>46054</v>
      </c>
      <c r="P564" s="1">
        <v>46104</v>
      </c>
      <c r="R564" s="2">
        <v>0</v>
      </c>
      <c r="AB564" s="2">
        <v>176.94</v>
      </c>
      <c r="AC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58.98</v>
      </c>
      <c r="AN564" s="2">
        <v>-117.96</v>
      </c>
      <c r="AO564" s="2">
        <v>-117.96</v>
      </c>
      <c r="AP564" s="2">
        <v>0</v>
      </c>
      <c r="AQ564" s="2">
        <v>0</v>
      </c>
    </row>
    <row r="565" spans="1:48" x14ac:dyDescent="0.3">
      <c r="A565" s="1">
        <v>46104</v>
      </c>
      <c r="B565" t="s">
        <v>778</v>
      </c>
      <c r="C565">
        <v>649163</v>
      </c>
      <c r="D565">
        <v>2033569244</v>
      </c>
      <c r="E565" t="s">
        <v>728</v>
      </c>
      <c r="F565" t="s">
        <v>729</v>
      </c>
      <c r="G565" t="s">
        <v>51</v>
      </c>
      <c r="I565" t="s">
        <v>222</v>
      </c>
      <c r="J565" t="s">
        <v>224</v>
      </c>
      <c r="K565">
        <v>649163</v>
      </c>
      <c r="L565" t="s">
        <v>108</v>
      </c>
      <c r="M565" t="s">
        <v>109</v>
      </c>
      <c r="N565" t="s">
        <v>271</v>
      </c>
      <c r="O565" s="1">
        <v>46081</v>
      </c>
      <c r="P565" s="1">
        <v>46104</v>
      </c>
      <c r="R565" s="2">
        <v>0</v>
      </c>
      <c r="AB565" s="2">
        <v>124.44</v>
      </c>
      <c r="AC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20.74</v>
      </c>
      <c r="AN565" s="2">
        <v>-103.7</v>
      </c>
      <c r="AO565" s="2">
        <v>-103.7</v>
      </c>
      <c r="AP565" s="2">
        <v>0</v>
      </c>
      <c r="AQ565" s="2">
        <v>0</v>
      </c>
    </row>
    <row r="566" spans="1:48" x14ac:dyDescent="0.3">
      <c r="A566" s="1">
        <v>46104</v>
      </c>
      <c r="B566" t="s">
        <v>778</v>
      </c>
      <c r="C566">
        <v>649163</v>
      </c>
      <c r="D566">
        <v>2033569245</v>
      </c>
      <c r="E566" t="s">
        <v>728</v>
      </c>
      <c r="F566" t="s">
        <v>729</v>
      </c>
      <c r="G566" t="s">
        <v>51</v>
      </c>
      <c r="I566" t="s">
        <v>222</v>
      </c>
      <c r="J566" t="s">
        <v>227</v>
      </c>
      <c r="K566">
        <v>649163</v>
      </c>
      <c r="L566" t="s">
        <v>108</v>
      </c>
      <c r="M566" t="s">
        <v>109</v>
      </c>
      <c r="N566" t="s">
        <v>271</v>
      </c>
      <c r="O566" s="1">
        <v>46081</v>
      </c>
      <c r="P566" s="1">
        <v>46104</v>
      </c>
      <c r="R566" s="2">
        <v>0</v>
      </c>
      <c r="AB566" s="2">
        <v>103.38</v>
      </c>
      <c r="AC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17.23</v>
      </c>
      <c r="AN566" s="2">
        <v>-86.15</v>
      </c>
      <c r="AO566" s="2">
        <v>-86.15</v>
      </c>
      <c r="AP566" s="2">
        <v>0</v>
      </c>
      <c r="AQ566" s="2">
        <v>0</v>
      </c>
    </row>
    <row r="567" spans="1:48" x14ac:dyDescent="0.3">
      <c r="A567" s="1">
        <v>46104</v>
      </c>
      <c r="B567" t="s">
        <v>778</v>
      </c>
      <c r="C567">
        <v>649163</v>
      </c>
      <c r="D567">
        <v>2033900703</v>
      </c>
      <c r="E567" t="s">
        <v>419</v>
      </c>
      <c r="F567" t="s">
        <v>420</v>
      </c>
      <c r="G567" t="s">
        <v>51</v>
      </c>
      <c r="I567" t="s">
        <v>222</v>
      </c>
      <c r="J567" t="s">
        <v>223</v>
      </c>
      <c r="K567">
        <v>649163</v>
      </c>
      <c r="L567" t="s">
        <v>76</v>
      </c>
      <c r="M567" t="s">
        <v>77</v>
      </c>
      <c r="N567" t="s">
        <v>271</v>
      </c>
      <c r="O567" s="1">
        <v>46095</v>
      </c>
      <c r="P567" s="1">
        <v>46104</v>
      </c>
      <c r="R567" s="2">
        <v>0</v>
      </c>
      <c r="AB567" s="2">
        <v>439.74</v>
      </c>
      <c r="AC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73.290000000000006</v>
      </c>
      <c r="AN567" s="2">
        <v>-366.45</v>
      </c>
      <c r="AO567" s="2">
        <v>-366.45</v>
      </c>
      <c r="AP567" s="2">
        <v>0</v>
      </c>
      <c r="AQ567" s="2">
        <v>0</v>
      </c>
    </row>
    <row r="568" spans="1:48" x14ac:dyDescent="0.3">
      <c r="A568" s="1">
        <v>46104</v>
      </c>
      <c r="B568" t="s">
        <v>778</v>
      </c>
      <c r="C568">
        <v>649163</v>
      </c>
      <c r="D568">
        <v>2033900704</v>
      </c>
      <c r="E568" t="s">
        <v>419</v>
      </c>
      <c r="F568" t="s">
        <v>420</v>
      </c>
      <c r="G568" t="s">
        <v>51</v>
      </c>
      <c r="I568" t="s">
        <v>65</v>
      </c>
      <c r="J568" t="s">
        <v>66</v>
      </c>
      <c r="K568">
        <v>649163</v>
      </c>
      <c r="L568" t="s">
        <v>76</v>
      </c>
      <c r="M568" t="s">
        <v>77</v>
      </c>
      <c r="N568" t="s">
        <v>271</v>
      </c>
      <c r="O568" s="1">
        <v>46095</v>
      </c>
      <c r="P568" s="1">
        <v>46104</v>
      </c>
      <c r="R568" s="2">
        <v>0</v>
      </c>
      <c r="AB568" s="2">
        <v>186.24</v>
      </c>
      <c r="AC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31.04</v>
      </c>
      <c r="AN568" s="2">
        <v>-155.19999999999999</v>
      </c>
      <c r="AO568" s="2">
        <v>-155.19999999999999</v>
      </c>
      <c r="AP568" s="2">
        <v>0</v>
      </c>
      <c r="AQ568" s="2">
        <v>0</v>
      </c>
    </row>
    <row r="569" spans="1:48" x14ac:dyDescent="0.3">
      <c r="A569" s="1">
        <v>46104</v>
      </c>
      <c r="B569" t="s">
        <v>778</v>
      </c>
      <c r="C569">
        <v>649163</v>
      </c>
      <c r="D569">
        <v>2033900705</v>
      </c>
      <c r="E569" t="s">
        <v>419</v>
      </c>
      <c r="F569" t="s">
        <v>420</v>
      </c>
      <c r="G569" t="s">
        <v>51</v>
      </c>
      <c r="I569" t="s">
        <v>163</v>
      </c>
      <c r="J569" t="s">
        <v>164</v>
      </c>
      <c r="K569">
        <v>649163</v>
      </c>
      <c r="L569" t="s">
        <v>76</v>
      </c>
      <c r="M569" t="s">
        <v>77</v>
      </c>
      <c r="N569" t="s">
        <v>271</v>
      </c>
      <c r="O569" s="1">
        <v>46095</v>
      </c>
      <c r="P569" s="1">
        <v>46104</v>
      </c>
      <c r="R569" s="2">
        <v>0</v>
      </c>
      <c r="AB569" s="2">
        <v>179.94</v>
      </c>
      <c r="AC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29.99</v>
      </c>
      <c r="AN569" s="2">
        <v>-149.94999999999999</v>
      </c>
      <c r="AO569" s="2">
        <v>-149.94999999999999</v>
      </c>
      <c r="AP569" s="2">
        <v>0</v>
      </c>
      <c r="AQ569" s="2">
        <v>0</v>
      </c>
    </row>
    <row r="570" spans="1:48" ht="72" x14ac:dyDescent="0.3">
      <c r="A570" s="1">
        <v>46104</v>
      </c>
      <c r="B570" t="s">
        <v>792</v>
      </c>
      <c r="R570" s="2">
        <v>0</v>
      </c>
      <c r="W570" s="2">
        <v>0</v>
      </c>
      <c r="AB570" s="2">
        <v>0</v>
      </c>
      <c r="AC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-1040</v>
      </c>
      <c r="AO570" s="2">
        <v>1040</v>
      </c>
      <c r="AP570" s="2">
        <v>0</v>
      </c>
      <c r="AQ570" s="2">
        <v>0</v>
      </c>
      <c r="AR570" s="5" t="s">
        <v>793</v>
      </c>
      <c r="AS570" t="s">
        <v>794</v>
      </c>
      <c r="AT570" t="s">
        <v>262</v>
      </c>
      <c r="AU570" t="s">
        <v>61</v>
      </c>
      <c r="AV570" t="s">
        <v>61</v>
      </c>
    </row>
    <row r="571" spans="1:48" x14ac:dyDescent="0.3">
      <c r="A571" s="1">
        <v>46101</v>
      </c>
      <c r="B571" t="s">
        <v>792</v>
      </c>
      <c r="R571" s="2">
        <v>0</v>
      </c>
      <c r="W571" s="2">
        <v>0</v>
      </c>
      <c r="AB571" s="2">
        <v>0</v>
      </c>
      <c r="AC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71450</v>
      </c>
      <c r="AO571" s="2">
        <v>71450</v>
      </c>
      <c r="AP571" s="2">
        <v>0</v>
      </c>
      <c r="AQ571" s="2">
        <v>0</v>
      </c>
      <c r="AR571" t="s">
        <v>795</v>
      </c>
      <c r="AS571" t="s">
        <v>794</v>
      </c>
      <c r="AT571" t="s">
        <v>262</v>
      </c>
      <c r="AU571" t="s">
        <v>61</v>
      </c>
      <c r="AV57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778B-BF4F-4333-80A7-899B4C8EFE2A}">
  <dimension ref="A1:AD396"/>
  <sheetViews>
    <sheetView topLeftCell="D356" workbookViewId="0">
      <selection activeCell="J371" sqref="J371"/>
    </sheetView>
  </sheetViews>
  <sheetFormatPr defaultRowHeight="14.4" x14ac:dyDescent="0.3"/>
  <cols>
    <col min="1" max="1" width="11" bestFit="1" customWidth="1"/>
    <col min="2" max="2" width="12.21875" customWidth="1"/>
    <col min="3" max="3" width="10.33203125" customWidth="1"/>
    <col min="4" max="4" width="17.21875" bestFit="1" customWidth="1"/>
    <col min="5" max="5" width="5.5546875" bestFit="1" customWidth="1"/>
    <col min="6" max="6" width="12.21875" customWidth="1"/>
    <col min="7" max="7" width="22.44140625" customWidth="1"/>
    <col min="8" max="8" width="20.6640625" customWidth="1"/>
    <col min="9" max="9" width="11.5546875" customWidth="1"/>
    <col min="10" max="10" width="7.44140625" customWidth="1"/>
    <col min="11" max="11" width="6.88671875" customWidth="1"/>
    <col min="12" max="12" width="7.109375" customWidth="1"/>
    <col min="13" max="13" width="6.21875" customWidth="1"/>
    <col min="14" max="18" width="10.77734375" customWidth="1"/>
    <col min="19" max="19" width="8.5546875" customWidth="1"/>
    <col min="20" max="20" width="3.77734375" customWidth="1"/>
    <col min="21" max="21" width="5.6640625" customWidth="1"/>
    <col min="22" max="22" width="11.33203125" bestFit="1" customWidth="1"/>
    <col min="23" max="23" width="8.33203125" bestFit="1" customWidth="1"/>
    <col min="24" max="24" width="8.5546875" customWidth="1"/>
    <col min="25" max="25" width="13.6640625" bestFit="1" customWidth="1"/>
  </cols>
  <sheetData>
    <row r="1" spans="1:30" x14ac:dyDescent="0.3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S1" t="s">
        <v>17</v>
      </c>
      <c r="T1" t="s">
        <v>18</v>
      </c>
      <c r="U1" t="s">
        <v>19</v>
      </c>
      <c r="V1" t="s">
        <v>21</v>
      </c>
      <c r="W1" t="s">
        <v>24</v>
      </c>
      <c r="X1" t="s">
        <v>25</v>
      </c>
      <c r="Y1" t="s">
        <v>37</v>
      </c>
    </row>
    <row r="2" spans="1:30" x14ac:dyDescent="0.3">
      <c r="A2" s="6">
        <v>2033168106</v>
      </c>
      <c r="B2" s="6" t="s">
        <v>390</v>
      </c>
      <c r="C2" s="6" t="s">
        <v>391</v>
      </c>
      <c r="D2" s="6" t="str">
        <f t="shared" ref="D2:D65" si="0">_xlfn.CONCAT(C2," ",B2)</f>
        <v>SUZU NISHIOKA</v>
      </c>
      <c r="E2" s="6" t="s">
        <v>213</v>
      </c>
      <c r="F2" s="6" t="s">
        <v>65</v>
      </c>
      <c r="G2" s="6" t="s">
        <v>71</v>
      </c>
      <c r="H2" s="6" t="s">
        <v>796</v>
      </c>
      <c r="I2" s="9" t="s">
        <v>820</v>
      </c>
      <c r="J2" s="6" t="s">
        <v>392</v>
      </c>
      <c r="K2" s="6" t="s">
        <v>393</v>
      </c>
      <c r="L2" s="6" t="str">
        <f t="shared" ref="L2:L65" si="1">_xlfn.CONCAT(K2," ",J2)</f>
        <v>Raluca Cheregi</v>
      </c>
      <c r="M2" s="6" t="s">
        <v>57</v>
      </c>
      <c r="N2" s="7">
        <v>46053</v>
      </c>
      <c r="O2" s="7">
        <v>46109</v>
      </c>
      <c r="P2" s="6">
        <f t="shared" ref="P2:P65" si="2">DATEDIF(N2,O2,"M")</f>
        <v>1</v>
      </c>
      <c r="Q2" s="7" t="s">
        <v>261</v>
      </c>
      <c r="R2" s="7" t="s">
        <v>842</v>
      </c>
      <c r="S2" s="8">
        <v>-46</v>
      </c>
      <c r="T2" s="6">
        <v>1</v>
      </c>
      <c r="U2" s="6" t="s">
        <v>58</v>
      </c>
      <c r="V2" s="11">
        <v>0.9</v>
      </c>
      <c r="W2" s="6" t="s">
        <v>60</v>
      </c>
      <c r="X2" s="6" t="s">
        <v>262</v>
      </c>
      <c r="Y2" s="8">
        <v>-41.4</v>
      </c>
      <c r="Z2" s="6"/>
      <c r="AA2" s="6"/>
      <c r="AB2" s="6"/>
      <c r="AC2" s="6"/>
      <c r="AD2" s="6"/>
    </row>
    <row r="3" spans="1:30" x14ac:dyDescent="0.3">
      <c r="A3" s="6">
        <v>2033168107</v>
      </c>
      <c r="B3" s="6" t="s">
        <v>390</v>
      </c>
      <c r="C3" s="6" t="s">
        <v>391</v>
      </c>
      <c r="D3" s="6" t="str">
        <f t="shared" si="0"/>
        <v>SUZU NISHIOKA</v>
      </c>
      <c r="E3" s="6" t="s">
        <v>213</v>
      </c>
      <c r="F3" s="6" t="s">
        <v>222</v>
      </c>
      <c r="G3" s="6" t="s">
        <v>223</v>
      </c>
      <c r="H3" s="6" t="s">
        <v>223</v>
      </c>
      <c r="I3" s="9" t="s">
        <v>820</v>
      </c>
      <c r="J3" s="6" t="s">
        <v>392</v>
      </c>
      <c r="K3" s="6" t="s">
        <v>393</v>
      </c>
      <c r="L3" s="6" t="str">
        <f t="shared" si="1"/>
        <v>Raluca Cheregi</v>
      </c>
      <c r="M3" s="6" t="s">
        <v>57</v>
      </c>
      <c r="N3" s="7">
        <v>46053</v>
      </c>
      <c r="O3" s="7">
        <v>46109</v>
      </c>
      <c r="P3" s="6">
        <f t="shared" si="2"/>
        <v>1</v>
      </c>
      <c r="Q3" s="7" t="s">
        <v>261</v>
      </c>
      <c r="R3" s="7" t="s">
        <v>842</v>
      </c>
      <c r="S3" s="8">
        <v>-36.1</v>
      </c>
      <c r="T3" s="6">
        <v>1</v>
      </c>
      <c r="U3" s="6" t="s">
        <v>58</v>
      </c>
      <c r="V3" s="11">
        <v>0.7</v>
      </c>
      <c r="W3" s="6" t="s">
        <v>60</v>
      </c>
      <c r="X3" s="6" t="s">
        <v>262</v>
      </c>
      <c r="Y3" s="8">
        <v>-25.27</v>
      </c>
      <c r="Z3" s="6"/>
      <c r="AA3" s="6"/>
      <c r="AB3" s="6"/>
      <c r="AC3" s="6"/>
      <c r="AD3" s="6"/>
    </row>
    <row r="4" spans="1:30" x14ac:dyDescent="0.3">
      <c r="A4" s="6">
        <v>2033957113</v>
      </c>
      <c r="B4" s="6" t="s">
        <v>153</v>
      </c>
      <c r="C4" s="6" t="s">
        <v>422</v>
      </c>
      <c r="D4" s="6" t="str">
        <f t="shared" si="0"/>
        <v>EUGENE PETRUNGARO</v>
      </c>
      <c r="E4" s="6" t="s">
        <v>64</v>
      </c>
      <c r="F4" s="6" t="s">
        <v>65</v>
      </c>
      <c r="G4" s="6" t="s">
        <v>71</v>
      </c>
      <c r="H4" s="6" t="s">
        <v>796</v>
      </c>
      <c r="I4" s="9" t="s">
        <v>802</v>
      </c>
      <c r="J4" s="6" t="s">
        <v>153</v>
      </c>
      <c r="K4" s="6" t="s">
        <v>154</v>
      </c>
      <c r="L4" s="6" t="str">
        <f t="shared" si="1"/>
        <v>ANDREA PETRUNGARO</v>
      </c>
      <c r="M4" s="6" t="s">
        <v>57</v>
      </c>
      <c r="N4" s="7">
        <v>46080</v>
      </c>
      <c r="O4" s="7">
        <v>46139</v>
      </c>
      <c r="P4" s="6">
        <f t="shared" si="2"/>
        <v>2</v>
      </c>
      <c r="Q4" s="7" t="s">
        <v>261</v>
      </c>
      <c r="R4" s="7" t="s">
        <v>842</v>
      </c>
      <c r="S4" s="8">
        <v>30.84</v>
      </c>
      <c r="T4" s="6">
        <v>1</v>
      </c>
      <c r="U4" s="6" t="s">
        <v>58</v>
      </c>
      <c r="V4" s="11">
        <v>0.9</v>
      </c>
      <c r="W4" s="6" t="s">
        <v>60</v>
      </c>
      <c r="X4" s="6" t="s">
        <v>262</v>
      </c>
      <c r="Y4" s="8">
        <v>27.76</v>
      </c>
      <c r="Z4" s="6"/>
      <c r="AA4" s="6"/>
      <c r="AB4" s="6"/>
      <c r="AC4" s="6"/>
      <c r="AD4" s="6"/>
    </row>
    <row r="5" spans="1:30" x14ac:dyDescent="0.3">
      <c r="A5" s="6">
        <v>2033957114</v>
      </c>
      <c r="B5" s="6" t="s">
        <v>153</v>
      </c>
      <c r="C5" s="6" t="s">
        <v>422</v>
      </c>
      <c r="D5" s="6" t="str">
        <f t="shared" si="0"/>
        <v>EUGENE PETRUNGARO</v>
      </c>
      <c r="E5" s="6" t="s">
        <v>64</v>
      </c>
      <c r="F5" s="6" t="s">
        <v>222</v>
      </c>
      <c r="G5" s="6" t="s">
        <v>223</v>
      </c>
      <c r="H5" s="6" t="s">
        <v>223</v>
      </c>
      <c r="I5" s="9" t="s">
        <v>802</v>
      </c>
      <c r="J5" s="6" t="s">
        <v>153</v>
      </c>
      <c r="K5" s="6" t="s">
        <v>154</v>
      </c>
      <c r="L5" s="6" t="str">
        <f t="shared" si="1"/>
        <v>ANDREA PETRUNGARO</v>
      </c>
      <c r="M5" s="6" t="s">
        <v>57</v>
      </c>
      <c r="N5" s="7">
        <v>46080</v>
      </c>
      <c r="O5" s="7">
        <v>46139</v>
      </c>
      <c r="P5" s="6">
        <f t="shared" si="2"/>
        <v>2</v>
      </c>
      <c r="Q5" s="7" t="s">
        <v>261</v>
      </c>
      <c r="R5" s="7" t="s">
        <v>842</v>
      </c>
      <c r="S5" s="8">
        <v>39.35</v>
      </c>
      <c r="T5" s="6">
        <v>1</v>
      </c>
      <c r="U5" s="6" t="s">
        <v>58</v>
      </c>
      <c r="V5" s="11">
        <v>0.7</v>
      </c>
      <c r="W5" s="6" t="s">
        <v>60</v>
      </c>
      <c r="X5" s="6" t="s">
        <v>262</v>
      </c>
      <c r="Y5" s="8">
        <v>27.54</v>
      </c>
      <c r="Z5" s="6"/>
      <c r="AA5" s="6"/>
      <c r="AB5" s="6"/>
      <c r="AC5" s="6"/>
      <c r="AD5" s="6"/>
    </row>
    <row r="6" spans="1:30" s="6" customFormat="1" x14ac:dyDescent="0.3">
      <c r="A6" s="6">
        <v>2033916971</v>
      </c>
      <c r="B6" s="6" t="s">
        <v>173</v>
      </c>
      <c r="C6" s="6" t="s">
        <v>421</v>
      </c>
      <c r="D6" s="6" t="str">
        <f t="shared" si="0"/>
        <v>CARMYIA SCOTT</v>
      </c>
      <c r="E6" s="6" t="s">
        <v>103</v>
      </c>
      <c r="F6" s="6" t="s">
        <v>222</v>
      </c>
      <c r="G6" s="6" t="s">
        <v>227</v>
      </c>
      <c r="H6" s="6" t="s">
        <v>590</v>
      </c>
      <c r="I6" s="9" t="s">
        <v>805</v>
      </c>
      <c r="J6" s="6" t="s">
        <v>108</v>
      </c>
      <c r="K6" s="6" t="s">
        <v>109</v>
      </c>
      <c r="L6" s="6" t="str">
        <f t="shared" si="1"/>
        <v>Brittany Oliver</v>
      </c>
      <c r="M6" s="6" t="s">
        <v>57</v>
      </c>
      <c r="N6" s="7">
        <v>46079</v>
      </c>
      <c r="O6" s="7">
        <v>46138</v>
      </c>
      <c r="P6" s="6">
        <f t="shared" si="2"/>
        <v>2</v>
      </c>
      <c r="Q6" s="7" t="s">
        <v>261</v>
      </c>
      <c r="R6" s="7" t="s">
        <v>842</v>
      </c>
      <c r="S6" s="8">
        <v>24.61</v>
      </c>
      <c r="T6" s="6">
        <v>1</v>
      </c>
      <c r="U6" s="6" t="s">
        <v>58</v>
      </c>
      <c r="V6" s="11">
        <v>0.7</v>
      </c>
      <c r="W6" s="6" t="s">
        <v>60</v>
      </c>
      <c r="X6" s="6" t="s">
        <v>262</v>
      </c>
      <c r="Y6" s="8">
        <v>17.23</v>
      </c>
    </row>
    <row r="7" spans="1:30" s="6" customFormat="1" x14ac:dyDescent="0.3">
      <c r="A7" s="6">
        <v>2033916972</v>
      </c>
      <c r="B7" s="6" t="s">
        <v>173</v>
      </c>
      <c r="C7" s="6" t="s">
        <v>421</v>
      </c>
      <c r="D7" s="6" t="str">
        <f t="shared" si="0"/>
        <v>CARMYIA SCOTT</v>
      </c>
      <c r="E7" s="6" t="s">
        <v>103</v>
      </c>
      <c r="F7" s="6" t="s">
        <v>65</v>
      </c>
      <c r="G7" s="6" t="s">
        <v>71</v>
      </c>
      <c r="H7" s="6" t="s">
        <v>796</v>
      </c>
      <c r="I7" s="9" t="s">
        <v>805</v>
      </c>
      <c r="J7" s="6" t="s">
        <v>108</v>
      </c>
      <c r="K7" s="6" t="s">
        <v>109</v>
      </c>
      <c r="L7" s="6" t="str">
        <f t="shared" si="1"/>
        <v>Brittany Oliver</v>
      </c>
      <c r="M7" s="6" t="s">
        <v>57</v>
      </c>
      <c r="N7" s="7">
        <v>46079</v>
      </c>
      <c r="O7" s="7">
        <v>46138</v>
      </c>
      <c r="P7" s="6">
        <f t="shared" si="2"/>
        <v>2</v>
      </c>
      <c r="Q7" s="7" t="s">
        <v>261</v>
      </c>
      <c r="R7" s="7" t="s">
        <v>842</v>
      </c>
      <c r="S7" s="8">
        <v>17.8</v>
      </c>
      <c r="T7" s="6">
        <v>1</v>
      </c>
      <c r="U7" s="6" t="s">
        <v>58</v>
      </c>
      <c r="V7" s="11">
        <v>0.9</v>
      </c>
      <c r="W7" s="6" t="s">
        <v>60</v>
      </c>
      <c r="X7" s="6" t="s">
        <v>262</v>
      </c>
      <c r="Y7" s="8">
        <v>16.02</v>
      </c>
    </row>
    <row r="8" spans="1:30" s="6" customFormat="1" x14ac:dyDescent="0.3">
      <c r="A8" s="6">
        <v>2033916973</v>
      </c>
      <c r="B8" s="6" t="s">
        <v>173</v>
      </c>
      <c r="C8" s="6" t="s">
        <v>421</v>
      </c>
      <c r="D8" s="6" t="str">
        <f t="shared" si="0"/>
        <v>CARMYIA SCOTT</v>
      </c>
      <c r="E8" s="6" t="s">
        <v>103</v>
      </c>
      <c r="F8" s="6" t="s">
        <v>222</v>
      </c>
      <c r="G8" s="6" t="s">
        <v>228</v>
      </c>
      <c r="H8" s="6" t="s">
        <v>228</v>
      </c>
      <c r="I8" s="9" t="s">
        <v>805</v>
      </c>
      <c r="J8" s="6" t="s">
        <v>108</v>
      </c>
      <c r="K8" s="6" t="s">
        <v>109</v>
      </c>
      <c r="L8" s="6" t="str">
        <f t="shared" si="1"/>
        <v>Brittany Oliver</v>
      </c>
      <c r="M8" s="6" t="s">
        <v>57</v>
      </c>
      <c r="N8" s="7">
        <v>46079</v>
      </c>
      <c r="O8" s="7">
        <v>46138</v>
      </c>
      <c r="P8" s="6">
        <f t="shared" si="2"/>
        <v>2</v>
      </c>
      <c r="Q8" s="7" t="s">
        <v>261</v>
      </c>
      <c r="R8" s="7" t="s">
        <v>842</v>
      </c>
      <c r="S8" s="8">
        <v>21.08</v>
      </c>
      <c r="T8" s="6">
        <v>1</v>
      </c>
      <c r="U8" s="6" t="s">
        <v>58</v>
      </c>
      <c r="V8" s="11">
        <v>0.42</v>
      </c>
      <c r="W8" s="6" t="s">
        <v>60</v>
      </c>
      <c r="X8" s="6" t="s">
        <v>262</v>
      </c>
      <c r="Y8" s="8">
        <v>8.85</v>
      </c>
    </row>
    <row r="9" spans="1:30" s="6" customFormat="1" x14ac:dyDescent="0.3">
      <c r="A9" s="6">
        <v>2033859752</v>
      </c>
      <c r="B9" s="6" t="s">
        <v>416</v>
      </c>
      <c r="C9" s="6" t="s">
        <v>417</v>
      </c>
      <c r="D9" s="6" t="str">
        <f t="shared" si="0"/>
        <v>ROBERTO BONILLA</v>
      </c>
      <c r="E9" s="6" t="s">
        <v>418</v>
      </c>
      <c r="F9" s="6" t="s">
        <v>65</v>
      </c>
      <c r="G9" s="6" t="s">
        <v>71</v>
      </c>
      <c r="H9" s="6" t="s">
        <v>796</v>
      </c>
      <c r="I9" s="9" t="s">
        <v>805</v>
      </c>
      <c r="J9" s="6" t="s">
        <v>108</v>
      </c>
      <c r="K9" s="6" t="s">
        <v>109</v>
      </c>
      <c r="L9" s="6" t="str">
        <f t="shared" si="1"/>
        <v>Brittany Oliver</v>
      </c>
      <c r="M9" s="6" t="s">
        <v>57</v>
      </c>
      <c r="N9" s="7">
        <v>46078</v>
      </c>
      <c r="O9" s="7">
        <v>46137</v>
      </c>
      <c r="P9" s="6">
        <f t="shared" si="2"/>
        <v>2</v>
      </c>
      <c r="Q9" s="7" t="s">
        <v>261</v>
      </c>
      <c r="R9" s="7" t="s">
        <v>842</v>
      </c>
      <c r="S9" s="8">
        <v>30.05</v>
      </c>
      <c r="T9" s="6">
        <v>1</v>
      </c>
      <c r="U9" s="6" t="s">
        <v>58</v>
      </c>
      <c r="V9" s="11">
        <v>0.9</v>
      </c>
      <c r="W9" s="6" t="s">
        <v>60</v>
      </c>
      <c r="X9" s="6" t="s">
        <v>262</v>
      </c>
      <c r="Y9" s="8">
        <v>27.04</v>
      </c>
    </row>
    <row r="10" spans="1:30" s="6" customFormat="1" x14ac:dyDescent="0.3">
      <c r="A10" s="6">
        <v>2033859751</v>
      </c>
      <c r="B10" s="6" t="s">
        <v>416</v>
      </c>
      <c r="C10" s="6" t="s">
        <v>417</v>
      </c>
      <c r="D10" s="6" t="str">
        <f t="shared" si="0"/>
        <v>ROBERTO BONILLA</v>
      </c>
      <c r="E10" s="6" t="s">
        <v>418</v>
      </c>
      <c r="F10" s="6" t="s">
        <v>163</v>
      </c>
      <c r="G10" s="6" t="s">
        <v>164</v>
      </c>
      <c r="H10" s="6" t="s">
        <v>164</v>
      </c>
      <c r="I10" s="9" t="s">
        <v>805</v>
      </c>
      <c r="J10" s="6" t="s">
        <v>108</v>
      </c>
      <c r="K10" s="6" t="s">
        <v>109</v>
      </c>
      <c r="L10" s="6" t="str">
        <f t="shared" si="1"/>
        <v>Brittany Oliver</v>
      </c>
      <c r="M10" s="6" t="s">
        <v>57</v>
      </c>
      <c r="N10" s="7">
        <v>46078</v>
      </c>
      <c r="O10" s="7">
        <v>46137</v>
      </c>
      <c r="P10" s="6">
        <f t="shared" si="2"/>
        <v>2</v>
      </c>
      <c r="Q10" s="7" t="s">
        <v>261</v>
      </c>
      <c r="R10" s="7" t="s">
        <v>842</v>
      </c>
      <c r="S10" s="8">
        <v>45.73</v>
      </c>
      <c r="T10" s="6">
        <v>1</v>
      </c>
      <c r="U10" s="6" t="s">
        <v>58</v>
      </c>
      <c r="V10" s="12">
        <v>0.375</v>
      </c>
      <c r="W10" s="6" t="s">
        <v>60</v>
      </c>
      <c r="X10" s="6" t="s">
        <v>262</v>
      </c>
      <c r="Y10" s="8">
        <v>17.149999999999999</v>
      </c>
    </row>
    <row r="11" spans="1:30" s="6" customFormat="1" x14ac:dyDescent="0.3">
      <c r="A11" s="6">
        <v>2033798485</v>
      </c>
      <c r="B11" s="6" t="s">
        <v>409</v>
      </c>
      <c r="C11" s="6" t="s">
        <v>410</v>
      </c>
      <c r="D11" s="6" t="str">
        <f t="shared" si="0"/>
        <v>ETIN TABREY</v>
      </c>
      <c r="E11" s="6" t="s">
        <v>103</v>
      </c>
      <c r="F11" s="6" t="s">
        <v>65</v>
      </c>
      <c r="G11" s="6" t="s">
        <v>71</v>
      </c>
      <c r="H11" s="6" t="s">
        <v>796</v>
      </c>
      <c r="I11" s="9" t="s">
        <v>805</v>
      </c>
      <c r="J11" s="6" t="s">
        <v>108</v>
      </c>
      <c r="K11" s="6" t="s">
        <v>109</v>
      </c>
      <c r="L11" s="6" t="str">
        <f t="shared" si="1"/>
        <v>Brittany Oliver</v>
      </c>
      <c r="M11" s="6" t="s">
        <v>57</v>
      </c>
      <c r="N11" s="7">
        <v>46075</v>
      </c>
      <c r="O11" s="7">
        <v>46134</v>
      </c>
      <c r="P11" s="6">
        <f t="shared" si="2"/>
        <v>2</v>
      </c>
      <c r="Q11" s="7" t="s">
        <v>261</v>
      </c>
      <c r="R11" s="7" t="s">
        <v>842</v>
      </c>
      <c r="S11" s="8">
        <v>60.25</v>
      </c>
      <c r="T11" s="6">
        <v>1</v>
      </c>
      <c r="U11" s="6" t="s">
        <v>58</v>
      </c>
      <c r="V11" s="11">
        <v>0.9</v>
      </c>
      <c r="W11" s="6" t="s">
        <v>60</v>
      </c>
      <c r="X11" s="6" t="s">
        <v>262</v>
      </c>
      <c r="Y11" s="8">
        <v>54.22</v>
      </c>
    </row>
    <row r="12" spans="1:30" s="6" customFormat="1" x14ac:dyDescent="0.3">
      <c r="A12" s="6">
        <v>2033782855</v>
      </c>
      <c r="B12" s="6" t="s">
        <v>407</v>
      </c>
      <c r="C12" s="6" t="s">
        <v>408</v>
      </c>
      <c r="D12" s="6" t="str">
        <f t="shared" si="0"/>
        <v>TAYSHAUN FULTON-POWELL</v>
      </c>
      <c r="E12" s="6" t="s">
        <v>103</v>
      </c>
      <c r="F12" s="6" t="s">
        <v>222</v>
      </c>
      <c r="G12" s="6" t="s">
        <v>227</v>
      </c>
      <c r="H12" s="6" t="s">
        <v>590</v>
      </c>
      <c r="I12" s="9" t="s">
        <v>805</v>
      </c>
      <c r="J12" s="6" t="s">
        <v>108</v>
      </c>
      <c r="K12" s="6" t="s">
        <v>109</v>
      </c>
      <c r="L12" s="6" t="str">
        <f t="shared" si="1"/>
        <v>Brittany Oliver</v>
      </c>
      <c r="M12" s="6" t="s">
        <v>57</v>
      </c>
      <c r="N12" s="7">
        <v>46074</v>
      </c>
      <c r="O12" s="7">
        <v>46133</v>
      </c>
      <c r="P12" s="6">
        <f t="shared" si="2"/>
        <v>2</v>
      </c>
      <c r="Q12" s="7" t="s">
        <v>261</v>
      </c>
      <c r="R12" s="7" t="s">
        <v>842</v>
      </c>
      <c r="S12" s="8">
        <v>24.61</v>
      </c>
      <c r="T12" s="6">
        <v>1</v>
      </c>
      <c r="U12" s="6" t="s">
        <v>58</v>
      </c>
      <c r="V12" s="11">
        <v>0.7</v>
      </c>
      <c r="W12" s="6" t="s">
        <v>60</v>
      </c>
      <c r="X12" s="6" t="s">
        <v>262</v>
      </c>
      <c r="Y12" s="8">
        <v>17.23</v>
      </c>
    </row>
    <row r="13" spans="1:30" s="6" customFormat="1" x14ac:dyDescent="0.3">
      <c r="A13" s="6">
        <v>2033782856</v>
      </c>
      <c r="B13" s="6" t="s">
        <v>407</v>
      </c>
      <c r="C13" s="6" t="s">
        <v>408</v>
      </c>
      <c r="D13" s="6" t="str">
        <f t="shared" si="0"/>
        <v>TAYSHAUN FULTON-POWELL</v>
      </c>
      <c r="E13" s="6" t="s">
        <v>103</v>
      </c>
      <c r="F13" s="6" t="s">
        <v>65</v>
      </c>
      <c r="G13" s="6" t="s">
        <v>71</v>
      </c>
      <c r="H13" s="6" t="s">
        <v>796</v>
      </c>
      <c r="I13" s="9" t="s">
        <v>805</v>
      </c>
      <c r="J13" s="6" t="s">
        <v>108</v>
      </c>
      <c r="K13" s="6" t="s">
        <v>109</v>
      </c>
      <c r="L13" s="6" t="str">
        <f t="shared" si="1"/>
        <v>Brittany Oliver</v>
      </c>
      <c r="M13" s="6" t="s">
        <v>57</v>
      </c>
      <c r="N13" s="7">
        <v>46074</v>
      </c>
      <c r="O13" s="7">
        <v>46133</v>
      </c>
      <c r="P13" s="6">
        <f t="shared" si="2"/>
        <v>2</v>
      </c>
      <c r="Q13" s="7" t="s">
        <v>261</v>
      </c>
      <c r="R13" s="7" t="s">
        <v>842</v>
      </c>
      <c r="S13" s="8">
        <v>20.059999999999999</v>
      </c>
      <c r="T13" s="6">
        <v>1</v>
      </c>
      <c r="U13" s="6" t="s">
        <v>58</v>
      </c>
      <c r="V13" s="11">
        <v>0.9</v>
      </c>
      <c r="W13" s="6" t="s">
        <v>60</v>
      </c>
      <c r="X13" s="6" t="s">
        <v>262</v>
      </c>
      <c r="Y13" s="8">
        <v>18.05</v>
      </c>
    </row>
    <row r="14" spans="1:30" s="6" customFormat="1" x14ac:dyDescent="0.3">
      <c r="A14" s="6">
        <v>2033782854</v>
      </c>
      <c r="B14" s="6" t="s">
        <v>407</v>
      </c>
      <c r="C14" s="6" t="s">
        <v>408</v>
      </c>
      <c r="D14" s="6" t="str">
        <f t="shared" si="0"/>
        <v>TAYSHAUN FULTON-POWELL</v>
      </c>
      <c r="E14" s="6" t="s">
        <v>103</v>
      </c>
      <c r="F14" s="6" t="s">
        <v>222</v>
      </c>
      <c r="G14" s="6" t="s">
        <v>228</v>
      </c>
      <c r="H14" s="6" t="s">
        <v>228</v>
      </c>
      <c r="I14" s="9" t="s">
        <v>805</v>
      </c>
      <c r="J14" s="6" t="s">
        <v>108</v>
      </c>
      <c r="K14" s="6" t="s">
        <v>109</v>
      </c>
      <c r="L14" s="6" t="str">
        <f t="shared" si="1"/>
        <v>Brittany Oliver</v>
      </c>
      <c r="M14" s="6" t="s">
        <v>57</v>
      </c>
      <c r="N14" s="7">
        <v>46074</v>
      </c>
      <c r="O14" s="7">
        <v>46133</v>
      </c>
      <c r="P14" s="6">
        <f t="shared" si="2"/>
        <v>2</v>
      </c>
      <c r="Q14" s="7" t="s">
        <v>261</v>
      </c>
      <c r="R14" s="7" t="s">
        <v>842</v>
      </c>
      <c r="S14" s="8">
        <v>25.25</v>
      </c>
      <c r="T14" s="6">
        <v>1</v>
      </c>
      <c r="U14" s="6" t="s">
        <v>58</v>
      </c>
      <c r="V14" s="11">
        <v>0.42</v>
      </c>
      <c r="W14" s="6" t="s">
        <v>60</v>
      </c>
      <c r="X14" s="6" t="s">
        <v>262</v>
      </c>
      <c r="Y14" s="8">
        <v>10.6</v>
      </c>
    </row>
    <row r="15" spans="1:30" s="6" customFormat="1" x14ac:dyDescent="0.3">
      <c r="A15" s="6">
        <v>2033791592</v>
      </c>
      <c r="B15" s="6" t="s">
        <v>736</v>
      </c>
      <c r="C15" s="6" t="s">
        <v>737</v>
      </c>
      <c r="D15" s="6" t="str">
        <f t="shared" si="0"/>
        <v>GWENDOLYN GEOHAGHAN</v>
      </c>
      <c r="E15" s="6" t="s">
        <v>103</v>
      </c>
      <c r="F15" s="6" t="s">
        <v>222</v>
      </c>
      <c r="G15" s="6" t="s">
        <v>228</v>
      </c>
      <c r="H15" s="6" t="s">
        <v>228</v>
      </c>
      <c r="I15" s="9" t="s">
        <v>805</v>
      </c>
      <c r="J15" s="6" t="s">
        <v>108</v>
      </c>
      <c r="K15" s="6" t="s">
        <v>109</v>
      </c>
      <c r="L15" s="6" t="str">
        <f t="shared" si="1"/>
        <v>Brittany Oliver</v>
      </c>
      <c r="M15" s="6" t="s">
        <v>57</v>
      </c>
      <c r="N15" s="7">
        <v>46074</v>
      </c>
      <c r="O15" s="7">
        <v>46133</v>
      </c>
      <c r="P15" s="6">
        <f t="shared" si="2"/>
        <v>2</v>
      </c>
      <c r="Q15" s="7" t="s">
        <v>261</v>
      </c>
      <c r="R15" s="7" t="s">
        <v>842</v>
      </c>
      <c r="S15" s="8">
        <v>45.36</v>
      </c>
      <c r="T15" s="6">
        <v>1</v>
      </c>
      <c r="U15" s="6" t="s">
        <v>58</v>
      </c>
      <c r="V15" s="11">
        <v>0.42</v>
      </c>
      <c r="W15" s="6" t="s">
        <v>60</v>
      </c>
      <c r="X15" s="6" t="s">
        <v>262</v>
      </c>
      <c r="Y15" s="8">
        <v>19.05</v>
      </c>
    </row>
    <row r="16" spans="1:30" s="6" customFormat="1" x14ac:dyDescent="0.3">
      <c r="A16" s="6">
        <v>2033754844</v>
      </c>
      <c r="B16" s="6" t="s">
        <v>469</v>
      </c>
      <c r="C16" s="6" t="s">
        <v>470</v>
      </c>
      <c r="D16" s="6" t="str">
        <f t="shared" si="0"/>
        <v>JOSH BAXTER</v>
      </c>
      <c r="E16" s="6" t="s">
        <v>64</v>
      </c>
      <c r="F16" s="6" t="s">
        <v>220</v>
      </c>
      <c r="G16" s="6" t="s">
        <v>568</v>
      </c>
      <c r="H16" s="6" t="s">
        <v>568</v>
      </c>
      <c r="I16" s="9" t="s">
        <v>826</v>
      </c>
      <c r="J16" s="6" t="s">
        <v>438</v>
      </c>
      <c r="K16" s="6" t="s">
        <v>439</v>
      </c>
      <c r="L16" s="6" t="str">
        <f t="shared" si="1"/>
        <v>Dale Walenga</v>
      </c>
      <c r="M16" s="6" t="s">
        <v>57</v>
      </c>
      <c r="N16" s="7">
        <v>46073</v>
      </c>
      <c r="O16" s="7">
        <v>46132</v>
      </c>
      <c r="P16" s="6">
        <f t="shared" si="2"/>
        <v>2</v>
      </c>
      <c r="Q16" s="7" t="s">
        <v>261</v>
      </c>
      <c r="R16" s="7" t="s">
        <v>842</v>
      </c>
      <c r="S16" s="8">
        <v>131.32</v>
      </c>
      <c r="T16" s="6">
        <v>1</v>
      </c>
      <c r="U16" s="6" t="s">
        <v>58</v>
      </c>
      <c r="V16" s="11">
        <v>0.38</v>
      </c>
      <c r="W16" s="6" t="s">
        <v>60</v>
      </c>
      <c r="X16" s="6" t="s">
        <v>262</v>
      </c>
      <c r="Y16" s="8">
        <v>49.9</v>
      </c>
    </row>
    <row r="17" spans="1:30" s="6" customFormat="1" x14ac:dyDescent="0.3">
      <c r="A17" s="6">
        <v>2033754846</v>
      </c>
      <c r="B17" s="6" t="s">
        <v>469</v>
      </c>
      <c r="C17" s="6" t="s">
        <v>470</v>
      </c>
      <c r="D17" s="6" t="str">
        <f t="shared" si="0"/>
        <v>JOSH BAXTER</v>
      </c>
      <c r="E17" s="6" t="s">
        <v>64</v>
      </c>
      <c r="F17" s="6" t="s">
        <v>157</v>
      </c>
      <c r="G17" s="6" t="s">
        <v>437</v>
      </c>
      <c r="H17" s="6" t="s">
        <v>437</v>
      </c>
      <c r="I17" s="9" t="s">
        <v>826</v>
      </c>
      <c r="J17" s="6" t="s">
        <v>438</v>
      </c>
      <c r="K17" s="6" t="s">
        <v>439</v>
      </c>
      <c r="L17" s="6" t="str">
        <f t="shared" si="1"/>
        <v>Dale Walenga</v>
      </c>
      <c r="M17" s="6" t="s">
        <v>57</v>
      </c>
      <c r="N17" s="7">
        <v>46073</v>
      </c>
      <c r="O17" s="7">
        <v>46132</v>
      </c>
      <c r="P17" s="6">
        <f t="shared" si="2"/>
        <v>2</v>
      </c>
      <c r="Q17" s="7" t="s">
        <v>261</v>
      </c>
      <c r="R17" s="7" t="s">
        <v>842</v>
      </c>
      <c r="S17" s="8">
        <v>15</v>
      </c>
      <c r="T17" s="6">
        <v>1</v>
      </c>
      <c r="U17" s="6" t="s">
        <v>58</v>
      </c>
      <c r="V17" s="11">
        <v>0.38</v>
      </c>
      <c r="W17" s="6" t="s">
        <v>60</v>
      </c>
      <c r="X17" s="6" t="s">
        <v>262</v>
      </c>
      <c r="Y17" s="8">
        <v>5.7</v>
      </c>
    </row>
    <row r="18" spans="1:30" s="6" customFormat="1" x14ac:dyDescent="0.3">
      <c r="A18" s="6">
        <v>2033754845</v>
      </c>
      <c r="B18" s="6" t="s">
        <v>469</v>
      </c>
      <c r="C18" s="6" t="s">
        <v>470</v>
      </c>
      <c r="D18" s="6" t="str">
        <f t="shared" si="0"/>
        <v>JOSH BAXTER</v>
      </c>
      <c r="E18" s="6" t="s">
        <v>64</v>
      </c>
      <c r="F18" s="6" t="s">
        <v>157</v>
      </c>
      <c r="G18" s="6" t="s">
        <v>471</v>
      </c>
      <c r="H18" s="6" t="s">
        <v>437</v>
      </c>
      <c r="I18" s="9" t="s">
        <v>826</v>
      </c>
      <c r="J18" s="6" t="s">
        <v>438</v>
      </c>
      <c r="K18" s="6" t="s">
        <v>439</v>
      </c>
      <c r="L18" s="6" t="str">
        <f t="shared" si="1"/>
        <v>Dale Walenga</v>
      </c>
      <c r="M18" s="6" t="s">
        <v>57</v>
      </c>
      <c r="N18" s="7">
        <v>46073</v>
      </c>
      <c r="O18" s="7">
        <v>46132</v>
      </c>
      <c r="P18" s="6">
        <f t="shared" si="2"/>
        <v>2</v>
      </c>
      <c r="Q18" s="7" t="s">
        <v>261</v>
      </c>
      <c r="R18" s="7" t="s">
        <v>842</v>
      </c>
      <c r="S18" s="8">
        <v>26.83</v>
      </c>
      <c r="T18" s="6">
        <v>1</v>
      </c>
      <c r="U18" s="6" t="s">
        <v>58</v>
      </c>
      <c r="V18" s="11">
        <v>0.38</v>
      </c>
      <c r="W18" s="6" t="s">
        <v>60</v>
      </c>
      <c r="X18" s="6" t="s">
        <v>262</v>
      </c>
      <c r="Y18" s="8">
        <v>10.199999999999999</v>
      </c>
    </row>
    <row r="19" spans="1:30" s="6" customFormat="1" x14ac:dyDescent="0.3">
      <c r="A19" s="6">
        <v>2033881170</v>
      </c>
      <c r="B19" s="6" t="s">
        <v>474</v>
      </c>
      <c r="C19" s="6" t="s">
        <v>200</v>
      </c>
      <c r="D19" s="6" t="str">
        <f t="shared" si="0"/>
        <v>MICHAEL GRANT</v>
      </c>
      <c r="E19" s="6" t="s">
        <v>324</v>
      </c>
      <c r="F19" s="6" t="s">
        <v>157</v>
      </c>
      <c r="G19" s="6" t="s">
        <v>454</v>
      </c>
      <c r="H19" s="6" t="s">
        <v>454</v>
      </c>
      <c r="I19" s="9" t="s">
        <v>828</v>
      </c>
      <c r="J19" s="6" t="s">
        <v>475</v>
      </c>
      <c r="K19" s="6" t="s">
        <v>476</v>
      </c>
      <c r="L19" s="6" t="str">
        <f t="shared" si="1"/>
        <v>Danna Green</v>
      </c>
      <c r="M19" s="6" t="s">
        <v>57</v>
      </c>
      <c r="N19" s="7">
        <v>46078</v>
      </c>
      <c r="O19" s="7">
        <v>46137</v>
      </c>
      <c r="P19" s="6">
        <f t="shared" si="2"/>
        <v>2</v>
      </c>
      <c r="Q19" s="7" t="s">
        <v>261</v>
      </c>
      <c r="R19" s="7" t="s">
        <v>842</v>
      </c>
      <c r="S19" s="8">
        <v>15</v>
      </c>
      <c r="T19" s="6">
        <v>1</v>
      </c>
      <c r="U19" s="6" t="s">
        <v>58</v>
      </c>
      <c r="V19" s="11">
        <v>0.19</v>
      </c>
      <c r="W19" s="6" t="s">
        <v>60</v>
      </c>
      <c r="X19" s="6" t="s">
        <v>262</v>
      </c>
      <c r="Y19" s="8">
        <v>2.85</v>
      </c>
    </row>
    <row r="20" spans="1:30" s="6" customFormat="1" x14ac:dyDescent="0.3">
      <c r="A20" s="6">
        <v>2033881168</v>
      </c>
      <c r="B20" s="6" t="s">
        <v>474</v>
      </c>
      <c r="C20" s="6" t="s">
        <v>200</v>
      </c>
      <c r="D20" s="6" t="str">
        <f t="shared" si="0"/>
        <v>MICHAEL GRANT</v>
      </c>
      <c r="E20" s="6" t="s">
        <v>324</v>
      </c>
      <c r="F20" s="6" t="s">
        <v>250</v>
      </c>
      <c r="G20" s="6" t="s">
        <v>763</v>
      </c>
      <c r="H20" s="6" t="s">
        <v>753</v>
      </c>
      <c r="I20" s="9">
        <v>16849453</v>
      </c>
      <c r="J20" s="6" t="s">
        <v>475</v>
      </c>
      <c r="K20" s="6" t="s">
        <v>476</v>
      </c>
      <c r="L20" s="6" t="str">
        <f t="shared" si="1"/>
        <v>Danna Green</v>
      </c>
      <c r="M20" s="6" t="s">
        <v>57</v>
      </c>
      <c r="N20" s="7">
        <v>46078</v>
      </c>
      <c r="O20" s="7">
        <v>46137</v>
      </c>
      <c r="P20" s="6">
        <f t="shared" si="2"/>
        <v>2</v>
      </c>
      <c r="Q20" s="7" t="s">
        <v>261</v>
      </c>
      <c r="R20" s="7" t="s">
        <v>842</v>
      </c>
      <c r="S20" s="8">
        <v>899.13</v>
      </c>
      <c r="T20" s="6">
        <v>1</v>
      </c>
      <c r="U20" s="6" t="s">
        <v>58</v>
      </c>
      <c r="V20" s="11">
        <v>0.19</v>
      </c>
      <c r="W20" s="6" t="s">
        <v>60</v>
      </c>
      <c r="X20" s="6" t="s">
        <v>262</v>
      </c>
      <c r="Y20" s="8">
        <v>170.83</v>
      </c>
    </row>
    <row r="21" spans="1:30" s="6" customFormat="1" x14ac:dyDescent="0.3">
      <c r="A21" s="6">
        <v>2033881169</v>
      </c>
      <c r="B21" s="6" t="s">
        <v>474</v>
      </c>
      <c r="C21" s="6" t="s">
        <v>200</v>
      </c>
      <c r="D21" s="6" t="str">
        <f t="shared" si="0"/>
        <v>MICHAEL GRANT</v>
      </c>
      <c r="E21" s="6" t="s">
        <v>324</v>
      </c>
      <c r="F21" s="6" t="s">
        <v>222</v>
      </c>
      <c r="G21" s="6" t="s">
        <v>223</v>
      </c>
      <c r="H21" s="6" t="s">
        <v>223</v>
      </c>
      <c r="I21" s="9" t="s">
        <v>828</v>
      </c>
      <c r="J21" s="6" t="s">
        <v>475</v>
      </c>
      <c r="K21" s="6" t="s">
        <v>476</v>
      </c>
      <c r="L21" s="6" t="str">
        <f t="shared" si="1"/>
        <v>Danna Green</v>
      </c>
      <c r="M21" s="6" t="s">
        <v>57</v>
      </c>
      <c r="N21" s="7">
        <v>46078</v>
      </c>
      <c r="O21" s="7">
        <v>46137</v>
      </c>
      <c r="P21" s="6">
        <f t="shared" si="2"/>
        <v>2</v>
      </c>
      <c r="Q21" s="7" t="s">
        <v>261</v>
      </c>
      <c r="R21" s="7" t="s">
        <v>842</v>
      </c>
      <c r="S21" s="8">
        <v>15.18</v>
      </c>
      <c r="T21" s="6">
        <v>1</v>
      </c>
      <c r="U21" s="6" t="s">
        <v>58</v>
      </c>
      <c r="V21" s="11">
        <v>0.7</v>
      </c>
      <c r="W21" s="6" t="s">
        <v>60</v>
      </c>
      <c r="X21" s="6" t="s">
        <v>262</v>
      </c>
      <c r="Y21" s="8">
        <v>10.63</v>
      </c>
    </row>
    <row r="22" spans="1:30" s="6" customFormat="1" x14ac:dyDescent="0.3">
      <c r="A22" s="6">
        <v>2033802655</v>
      </c>
      <c r="B22" s="6" t="s">
        <v>411</v>
      </c>
      <c r="C22" s="6" t="s">
        <v>412</v>
      </c>
      <c r="D22" s="6" t="str">
        <f t="shared" si="0"/>
        <v>YAXANIRA WEISS</v>
      </c>
      <c r="E22" s="6" t="s">
        <v>86</v>
      </c>
      <c r="F22" s="6" t="s">
        <v>65</v>
      </c>
      <c r="G22" s="6" t="s">
        <v>66</v>
      </c>
      <c r="H22" s="6" t="s">
        <v>797</v>
      </c>
      <c r="I22" s="9" t="s">
        <v>823</v>
      </c>
      <c r="J22" s="6" t="s">
        <v>165</v>
      </c>
      <c r="K22" s="6" t="s">
        <v>166</v>
      </c>
      <c r="L22" s="6" t="str">
        <f t="shared" si="1"/>
        <v>Ines Berg</v>
      </c>
      <c r="M22" s="6" t="s">
        <v>57</v>
      </c>
      <c r="N22" s="7">
        <v>46075</v>
      </c>
      <c r="O22" s="7">
        <v>46134</v>
      </c>
      <c r="P22" s="6">
        <f t="shared" si="2"/>
        <v>2</v>
      </c>
      <c r="Q22" s="7" t="s">
        <v>261</v>
      </c>
      <c r="R22" s="7" t="s">
        <v>842</v>
      </c>
      <c r="S22" s="8">
        <v>27.4</v>
      </c>
      <c r="T22" s="6">
        <v>1</v>
      </c>
      <c r="U22" s="6" t="s">
        <v>58</v>
      </c>
      <c r="V22" s="11">
        <v>0.75</v>
      </c>
      <c r="W22" s="6" t="s">
        <v>60</v>
      </c>
      <c r="X22" s="6" t="s">
        <v>262</v>
      </c>
      <c r="Y22" s="8">
        <v>20.55</v>
      </c>
    </row>
    <row r="23" spans="1:30" s="6" customFormat="1" x14ac:dyDescent="0.3">
      <c r="A23" s="6">
        <v>2033802654</v>
      </c>
      <c r="B23" s="6" t="s">
        <v>411</v>
      </c>
      <c r="C23" s="6" t="s">
        <v>412</v>
      </c>
      <c r="D23" s="6" t="str">
        <f t="shared" si="0"/>
        <v>YAXANIRA WEISS</v>
      </c>
      <c r="E23" s="6" t="s">
        <v>86</v>
      </c>
      <c r="F23" s="6" t="s">
        <v>222</v>
      </c>
      <c r="G23" s="6" t="s">
        <v>223</v>
      </c>
      <c r="H23" s="6" t="s">
        <v>223</v>
      </c>
      <c r="I23" s="9" t="s">
        <v>823</v>
      </c>
      <c r="J23" s="6" t="s">
        <v>165</v>
      </c>
      <c r="K23" s="6" t="s">
        <v>166</v>
      </c>
      <c r="L23" s="6" t="str">
        <f t="shared" si="1"/>
        <v>Ines Berg</v>
      </c>
      <c r="M23" s="6" t="s">
        <v>57</v>
      </c>
      <c r="N23" s="7">
        <v>46075</v>
      </c>
      <c r="O23" s="7">
        <v>46134</v>
      </c>
      <c r="P23" s="6">
        <f t="shared" si="2"/>
        <v>2</v>
      </c>
      <c r="Q23" s="7" t="s">
        <v>261</v>
      </c>
      <c r="R23" s="7" t="s">
        <v>842</v>
      </c>
      <c r="S23" s="8">
        <v>20.07</v>
      </c>
      <c r="T23" s="6">
        <v>1</v>
      </c>
      <c r="U23" s="6" t="s">
        <v>58</v>
      </c>
      <c r="V23" s="11">
        <v>0.7</v>
      </c>
      <c r="W23" s="6" t="s">
        <v>60</v>
      </c>
      <c r="X23" s="6" t="s">
        <v>262</v>
      </c>
      <c r="Y23" s="8">
        <v>14.05</v>
      </c>
    </row>
    <row r="24" spans="1:30" s="6" customFormat="1" x14ac:dyDescent="0.3">
      <c r="A24" s="6">
        <v>2033401871</v>
      </c>
      <c r="B24" s="6" t="s">
        <v>557</v>
      </c>
      <c r="C24" s="6" t="s">
        <v>389</v>
      </c>
      <c r="D24" s="6" t="str">
        <f t="shared" si="0"/>
        <v>AMY DIDONNE</v>
      </c>
      <c r="E24" s="6" t="s">
        <v>86</v>
      </c>
      <c r="F24" s="6" t="s">
        <v>222</v>
      </c>
      <c r="G24" s="6" t="s">
        <v>223</v>
      </c>
      <c r="H24" s="6" t="s">
        <v>223</v>
      </c>
      <c r="I24" s="9" t="s">
        <v>823</v>
      </c>
      <c r="J24" s="6" t="s">
        <v>165</v>
      </c>
      <c r="K24" s="6" t="s">
        <v>166</v>
      </c>
      <c r="L24" s="6" t="str">
        <f t="shared" si="1"/>
        <v>Ines Berg</v>
      </c>
      <c r="M24" s="6" t="s">
        <v>57</v>
      </c>
      <c r="N24" s="7">
        <v>46054</v>
      </c>
      <c r="O24" s="7">
        <v>46113</v>
      </c>
      <c r="P24" s="6">
        <f t="shared" si="2"/>
        <v>2</v>
      </c>
      <c r="Q24" s="7" t="s">
        <v>261</v>
      </c>
      <c r="R24" s="7" t="s">
        <v>842</v>
      </c>
      <c r="S24" s="8">
        <v>19.100000000000001</v>
      </c>
      <c r="T24" s="6">
        <v>1</v>
      </c>
      <c r="U24" s="6" t="s">
        <v>58</v>
      </c>
      <c r="V24" s="11">
        <v>0.7</v>
      </c>
      <c r="W24" s="6" t="s">
        <v>60</v>
      </c>
      <c r="X24" s="6" t="s">
        <v>262</v>
      </c>
      <c r="Y24" s="8">
        <v>13.37</v>
      </c>
    </row>
    <row r="25" spans="1:30" x14ac:dyDescent="0.3">
      <c r="A25" s="6">
        <v>2033404742</v>
      </c>
      <c r="B25" s="6" t="s">
        <v>557</v>
      </c>
      <c r="C25" s="6" t="s">
        <v>558</v>
      </c>
      <c r="D25" s="6" t="str">
        <f t="shared" si="0"/>
        <v>ANGELA DIDONNE</v>
      </c>
      <c r="E25" s="6" t="s">
        <v>86</v>
      </c>
      <c r="F25" s="6" t="s">
        <v>222</v>
      </c>
      <c r="G25" s="6" t="s">
        <v>223</v>
      </c>
      <c r="H25" s="6" t="s">
        <v>223</v>
      </c>
      <c r="I25" s="9" t="s">
        <v>823</v>
      </c>
      <c r="J25" s="6" t="s">
        <v>165</v>
      </c>
      <c r="K25" s="6" t="s">
        <v>166</v>
      </c>
      <c r="L25" s="6" t="str">
        <f t="shared" si="1"/>
        <v>Ines Berg</v>
      </c>
      <c r="M25" s="6" t="s">
        <v>57</v>
      </c>
      <c r="N25" s="7">
        <v>46054</v>
      </c>
      <c r="O25" s="7">
        <v>46113</v>
      </c>
      <c r="P25" s="6">
        <f t="shared" si="2"/>
        <v>2</v>
      </c>
      <c r="Q25" s="7" t="s">
        <v>261</v>
      </c>
      <c r="R25" s="7" t="s">
        <v>842</v>
      </c>
      <c r="S25" s="8">
        <v>19.100000000000001</v>
      </c>
      <c r="T25" s="6">
        <v>1</v>
      </c>
      <c r="U25" s="6" t="s">
        <v>58</v>
      </c>
      <c r="V25" s="11">
        <v>0.7</v>
      </c>
      <c r="W25" s="6" t="s">
        <v>60</v>
      </c>
      <c r="X25" s="6" t="s">
        <v>262</v>
      </c>
      <c r="Y25" s="8">
        <v>13.37</v>
      </c>
      <c r="Z25" s="6"/>
      <c r="AA25" s="6"/>
      <c r="AB25" s="6"/>
      <c r="AC25" s="6"/>
      <c r="AD25" s="6"/>
    </row>
    <row r="26" spans="1:30" s="6" customFormat="1" x14ac:dyDescent="0.3">
      <c r="A26" s="6">
        <v>2033406248</v>
      </c>
      <c r="B26" s="6" t="s">
        <v>559</v>
      </c>
      <c r="C26" s="6" t="s">
        <v>560</v>
      </c>
      <c r="D26" s="6" t="str">
        <f t="shared" si="0"/>
        <v>AMLIZ RIVERA</v>
      </c>
      <c r="E26" s="6" t="s">
        <v>86</v>
      </c>
      <c r="F26" s="6" t="s">
        <v>222</v>
      </c>
      <c r="G26" s="6" t="s">
        <v>223</v>
      </c>
      <c r="H26" s="6" t="s">
        <v>223</v>
      </c>
      <c r="I26" s="9" t="s">
        <v>823</v>
      </c>
      <c r="J26" s="6" t="s">
        <v>165</v>
      </c>
      <c r="K26" s="6" t="s">
        <v>166</v>
      </c>
      <c r="L26" s="6" t="str">
        <f t="shared" si="1"/>
        <v>Ines Berg</v>
      </c>
      <c r="M26" s="6" t="s">
        <v>57</v>
      </c>
      <c r="N26" s="7">
        <v>46054</v>
      </c>
      <c r="O26" s="7">
        <v>46113</v>
      </c>
      <c r="P26" s="6">
        <f t="shared" si="2"/>
        <v>2</v>
      </c>
      <c r="Q26" s="7" t="s">
        <v>261</v>
      </c>
      <c r="R26" s="7" t="s">
        <v>842</v>
      </c>
      <c r="S26" s="8">
        <v>11.74</v>
      </c>
      <c r="T26" s="6">
        <v>1</v>
      </c>
      <c r="U26" s="6" t="s">
        <v>58</v>
      </c>
      <c r="V26" s="11">
        <v>0.7</v>
      </c>
      <c r="W26" s="6" t="s">
        <v>60</v>
      </c>
      <c r="X26" s="6" t="s">
        <v>262</v>
      </c>
      <c r="Y26" s="8">
        <v>8.2200000000000006</v>
      </c>
    </row>
    <row r="27" spans="1:30" s="6" customFormat="1" x14ac:dyDescent="0.3">
      <c r="A27" s="6">
        <v>2033401870</v>
      </c>
      <c r="B27" s="6" t="s">
        <v>557</v>
      </c>
      <c r="C27" s="6" t="s">
        <v>389</v>
      </c>
      <c r="D27" s="6" t="str">
        <f t="shared" si="0"/>
        <v>AMY DIDONNE</v>
      </c>
      <c r="E27" s="6" t="s">
        <v>86</v>
      </c>
      <c r="F27" s="6" t="s">
        <v>163</v>
      </c>
      <c r="G27" s="6" t="s">
        <v>164</v>
      </c>
      <c r="H27" s="6" t="s">
        <v>164</v>
      </c>
      <c r="I27" s="9" t="s">
        <v>823</v>
      </c>
      <c r="J27" s="6" t="s">
        <v>165</v>
      </c>
      <c r="K27" s="6" t="s">
        <v>166</v>
      </c>
      <c r="L27" s="6" t="str">
        <f t="shared" si="1"/>
        <v>Ines Berg</v>
      </c>
      <c r="M27" s="6" t="s">
        <v>57</v>
      </c>
      <c r="N27" s="7">
        <v>46054</v>
      </c>
      <c r="O27" s="7">
        <v>46113</v>
      </c>
      <c r="P27" s="6">
        <f t="shared" si="2"/>
        <v>2</v>
      </c>
      <c r="Q27" s="7" t="s">
        <v>261</v>
      </c>
      <c r="R27" s="7" t="s">
        <v>842</v>
      </c>
      <c r="S27" s="8">
        <v>73.17</v>
      </c>
      <c r="T27" s="6">
        <v>1</v>
      </c>
      <c r="U27" s="6" t="s">
        <v>58</v>
      </c>
      <c r="V27" s="12">
        <v>0.375</v>
      </c>
      <c r="W27" s="6" t="s">
        <v>60</v>
      </c>
      <c r="X27" s="6" t="s">
        <v>262</v>
      </c>
      <c r="Y27" s="8">
        <v>27.44</v>
      </c>
    </row>
    <row r="28" spans="1:30" s="6" customFormat="1" x14ac:dyDescent="0.3">
      <c r="A28" s="6">
        <v>2033404741</v>
      </c>
      <c r="B28" s="6" t="s">
        <v>557</v>
      </c>
      <c r="C28" s="6" t="s">
        <v>558</v>
      </c>
      <c r="D28" s="6" t="str">
        <f t="shared" si="0"/>
        <v>ANGELA DIDONNE</v>
      </c>
      <c r="E28" s="6" t="s">
        <v>86</v>
      </c>
      <c r="F28" s="6" t="s">
        <v>163</v>
      </c>
      <c r="G28" s="6" t="s">
        <v>164</v>
      </c>
      <c r="H28" s="6" t="s">
        <v>164</v>
      </c>
      <c r="I28" s="9" t="s">
        <v>823</v>
      </c>
      <c r="J28" s="6" t="s">
        <v>165</v>
      </c>
      <c r="K28" s="6" t="s">
        <v>166</v>
      </c>
      <c r="L28" s="6" t="str">
        <f t="shared" si="1"/>
        <v>Ines Berg</v>
      </c>
      <c r="M28" s="6" t="s">
        <v>57</v>
      </c>
      <c r="N28" s="7">
        <v>46054</v>
      </c>
      <c r="O28" s="7">
        <v>46113</v>
      </c>
      <c r="P28" s="6">
        <f t="shared" si="2"/>
        <v>2</v>
      </c>
      <c r="Q28" s="7" t="s">
        <v>261</v>
      </c>
      <c r="R28" s="7" t="s">
        <v>842</v>
      </c>
      <c r="S28" s="8">
        <v>73.17</v>
      </c>
      <c r="T28" s="6">
        <v>1</v>
      </c>
      <c r="U28" s="6" t="s">
        <v>58</v>
      </c>
      <c r="V28" s="12">
        <v>0.375</v>
      </c>
      <c r="W28" s="6" t="s">
        <v>60</v>
      </c>
      <c r="X28" s="6" t="s">
        <v>262</v>
      </c>
      <c r="Y28" s="8">
        <v>27.44</v>
      </c>
    </row>
    <row r="29" spans="1:30" s="6" customFormat="1" x14ac:dyDescent="0.3">
      <c r="A29" s="6">
        <v>2033406247</v>
      </c>
      <c r="B29" s="6" t="s">
        <v>559</v>
      </c>
      <c r="C29" s="6" t="s">
        <v>560</v>
      </c>
      <c r="D29" s="6" t="str">
        <f t="shared" si="0"/>
        <v>AMLIZ RIVERA</v>
      </c>
      <c r="E29" s="6" t="s">
        <v>86</v>
      </c>
      <c r="F29" s="6" t="s">
        <v>163</v>
      </c>
      <c r="G29" s="6" t="s">
        <v>164</v>
      </c>
      <c r="H29" s="6" t="s">
        <v>164</v>
      </c>
      <c r="I29" s="9" t="s">
        <v>823</v>
      </c>
      <c r="J29" s="6" t="s">
        <v>165</v>
      </c>
      <c r="K29" s="6" t="s">
        <v>166</v>
      </c>
      <c r="L29" s="6" t="str">
        <f t="shared" si="1"/>
        <v>Ines Berg</v>
      </c>
      <c r="M29" s="6" t="s">
        <v>57</v>
      </c>
      <c r="N29" s="7">
        <v>46054</v>
      </c>
      <c r="O29" s="7">
        <v>46113</v>
      </c>
      <c r="P29" s="6">
        <f t="shared" si="2"/>
        <v>2</v>
      </c>
      <c r="Q29" s="7" t="s">
        <v>261</v>
      </c>
      <c r="R29" s="7" t="s">
        <v>842</v>
      </c>
      <c r="S29" s="8">
        <v>73.17</v>
      </c>
      <c r="T29" s="6">
        <v>1</v>
      </c>
      <c r="U29" s="6" t="s">
        <v>58</v>
      </c>
      <c r="V29" s="12">
        <v>0.375</v>
      </c>
      <c r="W29" s="6" t="s">
        <v>60</v>
      </c>
      <c r="X29" s="6" t="s">
        <v>262</v>
      </c>
      <c r="Y29" s="8">
        <v>27.44</v>
      </c>
    </row>
    <row r="30" spans="1:30" s="6" customFormat="1" x14ac:dyDescent="0.3">
      <c r="A30" s="6">
        <v>2033831847</v>
      </c>
      <c r="B30" s="6" t="s">
        <v>738</v>
      </c>
      <c r="C30" s="6" t="s">
        <v>739</v>
      </c>
      <c r="D30" s="6" t="str">
        <f t="shared" si="0"/>
        <v>JEAN WILLIAMS</v>
      </c>
      <c r="E30" s="6" t="s">
        <v>86</v>
      </c>
      <c r="F30" s="6" t="s">
        <v>222</v>
      </c>
      <c r="G30" s="6" t="s">
        <v>223</v>
      </c>
      <c r="H30" s="6" t="s">
        <v>223</v>
      </c>
      <c r="I30" s="9" t="s">
        <v>839</v>
      </c>
      <c r="J30" s="6" t="s">
        <v>740</v>
      </c>
      <c r="K30" s="6" t="s">
        <v>741</v>
      </c>
      <c r="L30" s="6" t="str">
        <f t="shared" si="1"/>
        <v>Jonathan Aloff</v>
      </c>
      <c r="M30" s="6" t="s">
        <v>57</v>
      </c>
      <c r="N30" s="7">
        <v>46077</v>
      </c>
      <c r="O30" s="7">
        <v>46136</v>
      </c>
      <c r="P30" s="6">
        <f t="shared" si="2"/>
        <v>2</v>
      </c>
      <c r="Q30" s="7" t="s">
        <v>261</v>
      </c>
      <c r="R30" s="7" t="s">
        <v>842</v>
      </c>
      <c r="S30" s="8">
        <v>57.27</v>
      </c>
      <c r="T30" s="6">
        <v>1</v>
      </c>
      <c r="U30" s="6" t="s">
        <v>58</v>
      </c>
      <c r="V30" s="11">
        <v>0.7</v>
      </c>
      <c r="W30" s="6" t="s">
        <v>60</v>
      </c>
      <c r="X30" s="6" t="s">
        <v>262</v>
      </c>
      <c r="Y30" s="8">
        <v>40.090000000000003</v>
      </c>
    </row>
    <row r="31" spans="1:30" x14ac:dyDescent="0.3">
      <c r="A31" s="6">
        <v>2033944262</v>
      </c>
      <c r="B31" s="6" t="s">
        <v>744</v>
      </c>
      <c r="C31" s="6" t="s">
        <v>745</v>
      </c>
      <c r="D31" s="6" t="str">
        <f t="shared" si="0"/>
        <v>UNDRALTSETSEG CHULUUNBAT</v>
      </c>
      <c r="E31" s="6" t="s">
        <v>64</v>
      </c>
      <c r="F31" s="6" t="s">
        <v>222</v>
      </c>
      <c r="G31" s="6" t="s">
        <v>223</v>
      </c>
      <c r="H31" s="6" t="s">
        <v>223</v>
      </c>
      <c r="I31" s="9" t="s">
        <v>804</v>
      </c>
      <c r="J31" s="6" t="s">
        <v>246</v>
      </c>
      <c r="K31" s="6" t="s">
        <v>247</v>
      </c>
      <c r="L31" s="6" t="str">
        <f t="shared" si="1"/>
        <v>NASANDELGER ZANA</v>
      </c>
      <c r="M31" s="6" t="s">
        <v>57</v>
      </c>
      <c r="N31" s="7">
        <v>46080</v>
      </c>
      <c r="O31" s="7">
        <v>46139</v>
      </c>
      <c r="P31" s="6">
        <f t="shared" si="2"/>
        <v>2</v>
      </c>
      <c r="Q31" s="7" t="s">
        <v>261</v>
      </c>
      <c r="R31" s="7" t="s">
        <v>842</v>
      </c>
      <c r="S31" s="8">
        <v>76.709999999999994</v>
      </c>
      <c r="T31" s="6">
        <v>1</v>
      </c>
      <c r="U31" s="6" t="s">
        <v>58</v>
      </c>
      <c r="V31" s="11">
        <v>0.7</v>
      </c>
      <c r="W31" s="6" t="s">
        <v>60</v>
      </c>
      <c r="X31" s="6" t="s">
        <v>262</v>
      </c>
      <c r="Y31" s="8">
        <v>53.7</v>
      </c>
      <c r="Z31" s="6"/>
      <c r="AA31" s="6"/>
      <c r="AB31" s="6"/>
      <c r="AC31" s="6"/>
      <c r="AD31" s="6"/>
    </row>
    <row r="32" spans="1:30" x14ac:dyDescent="0.3">
      <c r="A32" s="6">
        <v>2033944263</v>
      </c>
      <c r="B32" s="6" t="s">
        <v>744</v>
      </c>
      <c r="C32" s="6" t="s">
        <v>745</v>
      </c>
      <c r="D32" s="6" t="str">
        <f t="shared" si="0"/>
        <v>UNDRALTSETSEG CHULUUNBAT</v>
      </c>
      <c r="E32" s="6" t="s">
        <v>64</v>
      </c>
      <c r="F32" s="6" t="s">
        <v>222</v>
      </c>
      <c r="G32" s="6" t="s">
        <v>224</v>
      </c>
      <c r="H32" s="6" t="s">
        <v>224</v>
      </c>
      <c r="I32" s="9" t="s">
        <v>804</v>
      </c>
      <c r="J32" s="6" t="s">
        <v>246</v>
      </c>
      <c r="K32" s="6" t="s">
        <v>247</v>
      </c>
      <c r="L32" s="6" t="str">
        <f t="shared" si="1"/>
        <v>NASANDELGER ZANA</v>
      </c>
      <c r="M32" s="6" t="s">
        <v>57</v>
      </c>
      <c r="N32" s="7">
        <v>46080</v>
      </c>
      <c r="O32" s="7">
        <v>46139</v>
      </c>
      <c r="P32" s="6">
        <f t="shared" si="2"/>
        <v>2</v>
      </c>
      <c r="Q32" s="7" t="s">
        <v>261</v>
      </c>
      <c r="R32" s="7" t="s">
        <v>842</v>
      </c>
      <c r="S32" s="8">
        <v>20.55</v>
      </c>
      <c r="T32" s="6">
        <v>1</v>
      </c>
      <c r="U32" s="6" t="s">
        <v>58</v>
      </c>
      <c r="V32" s="11">
        <v>0.9</v>
      </c>
      <c r="W32" s="6" t="s">
        <v>60</v>
      </c>
      <c r="X32" s="6" t="s">
        <v>262</v>
      </c>
      <c r="Y32" s="8">
        <v>18.5</v>
      </c>
      <c r="Z32" s="6"/>
      <c r="AA32" s="6"/>
      <c r="AB32" s="6"/>
      <c r="AC32" s="6"/>
      <c r="AD32" s="6"/>
    </row>
    <row r="33" spans="1:30" x14ac:dyDescent="0.3">
      <c r="A33" s="6">
        <v>2033957887</v>
      </c>
      <c r="B33" s="6" t="s">
        <v>450</v>
      </c>
      <c r="C33" s="6" t="s">
        <v>451</v>
      </c>
      <c r="D33" s="6" t="str">
        <f t="shared" si="0"/>
        <v>RICARDO SANTOS</v>
      </c>
      <c r="E33" s="6" t="s">
        <v>64</v>
      </c>
      <c r="F33" s="6" t="s">
        <v>222</v>
      </c>
      <c r="G33" s="6" t="s">
        <v>224</v>
      </c>
      <c r="H33" s="6" t="s">
        <v>224</v>
      </c>
      <c r="I33" s="9" t="s">
        <v>840</v>
      </c>
      <c r="J33" s="6" t="s">
        <v>450</v>
      </c>
      <c r="K33" s="6" t="s">
        <v>451</v>
      </c>
      <c r="L33" s="6" t="str">
        <f t="shared" si="1"/>
        <v>RICARDO SANTOS</v>
      </c>
      <c r="M33" s="6" t="s">
        <v>57</v>
      </c>
      <c r="N33" s="7">
        <v>46080</v>
      </c>
      <c r="O33" s="7">
        <v>46139</v>
      </c>
      <c r="P33" s="6">
        <f t="shared" si="2"/>
        <v>2</v>
      </c>
      <c r="Q33" s="7" t="s">
        <v>261</v>
      </c>
      <c r="R33" s="7" t="s">
        <v>842</v>
      </c>
      <c r="S33" s="8">
        <v>27.85</v>
      </c>
      <c r="T33" s="6">
        <v>1</v>
      </c>
      <c r="U33" s="6" t="s">
        <v>58</v>
      </c>
      <c r="V33" s="11">
        <v>0.9</v>
      </c>
      <c r="W33" s="6" t="s">
        <v>60</v>
      </c>
      <c r="X33" s="6" t="s">
        <v>262</v>
      </c>
      <c r="Y33" s="8">
        <v>25.06</v>
      </c>
      <c r="Z33" s="6"/>
      <c r="AA33" s="6"/>
      <c r="AB33" s="6"/>
      <c r="AC33" s="6"/>
      <c r="AD33" s="6"/>
    </row>
    <row r="34" spans="1:30" x14ac:dyDescent="0.3">
      <c r="A34" s="6">
        <v>2033806189</v>
      </c>
      <c r="B34" s="6" t="s">
        <v>242</v>
      </c>
      <c r="C34" s="6" t="s">
        <v>413</v>
      </c>
      <c r="D34" s="6" t="str">
        <f t="shared" si="0"/>
        <v>WILMA SMITH</v>
      </c>
      <c r="E34" s="6" t="s">
        <v>86</v>
      </c>
      <c r="F34" s="6" t="s">
        <v>65</v>
      </c>
      <c r="G34" s="6" t="s">
        <v>315</v>
      </c>
      <c r="H34" s="6" t="s">
        <v>807</v>
      </c>
      <c r="I34" s="9" t="s">
        <v>824</v>
      </c>
      <c r="J34" s="6" t="s">
        <v>414</v>
      </c>
      <c r="K34" s="6" t="s">
        <v>105</v>
      </c>
      <c r="L34" s="6" t="str">
        <f t="shared" si="1"/>
        <v>Robert Sievewright</v>
      </c>
      <c r="M34" s="6" t="s">
        <v>57</v>
      </c>
      <c r="N34" s="7">
        <v>46079</v>
      </c>
      <c r="O34" s="7">
        <v>46138</v>
      </c>
      <c r="P34" s="6">
        <f t="shared" si="2"/>
        <v>2</v>
      </c>
      <c r="Q34" s="7" t="s">
        <v>261</v>
      </c>
      <c r="R34" s="7" t="s">
        <v>842</v>
      </c>
      <c r="S34" s="8">
        <v>87.26</v>
      </c>
      <c r="T34" s="6">
        <v>1</v>
      </c>
      <c r="U34" s="6" t="s">
        <v>58</v>
      </c>
      <c r="V34" s="11">
        <v>0.65</v>
      </c>
      <c r="W34" s="6" t="s">
        <v>60</v>
      </c>
      <c r="X34" s="6" t="s">
        <v>262</v>
      </c>
      <c r="Y34" s="8">
        <v>56.72</v>
      </c>
      <c r="Z34" s="6"/>
      <c r="AA34" s="6"/>
      <c r="AB34" s="6"/>
      <c r="AC34" s="6"/>
      <c r="AD34" s="6"/>
    </row>
    <row r="35" spans="1:30" x14ac:dyDescent="0.3">
      <c r="A35" s="6">
        <v>2033806188</v>
      </c>
      <c r="B35" s="6" t="s">
        <v>242</v>
      </c>
      <c r="C35" s="6" t="s">
        <v>413</v>
      </c>
      <c r="D35" s="6" t="str">
        <f t="shared" si="0"/>
        <v>WILMA SMITH</v>
      </c>
      <c r="E35" s="6" t="s">
        <v>86</v>
      </c>
      <c r="F35" s="6" t="s">
        <v>222</v>
      </c>
      <c r="G35" s="6" t="s">
        <v>223</v>
      </c>
      <c r="H35" s="6" t="s">
        <v>223</v>
      </c>
      <c r="I35" s="9" t="s">
        <v>824</v>
      </c>
      <c r="J35" s="6" t="s">
        <v>414</v>
      </c>
      <c r="K35" s="6" t="s">
        <v>105</v>
      </c>
      <c r="L35" s="6" t="str">
        <f t="shared" si="1"/>
        <v>Robert Sievewright</v>
      </c>
      <c r="M35" s="6" t="s">
        <v>57</v>
      </c>
      <c r="N35" s="7">
        <v>46079</v>
      </c>
      <c r="O35" s="7">
        <v>46138</v>
      </c>
      <c r="P35" s="6">
        <f t="shared" si="2"/>
        <v>2</v>
      </c>
      <c r="Q35" s="7" t="s">
        <v>261</v>
      </c>
      <c r="R35" s="7" t="s">
        <v>842</v>
      </c>
      <c r="S35" s="8">
        <v>100.95</v>
      </c>
      <c r="T35" s="6">
        <v>1</v>
      </c>
      <c r="U35" s="6" t="s">
        <v>58</v>
      </c>
      <c r="V35" s="11">
        <v>0.7</v>
      </c>
      <c r="W35" s="6" t="s">
        <v>60</v>
      </c>
      <c r="X35" s="6" t="s">
        <v>262</v>
      </c>
      <c r="Y35" s="8">
        <v>70.66</v>
      </c>
      <c r="Z35" s="6"/>
      <c r="AA35" s="6"/>
      <c r="AB35" s="6"/>
      <c r="AC35" s="6"/>
      <c r="AD35" s="6"/>
    </row>
    <row r="36" spans="1:30" x14ac:dyDescent="0.3">
      <c r="A36" s="6">
        <v>2033947307</v>
      </c>
      <c r="B36" s="6" t="s">
        <v>746</v>
      </c>
      <c r="C36" s="6" t="s">
        <v>747</v>
      </c>
      <c r="D36" s="6" t="str">
        <f t="shared" si="0"/>
        <v>DOLIYA MOSI</v>
      </c>
      <c r="E36" s="6" t="s">
        <v>74</v>
      </c>
      <c r="F36" s="6" t="s">
        <v>222</v>
      </c>
      <c r="G36" s="6" t="s">
        <v>223</v>
      </c>
      <c r="H36" s="6" t="s">
        <v>223</v>
      </c>
      <c r="I36" s="9" t="s">
        <v>836</v>
      </c>
      <c r="J36" s="6" t="s">
        <v>185</v>
      </c>
      <c r="K36" s="6" t="s">
        <v>186</v>
      </c>
      <c r="L36" s="6" t="str">
        <f t="shared" si="1"/>
        <v>THOMAS PARDUE</v>
      </c>
      <c r="M36" s="6" t="s">
        <v>57</v>
      </c>
      <c r="N36" s="7">
        <v>46080</v>
      </c>
      <c r="O36" s="7">
        <v>46139</v>
      </c>
      <c r="P36" s="6">
        <f t="shared" si="2"/>
        <v>2</v>
      </c>
      <c r="Q36" s="7" t="s">
        <v>261</v>
      </c>
      <c r="R36" s="7" t="s">
        <v>842</v>
      </c>
      <c r="S36" s="8">
        <v>49.12</v>
      </c>
      <c r="T36" s="6">
        <v>1</v>
      </c>
      <c r="U36" s="6" t="s">
        <v>58</v>
      </c>
      <c r="V36" s="11">
        <v>0.7</v>
      </c>
      <c r="W36" s="6" t="s">
        <v>60</v>
      </c>
      <c r="X36" s="6" t="s">
        <v>262</v>
      </c>
      <c r="Y36" s="8">
        <v>34.380000000000003</v>
      </c>
      <c r="Z36" s="6"/>
      <c r="AA36" s="6"/>
      <c r="AB36" s="6"/>
      <c r="AC36" s="6"/>
      <c r="AD36" s="6"/>
    </row>
    <row r="37" spans="1:30" s="6" customFormat="1" x14ac:dyDescent="0.3">
      <c r="A37" s="6">
        <v>2033894680</v>
      </c>
      <c r="B37" s="6" t="s">
        <v>561</v>
      </c>
      <c r="C37" s="6" t="s">
        <v>562</v>
      </c>
      <c r="D37" s="6" t="str">
        <f t="shared" si="0"/>
        <v>LACEY OCHOA</v>
      </c>
      <c r="E37" s="6" t="s">
        <v>191</v>
      </c>
      <c r="F37" s="6" t="s">
        <v>163</v>
      </c>
      <c r="G37" s="6" t="s">
        <v>164</v>
      </c>
      <c r="H37" s="6" t="s">
        <v>164</v>
      </c>
      <c r="I37" s="9" t="s">
        <v>836</v>
      </c>
      <c r="J37" s="6" t="s">
        <v>185</v>
      </c>
      <c r="K37" s="6" t="s">
        <v>186</v>
      </c>
      <c r="L37" s="6" t="str">
        <f t="shared" si="1"/>
        <v>THOMAS PARDUE</v>
      </c>
      <c r="M37" s="6" t="s">
        <v>57</v>
      </c>
      <c r="N37" s="7">
        <v>46079</v>
      </c>
      <c r="O37" s="7">
        <v>46138</v>
      </c>
      <c r="P37" s="6">
        <f t="shared" si="2"/>
        <v>2</v>
      </c>
      <c r="Q37" s="7" t="s">
        <v>261</v>
      </c>
      <c r="R37" s="7" t="s">
        <v>842</v>
      </c>
      <c r="S37" s="8">
        <v>32.770000000000003</v>
      </c>
      <c r="T37" s="6">
        <v>1</v>
      </c>
      <c r="U37" s="6" t="s">
        <v>58</v>
      </c>
      <c r="V37" s="12">
        <v>0.375</v>
      </c>
      <c r="W37" s="6" t="s">
        <v>60</v>
      </c>
      <c r="X37" s="6" t="s">
        <v>262</v>
      </c>
      <c r="Y37" s="8">
        <v>12.29</v>
      </c>
    </row>
    <row r="38" spans="1:30" s="6" customFormat="1" x14ac:dyDescent="0.3">
      <c r="A38" s="6">
        <v>2033238217</v>
      </c>
      <c r="B38" s="6" t="s">
        <v>714</v>
      </c>
      <c r="C38" s="6" t="s">
        <v>715</v>
      </c>
      <c r="D38" s="6" t="str">
        <f t="shared" si="0"/>
        <v>JOYLYNN POITRA</v>
      </c>
      <c r="E38" s="6" t="s">
        <v>378</v>
      </c>
      <c r="F38" s="6" t="s">
        <v>222</v>
      </c>
      <c r="G38" s="6" t="s">
        <v>228</v>
      </c>
      <c r="H38" s="6" t="s">
        <v>228</v>
      </c>
      <c r="I38" s="9" t="s">
        <v>836</v>
      </c>
      <c r="J38" s="6" t="s">
        <v>185</v>
      </c>
      <c r="K38" s="6" t="s">
        <v>186</v>
      </c>
      <c r="L38" s="6" t="str">
        <f t="shared" si="1"/>
        <v>THOMAS PARDUE</v>
      </c>
      <c r="M38" s="6" t="s">
        <v>57</v>
      </c>
      <c r="N38" s="7">
        <v>46078</v>
      </c>
      <c r="O38" s="7">
        <v>46137</v>
      </c>
      <c r="P38" s="6">
        <f t="shared" si="2"/>
        <v>2</v>
      </c>
      <c r="Q38" s="7" t="s">
        <v>261</v>
      </c>
      <c r="R38" s="7" t="s">
        <v>842</v>
      </c>
      <c r="S38" s="8">
        <v>26.5</v>
      </c>
      <c r="T38" s="6">
        <v>1</v>
      </c>
      <c r="U38" s="6" t="s">
        <v>58</v>
      </c>
      <c r="V38" s="11">
        <v>0.42</v>
      </c>
      <c r="W38" s="6" t="s">
        <v>60</v>
      </c>
      <c r="X38" s="6" t="s">
        <v>262</v>
      </c>
      <c r="Y38" s="8">
        <v>11.13</v>
      </c>
    </row>
    <row r="39" spans="1:30" s="6" customFormat="1" x14ac:dyDescent="0.3">
      <c r="A39" s="6">
        <v>2033625344</v>
      </c>
      <c r="B39" s="6" t="s">
        <v>730</v>
      </c>
      <c r="C39" s="6" t="s">
        <v>731</v>
      </c>
      <c r="D39" s="6" t="str">
        <f t="shared" si="0"/>
        <v>ASCENCIO DURAN</v>
      </c>
      <c r="E39" s="6" t="s">
        <v>378</v>
      </c>
      <c r="F39" s="6" t="s">
        <v>222</v>
      </c>
      <c r="G39" s="6" t="s">
        <v>228</v>
      </c>
      <c r="H39" s="6" t="s">
        <v>228</v>
      </c>
      <c r="I39" s="9" t="s">
        <v>836</v>
      </c>
      <c r="J39" s="6" t="s">
        <v>185</v>
      </c>
      <c r="K39" s="6" t="s">
        <v>186</v>
      </c>
      <c r="L39" s="6" t="str">
        <f t="shared" si="1"/>
        <v>THOMAS PARDUE</v>
      </c>
      <c r="M39" s="6" t="s">
        <v>57</v>
      </c>
      <c r="N39" s="7">
        <v>46072</v>
      </c>
      <c r="O39" s="7">
        <v>46131</v>
      </c>
      <c r="P39" s="6">
        <f t="shared" si="2"/>
        <v>2</v>
      </c>
      <c r="Q39" s="7" t="s">
        <v>261</v>
      </c>
      <c r="R39" s="7" t="s">
        <v>842</v>
      </c>
      <c r="S39" s="8">
        <v>-26.5</v>
      </c>
      <c r="T39" s="6">
        <v>1</v>
      </c>
      <c r="U39" s="6" t="s">
        <v>58</v>
      </c>
      <c r="V39" s="11">
        <v>0.42</v>
      </c>
      <c r="W39" s="6" t="s">
        <v>60</v>
      </c>
      <c r="X39" s="6" t="s">
        <v>262</v>
      </c>
      <c r="Y39" s="8">
        <v>-11.13</v>
      </c>
    </row>
    <row r="40" spans="1:30" s="6" customFormat="1" x14ac:dyDescent="0.3">
      <c r="A40" s="6">
        <v>2033328486</v>
      </c>
      <c r="B40" s="6" t="s">
        <v>467</v>
      </c>
      <c r="C40" s="6" t="s">
        <v>468</v>
      </c>
      <c r="D40" s="6" t="str">
        <f t="shared" si="0"/>
        <v>LOVELY JOSPEH</v>
      </c>
      <c r="E40" s="6" t="s">
        <v>64</v>
      </c>
      <c r="F40" s="6" t="s">
        <v>220</v>
      </c>
      <c r="G40" s="6" t="s">
        <v>568</v>
      </c>
      <c r="H40" s="6" t="s">
        <v>568</v>
      </c>
      <c r="I40" s="9" t="s">
        <v>802</v>
      </c>
      <c r="J40" s="6" t="s">
        <v>153</v>
      </c>
      <c r="K40" s="6" t="s">
        <v>154</v>
      </c>
      <c r="L40" s="6" t="str">
        <f t="shared" si="1"/>
        <v>ANDREA PETRUNGARO</v>
      </c>
      <c r="M40" s="6" t="s">
        <v>57</v>
      </c>
      <c r="N40" s="7">
        <v>46049</v>
      </c>
      <c r="O40" s="7">
        <v>46139</v>
      </c>
      <c r="P40" s="6">
        <f t="shared" si="2"/>
        <v>3</v>
      </c>
      <c r="Q40" s="7" t="s">
        <v>261</v>
      </c>
      <c r="R40" s="7" t="s">
        <v>842</v>
      </c>
      <c r="S40" s="8">
        <v>230.74</v>
      </c>
      <c r="T40" s="6">
        <v>1</v>
      </c>
      <c r="U40" s="6" t="s">
        <v>58</v>
      </c>
      <c r="V40" s="11">
        <v>0.38</v>
      </c>
      <c r="W40" s="6" t="s">
        <v>60</v>
      </c>
      <c r="X40" s="6" t="s">
        <v>262</v>
      </c>
      <c r="Y40" s="8">
        <v>87.68</v>
      </c>
    </row>
    <row r="41" spans="1:30" s="6" customFormat="1" x14ac:dyDescent="0.3">
      <c r="A41" s="6">
        <v>2033328485</v>
      </c>
      <c r="B41" s="6" t="s">
        <v>467</v>
      </c>
      <c r="C41" s="6" t="s">
        <v>468</v>
      </c>
      <c r="D41" s="6" t="str">
        <f t="shared" si="0"/>
        <v>LOVELY JOSPEH</v>
      </c>
      <c r="E41" s="6" t="s">
        <v>64</v>
      </c>
      <c r="F41" s="6" t="s">
        <v>220</v>
      </c>
      <c r="G41" s="6" t="s">
        <v>569</v>
      </c>
      <c r="H41" s="6" t="s">
        <v>568</v>
      </c>
      <c r="I41" s="9" t="s">
        <v>802</v>
      </c>
      <c r="J41" s="6" t="s">
        <v>153</v>
      </c>
      <c r="K41" s="6" t="s">
        <v>154</v>
      </c>
      <c r="L41" s="6" t="str">
        <f t="shared" si="1"/>
        <v>ANDREA PETRUNGARO</v>
      </c>
      <c r="M41" s="6" t="s">
        <v>57</v>
      </c>
      <c r="N41" s="7">
        <v>46049</v>
      </c>
      <c r="O41" s="7">
        <v>46139</v>
      </c>
      <c r="P41" s="6">
        <f t="shared" si="2"/>
        <v>3</v>
      </c>
      <c r="Q41" s="7" t="s">
        <v>261</v>
      </c>
      <c r="R41" s="7" t="s">
        <v>842</v>
      </c>
      <c r="S41" s="8">
        <v>7.09</v>
      </c>
      <c r="T41" s="6">
        <v>1</v>
      </c>
      <c r="U41" s="6" t="s">
        <v>58</v>
      </c>
      <c r="V41" s="11">
        <v>0.38</v>
      </c>
      <c r="W41" s="6" t="s">
        <v>60</v>
      </c>
      <c r="X41" s="6" t="s">
        <v>262</v>
      </c>
      <c r="Y41" s="8">
        <v>2.69</v>
      </c>
    </row>
    <row r="42" spans="1:30" s="6" customFormat="1" x14ac:dyDescent="0.3">
      <c r="A42" s="6">
        <v>2033328487</v>
      </c>
      <c r="B42" s="6" t="s">
        <v>467</v>
      </c>
      <c r="C42" s="6" t="s">
        <v>468</v>
      </c>
      <c r="D42" s="6" t="str">
        <f t="shared" si="0"/>
        <v>LOVELY JOSPEH</v>
      </c>
      <c r="E42" s="6" t="s">
        <v>64</v>
      </c>
      <c r="F42" s="6" t="s">
        <v>157</v>
      </c>
      <c r="G42" s="6" t="s">
        <v>437</v>
      </c>
      <c r="H42" s="6" t="s">
        <v>437</v>
      </c>
      <c r="I42" s="9" t="s">
        <v>802</v>
      </c>
      <c r="J42" s="6" t="s">
        <v>153</v>
      </c>
      <c r="K42" s="6" t="s">
        <v>154</v>
      </c>
      <c r="L42" s="6" t="str">
        <f t="shared" si="1"/>
        <v>ANDREA PETRUNGARO</v>
      </c>
      <c r="M42" s="6" t="s">
        <v>57</v>
      </c>
      <c r="N42" s="7">
        <v>46049</v>
      </c>
      <c r="O42" s="7">
        <v>46139</v>
      </c>
      <c r="P42" s="6">
        <f t="shared" si="2"/>
        <v>3</v>
      </c>
      <c r="Q42" s="7" t="s">
        <v>261</v>
      </c>
      <c r="R42" s="7" t="s">
        <v>842</v>
      </c>
      <c r="S42" s="8">
        <v>15</v>
      </c>
      <c r="T42" s="6">
        <v>1</v>
      </c>
      <c r="U42" s="6" t="s">
        <v>58</v>
      </c>
      <c r="V42" s="11">
        <v>0.38</v>
      </c>
      <c r="W42" s="6" t="s">
        <v>60</v>
      </c>
      <c r="X42" s="6" t="s">
        <v>262</v>
      </c>
      <c r="Y42" s="8">
        <v>5.7</v>
      </c>
    </row>
    <row r="43" spans="1:30" s="6" customFormat="1" x14ac:dyDescent="0.3">
      <c r="A43" s="6">
        <v>2033337348</v>
      </c>
      <c r="B43" s="6" t="s">
        <v>566</v>
      </c>
      <c r="C43" s="6" t="s">
        <v>727</v>
      </c>
      <c r="D43" s="6" t="str">
        <f t="shared" si="0"/>
        <v>MORGAN ANGELO</v>
      </c>
      <c r="E43" s="6" t="s">
        <v>64</v>
      </c>
      <c r="F43" s="6" t="s">
        <v>222</v>
      </c>
      <c r="G43" s="6" t="s">
        <v>223</v>
      </c>
      <c r="H43" s="6" t="s">
        <v>223</v>
      </c>
      <c r="I43" s="9" t="s">
        <v>802</v>
      </c>
      <c r="J43" s="6" t="s">
        <v>153</v>
      </c>
      <c r="K43" s="6" t="s">
        <v>154</v>
      </c>
      <c r="L43" s="6" t="str">
        <f t="shared" si="1"/>
        <v>ANDREA PETRUNGARO</v>
      </c>
      <c r="M43" s="6" t="s">
        <v>57</v>
      </c>
      <c r="N43" s="7">
        <v>46049</v>
      </c>
      <c r="O43" s="7">
        <v>46139</v>
      </c>
      <c r="P43" s="6">
        <f t="shared" si="2"/>
        <v>3</v>
      </c>
      <c r="Q43" s="7" t="s">
        <v>261</v>
      </c>
      <c r="R43" s="7" t="s">
        <v>842</v>
      </c>
      <c r="S43" s="8">
        <v>49.8</v>
      </c>
      <c r="T43" s="6">
        <v>1</v>
      </c>
      <c r="U43" s="6" t="s">
        <v>58</v>
      </c>
      <c r="V43" s="11">
        <v>0.7</v>
      </c>
      <c r="W43" s="6" t="s">
        <v>60</v>
      </c>
      <c r="X43" s="6" t="s">
        <v>262</v>
      </c>
      <c r="Y43" s="8">
        <v>34.86</v>
      </c>
    </row>
    <row r="44" spans="1:30" s="6" customFormat="1" x14ac:dyDescent="0.3">
      <c r="A44" s="6">
        <v>2033276389</v>
      </c>
      <c r="B44" s="6" t="s">
        <v>721</v>
      </c>
      <c r="C44" s="6" t="s">
        <v>722</v>
      </c>
      <c r="D44" s="6" t="str">
        <f t="shared" si="0"/>
        <v>VINSON KEAH</v>
      </c>
      <c r="E44" s="6" t="s">
        <v>103</v>
      </c>
      <c r="F44" s="6" t="s">
        <v>222</v>
      </c>
      <c r="G44" s="6" t="s">
        <v>227</v>
      </c>
      <c r="H44" s="6" t="s">
        <v>590</v>
      </c>
      <c r="I44" s="9" t="s">
        <v>805</v>
      </c>
      <c r="J44" s="6" t="s">
        <v>108</v>
      </c>
      <c r="K44" s="6" t="s">
        <v>109</v>
      </c>
      <c r="L44" s="6" t="str">
        <f t="shared" si="1"/>
        <v>Brittany Oliver</v>
      </c>
      <c r="M44" s="6" t="s">
        <v>57</v>
      </c>
      <c r="N44" s="7">
        <v>46045</v>
      </c>
      <c r="O44" s="7">
        <v>46135</v>
      </c>
      <c r="P44" s="6">
        <f t="shared" si="2"/>
        <v>3</v>
      </c>
      <c r="Q44" s="7" t="s">
        <v>261</v>
      </c>
      <c r="R44" s="7" t="s">
        <v>842</v>
      </c>
      <c r="S44" s="8">
        <v>55.58</v>
      </c>
      <c r="T44" s="6">
        <v>1</v>
      </c>
      <c r="U44" s="6" t="s">
        <v>58</v>
      </c>
      <c r="V44" s="11">
        <v>0.7</v>
      </c>
      <c r="W44" s="6" t="s">
        <v>60</v>
      </c>
      <c r="X44" s="6" t="s">
        <v>262</v>
      </c>
      <c r="Y44" s="8">
        <v>38.909999999999997</v>
      </c>
    </row>
    <row r="45" spans="1:30" s="6" customFormat="1" x14ac:dyDescent="0.3">
      <c r="A45" s="6">
        <v>2033276387</v>
      </c>
      <c r="B45" s="6" t="s">
        <v>721</v>
      </c>
      <c r="C45" s="6" t="s">
        <v>722</v>
      </c>
      <c r="D45" s="6" t="str">
        <f t="shared" si="0"/>
        <v>VINSON KEAH</v>
      </c>
      <c r="E45" s="6" t="s">
        <v>103</v>
      </c>
      <c r="F45" s="6" t="s">
        <v>250</v>
      </c>
      <c r="G45" s="6" t="s">
        <v>756</v>
      </c>
      <c r="H45" s="6" t="s">
        <v>810</v>
      </c>
      <c r="I45" s="9">
        <v>17554531</v>
      </c>
      <c r="J45" s="6" t="s">
        <v>108</v>
      </c>
      <c r="K45" s="6" t="s">
        <v>109</v>
      </c>
      <c r="L45" s="6" t="str">
        <f t="shared" si="1"/>
        <v>Brittany Oliver</v>
      </c>
      <c r="M45" s="6" t="s">
        <v>57</v>
      </c>
      <c r="N45" s="7">
        <v>46045</v>
      </c>
      <c r="O45" s="7">
        <v>46135</v>
      </c>
      <c r="P45" s="6">
        <f t="shared" si="2"/>
        <v>3</v>
      </c>
      <c r="Q45" s="7" t="s">
        <v>261</v>
      </c>
      <c r="R45" s="7" t="s">
        <v>842</v>
      </c>
      <c r="S45" s="8">
        <v>344.59</v>
      </c>
      <c r="T45" s="6">
        <v>1</v>
      </c>
      <c r="U45" s="6" t="s">
        <v>58</v>
      </c>
      <c r="V45" s="11">
        <v>0.27</v>
      </c>
      <c r="W45" s="6" t="s">
        <v>60</v>
      </c>
      <c r="X45" s="6" t="s">
        <v>262</v>
      </c>
      <c r="Y45" s="8">
        <v>93.04</v>
      </c>
    </row>
    <row r="46" spans="1:30" s="6" customFormat="1" x14ac:dyDescent="0.3">
      <c r="A46" s="6">
        <v>2033276388</v>
      </c>
      <c r="B46" s="6" t="s">
        <v>721</v>
      </c>
      <c r="C46" s="6" t="s">
        <v>722</v>
      </c>
      <c r="D46" s="6" t="str">
        <f t="shared" si="0"/>
        <v>VINSON KEAH</v>
      </c>
      <c r="E46" s="6" t="s">
        <v>103</v>
      </c>
      <c r="F46" s="6" t="s">
        <v>250</v>
      </c>
      <c r="G46" s="6" t="s">
        <v>751</v>
      </c>
      <c r="H46" s="6" t="s">
        <v>810</v>
      </c>
      <c r="I46" s="9">
        <v>17554531</v>
      </c>
      <c r="J46" s="6" t="s">
        <v>108</v>
      </c>
      <c r="K46" s="6" t="s">
        <v>109</v>
      </c>
      <c r="L46" s="6" t="str">
        <f t="shared" si="1"/>
        <v>Brittany Oliver</v>
      </c>
      <c r="M46" s="6" t="s">
        <v>57</v>
      </c>
      <c r="N46" s="7">
        <v>46045</v>
      </c>
      <c r="O46" s="7">
        <v>46135</v>
      </c>
      <c r="P46" s="6">
        <f t="shared" si="2"/>
        <v>3</v>
      </c>
      <c r="Q46" s="7" t="s">
        <v>261</v>
      </c>
      <c r="R46" s="7" t="s">
        <v>842</v>
      </c>
      <c r="S46" s="8">
        <v>9.9499999999999993</v>
      </c>
      <c r="T46" s="6">
        <v>1</v>
      </c>
      <c r="U46" s="6" t="s">
        <v>58</v>
      </c>
      <c r="V46" s="11">
        <v>0.27</v>
      </c>
      <c r="W46" s="6" t="s">
        <v>60</v>
      </c>
      <c r="X46" s="6" t="s">
        <v>262</v>
      </c>
      <c r="Y46" s="8">
        <v>2.69</v>
      </c>
    </row>
    <row r="47" spans="1:30" s="6" customFormat="1" x14ac:dyDescent="0.3">
      <c r="A47" s="6">
        <v>2033175258</v>
      </c>
      <c r="B47" s="6" t="s">
        <v>754</v>
      </c>
      <c r="C47" s="6" t="s">
        <v>755</v>
      </c>
      <c r="D47" s="6" t="str">
        <f t="shared" si="0"/>
        <v>MUHAMMAD SAQLAIN</v>
      </c>
      <c r="E47" s="6" t="s">
        <v>103</v>
      </c>
      <c r="F47" s="6" t="s">
        <v>250</v>
      </c>
      <c r="G47" s="6" t="s">
        <v>756</v>
      </c>
      <c r="H47" s="6" t="s">
        <v>810</v>
      </c>
      <c r="I47" s="9">
        <v>17554531</v>
      </c>
      <c r="J47" s="6" t="s">
        <v>108</v>
      </c>
      <c r="K47" s="6" t="s">
        <v>109</v>
      </c>
      <c r="L47" s="6" t="str">
        <f t="shared" si="1"/>
        <v>Brittany Oliver</v>
      </c>
      <c r="M47" s="6" t="s">
        <v>57</v>
      </c>
      <c r="N47" s="7">
        <v>46038</v>
      </c>
      <c r="O47" s="7">
        <v>46128</v>
      </c>
      <c r="P47" s="6">
        <f t="shared" si="2"/>
        <v>3</v>
      </c>
      <c r="Q47" s="7" t="s">
        <v>261</v>
      </c>
      <c r="R47" s="7" t="s">
        <v>842</v>
      </c>
      <c r="S47" s="8">
        <v>96.07</v>
      </c>
      <c r="T47" s="6">
        <v>1</v>
      </c>
      <c r="U47" s="6" t="s">
        <v>58</v>
      </c>
      <c r="V47" s="11">
        <v>0.27</v>
      </c>
      <c r="W47" s="6" t="s">
        <v>60</v>
      </c>
      <c r="X47" s="6" t="s">
        <v>262</v>
      </c>
      <c r="Y47" s="8">
        <v>25.94</v>
      </c>
    </row>
    <row r="48" spans="1:30" s="6" customFormat="1" x14ac:dyDescent="0.3">
      <c r="A48" s="6">
        <v>2033175259</v>
      </c>
      <c r="B48" s="6" t="s">
        <v>754</v>
      </c>
      <c r="C48" s="6" t="s">
        <v>755</v>
      </c>
      <c r="D48" s="6" t="str">
        <f t="shared" si="0"/>
        <v>MUHAMMAD SAQLAIN</v>
      </c>
      <c r="E48" s="6" t="s">
        <v>103</v>
      </c>
      <c r="F48" s="6" t="s">
        <v>250</v>
      </c>
      <c r="G48" s="6" t="s">
        <v>751</v>
      </c>
      <c r="H48" s="6" t="s">
        <v>810</v>
      </c>
      <c r="I48" s="9">
        <v>17554531</v>
      </c>
      <c r="J48" s="6" t="s">
        <v>108</v>
      </c>
      <c r="K48" s="6" t="s">
        <v>109</v>
      </c>
      <c r="L48" s="6" t="str">
        <f t="shared" si="1"/>
        <v>Brittany Oliver</v>
      </c>
      <c r="M48" s="6" t="s">
        <v>57</v>
      </c>
      <c r="N48" s="7">
        <v>46038</v>
      </c>
      <c r="O48" s="7">
        <v>46128</v>
      </c>
      <c r="P48" s="6">
        <f t="shared" si="2"/>
        <v>3</v>
      </c>
      <c r="Q48" s="7" t="s">
        <v>261</v>
      </c>
      <c r="R48" s="7" t="s">
        <v>842</v>
      </c>
      <c r="S48" s="8">
        <v>9.9499999999999993</v>
      </c>
      <c r="T48" s="6">
        <v>1</v>
      </c>
      <c r="U48" s="6" t="s">
        <v>58</v>
      </c>
      <c r="V48" s="11">
        <v>0.27</v>
      </c>
      <c r="W48" s="6" t="s">
        <v>60</v>
      </c>
      <c r="X48" s="6" t="s">
        <v>262</v>
      </c>
      <c r="Y48" s="8">
        <v>2.69</v>
      </c>
    </row>
    <row r="49" spans="1:30" s="6" customFormat="1" x14ac:dyDescent="0.3">
      <c r="A49" s="6">
        <v>2033175260</v>
      </c>
      <c r="B49" s="6" t="s">
        <v>754</v>
      </c>
      <c r="C49" s="6" t="s">
        <v>755</v>
      </c>
      <c r="D49" s="6" t="str">
        <f t="shared" si="0"/>
        <v>MUHAMMAD SAQLAIN</v>
      </c>
      <c r="E49" s="6" t="s">
        <v>103</v>
      </c>
      <c r="F49" s="6" t="s">
        <v>250</v>
      </c>
      <c r="G49" s="6" t="s">
        <v>751</v>
      </c>
      <c r="H49" s="6" t="s">
        <v>810</v>
      </c>
      <c r="I49" s="9">
        <v>17554531</v>
      </c>
      <c r="J49" s="6" t="s">
        <v>108</v>
      </c>
      <c r="K49" s="6" t="s">
        <v>109</v>
      </c>
      <c r="L49" s="6" t="str">
        <f t="shared" si="1"/>
        <v>Brittany Oliver</v>
      </c>
      <c r="M49" s="6" t="s">
        <v>57</v>
      </c>
      <c r="N49" s="7">
        <v>46038</v>
      </c>
      <c r="O49" s="7">
        <v>46128</v>
      </c>
      <c r="P49" s="6">
        <f t="shared" si="2"/>
        <v>3</v>
      </c>
      <c r="Q49" s="7" t="s">
        <v>261</v>
      </c>
      <c r="R49" s="7" t="s">
        <v>842</v>
      </c>
      <c r="S49" s="8">
        <v>5</v>
      </c>
      <c r="T49" s="6">
        <v>1</v>
      </c>
      <c r="U49" s="6" t="s">
        <v>58</v>
      </c>
      <c r="V49" s="11">
        <v>0.27</v>
      </c>
      <c r="W49" s="6" t="s">
        <v>60</v>
      </c>
      <c r="X49" s="6" t="s">
        <v>262</v>
      </c>
      <c r="Y49" s="8">
        <v>1.35</v>
      </c>
    </row>
    <row r="50" spans="1:30" s="6" customFormat="1" x14ac:dyDescent="0.3">
      <c r="A50" s="6">
        <v>2033197014</v>
      </c>
      <c r="B50" s="6" t="s">
        <v>396</v>
      </c>
      <c r="C50" s="6" t="s">
        <v>397</v>
      </c>
      <c r="D50" s="6" t="str">
        <f t="shared" si="0"/>
        <v>CHANON BOYKINS</v>
      </c>
      <c r="E50" s="6" t="s">
        <v>86</v>
      </c>
      <c r="F50" s="6" t="s">
        <v>65</v>
      </c>
      <c r="G50" s="6" t="s">
        <v>66</v>
      </c>
      <c r="H50" s="6" t="s">
        <v>797</v>
      </c>
      <c r="I50" s="9" t="s">
        <v>801</v>
      </c>
      <c r="J50" s="6" t="s">
        <v>398</v>
      </c>
      <c r="K50" s="6" t="s">
        <v>399</v>
      </c>
      <c r="L50" s="6" t="str">
        <f t="shared" si="1"/>
        <v>CHRISTIAN TAUGNER</v>
      </c>
      <c r="M50" s="6" t="s">
        <v>57</v>
      </c>
      <c r="N50" s="7">
        <v>46044</v>
      </c>
      <c r="O50" s="7">
        <v>46134</v>
      </c>
      <c r="P50" s="6">
        <f t="shared" si="2"/>
        <v>3</v>
      </c>
      <c r="Q50" s="7" t="s">
        <v>261</v>
      </c>
      <c r="R50" s="7" t="s">
        <v>842</v>
      </c>
      <c r="S50" s="8">
        <v>34.21</v>
      </c>
      <c r="T50" s="6">
        <v>1</v>
      </c>
      <c r="U50" s="6" t="s">
        <v>58</v>
      </c>
      <c r="V50" s="11">
        <v>0.75</v>
      </c>
      <c r="W50" s="6" t="s">
        <v>60</v>
      </c>
      <c r="X50" s="6" t="s">
        <v>262</v>
      </c>
      <c r="Y50" s="8">
        <v>25.66</v>
      </c>
    </row>
    <row r="51" spans="1:30" s="6" customFormat="1" x14ac:dyDescent="0.3">
      <c r="A51" s="6">
        <v>2033197012</v>
      </c>
      <c r="B51" s="6" t="s">
        <v>396</v>
      </c>
      <c r="C51" s="6" t="s">
        <v>397</v>
      </c>
      <c r="D51" s="6" t="str">
        <f t="shared" si="0"/>
        <v>CHANON BOYKINS</v>
      </c>
      <c r="E51" s="6" t="s">
        <v>86</v>
      </c>
      <c r="F51" s="6" t="s">
        <v>222</v>
      </c>
      <c r="G51" s="6" t="s">
        <v>223</v>
      </c>
      <c r="H51" s="6" t="s">
        <v>223</v>
      </c>
      <c r="I51" s="9" t="s">
        <v>801</v>
      </c>
      <c r="J51" s="6" t="s">
        <v>398</v>
      </c>
      <c r="K51" s="6" t="s">
        <v>399</v>
      </c>
      <c r="L51" s="6" t="str">
        <f t="shared" si="1"/>
        <v>CHRISTIAN TAUGNER</v>
      </c>
      <c r="M51" s="6" t="s">
        <v>57</v>
      </c>
      <c r="N51" s="7">
        <v>46044</v>
      </c>
      <c r="O51" s="7">
        <v>46134</v>
      </c>
      <c r="P51" s="6">
        <f t="shared" si="2"/>
        <v>3</v>
      </c>
      <c r="Q51" s="7" t="s">
        <v>261</v>
      </c>
      <c r="R51" s="7" t="s">
        <v>842</v>
      </c>
      <c r="S51" s="8">
        <v>42.36</v>
      </c>
      <c r="T51" s="6">
        <v>1</v>
      </c>
      <c r="U51" s="6" t="s">
        <v>58</v>
      </c>
      <c r="V51" s="11">
        <v>0.7</v>
      </c>
      <c r="W51" s="6" t="s">
        <v>60</v>
      </c>
      <c r="X51" s="6" t="s">
        <v>262</v>
      </c>
      <c r="Y51" s="8">
        <v>29.65</v>
      </c>
    </row>
    <row r="52" spans="1:30" s="6" customFormat="1" x14ac:dyDescent="0.3">
      <c r="A52" s="6">
        <v>2033197013</v>
      </c>
      <c r="B52" s="6" t="s">
        <v>396</v>
      </c>
      <c r="C52" s="6" t="s">
        <v>397</v>
      </c>
      <c r="D52" s="6" t="str">
        <f t="shared" si="0"/>
        <v>CHANON BOYKINS</v>
      </c>
      <c r="E52" s="6" t="s">
        <v>86</v>
      </c>
      <c r="F52" s="6" t="s">
        <v>222</v>
      </c>
      <c r="G52" s="6" t="s">
        <v>224</v>
      </c>
      <c r="H52" s="6" t="s">
        <v>224</v>
      </c>
      <c r="I52" s="9" t="s">
        <v>801</v>
      </c>
      <c r="J52" s="6" t="s">
        <v>398</v>
      </c>
      <c r="K52" s="6" t="s">
        <v>399</v>
      </c>
      <c r="L52" s="6" t="str">
        <f t="shared" si="1"/>
        <v>CHRISTIAN TAUGNER</v>
      </c>
      <c r="M52" s="6" t="s">
        <v>57</v>
      </c>
      <c r="N52" s="7">
        <v>46044</v>
      </c>
      <c r="O52" s="7">
        <v>46134</v>
      </c>
      <c r="P52" s="6">
        <f t="shared" si="2"/>
        <v>3</v>
      </c>
      <c r="Q52" s="7" t="s">
        <v>261</v>
      </c>
      <c r="R52" s="7" t="s">
        <v>842</v>
      </c>
      <c r="S52" s="8">
        <v>21.73</v>
      </c>
      <c r="T52" s="6">
        <v>1</v>
      </c>
      <c r="U52" s="6" t="s">
        <v>58</v>
      </c>
      <c r="V52" s="11">
        <v>0.9</v>
      </c>
      <c r="W52" s="6" t="s">
        <v>60</v>
      </c>
      <c r="X52" s="6" t="s">
        <v>262</v>
      </c>
      <c r="Y52" s="8">
        <v>19.559999999999999</v>
      </c>
    </row>
    <row r="53" spans="1:30" s="6" customFormat="1" x14ac:dyDescent="0.3">
      <c r="A53" s="6">
        <v>2033325944</v>
      </c>
      <c r="B53" s="6" t="s">
        <v>465</v>
      </c>
      <c r="C53" s="6" t="s">
        <v>466</v>
      </c>
      <c r="D53" s="6" t="str">
        <f t="shared" si="0"/>
        <v>BRANDEE FONTANINI</v>
      </c>
      <c r="E53" s="6" t="s">
        <v>64</v>
      </c>
      <c r="F53" s="6" t="s">
        <v>220</v>
      </c>
      <c r="G53" s="6" t="s">
        <v>568</v>
      </c>
      <c r="H53" s="6" t="s">
        <v>568</v>
      </c>
      <c r="I53" s="9" t="s">
        <v>826</v>
      </c>
      <c r="J53" s="6" t="s">
        <v>438</v>
      </c>
      <c r="K53" s="6" t="s">
        <v>439</v>
      </c>
      <c r="L53" s="6" t="str">
        <f t="shared" si="1"/>
        <v>Dale Walenga</v>
      </c>
      <c r="M53" s="6" t="s">
        <v>57</v>
      </c>
      <c r="N53" s="7">
        <v>46049</v>
      </c>
      <c r="O53" s="7">
        <v>46139</v>
      </c>
      <c r="P53" s="6">
        <f t="shared" si="2"/>
        <v>3</v>
      </c>
      <c r="Q53" s="7" t="s">
        <v>261</v>
      </c>
      <c r="R53" s="7" t="s">
        <v>842</v>
      </c>
      <c r="S53" s="8">
        <v>268.01</v>
      </c>
      <c r="T53" s="6">
        <v>1</v>
      </c>
      <c r="U53" s="6" t="s">
        <v>58</v>
      </c>
      <c r="V53" s="11">
        <v>0.38</v>
      </c>
      <c r="W53" s="6" t="s">
        <v>60</v>
      </c>
      <c r="X53" s="6" t="s">
        <v>262</v>
      </c>
      <c r="Y53" s="8">
        <v>101.84</v>
      </c>
    </row>
    <row r="54" spans="1:30" s="6" customFormat="1" x14ac:dyDescent="0.3">
      <c r="A54" s="6">
        <v>2033325945</v>
      </c>
      <c r="B54" s="6" t="s">
        <v>465</v>
      </c>
      <c r="C54" s="6" t="s">
        <v>466</v>
      </c>
      <c r="D54" s="6" t="str">
        <f t="shared" si="0"/>
        <v>BRANDEE FONTANINI</v>
      </c>
      <c r="E54" s="6" t="s">
        <v>64</v>
      </c>
      <c r="F54" s="6" t="s">
        <v>220</v>
      </c>
      <c r="G54" s="6" t="s">
        <v>569</v>
      </c>
      <c r="H54" s="6" t="s">
        <v>568</v>
      </c>
      <c r="I54" s="9" t="s">
        <v>826</v>
      </c>
      <c r="J54" s="6" t="s">
        <v>438</v>
      </c>
      <c r="K54" s="6" t="s">
        <v>439</v>
      </c>
      <c r="L54" s="6" t="str">
        <f t="shared" si="1"/>
        <v>Dale Walenga</v>
      </c>
      <c r="M54" s="6" t="s">
        <v>57</v>
      </c>
      <c r="N54" s="7">
        <v>46049</v>
      </c>
      <c r="O54" s="7">
        <v>46139</v>
      </c>
      <c r="P54" s="6">
        <f t="shared" si="2"/>
        <v>3</v>
      </c>
      <c r="Q54" s="7" t="s">
        <v>261</v>
      </c>
      <c r="R54" s="7" t="s">
        <v>842</v>
      </c>
      <c r="S54" s="8">
        <v>7.09</v>
      </c>
      <c r="T54" s="6">
        <v>1</v>
      </c>
      <c r="U54" s="6" t="s">
        <v>58</v>
      </c>
      <c r="V54" s="11">
        <v>0.38</v>
      </c>
      <c r="W54" s="6" t="s">
        <v>60</v>
      </c>
      <c r="X54" s="6" t="s">
        <v>262</v>
      </c>
      <c r="Y54" s="8">
        <v>2.69</v>
      </c>
    </row>
    <row r="55" spans="1:30" s="6" customFormat="1" x14ac:dyDescent="0.3">
      <c r="A55" s="6">
        <v>2033325946</v>
      </c>
      <c r="B55" s="6" t="s">
        <v>465</v>
      </c>
      <c r="C55" s="6" t="s">
        <v>466</v>
      </c>
      <c r="D55" s="6" t="str">
        <f t="shared" si="0"/>
        <v>BRANDEE FONTANINI</v>
      </c>
      <c r="E55" s="6" t="s">
        <v>64</v>
      </c>
      <c r="F55" s="6" t="s">
        <v>157</v>
      </c>
      <c r="G55" s="6" t="s">
        <v>437</v>
      </c>
      <c r="H55" s="6" t="s">
        <v>437</v>
      </c>
      <c r="I55" s="9" t="s">
        <v>826</v>
      </c>
      <c r="J55" s="6" t="s">
        <v>438</v>
      </c>
      <c r="K55" s="6" t="s">
        <v>439</v>
      </c>
      <c r="L55" s="6" t="str">
        <f t="shared" si="1"/>
        <v>Dale Walenga</v>
      </c>
      <c r="M55" s="6" t="s">
        <v>57</v>
      </c>
      <c r="N55" s="7">
        <v>46049</v>
      </c>
      <c r="O55" s="7">
        <v>46139</v>
      </c>
      <c r="P55" s="6">
        <f t="shared" si="2"/>
        <v>3</v>
      </c>
      <c r="Q55" s="7" t="s">
        <v>261</v>
      </c>
      <c r="R55" s="7" t="s">
        <v>842</v>
      </c>
      <c r="S55" s="8">
        <v>15</v>
      </c>
      <c r="T55" s="6">
        <v>1</v>
      </c>
      <c r="U55" s="6" t="s">
        <v>58</v>
      </c>
      <c r="V55" s="11">
        <v>0.38</v>
      </c>
      <c r="W55" s="6" t="s">
        <v>60</v>
      </c>
      <c r="X55" s="6" t="s">
        <v>262</v>
      </c>
      <c r="Y55" s="8">
        <v>5.7</v>
      </c>
    </row>
    <row r="56" spans="1:30" s="6" customFormat="1" x14ac:dyDescent="0.3">
      <c r="A56" s="6">
        <v>2033246456</v>
      </c>
      <c r="B56" s="6" t="s">
        <v>716</v>
      </c>
      <c r="C56" s="6" t="s">
        <v>345</v>
      </c>
      <c r="D56" s="6" t="str">
        <f t="shared" si="0"/>
        <v>LAUREN FINLEY</v>
      </c>
      <c r="E56" s="6" t="s">
        <v>74</v>
      </c>
      <c r="F56" s="6" t="s">
        <v>222</v>
      </c>
      <c r="G56" s="6" t="s">
        <v>223</v>
      </c>
      <c r="H56" s="6" t="s">
        <v>223</v>
      </c>
      <c r="I56" s="9" t="s">
        <v>838</v>
      </c>
      <c r="J56" s="6" t="s">
        <v>717</v>
      </c>
      <c r="K56" s="6" t="s">
        <v>718</v>
      </c>
      <c r="L56" s="6" t="str">
        <f t="shared" si="1"/>
        <v>Giovanni Flamminio</v>
      </c>
      <c r="M56" s="6" t="s">
        <v>57</v>
      </c>
      <c r="N56" s="7">
        <v>46043</v>
      </c>
      <c r="O56" s="7">
        <v>46133</v>
      </c>
      <c r="P56" s="6">
        <f t="shared" si="2"/>
        <v>3</v>
      </c>
      <c r="Q56" s="7" t="s">
        <v>261</v>
      </c>
      <c r="R56" s="7" t="s">
        <v>842</v>
      </c>
      <c r="S56" s="8">
        <v>134.71</v>
      </c>
      <c r="T56" s="6">
        <v>1</v>
      </c>
      <c r="U56" s="6" t="s">
        <v>58</v>
      </c>
      <c r="V56" s="11">
        <v>0.7</v>
      </c>
      <c r="W56" s="6" t="s">
        <v>60</v>
      </c>
      <c r="X56" s="6" t="s">
        <v>262</v>
      </c>
      <c r="Y56" s="8">
        <v>94.3</v>
      </c>
    </row>
    <row r="57" spans="1:30" x14ac:dyDescent="0.3">
      <c r="A57" s="6">
        <v>2033297762</v>
      </c>
      <c r="B57" s="6" t="s">
        <v>723</v>
      </c>
      <c r="C57" s="6" t="s">
        <v>377</v>
      </c>
      <c r="D57" s="6" t="str">
        <f t="shared" si="0"/>
        <v>CHRISTOPHER THREADGILL</v>
      </c>
      <c r="E57" s="6" t="s">
        <v>86</v>
      </c>
      <c r="F57" s="6" t="s">
        <v>222</v>
      </c>
      <c r="G57" s="6" t="s">
        <v>223</v>
      </c>
      <c r="H57" s="6" t="s">
        <v>223</v>
      </c>
      <c r="I57" s="9" t="s">
        <v>823</v>
      </c>
      <c r="J57" s="6" t="s">
        <v>165</v>
      </c>
      <c r="K57" s="6" t="s">
        <v>166</v>
      </c>
      <c r="L57" s="6" t="str">
        <f t="shared" si="1"/>
        <v>Ines Berg</v>
      </c>
      <c r="M57" s="6" t="s">
        <v>57</v>
      </c>
      <c r="N57" s="7">
        <v>46046</v>
      </c>
      <c r="O57" s="7">
        <v>46136</v>
      </c>
      <c r="P57" s="6">
        <f t="shared" si="2"/>
        <v>3</v>
      </c>
      <c r="Q57" s="7" t="s">
        <v>261</v>
      </c>
      <c r="R57" s="7" t="s">
        <v>842</v>
      </c>
      <c r="S57" s="8">
        <v>29.58</v>
      </c>
      <c r="T57" s="6">
        <v>1</v>
      </c>
      <c r="U57" s="6" t="s">
        <v>58</v>
      </c>
      <c r="V57" s="11">
        <v>0.7</v>
      </c>
      <c r="W57" s="6" t="s">
        <v>60</v>
      </c>
      <c r="X57" s="6" t="s">
        <v>262</v>
      </c>
      <c r="Y57" s="8">
        <v>20.71</v>
      </c>
      <c r="Z57" s="6"/>
      <c r="AA57" s="6"/>
      <c r="AB57" s="6"/>
      <c r="AC57" s="6"/>
      <c r="AD57" s="6"/>
    </row>
    <row r="58" spans="1:30" x14ac:dyDescent="0.3">
      <c r="A58" s="6">
        <v>2033302442</v>
      </c>
      <c r="B58" s="6" t="s">
        <v>404</v>
      </c>
      <c r="C58" s="6" t="s">
        <v>405</v>
      </c>
      <c r="D58" s="6" t="str">
        <f t="shared" si="0"/>
        <v>DEANNA WOODWORTH</v>
      </c>
      <c r="E58" s="6" t="s">
        <v>64</v>
      </c>
      <c r="F58" s="6" t="s">
        <v>65</v>
      </c>
      <c r="G58" s="6" t="s">
        <v>66</v>
      </c>
      <c r="H58" s="6" t="s">
        <v>797</v>
      </c>
      <c r="I58" s="9" t="s">
        <v>822</v>
      </c>
      <c r="J58" s="6" t="s">
        <v>406</v>
      </c>
      <c r="K58" s="6" t="s">
        <v>197</v>
      </c>
      <c r="L58" s="6" t="str">
        <f t="shared" si="1"/>
        <v>James Allen</v>
      </c>
      <c r="M58" s="6" t="s">
        <v>57</v>
      </c>
      <c r="N58" s="7">
        <v>46047</v>
      </c>
      <c r="O58" s="7">
        <v>46137</v>
      </c>
      <c r="P58" s="6">
        <f t="shared" si="2"/>
        <v>3</v>
      </c>
      <c r="Q58" s="7" t="s">
        <v>261</v>
      </c>
      <c r="R58" s="7" t="s">
        <v>842</v>
      </c>
      <c r="S58" s="8">
        <v>37.33</v>
      </c>
      <c r="T58" s="6">
        <v>1</v>
      </c>
      <c r="U58" s="6" t="s">
        <v>58</v>
      </c>
      <c r="V58" s="11">
        <v>0.75</v>
      </c>
      <c r="W58" s="6" t="s">
        <v>60</v>
      </c>
      <c r="X58" s="6" t="s">
        <v>262</v>
      </c>
      <c r="Y58" s="8">
        <v>28</v>
      </c>
      <c r="Z58" s="6"/>
      <c r="AA58" s="6"/>
      <c r="AB58" s="6"/>
      <c r="AC58" s="6"/>
      <c r="AD58" s="6"/>
    </row>
    <row r="59" spans="1:30" x14ac:dyDescent="0.3">
      <c r="A59" s="6">
        <v>2033302441</v>
      </c>
      <c r="B59" s="6" t="s">
        <v>404</v>
      </c>
      <c r="C59" s="6" t="s">
        <v>405</v>
      </c>
      <c r="D59" s="6" t="str">
        <f t="shared" si="0"/>
        <v>DEANNA WOODWORTH</v>
      </c>
      <c r="E59" s="6" t="s">
        <v>64</v>
      </c>
      <c r="F59" s="6" t="s">
        <v>163</v>
      </c>
      <c r="G59" s="6" t="s">
        <v>164</v>
      </c>
      <c r="H59" s="6" t="s">
        <v>164</v>
      </c>
      <c r="I59" s="9" t="s">
        <v>822</v>
      </c>
      <c r="J59" s="6" t="s">
        <v>406</v>
      </c>
      <c r="K59" s="6" t="s">
        <v>197</v>
      </c>
      <c r="L59" s="6" t="str">
        <f t="shared" si="1"/>
        <v>James Allen</v>
      </c>
      <c r="M59" s="6" t="s">
        <v>57</v>
      </c>
      <c r="N59" s="7">
        <v>46047</v>
      </c>
      <c r="O59" s="7">
        <v>46137</v>
      </c>
      <c r="P59" s="6">
        <f t="shared" si="2"/>
        <v>3</v>
      </c>
      <c r="Q59" s="7" t="s">
        <v>261</v>
      </c>
      <c r="R59" s="7" t="s">
        <v>842</v>
      </c>
      <c r="S59" s="8">
        <v>129.47999999999999</v>
      </c>
      <c r="T59" s="6">
        <v>1</v>
      </c>
      <c r="U59" s="6" t="s">
        <v>58</v>
      </c>
      <c r="V59" s="12">
        <v>0.375</v>
      </c>
      <c r="W59" s="6" t="s">
        <v>60</v>
      </c>
      <c r="X59" s="6" t="s">
        <v>262</v>
      </c>
      <c r="Y59" s="8">
        <v>48.56</v>
      </c>
      <c r="Z59" s="6"/>
      <c r="AA59" s="6"/>
      <c r="AB59" s="6"/>
      <c r="AC59" s="6"/>
      <c r="AD59" s="6"/>
    </row>
    <row r="60" spans="1:30" x14ac:dyDescent="0.3">
      <c r="A60" s="6">
        <v>2033305450</v>
      </c>
      <c r="B60" s="6" t="s">
        <v>651</v>
      </c>
      <c r="C60" s="6" t="s">
        <v>726</v>
      </c>
      <c r="D60" s="6" t="str">
        <f t="shared" si="0"/>
        <v>GANBADRAL NASANJARGAL</v>
      </c>
      <c r="E60" s="6" t="s">
        <v>64</v>
      </c>
      <c r="F60" s="6" t="s">
        <v>222</v>
      </c>
      <c r="G60" s="6" t="s">
        <v>223</v>
      </c>
      <c r="H60" s="6" t="s">
        <v>223</v>
      </c>
      <c r="I60" s="9" t="s">
        <v>804</v>
      </c>
      <c r="J60" s="6" t="s">
        <v>246</v>
      </c>
      <c r="K60" s="6" t="s">
        <v>247</v>
      </c>
      <c r="L60" s="6" t="str">
        <f t="shared" si="1"/>
        <v>NASANDELGER ZANA</v>
      </c>
      <c r="M60" s="6" t="s">
        <v>57</v>
      </c>
      <c r="N60" s="7">
        <v>46046</v>
      </c>
      <c r="O60" s="7">
        <v>46136</v>
      </c>
      <c r="P60" s="6">
        <f t="shared" si="2"/>
        <v>3</v>
      </c>
      <c r="Q60" s="7" t="s">
        <v>261</v>
      </c>
      <c r="R60" s="7" t="s">
        <v>842</v>
      </c>
      <c r="S60" s="8">
        <v>52</v>
      </c>
      <c r="T60" s="6">
        <v>1</v>
      </c>
      <c r="U60" s="6" t="s">
        <v>58</v>
      </c>
      <c r="V60" s="11">
        <v>0.7</v>
      </c>
      <c r="W60" s="6" t="s">
        <v>60</v>
      </c>
      <c r="X60" s="6" t="s">
        <v>262</v>
      </c>
      <c r="Y60" s="8">
        <v>36.4</v>
      </c>
      <c r="Z60" s="6"/>
      <c r="AA60" s="6"/>
      <c r="AB60" s="6"/>
      <c r="AC60" s="6"/>
      <c r="AD60" s="6"/>
    </row>
    <row r="61" spans="1:30" x14ac:dyDescent="0.3">
      <c r="A61" s="6">
        <v>2033039874</v>
      </c>
      <c r="B61" s="6" t="s">
        <v>712</v>
      </c>
      <c r="C61" s="6" t="s">
        <v>713</v>
      </c>
      <c r="D61" s="6" t="str">
        <f t="shared" si="0"/>
        <v>MUNKHJARGAL GANKHUYAG</v>
      </c>
      <c r="E61" s="6" t="s">
        <v>64</v>
      </c>
      <c r="F61" s="6" t="s">
        <v>222</v>
      </c>
      <c r="G61" s="6" t="s">
        <v>223</v>
      </c>
      <c r="H61" s="6" t="s">
        <v>223</v>
      </c>
      <c r="I61" s="9" t="s">
        <v>804</v>
      </c>
      <c r="J61" s="6" t="s">
        <v>246</v>
      </c>
      <c r="K61" s="6" t="s">
        <v>247</v>
      </c>
      <c r="L61" s="6" t="str">
        <f t="shared" si="1"/>
        <v>NASANDELGER ZANA</v>
      </c>
      <c r="M61" s="6" t="s">
        <v>57</v>
      </c>
      <c r="N61" s="7">
        <v>46030</v>
      </c>
      <c r="O61" s="7">
        <v>46120</v>
      </c>
      <c r="P61" s="6">
        <f t="shared" si="2"/>
        <v>3</v>
      </c>
      <c r="Q61" s="7" t="s">
        <v>261</v>
      </c>
      <c r="R61" s="7" t="s">
        <v>842</v>
      </c>
      <c r="S61" s="8">
        <v>95.92</v>
      </c>
      <c r="T61" s="6">
        <v>1</v>
      </c>
      <c r="U61" s="6" t="s">
        <v>58</v>
      </c>
      <c r="V61" s="11">
        <v>0.7</v>
      </c>
      <c r="W61" s="6" t="s">
        <v>60</v>
      </c>
      <c r="X61" s="6" t="s">
        <v>262</v>
      </c>
      <c r="Y61" s="8">
        <v>67.14</v>
      </c>
      <c r="Z61" s="6"/>
      <c r="AA61" s="6"/>
      <c r="AB61" s="6"/>
      <c r="AC61" s="6"/>
      <c r="AD61" s="6"/>
    </row>
    <row r="62" spans="1:30" x14ac:dyDescent="0.3">
      <c r="A62" s="6">
        <v>2033259763</v>
      </c>
      <c r="B62" s="6" t="s">
        <v>402</v>
      </c>
      <c r="C62" s="6" t="s">
        <v>403</v>
      </c>
      <c r="D62" s="6" t="str">
        <f t="shared" si="0"/>
        <v>JANE NICOL</v>
      </c>
      <c r="E62" s="6" t="s">
        <v>64</v>
      </c>
      <c r="F62" s="6" t="s">
        <v>65</v>
      </c>
      <c r="G62" s="6" t="s">
        <v>66</v>
      </c>
      <c r="H62" s="6" t="s">
        <v>797</v>
      </c>
      <c r="I62" s="9" t="s">
        <v>818</v>
      </c>
      <c r="J62" s="6" t="s">
        <v>67</v>
      </c>
      <c r="K62" s="6" t="s">
        <v>68</v>
      </c>
      <c r="L62" s="6" t="str">
        <f t="shared" si="1"/>
        <v>Richard Yale</v>
      </c>
      <c r="M62" s="6" t="s">
        <v>57</v>
      </c>
      <c r="N62" s="7">
        <v>46047</v>
      </c>
      <c r="O62" s="7">
        <v>46137</v>
      </c>
      <c r="P62" s="6">
        <f t="shared" si="2"/>
        <v>3</v>
      </c>
      <c r="Q62" s="7" t="s">
        <v>261</v>
      </c>
      <c r="R62" s="7" t="s">
        <v>842</v>
      </c>
      <c r="S62" s="8">
        <v>69.3</v>
      </c>
      <c r="T62" s="6">
        <v>1</v>
      </c>
      <c r="U62" s="6" t="s">
        <v>58</v>
      </c>
      <c r="V62" s="11">
        <v>0.75</v>
      </c>
      <c r="W62" s="6" t="s">
        <v>60</v>
      </c>
      <c r="X62" s="6" t="s">
        <v>262</v>
      </c>
      <c r="Y62" s="8">
        <v>51.98</v>
      </c>
      <c r="Z62" s="6"/>
      <c r="AA62" s="6"/>
      <c r="AB62" s="6"/>
      <c r="AC62" s="6"/>
      <c r="AD62" s="6"/>
    </row>
    <row r="63" spans="1:30" x14ac:dyDescent="0.3">
      <c r="A63" s="6">
        <v>2033259762</v>
      </c>
      <c r="B63" s="6" t="s">
        <v>402</v>
      </c>
      <c r="C63" s="6" t="s">
        <v>403</v>
      </c>
      <c r="D63" s="6" t="str">
        <f t="shared" si="0"/>
        <v>JANE NICOL</v>
      </c>
      <c r="E63" s="6" t="s">
        <v>64</v>
      </c>
      <c r="F63" s="6" t="s">
        <v>222</v>
      </c>
      <c r="G63" s="6" t="s">
        <v>223</v>
      </c>
      <c r="H63" s="6" t="s">
        <v>223</v>
      </c>
      <c r="I63" s="9" t="s">
        <v>818</v>
      </c>
      <c r="J63" s="6" t="s">
        <v>67</v>
      </c>
      <c r="K63" s="6" t="s">
        <v>68</v>
      </c>
      <c r="L63" s="6" t="str">
        <f t="shared" si="1"/>
        <v>Richard Yale</v>
      </c>
      <c r="M63" s="6" t="s">
        <v>57</v>
      </c>
      <c r="N63" s="7">
        <v>46047</v>
      </c>
      <c r="O63" s="7">
        <v>46137</v>
      </c>
      <c r="P63" s="6">
        <f t="shared" si="2"/>
        <v>3</v>
      </c>
      <c r="Q63" s="7" t="s">
        <v>261</v>
      </c>
      <c r="R63" s="7" t="s">
        <v>842</v>
      </c>
      <c r="S63" s="8">
        <v>124.72</v>
      </c>
      <c r="T63" s="6">
        <v>1</v>
      </c>
      <c r="U63" s="6" t="s">
        <v>58</v>
      </c>
      <c r="V63" s="11">
        <v>0.7</v>
      </c>
      <c r="W63" s="6" t="s">
        <v>60</v>
      </c>
      <c r="X63" s="6" t="s">
        <v>262</v>
      </c>
      <c r="Y63" s="8">
        <v>87.3</v>
      </c>
      <c r="Z63" s="6"/>
      <c r="AA63" s="6"/>
      <c r="AB63" s="6"/>
      <c r="AC63" s="6"/>
      <c r="AD63" s="6"/>
    </row>
    <row r="64" spans="1:30" x14ac:dyDescent="0.3">
      <c r="A64" s="6">
        <v>2032689734</v>
      </c>
      <c r="B64" s="6" t="s">
        <v>703</v>
      </c>
      <c r="C64" s="6" t="s">
        <v>116</v>
      </c>
      <c r="D64" s="6" t="str">
        <f t="shared" si="0"/>
        <v>MATTHEW MONAGHAN</v>
      </c>
      <c r="E64" s="6" t="s">
        <v>86</v>
      </c>
      <c r="F64" s="6" t="s">
        <v>222</v>
      </c>
      <c r="G64" s="6" t="s">
        <v>223</v>
      </c>
      <c r="H64" s="6" t="s">
        <v>223</v>
      </c>
      <c r="I64" s="9" t="s">
        <v>823</v>
      </c>
      <c r="J64" s="6" t="s">
        <v>165</v>
      </c>
      <c r="K64" s="6" t="s">
        <v>166</v>
      </c>
      <c r="L64" s="6" t="str">
        <f t="shared" si="1"/>
        <v>Ines Berg</v>
      </c>
      <c r="M64" s="6" t="s">
        <v>57</v>
      </c>
      <c r="N64" s="7">
        <v>46007</v>
      </c>
      <c r="O64" s="7">
        <v>46128</v>
      </c>
      <c r="P64" s="6">
        <f t="shared" si="2"/>
        <v>4</v>
      </c>
      <c r="Q64" s="7" t="s">
        <v>261</v>
      </c>
      <c r="R64" s="7" t="s">
        <v>842</v>
      </c>
      <c r="S64" s="8">
        <v>22.83</v>
      </c>
      <c r="T64" s="6">
        <v>1</v>
      </c>
      <c r="U64" s="6" t="s">
        <v>58</v>
      </c>
      <c r="V64" s="11">
        <v>0.7</v>
      </c>
      <c r="W64" s="6" t="s">
        <v>60</v>
      </c>
      <c r="X64" s="6" t="s">
        <v>262</v>
      </c>
      <c r="Y64" s="8">
        <v>15.98</v>
      </c>
      <c r="Z64" s="6"/>
      <c r="AA64" s="6"/>
      <c r="AB64" s="6"/>
      <c r="AC64" s="6"/>
      <c r="AD64" s="6"/>
    </row>
    <row r="65" spans="1:30" x14ac:dyDescent="0.3">
      <c r="A65" s="6">
        <v>2032849421</v>
      </c>
      <c r="B65" s="6" t="s">
        <v>487</v>
      </c>
      <c r="C65" s="6" t="s">
        <v>550</v>
      </c>
      <c r="D65" s="6" t="str">
        <f t="shared" si="0"/>
        <v>AHSAKI JONES</v>
      </c>
      <c r="E65" s="6" t="s">
        <v>210</v>
      </c>
      <c r="F65" s="6" t="s">
        <v>163</v>
      </c>
      <c r="G65" s="6" t="s">
        <v>164</v>
      </c>
      <c r="H65" s="6" t="s">
        <v>164</v>
      </c>
      <c r="I65" s="9" t="s">
        <v>834</v>
      </c>
      <c r="J65" s="6" t="s">
        <v>433</v>
      </c>
      <c r="K65" s="6" t="s">
        <v>434</v>
      </c>
      <c r="L65" s="6" t="str">
        <f t="shared" si="1"/>
        <v>JARED KINYUA</v>
      </c>
      <c r="M65" s="6" t="s">
        <v>57</v>
      </c>
      <c r="N65" s="7">
        <v>46018</v>
      </c>
      <c r="O65" s="7">
        <v>46139</v>
      </c>
      <c r="P65" s="6">
        <f t="shared" si="2"/>
        <v>4</v>
      </c>
      <c r="Q65" s="7" t="s">
        <v>261</v>
      </c>
      <c r="R65" s="7" t="s">
        <v>842</v>
      </c>
      <c r="S65" s="8">
        <v>104.89</v>
      </c>
      <c r="T65" s="6">
        <v>1</v>
      </c>
      <c r="U65" s="6" t="s">
        <v>58</v>
      </c>
      <c r="V65" s="12">
        <v>0.375</v>
      </c>
      <c r="W65" s="6" t="s">
        <v>60</v>
      </c>
      <c r="X65" s="6" t="s">
        <v>262</v>
      </c>
      <c r="Y65" s="8">
        <v>39.33</v>
      </c>
      <c r="Z65" s="6"/>
      <c r="AA65" s="6"/>
      <c r="AB65" s="6"/>
      <c r="AC65" s="6"/>
      <c r="AD65" s="6"/>
    </row>
    <row r="66" spans="1:30" x14ac:dyDescent="0.3">
      <c r="A66" s="6">
        <v>2032829633</v>
      </c>
      <c r="B66" s="6" t="s">
        <v>708</v>
      </c>
      <c r="C66" s="6" t="s">
        <v>709</v>
      </c>
      <c r="D66" s="6" t="str">
        <f t="shared" ref="D66:D129" si="3">_xlfn.CONCAT(C66," ",B66)</f>
        <v>TAMMY WILLIAMSON</v>
      </c>
      <c r="E66" s="6" t="s">
        <v>117</v>
      </c>
      <c r="F66" s="6" t="s">
        <v>222</v>
      </c>
      <c r="G66" s="6" t="s">
        <v>223</v>
      </c>
      <c r="H66" s="6" t="s">
        <v>223</v>
      </c>
      <c r="I66" s="9" t="s">
        <v>820</v>
      </c>
      <c r="J66" s="6" t="s">
        <v>392</v>
      </c>
      <c r="K66" s="6" t="s">
        <v>393</v>
      </c>
      <c r="L66" s="6" t="str">
        <f t="shared" ref="L66:L129" si="4">_xlfn.CONCAT(K66," ",J66)</f>
        <v>Raluca Cheregi</v>
      </c>
      <c r="M66" s="6" t="s">
        <v>57</v>
      </c>
      <c r="N66" s="7">
        <v>46015</v>
      </c>
      <c r="O66" s="7">
        <v>46136</v>
      </c>
      <c r="P66" s="6">
        <f t="shared" ref="P66:P129" si="5">DATEDIF(N66,O66,"M")</f>
        <v>4</v>
      </c>
      <c r="Q66" s="7" t="s">
        <v>261</v>
      </c>
      <c r="R66" s="7" t="s">
        <v>842</v>
      </c>
      <c r="S66" s="8">
        <v>217.09</v>
      </c>
      <c r="T66" s="6">
        <v>1</v>
      </c>
      <c r="U66" s="6" t="s">
        <v>58</v>
      </c>
      <c r="V66" s="11">
        <v>0.7</v>
      </c>
      <c r="W66" s="6" t="s">
        <v>60</v>
      </c>
      <c r="X66" s="6" t="s">
        <v>262</v>
      </c>
      <c r="Y66" s="8">
        <v>151.96</v>
      </c>
      <c r="Z66" s="6"/>
      <c r="AA66" s="6"/>
      <c r="AB66" s="6"/>
      <c r="AC66" s="6"/>
      <c r="AD66" s="6"/>
    </row>
    <row r="67" spans="1:30" x14ac:dyDescent="0.3">
      <c r="A67" s="6">
        <v>2032484434</v>
      </c>
      <c r="B67" s="6" t="s">
        <v>203</v>
      </c>
      <c r="C67" s="6" t="s">
        <v>548</v>
      </c>
      <c r="D67" s="6" t="str">
        <f t="shared" si="3"/>
        <v>BEN LOPEZ</v>
      </c>
      <c r="E67" s="6" t="s">
        <v>191</v>
      </c>
      <c r="F67" s="6" t="s">
        <v>163</v>
      </c>
      <c r="G67" s="6" t="s">
        <v>164</v>
      </c>
      <c r="H67" s="6" t="s">
        <v>164</v>
      </c>
      <c r="I67" s="9" t="s">
        <v>814</v>
      </c>
      <c r="J67" s="6" t="s">
        <v>185</v>
      </c>
      <c r="K67" s="6" t="s">
        <v>186</v>
      </c>
      <c r="L67" s="6" t="str">
        <f t="shared" si="4"/>
        <v>THOMAS PARDUE</v>
      </c>
      <c r="M67" s="6" t="s">
        <v>57</v>
      </c>
      <c r="N67" s="7">
        <v>46004</v>
      </c>
      <c r="O67" s="7">
        <v>46125</v>
      </c>
      <c r="P67" s="6">
        <f t="shared" si="5"/>
        <v>4</v>
      </c>
      <c r="Q67" s="7" t="s">
        <v>261</v>
      </c>
      <c r="R67" s="7" t="s">
        <v>842</v>
      </c>
      <c r="S67" s="8">
        <v>32.340000000000003</v>
      </c>
      <c r="T67" s="6">
        <v>1</v>
      </c>
      <c r="U67" s="6" t="s">
        <v>58</v>
      </c>
      <c r="V67" s="12">
        <v>0.375</v>
      </c>
      <c r="W67" s="6" t="s">
        <v>60</v>
      </c>
      <c r="X67" s="6" t="s">
        <v>262</v>
      </c>
      <c r="Y67" s="8">
        <v>12.13</v>
      </c>
      <c r="Z67" s="6"/>
      <c r="AA67" s="6"/>
      <c r="AB67" s="6"/>
      <c r="AC67" s="6"/>
      <c r="AD67" s="6"/>
    </row>
    <row r="68" spans="1:30" x14ac:dyDescent="0.3">
      <c r="A68" s="6">
        <v>2032365298</v>
      </c>
      <c r="B68" s="6" t="s">
        <v>373</v>
      </c>
      <c r="C68" s="6" t="s">
        <v>374</v>
      </c>
      <c r="D68" s="6" t="str">
        <f t="shared" si="3"/>
        <v>ALISON BEECH</v>
      </c>
      <c r="E68" s="6" t="s">
        <v>375</v>
      </c>
      <c r="F68" s="6" t="s">
        <v>65</v>
      </c>
      <c r="G68" s="6" t="s">
        <v>315</v>
      </c>
      <c r="H68" s="6" t="s">
        <v>807</v>
      </c>
      <c r="I68" s="9" t="s">
        <v>802</v>
      </c>
      <c r="J68" s="6" t="s">
        <v>153</v>
      </c>
      <c r="K68" s="6" t="s">
        <v>154</v>
      </c>
      <c r="L68" s="6" t="str">
        <f t="shared" si="4"/>
        <v>ANDREA PETRUNGARO</v>
      </c>
      <c r="M68" s="6" t="s">
        <v>57</v>
      </c>
      <c r="N68" s="7">
        <v>45987</v>
      </c>
      <c r="O68" s="7">
        <v>46138</v>
      </c>
      <c r="P68" s="6">
        <f t="shared" si="5"/>
        <v>5</v>
      </c>
      <c r="Q68" s="7" t="s">
        <v>261</v>
      </c>
      <c r="R68" s="7" t="s">
        <v>842</v>
      </c>
      <c r="S68" s="8">
        <v>35.5</v>
      </c>
      <c r="T68" s="6">
        <v>1</v>
      </c>
      <c r="U68" s="6" t="s">
        <v>58</v>
      </c>
      <c r="V68" s="11">
        <v>0.65</v>
      </c>
      <c r="W68" s="6" t="s">
        <v>60</v>
      </c>
      <c r="X68" s="6" t="s">
        <v>262</v>
      </c>
      <c r="Y68" s="8">
        <v>23.08</v>
      </c>
      <c r="Z68" s="6"/>
      <c r="AA68" s="6"/>
      <c r="AB68" s="6"/>
      <c r="AC68" s="6"/>
      <c r="AD68" s="6"/>
    </row>
    <row r="69" spans="1:30" x14ac:dyDescent="0.3">
      <c r="A69" s="6">
        <v>2032384112</v>
      </c>
      <c r="B69" s="6" t="s">
        <v>701</v>
      </c>
      <c r="C69" s="6" t="s">
        <v>702</v>
      </c>
      <c r="D69" s="6" t="str">
        <f t="shared" si="3"/>
        <v>ON MERRITT</v>
      </c>
      <c r="E69" s="6" t="s">
        <v>300</v>
      </c>
      <c r="F69" s="6" t="s">
        <v>222</v>
      </c>
      <c r="G69" s="6" t="s">
        <v>223</v>
      </c>
      <c r="H69" s="6" t="s">
        <v>223</v>
      </c>
      <c r="I69" s="9" t="s">
        <v>801</v>
      </c>
      <c r="J69" s="6" t="s">
        <v>398</v>
      </c>
      <c r="K69" s="6" t="s">
        <v>399</v>
      </c>
      <c r="L69" s="6" t="str">
        <f t="shared" si="4"/>
        <v>CHRISTIAN TAUGNER</v>
      </c>
      <c r="M69" s="6" t="s">
        <v>57</v>
      </c>
      <c r="N69" s="7">
        <v>45988</v>
      </c>
      <c r="O69" s="7">
        <v>46139</v>
      </c>
      <c r="P69" s="6">
        <f t="shared" si="5"/>
        <v>5</v>
      </c>
      <c r="Q69" s="7" t="s">
        <v>261</v>
      </c>
      <c r="R69" s="7" t="s">
        <v>842</v>
      </c>
      <c r="S69" s="8">
        <v>49.46</v>
      </c>
      <c r="T69" s="6">
        <v>1</v>
      </c>
      <c r="U69" s="6" t="s">
        <v>58</v>
      </c>
      <c r="V69" s="11">
        <v>0.7</v>
      </c>
      <c r="W69" s="6" t="s">
        <v>60</v>
      </c>
      <c r="X69" s="6" t="s">
        <v>262</v>
      </c>
      <c r="Y69" s="8">
        <v>34.619999999999997</v>
      </c>
      <c r="Z69" s="6"/>
      <c r="AA69" s="6"/>
      <c r="AB69" s="6"/>
      <c r="AC69" s="6"/>
      <c r="AD69" s="6"/>
    </row>
    <row r="70" spans="1:30" x14ac:dyDescent="0.3">
      <c r="A70" s="6">
        <v>2032339031</v>
      </c>
      <c r="B70" s="6" t="s">
        <v>541</v>
      </c>
      <c r="C70" s="6" t="s">
        <v>542</v>
      </c>
      <c r="D70" s="6" t="str">
        <f t="shared" si="3"/>
        <v>DONALD NENNIG</v>
      </c>
      <c r="E70" s="6" t="s">
        <v>300</v>
      </c>
      <c r="F70" s="6" t="s">
        <v>222</v>
      </c>
      <c r="G70" s="6" t="s">
        <v>223</v>
      </c>
      <c r="H70" s="6" t="s">
        <v>223</v>
      </c>
      <c r="I70" s="9" t="s">
        <v>801</v>
      </c>
      <c r="J70" s="6" t="s">
        <v>398</v>
      </c>
      <c r="K70" s="6" t="s">
        <v>399</v>
      </c>
      <c r="L70" s="6" t="str">
        <f t="shared" si="4"/>
        <v>CHRISTIAN TAUGNER</v>
      </c>
      <c r="M70" s="6" t="s">
        <v>57</v>
      </c>
      <c r="N70" s="7">
        <v>45986</v>
      </c>
      <c r="O70" s="7">
        <v>46137</v>
      </c>
      <c r="P70" s="6">
        <f t="shared" si="5"/>
        <v>5</v>
      </c>
      <c r="Q70" s="7" t="s">
        <v>261</v>
      </c>
      <c r="R70" s="7" t="s">
        <v>842</v>
      </c>
      <c r="S70" s="8">
        <v>68.8</v>
      </c>
      <c r="T70" s="6">
        <v>1</v>
      </c>
      <c r="U70" s="6" t="s">
        <v>58</v>
      </c>
      <c r="V70" s="11">
        <v>0.7</v>
      </c>
      <c r="W70" s="6" t="s">
        <v>60</v>
      </c>
      <c r="X70" s="6" t="s">
        <v>262</v>
      </c>
      <c r="Y70" s="8">
        <v>48.16</v>
      </c>
      <c r="Z70" s="6"/>
      <c r="AA70" s="6"/>
      <c r="AB70" s="6"/>
      <c r="AC70" s="6"/>
      <c r="AD70" s="6"/>
    </row>
    <row r="71" spans="1:30" s="6" customFormat="1" x14ac:dyDescent="0.3">
      <c r="A71" s="6">
        <v>2032339032</v>
      </c>
      <c r="B71" s="6" t="s">
        <v>541</v>
      </c>
      <c r="C71" s="6" t="s">
        <v>542</v>
      </c>
      <c r="D71" s="6" t="str">
        <f t="shared" si="3"/>
        <v>DONALD NENNIG</v>
      </c>
      <c r="E71" s="6" t="s">
        <v>300</v>
      </c>
      <c r="F71" s="6" t="s">
        <v>163</v>
      </c>
      <c r="G71" s="6" t="s">
        <v>164</v>
      </c>
      <c r="H71" s="6" t="s">
        <v>164</v>
      </c>
      <c r="I71" s="9" t="s">
        <v>801</v>
      </c>
      <c r="J71" s="6" t="s">
        <v>398</v>
      </c>
      <c r="K71" s="6" t="s">
        <v>399</v>
      </c>
      <c r="L71" s="6" t="str">
        <f t="shared" si="4"/>
        <v>CHRISTIAN TAUGNER</v>
      </c>
      <c r="M71" s="6" t="s">
        <v>57</v>
      </c>
      <c r="N71" s="7">
        <v>45986</v>
      </c>
      <c r="O71" s="7">
        <v>46137</v>
      </c>
      <c r="P71" s="6">
        <f t="shared" si="5"/>
        <v>5</v>
      </c>
      <c r="Q71" s="7" t="s">
        <v>261</v>
      </c>
      <c r="R71" s="7" t="s">
        <v>842</v>
      </c>
      <c r="S71" s="8">
        <v>43.18</v>
      </c>
      <c r="T71" s="6">
        <v>1</v>
      </c>
      <c r="U71" s="6" t="s">
        <v>58</v>
      </c>
      <c r="V71" s="12">
        <v>0.375</v>
      </c>
      <c r="W71" s="6" t="s">
        <v>60</v>
      </c>
      <c r="X71" s="6" t="s">
        <v>262</v>
      </c>
      <c r="Y71" s="8">
        <v>16.190000000000001</v>
      </c>
    </row>
    <row r="72" spans="1:30" s="6" customFormat="1" x14ac:dyDescent="0.3">
      <c r="A72" s="6">
        <v>2032255258</v>
      </c>
      <c r="B72" s="6" t="s">
        <v>685</v>
      </c>
      <c r="C72" s="6" t="s">
        <v>686</v>
      </c>
      <c r="D72" s="6" t="str">
        <f t="shared" si="3"/>
        <v>JACS SCHEINMAN</v>
      </c>
      <c r="E72" s="6" t="s">
        <v>64</v>
      </c>
      <c r="F72" s="6" t="s">
        <v>222</v>
      </c>
      <c r="G72" s="6" t="s">
        <v>223</v>
      </c>
      <c r="H72" s="6" t="s">
        <v>223</v>
      </c>
      <c r="I72" s="9" t="s">
        <v>801</v>
      </c>
      <c r="J72" s="6" t="s">
        <v>398</v>
      </c>
      <c r="K72" s="6" t="s">
        <v>399</v>
      </c>
      <c r="L72" s="6" t="str">
        <f t="shared" si="4"/>
        <v>CHRISTIAN TAUGNER</v>
      </c>
      <c r="M72" s="6" t="s">
        <v>57</v>
      </c>
      <c r="N72" s="7">
        <v>45982</v>
      </c>
      <c r="O72" s="7">
        <v>46133</v>
      </c>
      <c r="P72" s="6">
        <f t="shared" si="5"/>
        <v>5</v>
      </c>
      <c r="Q72" s="7" t="s">
        <v>261</v>
      </c>
      <c r="R72" s="7" t="s">
        <v>842</v>
      </c>
      <c r="S72" s="8">
        <v>46.08</v>
      </c>
      <c r="T72" s="6">
        <v>1</v>
      </c>
      <c r="U72" s="6" t="s">
        <v>58</v>
      </c>
      <c r="V72" s="11">
        <v>0.7</v>
      </c>
      <c r="W72" s="6" t="s">
        <v>60</v>
      </c>
      <c r="X72" s="6" t="s">
        <v>262</v>
      </c>
      <c r="Y72" s="8">
        <v>32.26</v>
      </c>
    </row>
    <row r="73" spans="1:30" s="6" customFormat="1" x14ac:dyDescent="0.3">
      <c r="A73" s="6">
        <v>2032270277</v>
      </c>
      <c r="B73" s="6" t="s">
        <v>479</v>
      </c>
      <c r="C73" s="6" t="s">
        <v>538</v>
      </c>
      <c r="D73" s="6" t="str">
        <f t="shared" si="3"/>
        <v>CLEVELAND CLARK</v>
      </c>
      <c r="E73" s="6" t="s">
        <v>74</v>
      </c>
      <c r="F73" s="6" t="s">
        <v>222</v>
      </c>
      <c r="G73" s="6" t="s">
        <v>223</v>
      </c>
      <c r="H73" s="6" t="s">
        <v>223</v>
      </c>
      <c r="I73" s="9" t="s">
        <v>801</v>
      </c>
      <c r="J73" s="6" t="s">
        <v>398</v>
      </c>
      <c r="K73" s="6" t="s">
        <v>399</v>
      </c>
      <c r="L73" s="6" t="str">
        <f t="shared" si="4"/>
        <v>CHRISTIAN TAUGNER</v>
      </c>
      <c r="M73" s="6" t="s">
        <v>57</v>
      </c>
      <c r="N73" s="7">
        <v>45982</v>
      </c>
      <c r="O73" s="7">
        <v>46133</v>
      </c>
      <c r="P73" s="6">
        <f t="shared" si="5"/>
        <v>5</v>
      </c>
      <c r="Q73" s="7" t="s">
        <v>261</v>
      </c>
      <c r="R73" s="7" t="s">
        <v>842</v>
      </c>
      <c r="S73" s="8">
        <v>48.76</v>
      </c>
      <c r="T73" s="6">
        <v>1</v>
      </c>
      <c r="U73" s="6" t="s">
        <v>58</v>
      </c>
      <c r="V73" s="11">
        <v>0.7</v>
      </c>
      <c r="W73" s="6" t="s">
        <v>60</v>
      </c>
      <c r="X73" s="6" t="s">
        <v>262</v>
      </c>
      <c r="Y73" s="8">
        <v>34.130000000000003</v>
      </c>
    </row>
    <row r="74" spans="1:30" s="6" customFormat="1" x14ac:dyDescent="0.3">
      <c r="A74" s="6">
        <v>2032270276</v>
      </c>
      <c r="B74" s="6" t="s">
        <v>479</v>
      </c>
      <c r="C74" s="6" t="s">
        <v>538</v>
      </c>
      <c r="D74" s="6" t="str">
        <f t="shared" si="3"/>
        <v>CLEVELAND CLARK</v>
      </c>
      <c r="E74" s="6" t="s">
        <v>74</v>
      </c>
      <c r="F74" s="6" t="s">
        <v>163</v>
      </c>
      <c r="G74" s="6" t="s">
        <v>164</v>
      </c>
      <c r="H74" s="6" t="s">
        <v>164</v>
      </c>
      <c r="I74" s="9" t="s">
        <v>801</v>
      </c>
      <c r="J74" s="6" t="s">
        <v>398</v>
      </c>
      <c r="K74" s="6" t="s">
        <v>399</v>
      </c>
      <c r="L74" s="6" t="str">
        <f t="shared" si="4"/>
        <v>CHRISTIAN TAUGNER</v>
      </c>
      <c r="M74" s="6" t="s">
        <v>57</v>
      </c>
      <c r="N74" s="7">
        <v>45982</v>
      </c>
      <c r="O74" s="7">
        <v>46133</v>
      </c>
      <c r="P74" s="6">
        <f t="shared" si="5"/>
        <v>5</v>
      </c>
      <c r="Q74" s="7" t="s">
        <v>261</v>
      </c>
      <c r="R74" s="7" t="s">
        <v>842</v>
      </c>
      <c r="S74" s="8">
        <v>41.29</v>
      </c>
      <c r="T74" s="6">
        <v>1</v>
      </c>
      <c r="U74" s="6" t="s">
        <v>58</v>
      </c>
      <c r="V74" s="12">
        <v>0.375</v>
      </c>
      <c r="W74" s="6" t="s">
        <v>60</v>
      </c>
      <c r="X74" s="6" t="s">
        <v>262</v>
      </c>
      <c r="Y74" s="8">
        <v>15.48</v>
      </c>
    </row>
    <row r="75" spans="1:30" s="6" customFormat="1" x14ac:dyDescent="0.3">
      <c r="A75" s="6">
        <v>2032270278</v>
      </c>
      <c r="B75" s="6" t="s">
        <v>479</v>
      </c>
      <c r="C75" s="6" t="s">
        <v>538</v>
      </c>
      <c r="D75" s="6" t="str">
        <f t="shared" si="3"/>
        <v>CLEVELAND CLARK</v>
      </c>
      <c r="E75" s="6" t="s">
        <v>74</v>
      </c>
      <c r="F75" s="6" t="s">
        <v>222</v>
      </c>
      <c r="G75" s="6" t="s">
        <v>224</v>
      </c>
      <c r="H75" s="6" t="s">
        <v>224</v>
      </c>
      <c r="I75" s="9" t="s">
        <v>801</v>
      </c>
      <c r="J75" s="6" t="s">
        <v>398</v>
      </c>
      <c r="K75" s="6" t="s">
        <v>399</v>
      </c>
      <c r="L75" s="6" t="str">
        <f t="shared" si="4"/>
        <v>CHRISTIAN TAUGNER</v>
      </c>
      <c r="M75" s="6" t="s">
        <v>57</v>
      </c>
      <c r="N75" s="7">
        <v>45982</v>
      </c>
      <c r="O75" s="7">
        <v>46133</v>
      </c>
      <c r="P75" s="6">
        <f t="shared" si="5"/>
        <v>5</v>
      </c>
      <c r="Q75" s="7" t="s">
        <v>261</v>
      </c>
      <c r="R75" s="7" t="s">
        <v>842</v>
      </c>
      <c r="S75" s="8">
        <v>11.88</v>
      </c>
      <c r="T75" s="6">
        <v>1</v>
      </c>
      <c r="U75" s="6" t="s">
        <v>58</v>
      </c>
      <c r="V75" s="11">
        <v>0.9</v>
      </c>
      <c r="W75" s="6" t="s">
        <v>60</v>
      </c>
      <c r="X75" s="6" t="s">
        <v>262</v>
      </c>
      <c r="Y75" s="8">
        <v>10.69</v>
      </c>
    </row>
    <row r="76" spans="1:30" s="6" customFormat="1" x14ac:dyDescent="0.3">
      <c r="A76" s="6">
        <v>2032377140</v>
      </c>
      <c r="B76" s="6" t="s">
        <v>700</v>
      </c>
      <c r="C76" s="6" t="s">
        <v>124</v>
      </c>
      <c r="D76" s="6" t="str">
        <f t="shared" si="3"/>
        <v>WILLIAM MEYER</v>
      </c>
      <c r="E76" s="6" t="s">
        <v>64</v>
      </c>
      <c r="F76" s="6" t="s">
        <v>222</v>
      </c>
      <c r="G76" s="6" t="s">
        <v>223</v>
      </c>
      <c r="H76" s="6" t="s">
        <v>223</v>
      </c>
      <c r="I76" s="9" t="s">
        <v>826</v>
      </c>
      <c r="J76" s="6" t="s">
        <v>438</v>
      </c>
      <c r="K76" s="6" t="s">
        <v>439</v>
      </c>
      <c r="L76" s="6" t="str">
        <f t="shared" si="4"/>
        <v>Dale Walenga</v>
      </c>
      <c r="M76" s="6" t="s">
        <v>57</v>
      </c>
      <c r="N76" s="7">
        <v>45988</v>
      </c>
      <c r="O76" s="7">
        <v>46139</v>
      </c>
      <c r="P76" s="6">
        <f t="shared" si="5"/>
        <v>5</v>
      </c>
      <c r="Q76" s="7" t="s">
        <v>261</v>
      </c>
      <c r="R76" s="7" t="s">
        <v>842</v>
      </c>
      <c r="S76" s="8">
        <v>39.25</v>
      </c>
      <c r="T76" s="6">
        <v>1</v>
      </c>
      <c r="U76" s="6" t="s">
        <v>58</v>
      </c>
      <c r="V76" s="11">
        <v>0.7</v>
      </c>
      <c r="W76" s="6" t="s">
        <v>60</v>
      </c>
      <c r="X76" s="6" t="s">
        <v>262</v>
      </c>
      <c r="Y76" s="8">
        <v>27.48</v>
      </c>
    </row>
    <row r="77" spans="1:30" s="6" customFormat="1" x14ac:dyDescent="0.3">
      <c r="A77" s="6">
        <v>2032332136</v>
      </c>
      <c r="B77" s="6" t="s">
        <v>694</v>
      </c>
      <c r="C77" s="6" t="s">
        <v>695</v>
      </c>
      <c r="D77" s="6" t="str">
        <f t="shared" si="3"/>
        <v>LESLI DELIS</v>
      </c>
      <c r="E77" s="6" t="s">
        <v>332</v>
      </c>
      <c r="F77" s="6" t="s">
        <v>222</v>
      </c>
      <c r="G77" s="6" t="s">
        <v>223</v>
      </c>
      <c r="H77" s="6" t="s">
        <v>223</v>
      </c>
      <c r="I77" s="9" t="s">
        <v>834</v>
      </c>
      <c r="J77" s="6" t="s">
        <v>433</v>
      </c>
      <c r="K77" s="6" t="s">
        <v>434</v>
      </c>
      <c r="L77" s="6" t="str">
        <f t="shared" si="4"/>
        <v>JARED KINYUA</v>
      </c>
      <c r="M77" s="6" t="s">
        <v>57</v>
      </c>
      <c r="N77" s="7">
        <v>45986</v>
      </c>
      <c r="O77" s="7">
        <v>46137</v>
      </c>
      <c r="P77" s="6">
        <f t="shared" si="5"/>
        <v>5</v>
      </c>
      <c r="Q77" s="7" t="s">
        <v>261</v>
      </c>
      <c r="R77" s="7" t="s">
        <v>842</v>
      </c>
      <c r="S77" s="8">
        <v>38.18</v>
      </c>
      <c r="T77" s="6">
        <v>1</v>
      </c>
      <c r="U77" s="6" t="s">
        <v>58</v>
      </c>
      <c r="V77" s="11">
        <v>0.7</v>
      </c>
      <c r="W77" s="6" t="s">
        <v>60</v>
      </c>
      <c r="X77" s="6" t="s">
        <v>262</v>
      </c>
      <c r="Y77" s="8">
        <v>26.73</v>
      </c>
    </row>
    <row r="78" spans="1:30" s="6" customFormat="1" x14ac:dyDescent="0.3">
      <c r="A78" s="6">
        <v>2032348502</v>
      </c>
      <c r="B78" s="6" t="s">
        <v>543</v>
      </c>
      <c r="C78" s="6" t="s">
        <v>544</v>
      </c>
      <c r="D78" s="6" t="str">
        <f t="shared" si="3"/>
        <v>CARLOTA HERNANDEZ</v>
      </c>
      <c r="E78" s="6" t="s">
        <v>64</v>
      </c>
      <c r="F78" s="6" t="s">
        <v>222</v>
      </c>
      <c r="G78" s="6" t="s">
        <v>223</v>
      </c>
      <c r="H78" s="6" t="s">
        <v>223</v>
      </c>
      <c r="I78" s="9" t="s">
        <v>833</v>
      </c>
      <c r="J78" s="6" t="s">
        <v>159</v>
      </c>
      <c r="K78" s="6" t="s">
        <v>160</v>
      </c>
      <c r="L78" s="6" t="str">
        <f t="shared" si="4"/>
        <v>JOSE TORRES</v>
      </c>
      <c r="M78" s="6" t="s">
        <v>57</v>
      </c>
      <c r="N78" s="7">
        <v>45986</v>
      </c>
      <c r="O78" s="7">
        <v>46137</v>
      </c>
      <c r="P78" s="6">
        <f t="shared" si="5"/>
        <v>5</v>
      </c>
      <c r="Q78" s="7" t="s">
        <v>261</v>
      </c>
      <c r="R78" s="7" t="s">
        <v>842</v>
      </c>
      <c r="S78" s="8">
        <v>27.58</v>
      </c>
      <c r="T78" s="6">
        <v>1</v>
      </c>
      <c r="U78" s="6" t="s">
        <v>58</v>
      </c>
      <c r="V78" s="11">
        <v>0.7</v>
      </c>
      <c r="W78" s="6" t="s">
        <v>60</v>
      </c>
      <c r="X78" s="6" t="s">
        <v>262</v>
      </c>
      <c r="Y78" s="8">
        <v>19.309999999999999</v>
      </c>
    </row>
    <row r="79" spans="1:30" s="6" customFormat="1" x14ac:dyDescent="0.3">
      <c r="A79" s="6">
        <v>2032348501</v>
      </c>
      <c r="B79" s="6" t="s">
        <v>543</v>
      </c>
      <c r="C79" s="6" t="s">
        <v>544</v>
      </c>
      <c r="D79" s="6" t="str">
        <f t="shared" si="3"/>
        <v>CARLOTA HERNANDEZ</v>
      </c>
      <c r="E79" s="6" t="s">
        <v>64</v>
      </c>
      <c r="F79" s="6" t="s">
        <v>163</v>
      </c>
      <c r="G79" s="6" t="s">
        <v>164</v>
      </c>
      <c r="H79" s="6" t="s">
        <v>164</v>
      </c>
      <c r="I79" s="9" t="s">
        <v>833</v>
      </c>
      <c r="J79" s="6" t="s">
        <v>159</v>
      </c>
      <c r="K79" s="6" t="s">
        <v>160</v>
      </c>
      <c r="L79" s="6" t="str">
        <f t="shared" si="4"/>
        <v>JOSE TORRES</v>
      </c>
      <c r="M79" s="6" t="s">
        <v>57</v>
      </c>
      <c r="N79" s="7">
        <v>45986</v>
      </c>
      <c r="O79" s="7">
        <v>46137</v>
      </c>
      <c r="P79" s="6">
        <f t="shared" si="5"/>
        <v>5</v>
      </c>
      <c r="Q79" s="7" t="s">
        <v>261</v>
      </c>
      <c r="R79" s="7" t="s">
        <v>842</v>
      </c>
      <c r="S79" s="8">
        <v>77.48</v>
      </c>
      <c r="T79" s="6">
        <v>1</v>
      </c>
      <c r="U79" s="6" t="s">
        <v>58</v>
      </c>
      <c r="V79" s="12">
        <v>0.375</v>
      </c>
      <c r="W79" s="6" t="s">
        <v>60</v>
      </c>
      <c r="X79" s="6" t="s">
        <v>262</v>
      </c>
      <c r="Y79" s="8">
        <v>29.06</v>
      </c>
    </row>
    <row r="80" spans="1:30" s="6" customFormat="1" x14ac:dyDescent="0.3">
      <c r="A80" s="6">
        <v>2032293755</v>
      </c>
      <c r="B80" s="6" t="s">
        <v>367</v>
      </c>
      <c r="C80" s="6" t="s">
        <v>162</v>
      </c>
      <c r="D80" s="6" t="str">
        <f t="shared" si="3"/>
        <v>JOSHUA WILE</v>
      </c>
      <c r="E80" s="6" t="s">
        <v>74</v>
      </c>
      <c r="F80" s="6" t="s">
        <v>65</v>
      </c>
      <c r="G80" s="6" t="s">
        <v>71</v>
      </c>
      <c r="H80" s="6" t="s">
        <v>796</v>
      </c>
      <c r="I80" s="9" t="s">
        <v>819</v>
      </c>
      <c r="J80" s="6" t="s">
        <v>368</v>
      </c>
      <c r="K80" s="6" t="s">
        <v>369</v>
      </c>
      <c r="L80" s="6" t="str">
        <f t="shared" si="4"/>
        <v>Kirk Tigue</v>
      </c>
      <c r="M80" s="6" t="s">
        <v>57</v>
      </c>
      <c r="N80" s="7">
        <v>45983</v>
      </c>
      <c r="O80" s="7">
        <v>46134</v>
      </c>
      <c r="P80" s="6">
        <f t="shared" si="5"/>
        <v>5</v>
      </c>
      <c r="Q80" s="7" t="s">
        <v>261</v>
      </c>
      <c r="R80" s="7" t="s">
        <v>842</v>
      </c>
      <c r="S80" s="8">
        <v>27.48</v>
      </c>
      <c r="T80" s="6">
        <v>1</v>
      </c>
      <c r="U80" s="6" t="s">
        <v>58</v>
      </c>
      <c r="V80" s="11">
        <v>0.9</v>
      </c>
      <c r="W80" s="6" t="s">
        <v>60</v>
      </c>
      <c r="X80" s="6" t="s">
        <v>262</v>
      </c>
      <c r="Y80" s="8">
        <v>24.73</v>
      </c>
    </row>
    <row r="81" spans="1:30" s="6" customFormat="1" x14ac:dyDescent="0.3">
      <c r="A81" s="6">
        <v>2032293754</v>
      </c>
      <c r="B81" s="6" t="s">
        <v>367</v>
      </c>
      <c r="C81" s="6" t="s">
        <v>162</v>
      </c>
      <c r="D81" s="6" t="str">
        <f t="shared" si="3"/>
        <v>JOSHUA WILE</v>
      </c>
      <c r="E81" s="6" t="s">
        <v>74</v>
      </c>
      <c r="F81" s="6" t="s">
        <v>222</v>
      </c>
      <c r="G81" s="6" t="s">
        <v>223</v>
      </c>
      <c r="H81" s="6" t="s">
        <v>223</v>
      </c>
      <c r="I81" s="9" t="s">
        <v>819</v>
      </c>
      <c r="J81" s="6" t="s">
        <v>368</v>
      </c>
      <c r="K81" s="6" t="s">
        <v>369</v>
      </c>
      <c r="L81" s="6" t="str">
        <f t="shared" si="4"/>
        <v>Kirk Tigue</v>
      </c>
      <c r="M81" s="6" t="s">
        <v>57</v>
      </c>
      <c r="N81" s="7">
        <v>45983</v>
      </c>
      <c r="O81" s="7">
        <v>46134</v>
      </c>
      <c r="P81" s="6">
        <f t="shared" si="5"/>
        <v>5</v>
      </c>
      <c r="Q81" s="7" t="s">
        <v>261</v>
      </c>
      <c r="R81" s="7" t="s">
        <v>842</v>
      </c>
      <c r="S81" s="8">
        <v>83</v>
      </c>
      <c r="T81" s="6">
        <v>1</v>
      </c>
      <c r="U81" s="6" t="s">
        <v>58</v>
      </c>
      <c r="V81" s="11">
        <v>0.7</v>
      </c>
      <c r="W81" s="6" t="s">
        <v>60</v>
      </c>
      <c r="X81" s="6" t="s">
        <v>262</v>
      </c>
      <c r="Y81" s="8">
        <v>58.1</v>
      </c>
    </row>
    <row r="82" spans="1:30" s="6" customFormat="1" x14ac:dyDescent="0.3">
      <c r="A82" s="6">
        <v>2031947513</v>
      </c>
      <c r="B82" s="6" t="s">
        <v>680</v>
      </c>
      <c r="C82" s="6" t="s">
        <v>681</v>
      </c>
      <c r="D82" s="6" t="str">
        <f t="shared" si="3"/>
        <v>ALTANTUYA SODNOMPIL</v>
      </c>
      <c r="E82" s="6" t="s">
        <v>64</v>
      </c>
      <c r="F82" s="6" t="s">
        <v>222</v>
      </c>
      <c r="G82" s="6" t="s">
        <v>223</v>
      </c>
      <c r="H82" s="6" t="s">
        <v>223</v>
      </c>
      <c r="I82" s="9" t="s">
        <v>804</v>
      </c>
      <c r="J82" s="6" t="s">
        <v>246</v>
      </c>
      <c r="K82" s="6" t="s">
        <v>247</v>
      </c>
      <c r="L82" s="6" t="str">
        <f t="shared" si="4"/>
        <v>NASANDELGER ZANA</v>
      </c>
      <c r="M82" s="6" t="s">
        <v>57</v>
      </c>
      <c r="N82" s="7">
        <v>45963</v>
      </c>
      <c r="O82" s="7">
        <v>46114</v>
      </c>
      <c r="P82" s="6">
        <f t="shared" si="5"/>
        <v>5</v>
      </c>
      <c r="Q82" s="7" t="s">
        <v>261</v>
      </c>
      <c r="R82" s="7" t="s">
        <v>842</v>
      </c>
      <c r="S82" s="8">
        <v>66.36</v>
      </c>
      <c r="T82" s="6">
        <v>1</v>
      </c>
      <c r="U82" s="6" t="s">
        <v>58</v>
      </c>
      <c r="V82" s="11">
        <v>0.7</v>
      </c>
      <c r="W82" s="6" t="s">
        <v>60</v>
      </c>
      <c r="X82" s="6" t="s">
        <v>262</v>
      </c>
      <c r="Y82" s="8">
        <v>46.45</v>
      </c>
    </row>
    <row r="83" spans="1:30" x14ac:dyDescent="0.3">
      <c r="A83" s="6">
        <v>2031775762</v>
      </c>
      <c r="B83" s="6" t="s">
        <v>364</v>
      </c>
      <c r="C83" s="6" t="s">
        <v>99</v>
      </c>
      <c r="D83" s="6" t="str">
        <f t="shared" si="3"/>
        <v>DAVID SUGAR</v>
      </c>
      <c r="E83" s="6" t="s">
        <v>112</v>
      </c>
      <c r="F83" s="6" t="s">
        <v>222</v>
      </c>
      <c r="G83" s="6" t="s">
        <v>227</v>
      </c>
      <c r="H83" s="6" t="s">
        <v>590</v>
      </c>
      <c r="I83" s="9" t="s">
        <v>817</v>
      </c>
      <c r="J83" s="6" t="s">
        <v>311</v>
      </c>
      <c r="K83" s="6" t="s">
        <v>312</v>
      </c>
      <c r="L83" s="6" t="str">
        <f t="shared" si="4"/>
        <v>Heather Geske</v>
      </c>
      <c r="M83" s="6" t="s">
        <v>57</v>
      </c>
      <c r="N83" s="7">
        <v>45954</v>
      </c>
      <c r="O83" s="7">
        <v>46136</v>
      </c>
      <c r="P83" s="6">
        <f t="shared" si="5"/>
        <v>6</v>
      </c>
      <c r="Q83" s="7" t="s">
        <v>261</v>
      </c>
      <c r="R83" s="7" t="s">
        <v>842</v>
      </c>
      <c r="S83" s="8">
        <v>6.3</v>
      </c>
      <c r="T83" s="6">
        <v>1</v>
      </c>
      <c r="U83" s="6" t="s">
        <v>58</v>
      </c>
      <c r="V83" s="11">
        <v>0.7</v>
      </c>
      <c r="W83" s="6" t="s">
        <v>60</v>
      </c>
      <c r="X83" s="6" t="s">
        <v>262</v>
      </c>
      <c r="Y83" s="8">
        <v>4.41</v>
      </c>
      <c r="Z83" s="6"/>
      <c r="AA83" s="6"/>
      <c r="AB83" s="6"/>
      <c r="AC83" s="6"/>
      <c r="AD83" s="6"/>
    </row>
    <row r="84" spans="1:30" x14ac:dyDescent="0.3">
      <c r="A84" s="6">
        <v>2031775761</v>
      </c>
      <c r="B84" s="6" t="s">
        <v>364</v>
      </c>
      <c r="C84" s="6" t="s">
        <v>99</v>
      </c>
      <c r="D84" s="6" t="str">
        <f t="shared" si="3"/>
        <v>DAVID SUGAR</v>
      </c>
      <c r="E84" s="6" t="s">
        <v>112</v>
      </c>
      <c r="F84" s="6" t="s">
        <v>65</v>
      </c>
      <c r="G84" s="6" t="s">
        <v>66</v>
      </c>
      <c r="H84" s="6" t="s">
        <v>797</v>
      </c>
      <c r="I84" s="9" t="s">
        <v>817</v>
      </c>
      <c r="J84" s="6" t="s">
        <v>311</v>
      </c>
      <c r="K84" s="6" t="s">
        <v>312</v>
      </c>
      <c r="L84" s="6" t="str">
        <f t="shared" si="4"/>
        <v>Heather Geske</v>
      </c>
      <c r="M84" s="6" t="s">
        <v>57</v>
      </c>
      <c r="N84" s="7">
        <v>45954</v>
      </c>
      <c r="O84" s="7">
        <v>46136</v>
      </c>
      <c r="P84" s="6">
        <f t="shared" si="5"/>
        <v>6</v>
      </c>
      <c r="Q84" s="7" t="s">
        <v>261</v>
      </c>
      <c r="R84" s="7" t="s">
        <v>842</v>
      </c>
      <c r="S84" s="8">
        <v>59.29</v>
      </c>
      <c r="T84" s="6">
        <v>1</v>
      </c>
      <c r="U84" s="6" t="s">
        <v>58</v>
      </c>
      <c r="V84" s="11">
        <v>0.75</v>
      </c>
      <c r="W84" s="6" t="s">
        <v>60</v>
      </c>
      <c r="X84" s="6" t="s">
        <v>262</v>
      </c>
      <c r="Y84" s="8">
        <v>44.47</v>
      </c>
      <c r="Z84" s="6"/>
      <c r="AA84" s="6"/>
      <c r="AB84" s="6"/>
      <c r="AC84" s="6"/>
      <c r="AD84" s="6"/>
    </row>
    <row r="85" spans="1:30" x14ac:dyDescent="0.3">
      <c r="A85" s="6">
        <v>2031775760</v>
      </c>
      <c r="B85" s="6" t="s">
        <v>364</v>
      </c>
      <c r="C85" s="6" t="s">
        <v>99</v>
      </c>
      <c r="D85" s="6" t="str">
        <f t="shared" si="3"/>
        <v>DAVID SUGAR</v>
      </c>
      <c r="E85" s="6" t="s">
        <v>112</v>
      </c>
      <c r="F85" s="6" t="s">
        <v>222</v>
      </c>
      <c r="G85" s="6" t="s">
        <v>223</v>
      </c>
      <c r="H85" s="6" t="s">
        <v>223</v>
      </c>
      <c r="I85" s="9" t="s">
        <v>817</v>
      </c>
      <c r="J85" s="6" t="s">
        <v>311</v>
      </c>
      <c r="K85" s="6" t="s">
        <v>312</v>
      </c>
      <c r="L85" s="6" t="str">
        <f t="shared" si="4"/>
        <v>Heather Geske</v>
      </c>
      <c r="M85" s="6" t="s">
        <v>57</v>
      </c>
      <c r="N85" s="7">
        <v>45954</v>
      </c>
      <c r="O85" s="7">
        <v>46136</v>
      </c>
      <c r="P85" s="6">
        <f t="shared" si="5"/>
        <v>6</v>
      </c>
      <c r="Q85" s="7" t="s">
        <v>261</v>
      </c>
      <c r="R85" s="7" t="s">
        <v>842</v>
      </c>
      <c r="S85" s="8">
        <v>9.1</v>
      </c>
      <c r="T85" s="6">
        <v>1</v>
      </c>
      <c r="U85" s="6" t="s">
        <v>58</v>
      </c>
      <c r="V85" s="11">
        <v>0.7</v>
      </c>
      <c r="W85" s="6" t="s">
        <v>60</v>
      </c>
      <c r="X85" s="6" t="s">
        <v>262</v>
      </c>
      <c r="Y85" s="8">
        <v>6.37</v>
      </c>
      <c r="Z85" s="6"/>
      <c r="AA85" s="6"/>
      <c r="AB85" s="6"/>
      <c r="AC85" s="6"/>
      <c r="AD85" s="6"/>
    </row>
    <row r="86" spans="1:30" x14ac:dyDescent="0.3">
      <c r="A86" s="6">
        <v>2031799852</v>
      </c>
      <c r="B86" s="6" t="s">
        <v>676</v>
      </c>
      <c r="C86" s="6" t="s">
        <v>581</v>
      </c>
      <c r="D86" s="6" t="str">
        <f t="shared" si="3"/>
        <v>BRIAN SANDBERG</v>
      </c>
      <c r="E86" s="6" t="s">
        <v>86</v>
      </c>
      <c r="F86" s="6" t="s">
        <v>222</v>
      </c>
      <c r="G86" s="6" t="s">
        <v>223</v>
      </c>
      <c r="H86" s="6" t="s">
        <v>223</v>
      </c>
      <c r="I86" s="9" t="s">
        <v>837</v>
      </c>
      <c r="J86" s="6" t="s">
        <v>125</v>
      </c>
      <c r="K86" s="6" t="s">
        <v>126</v>
      </c>
      <c r="L86" s="6" t="str">
        <f t="shared" si="4"/>
        <v>Jake Shulman</v>
      </c>
      <c r="M86" s="6" t="s">
        <v>57</v>
      </c>
      <c r="N86" s="7">
        <v>45957</v>
      </c>
      <c r="O86" s="7">
        <v>46139</v>
      </c>
      <c r="P86" s="6">
        <f t="shared" si="5"/>
        <v>6</v>
      </c>
      <c r="Q86" s="7" t="s">
        <v>261</v>
      </c>
      <c r="R86" s="7" t="s">
        <v>842</v>
      </c>
      <c r="S86" s="8">
        <v>50.9</v>
      </c>
      <c r="T86" s="6">
        <v>1</v>
      </c>
      <c r="U86" s="6" t="s">
        <v>58</v>
      </c>
      <c r="V86" s="11">
        <v>0.7</v>
      </c>
      <c r="W86" s="6" t="s">
        <v>60</v>
      </c>
      <c r="X86" s="6" t="s">
        <v>262</v>
      </c>
      <c r="Y86" s="8">
        <v>35.630000000000003</v>
      </c>
      <c r="Z86" s="6"/>
      <c r="AA86" s="6"/>
      <c r="AB86" s="6"/>
      <c r="AC86" s="6"/>
      <c r="AD86" s="6"/>
    </row>
    <row r="87" spans="1:30" x14ac:dyDescent="0.3">
      <c r="A87" s="6">
        <v>2031805822</v>
      </c>
      <c r="B87" s="6" t="s">
        <v>677</v>
      </c>
      <c r="C87" s="6" t="s">
        <v>478</v>
      </c>
      <c r="D87" s="6" t="str">
        <f t="shared" si="3"/>
        <v>JAMES HAMILTON</v>
      </c>
      <c r="E87" s="6" t="s">
        <v>74</v>
      </c>
      <c r="F87" s="6" t="s">
        <v>222</v>
      </c>
      <c r="G87" s="6" t="s">
        <v>223</v>
      </c>
      <c r="H87" s="6" t="s">
        <v>223</v>
      </c>
      <c r="I87" s="9" t="s">
        <v>819</v>
      </c>
      <c r="J87" s="6" t="s">
        <v>368</v>
      </c>
      <c r="K87" s="6" t="s">
        <v>369</v>
      </c>
      <c r="L87" s="6" t="str">
        <f t="shared" si="4"/>
        <v>Kirk Tigue</v>
      </c>
      <c r="M87" s="6" t="s">
        <v>57</v>
      </c>
      <c r="N87" s="7">
        <v>45955</v>
      </c>
      <c r="O87" s="7">
        <v>46137</v>
      </c>
      <c r="P87" s="6">
        <f t="shared" si="5"/>
        <v>6</v>
      </c>
      <c r="Q87" s="7" t="s">
        <v>261</v>
      </c>
      <c r="R87" s="7" t="s">
        <v>842</v>
      </c>
      <c r="S87" s="8">
        <v>83</v>
      </c>
      <c r="T87" s="6">
        <v>1</v>
      </c>
      <c r="U87" s="6" t="s">
        <v>58</v>
      </c>
      <c r="V87" s="11">
        <v>0.7</v>
      </c>
      <c r="W87" s="6" t="s">
        <v>60</v>
      </c>
      <c r="X87" s="6" t="s">
        <v>262</v>
      </c>
      <c r="Y87" s="8">
        <v>58.1</v>
      </c>
      <c r="Z87" s="6"/>
      <c r="AA87" s="6"/>
      <c r="AB87" s="6"/>
      <c r="AC87" s="6"/>
      <c r="AD87" s="6"/>
    </row>
    <row r="88" spans="1:30" x14ac:dyDescent="0.3">
      <c r="A88" s="6">
        <v>2031804599</v>
      </c>
      <c r="B88" s="6" t="s">
        <v>452</v>
      </c>
      <c r="C88" s="6" t="s">
        <v>453</v>
      </c>
      <c r="D88" s="6" t="str">
        <f t="shared" si="3"/>
        <v>LESLIE RARDIN</v>
      </c>
      <c r="E88" s="6" t="s">
        <v>324</v>
      </c>
      <c r="F88" s="6" t="s">
        <v>157</v>
      </c>
      <c r="G88" s="6" t="s">
        <v>454</v>
      </c>
      <c r="H88" s="6" t="s">
        <v>454</v>
      </c>
      <c r="I88" s="9" t="s">
        <v>827</v>
      </c>
      <c r="J88" s="6" t="s">
        <v>455</v>
      </c>
      <c r="K88" s="6" t="s">
        <v>456</v>
      </c>
      <c r="L88" s="6" t="str">
        <f t="shared" si="4"/>
        <v>Marsha Sanderock</v>
      </c>
      <c r="M88" s="6" t="s">
        <v>57</v>
      </c>
      <c r="N88" s="7">
        <v>45955</v>
      </c>
      <c r="O88" s="7">
        <v>46137</v>
      </c>
      <c r="P88" s="6">
        <f t="shared" si="5"/>
        <v>6</v>
      </c>
      <c r="Q88" s="7" t="s">
        <v>261</v>
      </c>
      <c r="R88" s="7" t="s">
        <v>842</v>
      </c>
      <c r="S88" s="8">
        <v>15</v>
      </c>
      <c r="T88" s="6">
        <v>1</v>
      </c>
      <c r="U88" s="6" t="s">
        <v>58</v>
      </c>
      <c r="V88" s="11">
        <v>0.19</v>
      </c>
      <c r="W88" s="6" t="s">
        <v>60</v>
      </c>
      <c r="X88" s="6" t="s">
        <v>262</v>
      </c>
      <c r="Y88" s="8">
        <v>2.85</v>
      </c>
      <c r="Z88" s="6"/>
      <c r="AA88" s="6"/>
      <c r="AB88" s="6"/>
      <c r="AC88" s="6"/>
      <c r="AD88" s="6"/>
    </row>
    <row r="89" spans="1:30" s="6" customFormat="1" x14ac:dyDescent="0.3">
      <c r="A89" s="6">
        <v>2031804598</v>
      </c>
      <c r="B89" s="6" t="s">
        <v>452</v>
      </c>
      <c r="C89" s="6" t="s">
        <v>453</v>
      </c>
      <c r="D89" s="6" t="str">
        <f t="shared" si="3"/>
        <v>LESLIE RARDIN</v>
      </c>
      <c r="E89" s="6" t="s">
        <v>324</v>
      </c>
      <c r="F89" s="6" t="s">
        <v>250</v>
      </c>
      <c r="G89" s="6" t="s">
        <v>753</v>
      </c>
      <c r="H89" s="6" t="s">
        <v>753</v>
      </c>
      <c r="I89" s="9" t="s">
        <v>827</v>
      </c>
      <c r="J89" s="6" t="s">
        <v>455</v>
      </c>
      <c r="K89" s="6" t="s">
        <v>456</v>
      </c>
      <c r="L89" s="6" t="str">
        <f t="shared" si="4"/>
        <v>Marsha Sanderock</v>
      </c>
      <c r="M89" s="6" t="s">
        <v>57</v>
      </c>
      <c r="N89" s="7">
        <v>45955</v>
      </c>
      <c r="O89" s="7">
        <v>46137</v>
      </c>
      <c r="P89" s="6">
        <f t="shared" si="5"/>
        <v>6</v>
      </c>
      <c r="Q89" s="7" t="s">
        <v>261</v>
      </c>
      <c r="R89" s="7" t="s">
        <v>842</v>
      </c>
      <c r="S89" s="8">
        <v>832.5</v>
      </c>
      <c r="T89" s="6">
        <v>1</v>
      </c>
      <c r="U89" s="6" t="s">
        <v>58</v>
      </c>
      <c r="V89" s="11">
        <v>0.19</v>
      </c>
      <c r="W89" s="6" t="s">
        <v>60</v>
      </c>
      <c r="X89" s="6" t="s">
        <v>262</v>
      </c>
      <c r="Y89" s="8">
        <v>158.18</v>
      </c>
    </row>
    <row r="90" spans="1:30" s="6" customFormat="1" x14ac:dyDescent="0.3">
      <c r="A90" s="6">
        <v>2031759933</v>
      </c>
      <c r="B90" s="6" t="s">
        <v>362</v>
      </c>
      <c r="C90" s="6" t="s">
        <v>363</v>
      </c>
      <c r="D90" s="6" t="str">
        <f t="shared" si="3"/>
        <v>KRISTA STARK</v>
      </c>
      <c r="E90" s="6" t="s">
        <v>64</v>
      </c>
      <c r="F90" s="6" t="s">
        <v>65</v>
      </c>
      <c r="G90" s="6" t="s">
        <v>66</v>
      </c>
      <c r="H90" s="6" t="s">
        <v>797</v>
      </c>
      <c r="I90" s="9" t="s">
        <v>818</v>
      </c>
      <c r="J90" s="6" t="s">
        <v>67</v>
      </c>
      <c r="K90" s="6" t="s">
        <v>68</v>
      </c>
      <c r="L90" s="6" t="str">
        <f t="shared" si="4"/>
        <v>Richard Yale</v>
      </c>
      <c r="M90" s="6" t="s">
        <v>57</v>
      </c>
      <c r="N90" s="7">
        <v>45954</v>
      </c>
      <c r="O90" s="7">
        <v>46136</v>
      </c>
      <c r="P90" s="6">
        <f t="shared" si="5"/>
        <v>6</v>
      </c>
      <c r="Q90" s="7" t="s">
        <v>261</v>
      </c>
      <c r="R90" s="7" t="s">
        <v>842</v>
      </c>
      <c r="S90" s="8">
        <v>25.33</v>
      </c>
      <c r="T90" s="6">
        <v>1</v>
      </c>
      <c r="U90" s="6" t="s">
        <v>58</v>
      </c>
      <c r="V90" s="11">
        <v>0.75</v>
      </c>
      <c r="W90" s="6" t="s">
        <v>60</v>
      </c>
      <c r="X90" s="6" t="s">
        <v>262</v>
      </c>
      <c r="Y90" s="8">
        <v>19</v>
      </c>
    </row>
    <row r="91" spans="1:30" s="6" customFormat="1" x14ac:dyDescent="0.3">
      <c r="A91" s="6">
        <v>2031759934</v>
      </c>
      <c r="B91" s="6" t="s">
        <v>362</v>
      </c>
      <c r="C91" s="6" t="s">
        <v>363</v>
      </c>
      <c r="D91" s="6" t="str">
        <f t="shared" si="3"/>
        <v>KRISTA STARK</v>
      </c>
      <c r="E91" s="6" t="s">
        <v>64</v>
      </c>
      <c r="F91" s="6" t="s">
        <v>65</v>
      </c>
      <c r="G91" s="6" t="s">
        <v>71</v>
      </c>
      <c r="H91" s="6" t="s">
        <v>796</v>
      </c>
      <c r="I91" s="9" t="s">
        <v>818</v>
      </c>
      <c r="J91" s="6" t="s">
        <v>67</v>
      </c>
      <c r="K91" s="6" t="s">
        <v>68</v>
      </c>
      <c r="L91" s="6" t="str">
        <f t="shared" si="4"/>
        <v>Richard Yale</v>
      </c>
      <c r="M91" s="6" t="s">
        <v>57</v>
      </c>
      <c r="N91" s="7">
        <v>45954</v>
      </c>
      <c r="O91" s="7">
        <v>46136</v>
      </c>
      <c r="P91" s="6">
        <f t="shared" si="5"/>
        <v>6</v>
      </c>
      <c r="Q91" s="7" t="s">
        <v>261</v>
      </c>
      <c r="R91" s="7" t="s">
        <v>842</v>
      </c>
      <c r="S91" s="8">
        <v>42.75</v>
      </c>
      <c r="T91" s="6">
        <v>1</v>
      </c>
      <c r="U91" s="6" t="s">
        <v>58</v>
      </c>
      <c r="V91" s="11">
        <v>0.9</v>
      </c>
      <c r="W91" s="6" t="s">
        <v>60</v>
      </c>
      <c r="X91" s="6" t="s">
        <v>262</v>
      </c>
      <c r="Y91" s="8">
        <v>38.479999999999997</v>
      </c>
    </row>
    <row r="92" spans="1:30" s="6" customFormat="1" x14ac:dyDescent="0.3">
      <c r="A92" s="6">
        <v>2031759932</v>
      </c>
      <c r="B92" s="6" t="s">
        <v>362</v>
      </c>
      <c r="C92" s="6" t="s">
        <v>363</v>
      </c>
      <c r="D92" s="6" t="str">
        <f t="shared" si="3"/>
        <v>KRISTA STARK</v>
      </c>
      <c r="E92" s="6" t="s">
        <v>64</v>
      </c>
      <c r="F92" s="6" t="s">
        <v>222</v>
      </c>
      <c r="G92" s="6" t="s">
        <v>223</v>
      </c>
      <c r="H92" s="6" t="s">
        <v>223</v>
      </c>
      <c r="I92" s="9" t="s">
        <v>818</v>
      </c>
      <c r="J92" s="6" t="s">
        <v>67</v>
      </c>
      <c r="K92" s="6" t="s">
        <v>68</v>
      </c>
      <c r="L92" s="6" t="str">
        <f t="shared" si="4"/>
        <v>Richard Yale</v>
      </c>
      <c r="M92" s="6" t="s">
        <v>57</v>
      </c>
      <c r="N92" s="7">
        <v>45954</v>
      </c>
      <c r="O92" s="7">
        <v>46136</v>
      </c>
      <c r="P92" s="6">
        <f t="shared" si="5"/>
        <v>6</v>
      </c>
      <c r="Q92" s="7" t="s">
        <v>261</v>
      </c>
      <c r="R92" s="7" t="s">
        <v>842</v>
      </c>
      <c r="S92" s="8">
        <v>63.95</v>
      </c>
      <c r="T92" s="6">
        <v>1</v>
      </c>
      <c r="U92" s="6" t="s">
        <v>58</v>
      </c>
      <c r="V92" s="11">
        <v>0.7</v>
      </c>
      <c r="W92" s="6" t="s">
        <v>60</v>
      </c>
      <c r="X92" s="6" t="s">
        <v>262</v>
      </c>
      <c r="Y92" s="8">
        <v>44.76</v>
      </c>
    </row>
    <row r="93" spans="1:30" s="6" customFormat="1" x14ac:dyDescent="0.3">
      <c r="A93" s="6">
        <v>2031759931</v>
      </c>
      <c r="B93" s="6" t="s">
        <v>362</v>
      </c>
      <c r="C93" s="6" t="s">
        <v>363</v>
      </c>
      <c r="D93" s="6" t="str">
        <f t="shared" si="3"/>
        <v>KRISTA STARK</v>
      </c>
      <c r="E93" s="6" t="s">
        <v>64</v>
      </c>
      <c r="F93" s="6" t="s">
        <v>163</v>
      </c>
      <c r="G93" s="6" t="s">
        <v>164</v>
      </c>
      <c r="H93" s="6" t="s">
        <v>164</v>
      </c>
      <c r="I93" s="9" t="s">
        <v>818</v>
      </c>
      <c r="J93" s="6" t="s">
        <v>67</v>
      </c>
      <c r="K93" s="6" t="s">
        <v>68</v>
      </c>
      <c r="L93" s="6" t="str">
        <f t="shared" si="4"/>
        <v>Richard Yale</v>
      </c>
      <c r="M93" s="6" t="s">
        <v>57</v>
      </c>
      <c r="N93" s="7">
        <v>45954</v>
      </c>
      <c r="O93" s="7">
        <v>46136</v>
      </c>
      <c r="P93" s="6">
        <f t="shared" si="5"/>
        <v>6</v>
      </c>
      <c r="Q93" s="7" t="s">
        <v>261</v>
      </c>
      <c r="R93" s="7" t="s">
        <v>842</v>
      </c>
      <c r="S93" s="8">
        <v>77.48</v>
      </c>
      <c r="T93" s="6">
        <v>1</v>
      </c>
      <c r="U93" s="6" t="s">
        <v>58</v>
      </c>
      <c r="V93" s="12">
        <v>0.375</v>
      </c>
      <c r="W93" s="6" t="s">
        <v>60</v>
      </c>
      <c r="X93" s="6" t="s">
        <v>262</v>
      </c>
      <c r="Y93" s="8">
        <v>29.06</v>
      </c>
    </row>
    <row r="94" spans="1:30" s="6" customFormat="1" x14ac:dyDescent="0.3">
      <c r="A94" s="6">
        <v>2031750243</v>
      </c>
      <c r="B94" s="6" t="s">
        <v>668</v>
      </c>
      <c r="C94" s="6" t="s">
        <v>669</v>
      </c>
      <c r="D94" s="6" t="str">
        <f t="shared" si="3"/>
        <v>KITTY KENNERLY</v>
      </c>
      <c r="E94" s="6" t="s">
        <v>378</v>
      </c>
      <c r="F94" s="6" t="s">
        <v>222</v>
      </c>
      <c r="G94" s="6" t="s">
        <v>223</v>
      </c>
      <c r="H94" s="6" t="s">
        <v>223</v>
      </c>
      <c r="I94" s="9" t="s">
        <v>814</v>
      </c>
      <c r="J94" s="6" t="s">
        <v>185</v>
      </c>
      <c r="K94" s="6" t="s">
        <v>186</v>
      </c>
      <c r="L94" s="6" t="str">
        <f t="shared" si="4"/>
        <v>THOMAS PARDUE</v>
      </c>
      <c r="M94" s="6" t="s">
        <v>57</v>
      </c>
      <c r="N94" s="7">
        <v>45952</v>
      </c>
      <c r="O94" s="7">
        <v>46134</v>
      </c>
      <c r="P94" s="6">
        <f t="shared" si="5"/>
        <v>6</v>
      </c>
      <c r="Q94" s="7" t="s">
        <v>261</v>
      </c>
      <c r="R94" s="7" t="s">
        <v>842</v>
      </c>
      <c r="S94" s="8">
        <v>62.75</v>
      </c>
      <c r="T94" s="6">
        <v>1</v>
      </c>
      <c r="U94" s="6" t="s">
        <v>58</v>
      </c>
      <c r="V94" s="11">
        <v>0.7</v>
      </c>
      <c r="W94" s="6" t="s">
        <v>60</v>
      </c>
      <c r="X94" s="6" t="s">
        <v>262</v>
      </c>
      <c r="Y94" s="8">
        <v>43.92</v>
      </c>
    </row>
    <row r="95" spans="1:30" s="6" customFormat="1" x14ac:dyDescent="0.3">
      <c r="A95" s="6">
        <v>2031750244</v>
      </c>
      <c r="B95" s="6" t="s">
        <v>668</v>
      </c>
      <c r="C95" s="6" t="s">
        <v>669</v>
      </c>
      <c r="D95" s="6" t="str">
        <f t="shared" si="3"/>
        <v>KITTY KENNERLY</v>
      </c>
      <c r="E95" s="6" t="s">
        <v>378</v>
      </c>
      <c r="F95" s="6" t="s">
        <v>222</v>
      </c>
      <c r="G95" s="6" t="s">
        <v>224</v>
      </c>
      <c r="H95" s="6" t="s">
        <v>224</v>
      </c>
      <c r="I95" s="9" t="s">
        <v>814</v>
      </c>
      <c r="J95" s="6" t="s">
        <v>185</v>
      </c>
      <c r="K95" s="6" t="s">
        <v>186</v>
      </c>
      <c r="L95" s="6" t="str">
        <f t="shared" si="4"/>
        <v>THOMAS PARDUE</v>
      </c>
      <c r="M95" s="6" t="s">
        <v>57</v>
      </c>
      <c r="N95" s="7">
        <v>45952</v>
      </c>
      <c r="O95" s="7">
        <v>46134</v>
      </c>
      <c r="P95" s="6">
        <f t="shared" si="5"/>
        <v>6</v>
      </c>
      <c r="Q95" s="7" t="s">
        <v>261</v>
      </c>
      <c r="R95" s="7" t="s">
        <v>842</v>
      </c>
      <c r="S95" s="8">
        <v>37.880000000000003</v>
      </c>
      <c r="T95" s="6">
        <v>1</v>
      </c>
      <c r="U95" s="6" t="s">
        <v>58</v>
      </c>
      <c r="V95" s="11">
        <v>0.9</v>
      </c>
      <c r="W95" s="6" t="s">
        <v>60</v>
      </c>
      <c r="X95" s="6" t="s">
        <v>262</v>
      </c>
      <c r="Y95" s="8">
        <v>34.090000000000003</v>
      </c>
    </row>
    <row r="96" spans="1:30" s="6" customFormat="1" x14ac:dyDescent="0.3">
      <c r="A96" s="6">
        <v>2031731468</v>
      </c>
      <c r="B96" s="6" t="s">
        <v>666</v>
      </c>
      <c r="C96" s="6" t="s">
        <v>667</v>
      </c>
      <c r="D96" s="6" t="str">
        <f t="shared" si="3"/>
        <v>WINSTON STERLING</v>
      </c>
      <c r="E96" s="6" t="s">
        <v>184</v>
      </c>
      <c r="F96" s="6" t="s">
        <v>222</v>
      </c>
      <c r="G96" s="6" t="s">
        <v>224</v>
      </c>
      <c r="H96" s="6" t="s">
        <v>224</v>
      </c>
      <c r="I96" s="9" t="s">
        <v>814</v>
      </c>
      <c r="J96" s="6" t="s">
        <v>185</v>
      </c>
      <c r="K96" s="6" t="s">
        <v>186</v>
      </c>
      <c r="L96" s="6" t="str">
        <f t="shared" si="4"/>
        <v>THOMAS PARDUE</v>
      </c>
      <c r="M96" s="6" t="s">
        <v>57</v>
      </c>
      <c r="N96" s="7">
        <v>45951</v>
      </c>
      <c r="O96" s="7">
        <v>46133</v>
      </c>
      <c r="P96" s="6">
        <f t="shared" si="5"/>
        <v>6</v>
      </c>
      <c r="Q96" s="7" t="s">
        <v>261</v>
      </c>
      <c r="R96" s="7" t="s">
        <v>842</v>
      </c>
      <c r="S96" s="8">
        <v>15.33</v>
      </c>
      <c r="T96" s="6">
        <v>1</v>
      </c>
      <c r="U96" s="6" t="s">
        <v>58</v>
      </c>
      <c r="V96" s="11">
        <v>0.9</v>
      </c>
      <c r="W96" s="6" t="s">
        <v>60</v>
      </c>
      <c r="X96" s="6" t="s">
        <v>262</v>
      </c>
      <c r="Y96" s="8">
        <v>13.8</v>
      </c>
    </row>
    <row r="97" spans="1:30" s="6" customFormat="1" x14ac:dyDescent="0.3">
      <c r="A97" s="6">
        <v>2031226327</v>
      </c>
      <c r="B97" s="6" t="s">
        <v>445</v>
      </c>
      <c r="C97" s="6" t="s">
        <v>446</v>
      </c>
      <c r="D97" s="6" t="str">
        <f t="shared" si="3"/>
        <v>KAREN DUFFLEY</v>
      </c>
      <c r="E97" s="6" t="s">
        <v>74</v>
      </c>
      <c r="F97" s="6" t="s">
        <v>220</v>
      </c>
      <c r="G97" s="6" t="s">
        <v>568</v>
      </c>
      <c r="H97" s="6" t="s">
        <v>568</v>
      </c>
      <c r="I97" s="9" t="s">
        <v>826</v>
      </c>
      <c r="J97" s="6" t="s">
        <v>438</v>
      </c>
      <c r="K97" s="6" t="s">
        <v>439</v>
      </c>
      <c r="L97" s="6" t="str">
        <f t="shared" si="4"/>
        <v>Dale Walenga</v>
      </c>
      <c r="M97" s="6" t="s">
        <v>57</v>
      </c>
      <c r="N97" s="7">
        <v>45924</v>
      </c>
      <c r="O97" s="7">
        <v>46136</v>
      </c>
      <c r="P97" s="6">
        <f t="shared" si="5"/>
        <v>7</v>
      </c>
      <c r="Q97" s="7" t="s">
        <v>261</v>
      </c>
      <c r="R97" s="7" t="s">
        <v>843</v>
      </c>
      <c r="S97" s="8">
        <v>401.35</v>
      </c>
      <c r="T97" s="6">
        <v>1</v>
      </c>
      <c r="U97" s="6" t="s">
        <v>58</v>
      </c>
      <c r="V97" s="11">
        <v>0.38</v>
      </c>
      <c r="W97" s="6" t="s">
        <v>60</v>
      </c>
      <c r="X97" s="6" t="s">
        <v>262</v>
      </c>
      <c r="Y97" s="8">
        <v>152.51</v>
      </c>
    </row>
    <row r="98" spans="1:30" s="6" customFormat="1" x14ac:dyDescent="0.3">
      <c r="A98" s="6">
        <v>2031226328</v>
      </c>
      <c r="B98" s="6" t="s">
        <v>445</v>
      </c>
      <c r="C98" s="6" t="s">
        <v>446</v>
      </c>
      <c r="D98" s="6" t="str">
        <f t="shared" si="3"/>
        <v>KAREN DUFFLEY</v>
      </c>
      <c r="E98" s="6" t="s">
        <v>74</v>
      </c>
      <c r="F98" s="6" t="s">
        <v>220</v>
      </c>
      <c r="G98" s="6" t="s">
        <v>569</v>
      </c>
      <c r="H98" s="6" t="s">
        <v>568</v>
      </c>
      <c r="I98" s="9" t="s">
        <v>826</v>
      </c>
      <c r="J98" s="6" t="s">
        <v>438</v>
      </c>
      <c r="K98" s="6" t="s">
        <v>439</v>
      </c>
      <c r="L98" s="6" t="str">
        <f t="shared" si="4"/>
        <v>Dale Walenga</v>
      </c>
      <c r="M98" s="6" t="s">
        <v>57</v>
      </c>
      <c r="N98" s="7">
        <v>45924</v>
      </c>
      <c r="O98" s="7">
        <v>46136</v>
      </c>
      <c r="P98" s="6">
        <f t="shared" si="5"/>
        <v>7</v>
      </c>
      <c r="Q98" s="7" t="s">
        <v>261</v>
      </c>
      <c r="R98" s="7" t="s">
        <v>843</v>
      </c>
      <c r="S98" s="8">
        <v>7.09</v>
      </c>
      <c r="T98" s="6">
        <v>1</v>
      </c>
      <c r="U98" s="6" t="s">
        <v>58</v>
      </c>
      <c r="V98" s="11">
        <v>0.38</v>
      </c>
      <c r="W98" s="6" t="s">
        <v>60</v>
      </c>
      <c r="X98" s="6" t="s">
        <v>262</v>
      </c>
      <c r="Y98" s="8">
        <v>2.69</v>
      </c>
    </row>
    <row r="99" spans="1:30" s="6" customFormat="1" x14ac:dyDescent="0.3">
      <c r="A99" s="6">
        <v>2031226329</v>
      </c>
      <c r="B99" s="6" t="s">
        <v>445</v>
      </c>
      <c r="C99" s="6" t="s">
        <v>446</v>
      </c>
      <c r="D99" s="6" t="str">
        <f t="shared" si="3"/>
        <v>KAREN DUFFLEY</v>
      </c>
      <c r="E99" s="6" t="s">
        <v>74</v>
      </c>
      <c r="F99" s="6" t="s">
        <v>157</v>
      </c>
      <c r="G99" s="6" t="s">
        <v>437</v>
      </c>
      <c r="H99" s="6" t="s">
        <v>437</v>
      </c>
      <c r="I99" s="9" t="s">
        <v>826</v>
      </c>
      <c r="J99" s="6" t="s">
        <v>438</v>
      </c>
      <c r="K99" s="6" t="s">
        <v>439</v>
      </c>
      <c r="L99" s="6" t="str">
        <f t="shared" si="4"/>
        <v>Dale Walenga</v>
      </c>
      <c r="M99" s="6" t="s">
        <v>57</v>
      </c>
      <c r="N99" s="7">
        <v>45924</v>
      </c>
      <c r="O99" s="7">
        <v>46136</v>
      </c>
      <c r="P99" s="6">
        <f t="shared" si="5"/>
        <v>7</v>
      </c>
      <c r="Q99" s="7" t="s">
        <v>261</v>
      </c>
      <c r="R99" s="7" t="s">
        <v>843</v>
      </c>
      <c r="S99" s="8">
        <v>15</v>
      </c>
      <c r="T99" s="6">
        <v>1</v>
      </c>
      <c r="U99" s="6" t="s">
        <v>58</v>
      </c>
      <c r="V99" s="11">
        <v>0.38</v>
      </c>
      <c r="W99" s="6" t="s">
        <v>60</v>
      </c>
      <c r="X99" s="6" t="s">
        <v>262</v>
      </c>
      <c r="Y99" s="8">
        <v>5.7</v>
      </c>
    </row>
    <row r="100" spans="1:30" s="6" customFormat="1" x14ac:dyDescent="0.3">
      <c r="A100" s="6">
        <v>2031242401</v>
      </c>
      <c r="B100" s="6" t="s">
        <v>356</v>
      </c>
      <c r="C100" s="6" t="s">
        <v>357</v>
      </c>
      <c r="D100" s="6" t="str">
        <f t="shared" si="3"/>
        <v>KATY IBSEN</v>
      </c>
      <c r="E100" s="6" t="s">
        <v>112</v>
      </c>
      <c r="F100" s="6" t="s">
        <v>65</v>
      </c>
      <c r="G100" s="6" t="s">
        <v>66</v>
      </c>
      <c r="H100" s="6" t="s">
        <v>797</v>
      </c>
      <c r="I100" s="9">
        <v>16865615</v>
      </c>
      <c r="J100" s="6" t="s">
        <v>311</v>
      </c>
      <c r="K100" s="6" t="s">
        <v>312</v>
      </c>
      <c r="L100" s="6" t="str">
        <f t="shared" si="4"/>
        <v>Heather Geske</v>
      </c>
      <c r="M100" s="6" t="s">
        <v>57</v>
      </c>
      <c r="N100" s="7">
        <v>45925</v>
      </c>
      <c r="O100" s="7">
        <v>46137</v>
      </c>
      <c r="P100" s="6">
        <f t="shared" si="5"/>
        <v>7</v>
      </c>
      <c r="Q100" s="7" t="s">
        <v>261</v>
      </c>
      <c r="R100" s="7" t="s">
        <v>843</v>
      </c>
      <c r="S100" s="8">
        <v>40.06</v>
      </c>
      <c r="T100" s="6">
        <v>1</v>
      </c>
      <c r="U100" s="6" t="s">
        <v>58</v>
      </c>
      <c r="V100" s="11">
        <v>0.75</v>
      </c>
      <c r="W100" s="6" t="s">
        <v>60</v>
      </c>
      <c r="X100" s="6" t="s">
        <v>262</v>
      </c>
      <c r="Y100" s="8">
        <v>30.04</v>
      </c>
    </row>
    <row r="101" spans="1:30" s="6" customFormat="1" x14ac:dyDescent="0.3">
      <c r="A101" s="6">
        <v>2031242400</v>
      </c>
      <c r="B101" s="6" t="s">
        <v>356</v>
      </c>
      <c r="C101" s="6" t="s">
        <v>357</v>
      </c>
      <c r="D101" s="6" t="str">
        <f t="shared" si="3"/>
        <v>KATY IBSEN</v>
      </c>
      <c r="E101" s="6" t="s">
        <v>112</v>
      </c>
      <c r="F101" s="6" t="s">
        <v>222</v>
      </c>
      <c r="G101" s="6" t="s">
        <v>223</v>
      </c>
      <c r="H101" s="6" t="s">
        <v>223</v>
      </c>
      <c r="I101" s="9">
        <v>16865615</v>
      </c>
      <c r="J101" s="6" t="s">
        <v>311</v>
      </c>
      <c r="K101" s="6" t="s">
        <v>312</v>
      </c>
      <c r="L101" s="6" t="str">
        <f t="shared" si="4"/>
        <v>Heather Geske</v>
      </c>
      <c r="M101" s="6" t="s">
        <v>57</v>
      </c>
      <c r="N101" s="7">
        <v>45925</v>
      </c>
      <c r="O101" s="7">
        <v>46137</v>
      </c>
      <c r="P101" s="6">
        <f t="shared" si="5"/>
        <v>7</v>
      </c>
      <c r="Q101" s="7" t="s">
        <v>261</v>
      </c>
      <c r="R101" s="7" t="s">
        <v>843</v>
      </c>
      <c r="S101" s="8">
        <v>27.38</v>
      </c>
      <c r="T101" s="6">
        <v>1</v>
      </c>
      <c r="U101" s="6" t="s">
        <v>58</v>
      </c>
      <c r="V101" s="11">
        <v>0.7</v>
      </c>
      <c r="W101" s="6" t="s">
        <v>60</v>
      </c>
      <c r="X101" s="6" t="s">
        <v>262</v>
      </c>
      <c r="Y101" s="8">
        <v>19.170000000000002</v>
      </c>
    </row>
    <row r="102" spans="1:30" s="6" customFormat="1" x14ac:dyDescent="0.3">
      <c r="A102" s="6">
        <v>2030678355</v>
      </c>
      <c r="B102" s="6" t="s">
        <v>351</v>
      </c>
      <c r="C102" s="6" t="s">
        <v>352</v>
      </c>
      <c r="D102" s="6" t="str">
        <f t="shared" si="3"/>
        <v>GUILFOYLE MEGHAN</v>
      </c>
      <c r="E102" s="6" t="s">
        <v>112</v>
      </c>
      <c r="F102" s="6" t="s">
        <v>65</v>
      </c>
      <c r="G102" s="6" t="s">
        <v>71</v>
      </c>
      <c r="H102" s="6" t="s">
        <v>796</v>
      </c>
      <c r="I102" s="9" t="s">
        <v>817</v>
      </c>
      <c r="J102" s="6" t="s">
        <v>311</v>
      </c>
      <c r="K102" s="6" t="s">
        <v>312</v>
      </c>
      <c r="L102" s="6" t="str">
        <f t="shared" si="4"/>
        <v>Heather Geske</v>
      </c>
      <c r="M102" s="6" t="s">
        <v>57</v>
      </c>
      <c r="N102" s="7">
        <v>45901</v>
      </c>
      <c r="O102" s="7">
        <v>46113</v>
      </c>
      <c r="P102" s="6">
        <f t="shared" si="5"/>
        <v>7</v>
      </c>
      <c r="Q102" s="7" t="s">
        <v>261</v>
      </c>
      <c r="R102" s="7" t="s">
        <v>843</v>
      </c>
      <c r="S102" s="8">
        <v>-24.59</v>
      </c>
      <c r="T102" s="6">
        <v>1</v>
      </c>
      <c r="U102" s="6" t="s">
        <v>58</v>
      </c>
      <c r="V102" s="11">
        <v>0.9</v>
      </c>
      <c r="W102" s="6" t="s">
        <v>60</v>
      </c>
      <c r="X102" s="6" t="s">
        <v>262</v>
      </c>
      <c r="Y102" s="8">
        <v>-22.13</v>
      </c>
    </row>
    <row r="103" spans="1:30" s="6" customFormat="1" x14ac:dyDescent="0.3">
      <c r="A103" s="6">
        <v>2030678353</v>
      </c>
      <c r="B103" s="6" t="s">
        <v>351</v>
      </c>
      <c r="C103" s="6" t="s">
        <v>352</v>
      </c>
      <c r="D103" s="6" t="str">
        <f t="shared" si="3"/>
        <v>GUILFOYLE MEGHAN</v>
      </c>
      <c r="E103" s="6" t="s">
        <v>112</v>
      </c>
      <c r="F103" s="6" t="s">
        <v>220</v>
      </c>
      <c r="G103" s="6" t="s">
        <v>221</v>
      </c>
      <c r="H103" s="6" t="s">
        <v>221</v>
      </c>
      <c r="I103" s="9" t="s">
        <v>817</v>
      </c>
      <c r="J103" s="6" t="s">
        <v>311</v>
      </c>
      <c r="K103" s="6" t="s">
        <v>312</v>
      </c>
      <c r="L103" s="6" t="str">
        <f t="shared" si="4"/>
        <v>Heather Geske</v>
      </c>
      <c r="M103" s="6" t="s">
        <v>57</v>
      </c>
      <c r="N103" s="7">
        <v>45901</v>
      </c>
      <c r="O103" s="7">
        <v>46113</v>
      </c>
      <c r="P103" s="6">
        <f t="shared" si="5"/>
        <v>7</v>
      </c>
      <c r="Q103" s="7" t="s">
        <v>261</v>
      </c>
      <c r="R103" s="7" t="s">
        <v>843</v>
      </c>
      <c r="S103" s="8">
        <v>-16.91</v>
      </c>
      <c r="T103" s="6">
        <v>1</v>
      </c>
      <c r="U103" s="6" t="s">
        <v>58</v>
      </c>
      <c r="V103" s="11">
        <v>0.38</v>
      </c>
      <c r="W103" s="6" t="s">
        <v>60</v>
      </c>
      <c r="X103" s="6" t="s">
        <v>262</v>
      </c>
      <c r="Y103" s="8">
        <v>-6.43</v>
      </c>
    </row>
    <row r="104" spans="1:30" s="6" customFormat="1" x14ac:dyDescent="0.3">
      <c r="A104" s="6">
        <v>2030678354</v>
      </c>
      <c r="B104" s="6" t="s">
        <v>351</v>
      </c>
      <c r="C104" s="6" t="s">
        <v>352</v>
      </c>
      <c r="D104" s="6" t="str">
        <f t="shared" si="3"/>
        <v>GUILFOYLE MEGHAN</v>
      </c>
      <c r="E104" s="6" t="s">
        <v>112</v>
      </c>
      <c r="F104" s="6" t="s">
        <v>222</v>
      </c>
      <c r="G104" s="6" t="s">
        <v>223</v>
      </c>
      <c r="H104" s="6" t="s">
        <v>223</v>
      </c>
      <c r="I104" s="9" t="s">
        <v>817</v>
      </c>
      <c r="J104" s="6" t="s">
        <v>311</v>
      </c>
      <c r="K104" s="6" t="s">
        <v>312</v>
      </c>
      <c r="L104" s="6" t="str">
        <f t="shared" si="4"/>
        <v>Heather Geske</v>
      </c>
      <c r="M104" s="6" t="s">
        <v>57</v>
      </c>
      <c r="N104" s="7">
        <v>45901</v>
      </c>
      <c r="O104" s="7">
        <v>46113</v>
      </c>
      <c r="P104" s="6">
        <f t="shared" si="5"/>
        <v>7</v>
      </c>
      <c r="Q104" s="7" t="s">
        <v>261</v>
      </c>
      <c r="R104" s="7" t="s">
        <v>843</v>
      </c>
      <c r="S104" s="8">
        <v>-9.1</v>
      </c>
      <c r="T104" s="6">
        <v>1</v>
      </c>
      <c r="U104" s="6" t="s">
        <v>58</v>
      </c>
      <c r="V104" s="11">
        <v>0.7</v>
      </c>
      <c r="W104" s="6" t="s">
        <v>60</v>
      </c>
      <c r="X104" s="6" t="s">
        <v>262</v>
      </c>
      <c r="Y104" s="8">
        <v>-6.37</v>
      </c>
    </row>
    <row r="105" spans="1:30" s="6" customFormat="1" x14ac:dyDescent="0.3">
      <c r="A105" s="6">
        <v>2030678352</v>
      </c>
      <c r="B105" s="6" t="s">
        <v>351</v>
      </c>
      <c r="C105" s="6" t="s">
        <v>352</v>
      </c>
      <c r="D105" s="6" t="str">
        <f t="shared" si="3"/>
        <v>GUILFOYLE MEGHAN</v>
      </c>
      <c r="E105" s="6" t="s">
        <v>112</v>
      </c>
      <c r="F105" s="6" t="s">
        <v>163</v>
      </c>
      <c r="G105" s="6" t="s">
        <v>164</v>
      </c>
      <c r="H105" s="6" t="s">
        <v>164</v>
      </c>
      <c r="I105" s="9" t="s">
        <v>817</v>
      </c>
      <c r="J105" s="6" t="s">
        <v>311</v>
      </c>
      <c r="K105" s="6" t="s">
        <v>312</v>
      </c>
      <c r="L105" s="6" t="str">
        <f t="shared" si="4"/>
        <v>Heather Geske</v>
      </c>
      <c r="M105" s="6" t="s">
        <v>57</v>
      </c>
      <c r="N105" s="7">
        <v>45901</v>
      </c>
      <c r="O105" s="7">
        <v>46113</v>
      </c>
      <c r="P105" s="6">
        <f t="shared" si="5"/>
        <v>7</v>
      </c>
      <c r="Q105" s="7" t="s">
        <v>261</v>
      </c>
      <c r="R105" s="7" t="s">
        <v>843</v>
      </c>
      <c r="S105" s="8">
        <v>-37.51</v>
      </c>
      <c r="T105" s="6">
        <v>1</v>
      </c>
      <c r="U105" s="6" t="s">
        <v>58</v>
      </c>
      <c r="V105" s="12">
        <v>0.375</v>
      </c>
      <c r="W105" s="6" t="s">
        <v>60</v>
      </c>
      <c r="X105" s="6" t="s">
        <v>262</v>
      </c>
      <c r="Y105" s="8">
        <v>-14.07</v>
      </c>
    </row>
    <row r="106" spans="1:30" s="6" customFormat="1" x14ac:dyDescent="0.3">
      <c r="A106" s="6">
        <v>2031249951</v>
      </c>
      <c r="B106" s="6" t="s">
        <v>532</v>
      </c>
      <c r="C106" s="6" t="s">
        <v>200</v>
      </c>
      <c r="D106" s="6" t="str">
        <f t="shared" si="3"/>
        <v>MICHAEL ITURBE</v>
      </c>
      <c r="E106" s="6" t="s">
        <v>64</v>
      </c>
      <c r="F106" s="6" t="s">
        <v>222</v>
      </c>
      <c r="G106" s="6" t="s">
        <v>223</v>
      </c>
      <c r="H106" s="6" t="s">
        <v>223</v>
      </c>
      <c r="I106" s="9">
        <v>20212926</v>
      </c>
      <c r="J106" s="6" t="s">
        <v>159</v>
      </c>
      <c r="K106" s="6" t="s">
        <v>160</v>
      </c>
      <c r="L106" s="6" t="str">
        <f t="shared" si="4"/>
        <v>JOSE TORRES</v>
      </c>
      <c r="M106" s="6" t="s">
        <v>57</v>
      </c>
      <c r="N106" s="7">
        <v>45925</v>
      </c>
      <c r="O106" s="7">
        <v>46137</v>
      </c>
      <c r="P106" s="6">
        <f t="shared" si="5"/>
        <v>7</v>
      </c>
      <c r="Q106" s="7" t="s">
        <v>261</v>
      </c>
      <c r="R106" s="7" t="s">
        <v>843</v>
      </c>
      <c r="S106" s="8">
        <v>28.9</v>
      </c>
      <c r="T106" s="6">
        <v>1</v>
      </c>
      <c r="U106" s="6" t="s">
        <v>58</v>
      </c>
      <c r="V106" s="11">
        <v>0.7</v>
      </c>
      <c r="W106" s="6" t="s">
        <v>60</v>
      </c>
      <c r="X106" s="6" t="s">
        <v>262</v>
      </c>
      <c r="Y106" s="8">
        <v>20.23</v>
      </c>
    </row>
    <row r="107" spans="1:30" x14ac:dyDescent="0.3">
      <c r="A107" s="6">
        <v>2031249950</v>
      </c>
      <c r="B107" s="6" t="s">
        <v>532</v>
      </c>
      <c r="C107" s="6" t="s">
        <v>200</v>
      </c>
      <c r="D107" s="6" t="str">
        <f t="shared" si="3"/>
        <v>MICHAEL ITURBE</v>
      </c>
      <c r="E107" s="6" t="s">
        <v>64</v>
      </c>
      <c r="F107" s="6" t="s">
        <v>163</v>
      </c>
      <c r="G107" s="6" t="s">
        <v>164</v>
      </c>
      <c r="H107" s="6" t="s">
        <v>164</v>
      </c>
      <c r="I107" s="9">
        <v>20212926</v>
      </c>
      <c r="J107" s="6" t="s">
        <v>159</v>
      </c>
      <c r="K107" s="6" t="s">
        <v>160</v>
      </c>
      <c r="L107" s="6" t="str">
        <f t="shared" si="4"/>
        <v>JOSE TORRES</v>
      </c>
      <c r="M107" s="6" t="s">
        <v>57</v>
      </c>
      <c r="N107" s="7">
        <v>45925</v>
      </c>
      <c r="O107" s="7">
        <v>46137</v>
      </c>
      <c r="P107" s="6">
        <f t="shared" si="5"/>
        <v>7</v>
      </c>
      <c r="Q107" s="7" t="s">
        <v>261</v>
      </c>
      <c r="R107" s="7" t="s">
        <v>843</v>
      </c>
      <c r="S107" s="8">
        <v>53.87</v>
      </c>
      <c r="T107" s="6">
        <v>1</v>
      </c>
      <c r="U107" s="6" t="s">
        <v>58</v>
      </c>
      <c r="V107" s="12">
        <v>0.375</v>
      </c>
      <c r="W107" s="6" t="s">
        <v>60</v>
      </c>
      <c r="X107" s="6" t="s">
        <v>262</v>
      </c>
      <c r="Y107" s="8">
        <v>20.2</v>
      </c>
      <c r="Z107" s="6"/>
      <c r="AA107" s="6"/>
      <c r="AB107" s="6"/>
      <c r="AC107" s="6"/>
      <c r="AD107" s="6"/>
    </row>
    <row r="108" spans="1:30" x14ac:dyDescent="0.3">
      <c r="A108" s="6">
        <v>2031255008</v>
      </c>
      <c r="B108" s="6" t="s">
        <v>448</v>
      </c>
      <c r="C108" s="6" t="s">
        <v>449</v>
      </c>
      <c r="D108" s="6" t="str">
        <f t="shared" si="3"/>
        <v>ACE SALMETE</v>
      </c>
      <c r="E108" s="6" t="s">
        <v>64</v>
      </c>
      <c r="F108" s="6" t="s">
        <v>220</v>
      </c>
      <c r="G108" s="6" t="s">
        <v>568</v>
      </c>
      <c r="H108" s="6" t="s">
        <v>568</v>
      </c>
      <c r="I108" s="9">
        <v>19200754</v>
      </c>
      <c r="J108" s="6" t="s">
        <v>450</v>
      </c>
      <c r="K108" s="6" t="s">
        <v>451</v>
      </c>
      <c r="L108" s="6" t="str">
        <f t="shared" si="4"/>
        <v>RICARDO SANTOS</v>
      </c>
      <c r="M108" s="6" t="s">
        <v>57</v>
      </c>
      <c r="N108" s="7">
        <v>45925</v>
      </c>
      <c r="O108" s="7">
        <v>46137</v>
      </c>
      <c r="P108" s="6">
        <f t="shared" si="5"/>
        <v>7</v>
      </c>
      <c r="Q108" s="7" t="s">
        <v>261</v>
      </c>
      <c r="R108" s="7" t="s">
        <v>843</v>
      </c>
      <c r="S108" s="8">
        <v>328.85</v>
      </c>
      <c r="T108" s="6">
        <v>1</v>
      </c>
      <c r="U108" s="6" t="s">
        <v>58</v>
      </c>
      <c r="V108" s="11">
        <v>0.38</v>
      </c>
      <c r="W108" s="6" t="s">
        <v>60</v>
      </c>
      <c r="X108" s="6" t="s">
        <v>262</v>
      </c>
      <c r="Y108" s="8">
        <v>124.96</v>
      </c>
      <c r="Z108" s="6"/>
      <c r="AA108" s="6"/>
      <c r="AB108" s="6"/>
      <c r="AC108" s="6"/>
      <c r="AD108" s="6"/>
    </row>
    <row r="109" spans="1:30" x14ac:dyDescent="0.3">
      <c r="A109" s="6">
        <v>2031255009</v>
      </c>
      <c r="B109" s="6" t="s">
        <v>448</v>
      </c>
      <c r="C109" s="6" t="s">
        <v>449</v>
      </c>
      <c r="D109" s="6" t="str">
        <f t="shared" si="3"/>
        <v>ACE SALMETE</v>
      </c>
      <c r="E109" s="6" t="s">
        <v>64</v>
      </c>
      <c r="F109" s="6" t="s">
        <v>220</v>
      </c>
      <c r="G109" s="6" t="s">
        <v>569</v>
      </c>
      <c r="H109" s="6" t="s">
        <v>568</v>
      </c>
      <c r="I109" s="9">
        <v>19200754</v>
      </c>
      <c r="J109" s="6" t="s">
        <v>450</v>
      </c>
      <c r="K109" s="6" t="s">
        <v>451</v>
      </c>
      <c r="L109" s="6" t="str">
        <f t="shared" si="4"/>
        <v>RICARDO SANTOS</v>
      </c>
      <c r="M109" s="6" t="s">
        <v>57</v>
      </c>
      <c r="N109" s="7">
        <v>45925</v>
      </c>
      <c r="O109" s="7">
        <v>46137</v>
      </c>
      <c r="P109" s="6">
        <f t="shared" si="5"/>
        <v>7</v>
      </c>
      <c r="Q109" s="7" t="s">
        <v>261</v>
      </c>
      <c r="R109" s="7" t="s">
        <v>843</v>
      </c>
      <c r="S109" s="8">
        <v>7.09</v>
      </c>
      <c r="T109" s="6">
        <v>1</v>
      </c>
      <c r="U109" s="6" t="s">
        <v>58</v>
      </c>
      <c r="V109" s="11">
        <v>0.38</v>
      </c>
      <c r="W109" s="6" t="s">
        <v>60</v>
      </c>
      <c r="X109" s="6" t="s">
        <v>262</v>
      </c>
      <c r="Y109" s="8">
        <v>2.69</v>
      </c>
      <c r="Z109" s="6"/>
      <c r="AA109" s="6"/>
      <c r="AB109" s="6"/>
      <c r="AC109" s="6"/>
      <c r="AD109" s="6"/>
    </row>
    <row r="110" spans="1:30" x14ac:dyDescent="0.3">
      <c r="A110" s="6">
        <v>2031255011</v>
      </c>
      <c r="B110" s="6" t="s">
        <v>448</v>
      </c>
      <c r="C110" s="6" t="s">
        <v>449</v>
      </c>
      <c r="D110" s="6" t="str">
        <f t="shared" si="3"/>
        <v>ACE SALMETE</v>
      </c>
      <c r="E110" s="6" t="s">
        <v>64</v>
      </c>
      <c r="F110" s="6" t="s">
        <v>157</v>
      </c>
      <c r="G110" s="6" t="s">
        <v>437</v>
      </c>
      <c r="H110" s="6" t="s">
        <v>437</v>
      </c>
      <c r="I110" s="9">
        <v>19200754</v>
      </c>
      <c r="J110" s="6" t="s">
        <v>450</v>
      </c>
      <c r="K110" s="6" t="s">
        <v>451</v>
      </c>
      <c r="L110" s="6" t="str">
        <f t="shared" si="4"/>
        <v>RICARDO SANTOS</v>
      </c>
      <c r="M110" s="6" t="s">
        <v>57</v>
      </c>
      <c r="N110" s="7">
        <v>45925</v>
      </c>
      <c r="O110" s="7">
        <v>46137</v>
      </c>
      <c r="P110" s="6">
        <f t="shared" si="5"/>
        <v>7</v>
      </c>
      <c r="Q110" s="7" t="s">
        <v>261</v>
      </c>
      <c r="R110" s="7" t="s">
        <v>843</v>
      </c>
      <c r="S110" s="8">
        <v>15</v>
      </c>
      <c r="T110" s="6">
        <v>1</v>
      </c>
      <c r="U110" s="6" t="s">
        <v>58</v>
      </c>
      <c r="V110" s="11">
        <v>0.38</v>
      </c>
      <c r="W110" s="6" t="s">
        <v>60</v>
      </c>
      <c r="X110" s="6" t="s">
        <v>262</v>
      </c>
      <c r="Y110" s="8">
        <v>5.7</v>
      </c>
      <c r="Z110" s="6"/>
      <c r="AA110" s="6"/>
      <c r="AB110" s="6"/>
      <c r="AC110" s="6"/>
      <c r="AD110" s="6"/>
    </row>
    <row r="111" spans="1:30" x14ac:dyDescent="0.3">
      <c r="A111" s="6">
        <v>2031255010</v>
      </c>
      <c r="B111" s="6" t="s">
        <v>448</v>
      </c>
      <c r="C111" s="6" t="s">
        <v>449</v>
      </c>
      <c r="D111" s="6" t="str">
        <f t="shared" si="3"/>
        <v>ACE SALMETE</v>
      </c>
      <c r="E111" s="6" t="s">
        <v>64</v>
      </c>
      <c r="F111" s="6" t="s">
        <v>222</v>
      </c>
      <c r="G111" s="6" t="s">
        <v>223</v>
      </c>
      <c r="H111" s="6" t="s">
        <v>223</v>
      </c>
      <c r="I111" s="9">
        <v>19200754</v>
      </c>
      <c r="J111" s="6" t="s">
        <v>450</v>
      </c>
      <c r="K111" s="6" t="s">
        <v>451</v>
      </c>
      <c r="L111" s="6" t="str">
        <f t="shared" si="4"/>
        <v>RICARDO SANTOS</v>
      </c>
      <c r="M111" s="6" t="s">
        <v>57</v>
      </c>
      <c r="N111" s="7">
        <v>45925</v>
      </c>
      <c r="O111" s="7">
        <v>46137</v>
      </c>
      <c r="P111" s="6">
        <f t="shared" si="5"/>
        <v>7</v>
      </c>
      <c r="Q111" s="7" t="s">
        <v>261</v>
      </c>
      <c r="R111" s="7" t="s">
        <v>843</v>
      </c>
      <c r="S111" s="8">
        <v>86.25</v>
      </c>
      <c r="T111" s="6">
        <v>1</v>
      </c>
      <c r="U111" s="6" t="s">
        <v>58</v>
      </c>
      <c r="V111" s="11">
        <v>0.7</v>
      </c>
      <c r="W111" s="6" t="s">
        <v>60</v>
      </c>
      <c r="X111" s="6" t="s">
        <v>262</v>
      </c>
      <c r="Y111" s="8">
        <v>60.38</v>
      </c>
      <c r="Z111" s="6"/>
      <c r="AA111" s="6"/>
      <c r="AB111" s="6"/>
      <c r="AC111" s="6"/>
      <c r="AD111" s="6"/>
    </row>
    <row r="112" spans="1:30" x14ac:dyDescent="0.3">
      <c r="A112" s="6">
        <v>2031255007</v>
      </c>
      <c r="B112" s="6" t="s">
        <v>448</v>
      </c>
      <c r="C112" s="6" t="s">
        <v>449</v>
      </c>
      <c r="D112" s="6" t="str">
        <f t="shared" si="3"/>
        <v>ACE SALMETE</v>
      </c>
      <c r="E112" s="6" t="s">
        <v>64</v>
      </c>
      <c r="F112" s="6" t="s">
        <v>163</v>
      </c>
      <c r="G112" s="6" t="s">
        <v>164</v>
      </c>
      <c r="H112" s="6" t="s">
        <v>164</v>
      </c>
      <c r="I112" s="9">
        <v>19200754</v>
      </c>
      <c r="J112" s="6" t="s">
        <v>450</v>
      </c>
      <c r="K112" s="6" t="s">
        <v>451</v>
      </c>
      <c r="L112" s="6" t="str">
        <f t="shared" si="4"/>
        <v>RICARDO SANTOS</v>
      </c>
      <c r="M112" s="6" t="s">
        <v>57</v>
      </c>
      <c r="N112" s="7">
        <v>45925</v>
      </c>
      <c r="O112" s="7">
        <v>46137</v>
      </c>
      <c r="P112" s="6">
        <f t="shared" si="5"/>
        <v>7</v>
      </c>
      <c r="Q112" s="7" t="s">
        <v>261</v>
      </c>
      <c r="R112" s="7" t="s">
        <v>843</v>
      </c>
      <c r="S112" s="8">
        <v>257.49</v>
      </c>
      <c r="T112" s="6">
        <v>1</v>
      </c>
      <c r="U112" s="6" t="s">
        <v>58</v>
      </c>
      <c r="V112" s="12">
        <v>0.375</v>
      </c>
      <c r="W112" s="6" t="s">
        <v>60</v>
      </c>
      <c r="X112" s="6" t="s">
        <v>262</v>
      </c>
      <c r="Y112" s="8">
        <v>96.56</v>
      </c>
      <c r="Z112" s="6"/>
      <c r="AA112" s="6"/>
      <c r="AB112" s="6"/>
      <c r="AC112" s="6"/>
      <c r="AD112" s="6"/>
    </row>
    <row r="113" spans="1:30" s="6" customFormat="1" x14ac:dyDescent="0.3">
      <c r="A113" s="6">
        <v>2031180133</v>
      </c>
      <c r="B113" s="6" t="s">
        <v>354</v>
      </c>
      <c r="C113" s="6" t="s">
        <v>355</v>
      </c>
      <c r="D113" s="6" t="str">
        <f t="shared" si="3"/>
        <v>MARGARET BALDWIN</v>
      </c>
      <c r="E113" s="6" t="s">
        <v>213</v>
      </c>
      <c r="F113" s="6" t="s">
        <v>65</v>
      </c>
      <c r="G113" s="6" t="s">
        <v>66</v>
      </c>
      <c r="H113" s="6" t="s">
        <v>797</v>
      </c>
      <c r="I113" s="9" t="s">
        <v>818</v>
      </c>
      <c r="J113" s="6" t="s">
        <v>67</v>
      </c>
      <c r="K113" s="6" t="s">
        <v>68</v>
      </c>
      <c r="L113" s="6" t="str">
        <f t="shared" si="4"/>
        <v>Richard Yale</v>
      </c>
      <c r="M113" s="6" t="s">
        <v>57</v>
      </c>
      <c r="N113" s="7">
        <v>45924</v>
      </c>
      <c r="O113" s="7">
        <v>46136</v>
      </c>
      <c r="P113" s="6">
        <f t="shared" si="5"/>
        <v>7</v>
      </c>
      <c r="Q113" s="7" t="s">
        <v>261</v>
      </c>
      <c r="R113" s="7" t="s">
        <v>843</v>
      </c>
      <c r="S113" s="8">
        <v>71.63</v>
      </c>
      <c r="T113" s="6">
        <v>1</v>
      </c>
      <c r="U113" s="6" t="s">
        <v>58</v>
      </c>
      <c r="V113" s="11">
        <v>0.75</v>
      </c>
      <c r="W113" s="6" t="s">
        <v>60</v>
      </c>
      <c r="X113" s="6" t="s">
        <v>262</v>
      </c>
      <c r="Y113" s="8">
        <v>53.72</v>
      </c>
    </row>
    <row r="114" spans="1:30" x14ac:dyDescent="0.3">
      <c r="A114" s="6">
        <v>2031180132</v>
      </c>
      <c r="B114" s="6" t="s">
        <v>354</v>
      </c>
      <c r="C114" s="6" t="s">
        <v>355</v>
      </c>
      <c r="D114" s="6" t="str">
        <f t="shared" si="3"/>
        <v>MARGARET BALDWIN</v>
      </c>
      <c r="E114" s="6" t="s">
        <v>213</v>
      </c>
      <c r="F114" s="6" t="s">
        <v>222</v>
      </c>
      <c r="G114" s="6" t="s">
        <v>223</v>
      </c>
      <c r="H114" s="6" t="s">
        <v>223</v>
      </c>
      <c r="I114" s="9" t="s">
        <v>818</v>
      </c>
      <c r="J114" s="6" t="s">
        <v>67</v>
      </c>
      <c r="K114" s="6" t="s">
        <v>68</v>
      </c>
      <c r="L114" s="6" t="str">
        <f t="shared" si="4"/>
        <v>Richard Yale</v>
      </c>
      <c r="M114" s="6" t="s">
        <v>57</v>
      </c>
      <c r="N114" s="7">
        <v>45924</v>
      </c>
      <c r="O114" s="7">
        <v>46136</v>
      </c>
      <c r="P114" s="6">
        <f t="shared" si="5"/>
        <v>7</v>
      </c>
      <c r="Q114" s="7" t="s">
        <v>261</v>
      </c>
      <c r="R114" s="7" t="s">
        <v>843</v>
      </c>
      <c r="S114" s="8">
        <v>101.99</v>
      </c>
      <c r="T114" s="6">
        <v>1</v>
      </c>
      <c r="U114" s="6" t="s">
        <v>58</v>
      </c>
      <c r="V114" s="11">
        <v>0.7</v>
      </c>
      <c r="W114" s="6" t="s">
        <v>60</v>
      </c>
      <c r="X114" s="6" t="s">
        <v>262</v>
      </c>
      <c r="Y114" s="8">
        <v>71.39</v>
      </c>
      <c r="Z114" s="6"/>
      <c r="AA114" s="6"/>
      <c r="AB114" s="6"/>
      <c r="AC114" s="6"/>
      <c r="AD114" s="6"/>
    </row>
    <row r="115" spans="1:30" x14ac:dyDescent="0.3">
      <c r="A115" s="6">
        <v>2031180131</v>
      </c>
      <c r="B115" s="6" t="s">
        <v>354</v>
      </c>
      <c r="C115" s="6" t="s">
        <v>355</v>
      </c>
      <c r="D115" s="6" t="str">
        <f t="shared" si="3"/>
        <v>MARGARET BALDWIN</v>
      </c>
      <c r="E115" s="6" t="s">
        <v>213</v>
      </c>
      <c r="F115" s="6" t="s">
        <v>163</v>
      </c>
      <c r="G115" s="6" t="s">
        <v>164</v>
      </c>
      <c r="H115" s="6" t="s">
        <v>164</v>
      </c>
      <c r="I115" s="9" t="s">
        <v>818</v>
      </c>
      <c r="J115" s="6" t="s">
        <v>67</v>
      </c>
      <c r="K115" s="6" t="s">
        <v>68</v>
      </c>
      <c r="L115" s="6" t="str">
        <f t="shared" si="4"/>
        <v>Richard Yale</v>
      </c>
      <c r="M115" s="6" t="s">
        <v>57</v>
      </c>
      <c r="N115" s="7">
        <v>45924</v>
      </c>
      <c r="O115" s="7">
        <v>46136</v>
      </c>
      <c r="P115" s="6">
        <f t="shared" si="5"/>
        <v>7</v>
      </c>
      <c r="Q115" s="7" t="s">
        <v>261</v>
      </c>
      <c r="R115" s="7" t="s">
        <v>843</v>
      </c>
      <c r="S115" s="8">
        <v>69.69</v>
      </c>
      <c r="T115" s="6">
        <v>1</v>
      </c>
      <c r="U115" s="6" t="s">
        <v>58</v>
      </c>
      <c r="V115" s="12">
        <v>0.375</v>
      </c>
      <c r="W115" s="6" t="s">
        <v>60</v>
      </c>
      <c r="X115" s="6" t="s">
        <v>262</v>
      </c>
      <c r="Y115" s="8">
        <v>26.13</v>
      </c>
      <c r="Z115" s="6"/>
      <c r="AA115" s="6"/>
      <c r="AB115" s="6"/>
      <c r="AC115" s="6"/>
      <c r="AD115" s="6"/>
    </row>
    <row r="116" spans="1:30" x14ac:dyDescent="0.3">
      <c r="A116" s="6">
        <v>2031218305</v>
      </c>
      <c r="B116" s="6" t="s">
        <v>530</v>
      </c>
      <c r="C116" s="6" t="s">
        <v>531</v>
      </c>
      <c r="D116" s="6" t="str">
        <f t="shared" si="3"/>
        <v>CAMILIA NKOPPE</v>
      </c>
      <c r="E116" s="6" t="s">
        <v>184</v>
      </c>
      <c r="F116" s="6" t="s">
        <v>163</v>
      </c>
      <c r="G116" s="6" t="s">
        <v>164</v>
      </c>
      <c r="H116" s="6" t="s">
        <v>164</v>
      </c>
      <c r="I116" s="9" t="s">
        <v>814</v>
      </c>
      <c r="J116" s="6" t="s">
        <v>185</v>
      </c>
      <c r="K116" s="6" t="s">
        <v>186</v>
      </c>
      <c r="L116" s="6" t="str">
        <f t="shared" si="4"/>
        <v>THOMAS PARDUE</v>
      </c>
      <c r="M116" s="6" t="s">
        <v>57</v>
      </c>
      <c r="N116" s="7">
        <v>45924</v>
      </c>
      <c r="O116" s="7">
        <v>46136</v>
      </c>
      <c r="P116" s="6">
        <f t="shared" si="5"/>
        <v>7</v>
      </c>
      <c r="Q116" s="7" t="s">
        <v>261</v>
      </c>
      <c r="R116" s="7" t="s">
        <v>843</v>
      </c>
      <c r="S116" s="8">
        <v>78.349999999999994</v>
      </c>
      <c r="T116" s="6">
        <v>1</v>
      </c>
      <c r="U116" s="6" t="s">
        <v>58</v>
      </c>
      <c r="V116" s="12">
        <v>0.375</v>
      </c>
      <c r="W116" s="6" t="s">
        <v>60</v>
      </c>
      <c r="X116" s="6" t="s">
        <v>262</v>
      </c>
      <c r="Y116" s="8">
        <v>29.38</v>
      </c>
      <c r="Z116" s="6"/>
      <c r="AA116" s="6"/>
      <c r="AB116" s="6"/>
      <c r="AC116" s="6"/>
      <c r="AD116" s="6"/>
    </row>
    <row r="117" spans="1:30" x14ac:dyDescent="0.3">
      <c r="A117" s="6">
        <v>2031205937</v>
      </c>
      <c r="B117" s="6" t="s">
        <v>529</v>
      </c>
      <c r="C117" s="6" t="s">
        <v>361</v>
      </c>
      <c r="D117" s="6" t="str">
        <f t="shared" si="3"/>
        <v>JESSICA WILKINSON</v>
      </c>
      <c r="E117" s="6" t="s">
        <v>74</v>
      </c>
      <c r="F117" s="6" t="s">
        <v>163</v>
      </c>
      <c r="G117" s="6" t="s">
        <v>164</v>
      </c>
      <c r="H117" s="6" t="s">
        <v>164</v>
      </c>
      <c r="I117" s="9" t="s">
        <v>814</v>
      </c>
      <c r="J117" s="6" t="s">
        <v>185</v>
      </c>
      <c r="K117" s="6" t="s">
        <v>186</v>
      </c>
      <c r="L117" s="6" t="str">
        <f t="shared" si="4"/>
        <v>THOMAS PARDUE</v>
      </c>
      <c r="M117" s="6" t="s">
        <v>57</v>
      </c>
      <c r="N117" s="7">
        <v>45923</v>
      </c>
      <c r="O117" s="7">
        <v>46135</v>
      </c>
      <c r="P117" s="6">
        <f t="shared" si="5"/>
        <v>7</v>
      </c>
      <c r="Q117" s="7" t="s">
        <v>261</v>
      </c>
      <c r="R117" s="7" t="s">
        <v>843</v>
      </c>
      <c r="S117" s="8">
        <v>28.38</v>
      </c>
      <c r="T117" s="6">
        <v>1</v>
      </c>
      <c r="U117" s="6" t="s">
        <v>58</v>
      </c>
      <c r="V117" s="12">
        <v>0.375</v>
      </c>
      <c r="W117" s="6" t="s">
        <v>60</v>
      </c>
      <c r="X117" s="6" t="s">
        <v>262</v>
      </c>
      <c r="Y117" s="8">
        <v>10.64</v>
      </c>
      <c r="Z117" s="6"/>
      <c r="AA117" s="6"/>
      <c r="AB117" s="6"/>
      <c r="AC117" s="6"/>
      <c r="AD117" s="6"/>
    </row>
    <row r="118" spans="1:30" x14ac:dyDescent="0.3">
      <c r="A118" s="6">
        <v>2031205938</v>
      </c>
      <c r="B118" s="6" t="s">
        <v>529</v>
      </c>
      <c r="C118" s="6" t="s">
        <v>361</v>
      </c>
      <c r="D118" s="6" t="str">
        <f t="shared" si="3"/>
        <v>JESSICA WILKINSON</v>
      </c>
      <c r="E118" s="6" t="s">
        <v>74</v>
      </c>
      <c r="F118" s="6" t="s">
        <v>222</v>
      </c>
      <c r="G118" s="6" t="s">
        <v>224</v>
      </c>
      <c r="H118" s="6" t="s">
        <v>224</v>
      </c>
      <c r="I118" s="9" t="s">
        <v>814</v>
      </c>
      <c r="J118" s="6" t="s">
        <v>185</v>
      </c>
      <c r="K118" s="6" t="s">
        <v>186</v>
      </c>
      <c r="L118" s="6" t="str">
        <f t="shared" si="4"/>
        <v>THOMAS PARDUE</v>
      </c>
      <c r="M118" s="6" t="s">
        <v>57</v>
      </c>
      <c r="N118" s="7">
        <v>45923</v>
      </c>
      <c r="O118" s="7">
        <v>46135</v>
      </c>
      <c r="P118" s="6">
        <f t="shared" si="5"/>
        <v>7</v>
      </c>
      <c r="Q118" s="7" t="s">
        <v>261</v>
      </c>
      <c r="R118" s="7" t="s">
        <v>843</v>
      </c>
      <c r="S118" s="8">
        <v>12.96</v>
      </c>
      <c r="T118" s="6">
        <v>1</v>
      </c>
      <c r="U118" s="6" t="s">
        <v>58</v>
      </c>
      <c r="V118" s="11">
        <v>0.9</v>
      </c>
      <c r="W118" s="6" t="s">
        <v>60</v>
      </c>
      <c r="X118" s="6" t="s">
        <v>262</v>
      </c>
      <c r="Y118" s="8">
        <v>11.66</v>
      </c>
      <c r="Z118" s="6"/>
      <c r="AA118" s="6"/>
      <c r="AB118" s="6"/>
      <c r="AC118" s="6"/>
      <c r="AD118" s="6"/>
    </row>
    <row r="119" spans="1:30" x14ac:dyDescent="0.3">
      <c r="A119" s="6">
        <v>2030601614</v>
      </c>
      <c r="B119" s="6" t="s">
        <v>168</v>
      </c>
      <c r="C119" s="6" t="s">
        <v>525</v>
      </c>
      <c r="D119" s="6" t="str">
        <f t="shared" si="3"/>
        <v>O'CONNOR SARAH</v>
      </c>
      <c r="E119" s="6" t="s">
        <v>64</v>
      </c>
      <c r="F119" s="6" t="s">
        <v>163</v>
      </c>
      <c r="G119" s="6" t="s">
        <v>164</v>
      </c>
      <c r="H119" s="6" t="s">
        <v>164</v>
      </c>
      <c r="I119" s="9" t="s">
        <v>801</v>
      </c>
      <c r="J119" s="6" t="s">
        <v>398</v>
      </c>
      <c r="K119" s="6" t="s">
        <v>399</v>
      </c>
      <c r="L119" s="6" t="str">
        <f t="shared" si="4"/>
        <v>CHRISTIAN TAUGNER</v>
      </c>
      <c r="M119" s="6" t="s">
        <v>57</v>
      </c>
      <c r="N119" s="7">
        <v>45891</v>
      </c>
      <c r="O119" s="7">
        <v>46134</v>
      </c>
      <c r="P119" s="6">
        <f t="shared" si="5"/>
        <v>8</v>
      </c>
      <c r="Q119" s="7" t="s">
        <v>261</v>
      </c>
      <c r="R119" s="7" t="s">
        <v>843</v>
      </c>
      <c r="S119" s="8">
        <v>63.37</v>
      </c>
      <c r="T119" s="6">
        <v>1</v>
      </c>
      <c r="U119" s="6" t="s">
        <v>58</v>
      </c>
      <c r="V119" s="12">
        <v>0.375</v>
      </c>
      <c r="W119" s="6" t="s">
        <v>60</v>
      </c>
      <c r="X119" s="6" t="s">
        <v>262</v>
      </c>
      <c r="Y119" s="8">
        <v>23.76</v>
      </c>
      <c r="Z119" s="6"/>
      <c r="AA119" s="6"/>
      <c r="AB119" s="6"/>
      <c r="AC119" s="6"/>
      <c r="AD119" s="6"/>
    </row>
    <row r="120" spans="1:30" x14ac:dyDescent="0.3">
      <c r="A120" s="6">
        <v>2030455580</v>
      </c>
      <c r="B120" s="6" t="s">
        <v>522</v>
      </c>
      <c r="C120" s="6" t="s">
        <v>266</v>
      </c>
      <c r="D120" s="6" t="str">
        <f t="shared" si="3"/>
        <v>JASON TROUT</v>
      </c>
      <c r="E120" s="6" t="s">
        <v>112</v>
      </c>
      <c r="F120" s="6" t="s">
        <v>163</v>
      </c>
      <c r="G120" s="6" t="s">
        <v>164</v>
      </c>
      <c r="H120" s="6" t="s">
        <v>164</v>
      </c>
      <c r="I120" s="9" t="s">
        <v>817</v>
      </c>
      <c r="J120" s="6" t="s">
        <v>311</v>
      </c>
      <c r="K120" s="6" t="s">
        <v>312</v>
      </c>
      <c r="L120" s="6" t="str">
        <f t="shared" si="4"/>
        <v>Heather Geske</v>
      </c>
      <c r="M120" s="6" t="s">
        <v>57</v>
      </c>
      <c r="N120" s="7">
        <v>45882</v>
      </c>
      <c r="O120" s="7">
        <v>46125</v>
      </c>
      <c r="P120" s="6">
        <f t="shared" si="5"/>
        <v>8</v>
      </c>
      <c r="Q120" s="7" t="s">
        <v>261</v>
      </c>
      <c r="R120" s="7" t="s">
        <v>843</v>
      </c>
      <c r="S120" s="8">
        <v>-51.74</v>
      </c>
      <c r="T120" s="6">
        <v>1</v>
      </c>
      <c r="U120" s="6" t="s">
        <v>58</v>
      </c>
      <c r="V120" s="12">
        <v>0.375</v>
      </c>
      <c r="W120" s="6" t="s">
        <v>60</v>
      </c>
      <c r="X120" s="6" t="s">
        <v>262</v>
      </c>
      <c r="Y120" s="8">
        <v>-19.399999999999999</v>
      </c>
      <c r="Z120" s="6"/>
      <c r="AA120" s="6"/>
      <c r="AB120" s="6"/>
      <c r="AC120" s="6"/>
      <c r="AD120" s="6"/>
    </row>
    <row r="121" spans="1:30" x14ac:dyDescent="0.3">
      <c r="A121" s="6">
        <v>2030594253</v>
      </c>
      <c r="B121" s="6" t="s">
        <v>662</v>
      </c>
      <c r="C121" s="6" t="s">
        <v>663</v>
      </c>
      <c r="D121" s="6" t="str">
        <f t="shared" si="3"/>
        <v>ODSUREN DULMAA</v>
      </c>
      <c r="E121" s="6" t="s">
        <v>64</v>
      </c>
      <c r="F121" s="6" t="s">
        <v>222</v>
      </c>
      <c r="G121" s="6" t="s">
        <v>223</v>
      </c>
      <c r="H121" s="6" t="s">
        <v>223</v>
      </c>
      <c r="I121" s="9" t="s">
        <v>804</v>
      </c>
      <c r="J121" s="6" t="s">
        <v>246</v>
      </c>
      <c r="K121" s="6" t="s">
        <v>247</v>
      </c>
      <c r="L121" s="6" t="str">
        <f t="shared" si="4"/>
        <v>NASANDELGER ZANA</v>
      </c>
      <c r="M121" s="6" t="s">
        <v>57</v>
      </c>
      <c r="N121" s="7">
        <v>45890</v>
      </c>
      <c r="O121" s="7">
        <v>46133</v>
      </c>
      <c r="P121" s="6">
        <f t="shared" si="5"/>
        <v>8</v>
      </c>
      <c r="Q121" s="7" t="s">
        <v>261</v>
      </c>
      <c r="R121" s="7" t="s">
        <v>843</v>
      </c>
      <c r="S121" s="8">
        <v>58.24</v>
      </c>
      <c r="T121" s="6">
        <v>1</v>
      </c>
      <c r="U121" s="6" t="s">
        <v>58</v>
      </c>
      <c r="V121" s="11">
        <v>0.7</v>
      </c>
      <c r="W121" s="6" t="s">
        <v>60</v>
      </c>
      <c r="X121" s="6" t="s">
        <v>262</v>
      </c>
      <c r="Y121" s="8">
        <v>40.770000000000003</v>
      </c>
      <c r="Z121" s="6"/>
      <c r="AA121" s="6"/>
      <c r="AB121" s="6"/>
      <c r="AC121" s="6"/>
      <c r="AD121" s="6"/>
    </row>
    <row r="122" spans="1:30" x14ac:dyDescent="0.3">
      <c r="A122" s="6">
        <v>2030601875</v>
      </c>
      <c r="B122" s="6" t="s">
        <v>526</v>
      </c>
      <c r="C122" s="6" t="s">
        <v>186</v>
      </c>
      <c r="D122" s="6" t="str">
        <f t="shared" si="3"/>
        <v>THOMAS REEANNA</v>
      </c>
      <c r="E122" s="6" t="s">
        <v>52</v>
      </c>
      <c r="F122" s="6" t="s">
        <v>163</v>
      </c>
      <c r="G122" s="6" t="s">
        <v>164</v>
      </c>
      <c r="H122" s="6" t="s">
        <v>164</v>
      </c>
      <c r="I122" s="9" t="s">
        <v>832</v>
      </c>
      <c r="J122" s="6" t="s">
        <v>259</v>
      </c>
      <c r="K122" s="6" t="s">
        <v>173</v>
      </c>
      <c r="L122" s="6" t="str">
        <f t="shared" si="4"/>
        <v>SCOTT AGUGLIA</v>
      </c>
      <c r="M122" s="6" t="s">
        <v>57</v>
      </c>
      <c r="N122" s="7">
        <v>45890</v>
      </c>
      <c r="O122" s="7">
        <v>46133</v>
      </c>
      <c r="P122" s="6">
        <f t="shared" si="5"/>
        <v>8</v>
      </c>
      <c r="Q122" s="7" t="s">
        <v>261</v>
      </c>
      <c r="R122" s="7" t="s">
        <v>843</v>
      </c>
      <c r="S122" s="8">
        <v>36.65</v>
      </c>
      <c r="T122" s="6">
        <v>1</v>
      </c>
      <c r="U122" s="6" t="s">
        <v>58</v>
      </c>
      <c r="V122" s="12">
        <v>0.375</v>
      </c>
      <c r="W122" s="6" t="s">
        <v>60</v>
      </c>
      <c r="X122" s="6" t="s">
        <v>262</v>
      </c>
      <c r="Y122" s="8">
        <v>13.74</v>
      </c>
      <c r="Z122" s="6"/>
      <c r="AA122" s="6"/>
      <c r="AB122" s="6"/>
      <c r="AC122" s="6"/>
      <c r="AD122" s="6"/>
    </row>
    <row r="123" spans="1:30" s="6" customFormat="1" x14ac:dyDescent="0.3">
      <c r="A123" s="6">
        <v>2030461447</v>
      </c>
      <c r="B123" s="6" t="s">
        <v>266</v>
      </c>
      <c r="C123" s="6" t="s">
        <v>661</v>
      </c>
      <c r="D123" s="6" t="str">
        <f t="shared" si="3"/>
        <v>MELTON JASON</v>
      </c>
      <c r="E123" s="6" t="s">
        <v>597</v>
      </c>
      <c r="F123" s="6" t="s">
        <v>222</v>
      </c>
      <c r="G123" s="6" t="s">
        <v>224</v>
      </c>
      <c r="H123" s="6" t="s">
        <v>224</v>
      </c>
      <c r="I123" s="9" t="s">
        <v>814</v>
      </c>
      <c r="J123" s="6" t="s">
        <v>185</v>
      </c>
      <c r="K123" s="6" t="s">
        <v>186</v>
      </c>
      <c r="L123" s="6" t="str">
        <f t="shared" si="4"/>
        <v>THOMAS PARDUE</v>
      </c>
      <c r="M123" s="6" t="s">
        <v>57</v>
      </c>
      <c r="N123" s="7">
        <v>45892</v>
      </c>
      <c r="O123" s="7">
        <v>46135</v>
      </c>
      <c r="P123" s="6">
        <f t="shared" si="5"/>
        <v>8</v>
      </c>
      <c r="Q123" s="7" t="s">
        <v>261</v>
      </c>
      <c r="R123" s="7" t="s">
        <v>843</v>
      </c>
      <c r="S123" s="8">
        <v>51.25</v>
      </c>
      <c r="T123" s="6">
        <v>1</v>
      </c>
      <c r="U123" s="6" t="s">
        <v>58</v>
      </c>
      <c r="V123" s="11">
        <v>0.9</v>
      </c>
      <c r="W123" s="6" t="s">
        <v>60</v>
      </c>
      <c r="X123" s="6" t="s">
        <v>262</v>
      </c>
      <c r="Y123" s="8">
        <v>46.12</v>
      </c>
    </row>
    <row r="124" spans="1:30" s="6" customFormat="1" x14ac:dyDescent="0.3">
      <c r="A124" s="6">
        <v>2030590884</v>
      </c>
      <c r="B124" s="6" t="s">
        <v>523</v>
      </c>
      <c r="C124" s="6" t="s">
        <v>524</v>
      </c>
      <c r="D124" s="6" t="str">
        <f t="shared" si="3"/>
        <v>BROWN KENZLEE</v>
      </c>
      <c r="E124" s="6" t="s">
        <v>210</v>
      </c>
      <c r="F124" s="6" t="s">
        <v>163</v>
      </c>
      <c r="G124" s="6" t="s">
        <v>164</v>
      </c>
      <c r="H124" s="6" t="s">
        <v>164</v>
      </c>
      <c r="I124" s="9" t="s">
        <v>814</v>
      </c>
      <c r="J124" s="6" t="s">
        <v>185</v>
      </c>
      <c r="K124" s="6" t="s">
        <v>186</v>
      </c>
      <c r="L124" s="6" t="str">
        <f t="shared" si="4"/>
        <v>THOMAS PARDUE</v>
      </c>
      <c r="M124" s="6" t="s">
        <v>57</v>
      </c>
      <c r="N124" s="7">
        <v>45890</v>
      </c>
      <c r="O124" s="7">
        <v>46133</v>
      </c>
      <c r="P124" s="6">
        <f t="shared" si="5"/>
        <v>8</v>
      </c>
      <c r="Q124" s="7" t="s">
        <v>261</v>
      </c>
      <c r="R124" s="7" t="s">
        <v>843</v>
      </c>
      <c r="S124" s="8">
        <v>17.37</v>
      </c>
      <c r="T124" s="6">
        <v>1</v>
      </c>
      <c r="U124" s="6" t="s">
        <v>58</v>
      </c>
      <c r="V124" s="12">
        <v>0.375</v>
      </c>
      <c r="W124" s="6" t="s">
        <v>60</v>
      </c>
      <c r="X124" s="6" t="s">
        <v>262</v>
      </c>
      <c r="Y124" s="8">
        <v>6.51</v>
      </c>
    </row>
    <row r="125" spans="1:30" x14ac:dyDescent="0.3">
      <c r="A125" s="6">
        <v>2030077439</v>
      </c>
      <c r="B125" s="6" t="s">
        <v>339</v>
      </c>
      <c r="C125" s="6" t="s">
        <v>340</v>
      </c>
      <c r="D125" s="6" t="str">
        <f t="shared" si="3"/>
        <v>BLACK TONYA</v>
      </c>
      <c r="E125" s="6" t="s">
        <v>80</v>
      </c>
      <c r="F125" s="6" t="s">
        <v>65</v>
      </c>
      <c r="G125" s="6" t="s">
        <v>66</v>
      </c>
      <c r="H125" s="6" t="s">
        <v>797</v>
      </c>
      <c r="I125" s="9" t="s">
        <v>815</v>
      </c>
      <c r="J125" s="6" t="s">
        <v>125</v>
      </c>
      <c r="K125" s="6" t="s">
        <v>126</v>
      </c>
      <c r="L125" s="6" t="str">
        <f t="shared" si="4"/>
        <v>Jake Shulman</v>
      </c>
      <c r="M125" s="6" t="s">
        <v>57</v>
      </c>
      <c r="N125" s="7">
        <v>45860</v>
      </c>
      <c r="O125" s="7">
        <v>46134</v>
      </c>
      <c r="P125" s="6">
        <f t="shared" si="5"/>
        <v>9</v>
      </c>
      <c r="Q125" s="7" t="s">
        <v>261</v>
      </c>
      <c r="R125" s="7" t="s">
        <v>843</v>
      </c>
      <c r="S125" s="8">
        <v>48.01</v>
      </c>
      <c r="T125" s="6">
        <v>1</v>
      </c>
      <c r="U125" s="6" t="s">
        <v>58</v>
      </c>
      <c r="V125" s="11">
        <v>0.75</v>
      </c>
      <c r="W125" s="6" t="s">
        <v>60</v>
      </c>
      <c r="X125" s="6" t="s">
        <v>262</v>
      </c>
      <c r="Y125" s="8">
        <v>36.01</v>
      </c>
      <c r="Z125" s="6"/>
      <c r="AA125" s="6"/>
      <c r="AB125" s="6"/>
      <c r="AC125" s="6"/>
      <c r="AD125" s="6"/>
    </row>
    <row r="126" spans="1:30" x14ac:dyDescent="0.3">
      <c r="A126" s="6">
        <v>2029851936</v>
      </c>
      <c r="B126" s="6" t="s">
        <v>518</v>
      </c>
      <c r="C126" s="6" t="s">
        <v>519</v>
      </c>
      <c r="D126" s="6" t="str">
        <f t="shared" si="3"/>
        <v>RAINSBERGER MIKE</v>
      </c>
      <c r="E126" s="6" t="s">
        <v>112</v>
      </c>
      <c r="F126" s="6" t="s">
        <v>222</v>
      </c>
      <c r="G126" s="6" t="s">
        <v>223</v>
      </c>
      <c r="H126" s="6" t="s">
        <v>223</v>
      </c>
      <c r="I126" s="9" t="s">
        <v>830</v>
      </c>
      <c r="J126" s="6" t="s">
        <v>113</v>
      </c>
      <c r="K126" s="6" t="s">
        <v>114</v>
      </c>
      <c r="L126" s="6" t="str">
        <f t="shared" si="4"/>
        <v>Joel Lee</v>
      </c>
      <c r="M126" s="6" t="s">
        <v>57</v>
      </c>
      <c r="N126" s="7">
        <v>45847</v>
      </c>
      <c r="O126" s="7">
        <v>46121</v>
      </c>
      <c r="P126" s="6">
        <f t="shared" si="5"/>
        <v>9</v>
      </c>
      <c r="Q126" s="7" t="s">
        <v>261</v>
      </c>
      <c r="R126" s="7" t="s">
        <v>843</v>
      </c>
      <c r="S126" s="8">
        <v>23.38</v>
      </c>
      <c r="T126" s="6">
        <v>1</v>
      </c>
      <c r="U126" s="6" t="s">
        <v>58</v>
      </c>
      <c r="V126" s="11">
        <v>0.7</v>
      </c>
      <c r="W126" s="6" t="s">
        <v>60</v>
      </c>
      <c r="X126" s="6" t="s">
        <v>262</v>
      </c>
      <c r="Y126" s="8">
        <v>16.37</v>
      </c>
      <c r="Z126" s="6"/>
      <c r="AA126" s="6"/>
      <c r="AB126" s="6"/>
      <c r="AC126" s="6"/>
      <c r="AD126" s="6"/>
    </row>
    <row r="127" spans="1:30" x14ac:dyDescent="0.3">
      <c r="A127" s="6">
        <v>2029851935</v>
      </c>
      <c r="B127" s="6" t="s">
        <v>518</v>
      </c>
      <c r="C127" s="6" t="s">
        <v>519</v>
      </c>
      <c r="D127" s="6" t="str">
        <f t="shared" si="3"/>
        <v>RAINSBERGER MIKE</v>
      </c>
      <c r="E127" s="6" t="s">
        <v>112</v>
      </c>
      <c r="F127" s="6" t="s">
        <v>163</v>
      </c>
      <c r="G127" s="6" t="s">
        <v>164</v>
      </c>
      <c r="H127" s="6" t="s">
        <v>164</v>
      </c>
      <c r="I127" s="9" t="s">
        <v>830</v>
      </c>
      <c r="J127" s="6" t="s">
        <v>113</v>
      </c>
      <c r="K127" s="6" t="s">
        <v>114</v>
      </c>
      <c r="L127" s="6" t="str">
        <f t="shared" si="4"/>
        <v>Joel Lee</v>
      </c>
      <c r="M127" s="6" t="s">
        <v>57</v>
      </c>
      <c r="N127" s="7">
        <v>45847</v>
      </c>
      <c r="O127" s="7">
        <v>46121</v>
      </c>
      <c r="P127" s="6">
        <f t="shared" si="5"/>
        <v>9</v>
      </c>
      <c r="Q127" s="7" t="s">
        <v>261</v>
      </c>
      <c r="R127" s="7" t="s">
        <v>843</v>
      </c>
      <c r="S127" s="8">
        <v>203.78</v>
      </c>
      <c r="T127" s="6">
        <v>1</v>
      </c>
      <c r="U127" s="6" t="s">
        <v>58</v>
      </c>
      <c r="V127" s="12">
        <v>0.375</v>
      </c>
      <c r="W127" s="6" t="s">
        <v>60</v>
      </c>
      <c r="X127" s="6" t="s">
        <v>262</v>
      </c>
      <c r="Y127" s="8">
        <v>76.42</v>
      </c>
      <c r="Z127" s="6"/>
      <c r="AA127" s="6"/>
      <c r="AB127" s="6"/>
      <c r="AC127" s="6"/>
      <c r="AD127" s="6"/>
    </row>
    <row r="128" spans="1:30" x14ac:dyDescent="0.3">
      <c r="A128" s="6">
        <v>2030129459</v>
      </c>
      <c r="B128" s="6" t="s">
        <v>558</v>
      </c>
      <c r="C128" s="6" t="s">
        <v>658</v>
      </c>
      <c r="D128" s="6" t="str">
        <f t="shared" si="3"/>
        <v>BENJAMIN ANGELA</v>
      </c>
      <c r="E128" s="6" t="s">
        <v>139</v>
      </c>
      <c r="F128" s="6" t="s">
        <v>222</v>
      </c>
      <c r="G128" s="6" t="s">
        <v>223</v>
      </c>
      <c r="H128" s="6" t="s">
        <v>223</v>
      </c>
      <c r="I128" s="9">
        <v>21421111</v>
      </c>
      <c r="J128" s="6" t="s">
        <v>368</v>
      </c>
      <c r="K128" s="6" t="s">
        <v>369</v>
      </c>
      <c r="L128" s="6" t="str">
        <f t="shared" si="4"/>
        <v>Kirk Tigue</v>
      </c>
      <c r="M128" s="6" t="s">
        <v>57</v>
      </c>
      <c r="N128" s="7">
        <v>45863</v>
      </c>
      <c r="O128" s="7">
        <v>46137</v>
      </c>
      <c r="P128" s="6">
        <f t="shared" si="5"/>
        <v>9</v>
      </c>
      <c r="Q128" s="7" t="s">
        <v>261</v>
      </c>
      <c r="R128" s="7" t="s">
        <v>843</v>
      </c>
      <c r="S128" s="8">
        <v>30.68</v>
      </c>
      <c r="T128" s="6">
        <v>1</v>
      </c>
      <c r="U128" s="6" t="s">
        <v>58</v>
      </c>
      <c r="V128" s="11">
        <v>0.7</v>
      </c>
      <c r="W128" s="6" t="s">
        <v>60</v>
      </c>
      <c r="X128" s="6" t="s">
        <v>262</v>
      </c>
      <c r="Y128" s="8">
        <v>21.48</v>
      </c>
      <c r="Z128" s="6"/>
      <c r="AA128" s="6"/>
      <c r="AB128" s="6"/>
      <c r="AC128" s="6"/>
      <c r="AD128" s="6"/>
    </row>
    <row r="129" spans="1:30" x14ac:dyDescent="0.3">
      <c r="A129" s="6">
        <v>2030076096</v>
      </c>
      <c r="B129" s="6" t="s">
        <v>651</v>
      </c>
      <c r="C129" s="6" t="s">
        <v>246</v>
      </c>
      <c r="D129" s="6" t="str">
        <f t="shared" si="3"/>
        <v>ZANA NASANJARGAL</v>
      </c>
      <c r="E129" s="6" t="s">
        <v>64</v>
      </c>
      <c r="F129" s="6" t="s">
        <v>222</v>
      </c>
      <c r="G129" s="6" t="s">
        <v>223</v>
      </c>
      <c r="H129" s="6" t="s">
        <v>223</v>
      </c>
      <c r="I129" s="9" t="s">
        <v>804</v>
      </c>
      <c r="J129" s="6" t="s">
        <v>246</v>
      </c>
      <c r="K129" s="6" t="s">
        <v>247</v>
      </c>
      <c r="L129" s="6" t="str">
        <f t="shared" si="4"/>
        <v>NASANDELGER ZANA</v>
      </c>
      <c r="M129" s="6" t="s">
        <v>57</v>
      </c>
      <c r="N129" s="7">
        <v>45860</v>
      </c>
      <c r="O129" s="7">
        <v>46134</v>
      </c>
      <c r="P129" s="6">
        <f t="shared" si="5"/>
        <v>9</v>
      </c>
      <c r="Q129" s="7" t="s">
        <v>261</v>
      </c>
      <c r="R129" s="7" t="s">
        <v>843</v>
      </c>
      <c r="S129" s="8">
        <v>34</v>
      </c>
      <c r="T129" s="6">
        <v>1</v>
      </c>
      <c r="U129" s="6" t="s">
        <v>58</v>
      </c>
      <c r="V129" s="11">
        <v>0.7</v>
      </c>
      <c r="W129" s="6" t="s">
        <v>60</v>
      </c>
      <c r="X129" s="6" t="s">
        <v>262</v>
      </c>
      <c r="Y129" s="8">
        <v>23.8</v>
      </c>
      <c r="Z129" s="6"/>
      <c r="AA129" s="6"/>
      <c r="AB129" s="6"/>
      <c r="AC129" s="6"/>
      <c r="AD129" s="6"/>
    </row>
    <row r="130" spans="1:30" x14ac:dyDescent="0.3">
      <c r="A130" s="6">
        <v>2030055518</v>
      </c>
      <c r="B130" s="6" t="s">
        <v>649</v>
      </c>
      <c r="C130" s="6" t="s">
        <v>650</v>
      </c>
      <c r="D130" s="6" t="str">
        <f t="shared" ref="D130:D193" si="6">_xlfn.CONCAT(C130," ",B130)</f>
        <v>MIJIDDORJ MUNKHNASAN</v>
      </c>
      <c r="E130" s="6" t="s">
        <v>64</v>
      </c>
      <c r="F130" s="6" t="s">
        <v>222</v>
      </c>
      <c r="G130" s="6" t="s">
        <v>223</v>
      </c>
      <c r="H130" s="6" t="s">
        <v>223</v>
      </c>
      <c r="I130" s="9" t="s">
        <v>804</v>
      </c>
      <c r="J130" s="6" t="s">
        <v>246</v>
      </c>
      <c r="K130" s="6" t="s">
        <v>247</v>
      </c>
      <c r="L130" s="6" t="str">
        <f t="shared" ref="L130:L193" si="7">_xlfn.CONCAT(K130," ",J130)</f>
        <v>NASANDELGER ZANA</v>
      </c>
      <c r="M130" s="6" t="s">
        <v>57</v>
      </c>
      <c r="N130" s="7">
        <v>45859</v>
      </c>
      <c r="O130" s="7">
        <v>46133</v>
      </c>
      <c r="P130" s="6">
        <f t="shared" ref="P130:P193" si="8">DATEDIF(N130,O130,"M")</f>
        <v>9</v>
      </c>
      <c r="Q130" s="7" t="s">
        <v>261</v>
      </c>
      <c r="R130" s="7" t="s">
        <v>843</v>
      </c>
      <c r="S130" s="8">
        <v>34</v>
      </c>
      <c r="T130" s="6">
        <v>1</v>
      </c>
      <c r="U130" s="6" t="s">
        <v>58</v>
      </c>
      <c r="V130" s="11">
        <v>0.7</v>
      </c>
      <c r="W130" s="6" t="s">
        <v>60</v>
      </c>
      <c r="X130" s="6" t="s">
        <v>262</v>
      </c>
      <c r="Y130" s="8">
        <v>23.8</v>
      </c>
      <c r="Z130" s="6"/>
      <c r="AA130" s="6"/>
      <c r="AB130" s="6"/>
      <c r="AC130" s="6"/>
      <c r="AD130" s="6"/>
    </row>
    <row r="131" spans="1:30" x14ac:dyDescent="0.3">
      <c r="A131" s="6">
        <v>2030117415</v>
      </c>
      <c r="B131" s="6" t="s">
        <v>656</v>
      </c>
      <c r="C131" s="6" t="s">
        <v>657</v>
      </c>
      <c r="D131" s="6" t="str">
        <f t="shared" si="6"/>
        <v>THORNTON DAWN</v>
      </c>
      <c r="E131" s="6" t="s">
        <v>324</v>
      </c>
      <c r="F131" s="6" t="s">
        <v>222</v>
      </c>
      <c r="G131" s="6" t="s">
        <v>224</v>
      </c>
      <c r="H131" s="6" t="s">
        <v>224</v>
      </c>
      <c r="I131" s="9" t="s">
        <v>800</v>
      </c>
      <c r="J131" s="6" t="s">
        <v>185</v>
      </c>
      <c r="K131" s="6" t="s">
        <v>186</v>
      </c>
      <c r="L131" s="6" t="str">
        <f t="shared" si="7"/>
        <v>THOMAS PARDUE</v>
      </c>
      <c r="M131" s="6" t="s">
        <v>57</v>
      </c>
      <c r="N131" s="7">
        <v>45863</v>
      </c>
      <c r="O131" s="7">
        <v>46137</v>
      </c>
      <c r="P131" s="6">
        <f t="shared" si="8"/>
        <v>9</v>
      </c>
      <c r="Q131" s="7" t="s">
        <v>261</v>
      </c>
      <c r="R131" s="7" t="s">
        <v>843</v>
      </c>
      <c r="S131" s="8">
        <v>69.08</v>
      </c>
      <c r="T131" s="6">
        <v>1</v>
      </c>
      <c r="U131" s="6" t="s">
        <v>58</v>
      </c>
      <c r="V131" s="11">
        <v>0.9</v>
      </c>
      <c r="W131" s="6" t="s">
        <v>60</v>
      </c>
      <c r="X131" s="6" t="s">
        <v>262</v>
      </c>
      <c r="Y131" s="8">
        <v>62.17</v>
      </c>
      <c r="Z131" s="6"/>
      <c r="AA131" s="6"/>
      <c r="AB131" s="6"/>
      <c r="AC131" s="6"/>
      <c r="AD131" s="6"/>
    </row>
    <row r="132" spans="1:30" x14ac:dyDescent="0.3">
      <c r="A132" s="6">
        <v>2030108810</v>
      </c>
      <c r="B132" s="6" t="s">
        <v>345</v>
      </c>
      <c r="C132" s="6" t="s">
        <v>346</v>
      </c>
      <c r="D132" s="6" t="str">
        <f t="shared" si="6"/>
        <v>CARR LAUREN</v>
      </c>
      <c r="E132" s="6" t="s">
        <v>112</v>
      </c>
      <c r="F132" s="6" t="s">
        <v>65</v>
      </c>
      <c r="G132" s="6" t="s">
        <v>71</v>
      </c>
      <c r="H132" s="6" t="s">
        <v>796</v>
      </c>
      <c r="I132" s="9" t="s">
        <v>816</v>
      </c>
      <c r="J132" s="6" t="s">
        <v>347</v>
      </c>
      <c r="K132" s="6" t="s">
        <v>124</v>
      </c>
      <c r="L132" s="6" t="str">
        <f t="shared" si="7"/>
        <v>WILLIAM GESKE</v>
      </c>
      <c r="M132" s="6" t="s">
        <v>57</v>
      </c>
      <c r="N132" s="7">
        <v>45862</v>
      </c>
      <c r="O132" s="7">
        <v>46136</v>
      </c>
      <c r="P132" s="6">
        <f t="shared" si="8"/>
        <v>9</v>
      </c>
      <c r="Q132" s="7" t="s">
        <v>261</v>
      </c>
      <c r="R132" s="7" t="s">
        <v>843</v>
      </c>
      <c r="S132" s="8">
        <v>36.130000000000003</v>
      </c>
      <c r="T132" s="6">
        <v>1</v>
      </c>
      <c r="U132" s="6" t="s">
        <v>58</v>
      </c>
      <c r="V132" s="11">
        <v>0.9</v>
      </c>
      <c r="W132" s="6" t="s">
        <v>60</v>
      </c>
      <c r="X132" s="6" t="s">
        <v>262</v>
      </c>
      <c r="Y132" s="8">
        <v>32.520000000000003</v>
      </c>
      <c r="Z132" s="6"/>
      <c r="AA132" s="6"/>
      <c r="AB132" s="6"/>
      <c r="AC132" s="6"/>
      <c r="AD132" s="6"/>
    </row>
    <row r="133" spans="1:30" x14ac:dyDescent="0.3">
      <c r="A133" s="6">
        <v>2030108811</v>
      </c>
      <c r="B133" s="6" t="s">
        <v>345</v>
      </c>
      <c r="C133" s="6" t="s">
        <v>346</v>
      </c>
      <c r="D133" s="6" t="str">
        <f t="shared" si="6"/>
        <v>CARR LAUREN</v>
      </c>
      <c r="E133" s="6" t="s">
        <v>112</v>
      </c>
      <c r="F133" s="6" t="s">
        <v>220</v>
      </c>
      <c r="G133" s="6" t="s">
        <v>221</v>
      </c>
      <c r="H133" s="6" t="s">
        <v>221</v>
      </c>
      <c r="I133" s="9" t="s">
        <v>816</v>
      </c>
      <c r="J133" s="6" t="s">
        <v>347</v>
      </c>
      <c r="K133" s="6" t="s">
        <v>124</v>
      </c>
      <c r="L133" s="6" t="str">
        <f t="shared" si="7"/>
        <v>WILLIAM GESKE</v>
      </c>
      <c r="M133" s="6" t="s">
        <v>57</v>
      </c>
      <c r="N133" s="7">
        <v>45862</v>
      </c>
      <c r="O133" s="7">
        <v>46136</v>
      </c>
      <c r="P133" s="6">
        <f t="shared" si="8"/>
        <v>9</v>
      </c>
      <c r="Q133" s="7" t="s">
        <v>261</v>
      </c>
      <c r="R133" s="7" t="s">
        <v>843</v>
      </c>
      <c r="S133" s="8">
        <v>16.91</v>
      </c>
      <c r="T133" s="6">
        <v>1</v>
      </c>
      <c r="U133" s="6" t="s">
        <v>58</v>
      </c>
      <c r="V133" s="11">
        <v>0.38</v>
      </c>
      <c r="W133" s="6" t="s">
        <v>60</v>
      </c>
      <c r="X133" s="6" t="s">
        <v>262</v>
      </c>
      <c r="Y133" s="8">
        <v>6.43</v>
      </c>
      <c r="Z133" s="6"/>
      <c r="AA133" s="6"/>
      <c r="AB133" s="6"/>
      <c r="AC133" s="6"/>
      <c r="AD133" s="6"/>
    </row>
    <row r="134" spans="1:30" x14ac:dyDescent="0.3">
      <c r="A134" s="6">
        <v>2030108809</v>
      </c>
      <c r="B134" s="6" t="s">
        <v>345</v>
      </c>
      <c r="C134" s="6" t="s">
        <v>346</v>
      </c>
      <c r="D134" s="6" t="str">
        <f t="shared" si="6"/>
        <v>CARR LAUREN</v>
      </c>
      <c r="E134" s="6" t="s">
        <v>112</v>
      </c>
      <c r="F134" s="6" t="s">
        <v>222</v>
      </c>
      <c r="G134" s="6" t="s">
        <v>223</v>
      </c>
      <c r="H134" s="6" t="s">
        <v>223</v>
      </c>
      <c r="I134" s="9" t="s">
        <v>816</v>
      </c>
      <c r="J134" s="6" t="s">
        <v>347</v>
      </c>
      <c r="K134" s="6" t="s">
        <v>124</v>
      </c>
      <c r="L134" s="6" t="str">
        <f t="shared" si="7"/>
        <v>WILLIAM GESKE</v>
      </c>
      <c r="M134" s="6" t="s">
        <v>57</v>
      </c>
      <c r="N134" s="7">
        <v>45862</v>
      </c>
      <c r="O134" s="7">
        <v>46136</v>
      </c>
      <c r="P134" s="6">
        <f t="shared" si="8"/>
        <v>9</v>
      </c>
      <c r="Q134" s="7" t="s">
        <v>261</v>
      </c>
      <c r="R134" s="7" t="s">
        <v>843</v>
      </c>
      <c r="S134" s="8">
        <v>9.1</v>
      </c>
      <c r="T134" s="6">
        <v>1</v>
      </c>
      <c r="U134" s="6" t="s">
        <v>58</v>
      </c>
      <c r="V134" s="11">
        <v>0.7</v>
      </c>
      <c r="W134" s="6" t="s">
        <v>60</v>
      </c>
      <c r="X134" s="6" t="s">
        <v>262</v>
      </c>
      <c r="Y134" s="8">
        <v>6.37</v>
      </c>
      <c r="Z134" s="6"/>
      <c r="AA134" s="6"/>
      <c r="AB134" s="6"/>
      <c r="AC134" s="6"/>
      <c r="AD134" s="6"/>
    </row>
    <row r="135" spans="1:30" x14ac:dyDescent="0.3">
      <c r="A135" s="6">
        <v>2030108808</v>
      </c>
      <c r="B135" s="6" t="s">
        <v>345</v>
      </c>
      <c r="C135" s="6" t="s">
        <v>346</v>
      </c>
      <c r="D135" s="6" t="str">
        <f t="shared" si="6"/>
        <v>CARR LAUREN</v>
      </c>
      <c r="E135" s="6" t="s">
        <v>112</v>
      </c>
      <c r="F135" s="6" t="s">
        <v>163</v>
      </c>
      <c r="G135" s="6" t="s">
        <v>164</v>
      </c>
      <c r="H135" s="6" t="s">
        <v>164</v>
      </c>
      <c r="I135" s="9" t="s">
        <v>816</v>
      </c>
      <c r="J135" s="6" t="s">
        <v>347</v>
      </c>
      <c r="K135" s="6" t="s">
        <v>124</v>
      </c>
      <c r="L135" s="6" t="str">
        <f t="shared" si="7"/>
        <v>WILLIAM GESKE</v>
      </c>
      <c r="M135" s="6" t="s">
        <v>57</v>
      </c>
      <c r="N135" s="7">
        <v>45862</v>
      </c>
      <c r="O135" s="7">
        <v>46136</v>
      </c>
      <c r="P135" s="6">
        <f t="shared" si="8"/>
        <v>9</v>
      </c>
      <c r="Q135" s="7" t="s">
        <v>261</v>
      </c>
      <c r="R135" s="7" t="s">
        <v>843</v>
      </c>
      <c r="S135" s="8">
        <v>47.28</v>
      </c>
      <c r="T135" s="6">
        <v>1</v>
      </c>
      <c r="U135" s="6" t="s">
        <v>58</v>
      </c>
      <c r="V135" s="12">
        <v>0.375</v>
      </c>
      <c r="W135" s="6" t="s">
        <v>60</v>
      </c>
      <c r="X135" s="6" t="s">
        <v>262</v>
      </c>
      <c r="Y135" s="8">
        <v>17.73</v>
      </c>
      <c r="Z135" s="6"/>
      <c r="AA135" s="6"/>
      <c r="AB135" s="6"/>
      <c r="AC135" s="6"/>
      <c r="AD135" s="6"/>
    </row>
    <row r="136" spans="1:30" x14ac:dyDescent="0.3">
      <c r="A136" s="6">
        <v>2029620627</v>
      </c>
      <c r="B136" s="6" t="s">
        <v>335</v>
      </c>
      <c r="C136" s="6" t="s">
        <v>336</v>
      </c>
      <c r="D136" s="6" t="str">
        <f t="shared" si="6"/>
        <v>CETRE CARLOS</v>
      </c>
      <c r="E136" s="6" t="s">
        <v>64</v>
      </c>
      <c r="F136" s="6" t="s">
        <v>220</v>
      </c>
      <c r="G136" s="6" t="s">
        <v>568</v>
      </c>
      <c r="H136" s="6" t="s">
        <v>568</v>
      </c>
      <c r="I136" s="9">
        <v>7470776</v>
      </c>
      <c r="J136" s="6" t="s">
        <v>91</v>
      </c>
      <c r="K136" s="6" t="s">
        <v>92</v>
      </c>
      <c r="L136" s="6" t="str">
        <f t="shared" si="7"/>
        <v>Andrew Choi</v>
      </c>
      <c r="M136" s="6" t="s">
        <v>57</v>
      </c>
      <c r="N136" s="7">
        <v>45833</v>
      </c>
      <c r="O136" s="7">
        <v>46137</v>
      </c>
      <c r="P136" s="6">
        <f t="shared" si="8"/>
        <v>10</v>
      </c>
      <c r="Q136" s="7" t="s">
        <v>261</v>
      </c>
      <c r="R136" s="7" t="s">
        <v>843</v>
      </c>
      <c r="S136" s="8">
        <v>226.98</v>
      </c>
      <c r="T136" s="6">
        <v>1</v>
      </c>
      <c r="U136" s="6" t="s">
        <v>58</v>
      </c>
      <c r="V136" s="11">
        <v>0.38</v>
      </c>
      <c r="W136" s="6" t="s">
        <v>60</v>
      </c>
      <c r="X136" s="6" t="s">
        <v>262</v>
      </c>
      <c r="Y136" s="8">
        <v>86.25</v>
      </c>
      <c r="Z136" s="6"/>
      <c r="AA136" s="6"/>
      <c r="AB136" s="6"/>
      <c r="AC136" s="6"/>
      <c r="AD136" s="6"/>
    </row>
    <row r="137" spans="1:30" x14ac:dyDescent="0.3">
      <c r="A137" s="6">
        <v>2029620628</v>
      </c>
      <c r="B137" s="6" t="s">
        <v>335</v>
      </c>
      <c r="C137" s="6" t="s">
        <v>336</v>
      </c>
      <c r="D137" s="6" t="str">
        <f t="shared" si="6"/>
        <v>CETRE CARLOS</v>
      </c>
      <c r="E137" s="6" t="s">
        <v>64</v>
      </c>
      <c r="F137" s="6" t="s">
        <v>220</v>
      </c>
      <c r="G137" s="6" t="s">
        <v>569</v>
      </c>
      <c r="H137" s="6" t="s">
        <v>568</v>
      </c>
      <c r="I137" s="9">
        <v>7470776</v>
      </c>
      <c r="J137" s="6" t="s">
        <v>91</v>
      </c>
      <c r="K137" s="6" t="s">
        <v>92</v>
      </c>
      <c r="L137" s="6" t="str">
        <f t="shared" si="7"/>
        <v>Andrew Choi</v>
      </c>
      <c r="M137" s="6" t="s">
        <v>57</v>
      </c>
      <c r="N137" s="7">
        <v>45833</v>
      </c>
      <c r="O137" s="7">
        <v>46137</v>
      </c>
      <c r="P137" s="6">
        <f t="shared" si="8"/>
        <v>10</v>
      </c>
      <c r="Q137" s="7" t="s">
        <v>261</v>
      </c>
      <c r="R137" s="7" t="s">
        <v>843</v>
      </c>
      <c r="S137" s="8">
        <v>7.09</v>
      </c>
      <c r="T137" s="6">
        <v>1</v>
      </c>
      <c r="U137" s="6" t="s">
        <v>58</v>
      </c>
      <c r="V137" s="11">
        <v>0.38</v>
      </c>
      <c r="W137" s="6" t="s">
        <v>60</v>
      </c>
      <c r="X137" s="6" t="s">
        <v>262</v>
      </c>
      <c r="Y137" s="8">
        <v>2.69</v>
      </c>
      <c r="Z137" s="6"/>
      <c r="AA137" s="6"/>
      <c r="AB137" s="6"/>
      <c r="AC137" s="6"/>
      <c r="AD137" s="6"/>
    </row>
    <row r="138" spans="1:30" x14ac:dyDescent="0.3">
      <c r="A138" s="6">
        <v>2029620629</v>
      </c>
      <c r="B138" s="6" t="s">
        <v>335</v>
      </c>
      <c r="C138" s="6" t="s">
        <v>336</v>
      </c>
      <c r="D138" s="6" t="str">
        <f t="shared" si="6"/>
        <v>CETRE CARLOS</v>
      </c>
      <c r="E138" s="6" t="s">
        <v>64</v>
      </c>
      <c r="F138" s="6" t="s">
        <v>65</v>
      </c>
      <c r="G138" s="6" t="s">
        <v>71</v>
      </c>
      <c r="H138" s="6" t="s">
        <v>796</v>
      </c>
      <c r="I138" s="9">
        <v>7470776</v>
      </c>
      <c r="J138" s="6" t="s">
        <v>91</v>
      </c>
      <c r="K138" s="6" t="s">
        <v>92</v>
      </c>
      <c r="L138" s="6" t="str">
        <f t="shared" si="7"/>
        <v>Andrew Choi</v>
      </c>
      <c r="M138" s="6" t="s">
        <v>57</v>
      </c>
      <c r="N138" s="7">
        <v>45833</v>
      </c>
      <c r="O138" s="7">
        <v>46137</v>
      </c>
      <c r="P138" s="6">
        <f t="shared" si="8"/>
        <v>10</v>
      </c>
      <c r="Q138" s="7" t="s">
        <v>261</v>
      </c>
      <c r="R138" s="7" t="s">
        <v>843</v>
      </c>
      <c r="S138" s="8">
        <v>145.06</v>
      </c>
      <c r="T138" s="6">
        <v>1</v>
      </c>
      <c r="U138" s="6" t="s">
        <v>58</v>
      </c>
      <c r="V138" s="11">
        <v>0.9</v>
      </c>
      <c r="W138" s="6" t="s">
        <v>60</v>
      </c>
      <c r="X138" s="6" t="s">
        <v>262</v>
      </c>
      <c r="Y138" s="8">
        <v>130.55000000000001</v>
      </c>
      <c r="Z138" s="6"/>
      <c r="AA138" s="6"/>
      <c r="AB138" s="6"/>
      <c r="AC138" s="6"/>
      <c r="AD138" s="6"/>
    </row>
    <row r="139" spans="1:30" x14ac:dyDescent="0.3">
      <c r="A139" s="6">
        <v>2029620631</v>
      </c>
      <c r="B139" s="6" t="s">
        <v>335</v>
      </c>
      <c r="C139" s="6" t="s">
        <v>336</v>
      </c>
      <c r="D139" s="6" t="str">
        <f t="shared" si="6"/>
        <v>CETRE CARLOS</v>
      </c>
      <c r="E139" s="6" t="s">
        <v>64</v>
      </c>
      <c r="F139" s="6" t="s">
        <v>157</v>
      </c>
      <c r="G139" s="6" t="s">
        <v>437</v>
      </c>
      <c r="H139" s="6" t="s">
        <v>437</v>
      </c>
      <c r="I139" s="9">
        <v>7470776</v>
      </c>
      <c r="J139" s="6" t="s">
        <v>91</v>
      </c>
      <c r="K139" s="6" t="s">
        <v>92</v>
      </c>
      <c r="L139" s="6" t="str">
        <f t="shared" si="7"/>
        <v>Andrew Choi</v>
      </c>
      <c r="M139" s="6" t="s">
        <v>57</v>
      </c>
      <c r="N139" s="7">
        <v>45833</v>
      </c>
      <c r="O139" s="7">
        <v>46137</v>
      </c>
      <c r="P139" s="6">
        <f t="shared" si="8"/>
        <v>10</v>
      </c>
      <c r="Q139" s="7" t="s">
        <v>261</v>
      </c>
      <c r="R139" s="7" t="s">
        <v>843</v>
      </c>
      <c r="S139" s="8">
        <v>15</v>
      </c>
      <c r="T139" s="6">
        <v>1</v>
      </c>
      <c r="U139" s="6" t="s">
        <v>58</v>
      </c>
      <c r="V139" s="11">
        <v>0.38</v>
      </c>
      <c r="W139" s="6" t="s">
        <v>60</v>
      </c>
      <c r="X139" s="6" t="s">
        <v>262</v>
      </c>
      <c r="Y139" s="8">
        <v>5.7</v>
      </c>
      <c r="Z139" s="6"/>
      <c r="AA139" s="6"/>
      <c r="AB139" s="6"/>
      <c r="AC139" s="6"/>
      <c r="AD139" s="6"/>
    </row>
    <row r="140" spans="1:30" x14ac:dyDescent="0.3">
      <c r="A140" s="6">
        <v>2029620630</v>
      </c>
      <c r="B140" s="6" t="s">
        <v>335</v>
      </c>
      <c r="C140" s="6" t="s">
        <v>336</v>
      </c>
      <c r="D140" s="6" t="str">
        <f t="shared" si="6"/>
        <v>CETRE CARLOS</v>
      </c>
      <c r="E140" s="6" t="s">
        <v>64</v>
      </c>
      <c r="F140" s="6" t="s">
        <v>222</v>
      </c>
      <c r="G140" s="6" t="s">
        <v>223</v>
      </c>
      <c r="H140" s="6" t="s">
        <v>223</v>
      </c>
      <c r="I140" s="9">
        <v>7470776</v>
      </c>
      <c r="J140" s="6" t="s">
        <v>91</v>
      </c>
      <c r="K140" s="6" t="s">
        <v>92</v>
      </c>
      <c r="L140" s="6" t="str">
        <f t="shared" si="7"/>
        <v>Andrew Choi</v>
      </c>
      <c r="M140" s="6" t="s">
        <v>57</v>
      </c>
      <c r="N140" s="7">
        <v>45833</v>
      </c>
      <c r="O140" s="7">
        <v>46137</v>
      </c>
      <c r="P140" s="6">
        <f t="shared" si="8"/>
        <v>10</v>
      </c>
      <c r="Q140" s="7" t="s">
        <v>261</v>
      </c>
      <c r="R140" s="7" t="s">
        <v>843</v>
      </c>
      <c r="S140" s="8">
        <v>11.5</v>
      </c>
      <c r="T140" s="6">
        <v>1</v>
      </c>
      <c r="U140" s="6" t="s">
        <v>58</v>
      </c>
      <c r="V140" s="11">
        <v>0.7</v>
      </c>
      <c r="W140" s="6" t="s">
        <v>60</v>
      </c>
      <c r="X140" s="6" t="s">
        <v>262</v>
      </c>
      <c r="Y140" s="8">
        <v>8.0500000000000007</v>
      </c>
      <c r="Z140" s="6"/>
      <c r="AA140" s="6"/>
      <c r="AB140" s="6"/>
      <c r="AC140" s="6"/>
      <c r="AD140" s="6"/>
    </row>
    <row r="141" spans="1:30" x14ac:dyDescent="0.3">
      <c r="A141" s="6">
        <v>2029623274</v>
      </c>
      <c r="B141" s="6" t="s">
        <v>441</v>
      </c>
      <c r="C141" s="6" t="s">
        <v>442</v>
      </c>
      <c r="D141" s="6" t="str">
        <f t="shared" si="6"/>
        <v>KNOEBEL ETHAN</v>
      </c>
      <c r="E141" s="6" t="s">
        <v>64</v>
      </c>
      <c r="F141" s="6" t="s">
        <v>220</v>
      </c>
      <c r="G141" s="6" t="s">
        <v>568</v>
      </c>
      <c r="H141" s="6" t="s">
        <v>568</v>
      </c>
      <c r="I141" s="9">
        <v>7146581</v>
      </c>
      <c r="J141" s="6" t="s">
        <v>443</v>
      </c>
      <c r="K141" s="6" t="s">
        <v>444</v>
      </c>
      <c r="L141" s="6" t="str">
        <f t="shared" si="7"/>
        <v>Anthony Hunsberger</v>
      </c>
      <c r="M141" s="6" t="s">
        <v>57</v>
      </c>
      <c r="N141" s="7">
        <v>45833</v>
      </c>
      <c r="O141" s="7">
        <v>46137</v>
      </c>
      <c r="P141" s="6">
        <f t="shared" si="8"/>
        <v>10</v>
      </c>
      <c r="Q141" s="7" t="s">
        <v>261</v>
      </c>
      <c r="R141" s="7" t="s">
        <v>843</v>
      </c>
      <c r="S141" s="8">
        <v>172.55</v>
      </c>
      <c r="T141" s="6">
        <v>1</v>
      </c>
      <c r="U141" s="6" t="s">
        <v>58</v>
      </c>
      <c r="V141" s="11">
        <v>0.38</v>
      </c>
      <c r="W141" s="6" t="s">
        <v>60</v>
      </c>
      <c r="X141" s="6" t="s">
        <v>262</v>
      </c>
      <c r="Y141" s="8">
        <v>65.569999999999993</v>
      </c>
      <c r="Z141" s="6"/>
      <c r="AA141" s="6"/>
      <c r="AB141" s="6"/>
      <c r="AC141" s="6"/>
      <c r="AD141" s="6"/>
    </row>
    <row r="142" spans="1:30" x14ac:dyDescent="0.3">
      <c r="A142" s="6">
        <v>2029623275</v>
      </c>
      <c r="B142" s="6" t="s">
        <v>441</v>
      </c>
      <c r="C142" s="6" t="s">
        <v>442</v>
      </c>
      <c r="D142" s="6" t="str">
        <f t="shared" si="6"/>
        <v>KNOEBEL ETHAN</v>
      </c>
      <c r="E142" s="6" t="s">
        <v>64</v>
      </c>
      <c r="F142" s="6" t="s">
        <v>220</v>
      </c>
      <c r="G142" s="6" t="s">
        <v>569</v>
      </c>
      <c r="H142" s="6" t="s">
        <v>568</v>
      </c>
      <c r="I142" s="9">
        <v>7146581</v>
      </c>
      <c r="J142" s="6" t="s">
        <v>443</v>
      </c>
      <c r="K142" s="6" t="s">
        <v>444</v>
      </c>
      <c r="L142" s="6" t="str">
        <f t="shared" si="7"/>
        <v>Anthony Hunsberger</v>
      </c>
      <c r="M142" s="6" t="s">
        <v>57</v>
      </c>
      <c r="N142" s="7">
        <v>45833</v>
      </c>
      <c r="O142" s="7">
        <v>46137</v>
      </c>
      <c r="P142" s="6">
        <f t="shared" si="8"/>
        <v>10</v>
      </c>
      <c r="Q142" s="7" t="s">
        <v>261</v>
      </c>
      <c r="R142" s="7" t="s">
        <v>843</v>
      </c>
      <c r="S142" s="8">
        <v>7.09</v>
      </c>
      <c r="T142" s="6">
        <v>1</v>
      </c>
      <c r="U142" s="6" t="s">
        <v>58</v>
      </c>
      <c r="V142" s="11">
        <v>0.38</v>
      </c>
      <c r="W142" s="6" t="s">
        <v>60</v>
      </c>
      <c r="X142" s="6" t="s">
        <v>262</v>
      </c>
      <c r="Y142" s="8">
        <v>2.69</v>
      </c>
      <c r="Z142" s="6"/>
      <c r="AA142" s="6"/>
      <c r="AB142" s="6"/>
      <c r="AC142" s="6"/>
      <c r="AD142" s="6"/>
    </row>
    <row r="143" spans="1:30" x14ac:dyDescent="0.3">
      <c r="A143" s="6">
        <v>2029623278</v>
      </c>
      <c r="B143" s="6" t="s">
        <v>441</v>
      </c>
      <c r="C143" s="6" t="s">
        <v>442</v>
      </c>
      <c r="D143" s="6" t="str">
        <f t="shared" si="6"/>
        <v>KNOEBEL ETHAN</v>
      </c>
      <c r="E143" s="6" t="s">
        <v>64</v>
      </c>
      <c r="F143" s="6" t="s">
        <v>157</v>
      </c>
      <c r="G143" s="6" t="s">
        <v>437</v>
      </c>
      <c r="H143" s="6" t="s">
        <v>437</v>
      </c>
      <c r="I143" s="9">
        <v>7146581</v>
      </c>
      <c r="J143" s="6" t="s">
        <v>443</v>
      </c>
      <c r="K143" s="6" t="s">
        <v>444</v>
      </c>
      <c r="L143" s="6" t="str">
        <f t="shared" si="7"/>
        <v>Anthony Hunsberger</v>
      </c>
      <c r="M143" s="6" t="s">
        <v>57</v>
      </c>
      <c r="N143" s="7">
        <v>45833</v>
      </c>
      <c r="O143" s="7">
        <v>46137</v>
      </c>
      <c r="P143" s="6">
        <f t="shared" si="8"/>
        <v>10</v>
      </c>
      <c r="Q143" s="7" t="s">
        <v>261</v>
      </c>
      <c r="R143" s="7" t="s">
        <v>843</v>
      </c>
      <c r="S143" s="8">
        <v>15</v>
      </c>
      <c r="T143" s="6">
        <v>1</v>
      </c>
      <c r="U143" s="6" t="s">
        <v>58</v>
      </c>
      <c r="V143" s="11">
        <v>0.38</v>
      </c>
      <c r="W143" s="6" t="s">
        <v>60</v>
      </c>
      <c r="X143" s="6" t="s">
        <v>262</v>
      </c>
      <c r="Y143" s="8">
        <v>5.7</v>
      </c>
      <c r="Z143" s="6"/>
      <c r="AA143" s="6"/>
      <c r="AB143" s="6"/>
      <c r="AC143" s="6"/>
      <c r="AD143" s="6"/>
    </row>
    <row r="144" spans="1:30" x14ac:dyDescent="0.3">
      <c r="A144" s="6">
        <v>2029623276</v>
      </c>
      <c r="B144" s="6" t="s">
        <v>441</v>
      </c>
      <c r="C144" s="6" t="s">
        <v>442</v>
      </c>
      <c r="D144" s="6" t="str">
        <f t="shared" si="6"/>
        <v>KNOEBEL ETHAN</v>
      </c>
      <c r="E144" s="6" t="s">
        <v>64</v>
      </c>
      <c r="F144" s="6" t="s">
        <v>220</v>
      </c>
      <c r="G144" s="6" t="s">
        <v>221</v>
      </c>
      <c r="H144" s="6" t="s">
        <v>221</v>
      </c>
      <c r="I144" s="9">
        <v>7146581</v>
      </c>
      <c r="J144" s="6" t="s">
        <v>443</v>
      </c>
      <c r="K144" s="6" t="s">
        <v>444</v>
      </c>
      <c r="L144" s="6" t="str">
        <f t="shared" si="7"/>
        <v>Anthony Hunsberger</v>
      </c>
      <c r="M144" s="6" t="s">
        <v>57</v>
      </c>
      <c r="N144" s="7">
        <v>45833</v>
      </c>
      <c r="O144" s="7">
        <v>46137</v>
      </c>
      <c r="P144" s="6">
        <f t="shared" si="8"/>
        <v>10</v>
      </c>
      <c r="Q144" s="7" t="s">
        <v>261</v>
      </c>
      <c r="R144" s="7" t="s">
        <v>843</v>
      </c>
      <c r="S144" s="8">
        <v>11.71</v>
      </c>
      <c r="T144" s="6">
        <v>1</v>
      </c>
      <c r="U144" s="6" t="s">
        <v>58</v>
      </c>
      <c r="V144" s="11">
        <v>0.38</v>
      </c>
      <c r="W144" s="6" t="s">
        <v>60</v>
      </c>
      <c r="X144" s="6" t="s">
        <v>262</v>
      </c>
      <c r="Y144" s="8">
        <v>4.45</v>
      </c>
      <c r="Z144" s="6"/>
      <c r="AA144" s="6"/>
      <c r="AB144" s="6"/>
      <c r="AC144" s="6"/>
      <c r="AD144" s="6"/>
    </row>
    <row r="145" spans="1:25" s="6" customFormat="1" x14ac:dyDescent="0.3">
      <c r="A145" s="6">
        <v>2029623277</v>
      </c>
      <c r="B145" s="6" t="s">
        <v>441</v>
      </c>
      <c r="C145" s="6" t="s">
        <v>442</v>
      </c>
      <c r="D145" s="6" t="str">
        <f t="shared" si="6"/>
        <v>KNOEBEL ETHAN</v>
      </c>
      <c r="E145" s="6" t="s">
        <v>64</v>
      </c>
      <c r="F145" s="6" t="s">
        <v>222</v>
      </c>
      <c r="G145" s="6" t="s">
        <v>223</v>
      </c>
      <c r="H145" s="6" t="s">
        <v>223</v>
      </c>
      <c r="I145" s="9">
        <v>7146581</v>
      </c>
      <c r="J145" s="6" t="s">
        <v>443</v>
      </c>
      <c r="K145" s="6" t="s">
        <v>444</v>
      </c>
      <c r="L145" s="6" t="str">
        <f t="shared" si="7"/>
        <v>Anthony Hunsberger</v>
      </c>
      <c r="M145" s="6" t="s">
        <v>57</v>
      </c>
      <c r="N145" s="7">
        <v>45833</v>
      </c>
      <c r="O145" s="7">
        <v>46137</v>
      </c>
      <c r="P145" s="6">
        <f t="shared" si="8"/>
        <v>10</v>
      </c>
      <c r="Q145" s="7" t="s">
        <v>261</v>
      </c>
      <c r="R145" s="7" t="s">
        <v>843</v>
      </c>
      <c r="S145" s="8">
        <v>56.5</v>
      </c>
      <c r="T145" s="6">
        <v>1</v>
      </c>
      <c r="U145" s="6" t="s">
        <v>58</v>
      </c>
      <c r="V145" s="11">
        <v>0.7</v>
      </c>
      <c r="W145" s="6" t="s">
        <v>60</v>
      </c>
      <c r="X145" s="6" t="s">
        <v>262</v>
      </c>
      <c r="Y145" s="8">
        <v>39.549999999999997</v>
      </c>
    </row>
    <row r="146" spans="1:25" s="6" customFormat="1" x14ac:dyDescent="0.3">
      <c r="A146" s="6">
        <v>2029647651</v>
      </c>
      <c r="B146" s="6" t="s">
        <v>645</v>
      </c>
      <c r="C146" s="6" t="s">
        <v>646</v>
      </c>
      <c r="D146" s="6" t="str">
        <f t="shared" si="6"/>
        <v>ERDENE TERGUUNBAYAR</v>
      </c>
      <c r="E146" s="6" t="s">
        <v>64</v>
      </c>
      <c r="F146" s="6" t="s">
        <v>222</v>
      </c>
      <c r="G146" s="6" t="s">
        <v>224</v>
      </c>
      <c r="H146" s="6" t="s">
        <v>224</v>
      </c>
      <c r="I146" s="9">
        <v>20220688</v>
      </c>
      <c r="J146" s="6" t="s">
        <v>246</v>
      </c>
      <c r="K146" s="6" t="s">
        <v>247</v>
      </c>
      <c r="L146" s="6" t="str">
        <f t="shared" si="7"/>
        <v>NASANDELGER ZANA</v>
      </c>
      <c r="M146" s="6" t="s">
        <v>57</v>
      </c>
      <c r="N146" s="7">
        <v>45834</v>
      </c>
      <c r="O146" s="7">
        <v>46138</v>
      </c>
      <c r="P146" s="6">
        <f t="shared" si="8"/>
        <v>10</v>
      </c>
      <c r="Q146" s="7" t="s">
        <v>261</v>
      </c>
      <c r="R146" s="7" t="s">
        <v>843</v>
      </c>
      <c r="S146" s="8">
        <v>17.62</v>
      </c>
      <c r="T146" s="6">
        <v>1</v>
      </c>
      <c r="U146" s="6" t="s">
        <v>58</v>
      </c>
      <c r="V146" s="11">
        <v>0.9</v>
      </c>
      <c r="W146" s="6" t="s">
        <v>60</v>
      </c>
      <c r="X146" s="6" t="s">
        <v>262</v>
      </c>
      <c r="Y146" s="8">
        <v>15.86</v>
      </c>
    </row>
    <row r="147" spans="1:25" s="6" customFormat="1" x14ac:dyDescent="0.3">
      <c r="A147" s="6">
        <v>2029598584</v>
      </c>
      <c r="B147" s="6" t="s">
        <v>643</v>
      </c>
      <c r="C147" s="6" t="s">
        <v>644</v>
      </c>
      <c r="D147" s="6" t="str">
        <f t="shared" si="6"/>
        <v>SUKHBAATAR SUVDAA</v>
      </c>
      <c r="E147" s="6" t="s">
        <v>64</v>
      </c>
      <c r="F147" s="6" t="s">
        <v>222</v>
      </c>
      <c r="G147" s="6" t="s">
        <v>223</v>
      </c>
      <c r="H147" s="6" t="s">
        <v>223</v>
      </c>
      <c r="I147" s="9" t="s">
        <v>804</v>
      </c>
      <c r="J147" s="6" t="s">
        <v>246</v>
      </c>
      <c r="K147" s="6" t="s">
        <v>247</v>
      </c>
      <c r="L147" s="6" t="str">
        <f t="shared" si="7"/>
        <v>NASANDELGER ZANA</v>
      </c>
      <c r="M147" s="6" t="s">
        <v>57</v>
      </c>
      <c r="N147" s="7">
        <v>45832</v>
      </c>
      <c r="O147" s="7">
        <v>46136</v>
      </c>
      <c r="P147" s="6">
        <f t="shared" si="8"/>
        <v>10</v>
      </c>
      <c r="Q147" s="7" t="s">
        <v>261</v>
      </c>
      <c r="R147" s="7" t="s">
        <v>843</v>
      </c>
      <c r="S147" s="8">
        <v>90.45</v>
      </c>
      <c r="T147" s="6">
        <v>1</v>
      </c>
      <c r="U147" s="6" t="s">
        <v>58</v>
      </c>
      <c r="V147" s="11">
        <v>0.7</v>
      </c>
      <c r="W147" s="6" t="s">
        <v>60</v>
      </c>
      <c r="X147" s="6" t="s">
        <v>262</v>
      </c>
      <c r="Y147" s="8">
        <v>63.32</v>
      </c>
    </row>
    <row r="148" spans="1:25" s="6" customFormat="1" x14ac:dyDescent="0.3">
      <c r="A148" s="6">
        <v>2029567228</v>
      </c>
      <c r="B148" s="6" t="s">
        <v>333</v>
      </c>
      <c r="C148" s="6" t="s">
        <v>334</v>
      </c>
      <c r="D148" s="6" t="str">
        <f t="shared" si="6"/>
        <v>CRYSTAL PINA</v>
      </c>
      <c r="E148" s="6" t="s">
        <v>74</v>
      </c>
      <c r="F148" s="6" t="s">
        <v>65</v>
      </c>
      <c r="G148" s="6" t="s">
        <v>71</v>
      </c>
      <c r="H148" s="6" t="s">
        <v>796</v>
      </c>
      <c r="I148" s="9" t="s">
        <v>814</v>
      </c>
      <c r="J148" s="6" t="s">
        <v>185</v>
      </c>
      <c r="K148" s="6" t="s">
        <v>186</v>
      </c>
      <c r="L148" s="6" t="str">
        <f t="shared" si="7"/>
        <v>THOMAS PARDUE</v>
      </c>
      <c r="M148" s="6" t="s">
        <v>57</v>
      </c>
      <c r="N148" s="7">
        <v>45829</v>
      </c>
      <c r="O148" s="7">
        <v>46133</v>
      </c>
      <c r="P148" s="6">
        <f t="shared" si="8"/>
        <v>10</v>
      </c>
      <c r="Q148" s="7" t="s">
        <v>261</v>
      </c>
      <c r="R148" s="7" t="s">
        <v>843</v>
      </c>
      <c r="S148" s="8">
        <v>47.75</v>
      </c>
      <c r="T148" s="6">
        <v>1</v>
      </c>
      <c r="U148" s="6" t="s">
        <v>58</v>
      </c>
      <c r="V148" s="11">
        <v>0.9</v>
      </c>
      <c r="W148" s="6" t="s">
        <v>60</v>
      </c>
      <c r="X148" s="6" t="s">
        <v>262</v>
      </c>
      <c r="Y148" s="8">
        <v>42.98</v>
      </c>
    </row>
    <row r="149" spans="1:25" s="6" customFormat="1" x14ac:dyDescent="0.3">
      <c r="A149" s="6">
        <v>2029567227</v>
      </c>
      <c r="B149" s="6" t="s">
        <v>333</v>
      </c>
      <c r="C149" s="6" t="s">
        <v>334</v>
      </c>
      <c r="D149" s="6" t="str">
        <f t="shared" si="6"/>
        <v>CRYSTAL PINA</v>
      </c>
      <c r="E149" s="6" t="s">
        <v>74</v>
      </c>
      <c r="F149" s="6" t="s">
        <v>222</v>
      </c>
      <c r="G149" s="6" t="s">
        <v>223</v>
      </c>
      <c r="H149" s="6" t="s">
        <v>223</v>
      </c>
      <c r="I149" s="9" t="s">
        <v>814</v>
      </c>
      <c r="J149" s="6" t="s">
        <v>185</v>
      </c>
      <c r="K149" s="6" t="s">
        <v>186</v>
      </c>
      <c r="L149" s="6" t="str">
        <f t="shared" si="7"/>
        <v>THOMAS PARDUE</v>
      </c>
      <c r="M149" s="6" t="s">
        <v>57</v>
      </c>
      <c r="N149" s="7">
        <v>45829</v>
      </c>
      <c r="O149" s="7">
        <v>46133</v>
      </c>
      <c r="P149" s="6">
        <f t="shared" si="8"/>
        <v>10</v>
      </c>
      <c r="Q149" s="7" t="s">
        <v>261</v>
      </c>
      <c r="R149" s="7" t="s">
        <v>843</v>
      </c>
      <c r="S149" s="8">
        <v>190.26</v>
      </c>
      <c r="T149" s="6">
        <v>1</v>
      </c>
      <c r="U149" s="6" t="s">
        <v>58</v>
      </c>
      <c r="V149" s="11">
        <v>0.7</v>
      </c>
      <c r="W149" s="6" t="s">
        <v>60</v>
      </c>
      <c r="X149" s="6" t="s">
        <v>262</v>
      </c>
      <c r="Y149" s="8">
        <v>133.18</v>
      </c>
    </row>
    <row r="150" spans="1:25" s="6" customFormat="1" x14ac:dyDescent="0.3">
      <c r="A150" s="6">
        <v>2029567229</v>
      </c>
      <c r="B150" s="6" t="s">
        <v>333</v>
      </c>
      <c r="C150" s="6" t="s">
        <v>334</v>
      </c>
      <c r="D150" s="6" t="str">
        <f t="shared" si="6"/>
        <v>CRYSTAL PINA</v>
      </c>
      <c r="E150" s="6" t="s">
        <v>74</v>
      </c>
      <c r="F150" s="6" t="s">
        <v>163</v>
      </c>
      <c r="G150" s="6" t="s">
        <v>164</v>
      </c>
      <c r="H150" s="6" t="s">
        <v>164</v>
      </c>
      <c r="I150" s="9" t="s">
        <v>814</v>
      </c>
      <c r="J150" s="6" t="s">
        <v>185</v>
      </c>
      <c r="K150" s="6" t="s">
        <v>186</v>
      </c>
      <c r="L150" s="6" t="str">
        <f t="shared" si="7"/>
        <v>THOMAS PARDUE</v>
      </c>
      <c r="M150" s="6" t="s">
        <v>57</v>
      </c>
      <c r="N150" s="7">
        <v>45829</v>
      </c>
      <c r="O150" s="7">
        <v>46133</v>
      </c>
      <c r="P150" s="6">
        <f t="shared" si="8"/>
        <v>10</v>
      </c>
      <c r="Q150" s="7" t="s">
        <v>261</v>
      </c>
      <c r="R150" s="7" t="s">
        <v>843</v>
      </c>
      <c r="S150" s="8">
        <v>74.290000000000006</v>
      </c>
      <c r="T150" s="6">
        <v>1</v>
      </c>
      <c r="U150" s="6" t="s">
        <v>58</v>
      </c>
      <c r="V150" s="12">
        <v>0.375</v>
      </c>
      <c r="W150" s="6" t="s">
        <v>60</v>
      </c>
      <c r="X150" s="6" t="s">
        <v>262</v>
      </c>
      <c r="Y150" s="8">
        <v>27.86</v>
      </c>
    </row>
    <row r="151" spans="1:25" s="6" customFormat="1" x14ac:dyDescent="0.3">
      <c r="A151" s="6">
        <v>2029073661</v>
      </c>
      <c r="B151" s="6" t="s">
        <v>274</v>
      </c>
      <c r="C151" s="6" t="s">
        <v>268</v>
      </c>
      <c r="D151" s="6" t="str">
        <f t="shared" si="6"/>
        <v>ERIN HENNESSY</v>
      </c>
      <c r="E151" s="6" t="s">
        <v>100</v>
      </c>
      <c r="F151" s="6" t="s">
        <v>222</v>
      </c>
      <c r="G151" s="6" t="s">
        <v>223</v>
      </c>
      <c r="H151" s="6" t="s">
        <v>223</v>
      </c>
      <c r="I151" s="9" t="s">
        <v>803</v>
      </c>
      <c r="J151" s="6" t="s">
        <v>276</v>
      </c>
      <c r="K151" s="6" t="s">
        <v>277</v>
      </c>
      <c r="L151" s="6" t="str">
        <f t="shared" si="7"/>
        <v>Barry Schumann</v>
      </c>
      <c r="M151" s="6" t="s">
        <v>57</v>
      </c>
      <c r="N151" s="7">
        <v>45801</v>
      </c>
      <c r="O151" s="7">
        <v>46136</v>
      </c>
      <c r="P151" s="6">
        <f t="shared" si="8"/>
        <v>11</v>
      </c>
      <c r="Q151" s="7" t="s">
        <v>261</v>
      </c>
      <c r="R151" s="7" t="s">
        <v>843</v>
      </c>
      <c r="S151" s="8">
        <v>26.32</v>
      </c>
      <c r="T151" s="6">
        <v>1</v>
      </c>
      <c r="U151" s="6" t="s">
        <v>58</v>
      </c>
      <c r="V151" s="11">
        <v>0.7</v>
      </c>
      <c r="W151" s="6" t="s">
        <v>60</v>
      </c>
      <c r="X151" s="6" t="s">
        <v>262</v>
      </c>
      <c r="Y151" s="8">
        <v>18.420000000000002</v>
      </c>
    </row>
    <row r="152" spans="1:25" s="6" customFormat="1" x14ac:dyDescent="0.3">
      <c r="A152" s="6">
        <v>2029073662</v>
      </c>
      <c r="B152" s="6" t="s">
        <v>274</v>
      </c>
      <c r="C152" s="6" t="s">
        <v>268</v>
      </c>
      <c r="D152" s="6" t="str">
        <f t="shared" si="6"/>
        <v>ERIN HENNESSY</v>
      </c>
      <c r="E152" s="6" t="s">
        <v>100</v>
      </c>
      <c r="F152" s="6" t="s">
        <v>53</v>
      </c>
      <c r="G152" s="6" t="s">
        <v>275</v>
      </c>
      <c r="H152" s="6" t="s">
        <v>275</v>
      </c>
      <c r="I152" s="9" t="s">
        <v>803</v>
      </c>
      <c r="J152" s="6" t="s">
        <v>276</v>
      </c>
      <c r="K152" s="6" t="s">
        <v>277</v>
      </c>
      <c r="L152" s="6" t="str">
        <f t="shared" si="7"/>
        <v>Barry Schumann</v>
      </c>
      <c r="M152" s="6" t="s">
        <v>57</v>
      </c>
      <c r="N152" s="7">
        <v>45801</v>
      </c>
      <c r="O152" s="7">
        <v>46136</v>
      </c>
      <c r="P152" s="6">
        <f t="shared" si="8"/>
        <v>11</v>
      </c>
      <c r="Q152" s="7" t="s">
        <v>261</v>
      </c>
      <c r="R152" s="7" t="s">
        <v>843</v>
      </c>
      <c r="S152" s="8">
        <v>50.6</v>
      </c>
      <c r="T152" s="6">
        <v>1</v>
      </c>
      <c r="U152" s="6" t="s">
        <v>58</v>
      </c>
      <c r="V152" s="11">
        <v>0.6</v>
      </c>
      <c r="W152" s="6" t="s">
        <v>60</v>
      </c>
      <c r="X152" s="6" t="s">
        <v>262</v>
      </c>
      <c r="Y152" s="8">
        <v>30.36</v>
      </c>
    </row>
    <row r="153" spans="1:25" s="6" customFormat="1" x14ac:dyDescent="0.3">
      <c r="A153" s="6">
        <v>2029057172</v>
      </c>
      <c r="B153" s="6" t="s">
        <v>636</v>
      </c>
      <c r="C153" s="6" t="s">
        <v>637</v>
      </c>
      <c r="D153" s="6" t="str">
        <f t="shared" si="6"/>
        <v>RANDAL FRITZ</v>
      </c>
      <c r="E153" s="6" t="s">
        <v>300</v>
      </c>
      <c r="F153" s="6" t="s">
        <v>222</v>
      </c>
      <c r="G153" s="6" t="s">
        <v>223</v>
      </c>
      <c r="H153" s="6" t="s">
        <v>223</v>
      </c>
      <c r="I153" s="9" t="s">
        <v>801</v>
      </c>
      <c r="J153" s="6" t="s">
        <v>398</v>
      </c>
      <c r="K153" s="6" t="s">
        <v>399</v>
      </c>
      <c r="L153" s="6" t="str">
        <f t="shared" si="7"/>
        <v>CHRISTIAN TAUGNER</v>
      </c>
      <c r="M153" s="6" t="s">
        <v>57</v>
      </c>
      <c r="N153" s="7">
        <v>45799</v>
      </c>
      <c r="O153" s="7">
        <v>46134</v>
      </c>
      <c r="P153" s="6">
        <f t="shared" si="8"/>
        <v>11</v>
      </c>
      <c r="Q153" s="7" t="s">
        <v>261</v>
      </c>
      <c r="R153" s="7" t="s">
        <v>843</v>
      </c>
      <c r="S153" s="8">
        <v>78.73</v>
      </c>
      <c r="T153" s="6">
        <v>1</v>
      </c>
      <c r="U153" s="6" t="s">
        <v>58</v>
      </c>
      <c r="V153" s="11">
        <v>0.7</v>
      </c>
      <c r="W153" s="6" t="s">
        <v>60</v>
      </c>
      <c r="X153" s="6" t="s">
        <v>262</v>
      </c>
      <c r="Y153" s="8">
        <v>55.11</v>
      </c>
    </row>
    <row r="154" spans="1:25" s="6" customFormat="1" x14ac:dyDescent="0.3">
      <c r="A154" s="6">
        <v>2029051888</v>
      </c>
      <c r="B154" s="6" t="s">
        <v>167</v>
      </c>
      <c r="C154" s="6" t="s">
        <v>440</v>
      </c>
      <c r="D154" s="6" t="str">
        <f t="shared" si="6"/>
        <v>REX BUSH</v>
      </c>
      <c r="E154" s="6" t="s">
        <v>74</v>
      </c>
      <c r="F154" s="6" t="s">
        <v>157</v>
      </c>
      <c r="G154" s="6" t="s">
        <v>425</v>
      </c>
      <c r="H154" s="6" t="s">
        <v>808</v>
      </c>
      <c r="I154" s="9" t="s">
        <v>815</v>
      </c>
      <c r="J154" s="6" t="s">
        <v>125</v>
      </c>
      <c r="K154" s="6" t="s">
        <v>126</v>
      </c>
      <c r="L154" s="6" t="str">
        <f t="shared" si="7"/>
        <v>Jake Shulman</v>
      </c>
      <c r="M154" s="6" t="s">
        <v>57</v>
      </c>
      <c r="N154" s="7">
        <v>45799</v>
      </c>
      <c r="O154" s="7">
        <v>46134</v>
      </c>
      <c r="P154" s="6">
        <f t="shared" si="8"/>
        <v>11</v>
      </c>
      <c r="Q154" s="7" t="s">
        <v>261</v>
      </c>
      <c r="R154" s="7" t="s">
        <v>843</v>
      </c>
      <c r="S154" s="8">
        <v>15</v>
      </c>
      <c r="T154" s="6">
        <v>1</v>
      </c>
      <c r="U154" s="6" t="s">
        <v>58</v>
      </c>
      <c r="V154" s="11">
        <v>0.28999999999999998</v>
      </c>
      <c r="W154" s="6" t="s">
        <v>60</v>
      </c>
      <c r="X154" s="6" t="s">
        <v>262</v>
      </c>
      <c r="Y154" s="8">
        <v>4.3499999999999996</v>
      </c>
    </row>
    <row r="155" spans="1:25" s="6" customFormat="1" x14ac:dyDescent="0.3">
      <c r="A155" s="6">
        <v>2029118625</v>
      </c>
      <c r="B155" s="6" t="s">
        <v>640</v>
      </c>
      <c r="C155" s="6" t="s">
        <v>642</v>
      </c>
      <c r="D155" s="6" t="str">
        <f t="shared" si="6"/>
        <v>TUVSHINJARGAL ALTAN</v>
      </c>
      <c r="E155" s="6" t="s">
        <v>64</v>
      </c>
      <c r="F155" s="6" t="s">
        <v>222</v>
      </c>
      <c r="G155" s="6" t="s">
        <v>223</v>
      </c>
      <c r="H155" s="6" t="s">
        <v>223</v>
      </c>
      <c r="I155" s="9">
        <v>20220688</v>
      </c>
      <c r="J155" s="6" t="s">
        <v>246</v>
      </c>
      <c r="K155" s="6" t="s">
        <v>247</v>
      </c>
      <c r="L155" s="6" t="str">
        <f t="shared" si="7"/>
        <v>NASANDELGER ZANA</v>
      </c>
      <c r="M155" s="6" t="s">
        <v>57</v>
      </c>
      <c r="N155" s="7">
        <v>45803</v>
      </c>
      <c r="O155" s="7">
        <v>46138</v>
      </c>
      <c r="P155" s="6">
        <f t="shared" si="8"/>
        <v>11</v>
      </c>
      <c r="Q155" s="7" t="s">
        <v>261</v>
      </c>
      <c r="R155" s="7" t="s">
        <v>843</v>
      </c>
      <c r="S155" s="8">
        <v>51</v>
      </c>
      <c r="T155" s="6">
        <v>1</v>
      </c>
      <c r="U155" s="6" t="s">
        <v>58</v>
      </c>
      <c r="V155" s="11">
        <v>0.7</v>
      </c>
      <c r="W155" s="6" t="s">
        <v>60</v>
      </c>
      <c r="X155" s="6" t="s">
        <v>262</v>
      </c>
      <c r="Y155" s="8">
        <v>35.700000000000003</v>
      </c>
    </row>
    <row r="156" spans="1:25" s="6" customFormat="1" x14ac:dyDescent="0.3">
      <c r="A156" s="6">
        <v>2029118392</v>
      </c>
      <c r="B156" s="6" t="s">
        <v>640</v>
      </c>
      <c r="C156" s="6" t="s">
        <v>641</v>
      </c>
      <c r="D156" s="6" t="str">
        <f t="shared" si="6"/>
        <v>TUUL ALTAN</v>
      </c>
      <c r="E156" s="6" t="s">
        <v>64</v>
      </c>
      <c r="F156" s="6" t="s">
        <v>222</v>
      </c>
      <c r="G156" s="6" t="s">
        <v>223</v>
      </c>
      <c r="H156" s="6" t="s">
        <v>223</v>
      </c>
      <c r="I156" s="9">
        <v>20220688</v>
      </c>
      <c r="J156" s="6" t="s">
        <v>246</v>
      </c>
      <c r="K156" s="6" t="s">
        <v>247</v>
      </c>
      <c r="L156" s="6" t="str">
        <f t="shared" si="7"/>
        <v>NASANDELGER ZANA</v>
      </c>
      <c r="M156" s="6" t="s">
        <v>57</v>
      </c>
      <c r="N156" s="7">
        <v>45803</v>
      </c>
      <c r="O156" s="7">
        <v>46138</v>
      </c>
      <c r="P156" s="6">
        <f t="shared" si="8"/>
        <v>11</v>
      </c>
      <c r="Q156" s="7" t="s">
        <v>261</v>
      </c>
      <c r="R156" s="7" t="s">
        <v>843</v>
      </c>
      <c r="S156" s="8">
        <v>76.709999999999994</v>
      </c>
      <c r="T156" s="6">
        <v>1</v>
      </c>
      <c r="U156" s="6" t="s">
        <v>58</v>
      </c>
      <c r="V156" s="11">
        <v>0.7</v>
      </c>
      <c r="W156" s="6" t="s">
        <v>60</v>
      </c>
      <c r="X156" s="6" t="s">
        <v>262</v>
      </c>
      <c r="Y156" s="8">
        <v>53.7</v>
      </c>
    </row>
    <row r="157" spans="1:25" s="6" customFormat="1" x14ac:dyDescent="0.3">
      <c r="A157" s="6">
        <v>2029081352</v>
      </c>
      <c r="B157" s="6" t="s">
        <v>236</v>
      </c>
      <c r="C157" s="6" t="s">
        <v>490</v>
      </c>
      <c r="D157" s="6" t="str">
        <f t="shared" si="6"/>
        <v>MICHELLE YALE</v>
      </c>
      <c r="E157" s="6" t="s">
        <v>64</v>
      </c>
      <c r="F157" s="6" t="s">
        <v>222</v>
      </c>
      <c r="G157" s="6" t="s">
        <v>223</v>
      </c>
      <c r="H157" s="6" t="s">
        <v>223</v>
      </c>
      <c r="I157" s="9" t="s">
        <v>818</v>
      </c>
      <c r="J157" s="6" t="s">
        <v>67</v>
      </c>
      <c r="K157" s="6" t="s">
        <v>68</v>
      </c>
      <c r="L157" s="6" t="str">
        <f t="shared" si="7"/>
        <v>Richard Yale</v>
      </c>
      <c r="M157" s="6" t="s">
        <v>57</v>
      </c>
      <c r="N157" s="7">
        <v>45800</v>
      </c>
      <c r="O157" s="7">
        <v>46135</v>
      </c>
      <c r="P157" s="6">
        <f t="shared" si="8"/>
        <v>11</v>
      </c>
      <c r="Q157" s="7" t="s">
        <v>261</v>
      </c>
      <c r="R157" s="7" t="s">
        <v>843</v>
      </c>
      <c r="S157" s="8">
        <v>11.5</v>
      </c>
      <c r="T157" s="6">
        <v>1</v>
      </c>
      <c r="U157" s="6" t="s">
        <v>58</v>
      </c>
      <c r="V157" s="11">
        <v>0.7</v>
      </c>
      <c r="W157" s="6" t="s">
        <v>60</v>
      </c>
      <c r="X157" s="6" t="s">
        <v>262</v>
      </c>
      <c r="Y157" s="8">
        <v>8.0500000000000007</v>
      </c>
    </row>
    <row r="158" spans="1:25" s="6" customFormat="1" x14ac:dyDescent="0.3">
      <c r="A158" s="6">
        <v>2029081351</v>
      </c>
      <c r="B158" s="6" t="s">
        <v>236</v>
      </c>
      <c r="C158" s="6" t="s">
        <v>490</v>
      </c>
      <c r="D158" s="6" t="str">
        <f t="shared" si="6"/>
        <v>MICHELLE YALE</v>
      </c>
      <c r="E158" s="6" t="s">
        <v>64</v>
      </c>
      <c r="F158" s="6" t="s">
        <v>163</v>
      </c>
      <c r="G158" s="6" t="s">
        <v>164</v>
      </c>
      <c r="H158" s="6" t="s">
        <v>164</v>
      </c>
      <c r="I158" s="9" t="s">
        <v>818</v>
      </c>
      <c r="J158" s="6" t="s">
        <v>67</v>
      </c>
      <c r="K158" s="6" t="s">
        <v>68</v>
      </c>
      <c r="L158" s="6" t="str">
        <f t="shared" si="7"/>
        <v>Richard Yale</v>
      </c>
      <c r="M158" s="6" t="s">
        <v>57</v>
      </c>
      <c r="N158" s="7">
        <v>45800</v>
      </c>
      <c r="O158" s="7">
        <v>46135</v>
      </c>
      <c r="P158" s="6">
        <f t="shared" si="8"/>
        <v>11</v>
      </c>
      <c r="Q158" s="7" t="s">
        <v>261</v>
      </c>
      <c r="R158" s="7" t="s">
        <v>843</v>
      </c>
      <c r="S158" s="8">
        <v>57.19</v>
      </c>
      <c r="T158" s="6">
        <v>1</v>
      </c>
      <c r="U158" s="6" t="s">
        <v>58</v>
      </c>
      <c r="V158" s="12">
        <v>0.375</v>
      </c>
      <c r="W158" s="6" t="s">
        <v>60</v>
      </c>
      <c r="X158" s="6" t="s">
        <v>262</v>
      </c>
      <c r="Y158" s="8">
        <v>21.45</v>
      </c>
    </row>
    <row r="159" spans="1:25" s="6" customFormat="1" x14ac:dyDescent="0.3">
      <c r="A159" s="6">
        <v>2029101372</v>
      </c>
      <c r="B159" s="6" t="s">
        <v>329</v>
      </c>
      <c r="C159" s="6" t="s">
        <v>330</v>
      </c>
      <c r="D159" s="6" t="str">
        <f t="shared" si="6"/>
        <v>JEREMY HIGDON</v>
      </c>
      <c r="E159" s="6" t="s">
        <v>86</v>
      </c>
      <c r="F159" s="6" t="s">
        <v>65</v>
      </c>
      <c r="G159" s="6" t="s">
        <v>315</v>
      </c>
      <c r="H159" s="6" t="s">
        <v>807</v>
      </c>
      <c r="I159" s="9" t="s">
        <v>814</v>
      </c>
      <c r="J159" s="6" t="s">
        <v>185</v>
      </c>
      <c r="K159" s="6" t="s">
        <v>186</v>
      </c>
      <c r="L159" s="6" t="str">
        <f t="shared" si="7"/>
        <v>THOMAS PARDUE</v>
      </c>
      <c r="M159" s="6" t="s">
        <v>57</v>
      </c>
      <c r="N159" s="7">
        <v>45801</v>
      </c>
      <c r="O159" s="7">
        <v>46136</v>
      </c>
      <c r="P159" s="6">
        <f t="shared" si="8"/>
        <v>11</v>
      </c>
      <c r="Q159" s="7" t="s">
        <v>261</v>
      </c>
      <c r="R159" s="7" t="s">
        <v>843</v>
      </c>
      <c r="S159" s="8">
        <v>53.79</v>
      </c>
      <c r="T159" s="6">
        <v>1</v>
      </c>
      <c r="U159" s="6" t="s">
        <v>58</v>
      </c>
      <c r="V159" s="11">
        <v>0.65</v>
      </c>
      <c r="W159" s="6" t="s">
        <v>60</v>
      </c>
      <c r="X159" s="6" t="s">
        <v>262</v>
      </c>
      <c r="Y159" s="8">
        <v>34.96</v>
      </c>
    </row>
    <row r="160" spans="1:25" s="6" customFormat="1" x14ac:dyDescent="0.3">
      <c r="A160" s="6">
        <v>2029101374</v>
      </c>
      <c r="B160" s="6" t="s">
        <v>329</v>
      </c>
      <c r="C160" s="6" t="s">
        <v>330</v>
      </c>
      <c r="D160" s="6" t="str">
        <f t="shared" si="6"/>
        <v>JEREMY HIGDON</v>
      </c>
      <c r="E160" s="6" t="s">
        <v>86</v>
      </c>
      <c r="F160" s="6" t="s">
        <v>222</v>
      </c>
      <c r="G160" s="6" t="s">
        <v>223</v>
      </c>
      <c r="H160" s="6" t="s">
        <v>223</v>
      </c>
      <c r="I160" s="9" t="s">
        <v>814</v>
      </c>
      <c r="J160" s="6" t="s">
        <v>185</v>
      </c>
      <c r="K160" s="6" t="s">
        <v>186</v>
      </c>
      <c r="L160" s="6" t="str">
        <f t="shared" si="7"/>
        <v>THOMAS PARDUE</v>
      </c>
      <c r="M160" s="6" t="s">
        <v>57</v>
      </c>
      <c r="N160" s="7">
        <v>45801</v>
      </c>
      <c r="O160" s="7">
        <v>46136</v>
      </c>
      <c r="P160" s="6">
        <f t="shared" si="8"/>
        <v>11</v>
      </c>
      <c r="Q160" s="7" t="s">
        <v>261</v>
      </c>
      <c r="R160" s="7" t="s">
        <v>843</v>
      </c>
      <c r="S160" s="8">
        <v>27.89</v>
      </c>
      <c r="T160" s="6">
        <v>1</v>
      </c>
      <c r="U160" s="6" t="s">
        <v>58</v>
      </c>
      <c r="V160" s="11">
        <v>0.7</v>
      </c>
      <c r="W160" s="6" t="s">
        <v>60</v>
      </c>
      <c r="X160" s="6" t="s">
        <v>262</v>
      </c>
      <c r="Y160" s="8">
        <v>19.52</v>
      </c>
    </row>
    <row r="161" spans="1:25" s="6" customFormat="1" x14ac:dyDescent="0.3">
      <c r="A161" s="6">
        <v>2029101373</v>
      </c>
      <c r="B161" s="6" t="s">
        <v>329</v>
      </c>
      <c r="C161" s="6" t="s">
        <v>330</v>
      </c>
      <c r="D161" s="6" t="str">
        <f t="shared" si="6"/>
        <v>JEREMY HIGDON</v>
      </c>
      <c r="E161" s="6" t="s">
        <v>86</v>
      </c>
      <c r="F161" s="6" t="s">
        <v>222</v>
      </c>
      <c r="G161" s="6" t="s">
        <v>224</v>
      </c>
      <c r="H161" s="6" t="s">
        <v>224</v>
      </c>
      <c r="I161" s="9" t="s">
        <v>814</v>
      </c>
      <c r="J161" s="6" t="s">
        <v>185</v>
      </c>
      <c r="K161" s="6" t="s">
        <v>186</v>
      </c>
      <c r="L161" s="6" t="str">
        <f t="shared" si="7"/>
        <v>THOMAS PARDUE</v>
      </c>
      <c r="M161" s="6" t="s">
        <v>57</v>
      </c>
      <c r="N161" s="7">
        <v>45801</v>
      </c>
      <c r="O161" s="7">
        <v>46136</v>
      </c>
      <c r="P161" s="6">
        <f t="shared" si="8"/>
        <v>11</v>
      </c>
      <c r="Q161" s="7" t="s">
        <v>261</v>
      </c>
      <c r="R161" s="7" t="s">
        <v>843</v>
      </c>
      <c r="S161" s="8">
        <v>33.75</v>
      </c>
      <c r="T161" s="6">
        <v>1</v>
      </c>
      <c r="U161" s="6" t="s">
        <v>58</v>
      </c>
      <c r="V161" s="11">
        <v>0.9</v>
      </c>
      <c r="W161" s="6" t="s">
        <v>60</v>
      </c>
      <c r="X161" s="6" t="s">
        <v>262</v>
      </c>
      <c r="Y161" s="8">
        <v>30.38</v>
      </c>
    </row>
    <row r="162" spans="1:25" s="6" customFormat="1" x14ac:dyDescent="0.3">
      <c r="A162" s="6">
        <v>2029039457</v>
      </c>
      <c r="B162" s="6" t="s">
        <v>634</v>
      </c>
      <c r="C162" s="6" t="s">
        <v>635</v>
      </c>
      <c r="D162" s="6" t="str">
        <f t="shared" si="6"/>
        <v>JENNY RIOS</v>
      </c>
      <c r="E162" s="6" t="s">
        <v>86</v>
      </c>
      <c r="F162" s="6" t="s">
        <v>222</v>
      </c>
      <c r="G162" s="6" t="s">
        <v>223</v>
      </c>
      <c r="H162" s="6" t="s">
        <v>223</v>
      </c>
      <c r="I162" s="9" t="s">
        <v>814</v>
      </c>
      <c r="J162" s="6" t="s">
        <v>185</v>
      </c>
      <c r="K162" s="6" t="s">
        <v>186</v>
      </c>
      <c r="L162" s="6" t="str">
        <f t="shared" si="7"/>
        <v>THOMAS PARDUE</v>
      </c>
      <c r="M162" s="6" t="s">
        <v>57</v>
      </c>
      <c r="N162" s="7">
        <v>45798</v>
      </c>
      <c r="O162" s="7">
        <v>46133</v>
      </c>
      <c r="P162" s="6">
        <f t="shared" si="8"/>
        <v>11</v>
      </c>
      <c r="Q162" s="7" t="s">
        <v>261</v>
      </c>
      <c r="R162" s="7" t="s">
        <v>843</v>
      </c>
      <c r="S162" s="8">
        <v>23</v>
      </c>
      <c r="T162" s="6">
        <v>1</v>
      </c>
      <c r="U162" s="6" t="s">
        <v>58</v>
      </c>
      <c r="V162" s="11">
        <v>0.7</v>
      </c>
      <c r="W162" s="6" t="s">
        <v>60</v>
      </c>
      <c r="X162" s="6" t="s">
        <v>262</v>
      </c>
      <c r="Y162" s="8">
        <v>16.100000000000001</v>
      </c>
    </row>
    <row r="163" spans="1:25" s="6" customFormat="1" x14ac:dyDescent="0.3">
      <c r="A163" s="6">
        <v>2029039458</v>
      </c>
      <c r="B163" s="6" t="s">
        <v>634</v>
      </c>
      <c r="C163" s="6" t="s">
        <v>635</v>
      </c>
      <c r="D163" s="6" t="str">
        <f t="shared" si="6"/>
        <v>JENNY RIOS</v>
      </c>
      <c r="E163" s="6" t="s">
        <v>86</v>
      </c>
      <c r="F163" s="6" t="s">
        <v>222</v>
      </c>
      <c r="G163" s="6" t="s">
        <v>224</v>
      </c>
      <c r="H163" s="6" t="s">
        <v>224</v>
      </c>
      <c r="I163" s="9" t="s">
        <v>814</v>
      </c>
      <c r="J163" s="6" t="s">
        <v>185</v>
      </c>
      <c r="K163" s="6" t="s">
        <v>186</v>
      </c>
      <c r="L163" s="6" t="str">
        <f t="shared" si="7"/>
        <v>THOMAS PARDUE</v>
      </c>
      <c r="M163" s="6" t="s">
        <v>57</v>
      </c>
      <c r="N163" s="7">
        <v>45798</v>
      </c>
      <c r="O163" s="7">
        <v>46133</v>
      </c>
      <c r="P163" s="6">
        <f t="shared" si="8"/>
        <v>11</v>
      </c>
      <c r="Q163" s="7" t="s">
        <v>261</v>
      </c>
      <c r="R163" s="7" t="s">
        <v>843</v>
      </c>
      <c r="S163" s="8">
        <v>48</v>
      </c>
      <c r="T163" s="6">
        <v>1</v>
      </c>
      <c r="U163" s="6" t="s">
        <v>58</v>
      </c>
      <c r="V163" s="11">
        <v>0.9</v>
      </c>
      <c r="W163" s="6" t="s">
        <v>60</v>
      </c>
      <c r="X163" s="6" t="s">
        <v>262</v>
      </c>
      <c r="Y163" s="8">
        <v>43.2</v>
      </c>
    </row>
    <row r="164" spans="1:25" s="6" customFormat="1" x14ac:dyDescent="0.3">
      <c r="A164" s="6">
        <v>2028000915</v>
      </c>
      <c r="B164" s="6" t="s">
        <v>565</v>
      </c>
      <c r="C164" s="6" t="s">
        <v>566</v>
      </c>
      <c r="D164" s="6" t="str">
        <f t="shared" si="6"/>
        <v>ANGELO GALLARELLO</v>
      </c>
      <c r="E164" s="6" t="s">
        <v>567</v>
      </c>
      <c r="F164" s="6" t="s">
        <v>220</v>
      </c>
      <c r="G164" s="6" t="s">
        <v>568</v>
      </c>
      <c r="H164" s="6" t="s">
        <v>568</v>
      </c>
      <c r="I164" s="9">
        <v>7470776</v>
      </c>
      <c r="J164" s="6" t="s">
        <v>91</v>
      </c>
      <c r="K164" s="6" t="s">
        <v>92</v>
      </c>
      <c r="L164" s="6" t="str">
        <f t="shared" si="7"/>
        <v>Andrew Choi</v>
      </c>
      <c r="M164" s="6" t="s">
        <v>57</v>
      </c>
      <c r="N164" s="7">
        <v>45770</v>
      </c>
      <c r="O164" s="7">
        <v>46135</v>
      </c>
      <c r="P164" s="6">
        <f t="shared" si="8"/>
        <v>12</v>
      </c>
      <c r="Q164" s="7" t="s">
        <v>261</v>
      </c>
      <c r="R164" s="7" t="s">
        <v>843</v>
      </c>
      <c r="S164" s="8">
        <v>131.32</v>
      </c>
      <c r="T164" s="6">
        <v>1</v>
      </c>
      <c r="U164" s="6" t="s">
        <v>58</v>
      </c>
      <c r="V164" s="11">
        <v>0.38</v>
      </c>
      <c r="W164" s="6" t="s">
        <v>60</v>
      </c>
      <c r="X164" s="6" t="s">
        <v>262</v>
      </c>
      <c r="Y164" s="8">
        <v>49.9</v>
      </c>
    </row>
    <row r="165" spans="1:25" s="6" customFormat="1" x14ac:dyDescent="0.3">
      <c r="A165" s="6">
        <v>2028000916</v>
      </c>
      <c r="B165" s="6" t="s">
        <v>565</v>
      </c>
      <c r="C165" s="6" t="s">
        <v>566</v>
      </c>
      <c r="D165" s="6" t="str">
        <f t="shared" si="6"/>
        <v>ANGELO GALLARELLO</v>
      </c>
      <c r="E165" s="6" t="s">
        <v>567</v>
      </c>
      <c r="F165" s="6" t="s">
        <v>220</v>
      </c>
      <c r="G165" s="6" t="s">
        <v>569</v>
      </c>
      <c r="H165" s="6" t="s">
        <v>568</v>
      </c>
      <c r="I165" s="9">
        <v>7470776</v>
      </c>
      <c r="J165" s="6" t="s">
        <v>91</v>
      </c>
      <c r="K165" s="6" t="s">
        <v>92</v>
      </c>
      <c r="L165" s="6" t="str">
        <f t="shared" si="7"/>
        <v>Andrew Choi</v>
      </c>
      <c r="M165" s="6" t="s">
        <v>57</v>
      </c>
      <c r="N165" s="7">
        <v>45770</v>
      </c>
      <c r="O165" s="7">
        <v>46135</v>
      </c>
      <c r="P165" s="6">
        <f t="shared" si="8"/>
        <v>12</v>
      </c>
      <c r="Q165" s="7" t="s">
        <v>261</v>
      </c>
      <c r="R165" s="7" t="s">
        <v>843</v>
      </c>
      <c r="S165" s="8">
        <v>7.09</v>
      </c>
      <c r="T165" s="6">
        <v>1</v>
      </c>
      <c r="U165" s="6" t="s">
        <v>58</v>
      </c>
      <c r="V165" s="11">
        <v>0.38</v>
      </c>
      <c r="W165" s="6" t="s">
        <v>60</v>
      </c>
      <c r="X165" s="6" t="s">
        <v>262</v>
      </c>
      <c r="Y165" s="8">
        <v>2.69</v>
      </c>
    </row>
    <row r="166" spans="1:25" s="6" customFormat="1" x14ac:dyDescent="0.3">
      <c r="A166" s="6">
        <v>2028000917</v>
      </c>
      <c r="B166" s="6" t="s">
        <v>565</v>
      </c>
      <c r="C166" s="6" t="s">
        <v>566</v>
      </c>
      <c r="D166" s="6" t="str">
        <f t="shared" si="6"/>
        <v>ANGELO GALLARELLO</v>
      </c>
      <c r="E166" s="6" t="s">
        <v>567</v>
      </c>
      <c r="F166" s="6" t="s">
        <v>222</v>
      </c>
      <c r="G166" s="6" t="s">
        <v>223</v>
      </c>
      <c r="H166" s="6" t="s">
        <v>223</v>
      </c>
      <c r="I166" s="9">
        <v>7470776</v>
      </c>
      <c r="J166" s="6" t="s">
        <v>91</v>
      </c>
      <c r="K166" s="6" t="s">
        <v>92</v>
      </c>
      <c r="L166" s="6" t="str">
        <f t="shared" si="7"/>
        <v>Andrew Choi</v>
      </c>
      <c r="M166" s="6" t="s">
        <v>57</v>
      </c>
      <c r="N166" s="7">
        <v>45770</v>
      </c>
      <c r="O166" s="7">
        <v>46135</v>
      </c>
      <c r="P166" s="6">
        <f t="shared" si="8"/>
        <v>12</v>
      </c>
      <c r="Q166" s="7" t="s">
        <v>261</v>
      </c>
      <c r="R166" s="7" t="s">
        <v>843</v>
      </c>
      <c r="S166" s="8">
        <v>54.98</v>
      </c>
      <c r="T166" s="6">
        <v>1</v>
      </c>
      <c r="U166" s="6" t="s">
        <v>58</v>
      </c>
      <c r="V166" s="11">
        <v>0.7</v>
      </c>
      <c r="W166" s="6" t="s">
        <v>60</v>
      </c>
      <c r="X166" s="6" t="s">
        <v>262</v>
      </c>
      <c r="Y166" s="8">
        <v>38.49</v>
      </c>
    </row>
    <row r="167" spans="1:25" s="6" customFormat="1" x14ac:dyDescent="0.3">
      <c r="A167" s="6">
        <v>2028627542</v>
      </c>
      <c r="B167" s="6" t="s">
        <v>514</v>
      </c>
      <c r="C167" s="6" t="s">
        <v>515</v>
      </c>
      <c r="D167" s="6" t="str">
        <f t="shared" si="6"/>
        <v>DELIA DIAZ</v>
      </c>
      <c r="E167" s="6" t="s">
        <v>300</v>
      </c>
      <c r="F167" s="6" t="s">
        <v>220</v>
      </c>
      <c r="G167" s="6" t="s">
        <v>569</v>
      </c>
      <c r="H167" s="6" t="s">
        <v>568</v>
      </c>
      <c r="I167" s="9">
        <v>8325282</v>
      </c>
      <c r="J167" s="6" t="s">
        <v>438</v>
      </c>
      <c r="K167" s="6" t="s">
        <v>439</v>
      </c>
      <c r="L167" s="6" t="str">
        <f t="shared" si="7"/>
        <v>Dale Walenga</v>
      </c>
      <c r="M167" s="6" t="s">
        <v>57</v>
      </c>
      <c r="N167" s="7">
        <v>45774</v>
      </c>
      <c r="O167" s="7">
        <v>46139</v>
      </c>
      <c r="P167" s="6">
        <f t="shared" si="8"/>
        <v>12</v>
      </c>
      <c r="Q167" s="7" t="s">
        <v>261</v>
      </c>
      <c r="R167" s="7" t="s">
        <v>843</v>
      </c>
      <c r="S167" s="8">
        <v>7.09</v>
      </c>
      <c r="T167" s="6">
        <v>1</v>
      </c>
      <c r="U167" s="6" t="s">
        <v>58</v>
      </c>
      <c r="V167" s="11">
        <v>0.38</v>
      </c>
      <c r="W167" s="6" t="s">
        <v>60</v>
      </c>
      <c r="X167" s="6" t="s">
        <v>262</v>
      </c>
      <c r="Y167" s="8">
        <v>2.69</v>
      </c>
    </row>
    <row r="168" spans="1:25" s="6" customFormat="1" x14ac:dyDescent="0.3">
      <c r="A168" s="6">
        <v>2028627543</v>
      </c>
      <c r="B168" s="6" t="s">
        <v>514</v>
      </c>
      <c r="C168" s="6" t="s">
        <v>515</v>
      </c>
      <c r="D168" s="6" t="str">
        <f t="shared" si="6"/>
        <v>DELIA DIAZ</v>
      </c>
      <c r="E168" s="6" t="s">
        <v>300</v>
      </c>
      <c r="F168" s="6" t="s">
        <v>222</v>
      </c>
      <c r="G168" s="6" t="s">
        <v>223</v>
      </c>
      <c r="H168" s="6" t="s">
        <v>223</v>
      </c>
      <c r="I168" s="9">
        <v>8325282</v>
      </c>
      <c r="J168" s="6" t="s">
        <v>438</v>
      </c>
      <c r="K168" s="6" t="s">
        <v>439</v>
      </c>
      <c r="L168" s="6" t="str">
        <f t="shared" si="7"/>
        <v>Dale Walenga</v>
      </c>
      <c r="M168" s="6" t="s">
        <v>57</v>
      </c>
      <c r="N168" s="7">
        <v>45774</v>
      </c>
      <c r="O168" s="7">
        <v>46139</v>
      </c>
      <c r="P168" s="6">
        <f t="shared" si="8"/>
        <v>12</v>
      </c>
      <c r="Q168" s="7" t="s">
        <v>261</v>
      </c>
      <c r="R168" s="7" t="s">
        <v>843</v>
      </c>
      <c r="S168" s="8">
        <v>11.5</v>
      </c>
      <c r="T168" s="6">
        <v>1</v>
      </c>
      <c r="U168" s="6" t="s">
        <v>58</v>
      </c>
      <c r="V168" s="11">
        <v>0.7</v>
      </c>
      <c r="W168" s="6" t="s">
        <v>60</v>
      </c>
      <c r="X168" s="6" t="s">
        <v>262</v>
      </c>
      <c r="Y168" s="8">
        <v>8.0500000000000007</v>
      </c>
    </row>
    <row r="169" spans="1:25" s="6" customFormat="1" x14ac:dyDescent="0.3">
      <c r="A169" s="6">
        <v>2028627544</v>
      </c>
      <c r="B169" s="6" t="s">
        <v>514</v>
      </c>
      <c r="C169" s="6" t="s">
        <v>515</v>
      </c>
      <c r="D169" s="6" t="str">
        <f t="shared" si="6"/>
        <v>DELIA DIAZ</v>
      </c>
      <c r="E169" s="6" t="s">
        <v>300</v>
      </c>
      <c r="F169" s="6" t="s">
        <v>163</v>
      </c>
      <c r="G169" s="6" t="s">
        <v>164</v>
      </c>
      <c r="H169" s="6" t="s">
        <v>164</v>
      </c>
      <c r="I169" s="9">
        <v>8325282</v>
      </c>
      <c r="J169" s="6" t="s">
        <v>438</v>
      </c>
      <c r="K169" s="6" t="s">
        <v>439</v>
      </c>
      <c r="L169" s="6" t="str">
        <f t="shared" si="7"/>
        <v>Dale Walenga</v>
      </c>
      <c r="M169" s="6" t="s">
        <v>57</v>
      </c>
      <c r="N169" s="7">
        <v>45774</v>
      </c>
      <c r="O169" s="7">
        <v>46139</v>
      </c>
      <c r="P169" s="6">
        <f t="shared" si="8"/>
        <v>12</v>
      </c>
      <c r="Q169" s="7" t="s">
        <v>261</v>
      </c>
      <c r="R169" s="7" t="s">
        <v>843</v>
      </c>
      <c r="S169" s="8">
        <v>18.64</v>
      </c>
      <c r="T169" s="6">
        <v>1</v>
      </c>
      <c r="U169" s="6" t="s">
        <v>58</v>
      </c>
      <c r="V169" s="12">
        <v>0.375</v>
      </c>
      <c r="W169" s="6" t="s">
        <v>60</v>
      </c>
      <c r="X169" s="6" t="s">
        <v>262</v>
      </c>
      <c r="Y169" s="8">
        <v>6.99</v>
      </c>
    </row>
    <row r="170" spans="1:25" s="6" customFormat="1" x14ac:dyDescent="0.3">
      <c r="A170" s="6">
        <v>2028533939</v>
      </c>
      <c r="B170" s="6" t="s">
        <v>435</v>
      </c>
      <c r="C170" s="6" t="s">
        <v>436</v>
      </c>
      <c r="D170" s="6" t="str">
        <f t="shared" si="6"/>
        <v>JENNIFER WALENGA</v>
      </c>
      <c r="E170" s="6" t="s">
        <v>64</v>
      </c>
      <c r="F170" s="6" t="s">
        <v>220</v>
      </c>
      <c r="G170" s="6" t="s">
        <v>568</v>
      </c>
      <c r="H170" s="6" t="s">
        <v>568</v>
      </c>
      <c r="I170" s="9" t="s">
        <v>826</v>
      </c>
      <c r="J170" s="6" t="s">
        <v>438</v>
      </c>
      <c r="K170" s="6" t="s">
        <v>439</v>
      </c>
      <c r="L170" s="6" t="str">
        <f t="shared" si="7"/>
        <v>Dale Walenga</v>
      </c>
      <c r="M170" s="6" t="s">
        <v>57</v>
      </c>
      <c r="N170" s="7">
        <v>45770</v>
      </c>
      <c r="O170" s="7">
        <v>46135</v>
      </c>
      <c r="P170" s="6">
        <f t="shared" si="8"/>
        <v>12</v>
      </c>
      <c r="Q170" s="7" t="s">
        <v>261</v>
      </c>
      <c r="R170" s="7" t="s">
        <v>843</v>
      </c>
      <c r="S170" s="8">
        <v>139</v>
      </c>
      <c r="T170" s="6">
        <v>1</v>
      </c>
      <c r="U170" s="6" t="s">
        <v>58</v>
      </c>
      <c r="V170" s="11">
        <v>0.38</v>
      </c>
      <c r="W170" s="6" t="s">
        <v>60</v>
      </c>
      <c r="X170" s="6" t="s">
        <v>262</v>
      </c>
      <c r="Y170" s="8">
        <v>52.82</v>
      </c>
    </row>
    <row r="171" spans="1:25" s="6" customFormat="1" x14ac:dyDescent="0.3">
      <c r="A171" s="6">
        <v>2028533940</v>
      </c>
      <c r="B171" s="6" t="s">
        <v>435</v>
      </c>
      <c r="C171" s="6" t="s">
        <v>436</v>
      </c>
      <c r="D171" s="6" t="str">
        <f t="shared" si="6"/>
        <v>JENNIFER WALENGA</v>
      </c>
      <c r="E171" s="6" t="s">
        <v>64</v>
      </c>
      <c r="F171" s="6" t="s">
        <v>157</v>
      </c>
      <c r="G171" s="6" t="s">
        <v>437</v>
      </c>
      <c r="H171" s="6" t="s">
        <v>437</v>
      </c>
      <c r="I171" s="9" t="s">
        <v>826</v>
      </c>
      <c r="J171" s="6" t="s">
        <v>438</v>
      </c>
      <c r="K171" s="6" t="s">
        <v>439</v>
      </c>
      <c r="L171" s="6" t="str">
        <f t="shared" si="7"/>
        <v>Dale Walenga</v>
      </c>
      <c r="M171" s="6" t="s">
        <v>57</v>
      </c>
      <c r="N171" s="7">
        <v>45770</v>
      </c>
      <c r="O171" s="7">
        <v>46135</v>
      </c>
      <c r="P171" s="6">
        <f t="shared" si="8"/>
        <v>12</v>
      </c>
      <c r="Q171" s="7" t="s">
        <v>261</v>
      </c>
      <c r="R171" s="7" t="s">
        <v>843</v>
      </c>
      <c r="S171" s="8">
        <v>15</v>
      </c>
      <c r="T171" s="6">
        <v>1</v>
      </c>
      <c r="U171" s="6" t="s">
        <v>58</v>
      </c>
      <c r="V171" s="11">
        <v>0.38</v>
      </c>
      <c r="W171" s="6" t="s">
        <v>60</v>
      </c>
      <c r="X171" s="6" t="s">
        <v>262</v>
      </c>
      <c r="Y171" s="8">
        <v>5.7</v>
      </c>
    </row>
    <row r="172" spans="1:25" s="6" customFormat="1" x14ac:dyDescent="0.3">
      <c r="A172" s="6">
        <v>2028498800</v>
      </c>
      <c r="B172" s="6" t="s">
        <v>322</v>
      </c>
      <c r="C172" s="6" t="s">
        <v>323</v>
      </c>
      <c r="D172" s="6" t="str">
        <f t="shared" si="6"/>
        <v>TIMOTHY VAWTER</v>
      </c>
      <c r="E172" s="6" t="s">
        <v>324</v>
      </c>
      <c r="F172" s="6" t="s">
        <v>65</v>
      </c>
      <c r="G172" s="6" t="s">
        <v>81</v>
      </c>
      <c r="H172" s="6" t="s">
        <v>797</v>
      </c>
      <c r="I172" s="9">
        <v>16633294</v>
      </c>
      <c r="J172" s="6" t="s">
        <v>67</v>
      </c>
      <c r="K172" s="6" t="s">
        <v>68</v>
      </c>
      <c r="L172" s="6" t="str">
        <f t="shared" si="7"/>
        <v>Richard Yale</v>
      </c>
      <c r="M172" s="6" t="s">
        <v>57</v>
      </c>
      <c r="N172" s="7">
        <v>45772</v>
      </c>
      <c r="O172" s="7">
        <v>46137</v>
      </c>
      <c r="P172" s="6">
        <f t="shared" si="8"/>
        <v>12</v>
      </c>
      <c r="Q172" s="7" t="s">
        <v>261</v>
      </c>
      <c r="R172" s="7" t="s">
        <v>843</v>
      </c>
      <c r="S172" s="8">
        <v>28.95</v>
      </c>
      <c r="T172" s="6">
        <v>1</v>
      </c>
      <c r="U172" s="6" t="s">
        <v>58</v>
      </c>
      <c r="V172" s="11">
        <v>0.75</v>
      </c>
      <c r="W172" s="6" t="s">
        <v>60</v>
      </c>
      <c r="X172" s="6" t="s">
        <v>262</v>
      </c>
      <c r="Y172" s="8">
        <v>21.71</v>
      </c>
    </row>
    <row r="173" spans="1:25" s="6" customFormat="1" x14ac:dyDescent="0.3">
      <c r="A173" s="6">
        <v>2028498799</v>
      </c>
      <c r="B173" s="6" t="s">
        <v>322</v>
      </c>
      <c r="C173" s="6" t="s">
        <v>323</v>
      </c>
      <c r="D173" s="6" t="str">
        <f t="shared" si="6"/>
        <v>TIMOTHY VAWTER</v>
      </c>
      <c r="E173" s="6" t="s">
        <v>324</v>
      </c>
      <c r="F173" s="6" t="s">
        <v>222</v>
      </c>
      <c r="G173" s="6" t="s">
        <v>223</v>
      </c>
      <c r="H173" s="6" t="s">
        <v>223</v>
      </c>
      <c r="I173" s="9">
        <v>16633294</v>
      </c>
      <c r="J173" s="6" t="s">
        <v>67</v>
      </c>
      <c r="K173" s="6" t="s">
        <v>68</v>
      </c>
      <c r="L173" s="6" t="str">
        <f t="shared" si="7"/>
        <v>Richard Yale</v>
      </c>
      <c r="M173" s="6" t="s">
        <v>57</v>
      </c>
      <c r="N173" s="7">
        <v>45772</v>
      </c>
      <c r="O173" s="7">
        <v>46137</v>
      </c>
      <c r="P173" s="6">
        <f t="shared" si="8"/>
        <v>12</v>
      </c>
      <c r="Q173" s="7" t="s">
        <v>261</v>
      </c>
      <c r="R173" s="7" t="s">
        <v>843</v>
      </c>
      <c r="S173" s="8">
        <v>30.58</v>
      </c>
      <c r="T173" s="6">
        <v>1</v>
      </c>
      <c r="U173" s="6" t="s">
        <v>58</v>
      </c>
      <c r="V173" s="11">
        <v>0.7</v>
      </c>
      <c r="W173" s="6" t="s">
        <v>60</v>
      </c>
      <c r="X173" s="6" t="s">
        <v>262</v>
      </c>
      <c r="Y173" s="8">
        <v>21.41</v>
      </c>
    </row>
    <row r="174" spans="1:25" s="6" customFormat="1" x14ac:dyDescent="0.3">
      <c r="A174" s="6">
        <v>2028498798</v>
      </c>
      <c r="B174" s="6" t="s">
        <v>322</v>
      </c>
      <c r="C174" s="6" t="s">
        <v>323</v>
      </c>
      <c r="D174" s="6" t="str">
        <f t="shared" si="6"/>
        <v>TIMOTHY VAWTER</v>
      </c>
      <c r="E174" s="6" t="s">
        <v>324</v>
      </c>
      <c r="F174" s="6" t="s">
        <v>163</v>
      </c>
      <c r="G174" s="6" t="s">
        <v>164</v>
      </c>
      <c r="H174" s="6" t="s">
        <v>164</v>
      </c>
      <c r="I174" s="9">
        <v>16633294</v>
      </c>
      <c r="J174" s="6" t="s">
        <v>67</v>
      </c>
      <c r="K174" s="6" t="s">
        <v>68</v>
      </c>
      <c r="L174" s="6" t="str">
        <f t="shared" si="7"/>
        <v>Richard Yale</v>
      </c>
      <c r="M174" s="6" t="s">
        <v>57</v>
      </c>
      <c r="N174" s="7">
        <v>45772</v>
      </c>
      <c r="O174" s="7">
        <v>46137</v>
      </c>
      <c r="P174" s="6">
        <f t="shared" si="8"/>
        <v>12</v>
      </c>
      <c r="Q174" s="7" t="s">
        <v>261</v>
      </c>
      <c r="R174" s="7" t="s">
        <v>843</v>
      </c>
      <c r="S174" s="8">
        <v>58.15</v>
      </c>
      <c r="T174" s="6">
        <v>1</v>
      </c>
      <c r="U174" s="6" t="s">
        <v>58</v>
      </c>
      <c r="V174" s="12">
        <v>0.375</v>
      </c>
      <c r="W174" s="6" t="s">
        <v>60</v>
      </c>
      <c r="X174" s="6" t="s">
        <v>262</v>
      </c>
      <c r="Y174" s="8">
        <v>21.81</v>
      </c>
    </row>
    <row r="175" spans="1:25" s="6" customFormat="1" x14ac:dyDescent="0.3">
      <c r="A175" s="6">
        <v>2028498801</v>
      </c>
      <c r="B175" s="6" t="s">
        <v>322</v>
      </c>
      <c r="C175" s="6" t="s">
        <v>323</v>
      </c>
      <c r="D175" s="6" t="str">
        <f t="shared" si="6"/>
        <v>TIMOTHY VAWTER</v>
      </c>
      <c r="E175" s="6" t="s">
        <v>324</v>
      </c>
      <c r="F175" s="6" t="s">
        <v>222</v>
      </c>
      <c r="G175" s="6" t="s">
        <v>224</v>
      </c>
      <c r="H175" s="6" t="s">
        <v>224</v>
      </c>
      <c r="I175" s="9">
        <v>16633294</v>
      </c>
      <c r="J175" s="6" t="s">
        <v>67</v>
      </c>
      <c r="K175" s="6" t="s">
        <v>68</v>
      </c>
      <c r="L175" s="6" t="str">
        <f t="shared" si="7"/>
        <v>Richard Yale</v>
      </c>
      <c r="M175" s="6" t="s">
        <v>57</v>
      </c>
      <c r="N175" s="7">
        <v>45772</v>
      </c>
      <c r="O175" s="7">
        <v>46137</v>
      </c>
      <c r="P175" s="6">
        <f t="shared" si="8"/>
        <v>12</v>
      </c>
      <c r="Q175" s="7" t="s">
        <v>261</v>
      </c>
      <c r="R175" s="7" t="s">
        <v>843</v>
      </c>
      <c r="S175" s="8">
        <v>56.75</v>
      </c>
      <c r="T175" s="6">
        <v>1</v>
      </c>
      <c r="U175" s="6" t="s">
        <v>58</v>
      </c>
      <c r="V175" s="11">
        <v>0.9</v>
      </c>
      <c r="W175" s="6" t="s">
        <v>60</v>
      </c>
      <c r="X175" s="6" t="s">
        <v>262</v>
      </c>
      <c r="Y175" s="8">
        <v>51.08</v>
      </c>
    </row>
    <row r="176" spans="1:25" s="6" customFormat="1" x14ac:dyDescent="0.3">
      <c r="A176" s="6">
        <v>2028005041</v>
      </c>
      <c r="B176" s="6" t="s">
        <v>512</v>
      </c>
      <c r="C176" s="6" t="s">
        <v>513</v>
      </c>
      <c r="D176" s="6" t="str">
        <f t="shared" si="6"/>
        <v>MELVIN FERNANDEZ</v>
      </c>
      <c r="E176" s="6" t="s">
        <v>64</v>
      </c>
      <c r="F176" s="6" t="s">
        <v>222</v>
      </c>
      <c r="G176" s="6" t="s">
        <v>223</v>
      </c>
      <c r="H176" s="6" t="s">
        <v>223</v>
      </c>
      <c r="I176" s="9">
        <v>7470776</v>
      </c>
      <c r="J176" s="6" t="s">
        <v>91</v>
      </c>
      <c r="K176" s="6" t="s">
        <v>92</v>
      </c>
      <c r="L176" s="6" t="str">
        <f t="shared" si="7"/>
        <v>Andrew Choi</v>
      </c>
      <c r="M176" s="6" t="s">
        <v>57</v>
      </c>
      <c r="N176" s="7">
        <v>45741</v>
      </c>
      <c r="O176" s="7">
        <v>46137</v>
      </c>
      <c r="P176" s="6">
        <f t="shared" si="8"/>
        <v>13</v>
      </c>
      <c r="Q176" s="7" t="s">
        <v>261</v>
      </c>
      <c r="R176" s="7" t="s">
        <v>843</v>
      </c>
      <c r="S176" s="8">
        <v>15.75</v>
      </c>
      <c r="T176" s="6">
        <v>1</v>
      </c>
      <c r="U176" s="6" t="s">
        <v>58</v>
      </c>
      <c r="V176" s="11">
        <v>0.15</v>
      </c>
      <c r="W176" s="6" t="s">
        <v>261</v>
      </c>
      <c r="X176" s="6" t="s">
        <v>262</v>
      </c>
      <c r="Y176" s="8">
        <v>2.36</v>
      </c>
    </row>
    <row r="177" spans="1:30" x14ac:dyDescent="0.3">
      <c r="A177" s="6">
        <v>2028005040</v>
      </c>
      <c r="B177" s="6" t="s">
        <v>512</v>
      </c>
      <c r="C177" s="6" t="s">
        <v>513</v>
      </c>
      <c r="D177" s="6" t="str">
        <f t="shared" si="6"/>
        <v>MELVIN FERNANDEZ</v>
      </c>
      <c r="E177" s="6" t="s">
        <v>64</v>
      </c>
      <c r="F177" s="6" t="s">
        <v>163</v>
      </c>
      <c r="G177" s="6" t="s">
        <v>164</v>
      </c>
      <c r="H177" s="6" t="s">
        <v>164</v>
      </c>
      <c r="I177" s="9">
        <v>7470776</v>
      </c>
      <c r="J177" s="6" t="s">
        <v>91</v>
      </c>
      <c r="K177" s="6" t="s">
        <v>92</v>
      </c>
      <c r="L177" s="6" t="str">
        <f t="shared" si="7"/>
        <v>Andrew Choi</v>
      </c>
      <c r="M177" s="6" t="s">
        <v>57</v>
      </c>
      <c r="N177" s="7">
        <v>45741</v>
      </c>
      <c r="O177" s="7">
        <v>46137</v>
      </c>
      <c r="P177" s="6">
        <f t="shared" si="8"/>
        <v>13</v>
      </c>
      <c r="Q177" s="7" t="s">
        <v>261</v>
      </c>
      <c r="R177" s="7" t="s">
        <v>843</v>
      </c>
      <c r="S177" s="8">
        <v>184.68</v>
      </c>
      <c r="T177" s="6">
        <v>1</v>
      </c>
      <c r="U177" s="6" t="s">
        <v>58</v>
      </c>
      <c r="V177" s="11">
        <v>0.06</v>
      </c>
      <c r="W177" s="6" t="s">
        <v>261</v>
      </c>
      <c r="X177" s="6" t="s">
        <v>262</v>
      </c>
      <c r="Y177" s="8">
        <v>11.08</v>
      </c>
      <c r="Z177" s="6"/>
      <c r="AA177" s="6"/>
      <c r="AB177" s="6"/>
      <c r="AC177" s="6"/>
      <c r="AD177" s="6"/>
    </row>
    <row r="178" spans="1:30" x14ac:dyDescent="0.3">
      <c r="A178" s="6">
        <v>2027996022</v>
      </c>
      <c r="B178" s="6" t="s">
        <v>186</v>
      </c>
      <c r="C178" s="6" t="s">
        <v>319</v>
      </c>
      <c r="D178" s="6" t="str">
        <f t="shared" si="6"/>
        <v>CAMERON THOMAS</v>
      </c>
      <c r="E178" s="6" t="s">
        <v>86</v>
      </c>
      <c r="F178" s="6" t="s">
        <v>65</v>
      </c>
      <c r="G178" s="6" t="s">
        <v>315</v>
      </c>
      <c r="H178" s="6" t="s">
        <v>807</v>
      </c>
      <c r="I178" s="9">
        <v>19586992</v>
      </c>
      <c r="J178" s="6" t="s">
        <v>276</v>
      </c>
      <c r="K178" s="6" t="s">
        <v>277</v>
      </c>
      <c r="L178" s="6" t="str">
        <f t="shared" si="7"/>
        <v>Barry Schumann</v>
      </c>
      <c r="M178" s="6" t="s">
        <v>57</v>
      </c>
      <c r="N178" s="7">
        <v>45743</v>
      </c>
      <c r="O178" s="7">
        <v>46139</v>
      </c>
      <c r="P178" s="6">
        <f t="shared" si="8"/>
        <v>13</v>
      </c>
      <c r="Q178" s="7" t="s">
        <v>261</v>
      </c>
      <c r="R178" s="7" t="s">
        <v>843</v>
      </c>
      <c r="S178" s="8">
        <v>16.29</v>
      </c>
      <c r="T178" s="6">
        <v>1</v>
      </c>
      <c r="U178" s="6" t="s">
        <v>58</v>
      </c>
      <c r="V178" s="11">
        <v>0.1</v>
      </c>
      <c r="W178" s="6" t="s">
        <v>261</v>
      </c>
      <c r="X178" s="6" t="s">
        <v>262</v>
      </c>
      <c r="Y178" s="8">
        <v>1.63</v>
      </c>
      <c r="Z178" s="6"/>
      <c r="AA178" s="6"/>
      <c r="AB178" s="6"/>
      <c r="AC178" s="6"/>
      <c r="AD178" s="6"/>
    </row>
    <row r="179" spans="1:30" x14ac:dyDescent="0.3">
      <c r="A179" s="6">
        <v>2027996023</v>
      </c>
      <c r="B179" s="6" t="s">
        <v>186</v>
      </c>
      <c r="C179" s="6" t="s">
        <v>319</v>
      </c>
      <c r="D179" s="6" t="str">
        <f t="shared" si="6"/>
        <v>CAMERON THOMAS</v>
      </c>
      <c r="E179" s="6" t="s">
        <v>86</v>
      </c>
      <c r="F179" s="6" t="s">
        <v>222</v>
      </c>
      <c r="G179" s="6" t="s">
        <v>223</v>
      </c>
      <c r="H179" s="6" t="s">
        <v>223</v>
      </c>
      <c r="I179" s="9">
        <v>19586992</v>
      </c>
      <c r="J179" s="6" t="s">
        <v>276</v>
      </c>
      <c r="K179" s="6" t="s">
        <v>277</v>
      </c>
      <c r="L179" s="6" t="str">
        <f t="shared" si="7"/>
        <v>Barry Schumann</v>
      </c>
      <c r="M179" s="6" t="s">
        <v>57</v>
      </c>
      <c r="N179" s="7">
        <v>45743</v>
      </c>
      <c r="O179" s="7">
        <v>46139</v>
      </c>
      <c r="P179" s="6">
        <f t="shared" si="8"/>
        <v>13</v>
      </c>
      <c r="Q179" s="7" t="s">
        <v>261</v>
      </c>
      <c r="R179" s="7" t="s">
        <v>843</v>
      </c>
      <c r="S179" s="8">
        <v>18.350000000000001</v>
      </c>
      <c r="T179" s="6">
        <v>1</v>
      </c>
      <c r="U179" s="6" t="s">
        <v>58</v>
      </c>
      <c r="V179" s="11">
        <v>0.15</v>
      </c>
      <c r="W179" s="6" t="s">
        <v>261</v>
      </c>
      <c r="X179" s="6" t="s">
        <v>262</v>
      </c>
      <c r="Y179" s="8">
        <v>2.75</v>
      </c>
      <c r="Z179" s="6"/>
      <c r="AA179" s="6"/>
      <c r="AB179" s="6"/>
      <c r="AC179" s="6"/>
      <c r="AD179" s="6"/>
    </row>
    <row r="180" spans="1:30" x14ac:dyDescent="0.3">
      <c r="A180" s="6">
        <v>2028004036</v>
      </c>
      <c r="B180" s="6" t="s">
        <v>320</v>
      </c>
      <c r="C180" s="6" t="s">
        <v>321</v>
      </c>
      <c r="D180" s="6" t="str">
        <f t="shared" si="6"/>
        <v>BRENDA LOYA</v>
      </c>
      <c r="E180" s="6" t="s">
        <v>112</v>
      </c>
      <c r="F180" s="6" t="s">
        <v>65</v>
      </c>
      <c r="G180" s="6" t="s">
        <v>315</v>
      </c>
      <c r="H180" s="6" t="s">
        <v>807</v>
      </c>
      <c r="I180" s="9">
        <v>16865615</v>
      </c>
      <c r="J180" s="6" t="s">
        <v>311</v>
      </c>
      <c r="K180" s="6" t="s">
        <v>312</v>
      </c>
      <c r="L180" s="6" t="str">
        <f t="shared" si="7"/>
        <v>Heather Geske</v>
      </c>
      <c r="M180" s="6" t="s">
        <v>57</v>
      </c>
      <c r="N180" s="7">
        <v>45741</v>
      </c>
      <c r="O180" s="7">
        <v>46137</v>
      </c>
      <c r="P180" s="6">
        <f t="shared" si="8"/>
        <v>13</v>
      </c>
      <c r="Q180" s="7" t="s">
        <v>261</v>
      </c>
      <c r="R180" s="7" t="s">
        <v>843</v>
      </c>
      <c r="S180" s="8">
        <v>21.96</v>
      </c>
      <c r="T180" s="6">
        <v>1</v>
      </c>
      <c r="U180" s="6" t="s">
        <v>58</v>
      </c>
      <c r="V180" s="11">
        <v>0.1</v>
      </c>
      <c r="W180" s="6" t="s">
        <v>261</v>
      </c>
      <c r="X180" s="6" t="s">
        <v>262</v>
      </c>
      <c r="Y180" s="8">
        <v>2.2000000000000002</v>
      </c>
      <c r="Z180" s="6"/>
      <c r="AA180" s="6"/>
      <c r="AB180" s="6"/>
      <c r="AC180" s="6"/>
      <c r="AD180" s="6"/>
    </row>
    <row r="181" spans="1:30" x14ac:dyDescent="0.3">
      <c r="A181" s="6">
        <v>2028004035</v>
      </c>
      <c r="B181" s="6" t="s">
        <v>320</v>
      </c>
      <c r="C181" s="6" t="s">
        <v>321</v>
      </c>
      <c r="D181" s="6" t="str">
        <f t="shared" si="6"/>
        <v>BRENDA LOYA</v>
      </c>
      <c r="E181" s="6" t="s">
        <v>112</v>
      </c>
      <c r="F181" s="6" t="s">
        <v>222</v>
      </c>
      <c r="G181" s="6" t="s">
        <v>223</v>
      </c>
      <c r="H181" s="6" t="s">
        <v>223</v>
      </c>
      <c r="I181" s="9">
        <v>16865615</v>
      </c>
      <c r="J181" s="6" t="s">
        <v>311</v>
      </c>
      <c r="K181" s="6" t="s">
        <v>312</v>
      </c>
      <c r="L181" s="6" t="str">
        <f t="shared" si="7"/>
        <v>Heather Geske</v>
      </c>
      <c r="M181" s="6" t="s">
        <v>57</v>
      </c>
      <c r="N181" s="7">
        <v>45741</v>
      </c>
      <c r="O181" s="7">
        <v>46137</v>
      </c>
      <c r="P181" s="6">
        <f t="shared" si="8"/>
        <v>13</v>
      </c>
      <c r="Q181" s="7" t="s">
        <v>261</v>
      </c>
      <c r="R181" s="7" t="s">
        <v>843</v>
      </c>
      <c r="S181" s="8">
        <v>9.1</v>
      </c>
      <c r="T181" s="6">
        <v>1</v>
      </c>
      <c r="U181" s="6" t="s">
        <v>58</v>
      </c>
      <c r="V181" s="11">
        <v>0.15</v>
      </c>
      <c r="W181" s="6" t="s">
        <v>261</v>
      </c>
      <c r="X181" s="6" t="s">
        <v>262</v>
      </c>
      <c r="Y181" s="8">
        <v>1.36</v>
      </c>
      <c r="Z181" s="6"/>
      <c r="AA181" s="6"/>
      <c r="AB181" s="6"/>
      <c r="AC181" s="6"/>
      <c r="AD181" s="6"/>
    </row>
    <row r="182" spans="1:30" x14ac:dyDescent="0.3">
      <c r="A182" s="6">
        <v>2027913474</v>
      </c>
      <c r="B182" s="6" t="s">
        <v>317</v>
      </c>
      <c r="C182" s="6" t="s">
        <v>318</v>
      </c>
      <c r="D182" s="6" t="str">
        <f t="shared" si="6"/>
        <v>MONIKA AUFDERHEIDE</v>
      </c>
      <c r="E182" s="6" t="s">
        <v>112</v>
      </c>
      <c r="F182" s="6" t="s">
        <v>65</v>
      </c>
      <c r="G182" s="6" t="s">
        <v>71</v>
      </c>
      <c r="H182" s="6" t="s">
        <v>796</v>
      </c>
      <c r="I182" s="9">
        <v>16865615</v>
      </c>
      <c r="J182" s="6" t="s">
        <v>311</v>
      </c>
      <c r="K182" s="6" t="s">
        <v>312</v>
      </c>
      <c r="L182" s="6" t="str">
        <f t="shared" si="7"/>
        <v>Heather Geske</v>
      </c>
      <c r="M182" s="6" t="s">
        <v>57</v>
      </c>
      <c r="N182" s="7">
        <v>45738</v>
      </c>
      <c r="O182" s="7">
        <v>46134</v>
      </c>
      <c r="P182" s="6">
        <f t="shared" si="8"/>
        <v>13</v>
      </c>
      <c r="Q182" s="7" t="s">
        <v>261</v>
      </c>
      <c r="R182" s="7" t="s">
        <v>843</v>
      </c>
      <c r="S182" s="8">
        <v>111.54</v>
      </c>
      <c r="T182" s="6">
        <v>1</v>
      </c>
      <c r="U182" s="6" t="s">
        <v>58</v>
      </c>
      <c r="V182" s="11">
        <v>0.1</v>
      </c>
      <c r="W182" s="6" t="s">
        <v>261</v>
      </c>
      <c r="X182" s="6" t="s">
        <v>262</v>
      </c>
      <c r="Y182" s="8">
        <v>11.15</v>
      </c>
      <c r="Z182" s="6"/>
      <c r="AA182" s="6"/>
      <c r="AB182" s="6"/>
      <c r="AC182" s="6"/>
      <c r="AD182" s="6"/>
    </row>
    <row r="183" spans="1:30" x14ac:dyDescent="0.3">
      <c r="A183" s="6">
        <v>2027913473</v>
      </c>
      <c r="B183" s="6" t="s">
        <v>317</v>
      </c>
      <c r="C183" s="6" t="s">
        <v>318</v>
      </c>
      <c r="D183" s="6" t="str">
        <f t="shared" si="6"/>
        <v>MONIKA AUFDERHEIDE</v>
      </c>
      <c r="E183" s="6" t="s">
        <v>112</v>
      </c>
      <c r="F183" s="6" t="s">
        <v>220</v>
      </c>
      <c r="G183" s="6" t="s">
        <v>221</v>
      </c>
      <c r="H183" s="6" t="s">
        <v>221</v>
      </c>
      <c r="I183" s="9">
        <v>16865615</v>
      </c>
      <c r="J183" s="6" t="s">
        <v>311</v>
      </c>
      <c r="K183" s="6" t="s">
        <v>312</v>
      </c>
      <c r="L183" s="6" t="str">
        <f t="shared" si="7"/>
        <v>Heather Geske</v>
      </c>
      <c r="M183" s="6" t="s">
        <v>57</v>
      </c>
      <c r="N183" s="7">
        <v>45738</v>
      </c>
      <c r="O183" s="7">
        <v>46134</v>
      </c>
      <c r="P183" s="6">
        <f t="shared" si="8"/>
        <v>13</v>
      </c>
      <c r="Q183" s="7" t="s">
        <v>261</v>
      </c>
      <c r="R183" s="7" t="s">
        <v>843</v>
      </c>
      <c r="S183" s="8">
        <v>40.270000000000003</v>
      </c>
      <c r="T183" s="6">
        <v>1</v>
      </c>
      <c r="U183" s="6" t="s">
        <v>58</v>
      </c>
      <c r="V183" s="11">
        <v>0.1</v>
      </c>
      <c r="W183" s="6" t="s">
        <v>261</v>
      </c>
      <c r="X183" s="6" t="s">
        <v>262</v>
      </c>
      <c r="Y183" s="8">
        <v>4.03</v>
      </c>
      <c r="Z183" s="6"/>
      <c r="AA183" s="6"/>
      <c r="AB183" s="6"/>
      <c r="AC183" s="6"/>
      <c r="AD183" s="6"/>
    </row>
    <row r="184" spans="1:30" x14ac:dyDescent="0.3">
      <c r="A184" s="6">
        <v>2027913472</v>
      </c>
      <c r="B184" s="6" t="s">
        <v>317</v>
      </c>
      <c r="C184" s="6" t="s">
        <v>318</v>
      </c>
      <c r="D184" s="6" t="str">
        <f t="shared" si="6"/>
        <v>MONIKA AUFDERHEIDE</v>
      </c>
      <c r="E184" s="6" t="s">
        <v>112</v>
      </c>
      <c r="F184" s="6" t="s">
        <v>222</v>
      </c>
      <c r="G184" s="6" t="s">
        <v>223</v>
      </c>
      <c r="H184" s="6" t="s">
        <v>223</v>
      </c>
      <c r="I184" s="9">
        <v>16865615</v>
      </c>
      <c r="J184" s="6" t="s">
        <v>311</v>
      </c>
      <c r="K184" s="6" t="s">
        <v>312</v>
      </c>
      <c r="L184" s="6" t="str">
        <f t="shared" si="7"/>
        <v>Heather Geske</v>
      </c>
      <c r="M184" s="6" t="s">
        <v>57</v>
      </c>
      <c r="N184" s="7">
        <v>45738</v>
      </c>
      <c r="O184" s="7">
        <v>46134</v>
      </c>
      <c r="P184" s="6">
        <f t="shared" si="8"/>
        <v>13</v>
      </c>
      <c r="Q184" s="7" t="s">
        <v>261</v>
      </c>
      <c r="R184" s="7" t="s">
        <v>843</v>
      </c>
      <c r="S184" s="8">
        <v>7.89</v>
      </c>
      <c r="T184" s="6">
        <v>1</v>
      </c>
      <c r="U184" s="6" t="s">
        <v>58</v>
      </c>
      <c r="V184" s="11">
        <v>0.15</v>
      </c>
      <c r="W184" s="6" t="s">
        <v>261</v>
      </c>
      <c r="X184" s="6" t="s">
        <v>262</v>
      </c>
      <c r="Y184" s="8">
        <v>1.18</v>
      </c>
      <c r="Z184" s="6"/>
      <c r="AA184" s="6"/>
      <c r="AB184" s="6"/>
      <c r="AC184" s="6"/>
      <c r="AD184" s="6"/>
    </row>
    <row r="185" spans="1:30" s="6" customFormat="1" x14ac:dyDescent="0.3">
      <c r="A185" s="6">
        <v>2028019977</v>
      </c>
      <c r="B185" s="6" t="s">
        <v>524</v>
      </c>
      <c r="C185" s="6" t="s">
        <v>77</v>
      </c>
      <c r="D185" s="6" t="str">
        <f t="shared" si="6"/>
        <v>RYAN BROWN</v>
      </c>
      <c r="E185" s="6" t="s">
        <v>191</v>
      </c>
      <c r="F185" s="6" t="s">
        <v>222</v>
      </c>
      <c r="G185" s="6" t="s">
        <v>223</v>
      </c>
      <c r="H185" s="6" t="s">
        <v>223</v>
      </c>
      <c r="I185" s="9">
        <v>21421111</v>
      </c>
      <c r="J185" s="6" t="s">
        <v>368</v>
      </c>
      <c r="K185" s="6" t="s">
        <v>369</v>
      </c>
      <c r="L185" s="6" t="str">
        <f t="shared" si="7"/>
        <v>Kirk Tigue</v>
      </c>
      <c r="M185" s="6" t="s">
        <v>57</v>
      </c>
      <c r="N185" s="7">
        <v>45742</v>
      </c>
      <c r="O185" s="7">
        <v>46138</v>
      </c>
      <c r="P185" s="6">
        <f t="shared" si="8"/>
        <v>13</v>
      </c>
      <c r="Q185" s="7" t="s">
        <v>261</v>
      </c>
      <c r="R185" s="7" t="s">
        <v>843</v>
      </c>
      <c r="S185" s="8">
        <v>128.80000000000001</v>
      </c>
      <c r="T185" s="6">
        <v>1</v>
      </c>
      <c r="U185" s="6" t="s">
        <v>58</v>
      </c>
      <c r="V185" s="11">
        <v>0.15</v>
      </c>
      <c r="W185" s="6" t="s">
        <v>261</v>
      </c>
      <c r="X185" s="6" t="s">
        <v>262</v>
      </c>
      <c r="Y185" s="8">
        <v>19.32</v>
      </c>
    </row>
    <row r="186" spans="1:30" s="6" customFormat="1" x14ac:dyDescent="0.3">
      <c r="A186" s="6">
        <v>2027904551</v>
      </c>
      <c r="B186" s="6" t="s">
        <v>621</v>
      </c>
      <c r="C186" s="6" t="s">
        <v>622</v>
      </c>
      <c r="D186" s="6" t="str">
        <f t="shared" si="6"/>
        <v>PAMELA DEATON</v>
      </c>
      <c r="E186" s="6" t="s">
        <v>64</v>
      </c>
      <c r="F186" s="6" t="s">
        <v>222</v>
      </c>
      <c r="G186" s="6" t="s">
        <v>224</v>
      </c>
      <c r="H186" s="6" t="s">
        <v>224</v>
      </c>
      <c r="I186" s="9">
        <v>8244481</v>
      </c>
      <c r="J186" s="6" t="s">
        <v>621</v>
      </c>
      <c r="K186" s="6" t="s">
        <v>622</v>
      </c>
      <c r="L186" s="6" t="str">
        <f t="shared" si="7"/>
        <v>PAMELA DEATON</v>
      </c>
      <c r="M186" s="6" t="s">
        <v>57</v>
      </c>
      <c r="N186" s="7">
        <v>45741</v>
      </c>
      <c r="O186" s="7">
        <v>46137</v>
      </c>
      <c r="P186" s="6">
        <f t="shared" si="8"/>
        <v>13</v>
      </c>
      <c r="Q186" s="7" t="s">
        <v>261</v>
      </c>
      <c r="R186" s="7" t="s">
        <v>843</v>
      </c>
      <c r="S186" s="8">
        <v>46.42</v>
      </c>
      <c r="T186" s="6">
        <v>1</v>
      </c>
      <c r="U186" s="6" t="s">
        <v>58</v>
      </c>
      <c r="V186" s="11">
        <v>0.1</v>
      </c>
      <c r="W186" s="6" t="s">
        <v>261</v>
      </c>
      <c r="X186" s="6" t="s">
        <v>262</v>
      </c>
      <c r="Y186" s="8">
        <v>4.6399999999999997</v>
      </c>
    </row>
    <row r="187" spans="1:30" s="6" customFormat="1" x14ac:dyDescent="0.3">
      <c r="A187" s="6">
        <v>2027883703</v>
      </c>
      <c r="B187" s="6" t="s">
        <v>774</v>
      </c>
      <c r="C187" s="6" t="s">
        <v>775</v>
      </c>
      <c r="D187" s="6" t="str">
        <f t="shared" si="6"/>
        <v>CHINYERE ALIKOR</v>
      </c>
      <c r="E187" s="6" t="s">
        <v>86</v>
      </c>
      <c r="F187" s="6" t="s">
        <v>256</v>
      </c>
      <c r="G187" s="6" t="s">
        <v>257</v>
      </c>
      <c r="H187" s="6" t="s">
        <v>257</v>
      </c>
      <c r="I187" s="9" t="s">
        <v>800</v>
      </c>
      <c r="J187" s="6" t="s">
        <v>185</v>
      </c>
      <c r="K187" s="6" t="s">
        <v>186</v>
      </c>
      <c r="L187" s="6" t="str">
        <f t="shared" si="7"/>
        <v>THOMAS PARDUE</v>
      </c>
      <c r="M187" s="6" t="s">
        <v>57</v>
      </c>
      <c r="N187" s="7">
        <v>45735</v>
      </c>
      <c r="O187" s="7">
        <v>46131</v>
      </c>
      <c r="P187" s="6">
        <f t="shared" si="8"/>
        <v>13</v>
      </c>
      <c r="Q187" s="7" t="s">
        <v>261</v>
      </c>
      <c r="R187" s="7" t="s">
        <v>843</v>
      </c>
      <c r="S187" s="8">
        <v>31.52</v>
      </c>
      <c r="T187" s="6">
        <v>1</v>
      </c>
      <c r="U187" s="6" t="s">
        <v>58</v>
      </c>
      <c r="V187" s="12">
        <v>5.2499999999999998E-2</v>
      </c>
      <c r="W187" s="6" t="s">
        <v>261</v>
      </c>
      <c r="X187" s="6" t="s">
        <v>262</v>
      </c>
      <c r="Y187" s="8">
        <v>1.65</v>
      </c>
    </row>
    <row r="188" spans="1:30" s="6" customFormat="1" x14ac:dyDescent="0.3">
      <c r="A188" s="6">
        <v>2027406567</v>
      </c>
      <c r="B188" s="6" t="s">
        <v>617</v>
      </c>
      <c r="C188" s="6" t="s">
        <v>618</v>
      </c>
      <c r="D188" s="6" t="str">
        <f t="shared" si="6"/>
        <v>DEVIN LARSEN</v>
      </c>
      <c r="E188" s="6" t="s">
        <v>64</v>
      </c>
      <c r="F188" s="6" t="s">
        <v>222</v>
      </c>
      <c r="G188" s="6" t="s">
        <v>223</v>
      </c>
      <c r="H188" s="6" t="s">
        <v>223</v>
      </c>
      <c r="I188" s="9">
        <v>17301495</v>
      </c>
      <c r="J188" s="6" t="s">
        <v>619</v>
      </c>
      <c r="K188" s="6" t="s">
        <v>620</v>
      </c>
      <c r="L188" s="6" t="str">
        <f t="shared" si="7"/>
        <v>ESTHER HERRERA-LARSEN</v>
      </c>
      <c r="M188" s="6" t="s">
        <v>57</v>
      </c>
      <c r="N188" s="7">
        <v>45715</v>
      </c>
      <c r="O188" s="7">
        <v>46139</v>
      </c>
      <c r="P188" s="6">
        <f t="shared" si="8"/>
        <v>14</v>
      </c>
      <c r="Q188" s="7" t="s">
        <v>261</v>
      </c>
      <c r="R188" s="7" t="s">
        <v>843</v>
      </c>
      <c r="S188" s="8">
        <v>101.22</v>
      </c>
      <c r="T188" s="6">
        <v>1</v>
      </c>
      <c r="U188" s="6" t="s">
        <v>58</v>
      </c>
      <c r="V188" s="11">
        <v>0.15</v>
      </c>
      <c r="W188" s="6" t="s">
        <v>261</v>
      </c>
      <c r="X188" s="6" t="s">
        <v>262</v>
      </c>
      <c r="Y188" s="8">
        <v>15.18</v>
      </c>
    </row>
    <row r="189" spans="1:30" s="6" customFormat="1" x14ac:dyDescent="0.3">
      <c r="A189" s="6">
        <v>2026734001</v>
      </c>
      <c r="B189" s="6" t="s">
        <v>615</v>
      </c>
      <c r="C189" s="6" t="s">
        <v>436</v>
      </c>
      <c r="D189" s="6" t="str">
        <f t="shared" si="6"/>
        <v>JENNIFER APELIAN</v>
      </c>
      <c r="E189" s="6" t="s">
        <v>86</v>
      </c>
      <c r="F189" s="6" t="s">
        <v>222</v>
      </c>
      <c r="G189" s="6" t="s">
        <v>223</v>
      </c>
      <c r="H189" s="6" t="s">
        <v>223</v>
      </c>
      <c r="I189" s="9">
        <v>16912722</v>
      </c>
      <c r="J189" s="6" t="s">
        <v>153</v>
      </c>
      <c r="K189" s="6" t="s">
        <v>154</v>
      </c>
      <c r="L189" s="6" t="str">
        <f t="shared" si="7"/>
        <v>ANDREA PETRUNGARO</v>
      </c>
      <c r="M189" s="6" t="s">
        <v>57</v>
      </c>
      <c r="N189" s="7">
        <v>45681</v>
      </c>
      <c r="O189" s="7">
        <v>46136</v>
      </c>
      <c r="P189" s="6">
        <f t="shared" si="8"/>
        <v>15</v>
      </c>
      <c r="Q189" s="7" t="s">
        <v>261</v>
      </c>
      <c r="R189" s="7" t="s">
        <v>843</v>
      </c>
      <c r="S189" s="8">
        <v>22.19</v>
      </c>
      <c r="T189" s="6">
        <v>1</v>
      </c>
      <c r="U189" s="6" t="s">
        <v>58</v>
      </c>
      <c r="V189" s="11">
        <v>0.15</v>
      </c>
      <c r="W189" s="6" t="s">
        <v>261</v>
      </c>
      <c r="X189" s="6" t="s">
        <v>262</v>
      </c>
      <c r="Y189" s="8">
        <v>3.33</v>
      </c>
    </row>
    <row r="190" spans="1:30" s="6" customFormat="1" x14ac:dyDescent="0.3">
      <c r="A190" s="6">
        <v>2026757479</v>
      </c>
      <c r="B190" s="6" t="s">
        <v>505</v>
      </c>
      <c r="C190" s="6" t="s">
        <v>478</v>
      </c>
      <c r="D190" s="6" t="str">
        <f t="shared" si="6"/>
        <v>JAMES ROBINSON</v>
      </c>
      <c r="E190" s="6" t="s">
        <v>86</v>
      </c>
      <c r="F190" s="6" t="s">
        <v>163</v>
      </c>
      <c r="G190" s="6" t="s">
        <v>164</v>
      </c>
      <c r="H190" s="6" t="s">
        <v>164</v>
      </c>
      <c r="I190" s="9">
        <v>16509456</v>
      </c>
      <c r="J190" s="6" t="s">
        <v>132</v>
      </c>
      <c r="K190" s="6" t="s">
        <v>506</v>
      </c>
      <c r="L190" s="6" t="str">
        <f t="shared" si="7"/>
        <v>PETER RICHTER</v>
      </c>
      <c r="M190" s="6" t="s">
        <v>57</v>
      </c>
      <c r="N190" s="7">
        <v>45682</v>
      </c>
      <c r="O190" s="7">
        <v>46137</v>
      </c>
      <c r="P190" s="6">
        <f t="shared" si="8"/>
        <v>15</v>
      </c>
      <c r="Q190" s="7" t="s">
        <v>261</v>
      </c>
      <c r="R190" s="7" t="s">
        <v>843</v>
      </c>
      <c r="S190" s="8">
        <v>61.9</v>
      </c>
      <c r="T190" s="6">
        <v>1</v>
      </c>
      <c r="U190" s="6" t="s">
        <v>58</v>
      </c>
      <c r="V190" s="11">
        <v>0.06</v>
      </c>
      <c r="W190" s="6" t="s">
        <v>261</v>
      </c>
      <c r="X190" s="6" t="s">
        <v>262</v>
      </c>
      <c r="Y190" s="8">
        <v>3.71</v>
      </c>
    </row>
    <row r="191" spans="1:30" s="6" customFormat="1" x14ac:dyDescent="0.3">
      <c r="A191" s="6">
        <v>2026760029</v>
      </c>
      <c r="B191" s="6" t="s">
        <v>507</v>
      </c>
      <c r="C191" s="6" t="s">
        <v>508</v>
      </c>
      <c r="D191" s="6" t="str">
        <f t="shared" si="6"/>
        <v>EMALEE WORDEN</v>
      </c>
      <c r="E191" s="6" t="s">
        <v>509</v>
      </c>
      <c r="F191" s="6" t="s">
        <v>163</v>
      </c>
      <c r="G191" s="6" t="s">
        <v>164</v>
      </c>
      <c r="H191" s="6" t="s">
        <v>164</v>
      </c>
      <c r="I191" s="9" t="s">
        <v>800</v>
      </c>
      <c r="J191" s="6" t="s">
        <v>185</v>
      </c>
      <c r="K191" s="6" t="s">
        <v>186</v>
      </c>
      <c r="L191" s="6" t="str">
        <f t="shared" si="7"/>
        <v>THOMAS PARDUE</v>
      </c>
      <c r="M191" s="6" t="s">
        <v>57</v>
      </c>
      <c r="N191" s="7">
        <v>45682</v>
      </c>
      <c r="O191" s="7">
        <v>46137</v>
      </c>
      <c r="P191" s="6">
        <f t="shared" si="8"/>
        <v>15</v>
      </c>
      <c r="Q191" s="7" t="s">
        <v>261</v>
      </c>
      <c r="R191" s="7" t="s">
        <v>843</v>
      </c>
      <c r="S191" s="8">
        <v>22.84</v>
      </c>
      <c r="T191" s="6">
        <v>1</v>
      </c>
      <c r="U191" s="6" t="s">
        <v>58</v>
      </c>
      <c r="V191" s="11">
        <v>0.06</v>
      </c>
      <c r="W191" s="6" t="s">
        <v>261</v>
      </c>
      <c r="X191" s="6" t="s">
        <v>262</v>
      </c>
      <c r="Y191" s="8">
        <v>1.37</v>
      </c>
    </row>
    <row r="192" spans="1:30" x14ac:dyDescent="0.3">
      <c r="A192" s="6">
        <v>2026693770</v>
      </c>
      <c r="B192" s="6" t="s">
        <v>613</v>
      </c>
      <c r="C192" s="6" t="s">
        <v>614</v>
      </c>
      <c r="D192" s="6" t="str">
        <f t="shared" si="6"/>
        <v>HORTANCE NGANDO</v>
      </c>
      <c r="E192" s="6" t="s">
        <v>184</v>
      </c>
      <c r="F192" s="6" t="s">
        <v>222</v>
      </c>
      <c r="G192" s="6" t="s">
        <v>224</v>
      </c>
      <c r="H192" s="6" t="s">
        <v>224</v>
      </c>
      <c r="I192" s="9" t="s">
        <v>800</v>
      </c>
      <c r="J192" s="6" t="s">
        <v>185</v>
      </c>
      <c r="K192" s="6" t="s">
        <v>186</v>
      </c>
      <c r="L192" s="6" t="str">
        <f t="shared" si="7"/>
        <v>THOMAS PARDUE</v>
      </c>
      <c r="M192" s="6" t="s">
        <v>57</v>
      </c>
      <c r="N192" s="7">
        <v>45679</v>
      </c>
      <c r="O192" s="7">
        <v>46134</v>
      </c>
      <c r="P192" s="6">
        <f t="shared" si="8"/>
        <v>15</v>
      </c>
      <c r="Q192" s="7" t="s">
        <v>261</v>
      </c>
      <c r="R192" s="7" t="s">
        <v>843</v>
      </c>
      <c r="S192" s="8">
        <v>58.17</v>
      </c>
      <c r="T192" s="6">
        <v>1</v>
      </c>
      <c r="U192" s="6" t="s">
        <v>58</v>
      </c>
      <c r="V192" s="11">
        <v>0.1</v>
      </c>
      <c r="W192" s="6" t="s">
        <v>261</v>
      </c>
      <c r="X192" s="6" t="s">
        <v>262</v>
      </c>
      <c r="Y192" s="8">
        <v>5.82</v>
      </c>
      <c r="Z192" s="6"/>
      <c r="AA192" s="6"/>
      <c r="AB192" s="6"/>
      <c r="AC192" s="6"/>
      <c r="AD192" s="6"/>
    </row>
    <row r="193" spans="1:30" x14ac:dyDescent="0.3">
      <c r="A193" s="6">
        <v>2026295210</v>
      </c>
      <c r="B193" s="6" t="s">
        <v>370</v>
      </c>
      <c r="C193" s="6" t="s">
        <v>219</v>
      </c>
      <c r="D193" s="6" t="str">
        <f t="shared" si="6"/>
        <v>CHARLES RANDALL</v>
      </c>
      <c r="E193" s="6" t="s">
        <v>112</v>
      </c>
      <c r="F193" s="6" t="s">
        <v>222</v>
      </c>
      <c r="G193" s="6" t="s">
        <v>590</v>
      </c>
      <c r="H193" s="6" t="s">
        <v>590</v>
      </c>
      <c r="I193" s="9">
        <v>16865615</v>
      </c>
      <c r="J193" s="6" t="s">
        <v>311</v>
      </c>
      <c r="K193" s="6" t="s">
        <v>312</v>
      </c>
      <c r="L193" s="6" t="str">
        <f t="shared" si="7"/>
        <v>Heather Geske</v>
      </c>
      <c r="M193" s="6" t="s">
        <v>57</v>
      </c>
      <c r="N193" s="7">
        <v>45650</v>
      </c>
      <c r="O193" s="7">
        <v>46136</v>
      </c>
      <c r="P193" s="6">
        <f t="shared" si="8"/>
        <v>16</v>
      </c>
      <c r="Q193" s="7" t="s">
        <v>261</v>
      </c>
      <c r="R193" s="7" t="s">
        <v>843</v>
      </c>
      <c r="S193" s="8">
        <v>14.65</v>
      </c>
      <c r="T193" s="6">
        <v>1</v>
      </c>
      <c r="U193" s="6" t="s">
        <v>58</v>
      </c>
      <c r="V193" s="11">
        <v>0.15</v>
      </c>
      <c r="W193" s="6" t="s">
        <v>261</v>
      </c>
      <c r="X193" s="6" t="s">
        <v>262</v>
      </c>
      <c r="Y193" s="8">
        <v>2.2000000000000002</v>
      </c>
      <c r="Z193" s="6"/>
      <c r="AA193" s="6"/>
      <c r="AB193" s="6"/>
      <c r="AC193" s="6"/>
      <c r="AD193" s="6"/>
    </row>
    <row r="194" spans="1:30" x14ac:dyDescent="0.3">
      <c r="A194" s="6">
        <v>2032333288</v>
      </c>
      <c r="B194" s="6" t="s">
        <v>370</v>
      </c>
      <c r="C194" s="6" t="s">
        <v>371</v>
      </c>
      <c r="D194" s="6" t="str">
        <f t="shared" ref="D194:D257" si="9">_xlfn.CONCAT(C194," ",B194)</f>
        <v>NOAH RANDALL</v>
      </c>
      <c r="E194" s="6" t="s">
        <v>112</v>
      </c>
      <c r="F194" s="6" t="s">
        <v>65</v>
      </c>
      <c r="G194" s="6" t="s">
        <v>315</v>
      </c>
      <c r="H194" s="6" t="s">
        <v>807</v>
      </c>
      <c r="I194" s="9" t="s">
        <v>817</v>
      </c>
      <c r="J194" s="6" t="s">
        <v>311</v>
      </c>
      <c r="K194" s="6" t="s">
        <v>312</v>
      </c>
      <c r="L194" s="6" t="str">
        <f t="shared" ref="L194:L257" si="10">_xlfn.CONCAT(K194," ",J194)</f>
        <v>Heather Geske</v>
      </c>
      <c r="M194" s="6" t="s">
        <v>57</v>
      </c>
      <c r="N194" s="7">
        <v>45650</v>
      </c>
      <c r="O194" s="7">
        <v>46136</v>
      </c>
      <c r="P194" s="6">
        <f t="shared" ref="P194:P257" si="11">DATEDIF(N194,O194,"M")</f>
        <v>16</v>
      </c>
      <c r="Q194" s="7" t="s">
        <v>261</v>
      </c>
      <c r="R194" s="7" t="s">
        <v>843</v>
      </c>
      <c r="S194" s="8">
        <v>6.31</v>
      </c>
      <c r="T194" s="6">
        <v>1</v>
      </c>
      <c r="U194" s="6" t="s">
        <v>58</v>
      </c>
      <c r="V194" s="11">
        <v>0.1</v>
      </c>
      <c r="W194" s="6" t="s">
        <v>261</v>
      </c>
      <c r="X194" s="6" t="s">
        <v>262</v>
      </c>
      <c r="Y194" s="8">
        <v>0.63</v>
      </c>
      <c r="Z194" s="6"/>
      <c r="AA194" s="6"/>
      <c r="AB194" s="6"/>
      <c r="AC194" s="6"/>
      <c r="AD194" s="6"/>
    </row>
    <row r="195" spans="1:30" x14ac:dyDescent="0.3">
      <c r="A195" s="6">
        <v>2026295209</v>
      </c>
      <c r="B195" s="6" t="s">
        <v>370</v>
      </c>
      <c r="C195" s="6" t="s">
        <v>219</v>
      </c>
      <c r="D195" s="6" t="str">
        <f t="shared" si="9"/>
        <v>CHARLES RANDALL</v>
      </c>
      <c r="E195" s="6" t="s">
        <v>112</v>
      </c>
      <c r="F195" s="6" t="s">
        <v>222</v>
      </c>
      <c r="G195" s="6" t="s">
        <v>223</v>
      </c>
      <c r="H195" s="6" t="s">
        <v>223</v>
      </c>
      <c r="I195" s="9">
        <v>16865615</v>
      </c>
      <c r="J195" s="6" t="s">
        <v>311</v>
      </c>
      <c r="K195" s="6" t="s">
        <v>312</v>
      </c>
      <c r="L195" s="6" t="str">
        <f t="shared" si="10"/>
        <v>Heather Geske</v>
      </c>
      <c r="M195" s="6" t="s">
        <v>57</v>
      </c>
      <c r="N195" s="7">
        <v>45650</v>
      </c>
      <c r="O195" s="7">
        <v>46136</v>
      </c>
      <c r="P195" s="6">
        <f t="shared" si="11"/>
        <v>16</v>
      </c>
      <c r="Q195" s="7" t="s">
        <v>261</v>
      </c>
      <c r="R195" s="7" t="s">
        <v>843</v>
      </c>
      <c r="S195" s="8">
        <v>18.28</v>
      </c>
      <c r="T195" s="6">
        <v>1</v>
      </c>
      <c r="U195" s="6" t="s">
        <v>58</v>
      </c>
      <c r="V195" s="11">
        <v>0.15</v>
      </c>
      <c r="W195" s="6" t="s">
        <v>261</v>
      </c>
      <c r="X195" s="6" t="s">
        <v>262</v>
      </c>
      <c r="Y195" s="8">
        <v>2.74</v>
      </c>
      <c r="Z195" s="6"/>
      <c r="AA195" s="6"/>
      <c r="AB195" s="6"/>
      <c r="AC195" s="6"/>
      <c r="AD195" s="6"/>
    </row>
    <row r="196" spans="1:30" x14ac:dyDescent="0.3">
      <c r="A196" s="6">
        <v>2026262567</v>
      </c>
      <c r="B196" s="6" t="s">
        <v>309</v>
      </c>
      <c r="C196" s="6" t="s">
        <v>310</v>
      </c>
      <c r="D196" s="6" t="str">
        <f t="shared" si="9"/>
        <v>ESTEBAN RIZO</v>
      </c>
      <c r="E196" s="6" t="s">
        <v>112</v>
      </c>
      <c r="F196" s="6" t="s">
        <v>222</v>
      </c>
      <c r="G196" s="6" t="s">
        <v>590</v>
      </c>
      <c r="H196" s="6" t="s">
        <v>590</v>
      </c>
      <c r="I196" s="9">
        <v>16865615</v>
      </c>
      <c r="J196" s="6" t="s">
        <v>311</v>
      </c>
      <c r="K196" s="6" t="s">
        <v>312</v>
      </c>
      <c r="L196" s="6" t="str">
        <f t="shared" si="10"/>
        <v>Heather Geske</v>
      </c>
      <c r="M196" s="6" t="s">
        <v>57</v>
      </c>
      <c r="N196" s="7">
        <v>45647</v>
      </c>
      <c r="O196" s="7">
        <v>46133</v>
      </c>
      <c r="P196" s="6">
        <f t="shared" si="11"/>
        <v>16</v>
      </c>
      <c r="Q196" s="7" t="s">
        <v>261</v>
      </c>
      <c r="R196" s="7" t="s">
        <v>843</v>
      </c>
      <c r="S196" s="8">
        <v>6.3</v>
      </c>
      <c r="T196" s="6">
        <v>1</v>
      </c>
      <c r="U196" s="6" t="s">
        <v>58</v>
      </c>
      <c r="V196" s="11">
        <v>0.15</v>
      </c>
      <c r="W196" s="6" t="s">
        <v>261</v>
      </c>
      <c r="X196" s="6" t="s">
        <v>262</v>
      </c>
      <c r="Y196" s="8">
        <v>0.94</v>
      </c>
      <c r="Z196" s="6"/>
      <c r="AA196" s="6"/>
      <c r="AB196" s="6"/>
      <c r="AC196" s="6"/>
      <c r="AD196" s="6"/>
    </row>
    <row r="197" spans="1:30" x14ac:dyDescent="0.3">
      <c r="A197" s="6">
        <v>2026262566</v>
      </c>
      <c r="B197" s="6" t="s">
        <v>309</v>
      </c>
      <c r="C197" s="6" t="s">
        <v>310</v>
      </c>
      <c r="D197" s="6" t="str">
        <f t="shared" si="9"/>
        <v>ESTEBAN RIZO</v>
      </c>
      <c r="E197" s="6" t="s">
        <v>112</v>
      </c>
      <c r="F197" s="6" t="s">
        <v>65</v>
      </c>
      <c r="G197" s="6" t="s">
        <v>71</v>
      </c>
      <c r="H197" s="6" t="s">
        <v>796</v>
      </c>
      <c r="I197" s="9">
        <v>16865615</v>
      </c>
      <c r="J197" s="6" t="s">
        <v>311</v>
      </c>
      <c r="K197" s="6" t="s">
        <v>312</v>
      </c>
      <c r="L197" s="6" t="str">
        <f t="shared" si="10"/>
        <v>Heather Geske</v>
      </c>
      <c r="M197" s="6" t="s">
        <v>57</v>
      </c>
      <c r="N197" s="7">
        <v>45647</v>
      </c>
      <c r="O197" s="7">
        <v>46133</v>
      </c>
      <c r="P197" s="6">
        <f t="shared" si="11"/>
        <v>16</v>
      </c>
      <c r="Q197" s="7" t="s">
        <v>261</v>
      </c>
      <c r="R197" s="7" t="s">
        <v>843</v>
      </c>
      <c r="S197" s="8">
        <v>31.71</v>
      </c>
      <c r="T197" s="6">
        <v>1</v>
      </c>
      <c r="U197" s="6" t="s">
        <v>58</v>
      </c>
      <c r="V197" s="11">
        <v>0.1</v>
      </c>
      <c r="W197" s="6" t="s">
        <v>261</v>
      </c>
      <c r="X197" s="6" t="s">
        <v>262</v>
      </c>
      <c r="Y197" s="8">
        <v>3.17</v>
      </c>
      <c r="Z197" s="6"/>
      <c r="AA197" s="6"/>
      <c r="AB197" s="6"/>
      <c r="AC197" s="6"/>
      <c r="AD197" s="6"/>
    </row>
    <row r="198" spans="1:30" s="6" customFormat="1" x14ac:dyDescent="0.3">
      <c r="A198" s="6">
        <v>2026262564</v>
      </c>
      <c r="B198" s="6" t="s">
        <v>309</v>
      </c>
      <c r="C198" s="6" t="s">
        <v>310</v>
      </c>
      <c r="D198" s="6" t="str">
        <f t="shared" si="9"/>
        <v>ESTEBAN RIZO</v>
      </c>
      <c r="E198" s="6" t="s">
        <v>112</v>
      </c>
      <c r="F198" s="6" t="s">
        <v>220</v>
      </c>
      <c r="G198" s="6" t="s">
        <v>221</v>
      </c>
      <c r="H198" s="6" t="s">
        <v>221</v>
      </c>
      <c r="I198" s="9">
        <v>16865615</v>
      </c>
      <c r="J198" s="6" t="s">
        <v>311</v>
      </c>
      <c r="K198" s="6" t="s">
        <v>312</v>
      </c>
      <c r="L198" s="6" t="str">
        <f t="shared" si="10"/>
        <v>Heather Geske</v>
      </c>
      <c r="M198" s="6" t="s">
        <v>57</v>
      </c>
      <c r="N198" s="7">
        <v>45647</v>
      </c>
      <c r="O198" s="7">
        <v>46133</v>
      </c>
      <c r="P198" s="6">
        <f t="shared" si="11"/>
        <v>16</v>
      </c>
      <c r="Q198" s="7" t="s">
        <v>261</v>
      </c>
      <c r="R198" s="7" t="s">
        <v>843</v>
      </c>
      <c r="S198" s="8">
        <v>16.91</v>
      </c>
      <c r="T198" s="6">
        <v>1</v>
      </c>
      <c r="U198" s="6" t="s">
        <v>58</v>
      </c>
      <c r="V198" s="11">
        <v>0.1</v>
      </c>
      <c r="W198" s="6" t="s">
        <v>261</v>
      </c>
      <c r="X198" s="6" t="s">
        <v>262</v>
      </c>
      <c r="Y198" s="8">
        <v>1.69</v>
      </c>
    </row>
    <row r="199" spans="1:30" s="6" customFormat="1" x14ac:dyDescent="0.3">
      <c r="A199" s="6">
        <v>2026262565</v>
      </c>
      <c r="B199" s="6" t="s">
        <v>309</v>
      </c>
      <c r="C199" s="6" t="s">
        <v>310</v>
      </c>
      <c r="D199" s="6" t="str">
        <f t="shared" si="9"/>
        <v>ESTEBAN RIZO</v>
      </c>
      <c r="E199" s="6" t="s">
        <v>112</v>
      </c>
      <c r="F199" s="6" t="s">
        <v>222</v>
      </c>
      <c r="G199" s="6" t="s">
        <v>223</v>
      </c>
      <c r="H199" s="6" t="s">
        <v>223</v>
      </c>
      <c r="I199" s="9">
        <v>16865615</v>
      </c>
      <c r="J199" s="6" t="s">
        <v>311</v>
      </c>
      <c r="K199" s="6" t="s">
        <v>312</v>
      </c>
      <c r="L199" s="6" t="str">
        <f t="shared" si="10"/>
        <v>Heather Geske</v>
      </c>
      <c r="M199" s="6" t="s">
        <v>57</v>
      </c>
      <c r="N199" s="7">
        <v>45647</v>
      </c>
      <c r="O199" s="7">
        <v>46133</v>
      </c>
      <c r="P199" s="6">
        <f t="shared" si="11"/>
        <v>16</v>
      </c>
      <c r="Q199" s="7" t="s">
        <v>261</v>
      </c>
      <c r="R199" s="7" t="s">
        <v>843</v>
      </c>
      <c r="S199" s="8">
        <v>9.1</v>
      </c>
      <c r="T199" s="6">
        <v>1</v>
      </c>
      <c r="U199" s="6" t="s">
        <v>58</v>
      </c>
      <c r="V199" s="11">
        <v>0.15</v>
      </c>
      <c r="W199" s="6" t="s">
        <v>261</v>
      </c>
      <c r="X199" s="6" t="s">
        <v>262</v>
      </c>
      <c r="Y199" s="8">
        <v>1.36</v>
      </c>
    </row>
    <row r="200" spans="1:30" x14ac:dyDescent="0.3">
      <c r="A200" s="6">
        <v>2026263730</v>
      </c>
      <c r="B200" s="6" t="s">
        <v>609</v>
      </c>
      <c r="C200" s="6" t="s">
        <v>610</v>
      </c>
      <c r="D200" s="6" t="str">
        <f t="shared" si="9"/>
        <v>NYAMZAM PURVEE</v>
      </c>
      <c r="E200" s="6" t="s">
        <v>64</v>
      </c>
      <c r="F200" s="6" t="s">
        <v>222</v>
      </c>
      <c r="G200" s="6" t="s">
        <v>223</v>
      </c>
      <c r="H200" s="6" t="s">
        <v>223</v>
      </c>
      <c r="I200" s="9">
        <v>20220688</v>
      </c>
      <c r="J200" s="6" t="s">
        <v>246</v>
      </c>
      <c r="K200" s="6" t="s">
        <v>247</v>
      </c>
      <c r="L200" s="6" t="str">
        <f t="shared" si="10"/>
        <v>NASANDELGER ZANA</v>
      </c>
      <c r="M200" s="6" t="s">
        <v>57</v>
      </c>
      <c r="N200" s="7">
        <v>45647</v>
      </c>
      <c r="O200" s="7">
        <v>46133</v>
      </c>
      <c r="P200" s="6">
        <f t="shared" si="11"/>
        <v>16</v>
      </c>
      <c r="Q200" s="7" t="s">
        <v>261</v>
      </c>
      <c r="R200" s="7" t="s">
        <v>843</v>
      </c>
      <c r="S200" s="8">
        <v>126.92</v>
      </c>
      <c r="T200" s="6">
        <v>1</v>
      </c>
      <c r="U200" s="6" t="s">
        <v>58</v>
      </c>
      <c r="V200" s="11">
        <v>0.15</v>
      </c>
      <c r="W200" s="6" t="s">
        <v>261</v>
      </c>
      <c r="X200" s="6" t="s">
        <v>262</v>
      </c>
      <c r="Y200" s="8">
        <v>19.04</v>
      </c>
      <c r="Z200" s="6"/>
      <c r="AA200" s="6"/>
      <c r="AB200" s="6"/>
      <c r="AC200" s="6"/>
      <c r="AD200" s="6"/>
    </row>
    <row r="201" spans="1:30" x14ac:dyDescent="0.3">
      <c r="A201" s="6">
        <v>2026293121</v>
      </c>
      <c r="B201" s="6" t="s">
        <v>611</v>
      </c>
      <c r="C201" s="6" t="s">
        <v>612</v>
      </c>
      <c r="D201" s="6" t="str">
        <f t="shared" si="9"/>
        <v>BETH HRYCAJ</v>
      </c>
      <c r="E201" s="6" t="s">
        <v>64</v>
      </c>
      <c r="F201" s="6" t="s">
        <v>222</v>
      </c>
      <c r="G201" s="6" t="s">
        <v>223</v>
      </c>
      <c r="H201" s="6" t="s">
        <v>223</v>
      </c>
      <c r="I201" s="9">
        <v>19645587</v>
      </c>
      <c r="J201" s="6" t="s">
        <v>495</v>
      </c>
      <c r="K201" s="6" t="s">
        <v>496</v>
      </c>
      <c r="L201" s="6" t="str">
        <f t="shared" si="10"/>
        <v>STACEY PORTUGAL</v>
      </c>
      <c r="M201" s="6" t="s">
        <v>57</v>
      </c>
      <c r="N201" s="7">
        <v>45650</v>
      </c>
      <c r="O201" s="7">
        <v>46136</v>
      </c>
      <c r="P201" s="6">
        <f t="shared" si="11"/>
        <v>16</v>
      </c>
      <c r="Q201" s="7" t="s">
        <v>261</v>
      </c>
      <c r="R201" s="7" t="s">
        <v>843</v>
      </c>
      <c r="S201" s="8">
        <v>88.96</v>
      </c>
      <c r="T201" s="6">
        <v>1</v>
      </c>
      <c r="U201" s="6" t="s">
        <v>58</v>
      </c>
      <c r="V201" s="11">
        <v>0.15</v>
      </c>
      <c r="W201" s="6" t="s">
        <v>261</v>
      </c>
      <c r="X201" s="6" t="s">
        <v>262</v>
      </c>
      <c r="Y201" s="8">
        <v>13.34</v>
      </c>
      <c r="Z201" s="6"/>
      <c r="AA201" s="6"/>
      <c r="AB201" s="6"/>
      <c r="AC201" s="6"/>
      <c r="AD201" s="6"/>
    </row>
    <row r="202" spans="1:30" x14ac:dyDescent="0.3">
      <c r="A202" s="6">
        <v>2026190010</v>
      </c>
      <c r="B202" s="6" t="s">
        <v>305</v>
      </c>
      <c r="C202" s="6" t="s">
        <v>306</v>
      </c>
      <c r="D202" s="6" t="str">
        <f t="shared" si="9"/>
        <v>TRACY LENCIONI</v>
      </c>
      <c r="E202" s="6" t="s">
        <v>64</v>
      </c>
      <c r="F202" s="6" t="s">
        <v>65</v>
      </c>
      <c r="G202" s="6" t="s">
        <v>81</v>
      </c>
      <c r="H202" s="6" t="s">
        <v>797</v>
      </c>
      <c r="I202" s="9" t="s">
        <v>813</v>
      </c>
      <c r="J202" s="6" t="s">
        <v>307</v>
      </c>
      <c r="K202" s="6" t="s">
        <v>308</v>
      </c>
      <c r="L202" s="6" t="str">
        <f t="shared" si="10"/>
        <v>VICTOR FUENTES</v>
      </c>
      <c r="M202" s="6" t="s">
        <v>57</v>
      </c>
      <c r="N202" s="7">
        <v>45647</v>
      </c>
      <c r="O202" s="7">
        <v>46133</v>
      </c>
      <c r="P202" s="6">
        <f t="shared" si="11"/>
        <v>16</v>
      </c>
      <c r="Q202" s="7" t="s">
        <v>261</v>
      </c>
      <c r="R202" s="7" t="s">
        <v>843</v>
      </c>
      <c r="S202" s="8">
        <v>51.73</v>
      </c>
      <c r="T202" s="6">
        <v>1</v>
      </c>
      <c r="U202" s="6" t="s">
        <v>58</v>
      </c>
      <c r="V202" s="11">
        <v>0.1</v>
      </c>
      <c r="W202" s="6" t="s">
        <v>261</v>
      </c>
      <c r="X202" s="6" t="s">
        <v>262</v>
      </c>
      <c r="Y202" s="8">
        <v>5.17</v>
      </c>
      <c r="Z202" s="6"/>
      <c r="AA202" s="6"/>
      <c r="AB202" s="6"/>
      <c r="AC202" s="6"/>
      <c r="AD202" s="6"/>
    </row>
    <row r="203" spans="1:30" x14ac:dyDescent="0.3">
      <c r="A203" s="6">
        <v>2025895058</v>
      </c>
      <c r="B203" s="6" t="s">
        <v>605</v>
      </c>
      <c r="C203" s="6" t="s">
        <v>606</v>
      </c>
      <c r="D203" s="6" t="str">
        <f t="shared" si="9"/>
        <v>SUVD BATSAIKHAN</v>
      </c>
      <c r="E203" s="6" t="s">
        <v>64</v>
      </c>
      <c r="F203" s="6" t="s">
        <v>222</v>
      </c>
      <c r="G203" s="6" t="s">
        <v>223</v>
      </c>
      <c r="H203" s="6" t="s">
        <v>223</v>
      </c>
      <c r="I203" s="9">
        <v>20220688</v>
      </c>
      <c r="J203" s="6" t="s">
        <v>246</v>
      </c>
      <c r="K203" s="6" t="s">
        <v>247</v>
      </c>
      <c r="L203" s="6" t="str">
        <f t="shared" si="10"/>
        <v>NASANDELGER ZANA</v>
      </c>
      <c r="M203" s="6" t="s">
        <v>57</v>
      </c>
      <c r="N203" s="7">
        <v>45619</v>
      </c>
      <c r="O203" s="7">
        <v>46135</v>
      </c>
      <c r="P203" s="6">
        <f t="shared" si="11"/>
        <v>17</v>
      </c>
      <c r="Q203" s="7" t="s">
        <v>261</v>
      </c>
      <c r="R203" s="7" t="s">
        <v>843</v>
      </c>
      <c r="S203" s="8">
        <v>49.92</v>
      </c>
      <c r="T203" s="6">
        <v>1</v>
      </c>
      <c r="U203" s="6" t="s">
        <v>58</v>
      </c>
      <c r="V203" s="11">
        <v>0.15</v>
      </c>
      <c r="W203" s="6" t="s">
        <v>261</v>
      </c>
      <c r="X203" s="6" t="s">
        <v>262</v>
      </c>
      <c r="Y203" s="8">
        <v>7.49</v>
      </c>
      <c r="Z203" s="6"/>
      <c r="AA203" s="6"/>
      <c r="AB203" s="6"/>
      <c r="AC203" s="6"/>
      <c r="AD203" s="6"/>
    </row>
    <row r="204" spans="1:30" x14ac:dyDescent="0.3">
      <c r="A204" s="6">
        <v>2025333216</v>
      </c>
      <c r="B204" s="6" t="s">
        <v>767</v>
      </c>
      <c r="C204" s="6" t="s">
        <v>768</v>
      </c>
      <c r="D204" s="6" t="str">
        <f t="shared" si="9"/>
        <v>BEHRONZ AFRASSIAB</v>
      </c>
      <c r="E204" s="6" t="s">
        <v>64</v>
      </c>
      <c r="F204" s="6" t="s">
        <v>256</v>
      </c>
      <c r="G204" s="6" t="s">
        <v>257</v>
      </c>
      <c r="H204" s="6" t="s">
        <v>257</v>
      </c>
      <c r="I204" s="9">
        <v>17094718</v>
      </c>
      <c r="J204" s="6" t="s">
        <v>769</v>
      </c>
      <c r="K204" s="6" t="s">
        <v>97</v>
      </c>
      <c r="L204" s="6" t="str">
        <f t="shared" si="10"/>
        <v>GREGORY HANSFORD</v>
      </c>
      <c r="M204" s="6" t="s">
        <v>57</v>
      </c>
      <c r="N204" s="7">
        <v>45581</v>
      </c>
      <c r="O204" s="7">
        <v>46128</v>
      </c>
      <c r="P204" s="6">
        <f t="shared" si="11"/>
        <v>18</v>
      </c>
      <c r="Q204" s="7" t="s">
        <v>261</v>
      </c>
      <c r="R204" s="7" t="s">
        <v>843</v>
      </c>
      <c r="S204" s="8">
        <v>53.01</v>
      </c>
      <c r="T204" s="6">
        <v>1</v>
      </c>
      <c r="U204" s="6" t="s">
        <v>58</v>
      </c>
      <c r="V204" s="12">
        <v>5.2499999999999998E-2</v>
      </c>
      <c r="W204" s="6" t="s">
        <v>261</v>
      </c>
      <c r="X204" s="6" t="s">
        <v>262</v>
      </c>
      <c r="Y204" s="8">
        <v>2.78</v>
      </c>
      <c r="Z204" s="6"/>
      <c r="AA204" s="6"/>
      <c r="AB204" s="6"/>
      <c r="AC204" s="6"/>
      <c r="AD204" s="6"/>
    </row>
    <row r="205" spans="1:30" x14ac:dyDescent="0.3">
      <c r="A205" s="6">
        <v>2025418184</v>
      </c>
      <c r="B205" s="6" t="s">
        <v>601</v>
      </c>
      <c r="C205" s="6" t="s">
        <v>602</v>
      </c>
      <c r="D205" s="6" t="str">
        <f t="shared" si="9"/>
        <v>BAYARDAVAA ODBAYAR</v>
      </c>
      <c r="E205" s="6" t="s">
        <v>64</v>
      </c>
      <c r="F205" s="6" t="s">
        <v>222</v>
      </c>
      <c r="G205" s="6" t="s">
        <v>223</v>
      </c>
      <c r="H205" s="6" t="s">
        <v>223</v>
      </c>
      <c r="I205" s="9">
        <v>20220688</v>
      </c>
      <c r="J205" s="6" t="s">
        <v>246</v>
      </c>
      <c r="K205" s="6" t="s">
        <v>247</v>
      </c>
      <c r="L205" s="6" t="str">
        <f t="shared" si="10"/>
        <v>NASANDELGER ZANA</v>
      </c>
      <c r="M205" s="6" t="s">
        <v>57</v>
      </c>
      <c r="N205" s="7">
        <v>45587</v>
      </c>
      <c r="O205" s="7">
        <v>46134</v>
      </c>
      <c r="P205" s="6">
        <f t="shared" si="11"/>
        <v>18</v>
      </c>
      <c r="Q205" s="7" t="s">
        <v>261</v>
      </c>
      <c r="R205" s="7" t="s">
        <v>843</v>
      </c>
      <c r="S205" s="8">
        <v>11.5</v>
      </c>
      <c r="T205" s="6">
        <v>1</v>
      </c>
      <c r="U205" s="6" t="s">
        <v>58</v>
      </c>
      <c r="V205" s="11">
        <v>0.15</v>
      </c>
      <c r="W205" s="6" t="s">
        <v>261</v>
      </c>
      <c r="X205" s="6" t="s">
        <v>262</v>
      </c>
      <c r="Y205" s="8">
        <v>1.72</v>
      </c>
      <c r="Z205" s="6"/>
      <c r="AA205" s="6"/>
      <c r="AB205" s="6"/>
      <c r="AC205" s="6"/>
      <c r="AD205" s="6"/>
    </row>
    <row r="206" spans="1:30" x14ac:dyDescent="0.3">
      <c r="A206" s="6">
        <v>2025432387</v>
      </c>
      <c r="B206" s="6" t="s">
        <v>603</v>
      </c>
      <c r="C206" s="6" t="s">
        <v>604</v>
      </c>
      <c r="D206" s="6" t="str">
        <f t="shared" si="9"/>
        <v>CHELCIE LAMB</v>
      </c>
      <c r="E206" s="6" t="s">
        <v>74</v>
      </c>
      <c r="F206" s="6" t="s">
        <v>222</v>
      </c>
      <c r="G206" s="6" t="s">
        <v>224</v>
      </c>
      <c r="H206" s="6" t="s">
        <v>224</v>
      </c>
      <c r="I206" s="9" t="s">
        <v>800</v>
      </c>
      <c r="J206" s="6" t="s">
        <v>185</v>
      </c>
      <c r="K206" s="6" t="s">
        <v>186</v>
      </c>
      <c r="L206" s="6" t="str">
        <f t="shared" si="10"/>
        <v>THOMAS PARDUE</v>
      </c>
      <c r="M206" s="6" t="s">
        <v>57</v>
      </c>
      <c r="N206" s="7">
        <v>45588</v>
      </c>
      <c r="O206" s="7">
        <v>46135</v>
      </c>
      <c r="P206" s="6">
        <f t="shared" si="11"/>
        <v>18</v>
      </c>
      <c r="Q206" s="7" t="s">
        <v>261</v>
      </c>
      <c r="R206" s="7" t="s">
        <v>843</v>
      </c>
      <c r="S206" s="8">
        <v>31.17</v>
      </c>
      <c r="T206" s="6">
        <v>1</v>
      </c>
      <c r="U206" s="6" t="s">
        <v>58</v>
      </c>
      <c r="V206" s="11">
        <v>0.1</v>
      </c>
      <c r="W206" s="6" t="s">
        <v>261</v>
      </c>
      <c r="X206" s="6" t="s">
        <v>262</v>
      </c>
      <c r="Y206" s="8">
        <v>3.12</v>
      </c>
      <c r="Z206" s="6"/>
      <c r="AA206" s="6"/>
      <c r="AB206" s="6"/>
      <c r="AC206" s="6"/>
      <c r="AD206" s="6"/>
    </row>
    <row r="207" spans="1:30" x14ac:dyDescent="0.3">
      <c r="A207" s="6">
        <v>2025022512</v>
      </c>
      <c r="B207" s="6" t="s">
        <v>153</v>
      </c>
      <c r="C207" s="6" t="s">
        <v>154</v>
      </c>
      <c r="D207" s="6" t="str">
        <f t="shared" si="9"/>
        <v>ANDREA PETRUNGARO</v>
      </c>
      <c r="E207" s="6" t="s">
        <v>64</v>
      </c>
      <c r="F207" s="6" t="s">
        <v>222</v>
      </c>
      <c r="G207" s="6" t="s">
        <v>223</v>
      </c>
      <c r="H207" s="6" t="s">
        <v>223</v>
      </c>
      <c r="I207" s="9">
        <v>16912722</v>
      </c>
      <c r="J207" s="6" t="s">
        <v>153</v>
      </c>
      <c r="K207" s="6" t="s">
        <v>154</v>
      </c>
      <c r="L207" s="6" t="str">
        <f t="shared" si="10"/>
        <v>ANDREA PETRUNGARO</v>
      </c>
      <c r="M207" s="6" t="s">
        <v>57</v>
      </c>
      <c r="N207" s="7">
        <v>45561</v>
      </c>
      <c r="O207" s="7">
        <v>46138</v>
      </c>
      <c r="P207" s="6">
        <f t="shared" si="11"/>
        <v>19</v>
      </c>
      <c r="Q207" s="7" t="s">
        <v>261</v>
      </c>
      <c r="R207" s="7" t="s">
        <v>843</v>
      </c>
      <c r="S207" s="8">
        <v>122.22</v>
      </c>
      <c r="T207" s="6">
        <v>1</v>
      </c>
      <c r="U207" s="6" t="s">
        <v>58</v>
      </c>
      <c r="V207" s="11">
        <v>0.15</v>
      </c>
      <c r="W207" s="6" t="s">
        <v>261</v>
      </c>
      <c r="X207" s="6" t="s">
        <v>262</v>
      </c>
      <c r="Y207" s="8">
        <v>18.329999999999998</v>
      </c>
      <c r="Z207" s="6"/>
      <c r="AA207" s="6"/>
      <c r="AB207" s="6"/>
      <c r="AC207" s="6"/>
      <c r="AD207" s="6"/>
    </row>
    <row r="208" spans="1:30" s="6" customFormat="1" x14ac:dyDescent="0.3">
      <c r="A208" s="6">
        <v>2024489047</v>
      </c>
      <c r="B208" s="6" t="s">
        <v>499</v>
      </c>
      <c r="C208" s="6" t="s">
        <v>186</v>
      </c>
      <c r="D208" s="6" t="str">
        <f t="shared" si="9"/>
        <v>THOMAS BURKE</v>
      </c>
      <c r="E208" s="6" t="s">
        <v>52</v>
      </c>
      <c r="F208" s="6" t="s">
        <v>163</v>
      </c>
      <c r="G208" s="6" t="s">
        <v>164</v>
      </c>
      <c r="H208" s="6" t="s">
        <v>164</v>
      </c>
      <c r="I208" s="9">
        <v>8971826</v>
      </c>
      <c r="J208" s="6" t="s">
        <v>259</v>
      </c>
      <c r="K208" s="6" t="s">
        <v>173</v>
      </c>
      <c r="L208" s="6" t="str">
        <f t="shared" si="10"/>
        <v>SCOTT AGUGLIA</v>
      </c>
      <c r="M208" s="6" t="s">
        <v>57</v>
      </c>
      <c r="N208" s="7">
        <v>45526</v>
      </c>
      <c r="O208" s="7">
        <v>46134</v>
      </c>
      <c r="P208" s="6">
        <f t="shared" si="11"/>
        <v>20</v>
      </c>
      <c r="Q208" s="7" t="s">
        <v>261</v>
      </c>
      <c r="R208" s="7" t="s">
        <v>843</v>
      </c>
      <c r="S208" s="8">
        <v>47.29</v>
      </c>
      <c r="T208" s="6">
        <v>1</v>
      </c>
      <c r="U208" s="6" t="s">
        <v>58</v>
      </c>
      <c r="V208" s="11">
        <v>0.06</v>
      </c>
      <c r="W208" s="6" t="s">
        <v>261</v>
      </c>
      <c r="X208" s="6" t="s">
        <v>262</v>
      </c>
      <c r="Y208" s="8">
        <v>2.84</v>
      </c>
    </row>
    <row r="209" spans="1:30" s="6" customFormat="1" x14ac:dyDescent="0.3">
      <c r="A209" s="6">
        <v>2024049922</v>
      </c>
      <c r="B209" s="6" t="s">
        <v>497</v>
      </c>
      <c r="C209" s="6" t="s">
        <v>498</v>
      </c>
      <c r="D209" s="6" t="str">
        <f t="shared" si="9"/>
        <v>DAISY ARMSTRONG</v>
      </c>
      <c r="E209" s="6" t="s">
        <v>52</v>
      </c>
      <c r="F209" s="6" t="s">
        <v>163</v>
      </c>
      <c r="G209" s="6" t="s">
        <v>164</v>
      </c>
      <c r="H209" s="6" t="s">
        <v>164</v>
      </c>
      <c r="I209" s="9">
        <v>8971826</v>
      </c>
      <c r="J209" s="6" t="s">
        <v>259</v>
      </c>
      <c r="K209" s="6" t="s">
        <v>173</v>
      </c>
      <c r="L209" s="6" t="str">
        <f t="shared" si="10"/>
        <v>SCOTT AGUGLIA</v>
      </c>
      <c r="M209" s="6" t="s">
        <v>57</v>
      </c>
      <c r="N209" s="7">
        <v>45497</v>
      </c>
      <c r="O209" s="7">
        <v>46136</v>
      </c>
      <c r="P209" s="6">
        <f t="shared" si="11"/>
        <v>21</v>
      </c>
      <c r="Q209" s="7" t="s">
        <v>261</v>
      </c>
      <c r="R209" s="7" t="s">
        <v>843</v>
      </c>
      <c r="S209" s="8">
        <v>40.119999999999997</v>
      </c>
      <c r="T209" s="6">
        <v>1</v>
      </c>
      <c r="U209" s="6" t="s">
        <v>58</v>
      </c>
      <c r="V209" s="11">
        <v>0.06</v>
      </c>
      <c r="W209" s="6" t="s">
        <v>261</v>
      </c>
      <c r="X209" s="6" t="s">
        <v>262</v>
      </c>
      <c r="Y209" s="8">
        <v>2.41</v>
      </c>
    </row>
    <row r="210" spans="1:30" s="6" customFormat="1" x14ac:dyDescent="0.3">
      <c r="A210" s="6">
        <v>2023230473</v>
      </c>
      <c r="B210" s="6" t="s">
        <v>491</v>
      </c>
      <c r="C210" s="6" t="s">
        <v>492</v>
      </c>
      <c r="D210" s="6" t="str">
        <f t="shared" si="9"/>
        <v>SAMUEL SACK</v>
      </c>
      <c r="E210" s="6" t="s">
        <v>52</v>
      </c>
      <c r="F210" s="6" t="s">
        <v>163</v>
      </c>
      <c r="G210" s="6" t="s">
        <v>164</v>
      </c>
      <c r="H210" s="6" t="s">
        <v>164</v>
      </c>
      <c r="I210" s="9">
        <v>8971826</v>
      </c>
      <c r="J210" s="6" t="s">
        <v>259</v>
      </c>
      <c r="K210" s="6" t="s">
        <v>173</v>
      </c>
      <c r="L210" s="6" t="str">
        <f t="shared" si="10"/>
        <v>SCOTT AGUGLIA</v>
      </c>
      <c r="M210" s="6" t="s">
        <v>57</v>
      </c>
      <c r="N210" s="7">
        <v>45436</v>
      </c>
      <c r="O210" s="7">
        <v>46136</v>
      </c>
      <c r="P210" s="6">
        <f t="shared" si="11"/>
        <v>23</v>
      </c>
      <c r="Q210" s="7" t="s">
        <v>261</v>
      </c>
      <c r="R210" s="7" t="s">
        <v>843</v>
      </c>
      <c r="S210" s="8">
        <v>40.119999999999997</v>
      </c>
      <c r="T210" s="6">
        <v>1</v>
      </c>
      <c r="U210" s="6" t="s">
        <v>58</v>
      </c>
      <c r="V210" s="11">
        <v>0.06</v>
      </c>
      <c r="W210" s="6" t="s">
        <v>261</v>
      </c>
      <c r="X210" s="6" t="s">
        <v>262</v>
      </c>
      <c r="Y210" s="8">
        <v>2.41</v>
      </c>
    </row>
    <row r="211" spans="1:30" s="6" customFormat="1" x14ac:dyDescent="0.3">
      <c r="A211" s="6">
        <v>2023233681</v>
      </c>
      <c r="B211" s="6" t="s">
        <v>493</v>
      </c>
      <c r="C211" s="6" t="s">
        <v>494</v>
      </c>
      <c r="D211" s="6" t="str">
        <f t="shared" si="9"/>
        <v>ALEXANDRA MCKAY</v>
      </c>
      <c r="E211" s="6" t="s">
        <v>64</v>
      </c>
      <c r="F211" s="6" t="s">
        <v>222</v>
      </c>
      <c r="G211" s="6" t="s">
        <v>223</v>
      </c>
      <c r="H211" s="6" t="s">
        <v>223</v>
      </c>
      <c r="I211" s="9">
        <v>19645587</v>
      </c>
      <c r="J211" s="6" t="s">
        <v>495</v>
      </c>
      <c r="K211" s="6" t="s">
        <v>496</v>
      </c>
      <c r="L211" s="6" t="str">
        <f t="shared" si="10"/>
        <v>STACEY PORTUGAL</v>
      </c>
      <c r="M211" s="6" t="s">
        <v>57</v>
      </c>
      <c r="N211" s="7">
        <v>45436</v>
      </c>
      <c r="O211" s="7">
        <v>46136</v>
      </c>
      <c r="P211" s="6">
        <f t="shared" si="11"/>
        <v>23</v>
      </c>
      <c r="Q211" s="7" t="s">
        <v>261</v>
      </c>
      <c r="R211" s="7" t="s">
        <v>843</v>
      </c>
      <c r="S211" s="8">
        <v>47.71</v>
      </c>
      <c r="T211" s="6">
        <v>1</v>
      </c>
      <c r="U211" s="6" t="s">
        <v>58</v>
      </c>
      <c r="V211" s="11">
        <v>0.15</v>
      </c>
      <c r="W211" s="6" t="s">
        <v>261</v>
      </c>
      <c r="X211" s="6" t="s">
        <v>262</v>
      </c>
      <c r="Y211" s="8">
        <v>7.16</v>
      </c>
    </row>
    <row r="212" spans="1:30" s="6" customFormat="1" x14ac:dyDescent="0.3">
      <c r="A212" s="6">
        <v>2023233680</v>
      </c>
      <c r="B212" s="6" t="s">
        <v>493</v>
      </c>
      <c r="C212" s="6" t="s">
        <v>494</v>
      </c>
      <c r="D212" s="6" t="str">
        <f t="shared" si="9"/>
        <v>ALEXANDRA MCKAY</v>
      </c>
      <c r="E212" s="6" t="s">
        <v>64</v>
      </c>
      <c r="F212" s="6" t="s">
        <v>163</v>
      </c>
      <c r="G212" s="6" t="s">
        <v>164</v>
      </c>
      <c r="H212" s="6" t="s">
        <v>164</v>
      </c>
      <c r="I212" s="9">
        <v>19645587</v>
      </c>
      <c r="J212" s="6" t="s">
        <v>495</v>
      </c>
      <c r="K212" s="6" t="s">
        <v>496</v>
      </c>
      <c r="L212" s="6" t="str">
        <f t="shared" si="10"/>
        <v>STACEY PORTUGAL</v>
      </c>
      <c r="M212" s="6" t="s">
        <v>57</v>
      </c>
      <c r="N212" s="7">
        <v>45436</v>
      </c>
      <c r="O212" s="7">
        <v>46136</v>
      </c>
      <c r="P212" s="6">
        <f t="shared" si="11"/>
        <v>23</v>
      </c>
      <c r="Q212" s="7" t="s">
        <v>261</v>
      </c>
      <c r="R212" s="7" t="s">
        <v>843</v>
      </c>
      <c r="S212" s="8">
        <v>31.28</v>
      </c>
      <c r="T212" s="6">
        <v>1</v>
      </c>
      <c r="U212" s="6" t="s">
        <v>58</v>
      </c>
      <c r="V212" s="11">
        <v>0.06</v>
      </c>
      <c r="W212" s="6" t="s">
        <v>261</v>
      </c>
      <c r="X212" s="6" t="s">
        <v>262</v>
      </c>
      <c r="Y212" s="8">
        <v>1.88</v>
      </c>
    </row>
    <row r="213" spans="1:30" x14ac:dyDescent="0.3">
      <c r="A213" s="6">
        <v>2022823602</v>
      </c>
      <c r="B213" s="6" t="s">
        <v>489</v>
      </c>
      <c r="C213" s="6" t="s">
        <v>490</v>
      </c>
      <c r="D213" s="6" t="str">
        <f t="shared" si="9"/>
        <v>MICHELLE KEEFER</v>
      </c>
      <c r="E213" s="6" t="s">
        <v>52</v>
      </c>
      <c r="F213" s="6" t="s">
        <v>163</v>
      </c>
      <c r="G213" s="6" t="s">
        <v>164</v>
      </c>
      <c r="H213" s="6" t="s">
        <v>164</v>
      </c>
      <c r="I213" s="9">
        <v>8971826</v>
      </c>
      <c r="J213" s="6" t="s">
        <v>259</v>
      </c>
      <c r="K213" s="6" t="s">
        <v>173</v>
      </c>
      <c r="L213" s="6" t="str">
        <f t="shared" si="10"/>
        <v>SCOTT AGUGLIA</v>
      </c>
      <c r="M213" s="6" t="s">
        <v>57</v>
      </c>
      <c r="N213" s="7">
        <v>45406</v>
      </c>
      <c r="O213" s="7">
        <v>46136</v>
      </c>
      <c r="P213" s="6">
        <f t="shared" si="11"/>
        <v>24</v>
      </c>
      <c r="Q213" s="7" t="s">
        <v>261</v>
      </c>
      <c r="R213" s="7" t="s">
        <v>843</v>
      </c>
      <c r="S213" s="8">
        <v>58.98</v>
      </c>
      <c r="T213" s="6">
        <v>1</v>
      </c>
      <c r="U213" s="6" t="s">
        <v>58</v>
      </c>
      <c r="V213" s="11">
        <v>0.06</v>
      </c>
      <c r="W213" s="6" t="s">
        <v>261</v>
      </c>
      <c r="X213" s="6" t="s">
        <v>262</v>
      </c>
      <c r="Y213" s="8">
        <v>3.54</v>
      </c>
      <c r="Z213" s="6"/>
      <c r="AA213" s="6"/>
      <c r="AB213" s="6"/>
      <c r="AC213" s="6"/>
      <c r="AD213" s="6"/>
    </row>
    <row r="214" spans="1:30" x14ac:dyDescent="0.3">
      <c r="A214" s="6">
        <v>2020534056</v>
      </c>
      <c r="B214" s="6" t="s">
        <v>258</v>
      </c>
      <c r="C214" s="6" t="s">
        <v>200</v>
      </c>
      <c r="D214" s="6" t="str">
        <f t="shared" si="9"/>
        <v>MICHAEL MCCANN</v>
      </c>
      <c r="E214" s="6" t="s">
        <v>52</v>
      </c>
      <c r="F214" s="6" t="s">
        <v>163</v>
      </c>
      <c r="G214" s="6" t="s">
        <v>164</v>
      </c>
      <c r="H214" s="6" t="s">
        <v>164</v>
      </c>
      <c r="I214" s="9">
        <v>8971826</v>
      </c>
      <c r="J214" s="6" t="s">
        <v>259</v>
      </c>
      <c r="K214" s="6" t="s">
        <v>173</v>
      </c>
      <c r="L214" s="6" t="str">
        <f t="shared" si="10"/>
        <v>SCOTT AGUGLIA</v>
      </c>
      <c r="M214" s="6" t="s">
        <v>57</v>
      </c>
      <c r="N214" s="7">
        <v>45224</v>
      </c>
      <c r="O214" s="7">
        <v>46137</v>
      </c>
      <c r="P214" s="6">
        <f t="shared" si="11"/>
        <v>30</v>
      </c>
      <c r="Q214" s="7" t="s">
        <v>261</v>
      </c>
      <c r="R214" s="7" t="s">
        <v>843</v>
      </c>
      <c r="S214" s="8">
        <v>32.979999999999997</v>
      </c>
      <c r="T214" s="6">
        <v>1</v>
      </c>
      <c r="U214" s="6" t="s">
        <v>58</v>
      </c>
      <c r="V214" s="11">
        <v>0.06</v>
      </c>
      <c r="W214" s="6" t="s">
        <v>261</v>
      </c>
      <c r="X214" s="6" t="s">
        <v>262</v>
      </c>
      <c r="Y214" s="8">
        <v>1.98</v>
      </c>
      <c r="Z214" s="6"/>
      <c r="AA214" s="6"/>
      <c r="AB214" s="6"/>
      <c r="AC214" s="6"/>
      <c r="AD214" s="6"/>
    </row>
    <row r="215" spans="1:30" x14ac:dyDescent="0.3">
      <c r="A215" s="6">
        <v>2020534057</v>
      </c>
      <c r="B215" s="6" t="s">
        <v>258</v>
      </c>
      <c r="C215" s="6" t="s">
        <v>200</v>
      </c>
      <c r="D215" s="6" t="str">
        <f t="shared" si="9"/>
        <v>MICHAEL MCCANN</v>
      </c>
      <c r="E215" s="6" t="s">
        <v>52</v>
      </c>
      <c r="F215" s="6" t="s">
        <v>53</v>
      </c>
      <c r="G215" s="6" t="s">
        <v>54</v>
      </c>
      <c r="H215" s="6" t="s">
        <v>54</v>
      </c>
      <c r="I215" s="9">
        <v>8971826</v>
      </c>
      <c r="J215" s="6" t="s">
        <v>259</v>
      </c>
      <c r="K215" s="6" t="s">
        <v>173</v>
      </c>
      <c r="L215" s="6" t="str">
        <f t="shared" si="10"/>
        <v>SCOTT AGUGLIA</v>
      </c>
      <c r="M215" s="6" t="s">
        <v>57</v>
      </c>
      <c r="N215" s="7">
        <v>45224</v>
      </c>
      <c r="O215" s="7">
        <v>46137</v>
      </c>
      <c r="P215" s="6">
        <f t="shared" si="11"/>
        <v>30</v>
      </c>
      <c r="Q215" s="7" t="s">
        <v>261</v>
      </c>
      <c r="R215" s="7" t="s">
        <v>843</v>
      </c>
      <c r="S215" s="8">
        <v>42.45</v>
      </c>
      <c r="T215" s="6">
        <v>1</v>
      </c>
      <c r="U215" s="6" t="s">
        <v>58</v>
      </c>
      <c r="V215" s="12">
        <v>6.5000000000000002E-2</v>
      </c>
      <c r="W215" s="6" t="s">
        <v>261</v>
      </c>
      <c r="X215" s="6" t="s">
        <v>262</v>
      </c>
      <c r="Y215" s="8">
        <v>2.76</v>
      </c>
      <c r="Z215" s="6"/>
      <c r="AA215" s="6"/>
      <c r="AB215" s="6"/>
      <c r="AC215" s="6"/>
      <c r="AD215" s="6"/>
    </row>
    <row r="216" spans="1:30" s="6" customFormat="1" x14ac:dyDescent="0.3">
      <c r="A216" s="6">
        <v>2019459171</v>
      </c>
      <c r="B216" s="6" t="s">
        <v>477</v>
      </c>
      <c r="C216" s="6" t="s">
        <v>478</v>
      </c>
      <c r="D216" s="6" t="str">
        <f t="shared" si="9"/>
        <v>JAMES ZOLLARS</v>
      </c>
      <c r="E216" s="6" t="s">
        <v>52</v>
      </c>
      <c r="F216" s="6" t="s">
        <v>163</v>
      </c>
      <c r="G216" s="6" t="s">
        <v>164</v>
      </c>
      <c r="H216" s="6" t="s">
        <v>164</v>
      </c>
      <c r="I216" s="9">
        <v>8971826</v>
      </c>
      <c r="J216" s="6" t="s">
        <v>259</v>
      </c>
      <c r="K216" s="6" t="s">
        <v>173</v>
      </c>
      <c r="L216" s="6" t="str">
        <f t="shared" si="10"/>
        <v>SCOTT AGUGLIA</v>
      </c>
      <c r="M216" s="6" t="s">
        <v>57</v>
      </c>
      <c r="N216" s="7">
        <v>45129</v>
      </c>
      <c r="O216" s="7">
        <v>46134</v>
      </c>
      <c r="P216" s="6">
        <f t="shared" si="11"/>
        <v>33</v>
      </c>
      <c r="Q216" s="7" t="s">
        <v>261</v>
      </c>
      <c r="R216" s="7" t="s">
        <v>843</v>
      </c>
      <c r="S216" s="8">
        <v>57.29</v>
      </c>
      <c r="T216" s="6">
        <v>1</v>
      </c>
      <c r="U216" s="6" t="s">
        <v>58</v>
      </c>
      <c r="V216" s="11">
        <v>0.06</v>
      </c>
      <c r="W216" s="6" t="s">
        <v>261</v>
      </c>
      <c r="X216" s="6" t="s">
        <v>262</v>
      </c>
      <c r="Y216" s="8">
        <v>3.44</v>
      </c>
    </row>
    <row r="217" spans="1:30" x14ac:dyDescent="0.3">
      <c r="A217">
        <v>2033773907</v>
      </c>
      <c r="B217" t="s">
        <v>472</v>
      </c>
      <c r="C217" t="s">
        <v>173</v>
      </c>
      <c r="D217" t="str">
        <f t="shared" si="9"/>
        <v>SCOTT PECK</v>
      </c>
      <c r="E217" t="s">
        <v>375</v>
      </c>
      <c r="F217" t="s">
        <v>220</v>
      </c>
      <c r="G217" t="s">
        <v>568</v>
      </c>
      <c r="H217" t="s">
        <v>568</v>
      </c>
      <c r="I217" s="10">
        <v>20003537</v>
      </c>
      <c r="J217" t="s">
        <v>67</v>
      </c>
      <c r="K217" t="s">
        <v>473</v>
      </c>
      <c r="L217" t="str">
        <f t="shared" si="10"/>
        <v>Chad Yale</v>
      </c>
      <c r="M217" t="s">
        <v>57</v>
      </c>
      <c r="N217" s="1">
        <v>46076</v>
      </c>
      <c r="O217" s="1">
        <v>46135</v>
      </c>
      <c r="P217">
        <f t="shared" si="11"/>
        <v>2</v>
      </c>
      <c r="Q217" s="1" t="s">
        <v>261</v>
      </c>
      <c r="R217" s="1" t="s">
        <v>843</v>
      </c>
      <c r="S217" s="2">
        <v>241.74</v>
      </c>
      <c r="T217">
        <v>1</v>
      </c>
      <c r="U217" t="s">
        <v>58</v>
      </c>
      <c r="V217" s="3">
        <v>0.38</v>
      </c>
      <c r="W217" t="s">
        <v>60</v>
      </c>
      <c r="X217" t="s">
        <v>262</v>
      </c>
      <c r="Y217" s="2">
        <v>91.86</v>
      </c>
    </row>
    <row r="218" spans="1:30" x14ac:dyDescent="0.3">
      <c r="A218">
        <v>2033773908</v>
      </c>
      <c r="B218" t="s">
        <v>472</v>
      </c>
      <c r="C218" t="s">
        <v>173</v>
      </c>
      <c r="D218" t="str">
        <f t="shared" si="9"/>
        <v>SCOTT PECK</v>
      </c>
      <c r="E218" t="s">
        <v>375</v>
      </c>
      <c r="F218" t="s">
        <v>157</v>
      </c>
      <c r="G218" t="s">
        <v>437</v>
      </c>
      <c r="H218" t="s">
        <v>437</v>
      </c>
      <c r="I218" s="10">
        <v>20003537</v>
      </c>
      <c r="J218" t="s">
        <v>67</v>
      </c>
      <c r="K218" t="s">
        <v>473</v>
      </c>
      <c r="L218" t="str">
        <f t="shared" si="10"/>
        <v>Chad Yale</v>
      </c>
      <c r="M218" t="s">
        <v>57</v>
      </c>
      <c r="N218" s="1">
        <v>46076</v>
      </c>
      <c r="O218" s="1">
        <v>46135</v>
      </c>
      <c r="P218">
        <f t="shared" si="11"/>
        <v>2</v>
      </c>
      <c r="Q218" s="1" t="s">
        <v>261</v>
      </c>
      <c r="R218" s="1" t="s">
        <v>843</v>
      </c>
      <c r="S218" s="2">
        <v>15</v>
      </c>
      <c r="T218">
        <v>1</v>
      </c>
      <c r="U218" t="s">
        <v>58</v>
      </c>
      <c r="V218" s="3">
        <v>0.38</v>
      </c>
      <c r="W218" t="s">
        <v>60</v>
      </c>
      <c r="X218" t="s">
        <v>262</v>
      </c>
      <c r="Y218" s="2">
        <v>5.7</v>
      </c>
    </row>
    <row r="219" spans="1:30" x14ac:dyDescent="0.3">
      <c r="A219">
        <v>2033773906</v>
      </c>
      <c r="B219" t="s">
        <v>472</v>
      </c>
      <c r="C219" t="s">
        <v>173</v>
      </c>
      <c r="D219" t="str">
        <f t="shared" si="9"/>
        <v>SCOTT PECK</v>
      </c>
      <c r="E219" t="s">
        <v>375</v>
      </c>
      <c r="F219" t="s">
        <v>222</v>
      </c>
      <c r="G219" t="s">
        <v>223</v>
      </c>
      <c r="H219" t="s">
        <v>223</v>
      </c>
      <c r="I219" s="10">
        <v>20003537</v>
      </c>
      <c r="J219" t="s">
        <v>67</v>
      </c>
      <c r="K219" t="s">
        <v>473</v>
      </c>
      <c r="L219" t="str">
        <f t="shared" si="10"/>
        <v>Chad Yale</v>
      </c>
      <c r="M219" t="s">
        <v>57</v>
      </c>
      <c r="N219" s="1">
        <v>46076</v>
      </c>
      <c r="O219" s="1">
        <v>46135</v>
      </c>
      <c r="P219">
        <f t="shared" si="11"/>
        <v>2</v>
      </c>
      <c r="Q219" s="1" t="s">
        <v>261</v>
      </c>
      <c r="R219" s="1" t="s">
        <v>843</v>
      </c>
      <c r="S219" s="2">
        <v>26.82</v>
      </c>
      <c r="T219">
        <v>1</v>
      </c>
      <c r="U219" t="s">
        <v>58</v>
      </c>
      <c r="V219" s="3">
        <v>0.7</v>
      </c>
      <c r="W219" t="s">
        <v>60</v>
      </c>
      <c r="X219" t="s">
        <v>262</v>
      </c>
      <c r="Y219" s="2">
        <v>18.77</v>
      </c>
    </row>
    <row r="220" spans="1:30" x14ac:dyDescent="0.3">
      <c r="A220">
        <v>2033783858</v>
      </c>
      <c r="B220" t="s">
        <v>734</v>
      </c>
      <c r="C220" t="s">
        <v>735</v>
      </c>
      <c r="D220" t="str">
        <f t="shared" si="9"/>
        <v>LINDSEY REYNOLDS</v>
      </c>
      <c r="E220" t="s">
        <v>597</v>
      </c>
      <c r="F220" t="s">
        <v>222</v>
      </c>
      <c r="G220" t="s">
        <v>223</v>
      </c>
      <c r="H220" t="s">
        <v>223</v>
      </c>
      <c r="I220" s="10">
        <v>3333476</v>
      </c>
      <c r="J220" t="s">
        <v>240</v>
      </c>
      <c r="K220" t="s">
        <v>241</v>
      </c>
      <c r="L220" t="str">
        <f t="shared" si="10"/>
        <v>Colleen Jerger</v>
      </c>
      <c r="M220" t="s">
        <v>57</v>
      </c>
      <c r="N220" s="1">
        <v>46074</v>
      </c>
      <c r="O220" s="1">
        <v>46133</v>
      </c>
      <c r="P220">
        <f t="shared" si="11"/>
        <v>2</v>
      </c>
      <c r="Q220" s="1" t="s">
        <v>261</v>
      </c>
      <c r="R220" s="1" t="s">
        <v>843</v>
      </c>
      <c r="S220" s="2">
        <v>35.04</v>
      </c>
      <c r="T220">
        <v>1</v>
      </c>
      <c r="U220" t="s">
        <v>58</v>
      </c>
      <c r="V220" s="3">
        <v>0.7</v>
      </c>
      <c r="W220" t="s">
        <v>60</v>
      </c>
      <c r="X220" t="s">
        <v>262</v>
      </c>
      <c r="Y220" s="2">
        <v>24.53</v>
      </c>
    </row>
    <row r="221" spans="1:30" x14ac:dyDescent="0.3">
      <c r="A221">
        <v>2033886802</v>
      </c>
      <c r="B221" t="s">
        <v>742</v>
      </c>
      <c r="C221" t="s">
        <v>743</v>
      </c>
      <c r="D221" t="str">
        <f t="shared" si="9"/>
        <v>LEE FALCOFF</v>
      </c>
      <c r="E221" t="s">
        <v>64</v>
      </c>
      <c r="F221" t="s">
        <v>222</v>
      </c>
      <c r="G221" t="s">
        <v>223</v>
      </c>
      <c r="H221" t="s">
        <v>223</v>
      </c>
      <c r="I221" s="10">
        <v>9213293</v>
      </c>
      <c r="J221" t="s">
        <v>495</v>
      </c>
      <c r="K221" t="s">
        <v>547</v>
      </c>
      <c r="L221" t="str">
        <f t="shared" si="10"/>
        <v>GARY PORTUGAL</v>
      </c>
      <c r="M221" t="s">
        <v>57</v>
      </c>
      <c r="N221" s="1">
        <v>46079</v>
      </c>
      <c r="O221" s="1">
        <v>46138</v>
      </c>
      <c r="P221">
        <f t="shared" si="11"/>
        <v>2</v>
      </c>
      <c r="Q221" s="1" t="s">
        <v>261</v>
      </c>
      <c r="R221" s="1" t="s">
        <v>843</v>
      </c>
      <c r="S221" s="2">
        <v>45.68</v>
      </c>
      <c r="T221">
        <v>1</v>
      </c>
      <c r="U221" t="s">
        <v>58</v>
      </c>
      <c r="V221" s="3">
        <v>0.7</v>
      </c>
      <c r="W221" t="s">
        <v>60</v>
      </c>
      <c r="X221" t="s">
        <v>262</v>
      </c>
      <c r="Y221" s="2">
        <v>31.98</v>
      </c>
    </row>
    <row r="222" spans="1:30" x14ac:dyDescent="0.3">
      <c r="A222">
        <v>2033778074</v>
      </c>
      <c r="B222" t="s">
        <v>732</v>
      </c>
      <c r="C222" t="s">
        <v>733</v>
      </c>
      <c r="D222" t="str">
        <f t="shared" si="9"/>
        <v>CHASE LARGEN</v>
      </c>
      <c r="E222" t="s">
        <v>205</v>
      </c>
      <c r="F222" t="s">
        <v>250</v>
      </c>
      <c r="G222" t="s">
        <v>762</v>
      </c>
      <c r="H222" t="s">
        <v>810</v>
      </c>
      <c r="I222" s="10">
        <v>8307933</v>
      </c>
      <c r="J222" t="s">
        <v>96</v>
      </c>
      <c r="K222" t="s">
        <v>97</v>
      </c>
      <c r="L222" t="str">
        <f t="shared" si="10"/>
        <v>GREGORY TEIPEL</v>
      </c>
      <c r="M222" t="s">
        <v>57</v>
      </c>
      <c r="N222" s="1">
        <v>46074</v>
      </c>
      <c r="O222" s="1">
        <v>46133</v>
      </c>
      <c r="P222">
        <f t="shared" si="11"/>
        <v>2</v>
      </c>
      <c r="Q222" s="1" t="s">
        <v>261</v>
      </c>
      <c r="R222" s="1" t="s">
        <v>843</v>
      </c>
      <c r="S222" s="2">
        <v>117.75</v>
      </c>
      <c r="T222">
        <v>1</v>
      </c>
      <c r="U222" t="s">
        <v>58</v>
      </c>
      <c r="V222" s="3">
        <v>0.27</v>
      </c>
      <c r="W222" t="s">
        <v>60</v>
      </c>
      <c r="X222" t="s">
        <v>262</v>
      </c>
      <c r="Y222" s="2">
        <v>31.79</v>
      </c>
    </row>
    <row r="223" spans="1:30" x14ac:dyDescent="0.3">
      <c r="A223">
        <v>2033778075</v>
      </c>
      <c r="B223" t="s">
        <v>732</v>
      </c>
      <c r="C223" t="s">
        <v>733</v>
      </c>
      <c r="D223" t="str">
        <f t="shared" si="9"/>
        <v>CHASE LARGEN</v>
      </c>
      <c r="E223" t="s">
        <v>205</v>
      </c>
      <c r="F223" t="s">
        <v>222</v>
      </c>
      <c r="G223" t="s">
        <v>223</v>
      </c>
      <c r="H223" t="s">
        <v>223</v>
      </c>
      <c r="I223" s="10">
        <v>8307933</v>
      </c>
      <c r="J223" t="s">
        <v>96</v>
      </c>
      <c r="K223" t="s">
        <v>97</v>
      </c>
      <c r="L223" t="str">
        <f t="shared" si="10"/>
        <v>GREGORY TEIPEL</v>
      </c>
      <c r="M223" t="s">
        <v>57</v>
      </c>
      <c r="N223" s="1">
        <v>46074</v>
      </c>
      <c r="O223" s="1">
        <v>46133</v>
      </c>
      <c r="P223">
        <f t="shared" si="11"/>
        <v>2</v>
      </c>
      <c r="Q223" s="1" t="s">
        <v>261</v>
      </c>
      <c r="R223" s="1" t="s">
        <v>843</v>
      </c>
      <c r="S223" s="2">
        <v>45.46</v>
      </c>
      <c r="T223">
        <v>1</v>
      </c>
      <c r="U223" t="s">
        <v>58</v>
      </c>
      <c r="V223" s="3">
        <v>0.7</v>
      </c>
      <c r="W223" t="s">
        <v>60</v>
      </c>
      <c r="X223" t="s">
        <v>262</v>
      </c>
      <c r="Y223" s="2">
        <v>31.82</v>
      </c>
    </row>
    <row r="224" spans="1:30" x14ac:dyDescent="0.3">
      <c r="A224">
        <v>2033305008</v>
      </c>
      <c r="B224" t="s">
        <v>724</v>
      </c>
      <c r="C224" t="s">
        <v>725</v>
      </c>
      <c r="D224" t="str">
        <f t="shared" si="9"/>
        <v>VIRGINIA HART</v>
      </c>
      <c r="E224" t="s">
        <v>52</v>
      </c>
      <c r="F224" t="s">
        <v>222</v>
      </c>
      <c r="G224" t="s">
        <v>224</v>
      </c>
      <c r="H224" t="s">
        <v>224</v>
      </c>
      <c r="I224" s="10">
        <v>8307933</v>
      </c>
      <c r="J224" t="s">
        <v>96</v>
      </c>
      <c r="K224" t="s">
        <v>97</v>
      </c>
      <c r="L224" t="str">
        <f t="shared" si="10"/>
        <v>GREGORY TEIPEL</v>
      </c>
      <c r="M224" t="s">
        <v>57</v>
      </c>
      <c r="N224" s="1">
        <v>46074</v>
      </c>
      <c r="O224" s="1">
        <v>46133</v>
      </c>
      <c r="P224">
        <f t="shared" si="11"/>
        <v>2</v>
      </c>
      <c r="Q224" s="1" t="s">
        <v>261</v>
      </c>
      <c r="R224" s="1" t="s">
        <v>843</v>
      </c>
      <c r="S224" s="2">
        <v>51.63</v>
      </c>
      <c r="T224">
        <v>1</v>
      </c>
      <c r="U224" t="s">
        <v>58</v>
      </c>
      <c r="V224" s="3">
        <v>0.9</v>
      </c>
      <c r="W224" t="s">
        <v>60</v>
      </c>
      <c r="X224" t="s">
        <v>262</v>
      </c>
      <c r="Y224" s="2">
        <v>46.47</v>
      </c>
    </row>
    <row r="225" spans="1:25" x14ac:dyDescent="0.3">
      <c r="A225">
        <v>2033835425</v>
      </c>
      <c r="B225" t="s">
        <v>173</v>
      </c>
      <c r="C225" t="s">
        <v>291</v>
      </c>
      <c r="D225" t="str">
        <f t="shared" si="9"/>
        <v>JAMAL SCOTT</v>
      </c>
      <c r="E225" t="s">
        <v>100</v>
      </c>
      <c r="F225" t="s">
        <v>220</v>
      </c>
      <c r="G225" t="s">
        <v>221</v>
      </c>
      <c r="H225" t="s">
        <v>221</v>
      </c>
      <c r="I225" s="10" t="s">
        <v>812</v>
      </c>
      <c r="J225" t="s">
        <v>292</v>
      </c>
      <c r="K225" t="s">
        <v>293</v>
      </c>
      <c r="L225" t="str">
        <f t="shared" si="10"/>
        <v>JOHN ROKEN</v>
      </c>
      <c r="M225" t="s">
        <v>57</v>
      </c>
      <c r="N225" s="1">
        <v>46077</v>
      </c>
      <c r="O225" s="1">
        <v>46136</v>
      </c>
      <c r="P225">
        <f t="shared" si="11"/>
        <v>2</v>
      </c>
      <c r="Q225" s="1" t="s">
        <v>261</v>
      </c>
      <c r="R225" s="1" t="s">
        <v>843</v>
      </c>
      <c r="S225" s="2">
        <v>20.76</v>
      </c>
      <c r="T225">
        <v>1</v>
      </c>
      <c r="U225" t="s">
        <v>58</v>
      </c>
      <c r="V225" s="3">
        <v>0.38</v>
      </c>
      <c r="W225" t="s">
        <v>60</v>
      </c>
      <c r="X225" t="s">
        <v>262</v>
      </c>
      <c r="Y225" s="2">
        <v>7.89</v>
      </c>
    </row>
    <row r="226" spans="1:25" x14ac:dyDescent="0.3">
      <c r="A226">
        <v>2033835426</v>
      </c>
      <c r="B226" t="s">
        <v>173</v>
      </c>
      <c r="C226" t="s">
        <v>291</v>
      </c>
      <c r="D226" t="str">
        <f t="shared" si="9"/>
        <v>JAMAL SCOTT</v>
      </c>
      <c r="E226" t="s">
        <v>100</v>
      </c>
      <c r="F226" t="s">
        <v>53</v>
      </c>
      <c r="G226" t="s">
        <v>54</v>
      </c>
      <c r="H226" t="s">
        <v>54</v>
      </c>
      <c r="I226" s="10" t="s">
        <v>812</v>
      </c>
      <c r="J226" t="s">
        <v>292</v>
      </c>
      <c r="K226" t="s">
        <v>293</v>
      </c>
      <c r="L226" t="str">
        <f t="shared" si="10"/>
        <v>JOHN ROKEN</v>
      </c>
      <c r="M226" t="s">
        <v>57</v>
      </c>
      <c r="N226" s="1">
        <v>46077</v>
      </c>
      <c r="O226" s="1">
        <v>46136</v>
      </c>
      <c r="P226">
        <f t="shared" si="11"/>
        <v>2</v>
      </c>
      <c r="Q226" s="1" t="s">
        <v>261</v>
      </c>
      <c r="R226" s="1" t="s">
        <v>843</v>
      </c>
      <c r="S226" s="2">
        <v>56.69</v>
      </c>
      <c r="T226">
        <v>1</v>
      </c>
      <c r="U226" t="s">
        <v>58</v>
      </c>
      <c r="V226" s="3">
        <v>0.6</v>
      </c>
      <c r="W226" t="s">
        <v>60</v>
      </c>
      <c r="X226" t="s">
        <v>262</v>
      </c>
      <c r="Y226" s="2">
        <v>34.01</v>
      </c>
    </row>
    <row r="227" spans="1:25" x14ac:dyDescent="0.3">
      <c r="A227">
        <v>2033849858</v>
      </c>
      <c r="B227" t="s">
        <v>415</v>
      </c>
      <c r="C227" t="s">
        <v>186</v>
      </c>
      <c r="D227" t="str">
        <f t="shared" si="9"/>
        <v>THOMAS MCDERMOTT</v>
      </c>
      <c r="E227" t="s">
        <v>122</v>
      </c>
      <c r="F227" t="s">
        <v>65</v>
      </c>
      <c r="G227" t="s">
        <v>66</v>
      </c>
      <c r="H227" t="s">
        <v>797</v>
      </c>
      <c r="I227" s="10">
        <v>8977234</v>
      </c>
      <c r="J227" t="s">
        <v>76</v>
      </c>
      <c r="K227" t="s">
        <v>77</v>
      </c>
      <c r="L227" t="str">
        <f t="shared" si="10"/>
        <v>RYAN CALTAGIRONE</v>
      </c>
      <c r="M227" t="s">
        <v>57</v>
      </c>
      <c r="N227" s="1">
        <v>46077</v>
      </c>
      <c r="O227" s="1">
        <v>46136</v>
      </c>
      <c r="P227">
        <f t="shared" si="11"/>
        <v>2</v>
      </c>
      <c r="Q227" s="1" t="s">
        <v>261</v>
      </c>
      <c r="R227" s="1" t="s">
        <v>843</v>
      </c>
      <c r="S227" s="2">
        <v>102.33</v>
      </c>
      <c r="T227">
        <v>1</v>
      </c>
      <c r="U227" t="s">
        <v>58</v>
      </c>
      <c r="V227" s="3">
        <v>0.75</v>
      </c>
      <c r="W227" t="s">
        <v>60</v>
      </c>
      <c r="X227" t="s">
        <v>262</v>
      </c>
      <c r="Y227" s="2">
        <v>76.75</v>
      </c>
    </row>
    <row r="228" spans="1:25" x14ac:dyDescent="0.3">
      <c r="A228">
        <v>2033849859</v>
      </c>
      <c r="B228" t="s">
        <v>415</v>
      </c>
      <c r="C228" t="s">
        <v>186</v>
      </c>
      <c r="D228" t="str">
        <f t="shared" si="9"/>
        <v>THOMAS MCDERMOTT</v>
      </c>
      <c r="E228" t="s">
        <v>122</v>
      </c>
      <c r="F228" t="s">
        <v>222</v>
      </c>
      <c r="G228" t="s">
        <v>223</v>
      </c>
      <c r="H228" t="s">
        <v>223</v>
      </c>
      <c r="I228" s="10">
        <v>8977234</v>
      </c>
      <c r="J228" t="s">
        <v>76</v>
      </c>
      <c r="K228" t="s">
        <v>77</v>
      </c>
      <c r="L228" t="str">
        <f t="shared" si="10"/>
        <v>RYAN CALTAGIRONE</v>
      </c>
      <c r="M228" t="s">
        <v>57</v>
      </c>
      <c r="N228" s="1">
        <v>46077</v>
      </c>
      <c r="O228" s="1">
        <v>46136</v>
      </c>
      <c r="P228">
        <f t="shared" si="11"/>
        <v>2</v>
      </c>
      <c r="Q228" s="1" t="s">
        <v>261</v>
      </c>
      <c r="R228" s="1" t="s">
        <v>843</v>
      </c>
      <c r="S228" s="2">
        <v>137.37</v>
      </c>
      <c r="T228">
        <v>1</v>
      </c>
      <c r="U228" t="s">
        <v>58</v>
      </c>
      <c r="V228" s="3">
        <v>0.7</v>
      </c>
      <c r="W228" t="s">
        <v>60</v>
      </c>
      <c r="X228" t="s">
        <v>262</v>
      </c>
      <c r="Y228" s="2">
        <v>96.16</v>
      </c>
    </row>
    <row r="229" spans="1:25" x14ac:dyDescent="0.3">
      <c r="A229">
        <v>2033221221</v>
      </c>
      <c r="B229" t="s">
        <v>551</v>
      </c>
      <c r="C229" t="s">
        <v>552</v>
      </c>
      <c r="D229" t="str">
        <f t="shared" si="9"/>
        <v>RAUN SUTTON</v>
      </c>
      <c r="E229" t="s">
        <v>74</v>
      </c>
      <c r="F229" t="s">
        <v>222</v>
      </c>
      <c r="G229" t="s">
        <v>223</v>
      </c>
      <c r="H229" t="s">
        <v>223</v>
      </c>
      <c r="I229" s="10" t="s">
        <v>835</v>
      </c>
      <c r="J229" t="s">
        <v>553</v>
      </c>
      <c r="K229" t="s">
        <v>554</v>
      </c>
      <c r="L229" t="str">
        <f t="shared" si="10"/>
        <v>BARRY BRENNER</v>
      </c>
      <c r="M229" t="s">
        <v>57</v>
      </c>
      <c r="N229" s="1">
        <v>46044</v>
      </c>
      <c r="O229" s="1">
        <v>46134</v>
      </c>
      <c r="P229">
        <f t="shared" si="11"/>
        <v>3</v>
      </c>
      <c r="Q229" s="1" t="s">
        <v>261</v>
      </c>
      <c r="R229" s="1" t="s">
        <v>843</v>
      </c>
      <c r="S229" s="2">
        <v>48.76</v>
      </c>
      <c r="T229">
        <v>1</v>
      </c>
      <c r="U229" t="s">
        <v>58</v>
      </c>
      <c r="V229" s="3">
        <v>0.7</v>
      </c>
      <c r="W229" t="s">
        <v>60</v>
      </c>
      <c r="X229" t="s">
        <v>262</v>
      </c>
      <c r="Y229" s="2">
        <v>34.130000000000003</v>
      </c>
    </row>
    <row r="230" spans="1:25" x14ac:dyDescent="0.3">
      <c r="A230">
        <v>2033221544</v>
      </c>
      <c r="B230" t="s">
        <v>555</v>
      </c>
      <c r="C230" t="s">
        <v>556</v>
      </c>
      <c r="D230" t="str">
        <f t="shared" si="9"/>
        <v>LINDA WIDELL</v>
      </c>
      <c r="E230" t="s">
        <v>74</v>
      </c>
      <c r="F230" t="s">
        <v>222</v>
      </c>
      <c r="G230" t="s">
        <v>223</v>
      </c>
      <c r="H230" t="s">
        <v>223</v>
      </c>
      <c r="I230" s="10" t="s">
        <v>835</v>
      </c>
      <c r="J230" t="s">
        <v>553</v>
      </c>
      <c r="K230" t="s">
        <v>554</v>
      </c>
      <c r="L230" t="str">
        <f t="shared" si="10"/>
        <v>BARRY BRENNER</v>
      </c>
      <c r="M230" t="s">
        <v>57</v>
      </c>
      <c r="N230" s="1">
        <v>46044</v>
      </c>
      <c r="O230" s="1">
        <v>46134</v>
      </c>
      <c r="P230">
        <f t="shared" si="11"/>
        <v>3</v>
      </c>
      <c r="Q230" s="1" t="s">
        <v>261</v>
      </c>
      <c r="R230" s="1" t="s">
        <v>843</v>
      </c>
      <c r="S230" s="2">
        <v>13</v>
      </c>
      <c r="T230">
        <v>1</v>
      </c>
      <c r="U230" t="s">
        <v>58</v>
      </c>
      <c r="V230" s="3">
        <v>0.7</v>
      </c>
      <c r="W230" t="s">
        <v>60</v>
      </c>
      <c r="X230" t="s">
        <v>262</v>
      </c>
      <c r="Y230" s="2">
        <v>9.1</v>
      </c>
    </row>
    <row r="231" spans="1:25" x14ac:dyDescent="0.3">
      <c r="A231">
        <v>2033221220</v>
      </c>
      <c r="B231" t="s">
        <v>551</v>
      </c>
      <c r="C231" t="s">
        <v>552</v>
      </c>
      <c r="D231" t="str">
        <f t="shared" si="9"/>
        <v>RAUN SUTTON</v>
      </c>
      <c r="E231" t="s">
        <v>74</v>
      </c>
      <c r="F231" t="s">
        <v>163</v>
      </c>
      <c r="G231" t="s">
        <v>164</v>
      </c>
      <c r="H231" t="s">
        <v>164</v>
      </c>
      <c r="I231" s="10" t="s">
        <v>835</v>
      </c>
      <c r="J231" t="s">
        <v>553</v>
      </c>
      <c r="K231" t="s">
        <v>554</v>
      </c>
      <c r="L231" t="str">
        <f t="shared" si="10"/>
        <v>BARRY BRENNER</v>
      </c>
      <c r="M231" t="s">
        <v>57</v>
      </c>
      <c r="N231" s="1">
        <v>46044</v>
      </c>
      <c r="O231" s="1">
        <v>46134</v>
      </c>
      <c r="P231">
        <f t="shared" si="11"/>
        <v>3</v>
      </c>
      <c r="Q231" s="1" t="s">
        <v>261</v>
      </c>
      <c r="R231" s="1" t="s">
        <v>843</v>
      </c>
      <c r="S231" s="2">
        <v>70.400000000000006</v>
      </c>
      <c r="T231">
        <v>1</v>
      </c>
      <c r="U231" t="s">
        <v>58</v>
      </c>
      <c r="V231" s="4">
        <v>0.375</v>
      </c>
      <c r="W231" t="s">
        <v>60</v>
      </c>
      <c r="X231" t="s">
        <v>262</v>
      </c>
      <c r="Y231" s="2">
        <v>26.4</v>
      </c>
    </row>
    <row r="232" spans="1:25" x14ac:dyDescent="0.3">
      <c r="A232">
        <v>2033221545</v>
      </c>
      <c r="B232" t="s">
        <v>555</v>
      </c>
      <c r="C232" t="s">
        <v>556</v>
      </c>
      <c r="D232" t="str">
        <f t="shared" si="9"/>
        <v>LINDA WIDELL</v>
      </c>
      <c r="E232" t="s">
        <v>74</v>
      </c>
      <c r="F232" t="s">
        <v>163</v>
      </c>
      <c r="G232" t="s">
        <v>164</v>
      </c>
      <c r="H232" t="s">
        <v>164</v>
      </c>
      <c r="I232" s="10" t="s">
        <v>835</v>
      </c>
      <c r="J232" t="s">
        <v>553</v>
      </c>
      <c r="K232" t="s">
        <v>554</v>
      </c>
      <c r="L232" t="str">
        <f t="shared" si="10"/>
        <v>BARRY BRENNER</v>
      </c>
      <c r="M232" t="s">
        <v>57</v>
      </c>
      <c r="N232" s="1">
        <v>46044</v>
      </c>
      <c r="O232" s="1">
        <v>46134</v>
      </c>
      <c r="P232">
        <f t="shared" si="11"/>
        <v>3</v>
      </c>
      <c r="Q232" s="1" t="s">
        <v>261</v>
      </c>
      <c r="R232" s="1" t="s">
        <v>843</v>
      </c>
      <c r="S232" s="2">
        <v>70.400000000000006</v>
      </c>
      <c r="T232">
        <v>1</v>
      </c>
      <c r="U232" t="s">
        <v>58</v>
      </c>
      <c r="V232" s="4">
        <v>0.375</v>
      </c>
      <c r="W232" t="s">
        <v>60</v>
      </c>
      <c r="X232" t="s">
        <v>262</v>
      </c>
      <c r="Y232" s="2">
        <v>26.4</v>
      </c>
    </row>
    <row r="233" spans="1:25" x14ac:dyDescent="0.3">
      <c r="A233">
        <v>2033231625</v>
      </c>
      <c r="B233" t="s">
        <v>777</v>
      </c>
      <c r="C233" t="s">
        <v>186</v>
      </c>
      <c r="D233" t="str">
        <f t="shared" si="9"/>
        <v>THOMAS ENNIS</v>
      </c>
      <c r="E233" t="s">
        <v>64</v>
      </c>
      <c r="F233" t="s">
        <v>256</v>
      </c>
      <c r="G233" t="s">
        <v>257</v>
      </c>
      <c r="H233" t="s">
        <v>257</v>
      </c>
      <c r="I233" s="10" t="s">
        <v>835</v>
      </c>
      <c r="J233" t="s">
        <v>553</v>
      </c>
      <c r="K233" t="s">
        <v>554</v>
      </c>
      <c r="L233" t="str">
        <f t="shared" si="10"/>
        <v>BARRY BRENNER</v>
      </c>
      <c r="M233" t="s">
        <v>57</v>
      </c>
      <c r="N233" s="1">
        <v>46042</v>
      </c>
      <c r="O233" s="1">
        <v>46132</v>
      </c>
      <c r="P233">
        <f t="shared" si="11"/>
        <v>3</v>
      </c>
      <c r="Q233" s="1" t="s">
        <v>261</v>
      </c>
      <c r="R233" s="1" t="s">
        <v>843</v>
      </c>
      <c r="S233" s="2">
        <v>85.58</v>
      </c>
      <c r="T233">
        <v>1</v>
      </c>
      <c r="U233" t="s">
        <v>58</v>
      </c>
      <c r="V233" s="3">
        <v>0.47</v>
      </c>
      <c r="W233" t="s">
        <v>60</v>
      </c>
      <c r="X233" t="s">
        <v>262</v>
      </c>
      <c r="Y233" s="2">
        <v>40.22</v>
      </c>
    </row>
    <row r="234" spans="1:25" x14ac:dyDescent="0.3">
      <c r="A234">
        <v>2033328298</v>
      </c>
      <c r="B234" t="s">
        <v>758</v>
      </c>
      <c r="C234" t="s">
        <v>759</v>
      </c>
      <c r="D234" t="str">
        <f t="shared" si="9"/>
        <v>JANICE AESCHLIMAN</v>
      </c>
      <c r="E234" t="s">
        <v>597</v>
      </c>
      <c r="F234" t="s">
        <v>250</v>
      </c>
      <c r="G234" t="s">
        <v>760</v>
      </c>
      <c r="H234" t="s">
        <v>811</v>
      </c>
      <c r="I234" s="10">
        <v>3333476</v>
      </c>
      <c r="J234" t="s">
        <v>240</v>
      </c>
      <c r="K234" t="s">
        <v>241</v>
      </c>
      <c r="L234" t="str">
        <f t="shared" si="10"/>
        <v>Colleen Jerger</v>
      </c>
      <c r="M234" t="s">
        <v>57</v>
      </c>
      <c r="N234" s="1">
        <v>46049</v>
      </c>
      <c r="O234" s="1">
        <v>46139</v>
      </c>
      <c r="P234">
        <f t="shared" si="11"/>
        <v>3</v>
      </c>
      <c r="Q234" s="1" t="s">
        <v>261</v>
      </c>
      <c r="R234" s="1" t="s">
        <v>843</v>
      </c>
      <c r="S234" s="2">
        <v>431.46</v>
      </c>
      <c r="T234">
        <v>1</v>
      </c>
      <c r="U234" t="s">
        <v>58</v>
      </c>
      <c r="V234" s="3">
        <v>0.24</v>
      </c>
      <c r="W234" t="s">
        <v>60</v>
      </c>
      <c r="X234" t="s">
        <v>262</v>
      </c>
      <c r="Y234" s="2">
        <v>103.55</v>
      </c>
    </row>
    <row r="235" spans="1:25" x14ac:dyDescent="0.3">
      <c r="A235">
        <v>2033328299</v>
      </c>
      <c r="B235" t="s">
        <v>758</v>
      </c>
      <c r="C235" t="s">
        <v>759</v>
      </c>
      <c r="D235" t="str">
        <f t="shared" si="9"/>
        <v>JANICE AESCHLIMAN</v>
      </c>
      <c r="E235" t="s">
        <v>597</v>
      </c>
      <c r="F235" t="s">
        <v>250</v>
      </c>
      <c r="G235" t="s">
        <v>761</v>
      </c>
      <c r="H235" t="s">
        <v>811</v>
      </c>
      <c r="I235" s="10">
        <v>3333476</v>
      </c>
      <c r="J235" t="s">
        <v>240</v>
      </c>
      <c r="K235" t="s">
        <v>241</v>
      </c>
      <c r="L235" t="str">
        <f t="shared" si="10"/>
        <v>Colleen Jerger</v>
      </c>
      <c r="M235" t="s">
        <v>57</v>
      </c>
      <c r="N235" s="1">
        <v>46049</v>
      </c>
      <c r="O235" s="1">
        <v>46139</v>
      </c>
      <c r="P235">
        <f t="shared" si="11"/>
        <v>3</v>
      </c>
      <c r="Q235" s="1" t="s">
        <v>261</v>
      </c>
      <c r="R235" s="1" t="s">
        <v>843</v>
      </c>
      <c r="S235" s="2">
        <v>9.9499999999999993</v>
      </c>
      <c r="T235">
        <v>1</v>
      </c>
      <c r="U235" t="s">
        <v>58</v>
      </c>
      <c r="V235" s="3">
        <v>0.24</v>
      </c>
      <c r="W235" t="s">
        <v>60</v>
      </c>
      <c r="X235" t="s">
        <v>262</v>
      </c>
      <c r="Y235" s="2">
        <v>2.39</v>
      </c>
    </row>
    <row r="236" spans="1:25" x14ac:dyDescent="0.3">
      <c r="A236">
        <v>2032585992</v>
      </c>
      <c r="B236" t="s">
        <v>376</v>
      </c>
      <c r="C236" t="s">
        <v>377</v>
      </c>
      <c r="D236" t="str">
        <f t="shared" si="9"/>
        <v>CHRISTOPHER BAKER</v>
      </c>
      <c r="E236" t="s">
        <v>378</v>
      </c>
      <c r="F236" t="s">
        <v>65</v>
      </c>
      <c r="G236" t="s">
        <v>81</v>
      </c>
      <c r="H236" t="s">
        <v>797</v>
      </c>
      <c r="I236" s="10">
        <v>8307933</v>
      </c>
      <c r="J236" t="s">
        <v>96</v>
      </c>
      <c r="K236" t="s">
        <v>97</v>
      </c>
      <c r="L236" t="str">
        <f t="shared" si="10"/>
        <v>GREGORY TEIPEL</v>
      </c>
      <c r="M236" t="s">
        <v>57</v>
      </c>
      <c r="N236" s="1">
        <v>46043</v>
      </c>
      <c r="O236" s="1">
        <v>46133</v>
      </c>
      <c r="P236">
        <f t="shared" si="11"/>
        <v>3</v>
      </c>
      <c r="Q236" s="1" t="s">
        <v>261</v>
      </c>
      <c r="R236" s="1" t="s">
        <v>843</v>
      </c>
      <c r="S236" s="2">
        <v>32.700000000000003</v>
      </c>
      <c r="T236">
        <v>1</v>
      </c>
      <c r="U236" t="s">
        <v>58</v>
      </c>
      <c r="V236" s="3">
        <v>0.75</v>
      </c>
      <c r="W236" t="s">
        <v>60</v>
      </c>
      <c r="X236" t="s">
        <v>262</v>
      </c>
      <c r="Y236" s="2">
        <v>24.52</v>
      </c>
    </row>
    <row r="237" spans="1:25" x14ac:dyDescent="0.3">
      <c r="A237">
        <v>2032585991</v>
      </c>
      <c r="B237" t="s">
        <v>376</v>
      </c>
      <c r="C237" t="s">
        <v>377</v>
      </c>
      <c r="D237" t="str">
        <f t="shared" si="9"/>
        <v>CHRISTOPHER BAKER</v>
      </c>
      <c r="E237" t="s">
        <v>378</v>
      </c>
      <c r="F237" t="s">
        <v>222</v>
      </c>
      <c r="G237" t="s">
        <v>223</v>
      </c>
      <c r="H237" t="s">
        <v>223</v>
      </c>
      <c r="I237" s="10">
        <v>8307933</v>
      </c>
      <c r="J237" t="s">
        <v>96</v>
      </c>
      <c r="K237" t="s">
        <v>97</v>
      </c>
      <c r="L237" t="str">
        <f t="shared" si="10"/>
        <v>GREGORY TEIPEL</v>
      </c>
      <c r="M237" t="s">
        <v>57</v>
      </c>
      <c r="N237" s="1">
        <v>46043</v>
      </c>
      <c r="O237" s="1">
        <v>46133</v>
      </c>
      <c r="P237">
        <f t="shared" si="11"/>
        <v>3</v>
      </c>
      <c r="Q237" s="1" t="s">
        <v>261</v>
      </c>
      <c r="R237" s="1" t="s">
        <v>843</v>
      </c>
      <c r="S237" s="2">
        <v>53.82</v>
      </c>
      <c r="T237">
        <v>1</v>
      </c>
      <c r="U237" t="s">
        <v>58</v>
      </c>
      <c r="V237" s="3">
        <v>0.7</v>
      </c>
      <c r="W237" t="s">
        <v>60</v>
      </c>
      <c r="X237" t="s">
        <v>262</v>
      </c>
      <c r="Y237" s="2">
        <v>37.67</v>
      </c>
    </row>
    <row r="238" spans="1:25" x14ac:dyDescent="0.3">
      <c r="A238">
        <v>2032585993</v>
      </c>
      <c r="B238" t="s">
        <v>376</v>
      </c>
      <c r="C238" t="s">
        <v>377</v>
      </c>
      <c r="D238" t="str">
        <f t="shared" si="9"/>
        <v>CHRISTOPHER BAKER</v>
      </c>
      <c r="E238" t="s">
        <v>378</v>
      </c>
      <c r="F238" t="s">
        <v>222</v>
      </c>
      <c r="G238" t="s">
        <v>224</v>
      </c>
      <c r="H238" t="s">
        <v>224</v>
      </c>
      <c r="I238" s="10">
        <v>8307933</v>
      </c>
      <c r="J238" t="s">
        <v>96</v>
      </c>
      <c r="K238" t="s">
        <v>97</v>
      </c>
      <c r="L238" t="str">
        <f t="shared" si="10"/>
        <v>GREGORY TEIPEL</v>
      </c>
      <c r="M238" t="s">
        <v>57</v>
      </c>
      <c r="N238" s="1">
        <v>46043</v>
      </c>
      <c r="O238" s="1">
        <v>46133</v>
      </c>
      <c r="P238">
        <f t="shared" si="11"/>
        <v>3</v>
      </c>
      <c r="Q238" s="1" t="s">
        <v>261</v>
      </c>
      <c r="R238" s="1" t="s">
        <v>843</v>
      </c>
      <c r="S238" s="2">
        <v>48.5</v>
      </c>
      <c r="T238">
        <v>1</v>
      </c>
      <c r="U238" t="s">
        <v>58</v>
      </c>
      <c r="V238" s="3">
        <v>0.9</v>
      </c>
      <c r="W238" t="s">
        <v>60</v>
      </c>
      <c r="X238" t="s">
        <v>262</v>
      </c>
      <c r="Y238" s="2">
        <v>43.65</v>
      </c>
    </row>
    <row r="239" spans="1:25" x14ac:dyDescent="0.3">
      <c r="A239">
        <v>2032937977</v>
      </c>
      <c r="B239" t="s">
        <v>385</v>
      </c>
      <c r="C239" t="s">
        <v>314</v>
      </c>
      <c r="D239" t="str">
        <f t="shared" si="9"/>
        <v>MARK WARNER</v>
      </c>
      <c r="E239" t="s">
        <v>139</v>
      </c>
      <c r="F239" t="s">
        <v>65</v>
      </c>
      <c r="G239" t="s">
        <v>66</v>
      </c>
      <c r="H239" t="s">
        <v>797</v>
      </c>
      <c r="I239" s="10">
        <v>8307933</v>
      </c>
      <c r="J239" t="s">
        <v>96</v>
      </c>
      <c r="K239" t="s">
        <v>97</v>
      </c>
      <c r="L239" t="str">
        <f t="shared" si="10"/>
        <v>GREGORY TEIPEL</v>
      </c>
      <c r="M239" t="s">
        <v>57</v>
      </c>
      <c r="N239" s="1">
        <v>46027</v>
      </c>
      <c r="O239" s="1">
        <v>46117</v>
      </c>
      <c r="P239">
        <f t="shared" si="11"/>
        <v>3</v>
      </c>
      <c r="Q239" s="1" t="s">
        <v>261</v>
      </c>
      <c r="R239" s="1" t="s">
        <v>843</v>
      </c>
      <c r="S239" s="2">
        <v>59.64</v>
      </c>
      <c r="T239">
        <v>1</v>
      </c>
      <c r="U239" t="s">
        <v>58</v>
      </c>
      <c r="V239" s="3">
        <v>0.75</v>
      </c>
      <c r="W239" t="s">
        <v>60</v>
      </c>
      <c r="X239" t="s">
        <v>262</v>
      </c>
      <c r="Y239" s="2">
        <v>44.73</v>
      </c>
    </row>
    <row r="240" spans="1:25" x14ac:dyDescent="0.3">
      <c r="A240">
        <v>2032937978</v>
      </c>
      <c r="B240" t="s">
        <v>385</v>
      </c>
      <c r="C240" t="s">
        <v>314</v>
      </c>
      <c r="D240" t="str">
        <f t="shared" si="9"/>
        <v>MARK WARNER</v>
      </c>
      <c r="E240" t="s">
        <v>139</v>
      </c>
      <c r="F240" t="s">
        <v>222</v>
      </c>
      <c r="G240" t="s">
        <v>223</v>
      </c>
      <c r="H240" t="s">
        <v>223</v>
      </c>
      <c r="I240" s="10">
        <v>8307933</v>
      </c>
      <c r="J240" t="s">
        <v>96</v>
      </c>
      <c r="K240" t="s">
        <v>97</v>
      </c>
      <c r="L240" t="str">
        <f t="shared" si="10"/>
        <v>GREGORY TEIPEL</v>
      </c>
      <c r="M240" t="s">
        <v>57</v>
      </c>
      <c r="N240" s="1">
        <v>46027</v>
      </c>
      <c r="O240" s="1">
        <v>46117</v>
      </c>
      <c r="P240">
        <f t="shared" si="11"/>
        <v>3</v>
      </c>
      <c r="Q240" s="1" t="s">
        <v>261</v>
      </c>
      <c r="R240" s="1" t="s">
        <v>843</v>
      </c>
      <c r="S240" s="2">
        <v>30.68</v>
      </c>
      <c r="T240">
        <v>1</v>
      </c>
      <c r="U240" t="s">
        <v>58</v>
      </c>
      <c r="V240" s="3">
        <v>0.7</v>
      </c>
      <c r="W240" t="s">
        <v>60</v>
      </c>
      <c r="X240" t="s">
        <v>262</v>
      </c>
      <c r="Y240" s="2">
        <v>21.48</v>
      </c>
    </row>
    <row r="241" spans="1:25" x14ac:dyDescent="0.3">
      <c r="A241">
        <v>2033245539</v>
      </c>
      <c r="B241" t="s">
        <v>401</v>
      </c>
      <c r="C241" t="s">
        <v>116</v>
      </c>
      <c r="D241" t="str">
        <f t="shared" si="9"/>
        <v>MATTHEW LATHAM</v>
      </c>
      <c r="E241" t="s">
        <v>86</v>
      </c>
      <c r="F241" t="s">
        <v>65</v>
      </c>
      <c r="G241" t="s">
        <v>66</v>
      </c>
      <c r="H241" t="s">
        <v>797</v>
      </c>
      <c r="I241" s="10" t="s">
        <v>821</v>
      </c>
      <c r="J241" t="s">
        <v>125</v>
      </c>
      <c r="K241" t="s">
        <v>126</v>
      </c>
      <c r="L241" t="str">
        <f t="shared" si="10"/>
        <v>Jake Shulman</v>
      </c>
      <c r="M241" t="s">
        <v>57</v>
      </c>
      <c r="N241" s="1">
        <v>46043</v>
      </c>
      <c r="O241" s="1">
        <v>46133</v>
      </c>
      <c r="P241">
        <f t="shared" si="11"/>
        <v>3</v>
      </c>
      <c r="Q241" s="1" t="s">
        <v>261</v>
      </c>
      <c r="R241" s="1" t="s">
        <v>843</v>
      </c>
      <c r="S241" s="2">
        <v>9.1300000000000008</v>
      </c>
      <c r="T241">
        <v>1</v>
      </c>
      <c r="U241" t="s">
        <v>58</v>
      </c>
      <c r="V241" s="3">
        <v>0.75</v>
      </c>
      <c r="W241" t="s">
        <v>60</v>
      </c>
      <c r="X241" t="s">
        <v>262</v>
      </c>
      <c r="Y241" s="2">
        <v>6.85</v>
      </c>
    </row>
    <row r="242" spans="1:25" x14ac:dyDescent="0.3">
      <c r="A242">
        <v>2033245542</v>
      </c>
      <c r="B242" t="s">
        <v>401</v>
      </c>
      <c r="C242" t="s">
        <v>116</v>
      </c>
      <c r="D242" t="str">
        <f t="shared" si="9"/>
        <v>MATTHEW LATHAM</v>
      </c>
      <c r="E242" t="s">
        <v>86</v>
      </c>
      <c r="F242" t="s">
        <v>157</v>
      </c>
      <c r="G242" t="s">
        <v>425</v>
      </c>
      <c r="H242" t="s">
        <v>808</v>
      </c>
      <c r="I242" s="10" t="s">
        <v>821</v>
      </c>
      <c r="J242" t="s">
        <v>125</v>
      </c>
      <c r="K242" t="s">
        <v>126</v>
      </c>
      <c r="L242" t="str">
        <f t="shared" si="10"/>
        <v>Jake Shulman</v>
      </c>
      <c r="M242" t="s">
        <v>57</v>
      </c>
      <c r="N242" s="1">
        <v>46043</v>
      </c>
      <c r="O242" s="1">
        <v>46133</v>
      </c>
      <c r="P242">
        <f t="shared" si="11"/>
        <v>3</v>
      </c>
      <c r="Q242" s="1" t="s">
        <v>261</v>
      </c>
      <c r="R242" s="1" t="s">
        <v>843</v>
      </c>
      <c r="S242" s="2">
        <v>15</v>
      </c>
      <c r="T242">
        <v>1</v>
      </c>
      <c r="U242" t="s">
        <v>58</v>
      </c>
      <c r="V242" s="3">
        <v>0.28999999999999998</v>
      </c>
      <c r="W242" t="s">
        <v>60</v>
      </c>
      <c r="X242" t="s">
        <v>262</v>
      </c>
      <c r="Y242" s="2">
        <v>4.3499999999999996</v>
      </c>
    </row>
    <row r="243" spans="1:25" x14ac:dyDescent="0.3">
      <c r="A243">
        <v>2033245537</v>
      </c>
      <c r="B243" t="s">
        <v>401</v>
      </c>
      <c r="C243" t="s">
        <v>116</v>
      </c>
      <c r="D243" t="str">
        <f t="shared" si="9"/>
        <v>MATTHEW LATHAM</v>
      </c>
      <c r="E243" t="s">
        <v>86</v>
      </c>
      <c r="F243" t="s">
        <v>250</v>
      </c>
      <c r="G243" t="s">
        <v>757</v>
      </c>
      <c r="H243" t="s">
        <v>757</v>
      </c>
      <c r="I243" s="10" t="s">
        <v>821</v>
      </c>
      <c r="J243" t="s">
        <v>125</v>
      </c>
      <c r="K243" t="s">
        <v>126</v>
      </c>
      <c r="L243" t="str">
        <f t="shared" si="10"/>
        <v>Jake Shulman</v>
      </c>
      <c r="M243" t="s">
        <v>57</v>
      </c>
      <c r="N243" s="1">
        <v>46043</v>
      </c>
      <c r="O243" s="1">
        <v>46133</v>
      </c>
      <c r="P243">
        <f t="shared" si="11"/>
        <v>3</v>
      </c>
      <c r="Q243" s="1" t="s">
        <v>261</v>
      </c>
      <c r="R243" s="1" t="s">
        <v>843</v>
      </c>
      <c r="S243" s="2">
        <v>120.16</v>
      </c>
      <c r="T243">
        <v>1</v>
      </c>
      <c r="U243" t="s">
        <v>58</v>
      </c>
      <c r="V243" s="3">
        <v>0.28999999999999998</v>
      </c>
      <c r="W243" t="s">
        <v>60</v>
      </c>
      <c r="X243" t="s">
        <v>262</v>
      </c>
      <c r="Y243" s="2">
        <v>34.85</v>
      </c>
    </row>
    <row r="244" spans="1:25" x14ac:dyDescent="0.3">
      <c r="A244">
        <v>2033245538</v>
      </c>
      <c r="B244" t="s">
        <v>401</v>
      </c>
      <c r="C244" t="s">
        <v>116</v>
      </c>
      <c r="D244" t="str">
        <f t="shared" si="9"/>
        <v>MATTHEW LATHAM</v>
      </c>
      <c r="E244" t="s">
        <v>86</v>
      </c>
      <c r="F244" t="s">
        <v>222</v>
      </c>
      <c r="G244" t="s">
        <v>223</v>
      </c>
      <c r="H244" t="s">
        <v>223</v>
      </c>
      <c r="I244" s="10" t="s">
        <v>821</v>
      </c>
      <c r="J244" t="s">
        <v>125</v>
      </c>
      <c r="K244" t="s">
        <v>126</v>
      </c>
      <c r="L244" t="str">
        <f t="shared" si="10"/>
        <v>Jake Shulman</v>
      </c>
      <c r="M244" t="s">
        <v>57</v>
      </c>
      <c r="N244" s="1">
        <v>46043</v>
      </c>
      <c r="O244" s="1">
        <v>46133</v>
      </c>
      <c r="P244">
        <f t="shared" si="11"/>
        <v>3</v>
      </c>
      <c r="Q244" s="1" t="s">
        <v>261</v>
      </c>
      <c r="R244" s="1" t="s">
        <v>843</v>
      </c>
      <c r="S244" s="2">
        <v>18.350000000000001</v>
      </c>
      <c r="T244">
        <v>1</v>
      </c>
      <c r="U244" t="s">
        <v>58</v>
      </c>
      <c r="V244" s="3">
        <v>0.7</v>
      </c>
      <c r="W244" t="s">
        <v>60</v>
      </c>
      <c r="X244" t="s">
        <v>262</v>
      </c>
      <c r="Y244" s="2">
        <v>12.84</v>
      </c>
    </row>
    <row r="245" spans="1:25" x14ac:dyDescent="0.3">
      <c r="A245">
        <v>2033245540</v>
      </c>
      <c r="B245" t="s">
        <v>401</v>
      </c>
      <c r="C245" t="s">
        <v>116</v>
      </c>
      <c r="D245" t="str">
        <f t="shared" si="9"/>
        <v>MATTHEW LATHAM</v>
      </c>
      <c r="E245" t="s">
        <v>86</v>
      </c>
      <c r="F245" t="s">
        <v>163</v>
      </c>
      <c r="G245" t="s">
        <v>164</v>
      </c>
      <c r="H245" t="s">
        <v>164</v>
      </c>
      <c r="I245" s="10" t="s">
        <v>821</v>
      </c>
      <c r="J245" t="s">
        <v>125</v>
      </c>
      <c r="K245" t="s">
        <v>126</v>
      </c>
      <c r="L245" t="str">
        <f t="shared" si="10"/>
        <v>Jake Shulman</v>
      </c>
      <c r="M245" t="s">
        <v>57</v>
      </c>
      <c r="N245" s="1">
        <v>46043</v>
      </c>
      <c r="O245" s="1">
        <v>46133</v>
      </c>
      <c r="P245">
        <f t="shared" si="11"/>
        <v>3</v>
      </c>
      <c r="Q245" s="1" t="s">
        <v>261</v>
      </c>
      <c r="R245" s="1" t="s">
        <v>843</v>
      </c>
      <c r="S245" s="2">
        <v>16.39</v>
      </c>
      <c r="T245">
        <v>1</v>
      </c>
      <c r="U245" t="s">
        <v>58</v>
      </c>
      <c r="V245" s="4">
        <v>0.375</v>
      </c>
      <c r="W245" t="s">
        <v>60</v>
      </c>
      <c r="X245" t="s">
        <v>262</v>
      </c>
      <c r="Y245" s="2">
        <v>6.15</v>
      </c>
    </row>
    <row r="246" spans="1:25" x14ac:dyDescent="0.3">
      <c r="A246">
        <v>2033245541</v>
      </c>
      <c r="B246" t="s">
        <v>401</v>
      </c>
      <c r="C246" t="s">
        <v>116</v>
      </c>
      <c r="D246" t="str">
        <f t="shared" si="9"/>
        <v>MATTHEW LATHAM</v>
      </c>
      <c r="E246" t="s">
        <v>86</v>
      </c>
      <c r="F246" t="s">
        <v>222</v>
      </c>
      <c r="G246" t="s">
        <v>224</v>
      </c>
      <c r="H246" t="s">
        <v>224</v>
      </c>
      <c r="I246" s="10" t="s">
        <v>821</v>
      </c>
      <c r="J246" t="s">
        <v>125</v>
      </c>
      <c r="K246" t="s">
        <v>126</v>
      </c>
      <c r="L246" t="str">
        <f t="shared" si="10"/>
        <v>Jake Shulman</v>
      </c>
      <c r="M246" t="s">
        <v>57</v>
      </c>
      <c r="N246" s="1">
        <v>46043</v>
      </c>
      <c r="O246" s="1">
        <v>46133</v>
      </c>
      <c r="P246">
        <f t="shared" si="11"/>
        <v>3</v>
      </c>
      <c r="Q246" s="1" t="s">
        <v>261</v>
      </c>
      <c r="R246" s="1" t="s">
        <v>843</v>
      </c>
      <c r="S246" s="2">
        <v>9.0500000000000007</v>
      </c>
      <c r="T246">
        <v>1</v>
      </c>
      <c r="U246" t="s">
        <v>58</v>
      </c>
      <c r="V246" s="3">
        <v>0.9</v>
      </c>
      <c r="W246" t="s">
        <v>60</v>
      </c>
      <c r="X246" t="s">
        <v>262</v>
      </c>
      <c r="Y246" s="2">
        <v>8.14</v>
      </c>
    </row>
    <row r="247" spans="1:25" x14ac:dyDescent="0.3">
      <c r="A247">
        <v>2032878356</v>
      </c>
      <c r="B247" t="s">
        <v>570</v>
      </c>
      <c r="C247" t="s">
        <v>571</v>
      </c>
      <c r="D247" t="str">
        <f t="shared" si="9"/>
        <v>NATHANIEL COBLER</v>
      </c>
      <c r="E247" t="s">
        <v>52</v>
      </c>
      <c r="F247" t="s">
        <v>220</v>
      </c>
      <c r="G247" t="s">
        <v>568</v>
      </c>
      <c r="H247" t="s">
        <v>806</v>
      </c>
      <c r="I247" s="10">
        <v>20411454</v>
      </c>
      <c r="J247" t="s">
        <v>572</v>
      </c>
      <c r="K247" t="s">
        <v>573</v>
      </c>
      <c r="L247" t="s">
        <v>841</v>
      </c>
      <c r="M247" t="s">
        <v>57</v>
      </c>
      <c r="N247" s="1">
        <v>46046</v>
      </c>
      <c r="O247" s="1">
        <v>46136</v>
      </c>
      <c r="P247">
        <f t="shared" si="11"/>
        <v>3</v>
      </c>
      <c r="Q247" s="1" t="s">
        <v>261</v>
      </c>
      <c r="R247" s="1" t="s">
        <v>843</v>
      </c>
      <c r="S247" s="2">
        <v>19.05</v>
      </c>
      <c r="T247">
        <v>1</v>
      </c>
      <c r="U247" t="s">
        <v>58</v>
      </c>
      <c r="V247" s="3">
        <v>0.08</v>
      </c>
      <c r="W247" t="s">
        <v>60</v>
      </c>
      <c r="X247" t="s">
        <v>262</v>
      </c>
      <c r="Y247" s="2">
        <v>19.05</v>
      </c>
    </row>
    <row r="248" spans="1:25" x14ac:dyDescent="0.3">
      <c r="A248">
        <v>2032878357</v>
      </c>
      <c r="B248" t="s">
        <v>570</v>
      </c>
      <c r="C248" t="s">
        <v>571</v>
      </c>
      <c r="D248" t="str">
        <f t="shared" si="9"/>
        <v>NATHANIEL COBLER</v>
      </c>
      <c r="E248" t="s">
        <v>52</v>
      </c>
      <c r="F248" t="s">
        <v>220</v>
      </c>
      <c r="G248" t="s">
        <v>569</v>
      </c>
      <c r="H248" t="s">
        <v>806</v>
      </c>
      <c r="I248" s="10">
        <v>20411454</v>
      </c>
      <c r="J248" t="s">
        <v>572</v>
      </c>
      <c r="K248" t="s">
        <v>573</v>
      </c>
      <c r="L248" t="s">
        <v>841</v>
      </c>
      <c r="M248" t="s">
        <v>57</v>
      </c>
      <c r="N248" s="1">
        <v>46046</v>
      </c>
      <c r="O248" s="1">
        <v>46136</v>
      </c>
      <c r="P248">
        <f t="shared" si="11"/>
        <v>3</v>
      </c>
      <c r="Q248" s="1" t="s">
        <v>261</v>
      </c>
      <c r="R248" s="1" t="s">
        <v>843</v>
      </c>
      <c r="S248" s="2">
        <v>0.56999999999999995</v>
      </c>
      <c r="T248">
        <v>1</v>
      </c>
      <c r="U248" t="s">
        <v>58</v>
      </c>
      <c r="V248" s="3">
        <v>0.08</v>
      </c>
      <c r="W248" t="s">
        <v>60</v>
      </c>
      <c r="X248" t="s">
        <v>262</v>
      </c>
      <c r="Y248" s="2">
        <v>0.56999999999999995</v>
      </c>
    </row>
    <row r="249" spans="1:25" x14ac:dyDescent="0.3">
      <c r="A249">
        <v>2033180564</v>
      </c>
      <c r="B249" t="s">
        <v>394</v>
      </c>
      <c r="C249" t="s">
        <v>395</v>
      </c>
      <c r="D249" t="str">
        <f t="shared" si="9"/>
        <v>RUSSELL NIX</v>
      </c>
      <c r="E249" t="s">
        <v>74</v>
      </c>
      <c r="F249" t="s">
        <v>65</v>
      </c>
      <c r="G249" t="s">
        <v>66</v>
      </c>
      <c r="H249" t="s">
        <v>797</v>
      </c>
      <c r="I249" s="10">
        <v>1706194</v>
      </c>
      <c r="J249" t="s">
        <v>146</v>
      </c>
      <c r="K249" t="s">
        <v>116</v>
      </c>
      <c r="L249" t="str">
        <f t="shared" ref="L249:L292" si="12">_xlfn.CONCAT(K249," ",J249)</f>
        <v>MATTHEW DAUGHERTY</v>
      </c>
      <c r="M249" t="s">
        <v>57</v>
      </c>
      <c r="N249" s="1">
        <v>46046</v>
      </c>
      <c r="O249" s="1">
        <v>46136</v>
      </c>
      <c r="P249">
        <f t="shared" si="11"/>
        <v>3</v>
      </c>
      <c r="Q249" s="1" t="s">
        <v>261</v>
      </c>
      <c r="R249" s="1" t="s">
        <v>843</v>
      </c>
      <c r="S249" s="2">
        <v>108.13</v>
      </c>
      <c r="T249">
        <v>1</v>
      </c>
      <c r="U249" t="s">
        <v>58</v>
      </c>
      <c r="V249" s="3">
        <v>0.75</v>
      </c>
      <c r="W249" t="s">
        <v>60</v>
      </c>
      <c r="X249" t="s">
        <v>262</v>
      </c>
      <c r="Y249" s="2">
        <v>81.099999999999994</v>
      </c>
    </row>
    <row r="250" spans="1:25" x14ac:dyDescent="0.3">
      <c r="A250">
        <v>2033180565</v>
      </c>
      <c r="B250" t="s">
        <v>394</v>
      </c>
      <c r="C250" t="s">
        <v>395</v>
      </c>
      <c r="D250" t="str">
        <f t="shared" si="9"/>
        <v>RUSSELL NIX</v>
      </c>
      <c r="E250" t="s">
        <v>74</v>
      </c>
      <c r="F250" t="s">
        <v>222</v>
      </c>
      <c r="G250" t="s">
        <v>223</v>
      </c>
      <c r="H250" t="s">
        <v>223</v>
      </c>
      <c r="I250" s="10">
        <v>1706194</v>
      </c>
      <c r="J250" t="s">
        <v>146</v>
      </c>
      <c r="K250" t="s">
        <v>116</v>
      </c>
      <c r="L250" t="str">
        <f t="shared" si="12"/>
        <v>MATTHEW DAUGHERTY</v>
      </c>
      <c r="M250" t="s">
        <v>57</v>
      </c>
      <c r="N250" s="1">
        <v>46046</v>
      </c>
      <c r="O250" s="1">
        <v>46136</v>
      </c>
      <c r="P250">
        <f t="shared" si="11"/>
        <v>3</v>
      </c>
      <c r="Q250" s="1" t="s">
        <v>261</v>
      </c>
      <c r="R250" s="1" t="s">
        <v>843</v>
      </c>
      <c r="S250" s="2">
        <v>50.24</v>
      </c>
      <c r="T250">
        <v>1</v>
      </c>
      <c r="U250" t="s">
        <v>58</v>
      </c>
      <c r="V250" s="3">
        <v>0.7</v>
      </c>
      <c r="W250" t="s">
        <v>60</v>
      </c>
      <c r="X250" t="s">
        <v>262</v>
      </c>
      <c r="Y250" s="2">
        <v>35.17</v>
      </c>
    </row>
    <row r="251" spans="1:25" x14ac:dyDescent="0.3">
      <c r="A251">
        <v>2032703288</v>
      </c>
      <c r="B251" t="s">
        <v>379</v>
      </c>
      <c r="C251" t="s">
        <v>380</v>
      </c>
      <c r="D251" t="str">
        <f t="shared" si="9"/>
        <v>BRYAN GIBSON</v>
      </c>
      <c r="E251" t="s">
        <v>74</v>
      </c>
      <c r="F251" t="s">
        <v>65</v>
      </c>
      <c r="G251" t="s">
        <v>66</v>
      </c>
      <c r="H251" t="s">
        <v>797</v>
      </c>
      <c r="I251" s="10">
        <v>1706194</v>
      </c>
      <c r="J251" t="s">
        <v>146</v>
      </c>
      <c r="K251" t="s">
        <v>116</v>
      </c>
      <c r="L251" t="str">
        <f t="shared" si="12"/>
        <v>MATTHEW DAUGHERTY</v>
      </c>
      <c r="M251" t="s">
        <v>57</v>
      </c>
      <c r="N251" s="1">
        <v>46023</v>
      </c>
      <c r="O251" s="1">
        <v>46113</v>
      </c>
      <c r="P251">
        <f t="shared" si="11"/>
        <v>3</v>
      </c>
      <c r="Q251" s="1" t="s">
        <v>261</v>
      </c>
      <c r="R251" s="1" t="s">
        <v>843</v>
      </c>
      <c r="S251" s="2">
        <v>74.11</v>
      </c>
      <c r="T251">
        <v>1</v>
      </c>
      <c r="U251" t="s">
        <v>58</v>
      </c>
      <c r="V251" s="3">
        <v>0.75</v>
      </c>
      <c r="W251" t="s">
        <v>60</v>
      </c>
      <c r="X251" t="s">
        <v>262</v>
      </c>
      <c r="Y251" s="2">
        <v>55.58</v>
      </c>
    </row>
    <row r="252" spans="1:25" x14ac:dyDescent="0.3">
      <c r="A252">
        <v>2032703289</v>
      </c>
      <c r="B252" t="s">
        <v>379</v>
      </c>
      <c r="C252" t="s">
        <v>380</v>
      </c>
      <c r="D252" t="str">
        <f t="shared" si="9"/>
        <v>BRYAN GIBSON</v>
      </c>
      <c r="E252" t="s">
        <v>74</v>
      </c>
      <c r="F252" t="s">
        <v>222</v>
      </c>
      <c r="G252" t="s">
        <v>223</v>
      </c>
      <c r="H252" t="s">
        <v>223</v>
      </c>
      <c r="I252" s="10">
        <v>1706194</v>
      </c>
      <c r="J252" t="s">
        <v>146</v>
      </c>
      <c r="K252" t="s">
        <v>116</v>
      </c>
      <c r="L252" t="str">
        <f t="shared" si="12"/>
        <v>MATTHEW DAUGHERTY</v>
      </c>
      <c r="M252" t="s">
        <v>57</v>
      </c>
      <c r="N252" s="1">
        <v>46023</v>
      </c>
      <c r="O252" s="1">
        <v>46113</v>
      </c>
      <c r="P252">
        <f t="shared" si="11"/>
        <v>3</v>
      </c>
      <c r="Q252" s="1" t="s">
        <v>261</v>
      </c>
      <c r="R252" s="1" t="s">
        <v>843</v>
      </c>
      <c r="S252" s="2">
        <v>172.75</v>
      </c>
      <c r="T252">
        <v>1</v>
      </c>
      <c r="U252" t="s">
        <v>58</v>
      </c>
      <c r="V252" s="3">
        <v>0.7</v>
      </c>
      <c r="W252" t="s">
        <v>60</v>
      </c>
      <c r="X252" t="s">
        <v>262</v>
      </c>
      <c r="Y252" s="2">
        <v>120.92</v>
      </c>
    </row>
    <row r="253" spans="1:25" x14ac:dyDescent="0.3">
      <c r="A253">
        <v>2033263674</v>
      </c>
      <c r="B253" t="s">
        <v>242</v>
      </c>
      <c r="C253" t="s">
        <v>719</v>
      </c>
      <c r="D253" t="str">
        <f t="shared" si="9"/>
        <v>MARIAH SMITH</v>
      </c>
      <c r="E253" t="s">
        <v>103</v>
      </c>
      <c r="F253" t="s">
        <v>222</v>
      </c>
      <c r="G253" t="s">
        <v>227</v>
      </c>
      <c r="H253" t="s">
        <v>590</v>
      </c>
      <c r="I253" s="10">
        <v>20872981</v>
      </c>
      <c r="J253" t="s">
        <v>104</v>
      </c>
      <c r="K253" t="s">
        <v>105</v>
      </c>
      <c r="L253" t="str">
        <f t="shared" si="12"/>
        <v>Robert Adcock</v>
      </c>
      <c r="M253" t="s">
        <v>57</v>
      </c>
      <c r="N253" s="1">
        <v>46045</v>
      </c>
      <c r="O253" s="1">
        <v>46135</v>
      </c>
      <c r="P253">
        <f t="shared" si="11"/>
        <v>3</v>
      </c>
      <c r="Q253" s="1" t="s">
        <v>261</v>
      </c>
      <c r="R253" s="1" t="s">
        <v>843</v>
      </c>
      <c r="S253" s="2">
        <v>24.61</v>
      </c>
      <c r="T253">
        <v>1</v>
      </c>
      <c r="U253" t="s">
        <v>58</v>
      </c>
      <c r="V253" s="3">
        <v>0.7</v>
      </c>
      <c r="W253" t="s">
        <v>60</v>
      </c>
      <c r="X253" t="s">
        <v>262</v>
      </c>
      <c r="Y253" s="2">
        <v>17.23</v>
      </c>
    </row>
    <row r="254" spans="1:25" x14ac:dyDescent="0.3">
      <c r="A254">
        <v>2033263675</v>
      </c>
      <c r="B254" t="s">
        <v>242</v>
      </c>
      <c r="C254" t="s">
        <v>719</v>
      </c>
      <c r="D254" t="str">
        <f t="shared" si="9"/>
        <v>MARIAH SMITH</v>
      </c>
      <c r="E254" t="s">
        <v>103</v>
      </c>
      <c r="F254" t="s">
        <v>222</v>
      </c>
      <c r="G254" t="s">
        <v>224</v>
      </c>
      <c r="H254" t="s">
        <v>224</v>
      </c>
      <c r="I254" s="10">
        <v>20872981</v>
      </c>
      <c r="J254" t="s">
        <v>104</v>
      </c>
      <c r="K254" t="s">
        <v>105</v>
      </c>
      <c r="L254" t="str">
        <f t="shared" si="12"/>
        <v>Robert Adcock</v>
      </c>
      <c r="M254" t="s">
        <v>57</v>
      </c>
      <c r="N254" s="1">
        <v>46045</v>
      </c>
      <c r="O254" s="1">
        <v>46135</v>
      </c>
      <c r="P254">
        <f t="shared" si="11"/>
        <v>3</v>
      </c>
      <c r="Q254" s="1" t="s">
        <v>261</v>
      </c>
      <c r="R254" s="1" t="s">
        <v>843</v>
      </c>
      <c r="S254" s="2">
        <v>21.83</v>
      </c>
      <c r="T254">
        <v>1</v>
      </c>
      <c r="U254" t="s">
        <v>58</v>
      </c>
      <c r="V254" s="3">
        <v>0.9</v>
      </c>
      <c r="W254" t="s">
        <v>60</v>
      </c>
      <c r="X254" t="s">
        <v>262</v>
      </c>
      <c r="Y254" s="2">
        <v>19.649999999999999</v>
      </c>
    </row>
    <row r="255" spans="1:25" x14ac:dyDescent="0.3">
      <c r="A255">
        <v>2033232751</v>
      </c>
      <c r="B255" t="s">
        <v>400</v>
      </c>
      <c r="C255" t="s">
        <v>99</v>
      </c>
      <c r="D255" t="str">
        <f t="shared" si="9"/>
        <v>DAVID MARTIN</v>
      </c>
      <c r="E255" t="s">
        <v>103</v>
      </c>
      <c r="F255" t="s">
        <v>222</v>
      </c>
      <c r="G255" t="s">
        <v>227</v>
      </c>
      <c r="H255" t="s">
        <v>590</v>
      </c>
      <c r="I255" s="10">
        <v>5442438</v>
      </c>
      <c r="J255" t="s">
        <v>149</v>
      </c>
      <c r="K255" t="s">
        <v>150</v>
      </c>
      <c r="L255" t="str">
        <f t="shared" si="12"/>
        <v>Ronald Max</v>
      </c>
      <c r="M255" t="s">
        <v>57</v>
      </c>
      <c r="N255" s="1">
        <v>46048</v>
      </c>
      <c r="O255" s="1">
        <v>46138</v>
      </c>
      <c r="P255">
        <f t="shared" si="11"/>
        <v>3</v>
      </c>
      <c r="Q255" s="1" t="s">
        <v>261</v>
      </c>
      <c r="R255" s="1" t="s">
        <v>843</v>
      </c>
      <c r="S255" s="2">
        <v>24.61</v>
      </c>
      <c r="T255">
        <v>1</v>
      </c>
      <c r="U255" t="s">
        <v>58</v>
      </c>
      <c r="V255" s="3">
        <v>0.7</v>
      </c>
      <c r="W255" t="s">
        <v>60</v>
      </c>
      <c r="X255" t="s">
        <v>262</v>
      </c>
      <c r="Y255" s="2">
        <v>17.23</v>
      </c>
    </row>
    <row r="256" spans="1:25" x14ac:dyDescent="0.3">
      <c r="A256">
        <v>2033232752</v>
      </c>
      <c r="B256" t="s">
        <v>400</v>
      </c>
      <c r="C256" t="s">
        <v>99</v>
      </c>
      <c r="D256" t="str">
        <f t="shared" si="9"/>
        <v>DAVID MARTIN</v>
      </c>
      <c r="E256" t="s">
        <v>103</v>
      </c>
      <c r="F256" t="s">
        <v>65</v>
      </c>
      <c r="G256" t="s">
        <v>71</v>
      </c>
      <c r="H256" t="s">
        <v>796</v>
      </c>
      <c r="I256" s="10">
        <v>5442438</v>
      </c>
      <c r="J256" t="s">
        <v>149</v>
      </c>
      <c r="K256" t="s">
        <v>150</v>
      </c>
      <c r="L256" t="str">
        <f t="shared" si="12"/>
        <v>Ronald Max</v>
      </c>
      <c r="M256" t="s">
        <v>57</v>
      </c>
      <c r="N256" s="1">
        <v>46048</v>
      </c>
      <c r="O256" s="1">
        <v>46138</v>
      </c>
      <c r="P256">
        <f t="shared" si="11"/>
        <v>3</v>
      </c>
      <c r="Q256" s="1" t="s">
        <v>261</v>
      </c>
      <c r="R256" s="1" t="s">
        <v>843</v>
      </c>
      <c r="S256" s="2">
        <v>113.13</v>
      </c>
      <c r="T256">
        <v>1</v>
      </c>
      <c r="U256" t="s">
        <v>58</v>
      </c>
      <c r="V256" s="3">
        <v>0.9</v>
      </c>
      <c r="W256" t="s">
        <v>60</v>
      </c>
      <c r="X256" t="s">
        <v>262</v>
      </c>
      <c r="Y256" s="2">
        <v>101.82</v>
      </c>
    </row>
    <row r="257" spans="1:25" x14ac:dyDescent="0.3">
      <c r="A257">
        <v>2033072264</v>
      </c>
      <c r="B257" t="s">
        <v>388</v>
      </c>
      <c r="C257" t="s">
        <v>389</v>
      </c>
      <c r="D257" t="str">
        <f t="shared" si="9"/>
        <v>AMY DUARTE</v>
      </c>
      <c r="E257" t="s">
        <v>64</v>
      </c>
      <c r="F257" t="s">
        <v>65</v>
      </c>
      <c r="G257" t="s">
        <v>66</v>
      </c>
      <c r="H257" t="s">
        <v>797</v>
      </c>
      <c r="I257" s="10">
        <v>8977234</v>
      </c>
      <c r="J257" t="s">
        <v>76</v>
      </c>
      <c r="K257" t="s">
        <v>77</v>
      </c>
      <c r="L257" t="str">
        <f t="shared" si="12"/>
        <v>RYAN CALTAGIRONE</v>
      </c>
      <c r="M257" t="s">
        <v>57</v>
      </c>
      <c r="N257" s="1">
        <v>46049</v>
      </c>
      <c r="O257" s="1">
        <v>46139</v>
      </c>
      <c r="P257">
        <f t="shared" si="11"/>
        <v>3</v>
      </c>
      <c r="Q257" s="1" t="s">
        <v>261</v>
      </c>
      <c r="R257" s="1" t="s">
        <v>843</v>
      </c>
      <c r="S257" s="2">
        <v>33.9</v>
      </c>
      <c r="T257">
        <v>1</v>
      </c>
      <c r="U257" t="s">
        <v>58</v>
      </c>
      <c r="V257" s="3">
        <v>0.75</v>
      </c>
      <c r="W257" t="s">
        <v>60</v>
      </c>
      <c r="X257" t="s">
        <v>262</v>
      </c>
      <c r="Y257" s="2">
        <v>25.42</v>
      </c>
    </row>
    <row r="258" spans="1:25" x14ac:dyDescent="0.3">
      <c r="A258">
        <v>2033072263</v>
      </c>
      <c r="B258" t="s">
        <v>388</v>
      </c>
      <c r="C258" t="s">
        <v>389</v>
      </c>
      <c r="D258" t="str">
        <f t="shared" ref="D258:D321" si="13">_xlfn.CONCAT(C258," ",B258)</f>
        <v>AMY DUARTE</v>
      </c>
      <c r="E258" t="s">
        <v>64</v>
      </c>
      <c r="F258" t="s">
        <v>222</v>
      </c>
      <c r="G258" t="s">
        <v>223</v>
      </c>
      <c r="H258" t="s">
        <v>223</v>
      </c>
      <c r="I258" s="10">
        <v>8977234</v>
      </c>
      <c r="J258" t="s">
        <v>76</v>
      </c>
      <c r="K258" t="s">
        <v>77</v>
      </c>
      <c r="L258" t="str">
        <f t="shared" si="12"/>
        <v>RYAN CALTAGIRONE</v>
      </c>
      <c r="M258" t="s">
        <v>57</v>
      </c>
      <c r="N258" s="1">
        <v>46049</v>
      </c>
      <c r="O258" s="1">
        <v>46139</v>
      </c>
      <c r="P258">
        <f t="shared" ref="P258:P321" si="14">DATEDIF(N258,O258,"M")</f>
        <v>3</v>
      </c>
      <c r="Q258" s="1" t="s">
        <v>261</v>
      </c>
      <c r="R258" s="1" t="s">
        <v>843</v>
      </c>
      <c r="S258" s="2">
        <v>41.29</v>
      </c>
      <c r="T258">
        <v>1</v>
      </c>
      <c r="U258" t="s">
        <v>58</v>
      </c>
      <c r="V258" s="3">
        <v>0.7</v>
      </c>
      <c r="W258" t="s">
        <v>60</v>
      </c>
      <c r="X258" t="s">
        <v>262</v>
      </c>
      <c r="Y258" s="2">
        <v>28.9</v>
      </c>
    </row>
    <row r="259" spans="1:25" x14ac:dyDescent="0.3">
      <c r="A259">
        <v>2033308066</v>
      </c>
      <c r="B259" t="s">
        <v>463</v>
      </c>
      <c r="C259" t="s">
        <v>464</v>
      </c>
      <c r="D259" t="str">
        <f t="shared" si="13"/>
        <v>JUELLE MAASER</v>
      </c>
      <c r="E259" t="s">
        <v>86</v>
      </c>
      <c r="F259" t="s">
        <v>157</v>
      </c>
      <c r="G259" t="s">
        <v>158</v>
      </c>
      <c r="H259" t="s">
        <v>158</v>
      </c>
      <c r="I259" s="10">
        <v>8977234</v>
      </c>
      <c r="J259" t="s">
        <v>76</v>
      </c>
      <c r="K259" t="s">
        <v>77</v>
      </c>
      <c r="L259" t="str">
        <f t="shared" si="12"/>
        <v>RYAN CALTAGIRONE</v>
      </c>
      <c r="M259" t="s">
        <v>57</v>
      </c>
      <c r="N259" s="1">
        <v>46046</v>
      </c>
      <c r="O259" s="1">
        <v>46136</v>
      </c>
      <c r="P259">
        <f t="shared" si="14"/>
        <v>3</v>
      </c>
      <c r="Q259" s="1" t="s">
        <v>261</v>
      </c>
      <c r="R259" s="1" t="s">
        <v>843</v>
      </c>
      <c r="S259" s="2">
        <v>15</v>
      </c>
      <c r="T259">
        <v>1</v>
      </c>
      <c r="U259" t="s">
        <v>58</v>
      </c>
      <c r="V259" s="3">
        <v>0.38</v>
      </c>
      <c r="W259" t="s">
        <v>60</v>
      </c>
      <c r="X259" t="s">
        <v>262</v>
      </c>
      <c r="Y259" s="2">
        <v>5.7</v>
      </c>
    </row>
    <row r="260" spans="1:25" x14ac:dyDescent="0.3">
      <c r="A260">
        <v>2033308065</v>
      </c>
      <c r="B260" t="s">
        <v>463</v>
      </c>
      <c r="C260" t="s">
        <v>464</v>
      </c>
      <c r="D260" t="str">
        <f t="shared" si="13"/>
        <v>JUELLE MAASER</v>
      </c>
      <c r="E260" t="s">
        <v>86</v>
      </c>
      <c r="F260" t="s">
        <v>220</v>
      </c>
      <c r="G260" t="s">
        <v>221</v>
      </c>
      <c r="H260" t="s">
        <v>221</v>
      </c>
      <c r="I260" s="10">
        <v>8977234</v>
      </c>
      <c r="J260" t="s">
        <v>76</v>
      </c>
      <c r="K260" t="s">
        <v>77</v>
      </c>
      <c r="L260" t="str">
        <f t="shared" si="12"/>
        <v>RYAN CALTAGIRONE</v>
      </c>
      <c r="M260" t="s">
        <v>57</v>
      </c>
      <c r="N260" s="1">
        <v>46046</v>
      </c>
      <c r="O260" s="1">
        <v>46136</v>
      </c>
      <c r="P260">
        <f t="shared" si="14"/>
        <v>3</v>
      </c>
      <c r="Q260" s="1" t="s">
        <v>261</v>
      </c>
      <c r="R260" s="1" t="s">
        <v>843</v>
      </c>
      <c r="S260" s="2">
        <v>9.52</v>
      </c>
      <c r="T260">
        <v>1</v>
      </c>
      <c r="U260" t="s">
        <v>58</v>
      </c>
      <c r="V260" s="3">
        <v>0.38</v>
      </c>
      <c r="W260" t="s">
        <v>60</v>
      </c>
      <c r="X260" t="s">
        <v>262</v>
      </c>
      <c r="Y260" s="2">
        <v>3.62</v>
      </c>
    </row>
    <row r="261" spans="1:25" x14ac:dyDescent="0.3">
      <c r="A261">
        <v>2033308064</v>
      </c>
      <c r="B261" t="s">
        <v>463</v>
      </c>
      <c r="C261" t="s">
        <v>464</v>
      </c>
      <c r="D261" t="str">
        <f t="shared" si="13"/>
        <v>JUELLE MAASER</v>
      </c>
      <c r="E261" t="s">
        <v>86</v>
      </c>
      <c r="F261" t="s">
        <v>250</v>
      </c>
      <c r="G261" t="s">
        <v>757</v>
      </c>
      <c r="H261" t="s">
        <v>757</v>
      </c>
      <c r="I261" s="10">
        <v>8977234</v>
      </c>
      <c r="J261" t="s">
        <v>76</v>
      </c>
      <c r="K261" t="s">
        <v>77</v>
      </c>
      <c r="L261" t="str">
        <f t="shared" si="12"/>
        <v>RYAN CALTAGIRONE</v>
      </c>
      <c r="M261" t="s">
        <v>57</v>
      </c>
      <c r="N261" s="1">
        <v>46046</v>
      </c>
      <c r="O261" s="1">
        <v>46136</v>
      </c>
      <c r="P261">
        <f t="shared" si="14"/>
        <v>3</v>
      </c>
      <c r="Q261" s="1" t="s">
        <v>261</v>
      </c>
      <c r="R261" s="1" t="s">
        <v>843</v>
      </c>
      <c r="S261" s="2">
        <v>105.4</v>
      </c>
      <c r="T261">
        <v>1</v>
      </c>
      <c r="U261" t="s">
        <v>58</v>
      </c>
      <c r="V261" s="3">
        <v>0.28999999999999998</v>
      </c>
      <c r="W261" t="s">
        <v>60</v>
      </c>
      <c r="X261" t="s">
        <v>262</v>
      </c>
      <c r="Y261" s="2">
        <v>30.57</v>
      </c>
    </row>
    <row r="262" spans="1:25" x14ac:dyDescent="0.3">
      <c r="A262">
        <v>2033055037</v>
      </c>
      <c r="B262" t="s">
        <v>386</v>
      </c>
      <c r="C262" t="s">
        <v>387</v>
      </c>
      <c r="D262" t="str">
        <f t="shared" si="13"/>
        <v>LYNDA MAGRUM</v>
      </c>
      <c r="E262" t="s">
        <v>375</v>
      </c>
      <c r="F262" t="s">
        <v>65</v>
      </c>
      <c r="G262" t="s">
        <v>75</v>
      </c>
      <c r="H262" t="s">
        <v>797</v>
      </c>
      <c r="I262" s="10">
        <v>8977234</v>
      </c>
      <c r="J262" t="s">
        <v>76</v>
      </c>
      <c r="K262" t="s">
        <v>77</v>
      </c>
      <c r="L262" t="str">
        <f t="shared" si="12"/>
        <v>RYAN CALTAGIRONE</v>
      </c>
      <c r="M262" t="s">
        <v>57</v>
      </c>
      <c r="N262" s="1">
        <v>46045</v>
      </c>
      <c r="O262" s="1">
        <v>46135</v>
      </c>
      <c r="P262">
        <f t="shared" si="14"/>
        <v>3</v>
      </c>
      <c r="Q262" s="1" t="s">
        <v>261</v>
      </c>
      <c r="R262" s="1" t="s">
        <v>843</v>
      </c>
      <c r="S262" s="2">
        <v>40.56</v>
      </c>
      <c r="T262">
        <v>1</v>
      </c>
      <c r="U262" t="s">
        <v>58</v>
      </c>
      <c r="V262" s="3">
        <v>0.75</v>
      </c>
      <c r="W262" t="s">
        <v>60</v>
      </c>
      <c r="X262" t="s">
        <v>262</v>
      </c>
      <c r="Y262" s="2">
        <v>30.42</v>
      </c>
    </row>
    <row r="263" spans="1:25" x14ac:dyDescent="0.3">
      <c r="A263">
        <v>2033055036</v>
      </c>
      <c r="B263" t="s">
        <v>386</v>
      </c>
      <c r="C263" t="s">
        <v>387</v>
      </c>
      <c r="D263" t="str">
        <f t="shared" si="13"/>
        <v>LYNDA MAGRUM</v>
      </c>
      <c r="E263" t="s">
        <v>375</v>
      </c>
      <c r="F263" t="s">
        <v>222</v>
      </c>
      <c r="G263" t="s">
        <v>223</v>
      </c>
      <c r="H263" t="s">
        <v>223</v>
      </c>
      <c r="I263" s="10">
        <v>8977234</v>
      </c>
      <c r="J263" t="s">
        <v>76</v>
      </c>
      <c r="K263" t="s">
        <v>77</v>
      </c>
      <c r="L263" t="str">
        <f t="shared" si="12"/>
        <v>RYAN CALTAGIRONE</v>
      </c>
      <c r="M263" t="s">
        <v>57</v>
      </c>
      <c r="N263" s="1">
        <v>46045</v>
      </c>
      <c r="O263" s="1">
        <v>46135</v>
      </c>
      <c r="P263">
        <f t="shared" si="14"/>
        <v>3</v>
      </c>
      <c r="Q263" s="1" t="s">
        <v>261</v>
      </c>
      <c r="R263" s="1" t="s">
        <v>843</v>
      </c>
      <c r="S263" s="2">
        <v>61.85</v>
      </c>
      <c r="T263">
        <v>1</v>
      </c>
      <c r="U263" t="s">
        <v>58</v>
      </c>
      <c r="V263" s="3">
        <v>0.7</v>
      </c>
      <c r="W263" t="s">
        <v>60</v>
      </c>
      <c r="X263" t="s">
        <v>262</v>
      </c>
      <c r="Y263" s="2">
        <v>43.3</v>
      </c>
    </row>
    <row r="264" spans="1:25" x14ac:dyDescent="0.3">
      <c r="A264">
        <v>2033270598</v>
      </c>
      <c r="B264" t="s">
        <v>720</v>
      </c>
      <c r="C264" t="s">
        <v>148</v>
      </c>
      <c r="D264" t="str">
        <f t="shared" si="13"/>
        <v>DANIEL HIRNER</v>
      </c>
      <c r="E264" t="s">
        <v>100</v>
      </c>
      <c r="F264" t="s">
        <v>222</v>
      </c>
      <c r="G264" t="s">
        <v>223</v>
      </c>
      <c r="H264" t="s">
        <v>223</v>
      </c>
      <c r="I264" s="10">
        <v>8977234</v>
      </c>
      <c r="J264" t="s">
        <v>76</v>
      </c>
      <c r="K264" t="s">
        <v>77</v>
      </c>
      <c r="L264" t="str">
        <f t="shared" si="12"/>
        <v>RYAN CALTAGIRONE</v>
      </c>
      <c r="M264" t="s">
        <v>57</v>
      </c>
      <c r="N264" s="1">
        <v>46045</v>
      </c>
      <c r="O264" s="1">
        <v>46135</v>
      </c>
      <c r="P264">
        <f t="shared" si="14"/>
        <v>3</v>
      </c>
      <c r="Q264" s="1" t="s">
        <v>261</v>
      </c>
      <c r="R264" s="1" t="s">
        <v>843</v>
      </c>
      <c r="S264" s="2">
        <v>23.25</v>
      </c>
      <c r="T264">
        <v>1</v>
      </c>
      <c r="U264" t="s">
        <v>58</v>
      </c>
      <c r="V264" s="3">
        <v>0.7</v>
      </c>
      <c r="W264" t="s">
        <v>60</v>
      </c>
      <c r="X264" t="s">
        <v>262</v>
      </c>
      <c r="Y264" s="2">
        <v>16.28</v>
      </c>
    </row>
    <row r="265" spans="1:25" x14ac:dyDescent="0.3">
      <c r="A265">
        <v>2032342902</v>
      </c>
      <c r="B265" t="s">
        <v>696</v>
      </c>
      <c r="C265" t="s">
        <v>697</v>
      </c>
      <c r="D265" t="str">
        <f t="shared" si="13"/>
        <v>STEFFAN FUNCHESS</v>
      </c>
      <c r="E265" t="s">
        <v>64</v>
      </c>
      <c r="F265" t="s">
        <v>222</v>
      </c>
      <c r="G265" t="s">
        <v>223</v>
      </c>
      <c r="H265" t="s">
        <v>223</v>
      </c>
      <c r="I265" s="10">
        <v>8977234</v>
      </c>
      <c r="J265" t="s">
        <v>76</v>
      </c>
      <c r="K265" t="s">
        <v>77</v>
      </c>
      <c r="L265" t="str">
        <f t="shared" si="12"/>
        <v>RYAN CALTAGIRONE</v>
      </c>
      <c r="M265" t="s">
        <v>57</v>
      </c>
      <c r="N265" s="1">
        <v>46043</v>
      </c>
      <c r="O265" s="1">
        <v>46133</v>
      </c>
      <c r="P265">
        <f t="shared" si="14"/>
        <v>3</v>
      </c>
      <c r="Q265" s="1" t="s">
        <v>261</v>
      </c>
      <c r="R265" s="1" t="s">
        <v>843</v>
      </c>
      <c r="S265" s="2">
        <v>100.21</v>
      </c>
      <c r="T265">
        <v>1</v>
      </c>
      <c r="U265" t="s">
        <v>58</v>
      </c>
      <c r="V265" s="3">
        <v>0.7</v>
      </c>
      <c r="W265" t="s">
        <v>60</v>
      </c>
      <c r="X265" t="s">
        <v>262</v>
      </c>
      <c r="Y265" s="2">
        <v>70.150000000000006</v>
      </c>
    </row>
    <row r="266" spans="1:25" x14ac:dyDescent="0.3">
      <c r="A266">
        <v>2032822392</v>
      </c>
      <c r="B266" t="s">
        <v>381</v>
      </c>
      <c r="C266" t="s">
        <v>382</v>
      </c>
      <c r="D266" t="str">
        <f t="shared" si="13"/>
        <v>TOREY DICKSON</v>
      </c>
      <c r="E266" t="s">
        <v>103</v>
      </c>
      <c r="F266" t="s">
        <v>65</v>
      </c>
      <c r="G266" t="s">
        <v>71</v>
      </c>
      <c r="H266" t="s">
        <v>796</v>
      </c>
      <c r="I266" s="10">
        <v>9079571</v>
      </c>
      <c r="J266" t="s">
        <v>132</v>
      </c>
      <c r="K266" t="s">
        <v>133</v>
      </c>
      <c r="L266" t="str">
        <f t="shared" si="12"/>
        <v>ADAM RICHTER</v>
      </c>
      <c r="M266" t="s">
        <v>57</v>
      </c>
      <c r="N266" s="1">
        <v>46015</v>
      </c>
      <c r="O266" s="1">
        <v>46136</v>
      </c>
      <c r="P266">
        <f t="shared" si="14"/>
        <v>4</v>
      </c>
      <c r="Q266" s="1" t="s">
        <v>261</v>
      </c>
      <c r="R266" s="1" t="s">
        <v>843</v>
      </c>
      <c r="S266" s="2">
        <v>31.55</v>
      </c>
      <c r="T266">
        <v>1</v>
      </c>
      <c r="U266" t="s">
        <v>58</v>
      </c>
      <c r="V266" s="3">
        <v>0.9</v>
      </c>
      <c r="W266" t="s">
        <v>60</v>
      </c>
      <c r="X266" t="s">
        <v>262</v>
      </c>
      <c r="Y266" s="2">
        <v>28.4</v>
      </c>
    </row>
    <row r="267" spans="1:25" x14ac:dyDescent="0.3">
      <c r="A267">
        <v>2032820066</v>
      </c>
      <c r="B267" t="s">
        <v>431</v>
      </c>
      <c r="C267" t="s">
        <v>704</v>
      </c>
      <c r="D267" t="str">
        <f t="shared" si="13"/>
        <v>KEITH JOHNSON</v>
      </c>
      <c r="E267" t="s">
        <v>103</v>
      </c>
      <c r="F267" t="s">
        <v>222</v>
      </c>
      <c r="G267" t="s">
        <v>224</v>
      </c>
      <c r="H267" t="s">
        <v>224</v>
      </c>
      <c r="I267" s="10">
        <v>9079571</v>
      </c>
      <c r="J267" t="s">
        <v>132</v>
      </c>
      <c r="K267" t="s">
        <v>133</v>
      </c>
      <c r="L267" t="str">
        <f t="shared" si="12"/>
        <v>ADAM RICHTER</v>
      </c>
      <c r="M267" t="s">
        <v>57</v>
      </c>
      <c r="N267" s="1">
        <v>46015</v>
      </c>
      <c r="O267" s="1">
        <v>46136</v>
      </c>
      <c r="P267">
        <f t="shared" si="14"/>
        <v>4</v>
      </c>
      <c r="Q267" s="1" t="s">
        <v>261</v>
      </c>
      <c r="R267" s="1" t="s">
        <v>843</v>
      </c>
      <c r="S267" s="2">
        <v>76.17</v>
      </c>
      <c r="T267">
        <v>1</v>
      </c>
      <c r="U267" t="s">
        <v>58</v>
      </c>
      <c r="V267" s="3">
        <v>0.9</v>
      </c>
      <c r="W267" t="s">
        <v>60</v>
      </c>
      <c r="X267" t="s">
        <v>262</v>
      </c>
      <c r="Y267" s="2">
        <v>68.55</v>
      </c>
    </row>
    <row r="268" spans="1:25" x14ac:dyDescent="0.3">
      <c r="A268">
        <v>2032362850</v>
      </c>
      <c r="B268" t="s">
        <v>459</v>
      </c>
      <c r="C268" t="s">
        <v>460</v>
      </c>
      <c r="D268" t="str">
        <f t="shared" si="13"/>
        <v>LIAM STONE</v>
      </c>
      <c r="E268" t="s">
        <v>74</v>
      </c>
      <c r="F268" t="s">
        <v>157</v>
      </c>
      <c r="G268" t="s">
        <v>425</v>
      </c>
      <c r="H268" t="s">
        <v>808</v>
      </c>
      <c r="I268" s="10">
        <v>21435997</v>
      </c>
      <c r="J268" t="s">
        <v>118</v>
      </c>
      <c r="K268" t="s">
        <v>119</v>
      </c>
      <c r="L268" t="str">
        <f t="shared" si="12"/>
        <v>Christopher Brousseau</v>
      </c>
      <c r="M268" t="s">
        <v>57</v>
      </c>
      <c r="N268" s="1">
        <v>46012</v>
      </c>
      <c r="O268" s="1">
        <v>46133</v>
      </c>
      <c r="P268">
        <f t="shared" si="14"/>
        <v>4</v>
      </c>
      <c r="Q268" s="1" t="s">
        <v>261</v>
      </c>
      <c r="R268" s="1" t="s">
        <v>843</v>
      </c>
      <c r="S268" s="2">
        <v>15</v>
      </c>
      <c r="T268">
        <v>1</v>
      </c>
      <c r="U268" t="s">
        <v>58</v>
      </c>
      <c r="V268" s="3">
        <v>0.28999999999999998</v>
      </c>
      <c r="W268" t="s">
        <v>60</v>
      </c>
      <c r="X268" t="s">
        <v>262</v>
      </c>
      <c r="Y268" s="2">
        <v>4.3499999999999996</v>
      </c>
    </row>
    <row r="269" spans="1:25" x14ac:dyDescent="0.3">
      <c r="A269">
        <v>2032603316</v>
      </c>
      <c r="B269" t="s">
        <v>284</v>
      </c>
      <c r="C269" t="s">
        <v>285</v>
      </c>
      <c r="D269" t="str">
        <f t="shared" si="13"/>
        <v>ELLEN BROCK</v>
      </c>
      <c r="E269" t="s">
        <v>52</v>
      </c>
      <c r="F269" t="s">
        <v>220</v>
      </c>
      <c r="G269" t="s">
        <v>221</v>
      </c>
      <c r="H269" t="s">
        <v>221</v>
      </c>
      <c r="I269" s="10">
        <v>21758900</v>
      </c>
      <c r="J269" t="s">
        <v>286</v>
      </c>
      <c r="K269" t="s">
        <v>287</v>
      </c>
      <c r="L269" t="str">
        <f t="shared" si="12"/>
        <v>John Rader</v>
      </c>
      <c r="M269" t="s">
        <v>57</v>
      </c>
      <c r="N269" s="1">
        <v>46017</v>
      </c>
      <c r="O269" s="1">
        <v>46138</v>
      </c>
      <c r="P269">
        <f t="shared" si="14"/>
        <v>4</v>
      </c>
      <c r="Q269" s="1" t="s">
        <v>261</v>
      </c>
      <c r="R269" s="1" t="s">
        <v>843</v>
      </c>
      <c r="S269" s="2">
        <v>61.39</v>
      </c>
      <c r="T269">
        <v>1</v>
      </c>
      <c r="U269" t="s">
        <v>58</v>
      </c>
      <c r="V269" s="3">
        <v>0.38</v>
      </c>
      <c r="W269" t="s">
        <v>60</v>
      </c>
      <c r="X269" t="s">
        <v>262</v>
      </c>
      <c r="Y269" s="2">
        <v>23.33</v>
      </c>
    </row>
    <row r="270" spans="1:25" x14ac:dyDescent="0.3">
      <c r="A270">
        <v>2032603317</v>
      </c>
      <c r="B270" t="s">
        <v>284</v>
      </c>
      <c r="C270" t="s">
        <v>285</v>
      </c>
      <c r="D270" t="str">
        <f t="shared" si="13"/>
        <v>ELLEN BROCK</v>
      </c>
      <c r="E270" t="s">
        <v>52</v>
      </c>
      <c r="F270" t="s">
        <v>53</v>
      </c>
      <c r="G270" t="s">
        <v>54</v>
      </c>
      <c r="H270" t="s">
        <v>54</v>
      </c>
      <c r="I270" s="10">
        <v>21758900</v>
      </c>
      <c r="J270" t="s">
        <v>286</v>
      </c>
      <c r="K270" t="s">
        <v>287</v>
      </c>
      <c r="L270" t="str">
        <f t="shared" si="12"/>
        <v>John Rader</v>
      </c>
      <c r="M270" t="s">
        <v>57</v>
      </c>
      <c r="N270" s="1">
        <v>46017</v>
      </c>
      <c r="O270" s="1">
        <v>46138</v>
      </c>
      <c r="P270">
        <f t="shared" si="14"/>
        <v>4</v>
      </c>
      <c r="Q270" s="1" t="s">
        <v>261</v>
      </c>
      <c r="R270" s="1" t="s">
        <v>843</v>
      </c>
      <c r="S270" s="2">
        <v>79.67</v>
      </c>
      <c r="T270">
        <v>1</v>
      </c>
      <c r="U270" t="s">
        <v>58</v>
      </c>
      <c r="V270" s="3">
        <v>0.6</v>
      </c>
      <c r="W270" t="s">
        <v>60</v>
      </c>
      <c r="X270" t="s">
        <v>262</v>
      </c>
      <c r="Y270" s="2">
        <v>47.8</v>
      </c>
    </row>
    <row r="271" spans="1:25" x14ac:dyDescent="0.3">
      <c r="A271">
        <v>2032827124</v>
      </c>
      <c r="B271" t="s">
        <v>705</v>
      </c>
      <c r="C271" t="s">
        <v>295</v>
      </c>
      <c r="D271" t="str">
        <f t="shared" si="13"/>
        <v>STEVEN BASS</v>
      </c>
      <c r="E271" t="s">
        <v>191</v>
      </c>
      <c r="F271" t="s">
        <v>222</v>
      </c>
      <c r="G271" t="s">
        <v>223</v>
      </c>
      <c r="H271" t="s">
        <v>223</v>
      </c>
      <c r="I271" s="10">
        <v>17516272</v>
      </c>
      <c r="J271" t="s">
        <v>706</v>
      </c>
      <c r="K271" t="s">
        <v>707</v>
      </c>
      <c r="L271" t="str">
        <f t="shared" si="12"/>
        <v>Kenneth Weitzman</v>
      </c>
      <c r="M271" t="s">
        <v>57</v>
      </c>
      <c r="N271" s="1">
        <v>46016</v>
      </c>
      <c r="O271" s="1">
        <v>46137</v>
      </c>
      <c r="P271">
        <f t="shared" si="14"/>
        <v>4</v>
      </c>
      <c r="Q271" s="1" t="s">
        <v>261</v>
      </c>
      <c r="R271" s="1" t="s">
        <v>843</v>
      </c>
      <c r="S271" s="2">
        <v>51.74</v>
      </c>
      <c r="T271">
        <v>1</v>
      </c>
      <c r="U271" t="s">
        <v>58</v>
      </c>
      <c r="V271" s="3">
        <v>0.7</v>
      </c>
      <c r="W271" t="s">
        <v>60</v>
      </c>
      <c r="X271" t="s">
        <v>262</v>
      </c>
      <c r="Y271" s="2">
        <v>36.22</v>
      </c>
    </row>
    <row r="272" spans="1:25" x14ac:dyDescent="0.3">
      <c r="A272">
        <v>2032758291</v>
      </c>
      <c r="B272" t="s">
        <v>549</v>
      </c>
      <c r="C272" t="s">
        <v>501</v>
      </c>
      <c r="D272" t="str">
        <f t="shared" si="13"/>
        <v>NANCY ZVOLENSKY</v>
      </c>
      <c r="E272" t="s">
        <v>332</v>
      </c>
      <c r="F272" t="s">
        <v>222</v>
      </c>
      <c r="G272" t="s">
        <v>223</v>
      </c>
      <c r="H272" t="s">
        <v>223</v>
      </c>
      <c r="I272" s="10">
        <v>8977234</v>
      </c>
      <c r="J272" t="s">
        <v>76</v>
      </c>
      <c r="K272" t="s">
        <v>77</v>
      </c>
      <c r="L272" t="str">
        <f t="shared" si="12"/>
        <v>RYAN CALTAGIRONE</v>
      </c>
      <c r="M272" t="s">
        <v>57</v>
      </c>
      <c r="N272" s="1">
        <v>46012</v>
      </c>
      <c r="O272" s="1">
        <v>46133</v>
      </c>
      <c r="P272">
        <f t="shared" si="14"/>
        <v>4</v>
      </c>
      <c r="Q272" s="1" t="s">
        <v>261</v>
      </c>
      <c r="R272" s="1" t="s">
        <v>843</v>
      </c>
      <c r="S272" s="2">
        <v>89.72</v>
      </c>
      <c r="T272">
        <v>1</v>
      </c>
      <c r="U272" t="s">
        <v>58</v>
      </c>
      <c r="V272" s="3">
        <v>0.7</v>
      </c>
      <c r="W272" t="s">
        <v>60</v>
      </c>
      <c r="X272" t="s">
        <v>262</v>
      </c>
      <c r="Y272" s="2">
        <v>62.8</v>
      </c>
    </row>
    <row r="273" spans="1:25" x14ac:dyDescent="0.3">
      <c r="A273">
        <v>2032758290</v>
      </c>
      <c r="B273" t="s">
        <v>549</v>
      </c>
      <c r="C273" t="s">
        <v>501</v>
      </c>
      <c r="D273" t="str">
        <f t="shared" si="13"/>
        <v>NANCY ZVOLENSKY</v>
      </c>
      <c r="E273" t="s">
        <v>332</v>
      </c>
      <c r="F273" t="s">
        <v>163</v>
      </c>
      <c r="G273" t="s">
        <v>164</v>
      </c>
      <c r="H273" t="s">
        <v>164</v>
      </c>
      <c r="I273" s="10">
        <v>8977234</v>
      </c>
      <c r="J273" t="s">
        <v>76</v>
      </c>
      <c r="K273" t="s">
        <v>77</v>
      </c>
      <c r="L273" t="str">
        <f t="shared" si="12"/>
        <v>RYAN CALTAGIRONE</v>
      </c>
      <c r="M273" t="s">
        <v>57</v>
      </c>
      <c r="N273" s="1">
        <v>46012</v>
      </c>
      <c r="O273" s="1">
        <v>46133</v>
      </c>
      <c r="P273">
        <f t="shared" si="14"/>
        <v>4</v>
      </c>
      <c r="Q273" s="1" t="s">
        <v>261</v>
      </c>
      <c r="R273" s="1" t="s">
        <v>843</v>
      </c>
      <c r="S273" s="2">
        <v>65.510000000000005</v>
      </c>
      <c r="T273">
        <v>1</v>
      </c>
      <c r="U273" t="s">
        <v>58</v>
      </c>
      <c r="V273" s="4">
        <v>0.375</v>
      </c>
      <c r="W273" t="s">
        <v>60</v>
      </c>
      <c r="X273" t="s">
        <v>262</v>
      </c>
      <c r="Y273" s="2">
        <v>24.57</v>
      </c>
    </row>
    <row r="274" spans="1:25" x14ac:dyDescent="0.3">
      <c r="A274">
        <v>2032624526</v>
      </c>
      <c r="B274" t="s">
        <v>288</v>
      </c>
      <c r="C274" t="s">
        <v>289</v>
      </c>
      <c r="D274" t="str">
        <f t="shared" si="13"/>
        <v>CHRISTINE BERETSEL</v>
      </c>
      <c r="E274" t="s">
        <v>52</v>
      </c>
      <c r="F274" t="s">
        <v>220</v>
      </c>
      <c r="G274" t="s">
        <v>221</v>
      </c>
      <c r="H274" t="s">
        <v>221</v>
      </c>
      <c r="I274" s="10">
        <v>15950276</v>
      </c>
      <c r="J274" t="s">
        <v>55</v>
      </c>
      <c r="K274" t="s">
        <v>56</v>
      </c>
      <c r="L274" t="str">
        <f t="shared" si="12"/>
        <v>Ryan Stocker</v>
      </c>
      <c r="M274" t="s">
        <v>57</v>
      </c>
      <c r="N274" s="1">
        <v>46016</v>
      </c>
      <c r="O274" s="1">
        <v>46137</v>
      </c>
      <c r="P274">
        <f t="shared" si="14"/>
        <v>4</v>
      </c>
      <c r="Q274" s="1" t="s">
        <v>261</v>
      </c>
      <c r="R274" s="1" t="s">
        <v>843</v>
      </c>
      <c r="S274" s="2">
        <v>55.16</v>
      </c>
      <c r="T274">
        <v>1</v>
      </c>
      <c r="U274" t="s">
        <v>58</v>
      </c>
      <c r="V274" s="3">
        <v>0.38</v>
      </c>
      <c r="W274" t="s">
        <v>60</v>
      </c>
      <c r="X274" t="s">
        <v>262</v>
      </c>
      <c r="Y274" s="2">
        <v>20.96</v>
      </c>
    </row>
    <row r="275" spans="1:25" x14ac:dyDescent="0.3">
      <c r="A275">
        <v>2032795211</v>
      </c>
      <c r="B275" t="s">
        <v>290</v>
      </c>
      <c r="C275" t="s">
        <v>234</v>
      </c>
      <c r="D275" t="str">
        <f t="shared" si="13"/>
        <v>NICOLE TURCIC</v>
      </c>
      <c r="E275" t="s">
        <v>52</v>
      </c>
      <c r="F275" t="s">
        <v>220</v>
      </c>
      <c r="G275" t="s">
        <v>221</v>
      </c>
      <c r="H275" t="s">
        <v>221</v>
      </c>
      <c r="I275" s="10">
        <v>15950276</v>
      </c>
      <c r="J275" t="s">
        <v>55</v>
      </c>
      <c r="K275" t="s">
        <v>56</v>
      </c>
      <c r="L275" t="str">
        <f t="shared" si="12"/>
        <v>Ryan Stocker</v>
      </c>
      <c r="M275" t="s">
        <v>57</v>
      </c>
      <c r="N275" s="1">
        <v>46016</v>
      </c>
      <c r="O275" s="1">
        <v>46137</v>
      </c>
      <c r="P275">
        <f t="shared" si="14"/>
        <v>4</v>
      </c>
      <c r="Q275" s="1" t="s">
        <v>261</v>
      </c>
      <c r="R275" s="1" t="s">
        <v>843</v>
      </c>
      <c r="S275" s="2">
        <v>51.58</v>
      </c>
      <c r="T275">
        <v>1</v>
      </c>
      <c r="U275" t="s">
        <v>58</v>
      </c>
      <c r="V275" s="3">
        <v>0.38</v>
      </c>
      <c r="W275" t="s">
        <v>60</v>
      </c>
      <c r="X275" t="s">
        <v>262</v>
      </c>
      <c r="Y275" s="2">
        <v>19.600000000000001</v>
      </c>
    </row>
    <row r="276" spans="1:25" x14ac:dyDescent="0.3">
      <c r="A276">
        <v>2032795213</v>
      </c>
      <c r="B276" t="s">
        <v>290</v>
      </c>
      <c r="C276" t="s">
        <v>234</v>
      </c>
      <c r="D276" t="str">
        <f t="shared" si="13"/>
        <v>NICOLE TURCIC</v>
      </c>
      <c r="E276" t="s">
        <v>52</v>
      </c>
      <c r="F276" t="s">
        <v>222</v>
      </c>
      <c r="G276" t="s">
        <v>224</v>
      </c>
      <c r="H276" t="s">
        <v>224</v>
      </c>
      <c r="I276" s="10">
        <v>15950276</v>
      </c>
      <c r="J276" t="s">
        <v>55</v>
      </c>
      <c r="K276" t="s">
        <v>56</v>
      </c>
      <c r="L276" t="str">
        <f t="shared" si="12"/>
        <v>Ryan Stocker</v>
      </c>
      <c r="M276" t="s">
        <v>57</v>
      </c>
      <c r="N276" s="1">
        <v>46016</v>
      </c>
      <c r="O276" s="1">
        <v>46137</v>
      </c>
      <c r="P276">
        <f t="shared" si="14"/>
        <v>4</v>
      </c>
      <c r="Q276" s="1" t="s">
        <v>261</v>
      </c>
      <c r="R276" s="1" t="s">
        <v>843</v>
      </c>
      <c r="S276" s="2">
        <v>71.75</v>
      </c>
      <c r="T276">
        <v>1</v>
      </c>
      <c r="U276" t="s">
        <v>58</v>
      </c>
      <c r="V276" s="3">
        <v>0.9</v>
      </c>
      <c r="W276" t="s">
        <v>60</v>
      </c>
      <c r="X276" t="s">
        <v>262</v>
      </c>
      <c r="Y276" s="2">
        <v>64.58</v>
      </c>
    </row>
    <row r="277" spans="1:25" x14ac:dyDescent="0.3">
      <c r="A277">
        <v>2032624527</v>
      </c>
      <c r="B277" t="s">
        <v>288</v>
      </c>
      <c r="C277" t="s">
        <v>289</v>
      </c>
      <c r="D277" t="str">
        <f t="shared" si="13"/>
        <v>CHRISTINE BERETSEL</v>
      </c>
      <c r="E277" t="s">
        <v>52</v>
      </c>
      <c r="F277" t="s">
        <v>53</v>
      </c>
      <c r="G277" t="s">
        <v>54</v>
      </c>
      <c r="H277" t="s">
        <v>54</v>
      </c>
      <c r="I277" s="10">
        <v>15950276</v>
      </c>
      <c r="J277" t="s">
        <v>55</v>
      </c>
      <c r="K277" t="s">
        <v>56</v>
      </c>
      <c r="L277" t="str">
        <f t="shared" si="12"/>
        <v>Ryan Stocker</v>
      </c>
      <c r="M277" t="s">
        <v>57</v>
      </c>
      <c r="N277" s="1">
        <v>46016</v>
      </c>
      <c r="O277" s="1">
        <v>46137</v>
      </c>
      <c r="P277">
        <f t="shared" si="14"/>
        <v>4</v>
      </c>
      <c r="Q277" s="1" t="s">
        <v>261</v>
      </c>
      <c r="R277" s="1" t="s">
        <v>843</v>
      </c>
      <c r="S277" s="2">
        <v>79.67</v>
      </c>
      <c r="T277">
        <v>1</v>
      </c>
      <c r="U277" t="s">
        <v>58</v>
      </c>
      <c r="V277" s="3">
        <v>0.6</v>
      </c>
      <c r="W277" t="s">
        <v>60</v>
      </c>
      <c r="X277" t="s">
        <v>262</v>
      </c>
      <c r="Y277" s="2">
        <v>47.8</v>
      </c>
    </row>
    <row r="278" spans="1:25" x14ac:dyDescent="0.3">
      <c r="A278">
        <v>2032795212</v>
      </c>
      <c r="B278" t="s">
        <v>290</v>
      </c>
      <c r="C278" t="s">
        <v>234</v>
      </c>
      <c r="D278" t="str">
        <f t="shared" si="13"/>
        <v>NICOLE TURCIC</v>
      </c>
      <c r="E278" t="s">
        <v>52</v>
      </c>
      <c r="F278" t="s">
        <v>53</v>
      </c>
      <c r="G278" t="s">
        <v>54</v>
      </c>
      <c r="H278" t="s">
        <v>54</v>
      </c>
      <c r="I278" s="10">
        <v>15950276</v>
      </c>
      <c r="J278" t="s">
        <v>55</v>
      </c>
      <c r="K278" t="s">
        <v>56</v>
      </c>
      <c r="L278" t="str">
        <f t="shared" si="12"/>
        <v>Ryan Stocker</v>
      </c>
      <c r="M278" t="s">
        <v>57</v>
      </c>
      <c r="N278" s="1">
        <v>46016</v>
      </c>
      <c r="O278" s="1">
        <v>46137</v>
      </c>
      <c r="P278">
        <f t="shared" si="14"/>
        <v>4</v>
      </c>
      <c r="Q278" s="1" t="s">
        <v>261</v>
      </c>
      <c r="R278" s="1" t="s">
        <v>843</v>
      </c>
      <c r="S278" s="2">
        <v>82.53</v>
      </c>
      <c r="T278">
        <v>1</v>
      </c>
      <c r="U278" t="s">
        <v>58</v>
      </c>
      <c r="V278" s="3">
        <v>0.6</v>
      </c>
      <c r="W278" t="s">
        <v>60</v>
      </c>
      <c r="X278" t="s">
        <v>262</v>
      </c>
      <c r="Y278" s="2">
        <v>49.52</v>
      </c>
    </row>
    <row r="279" spans="1:25" x14ac:dyDescent="0.3">
      <c r="A279">
        <v>2032072470</v>
      </c>
      <c r="B279" t="s">
        <v>365</v>
      </c>
      <c r="C279" t="s">
        <v>366</v>
      </c>
      <c r="D279" t="str">
        <f t="shared" si="13"/>
        <v>PATRICIA RICHARDSON</v>
      </c>
      <c r="E279" t="s">
        <v>103</v>
      </c>
      <c r="F279" t="s">
        <v>65</v>
      </c>
      <c r="G279" t="s">
        <v>71</v>
      </c>
      <c r="H279" t="s">
        <v>796</v>
      </c>
      <c r="I279" s="10">
        <v>9079571</v>
      </c>
      <c r="J279" t="s">
        <v>132</v>
      </c>
      <c r="K279" t="s">
        <v>133</v>
      </c>
      <c r="L279" t="str">
        <f t="shared" si="12"/>
        <v>ADAM RICHTER</v>
      </c>
      <c r="M279" t="s">
        <v>57</v>
      </c>
      <c r="N279" s="1">
        <v>45986</v>
      </c>
      <c r="O279" s="1">
        <v>46137</v>
      </c>
      <c r="P279">
        <f t="shared" si="14"/>
        <v>5</v>
      </c>
      <c r="Q279" s="1" t="s">
        <v>261</v>
      </c>
      <c r="R279" s="1" t="s">
        <v>843</v>
      </c>
      <c r="S279" s="2">
        <v>100.12</v>
      </c>
      <c r="T279">
        <v>1</v>
      </c>
      <c r="U279" t="s">
        <v>58</v>
      </c>
      <c r="V279" s="3">
        <v>0.9</v>
      </c>
      <c r="W279" t="s">
        <v>60</v>
      </c>
      <c r="X279" t="s">
        <v>262</v>
      </c>
      <c r="Y279" s="2">
        <v>90.11</v>
      </c>
    </row>
    <row r="280" spans="1:25" x14ac:dyDescent="0.3">
      <c r="A280">
        <v>2032355303</v>
      </c>
      <c r="B280" t="s">
        <v>698</v>
      </c>
      <c r="C280" t="s">
        <v>699</v>
      </c>
      <c r="D280" t="str">
        <f t="shared" si="13"/>
        <v>LEONA LIU</v>
      </c>
      <c r="E280" t="s">
        <v>64</v>
      </c>
      <c r="F280" t="s">
        <v>222</v>
      </c>
      <c r="G280" t="s">
        <v>223</v>
      </c>
      <c r="H280" t="s">
        <v>223</v>
      </c>
      <c r="I280" s="10" t="s">
        <v>835</v>
      </c>
      <c r="J280" t="s">
        <v>553</v>
      </c>
      <c r="K280" t="s">
        <v>554</v>
      </c>
      <c r="L280" t="str">
        <f t="shared" si="12"/>
        <v>BARRY BRENNER</v>
      </c>
      <c r="M280" t="s">
        <v>57</v>
      </c>
      <c r="N280" s="1">
        <v>45987</v>
      </c>
      <c r="O280" s="1">
        <v>46138</v>
      </c>
      <c r="P280">
        <f t="shared" si="14"/>
        <v>5</v>
      </c>
      <c r="Q280" s="1" t="s">
        <v>261</v>
      </c>
      <c r="R280" s="1" t="s">
        <v>843</v>
      </c>
      <c r="S280" s="2">
        <v>34</v>
      </c>
      <c r="T280">
        <v>1</v>
      </c>
      <c r="U280" t="s">
        <v>58</v>
      </c>
      <c r="V280" s="3">
        <v>0.7</v>
      </c>
      <c r="W280" t="s">
        <v>60</v>
      </c>
      <c r="X280" t="s">
        <v>262</v>
      </c>
      <c r="Y280" s="2">
        <v>23.8</v>
      </c>
    </row>
    <row r="281" spans="1:25" x14ac:dyDescent="0.3">
      <c r="A281">
        <v>2032235343</v>
      </c>
      <c r="B281" t="s">
        <v>340</v>
      </c>
      <c r="C281" t="s">
        <v>457</v>
      </c>
      <c r="D281" t="str">
        <f t="shared" si="13"/>
        <v>KEYAHANA BLACK</v>
      </c>
      <c r="E281" t="s">
        <v>458</v>
      </c>
      <c r="F281" t="s">
        <v>157</v>
      </c>
      <c r="G281" t="s">
        <v>158</v>
      </c>
      <c r="H281" t="s">
        <v>158</v>
      </c>
      <c r="I281" s="10">
        <v>17425766</v>
      </c>
      <c r="J281" t="s">
        <v>87</v>
      </c>
      <c r="K281" t="s">
        <v>88</v>
      </c>
      <c r="L281" t="str">
        <f t="shared" si="12"/>
        <v>CAROL FOLEY</v>
      </c>
      <c r="M281" t="s">
        <v>57</v>
      </c>
      <c r="N281" s="1">
        <v>45980</v>
      </c>
      <c r="O281" s="1">
        <v>46131</v>
      </c>
      <c r="P281">
        <f t="shared" si="14"/>
        <v>5</v>
      </c>
      <c r="Q281" s="1" t="s">
        <v>261</v>
      </c>
      <c r="R281" s="1" t="s">
        <v>843</v>
      </c>
      <c r="S281" s="2">
        <v>15</v>
      </c>
      <c r="T281">
        <v>1</v>
      </c>
      <c r="U281" t="s">
        <v>58</v>
      </c>
      <c r="V281" s="3">
        <v>0.38</v>
      </c>
      <c r="W281" t="s">
        <v>60</v>
      </c>
      <c r="X281" t="s">
        <v>262</v>
      </c>
      <c r="Y281" s="2">
        <v>5.7</v>
      </c>
    </row>
    <row r="282" spans="1:25" x14ac:dyDescent="0.3">
      <c r="A282">
        <v>2032235341</v>
      </c>
      <c r="B282" t="s">
        <v>340</v>
      </c>
      <c r="C282" t="s">
        <v>457</v>
      </c>
      <c r="D282" t="str">
        <f t="shared" si="13"/>
        <v>KEYAHANA BLACK</v>
      </c>
      <c r="E282" t="s">
        <v>458</v>
      </c>
      <c r="F282" t="s">
        <v>220</v>
      </c>
      <c r="G282" t="s">
        <v>221</v>
      </c>
      <c r="H282" t="s">
        <v>221</v>
      </c>
      <c r="I282" s="10">
        <v>17425766</v>
      </c>
      <c r="J282" t="s">
        <v>87</v>
      </c>
      <c r="K282" t="s">
        <v>88</v>
      </c>
      <c r="L282" t="str">
        <f t="shared" si="12"/>
        <v>CAROL FOLEY</v>
      </c>
      <c r="M282" t="s">
        <v>57</v>
      </c>
      <c r="N282" s="1">
        <v>45980</v>
      </c>
      <c r="O282" s="1">
        <v>46131</v>
      </c>
      <c r="P282">
        <f t="shared" si="14"/>
        <v>5</v>
      </c>
      <c r="Q282" s="1" t="s">
        <v>261</v>
      </c>
      <c r="R282" s="1" t="s">
        <v>843</v>
      </c>
      <c r="S282" s="2">
        <v>20.76</v>
      </c>
      <c r="T282">
        <v>1</v>
      </c>
      <c r="U282" t="s">
        <v>58</v>
      </c>
      <c r="V282" s="3">
        <v>0.38</v>
      </c>
      <c r="W282" t="s">
        <v>60</v>
      </c>
      <c r="X282" t="s">
        <v>262</v>
      </c>
      <c r="Y282" s="2">
        <v>7.89</v>
      </c>
    </row>
    <row r="283" spans="1:25" x14ac:dyDescent="0.3">
      <c r="A283">
        <v>2032235342</v>
      </c>
      <c r="B283" t="s">
        <v>340</v>
      </c>
      <c r="C283" t="s">
        <v>457</v>
      </c>
      <c r="D283" t="str">
        <f t="shared" si="13"/>
        <v>KEYAHANA BLACK</v>
      </c>
      <c r="E283" t="s">
        <v>458</v>
      </c>
      <c r="F283" t="s">
        <v>163</v>
      </c>
      <c r="G283" t="s">
        <v>164</v>
      </c>
      <c r="H283" t="s">
        <v>164</v>
      </c>
      <c r="I283" s="10">
        <v>17425766</v>
      </c>
      <c r="J283" t="s">
        <v>87</v>
      </c>
      <c r="K283" t="s">
        <v>88</v>
      </c>
      <c r="L283" t="str">
        <f t="shared" si="12"/>
        <v>CAROL FOLEY</v>
      </c>
      <c r="M283" t="s">
        <v>57</v>
      </c>
      <c r="N283" s="1">
        <v>45980</v>
      </c>
      <c r="O283" s="1">
        <v>46131</v>
      </c>
      <c r="P283">
        <f t="shared" si="14"/>
        <v>5</v>
      </c>
      <c r="Q283" s="1" t="s">
        <v>261</v>
      </c>
      <c r="R283" s="1" t="s">
        <v>843</v>
      </c>
      <c r="S283" s="2">
        <v>26.7</v>
      </c>
      <c r="T283">
        <v>1</v>
      </c>
      <c r="U283" t="s">
        <v>58</v>
      </c>
      <c r="V283" s="4">
        <v>0.375</v>
      </c>
      <c r="W283" t="s">
        <v>60</v>
      </c>
      <c r="X283" t="s">
        <v>262</v>
      </c>
      <c r="Y283" s="2">
        <v>10.01</v>
      </c>
    </row>
    <row r="284" spans="1:25" x14ac:dyDescent="0.3">
      <c r="A284">
        <v>2032063079</v>
      </c>
      <c r="B284" t="s">
        <v>682</v>
      </c>
      <c r="C284" t="s">
        <v>77</v>
      </c>
      <c r="D284" t="str">
        <f t="shared" si="13"/>
        <v>RYAN WALKER</v>
      </c>
      <c r="E284" t="s">
        <v>64</v>
      </c>
      <c r="F284" t="s">
        <v>222</v>
      </c>
      <c r="G284" t="s">
        <v>223</v>
      </c>
      <c r="H284" t="s">
        <v>223</v>
      </c>
      <c r="I284" s="10">
        <v>20003537</v>
      </c>
      <c r="J284" t="s">
        <v>67</v>
      </c>
      <c r="K284" t="s">
        <v>473</v>
      </c>
      <c r="L284" t="str">
        <f t="shared" si="12"/>
        <v>Chad Yale</v>
      </c>
      <c r="M284" t="s">
        <v>57</v>
      </c>
      <c r="N284" s="1">
        <v>45976</v>
      </c>
      <c r="O284" s="1">
        <v>46127</v>
      </c>
      <c r="P284">
        <f t="shared" si="14"/>
        <v>5</v>
      </c>
      <c r="Q284" s="1" t="s">
        <v>261</v>
      </c>
      <c r="R284" s="1" t="s">
        <v>843</v>
      </c>
      <c r="S284" s="2">
        <v>74.58</v>
      </c>
      <c r="T284">
        <v>1</v>
      </c>
      <c r="U284" t="s">
        <v>58</v>
      </c>
      <c r="V284" s="3">
        <v>0.7</v>
      </c>
      <c r="W284" t="s">
        <v>60</v>
      </c>
      <c r="X284" t="s">
        <v>262</v>
      </c>
      <c r="Y284" s="2">
        <v>52.21</v>
      </c>
    </row>
    <row r="285" spans="1:25" x14ac:dyDescent="0.3">
      <c r="A285">
        <v>2032125777</v>
      </c>
      <c r="B285" t="s">
        <v>574</v>
      </c>
      <c r="C285" t="s">
        <v>575</v>
      </c>
      <c r="D285" t="str">
        <f t="shared" si="13"/>
        <v>JUDY LUMFORD</v>
      </c>
      <c r="E285" t="s">
        <v>139</v>
      </c>
      <c r="F285" t="s">
        <v>576</v>
      </c>
      <c r="G285" t="s">
        <v>577</v>
      </c>
      <c r="H285" t="s">
        <v>809</v>
      </c>
      <c r="I285" s="10">
        <v>17437820</v>
      </c>
      <c r="J285" t="s">
        <v>578</v>
      </c>
      <c r="K285" t="s">
        <v>579</v>
      </c>
      <c r="L285" t="str">
        <f t="shared" si="12"/>
        <v>COLLEEN FINNIGAN</v>
      </c>
      <c r="M285" t="s">
        <v>57</v>
      </c>
      <c r="N285" s="1">
        <v>45977</v>
      </c>
      <c r="O285" s="1">
        <v>46128</v>
      </c>
      <c r="P285">
        <f t="shared" si="14"/>
        <v>5</v>
      </c>
      <c r="Q285" s="1" t="s">
        <v>261</v>
      </c>
      <c r="R285" s="1" t="s">
        <v>843</v>
      </c>
      <c r="S285" s="2">
        <v>80.73</v>
      </c>
      <c r="T285">
        <v>1</v>
      </c>
      <c r="U285" t="s">
        <v>58</v>
      </c>
      <c r="V285" s="3">
        <v>1.3</v>
      </c>
      <c r="W285" t="s">
        <v>60</v>
      </c>
      <c r="X285" t="s">
        <v>262</v>
      </c>
      <c r="Y285" s="2">
        <v>104.95</v>
      </c>
    </row>
    <row r="286" spans="1:25" x14ac:dyDescent="0.3">
      <c r="A286">
        <v>2032281783</v>
      </c>
      <c r="B286" t="s">
        <v>687</v>
      </c>
      <c r="C286" t="s">
        <v>688</v>
      </c>
      <c r="D286" t="str">
        <f t="shared" si="13"/>
        <v>ERICA SOLIVAN</v>
      </c>
      <c r="E286" t="s">
        <v>86</v>
      </c>
      <c r="F286" t="s">
        <v>222</v>
      </c>
      <c r="G286" t="s">
        <v>223</v>
      </c>
      <c r="H286" t="s">
        <v>223</v>
      </c>
      <c r="I286" s="10">
        <v>21605264</v>
      </c>
      <c r="J286" t="s">
        <v>689</v>
      </c>
      <c r="K286" t="s">
        <v>690</v>
      </c>
      <c r="L286" t="str">
        <f t="shared" si="12"/>
        <v>Erica Solivan</v>
      </c>
      <c r="M286" t="s">
        <v>57</v>
      </c>
      <c r="N286" s="1">
        <v>45982</v>
      </c>
      <c r="O286" s="1">
        <v>46133</v>
      </c>
      <c r="P286">
        <f t="shared" si="14"/>
        <v>5</v>
      </c>
      <c r="Q286" s="1" t="s">
        <v>261</v>
      </c>
      <c r="R286" s="1" t="s">
        <v>843</v>
      </c>
      <c r="S286" s="2">
        <v>31.23</v>
      </c>
      <c r="T286">
        <v>1</v>
      </c>
      <c r="U286" t="s">
        <v>58</v>
      </c>
      <c r="V286" s="3">
        <v>0.7</v>
      </c>
      <c r="W286" t="s">
        <v>60</v>
      </c>
      <c r="X286" t="s">
        <v>262</v>
      </c>
      <c r="Y286" s="2">
        <v>21.86</v>
      </c>
    </row>
    <row r="287" spans="1:25" x14ac:dyDescent="0.3">
      <c r="A287">
        <v>2032348659</v>
      </c>
      <c r="B287" t="s">
        <v>545</v>
      </c>
      <c r="C287" t="s">
        <v>546</v>
      </c>
      <c r="D287" t="str">
        <f t="shared" si="13"/>
        <v>RONALD TRINH</v>
      </c>
      <c r="E287" t="s">
        <v>324</v>
      </c>
      <c r="F287" t="s">
        <v>222</v>
      </c>
      <c r="G287" t="s">
        <v>223</v>
      </c>
      <c r="H287" t="s">
        <v>223</v>
      </c>
      <c r="I287" s="10">
        <v>9213293</v>
      </c>
      <c r="J287" t="s">
        <v>495</v>
      </c>
      <c r="K287" t="s">
        <v>547</v>
      </c>
      <c r="L287" t="str">
        <f t="shared" si="12"/>
        <v>GARY PORTUGAL</v>
      </c>
      <c r="M287" t="s">
        <v>57</v>
      </c>
      <c r="N287" s="1">
        <v>45986</v>
      </c>
      <c r="O287" s="1">
        <v>46137</v>
      </c>
      <c r="P287">
        <f t="shared" si="14"/>
        <v>5</v>
      </c>
      <c r="Q287" s="1" t="s">
        <v>261</v>
      </c>
      <c r="R287" s="1" t="s">
        <v>843</v>
      </c>
      <c r="S287" s="2">
        <v>26.31</v>
      </c>
      <c r="T287">
        <v>1</v>
      </c>
      <c r="U287" t="s">
        <v>58</v>
      </c>
      <c r="V287" s="3">
        <v>0.7</v>
      </c>
      <c r="W287" t="s">
        <v>60</v>
      </c>
      <c r="X287" t="s">
        <v>262</v>
      </c>
      <c r="Y287" s="2">
        <v>18.420000000000002</v>
      </c>
    </row>
    <row r="288" spans="1:25" x14ac:dyDescent="0.3">
      <c r="A288">
        <v>2032348658</v>
      </c>
      <c r="B288" t="s">
        <v>545</v>
      </c>
      <c r="C288" t="s">
        <v>546</v>
      </c>
      <c r="D288" t="str">
        <f t="shared" si="13"/>
        <v>RONALD TRINH</v>
      </c>
      <c r="E288" t="s">
        <v>324</v>
      </c>
      <c r="F288" t="s">
        <v>163</v>
      </c>
      <c r="G288" t="s">
        <v>164</v>
      </c>
      <c r="H288" t="s">
        <v>164</v>
      </c>
      <c r="I288" s="10">
        <v>9213293</v>
      </c>
      <c r="J288" t="s">
        <v>495</v>
      </c>
      <c r="K288" t="s">
        <v>547</v>
      </c>
      <c r="L288" t="str">
        <f t="shared" si="12"/>
        <v>GARY PORTUGAL</v>
      </c>
      <c r="M288" t="s">
        <v>57</v>
      </c>
      <c r="N288" s="1">
        <v>45986</v>
      </c>
      <c r="O288" s="1">
        <v>46137</v>
      </c>
      <c r="P288">
        <f t="shared" si="14"/>
        <v>5</v>
      </c>
      <c r="Q288" s="1" t="s">
        <v>261</v>
      </c>
      <c r="R288" s="1" t="s">
        <v>843</v>
      </c>
      <c r="S288" s="2">
        <v>48.15</v>
      </c>
      <c r="T288">
        <v>1</v>
      </c>
      <c r="U288" t="s">
        <v>58</v>
      </c>
      <c r="V288" s="4">
        <v>0.375</v>
      </c>
      <c r="W288" t="s">
        <v>60</v>
      </c>
      <c r="X288" t="s">
        <v>262</v>
      </c>
      <c r="Y288" s="2">
        <v>18.059999999999999</v>
      </c>
    </row>
    <row r="289" spans="1:25" x14ac:dyDescent="0.3">
      <c r="A289">
        <v>2032309635</v>
      </c>
      <c r="B289" t="s">
        <v>692</v>
      </c>
      <c r="C289" t="s">
        <v>693</v>
      </c>
      <c r="D289" t="str">
        <f t="shared" si="13"/>
        <v>RONDA FINLAY</v>
      </c>
      <c r="E289" t="s">
        <v>324</v>
      </c>
      <c r="F289" t="s">
        <v>222</v>
      </c>
      <c r="G289" t="s">
        <v>223</v>
      </c>
      <c r="H289" t="s">
        <v>223</v>
      </c>
      <c r="I289" s="10">
        <v>9213293</v>
      </c>
      <c r="J289" t="s">
        <v>495</v>
      </c>
      <c r="K289" t="s">
        <v>547</v>
      </c>
      <c r="L289" t="str">
        <f t="shared" si="12"/>
        <v>GARY PORTUGAL</v>
      </c>
      <c r="M289" t="s">
        <v>57</v>
      </c>
      <c r="N289" s="1">
        <v>45983</v>
      </c>
      <c r="O289" s="1">
        <v>46134</v>
      </c>
      <c r="P289">
        <f t="shared" si="14"/>
        <v>5</v>
      </c>
      <c r="Q289" s="1" t="s">
        <v>261</v>
      </c>
      <c r="R289" s="1" t="s">
        <v>843</v>
      </c>
      <c r="S289" s="2">
        <v>61.02</v>
      </c>
      <c r="T289">
        <v>1</v>
      </c>
      <c r="U289" t="s">
        <v>58</v>
      </c>
      <c r="V289" s="3">
        <v>0.7</v>
      </c>
      <c r="W289" t="s">
        <v>60</v>
      </c>
      <c r="X289" t="s">
        <v>262</v>
      </c>
      <c r="Y289" s="2">
        <v>42.71</v>
      </c>
    </row>
    <row r="290" spans="1:25" x14ac:dyDescent="0.3">
      <c r="A290">
        <v>2031909834</v>
      </c>
      <c r="B290" t="s">
        <v>678</v>
      </c>
      <c r="C290" t="s">
        <v>679</v>
      </c>
      <c r="D290" t="str">
        <f t="shared" si="13"/>
        <v>CARROL KING</v>
      </c>
      <c r="E290" t="s">
        <v>117</v>
      </c>
      <c r="F290" t="s">
        <v>222</v>
      </c>
      <c r="G290" t="s">
        <v>224</v>
      </c>
      <c r="H290" t="s">
        <v>224</v>
      </c>
      <c r="I290" s="10">
        <v>8307933</v>
      </c>
      <c r="J290" t="s">
        <v>96</v>
      </c>
      <c r="K290" t="s">
        <v>97</v>
      </c>
      <c r="L290" t="str">
        <f t="shared" si="12"/>
        <v>GREGORY TEIPEL</v>
      </c>
      <c r="M290" t="s">
        <v>57</v>
      </c>
      <c r="N290" s="1">
        <v>45982</v>
      </c>
      <c r="O290" s="1">
        <v>46133</v>
      </c>
      <c r="P290">
        <f t="shared" si="14"/>
        <v>5</v>
      </c>
      <c r="Q290" s="1" t="s">
        <v>261</v>
      </c>
      <c r="R290" s="1" t="s">
        <v>843</v>
      </c>
      <c r="S290" s="2">
        <v>69.08</v>
      </c>
      <c r="T290">
        <v>1</v>
      </c>
      <c r="U290" t="s">
        <v>58</v>
      </c>
      <c r="V290" s="3">
        <v>0.9</v>
      </c>
      <c r="W290" t="s">
        <v>60</v>
      </c>
      <c r="X290" t="s">
        <v>262</v>
      </c>
      <c r="Y290" s="2">
        <v>62.17</v>
      </c>
    </row>
    <row r="291" spans="1:25" x14ac:dyDescent="0.3">
      <c r="A291">
        <v>2032338434</v>
      </c>
      <c r="B291" t="s">
        <v>539</v>
      </c>
      <c r="C291" t="s">
        <v>540</v>
      </c>
      <c r="D291" t="str">
        <f t="shared" si="13"/>
        <v>PAYTON MILLIS</v>
      </c>
      <c r="E291" t="s">
        <v>74</v>
      </c>
      <c r="F291" t="s">
        <v>222</v>
      </c>
      <c r="G291" t="s">
        <v>223</v>
      </c>
      <c r="H291" t="s">
        <v>223</v>
      </c>
      <c r="I291" s="10">
        <v>8046194</v>
      </c>
      <c r="J291" t="s">
        <v>82</v>
      </c>
      <c r="K291" t="s">
        <v>83</v>
      </c>
      <c r="L291" t="str">
        <f t="shared" si="12"/>
        <v>H Allan</v>
      </c>
      <c r="M291" t="s">
        <v>57</v>
      </c>
      <c r="N291" s="1">
        <v>45986</v>
      </c>
      <c r="O291" s="1">
        <v>46137</v>
      </c>
      <c r="P291">
        <f t="shared" si="14"/>
        <v>5</v>
      </c>
      <c r="Q291" s="1" t="s">
        <v>261</v>
      </c>
      <c r="R291" s="1" t="s">
        <v>843</v>
      </c>
      <c r="S291" s="2">
        <v>22</v>
      </c>
      <c r="T291">
        <v>1</v>
      </c>
      <c r="U291" t="s">
        <v>58</v>
      </c>
      <c r="V291" s="3">
        <v>0.7</v>
      </c>
      <c r="W291" t="s">
        <v>60</v>
      </c>
      <c r="X291" t="s">
        <v>262</v>
      </c>
      <c r="Y291" s="2">
        <v>15.4</v>
      </c>
    </row>
    <row r="292" spans="1:25" x14ac:dyDescent="0.3">
      <c r="A292">
        <v>2032338433</v>
      </c>
      <c r="B292" t="s">
        <v>539</v>
      </c>
      <c r="C292" t="s">
        <v>540</v>
      </c>
      <c r="D292" t="str">
        <f t="shared" si="13"/>
        <v>PAYTON MILLIS</v>
      </c>
      <c r="E292" t="s">
        <v>74</v>
      </c>
      <c r="F292" t="s">
        <v>163</v>
      </c>
      <c r="G292" t="s">
        <v>164</v>
      </c>
      <c r="H292" t="s">
        <v>164</v>
      </c>
      <c r="I292" s="10">
        <v>8046194</v>
      </c>
      <c r="J292" t="s">
        <v>82</v>
      </c>
      <c r="K292" t="s">
        <v>83</v>
      </c>
      <c r="L292" t="str">
        <f t="shared" si="12"/>
        <v>H Allan</v>
      </c>
      <c r="M292" t="s">
        <v>57</v>
      </c>
      <c r="N292" s="1">
        <v>45986</v>
      </c>
      <c r="O292" s="1">
        <v>46137</v>
      </c>
      <c r="P292">
        <f t="shared" si="14"/>
        <v>5</v>
      </c>
      <c r="Q292" s="1" t="s">
        <v>261</v>
      </c>
      <c r="R292" s="1" t="s">
        <v>843</v>
      </c>
      <c r="S292" s="2">
        <v>28.38</v>
      </c>
      <c r="T292">
        <v>1</v>
      </c>
      <c r="U292" t="s">
        <v>58</v>
      </c>
      <c r="V292" s="4">
        <v>0.375</v>
      </c>
      <c r="W292" t="s">
        <v>60</v>
      </c>
      <c r="X292" t="s">
        <v>262</v>
      </c>
      <c r="Y292" s="2">
        <v>10.64</v>
      </c>
    </row>
    <row r="293" spans="1:25" x14ac:dyDescent="0.3">
      <c r="A293">
        <v>2032344143</v>
      </c>
      <c r="B293" t="s">
        <v>281</v>
      </c>
      <c r="C293" t="s">
        <v>173</v>
      </c>
      <c r="D293" t="str">
        <f t="shared" si="13"/>
        <v>SCOTT PIROCH</v>
      </c>
      <c r="E293" t="s">
        <v>52</v>
      </c>
      <c r="F293" t="s">
        <v>53</v>
      </c>
      <c r="G293" t="s">
        <v>54</v>
      </c>
      <c r="H293" t="s">
        <v>806</v>
      </c>
      <c r="I293" s="10">
        <v>20411454</v>
      </c>
      <c r="J293" t="s">
        <v>282</v>
      </c>
      <c r="K293" t="s">
        <v>283</v>
      </c>
      <c r="L293" t="s">
        <v>841</v>
      </c>
      <c r="M293" t="s">
        <v>57</v>
      </c>
      <c r="N293" s="1">
        <v>45986</v>
      </c>
      <c r="O293" s="1">
        <v>46137</v>
      </c>
      <c r="P293">
        <f t="shared" si="14"/>
        <v>5</v>
      </c>
      <c r="Q293" s="1" t="s">
        <v>261</v>
      </c>
      <c r="R293" s="1" t="s">
        <v>843</v>
      </c>
      <c r="S293" s="2">
        <v>8.49</v>
      </c>
      <c r="T293">
        <v>1</v>
      </c>
      <c r="U293" t="s">
        <v>58</v>
      </c>
      <c r="V293" s="3">
        <v>0.2</v>
      </c>
      <c r="W293" t="s">
        <v>60</v>
      </c>
      <c r="X293" t="s">
        <v>262</v>
      </c>
      <c r="Y293" s="2">
        <v>8.49</v>
      </c>
    </row>
    <row r="294" spans="1:25" x14ac:dyDescent="0.3">
      <c r="A294">
        <v>2031596060</v>
      </c>
      <c r="B294" t="s">
        <v>358</v>
      </c>
      <c r="C294" t="s">
        <v>359</v>
      </c>
      <c r="D294" t="str">
        <f t="shared" si="13"/>
        <v>HAILEY KESLER</v>
      </c>
      <c r="E294" t="s">
        <v>332</v>
      </c>
      <c r="F294" t="s">
        <v>65</v>
      </c>
      <c r="G294" t="s">
        <v>71</v>
      </c>
      <c r="H294" t="s">
        <v>796</v>
      </c>
      <c r="I294" s="10">
        <v>1706194</v>
      </c>
      <c r="J294" t="s">
        <v>146</v>
      </c>
      <c r="K294" t="s">
        <v>116</v>
      </c>
      <c r="L294" t="str">
        <f t="shared" ref="L294:L325" si="15">_xlfn.CONCAT(K294," ",J294)</f>
        <v>MATTHEW DAUGHERTY</v>
      </c>
      <c r="M294" t="s">
        <v>57</v>
      </c>
      <c r="N294" s="1">
        <v>45962</v>
      </c>
      <c r="O294" s="1">
        <v>46113</v>
      </c>
      <c r="P294">
        <f t="shared" si="14"/>
        <v>5</v>
      </c>
      <c r="Q294" s="1" t="s">
        <v>261</v>
      </c>
      <c r="R294" s="1" t="s">
        <v>843</v>
      </c>
      <c r="S294" s="2">
        <v>99.58</v>
      </c>
      <c r="T294">
        <v>1</v>
      </c>
      <c r="U294" t="s">
        <v>58</v>
      </c>
      <c r="V294" s="3">
        <v>0.9</v>
      </c>
      <c r="W294" t="s">
        <v>60</v>
      </c>
      <c r="X294" t="s">
        <v>262</v>
      </c>
      <c r="Y294" s="2">
        <v>89.62</v>
      </c>
    </row>
    <row r="295" spans="1:25" x14ac:dyDescent="0.3">
      <c r="A295">
        <v>2031596061</v>
      </c>
      <c r="B295" t="s">
        <v>358</v>
      </c>
      <c r="C295" t="s">
        <v>359</v>
      </c>
      <c r="D295" t="str">
        <f t="shared" si="13"/>
        <v>HAILEY KESLER</v>
      </c>
      <c r="E295" t="s">
        <v>332</v>
      </c>
      <c r="F295" t="s">
        <v>222</v>
      </c>
      <c r="G295" t="s">
        <v>223</v>
      </c>
      <c r="H295" t="s">
        <v>223</v>
      </c>
      <c r="I295" s="10">
        <v>1706194</v>
      </c>
      <c r="J295" t="s">
        <v>146</v>
      </c>
      <c r="K295" t="s">
        <v>116</v>
      </c>
      <c r="L295" t="str">
        <f t="shared" si="15"/>
        <v>MATTHEW DAUGHERTY</v>
      </c>
      <c r="M295" t="s">
        <v>57</v>
      </c>
      <c r="N295" s="1">
        <v>45962</v>
      </c>
      <c r="O295" s="1">
        <v>46113</v>
      </c>
      <c r="P295">
        <f t="shared" si="14"/>
        <v>5</v>
      </c>
      <c r="Q295" s="1" t="s">
        <v>261</v>
      </c>
      <c r="R295" s="1" t="s">
        <v>843</v>
      </c>
      <c r="S295" s="2">
        <v>24.98</v>
      </c>
      <c r="T295">
        <v>1</v>
      </c>
      <c r="U295" t="s">
        <v>58</v>
      </c>
      <c r="V295" s="3">
        <v>0.7</v>
      </c>
      <c r="W295" t="s">
        <v>60</v>
      </c>
      <c r="X295" t="s">
        <v>262</v>
      </c>
      <c r="Y295" s="2">
        <v>17.489999999999998</v>
      </c>
    </row>
    <row r="296" spans="1:25" x14ac:dyDescent="0.3">
      <c r="A296">
        <v>2032297146</v>
      </c>
      <c r="B296" t="s">
        <v>691</v>
      </c>
      <c r="C296" t="s">
        <v>293</v>
      </c>
      <c r="D296" t="str">
        <f t="shared" si="13"/>
        <v>JOHN MULLHAUSEN</v>
      </c>
      <c r="E296" t="s">
        <v>103</v>
      </c>
      <c r="F296" t="s">
        <v>222</v>
      </c>
      <c r="G296" t="s">
        <v>227</v>
      </c>
      <c r="H296" t="s">
        <v>590</v>
      </c>
      <c r="I296" s="10">
        <v>5442438</v>
      </c>
      <c r="J296" t="s">
        <v>149</v>
      </c>
      <c r="K296" t="s">
        <v>150</v>
      </c>
      <c r="L296" t="str">
        <f t="shared" si="15"/>
        <v>Ronald Max</v>
      </c>
      <c r="M296" t="s">
        <v>57</v>
      </c>
      <c r="N296" s="1">
        <v>45988</v>
      </c>
      <c r="O296" s="1">
        <v>46139</v>
      </c>
      <c r="P296">
        <f t="shared" si="14"/>
        <v>5</v>
      </c>
      <c r="Q296" s="1" t="s">
        <v>261</v>
      </c>
      <c r="R296" s="1" t="s">
        <v>843</v>
      </c>
      <c r="S296" s="2">
        <v>24.61</v>
      </c>
      <c r="T296">
        <v>1</v>
      </c>
      <c r="U296" t="s">
        <v>58</v>
      </c>
      <c r="V296" s="3">
        <v>0.7</v>
      </c>
      <c r="W296" t="s">
        <v>60</v>
      </c>
      <c r="X296" t="s">
        <v>262</v>
      </c>
      <c r="Y296" s="2">
        <v>17.23</v>
      </c>
    </row>
    <row r="297" spans="1:25" x14ac:dyDescent="0.3">
      <c r="A297">
        <v>2032297145</v>
      </c>
      <c r="B297" t="s">
        <v>691</v>
      </c>
      <c r="C297" t="s">
        <v>293</v>
      </c>
      <c r="D297" t="str">
        <f t="shared" si="13"/>
        <v>JOHN MULLHAUSEN</v>
      </c>
      <c r="E297" t="s">
        <v>103</v>
      </c>
      <c r="F297" t="s">
        <v>222</v>
      </c>
      <c r="G297" t="s">
        <v>224</v>
      </c>
      <c r="H297" t="s">
        <v>224</v>
      </c>
      <c r="I297" s="10">
        <v>5442438</v>
      </c>
      <c r="J297" t="s">
        <v>149</v>
      </c>
      <c r="K297" t="s">
        <v>150</v>
      </c>
      <c r="L297" t="str">
        <f t="shared" si="15"/>
        <v>Ronald Max</v>
      </c>
      <c r="M297" t="s">
        <v>57</v>
      </c>
      <c r="N297" s="1">
        <v>45988</v>
      </c>
      <c r="O297" s="1">
        <v>46139</v>
      </c>
      <c r="P297">
        <f t="shared" si="14"/>
        <v>5</v>
      </c>
      <c r="Q297" s="1" t="s">
        <v>261</v>
      </c>
      <c r="R297" s="1" t="s">
        <v>843</v>
      </c>
      <c r="S297" s="2">
        <v>67.88</v>
      </c>
      <c r="T297">
        <v>1</v>
      </c>
      <c r="U297" t="s">
        <v>58</v>
      </c>
      <c r="V297" s="3">
        <v>0.9</v>
      </c>
      <c r="W297" t="s">
        <v>60</v>
      </c>
      <c r="X297" t="s">
        <v>262</v>
      </c>
      <c r="Y297" s="2">
        <v>61.09</v>
      </c>
    </row>
    <row r="298" spans="1:25" x14ac:dyDescent="0.3">
      <c r="A298">
        <v>2032032432</v>
      </c>
      <c r="B298" t="s">
        <v>534</v>
      </c>
      <c r="C298" t="s">
        <v>535</v>
      </c>
      <c r="D298" t="str">
        <f t="shared" si="13"/>
        <v>NATALIE ROMO</v>
      </c>
      <c r="E298" t="s">
        <v>64</v>
      </c>
      <c r="F298" t="s">
        <v>222</v>
      </c>
      <c r="G298" t="s">
        <v>223</v>
      </c>
      <c r="H298" t="s">
        <v>223</v>
      </c>
      <c r="I298" s="10">
        <v>19396223</v>
      </c>
      <c r="J298" t="s">
        <v>201</v>
      </c>
      <c r="K298" t="s">
        <v>202</v>
      </c>
      <c r="L298" t="str">
        <f t="shared" si="15"/>
        <v>Saadia Abdul</v>
      </c>
      <c r="M298" t="s">
        <v>57</v>
      </c>
      <c r="N298" s="1">
        <v>45985</v>
      </c>
      <c r="O298" s="1">
        <v>46136</v>
      </c>
      <c r="P298">
        <f t="shared" si="14"/>
        <v>5</v>
      </c>
      <c r="Q298" s="1" t="s">
        <v>261</v>
      </c>
      <c r="R298" s="1" t="s">
        <v>843</v>
      </c>
      <c r="S298" s="2">
        <v>15.75</v>
      </c>
      <c r="T298">
        <v>1</v>
      </c>
      <c r="U298" t="s">
        <v>58</v>
      </c>
      <c r="V298" s="3">
        <v>0.7</v>
      </c>
      <c r="W298" t="s">
        <v>60</v>
      </c>
      <c r="X298" t="s">
        <v>262</v>
      </c>
      <c r="Y298" s="2">
        <v>11.02</v>
      </c>
    </row>
    <row r="299" spans="1:25" x14ac:dyDescent="0.3">
      <c r="A299">
        <v>2032032433</v>
      </c>
      <c r="B299" t="s">
        <v>534</v>
      </c>
      <c r="C299" t="s">
        <v>535</v>
      </c>
      <c r="D299" t="str">
        <f t="shared" si="13"/>
        <v>NATALIE ROMO</v>
      </c>
      <c r="E299" t="s">
        <v>64</v>
      </c>
      <c r="F299" t="s">
        <v>163</v>
      </c>
      <c r="G299" t="s">
        <v>164</v>
      </c>
      <c r="H299" t="s">
        <v>164</v>
      </c>
      <c r="I299" s="10">
        <v>19396223</v>
      </c>
      <c r="J299" t="s">
        <v>201</v>
      </c>
      <c r="K299" t="s">
        <v>202</v>
      </c>
      <c r="L299" t="str">
        <f t="shared" si="15"/>
        <v>Saadia Abdul</v>
      </c>
      <c r="M299" t="s">
        <v>57</v>
      </c>
      <c r="N299" s="1">
        <v>45985</v>
      </c>
      <c r="O299" s="1">
        <v>46136</v>
      </c>
      <c r="P299">
        <f t="shared" si="14"/>
        <v>5</v>
      </c>
      <c r="Q299" s="1" t="s">
        <v>261</v>
      </c>
      <c r="R299" s="1" t="s">
        <v>843</v>
      </c>
      <c r="S299" s="2">
        <v>158.56</v>
      </c>
      <c r="T299">
        <v>1</v>
      </c>
      <c r="U299" t="s">
        <v>58</v>
      </c>
      <c r="V299" s="4">
        <v>0.375</v>
      </c>
      <c r="W299" t="s">
        <v>60</v>
      </c>
      <c r="X299" t="s">
        <v>262</v>
      </c>
      <c r="Y299" s="2">
        <v>59.46</v>
      </c>
    </row>
    <row r="300" spans="1:25" x14ac:dyDescent="0.3">
      <c r="A300">
        <v>2031646838</v>
      </c>
      <c r="B300" t="s">
        <v>505</v>
      </c>
      <c r="C300" t="s">
        <v>200</v>
      </c>
      <c r="D300" t="str">
        <f t="shared" si="13"/>
        <v>MICHAEL ROBINSON</v>
      </c>
      <c r="E300" t="s">
        <v>213</v>
      </c>
      <c r="F300" t="s">
        <v>256</v>
      </c>
      <c r="G300" t="s">
        <v>257</v>
      </c>
      <c r="H300" t="s">
        <v>257</v>
      </c>
      <c r="I300" s="10">
        <v>21435997</v>
      </c>
      <c r="J300" t="s">
        <v>118</v>
      </c>
      <c r="K300" t="s">
        <v>119</v>
      </c>
      <c r="L300" t="str">
        <f t="shared" si="15"/>
        <v>Christopher Brousseau</v>
      </c>
      <c r="M300" t="s">
        <v>57</v>
      </c>
      <c r="N300" s="1">
        <v>45948</v>
      </c>
      <c r="O300" s="1">
        <v>46130</v>
      </c>
      <c r="P300">
        <f t="shared" si="14"/>
        <v>6</v>
      </c>
      <c r="Q300" s="1" t="s">
        <v>261</v>
      </c>
      <c r="R300" s="1" t="s">
        <v>843</v>
      </c>
      <c r="S300" s="2">
        <v>74.209999999999994</v>
      </c>
      <c r="T300">
        <v>1</v>
      </c>
      <c r="U300" t="s">
        <v>58</v>
      </c>
      <c r="V300" s="3">
        <v>0.47</v>
      </c>
      <c r="W300" t="s">
        <v>60</v>
      </c>
      <c r="X300" t="s">
        <v>262</v>
      </c>
      <c r="Y300" s="2">
        <v>34.880000000000003</v>
      </c>
    </row>
    <row r="301" spans="1:25" x14ac:dyDescent="0.3">
      <c r="A301">
        <v>2031773320</v>
      </c>
      <c r="B301" t="s">
        <v>673</v>
      </c>
      <c r="C301" t="s">
        <v>674</v>
      </c>
      <c r="D301" t="str">
        <f t="shared" si="13"/>
        <v>PHENU ZACHARIAH</v>
      </c>
      <c r="E301" t="s">
        <v>74</v>
      </c>
      <c r="F301" t="s">
        <v>222</v>
      </c>
      <c r="G301" t="s">
        <v>223</v>
      </c>
      <c r="H301" t="s">
        <v>223</v>
      </c>
      <c r="I301" s="10">
        <v>9213293</v>
      </c>
      <c r="J301" t="s">
        <v>495</v>
      </c>
      <c r="K301" t="s">
        <v>547</v>
      </c>
      <c r="L301" t="str">
        <f t="shared" si="15"/>
        <v>GARY PORTUGAL</v>
      </c>
      <c r="M301" t="s">
        <v>57</v>
      </c>
      <c r="N301" s="1">
        <v>45954</v>
      </c>
      <c r="O301" s="1">
        <v>46136</v>
      </c>
      <c r="P301">
        <f t="shared" si="14"/>
        <v>6</v>
      </c>
      <c r="Q301" s="1" t="s">
        <v>261</v>
      </c>
      <c r="R301" s="1" t="s">
        <v>843</v>
      </c>
      <c r="S301" s="2">
        <v>132.82</v>
      </c>
      <c r="T301">
        <v>1</v>
      </c>
      <c r="U301" t="s">
        <v>58</v>
      </c>
      <c r="V301" s="3">
        <v>0.7</v>
      </c>
      <c r="W301" t="s">
        <v>60</v>
      </c>
      <c r="X301" t="s">
        <v>262</v>
      </c>
      <c r="Y301" s="2">
        <v>92.97</v>
      </c>
    </row>
    <row r="302" spans="1:25" x14ac:dyDescent="0.3">
      <c r="A302">
        <v>2031767154</v>
      </c>
      <c r="B302" t="s">
        <v>671</v>
      </c>
      <c r="C302" t="s">
        <v>672</v>
      </c>
      <c r="D302" t="str">
        <f t="shared" si="13"/>
        <v>AUGUSTO APARICIO</v>
      </c>
      <c r="E302" t="s">
        <v>86</v>
      </c>
      <c r="F302" t="s">
        <v>222</v>
      </c>
      <c r="G302" t="s">
        <v>223</v>
      </c>
      <c r="H302" t="s">
        <v>223</v>
      </c>
      <c r="I302" s="10">
        <v>9213293</v>
      </c>
      <c r="J302" t="s">
        <v>495</v>
      </c>
      <c r="K302" t="s">
        <v>547</v>
      </c>
      <c r="L302" t="str">
        <f t="shared" si="15"/>
        <v>GARY PORTUGAL</v>
      </c>
      <c r="M302" t="s">
        <v>57</v>
      </c>
      <c r="N302" s="1">
        <v>45953</v>
      </c>
      <c r="O302" s="1">
        <v>46135</v>
      </c>
      <c r="P302">
        <f t="shared" si="14"/>
        <v>6</v>
      </c>
      <c r="Q302" s="1" t="s">
        <v>261</v>
      </c>
      <c r="R302" s="1" t="s">
        <v>843</v>
      </c>
      <c r="S302" s="2">
        <v>59.57</v>
      </c>
      <c r="T302">
        <v>1</v>
      </c>
      <c r="U302" t="s">
        <v>58</v>
      </c>
      <c r="V302" s="3">
        <v>0.7</v>
      </c>
      <c r="W302" t="s">
        <v>60</v>
      </c>
      <c r="X302" t="s">
        <v>262</v>
      </c>
      <c r="Y302" s="2">
        <v>41.7</v>
      </c>
    </row>
    <row r="303" spans="1:25" x14ac:dyDescent="0.3">
      <c r="A303">
        <v>2031719648</v>
      </c>
      <c r="B303" t="s">
        <v>533</v>
      </c>
      <c r="C303" t="s">
        <v>237</v>
      </c>
      <c r="D303" t="str">
        <f t="shared" si="13"/>
        <v>JACOB ARNOLD</v>
      </c>
      <c r="E303" t="s">
        <v>86</v>
      </c>
      <c r="F303" t="s">
        <v>222</v>
      </c>
      <c r="G303" t="s">
        <v>223</v>
      </c>
      <c r="H303" t="s">
        <v>223</v>
      </c>
      <c r="I303" s="10">
        <v>18754354</v>
      </c>
      <c r="J303" t="s">
        <v>236</v>
      </c>
      <c r="K303" t="s">
        <v>237</v>
      </c>
      <c r="L303" t="str">
        <f t="shared" si="15"/>
        <v>JACOB YALE</v>
      </c>
      <c r="M303" t="s">
        <v>57</v>
      </c>
      <c r="N303" s="1">
        <v>45951</v>
      </c>
      <c r="O303" s="1">
        <v>46133</v>
      </c>
      <c r="P303">
        <f t="shared" si="14"/>
        <v>6</v>
      </c>
      <c r="Q303" s="1" t="s">
        <v>261</v>
      </c>
      <c r="R303" s="1" t="s">
        <v>843</v>
      </c>
      <c r="S303" s="2">
        <v>11.74</v>
      </c>
      <c r="T303">
        <v>1</v>
      </c>
      <c r="U303" t="s">
        <v>58</v>
      </c>
      <c r="V303" s="3">
        <v>0.7</v>
      </c>
      <c r="W303" t="s">
        <v>60</v>
      </c>
      <c r="X303" t="s">
        <v>262</v>
      </c>
      <c r="Y303" s="2">
        <v>8.2200000000000006</v>
      </c>
    </row>
    <row r="304" spans="1:25" x14ac:dyDescent="0.3">
      <c r="A304">
        <v>2031719649</v>
      </c>
      <c r="B304" t="s">
        <v>533</v>
      </c>
      <c r="C304" t="s">
        <v>237</v>
      </c>
      <c r="D304" t="str">
        <f t="shared" si="13"/>
        <v>JACOB ARNOLD</v>
      </c>
      <c r="E304" t="s">
        <v>86</v>
      </c>
      <c r="F304" t="s">
        <v>163</v>
      </c>
      <c r="G304" t="s">
        <v>164</v>
      </c>
      <c r="H304" t="s">
        <v>164</v>
      </c>
      <c r="I304" s="10">
        <v>18754354</v>
      </c>
      <c r="J304" t="s">
        <v>236</v>
      </c>
      <c r="K304" t="s">
        <v>237</v>
      </c>
      <c r="L304" t="str">
        <f t="shared" si="15"/>
        <v>JACOB YALE</v>
      </c>
      <c r="M304" t="s">
        <v>57</v>
      </c>
      <c r="N304" s="1">
        <v>45951</v>
      </c>
      <c r="O304" s="1">
        <v>46133</v>
      </c>
      <c r="P304">
        <f t="shared" si="14"/>
        <v>6</v>
      </c>
      <c r="Q304" s="1" t="s">
        <v>261</v>
      </c>
      <c r="R304" s="1" t="s">
        <v>843</v>
      </c>
      <c r="S304" s="2">
        <v>27.97</v>
      </c>
      <c r="T304">
        <v>1</v>
      </c>
      <c r="U304" t="s">
        <v>58</v>
      </c>
      <c r="V304" s="4">
        <v>0.375</v>
      </c>
      <c r="W304" t="s">
        <v>60</v>
      </c>
      <c r="X304" t="s">
        <v>262</v>
      </c>
      <c r="Y304" s="2">
        <v>10.49</v>
      </c>
    </row>
    <row r="305" spans="1:25" x14ac:dyDescent="0.3">
      <c r="A305">
        <v>2031780521</v>
      </c>
      <c r="B305" t="s">
        <v>675</v>
      </c>
      <c r="C305" t="s">
        <v>478</v>
      </c>
      <c r="D305" t="str">
        <f t="shared" si="13"/>
        <v>JAMES HIGGINS</v>
      </c>
      <c r="E305" t="s">
        <v>103</v>
      </c>
      <c r="F305" t="s">
        <v>222</v>
      </c>
      <c r="G305" t="s">
        <v>227</v>
      </c>
      <c r="H305" t="s">
        <v>590</v>
      </c>
      <c r="I305" s="10" t="s">
        <v>812</v>
      </c>
      <c r="J305" t="s">
        <v>292</v>
      </c>
      <c r="K305" t="s">
        <v>293</v>
      </c>
      <c r="L305" t="str">
        <f t="shared" si="15"/>
        <v>JOHN ROKEN</v>
      </c>
      <c r="M305" t="s">
        <v>57</v>
      </c>
      <c r="N305" s="1">
        <v>45954</v>
      </c>
      <c r="O305" s="1">
        <v>46136</v>
      </c>
      <c r="P305">
        <f t="shared" si="14"/>
        <v>6</v>
      </c>
      <c r="Q305" s="1" t="s">
        <v>261</v>
      </c>
      <c r="R305" s="1" t="s">
        <v>843</v>
      </c>
      <c r="S305" s="2">
        <v>24.61</v>
      </c>
      <c r="T305">
        <v>1</v>
      </c>
      <c r="U305" t="s">
        <v>58</v>
      </c>
      <c r="V305" s="3">
        <v>0.7</v>
      </c>
      <c r="W305" t="s">
        <v>60</v>
      </c>
      <c r="X305" t="s">
        <v>262</v>
      </c>
      <c r="Y305" s="2">
        <v>17.23</v>
      </c>
    </row>
    <row r="306" spans="1:25" x14ac:dyDescent="0.3">
      <c r="A306">
        <v>2031780523</v>
      </c>
      <c r="B306" t="s">
        <v>675</v>
      </c>
      <c r="C306" t="s">
        <v>478</v>
      </c>
      <c r="D306" t="str">
        <f t="shared" si="13"/>
        <v>JAMES HIGGINS</v>
      </c>
      <c r="E306" t="s">
        <v>103</v>
      </c>
      <c r="F306" t="s">
        <v>250</v>
      </c>
      <c r="G306" t="s">
        <v>751</v>
      </c>
      <c r="H306" t="s">
        <v>810</v>
      </c>
      <c r="I306" s="10" t="s">
        <v>812</v>
      </c>
      <c r="J306" t="s">
        <v>292</v>
      </c>
      <c r="K306" t="s">
        <v>293</v>
      </c>
      <c r="L306" t="str">
        <f t="shared" si="15"/>
        <v>JOHN ROKEN</v>
      </c>
      <c r="M306" t="s">
        <v>57</v>
      </c>
      <c r="N306" s="1">
        <v>45954</v>
      </c>
      <c r="O306" s="1">
        <v>46136</v>
      </c>
      <c r="P306">
        <f t="shared" si="14"/>
        <v>6</v>
      </c>
      <c r="Q306" s="1" t="s">
        <v>261</v>
      </c>
      <c r="R306" s="1" t="s">
        <v>843</v>
      </c>
      <c r="S306" s="2">
        <v>9.9499999999999993</v>
      </c>
      <c r="T306">
        <v>1</v>
      </c>
      <c r="U306" t="s">
        <v>58</v>
      </c>
      <c r="V306" s="3">
        <v>0.27</v>
      </c>
      <c r="W306" t="s">
        <v>60</v>
      </c>
      <c r="X306" t="s">
        <v>262</v>
      </c>
      <c r="Y306" s="2">
        <v>2.69</v>
      </c>
    </row>
    <row r="307" spans="1:25" x14ac:dyDescent="0.3">
      <c r="A307">
        <v>2031738859</v>
      </c>
      <c r="B307" t="s">
        <v>360</v>
      </c>
      <c r="C307" t="s">
        <v>361</v>
      </c>
      <c r="D307" t="str">
        <f t="shared" si="13"/>
        <v>JESSICA PETERS</v>
      </c>
      <c r="E307" t="s">
        <v>86</v>
      </c>
      <c r="F307" t="s">
        <v>65</v>
      </c>
      <c r="G307" t="s">
        <v>315</v>
      </c>
      <c r="H307" t="s">
        <v>807</v>
      </c>
      <c r="I307" s="10">
        <v>8977234</v>
      </c>
      <c r="J307" t="s">
        <v>76</v>
      </c>
      <c r="K307" t="s">
        <v>77</v>
      </c>
      <c r="L307" t="str">
        <f t="shared" si="15"/>
        <v>RYAN CALTAGIRONE</v>
      </c>
      <c r="M307" t="s">
        <v>57</v>
      </c>
      <c r="N307" s="1">
        <v>45952</v>
      </c>
      <c r="O307" s="1">
        <v>46134</v>
      </c>
      <c r="P307">
        <f t="shared" si="14"/>
        <v>6</v>
      </c>
      <c r="Q307" s="1" t="s">
        <v>261</v>
      </c>
      <c r="R307" s="1" t="s">
        <v>843</v>
      </c>
      <c r="S307" s="2">
        <v>41.51</v>
      </c>
      <c r="T307">
        <v>1</v>
      </c>
      <c r="U307" t="s">
        <v>58</v>
      </c>
      <c r="V307" s="3">
        <v>0.65</v>
      </c>
      <c r="W307" t="s">
        <v>60</v>
      </c>
      <c r="X307" t="s">
        <v>262</v>
      </c>
      <c r="Y307" s="2">
        <v>26.98</v>
      </c>
    </row>
    <row r="308" spans="1:25" x14ac:dyDescent="0.3">
      <c r="A308">
        <v>2031738860</v>
      </c>
      <c r="B308" t="s">
        <v>360</v>
      </c>
      <c r="C308" t="s">
        <v>361</v>
      </c>
      <c r="D308" t="str">
        <f t="shared" si="13"/>
        <v>JESSICA PETERS</v>
      </c>
      <c r="E308" t="s">
        <v>86</v>
      </c>
      <c r="F308" t="s">
        <v>222</v>
      </c>
      <c r="G308" t="s">
        <v>223</v>
      </c>
      <c r="H308" t="s">
        <v>223</v>
      </c>
      <c r="I308" s="10">
        <v>8977234</v>
      </c>
      <c r="J308" t="s">
        <v>76</v>
      </c>
      <c r="K308" t="s">
        <v>77</v>
      </c>
      <c r="L308" t="str">
        <f t="shared" si="15"/>
        <v>RYAN CALTAGIRONE</v>
      </c>
      <c r="M308" t="s">
        <v>57</v>
      </c>
      <c r="N308" s="1">
        <v>45952</v>
      </c>
      <c r="O308" s="1">
        <v>46134</v>
      </c>
      <c r="P308">
        <f t="shared" si="14"/>
        <v>6</v>
      </c>
      <c r="Q308" s="1" t="s">
        <v>261</v>
      </c>
      <c r="R308" s="1" t="s">
        <v>843</v>
      </c>
      <c r="S308" s="2">
        <v>31.23</v>
      </c>
      <c r="T308">
        <v>1</v>
      </c>
      <c r="U308" t="s">
        <v>58</v>
      </c>
      <c r="V308" s="3">
        <v>0.7</v>
      </c>
      <c r="W308" t="s">
        <v>60</v>
      </c>
      <c r="X308" t="s">
        <v>262</v>
      </c>
      <c r="Y308" s="2">
        <v>21.86</v>
      </c>
    </row>
    <row r="309" spans="1:25" x14ac:dyDescent="0.3">
      <c r="A309">
        <v>2031738861</v>
      </c>
      <c r="B309" t="s">
        <v>360</v>
      </c>
      <c r="C309" t="s">
        <v>361</v>
      </c>
      <c r="D309" t="str">
        <f t="shared" si="13"/>
        <v>JESSICA PETERS</v>
      </c>
      <c r="E309" t="s">
        <v>86</v>
      </c>
      <c r="F309" t="s">
        <v>163</v>
      </c>
      <c r="G309" t="s">
        <v>164</v>
      </c>
      <c r="H309" t="s">
        <v>164</v>
      </c>
      <c r="I309" s="10">
        <v>8977234</v>
      </c>
      <c r="J309" t="s">
        <v>76</v>
      </c>
      <c r="K309" t="s">
        <v>77</v>
      </c>
      <c r="L309" t="str">
        <f t="shared" si="15"/>
        <v>RYAN CALTAGIRONE</v>
      </c>
      <c r="M309" t="s">
        <v>57</v>
      </c>
      <c r="N309" s="1">
        <v>45952</v>
      </c>
      <c r="O309" s="1">
        <v>46134</v>
      </c>
      <c r="P309">
        <f t="shared" si="14"/>
        <v>6</v>
      </c>
      <c r="Q309" s="1" t="s">
        <v>261</v>
      </c>
      <c r="R309" s="1" t="s">
        <v>843</v>
      </c>
      <c r="S309" s="2">
        <v>24.54</v>
      </c>
      <c r="T309">
        <v>1</v>
      </c>
      <c r="U309" t="s">
        <v>58</v>
      </c>
      <c r="V309" s="4">
        <v>0.375</v>
      </c>
      <c r="W309" t="s">
        <v>60</v>
      </c>
      <c r="X309" t="s">
        <v>262</v>
      </c>
      <c r="Y309" s="2">
        <v>9.1999999999999993</v>
      </c>
    </row>
    <row r="310" spans="1:25" x14ac:dyDescent="0.3">
      <c r="A310">
        <v>2030716585</v>
      </c>
      <c r="B310" t="s">
        <v>323</v>
      </c>
      <c r="C310" t="s">
        <v>353</v>
      </c>
      <c r="D310" t="str">
        <f t="shared" si="13"/>
        <v>WHITEMAN TIMOTHY</v>
      </c>
      <c r="E310" t="s">
        <v>103</v>
      </c>
      <c r="F310" t="s">
        <v>222</v>
      </c>
      <c r="G310" t="s">
        <v>590</v>
      </c>
      <c r="H310" t="s">
        <v>590</v>
      </c>
      <c r="I310" s="10">
        <v>5442438</v>
      </c>
      <c r="J310" t="s">
        <v>149</v>
      </c>
      <c r="K310" t="s">
        <v>150</v>
      </c>
      <c r="L310" t="str">
        <f t="shared" si="15"/>
        <v>Ronald Max</v>
      </c>
      <c r="M310" t="s">
        <v>57</v>
      </c>
      <c r="N310" s="1">
        <v>45922</v>
      </c>
      <c r="O310" s="1">
        <v>46134</v>
      </c>
      <c r="P310">
        <f t="shared" si="14"/>
        <v>7</v>
      </c>
      <c r="Q310" s="1" t="s">
        <v>261</v>
      </c>
      <c r="R310" s="1" t="s">
        <v>843</v>
      </c>
      <c r="S310" s="2">
        <v>24.61</v>
      </c>
      <c r="T310">
        <v>1</v>
      </c>
      <c r="U310" t="s">
        <v>58</v>
      </c>
      <c r="V310" s="3">
        <v>0.7</v>
      </c>
      <c r="W310" t="s">
        <v>60</v>
      </c>
      <c r="X310" t="s">
        <v>262</v>
      </c>
      <c r="Y310" s="2">
        <v>17.23</v>
      </c>
    </row>
    <row r="311" spans="1:25" x14ac:dyDescent="0.3">
      <c r="A311">
        <v>2030716586</v>
      </c>
      <c r="B311" t="s">
        <v>323</v>
      </c>
      <c r="C311" t="s">
        <v>353</v>
      </c>
      <c r="D311" t="str">
        <f t="shared" si="13"/>
        <v>WHITEMAN TIMOTHY</v>
      </c>
      <c r="E311" t="s">
        <v>103</v>
      </c>
      <c r="F311" t="s">
        <v>65</v>
      </c>
      <c r="G311" t="s">
        <v>71</v>
      </c>
      <c r="H311" t="s">
        <v>796</v>
      </c>
      <c r="I311" s="10">
        <v>5442438</v>
      </c>
      <c r="J311" t="s">
        <v>149</v>
      </c>
      <c r="K311" t="s">
        <v>150</v>
      </c>
      <c r="L311" t="str">
        <f t="shared" si="15"/>
        <v>Ronald Max</v>
      </c>
      <c r="M311" t="s">
        <v>57</v>
      </c>
      <c r="N311" s="1">
        <v>45922</v>
      </c>
      <c r="O311" s="1">
        <v>46134</v>
      </c>
      <c r="P311">
        <f t="shared" si="14"/>
        <v>7</v>
      </c>
      <c r="Q311" s="1" t="s">
        <v>261</v>
      </c>
      <c r="R311" s="1" t="s">
        <v>843</v>
      </c>
      <c r="S311" s="2">
        <v>109.06</v>
      </c>
      <c r="T311">
        <v>1</v>
      </c>
      <c r="U311" t="s">
        <v>58</v>
      </c>
      <c r="V311" s="3">
        <v>0.9</v>
      </c>
      <c r="W311" t="s">
        <v>60</v>
      </c>
      <c r="X311" t="s">
        <v>262</v>
      </c>
      <c r="Y311" s="2">
        <v>98.13</v>
      </c>
    </row>
    <row r="312" spans="1:25" x14ac:dyDescent="0.3">
      <c r="A312">
        <v>2030697179</v>
      </c>
      <c r="B312" t="s">
        <v>278</v>
      </c>
      <c r="C312" t="s">
        <v>279</v>
      </c>
      <c r="D312" t="str">
        <f t="shared" si="13"/>
        <v>BORROUGHS ABBEY</v>
      </c>
      <c r="E312" t="s">
        <v>52</v>
      </c>
      <c r="F312" t="s">
        <v>220</v>
      </c>
      <c r="G312" t="s">
        <v>221</v>
      </c>
      <c r="H312" t="s">
        <v>221</v>
      </c>
      <c r="I312" s="10">
        <v>15950276</v>
      </c>
      <c r="J312" t="s">
        <v>55</v>
      </c>
      <c r="K312" t="s">
        <v>56</v>
      </c>
      <c r="L312" t="str">
        <f t="shared" si="15"/>
        <v>Ryan Stocker</v>
      </c>
      <c r="M312" t="s">
        <v>57</v>
      </c>
      <c r="N312" s="1">
        <v>45901</v>
      </c>
      <c r="O312" s="1">
        <v>46113</v>
      </c>
      <c r="P312">
        <f t="shared" si="14"/>
        <v>7</v>
      </c>
      <c r="Q312" s="1" t="s">
        <v>261</v>
      </c>
      <c r="R312" s="1" t="s">
        <v>843</v>
      </c>
      <c r="S312" s="2">
        <v>51.58</v>
      </c>
      <c r="T312">
        <v>1</v>
      </c>
      <c r="U312" t="s">
        <v>58</v>
      </c>
      <c r="V312" s="3">
        <v>0.38</v>
      </c>
      <c r="W312" t="s">
        <v>60</v>
      </c>
      <c r="X312" t="s">
        <v>262</v>
      </c>
      <c r="Y312" s="2">
        <v>19.600000000000001</v>
      </c>
    </row>
    <row r="313" spans="1:25" x14ac:dyDescent="0.3">
      <c r="A313">
        <v>2030697180</v>
      </c>
      <c r="B313" t="s">
        <v>278</v>
      </c>
      <c r="C313" t="s">
        <v>279</v>
      </c>
      <c r="D313" t="str">
        <f t="shared" si="13"/>
        <v>BORROUGHS ABBEY</v>
      </c>
      <c r="E313" t="s">
        <v>52</v>
      </c>
      <c r="F313" t="s">
        <v>163</v>
      </c>
      <c r="G313" t="s">
        <v>164</v>
      </c>
      <c r="H313" t="s">
        <v>164</v>
      </c>
      <c r="I313" s="10">
        <v>15950276</v>
      </c>
      <c r="J313" t="s">
        <v>55</v>
      </c>
      <c r="K313" t="s">
        <v>56</v>
      </c>
      <c r="L313" t="str">
        <f t="shared" si="15"/>
        <v>Ryan Stocker</v>
      </c>
      <c r="M313" t="s">
        <v>57</v>
      </c>
      <c r="N313" s="1">
        <v>45901</v>
      </c>
      <c r="O313" s="1">
        <v>46113</v>
      </c>
      <c r="P313">
        <f t="shared" si="14"/>
        <v>7</v>
      </c>
      <c r="Q313" s="1" t="s">
        <v>261</v>
      </c>
      <c r="R313" s="1" t="s">
        <v>843</v>
      </c>
      <c r="S313" s="2">
        <v>89</v>
      </c>
      <c r="T313">
        <v>1</v>
      </c>
      <c r="U313" t="s">
        <v>58</v>
      </c>
      <c r="V313" s="4">
        <v>0.375</v>
      </c>
      <c r="W313" t="s">
        <v>60</v>
      </c>
      <c r="X313" t="s">
        <v>262</v>
      </c>
      <c r="Y313" s="2">
        <v>33.380000000000003</v>
      </c>
    </row>
    <row r="314" spans="1:25" x14ac:dyDescent="0.3">
      <c r="A314">
        <v>2030697182</v>
      </c>
      <c r="B314" t="s">
        <v>278</v>
      </c>
      <c r="C314" t="s">
        <v>279</v>
      </c>
      <c r="D314" t="str">
        <f t="shared" si="13"/>
        <v>BORROUGHS ABBEY</v>
      </c>
      <c r="E314" t="s">
        <v>52</v>
      </c>
      <c r="F314" t="s">
        <v>222</v>
      </c>
      <c r="G314" t="s">
        <v>224</v>
      </c>
      <c r="H314" t="s">
        <v>224</v>
      </c>
      <c r="I314" s="10">
        <v>15950276</v>
      </c>
      <c r="J314" t="s">
        <v>55</v>
      </c>
      <c r="K314" t="s">
        <v>56</v>
      </c>
      <c r="L314" t="str">
        <f t="shared" si="15"/>
        <v>Ryan Stocker</v>
      </c>
      <c r="M314" t="s">
        <v>57</v>
      </c>
      <c r="N314" s="1">
        <v>45901</v>
      </c>
      <c r="O314" s="1">
        <v>46113</v>
      </c>
      <c r="P314">
        <f t="shared" si="14"/>
        <v>7</v>
      </c>
      <c r="Q314" s="1" t="s">
        <v>261</v>
      </c>
      <c r="R314" s="1" t="s">
        <v>843</v>
      </c>
      <c r="S314" s="2">
        <v>68.63</v>
      </c>
      <c r="T314">
        <v>1</v>
      </c>
      <c r="U314" t="s">
        <v>58</v>
      </c>
      <c r="V314" s="3">
        <v>0.9</v>
      </c>
      <c r="W314" t="s">
        <v>60</v>
      </c>
      <c r="X314" t="s">
        <v>262</v>
      </c>
      <c r="Y314" s="2">
        <v>61.77</v>
      </c>
    </row>
    <row r="315" spans="1:25" x14ac:dyDescent="0.3">
      <c r="A315">
        <v>2030697181</v>
      </c>
      <c r="B315" t="s">
        <v>278</v>
      </c>
      <c r="C315" t="s">
        <v>279</v>
      </c>
      <c r="D315" t="str">
        <f t="shared" si="13"/>
        <v>BORROUGHS ABBEY</v>
      </c>
      <c r="E315" t="s">
        <v>52</v>
      </c>
      <c r="F315" t="s">
        <v>53</v>
      </c>
      <c r="G315" t="s">
        <v>280</v>
      </c>
      <c r="H315" t="s">
        <v>280</v>
      </c>
      <c r="I315" s="10">
        <v>15950276</v>
      </c>
      <c r="J315" t="s">
        <v>55</v>
      </c>
      <c r="K315" t="s">
        <v>56</v>
      </c>
      <c r="L315" t="str">
        <f t="shared" si="15"/>
        <v>Ryan Stocker</v>
      </c>
      <c r="M315" t="s">
        <v>57</v>
      </c>
      <c r="N315" s="1">
        <v>45901</v>
      </c>
      <c r="O315" s="1">
        <v>46113</v>
      </c>
      <c r="P315">
        <f t="shared" si="14"/>
        <v>7</v>
      </c>
      <c r="Q315" s="1" t="s">
        <v>261</v>
      </c>
      <c r="R315" s="1" t="s">
        <v>843</v>
      </c>
      <c r="S315" s="2">
        <v>75.69</v>
      </c>
      <c r="T315">
        <v>1</v>
      </c>
      <c r="U315" t="s">
        <v>58</v>
      </c>
      <c r="V315" s="3">
        <v>0.6</v>
      </c>
      <c r="W315" t="s">
        <v>60</v>
      </c>
      <c r="X315" t="s">
        <v>262</v>
      </c>
      <c r="Y315" s="2">
        <v>45.39</v>
      </c>
    </row>
    <row r="316" spans="1:25" x14ac:dyDescent="0.3">
      <c r="A316">
        <v>2030670141</v>
      </c>
      <c r="B316" t="s">
        <v>527</v>
      </c>
      <c r="C316" t="s">
        <v>528</v>
      </c>
      <c r="D316" t="str">
        <f t="shared" si="13"/>
        <v>KANAI TAKASHI</v>
      </c>
      <c r="E316" t="s">
        <v>52</v>
      </c>
      <c r="F316" t="s">
        <v>220</v>
      </c>
      <c r="G316" t="s">
        <v>221</v>
      </c>
      <c r="H316" t="s">
        <v>221</v>
      </c>
      <c r="I316" s="10">
        <v>17425766</v>
      </c>
      <c r="J316" t="s">
        <v>87</v>
      </c>
      <c r="K316" t="s">
        <v>88</v>
      </c>
      <c r="L316" t="str">
        <f t="shared" si="15"/>
        <v>CAROL FOLEY</v>
      </c>
      <c r="M316" t="s">
        <v>57</v>
      </c>
      <c r="N316" s="1">
        <v>45895</v>
      </c>
      <c r="O316" s="1">
        <v>46138</v>
      </c>
      <c r="P316">
        <f t="shared" si="14"/>
        <v>8</v>
      </c>
      <c r="Q316" s="1" t="s">
        <v>261</v>
      </c>
      <c r="R316" s="1" t="s">
        <v>843</v>
      </c>
      <c r="S316" s="2">
        <v>21.97</v>
      </c>
      <c r="T316">
        <v>1</v>
      </c>
      <c r="U316" t="s">
        <v>58</v>
      </c>
      <c r="V316" s="3">
        <v>0.38</v>
      </c>
      <c r="W316" t="s">
        <v>60</v>
      </c>
      <c r="X316" t="s">
        <v>262</v>
      </c>
      <c r="Y316" s="2">
        <v>8.35</v>
      </c>
    </row>
    <row r="317" spans="1:25" x14ac:dyDescent="0.3">
      <c r="A317">
        <v>2030670142</v>
      </c>
      <c r="B317" t="s">
        <v>527</v>
      </c>
      <c r="C317" t="s">
        <v>528</v>
      </c>
      <c r="D317" t="str">
        <f t="shared" si="13"/>
        <v>KANAI TAKASHI</v>
      </c>
      <c r="E317" t="s">
        <v>52</v>
      </c>
      <c r="F317" t="s">
        <v>163</v>
      </c>
      <c r="G317" t="s">
        <v>164</v>
      </c>
      <c r="H317" t="s">
        <v>164</v>
      </c>
      <c r="I317" s="10">
        <v>17425766</v>
      </c>
      <c r="J317" t="s">
        <v>87</v>
      </c>
      <c r="K317" t="s">
        <v>88</v>
      </c>
      <c r="L317" t="str">
        <f t="shared" si="15"/>
        <v>CAROL FOLEY</v>
      </c>
      <c r="M317" t="s">
        <v>57</v>
      </c>
      <c r="N317" s="1">
        <v>45895</v>
      </c>
      <c r="O317" s="1">
        <v>46138</v>
      </c>
      <c r="P317">
        <f t="shared" si="14"/>
        <v>8</v>
      </c>
      <c r="Q317" s="1" t="s">
        <v>261</v>
      </c>
      <c r="R317" s="1" t="s">
        <v>843</v>
      </c>
      <c r="S317" s="2">
        <v>36.11</v>
      </c>
      <c r="T317">
        <v>1</v>
      </c>
      <c r="U317" t="s">
        <v>58</v>
      </c>
      <c r="V317" s="4">
        <v>0.375</v>
      </c>
      <c r="W317" t="s">
        <v>60</v>
      </c>
      <c r="X317" t="s">
        <v>262</v>
      </c>
      <c r="Y317" s="2">
        <v>13.54</v>
      </c>
    </row>
    <row r="318" spans="1:25" x14ac:dyDescent="0.3">
      <c r="A318">
        <v>2030613892</v>
      </c>
      <c r="B318" t="s">
        <v>664</v>
      </c>
      <c r="C318" t="s">
        <v>665</v>
      </c>
      <c r="D318" t="str">
        <f t="shared" si="13"/>
        <v>TURNER YVETTE</v>
      </c>
      <c r="E318" t="s">
        <v>64</v>
      </c>
      <c r="F318" t="s">
        <v>222</v>
      </c>
      <c r="G318" t="s">
        <v>223</v>
      </c>
      <c r="H318" t="s">
        <v>223</v>
      </c>
      <c r="I318" s="10">
        <v>9213293</v>
      </c>
      <c r="J318" t="s">
        <v>495</v>
      </c>
      <c r="K318" t="s">
        <v>547</v>
      </c>
      <c r="L318" t="str">
        <f t="shared" si="15"/>
        <v>GARY PORTUGAL</v>
      </c>
      <c r="M318" t="s">
        <v>57</v>
      </c>
      <c r="N318" s="1">
        <v>45891</v>
      </c>
      <c r="O318" s="1">
        <v>46134</v>
      </c>
      <c r="P318">
        <f t="shared" si="14"/>
        <v>8</v>
      </c>
      <c r="Q318" s="1" t="s">
        <v>261</v>
      </c>
      <c r="R318" s="1" t="s">
        <v>843</v>
      </c>
      <c r="S318" s="2">
        <v>110.16</v>
      </c>
      <c r="T318">
        <v>1</v>
      </c>
      <c r="U318" t="s">
        <v>58</v>
      </c>
      <c r="V318" s="3">
        <v>0.7</v>
      </c>
      <c r="W318" t="s">
        <v>60</v>
      </c>
      <c r="X318" t="s">
        <v>262</v>
      </c>
      <c r="Y318" s="2">
        <v>77.11</v>
      </c>
    </row>
    <row r="319" spans="1:25" x14ac:dyDescent="0.3">
      <c r="A319">
        <v>2030567353</v>
      </c>
      <c r="B319" t="s">
        <v>295</v>
      </c>
      <c r="C319" t="s">
        <v>350</v>
      </c>
      <c r="D319" t="str">
        <f t="shared" si="13"/>
        <v>YOUNG STEVEN</v>
      </c>
      <c r="E319" t="s">
        <v>103</v>
      </c>
      <c r="F319" t="s">
        <v>222</v>
      </c>
      <c r="G319" t="s">
        <v>590</v>
      </c>
      <c r="H319" t="s">
        <v>590</v>
      </c>
      <c r="I319" s="10">
        <v>5442438</v>
      </c>
      <c r="J319" t="s">
        <v>149</v>
      </c>
      <c r="K319" t="s">
        <v>150</v>
      </c>
      <c r="L319" t="str">
        <f t="shared" si="15"/>
        <v>Ronald Max</v>
      </c>
      <c r="M319" t="s">
        <v>57</v>
      </c>
      <c r="N319" s="1">
        <v>45892</v>
      </c>
      <c r="O319" s="1">
        <v>46135</v>
      </c>
      <c r="P319">
        <f t="shared" si="14"/>
        <v>8</v>
      </c>
      <c r="Q319" s="1" t="s">
        <v>261</v>
      </c>
      <c r="R319" s="1" t="s">
        <v>843</v>
      </c>
      <c r="S319" s="2">
        <v>24.61</v>
      </c>
      <c r="T319">
        <v>1</v>
      </c>
      <c r="U319" t="s">
        <v>58</v>
      </c>
      <c r="V319" s="3">
        <v>0.7</v>
      </c>
      <c r="W319" t="s">
        <v>60</v>
      </c>
      <c r="X319" t="s">
        <v>262</v>
      </c>
      <c r="Y319" s="2">
        <v>17.23</v>
      </c>
    </row>
    <row r="320" spans="1:25" x14ac:dyDescent="0.3">
      <c r="A320">
        <v>2030567354</v>
      </c>
      <c r="B320" t="s">
        <v>295</v>
      </c>
      <c r="C320" t="s">
        <v>350</v>
      </c>
      <c r="D320" t="str">
        <f t="shared" si="13"/>
        <v>YOUNG STEVEN</v>
      </c>
      <c r="E320" t="s">
        <v>103</v>
      </c>
      <c r="F320" t="s">
        <v>65</v>
      </c>
      <c r="G320" t="s">
        <v>71</v>
      </c>
      <c r="H320" t="s">
        <v>796</v>
      </c>
      <c r="I320" s="10">
        <v>5442438</v>
      </c>
      <c r="J320" t="s">
        <v>149</v>
      </c>
      <c r="K320" t="s">
        <v>150</v>
      </c>
      <c r="L320" t="str">
        <f t="shared" si="15"/>
        <v>Ronald Max</v>
      </c>
      <c r="M320" t="s">
        <v>57</v>
      </c>
      <c r="N320" s="1">
        <v>45892</v>
      </c>
      <c r="O320" s="1">
        <v>46135</v>
      </c>
      <c r="P320">
        <f t="shared" si="14"/>
        <v>8</v>
      </c>
      <c r="Q320" s="1" t="s">
        <v>261</v>
      </c>
      <c r="R320" s="1" t="s">
        <v>843</v>
      </c>
      <c r="S320" s="2">
        <v>106.25</v>
      </c>
      <c r="T320">
        <v>1</v>
      </c>
      <c r="U320" t="s">
        <v>58</v>
      </c>
      <c r="V320" s="3">
        <v>0.9</v>
      </c>
      <c r="W320" t="s">
        <v>60</v>
      </c>
      <c r="X320" t="s">
        <v>262</v>
      </c>
      <c r="Y320" s="2">
        <v>95.62</v>
      </c>
    </row>
    <row r="321" spans="1:25" x14ac:dyDescent="0.3">
      <c r="A321">
        <v>2030567355</v>
      </c>
      <c r="B321" t="s">
        <v>295</v>
      </c>
      <c r="C321" t="s">
        <v>350</v>
      </c>
      <c r="D321" t="str">
        <f t="shared" si="13"/>
        <v>YOUNG STEVEN</v>
      </c>
      <c r="E321" t="s">
        <v>103</v>
      </c>
      <c r="F321" t="s">
        <v>222</v>
      </c>
      <c r="G321" t="s">
        <v>228</v>
      </c>
      <c r="H321" t="s">
        <v>228</v>
      </c>
      <c r="I321" s="10">
        <v>5442438</v>
      </c>
      <c r="J321" t="s">
        <v>149</v>
      </c>
      <c r="K321" t="s">
        <v>150</v>
      </c>
      <c r="L321" t="str">
        <f t="shared" si="15"/>
        <v>Ronald Max</v>
      </c>
      <c r="M321" t="s">
        <v>57</v>
      </c>
      <c r="N321" s="1">
        <v>45892</v>
      </c>
      <c r="O321" s="1">
        <v>46135</v>
      </c>
      <c r="P321">
        <f t="shared" si="14"/>
        <v>8</v>
      </c>
      <c r="Q321" s="1" t="s">
        <v>261</v>
      </c>
      <c r="R321" s="1" t="s">
        <v>843</v>
      </c>
      <c r="S321" s="2">
        <v>38.85</v>
      </c>
      <c r="T321">
        <v>1</v>
      </c>
      <c r="U321" t="s">
        <v>58</v>
      </c>
      <c r="V321" s="3">
        <v>0.42</v>
      </c>
      <c r="W321" t="s">
        <v>60</v>
      </c>
      <c r="X321" t="s">
        <v>262</v>
      </c>
      <c r="Y321" s="2">
        <v>16.32</v>
      </c>
    </row>
    <row r="322" spans="1:25" x14ac:dyDescent="0.3">
      <c r="A322">
        <v>2030315873</v>
      </c>
      <c r="B322" t="s">
        <v>348</v>
      </c>
      <c r="C322" t="s">
        <v>349</v>
      </c>
      <c r="D322" t="str">
        <f t="shared" ref="D322:D385" si="16">_xlfn.CONCAT(C322," ",B322)</f>
        <v>MORRIS WILMER</v>
      </c>
      <c r="E322" t="s">
        <v>103</v>
      </c>
      <c r="F322" t="s">
        <v>222</v>
      </c>
      <c r="G322" t="s">
        <v>590</v>
      </c>
      <c r="H322" t="s">
        <v>590</v>
      </c>
      <c r="I322" s="10">
        <v>5442438</v>
      </c>
      <c r="J322" t="s">
        <v>149</v>
      </c>
      <c r="K322" t="s">
        <v>150</v>
      </c>
      <c r="L322" t="str">
        <f t="shared" si="15"/>
        <v>Ronald Max</v>
      </c>
      <c r="M322" t="s">
        <v>57</v>
      </c>
      <c r="N322" s="1">
        <v>45890</v>
      </c>
      <c r="O322" s="1">
        <v>46133</v>
      </c>
      <c r="P322">
        <f t="shared" ref="P322:P385" si="17">DATEDIF(N322,O322,"M")</f>
        <v>8</v>
      </c>
      <c r="Q322" s="1" t="s">
        <v>261</v>
      </c>
      <c r="R322" s="1" t="s">
        <v>843</v>
      </c>
      <c r="S322" s="2">
        <v>24.61</v>
      </c>
      <c r="T322">
        <v>1</v>
      </c>
      <c r="U322" t="s">
        <v>58</v>
      </c>
      <c r="V322" s="3">
        <v>0.7</v>
      </c>
      <c r="W322" t="s">
        <v>60</v>
      </c>
      <c r="X322" t="s">
        <v>262</v>
      </c>
      <c r="Y322" s="2">
        <v>17.23</v>
      </c>
    </row>
    <row r="323" spans="1:25" x14ac:dyDescent="0.3">
      <c r="A323">
        <v>2030315874</v>
      </c>
      <c r="B323" t="s">
        <v>348</v>
      </c>
      <c r="C323" t="s">
        <v>349</v>
      </c>
      <c r="D323" t="str">
        <f t="shared" si="16"/>
        <v>MORRIS WILMER</v>
      </c>
      <c r="E323" t="s">
        <v>103</v>
      </c>
      <c r="F323" t="s">
        <v>65</v>
      </c>
      <c r="G323" t="s">
        <v>71</v>
      </c>
      <c r="H323" t="s">
        <v>796</v>
      </c>
      <c r="I323" s="10">
        <v>5442438</v>
      </c>
      <c r="J323" t="s">
        <v>149</v>
      </c>
      <c r="K323" t="s">
        <v>150</v>
      </c>
      <c r="L323" t="str">
        <f t="shared" si="15"/>
        <v>Ronald Max</v>
      </c>
      <c r="M323" t="s">
        <v>57</v>
      </c>
      <c r="N323" s="1">
        <v>45890</v>
      </c>
      <c r="O323" s="1">
        <v>46133</v>
      </c>
      <c r="P323">
        <f t="shared" si="17"/>
        <v>8</v>
      </c>
      <c r="Q323" s="1" t="s">
        <v>261</v>
      </c>
      <c r="R323" s="1" t="s">
        <v>843</v>
      </c>
      <c r="S323" s="2">
        <v>129.13999999999999</v>
      </c>
      <c r="T323">
        <v>1</v>
      </c>
      <c r="U323" t="s">
        <v>58</v>
      </c>
      <c r="V323" s="3">
        <v>0.9</v>
      </c>
      <c r="W323" t="s">
        <v>60</v>
      </c>
      <c r="X323" t="s">
        <v>262</v>
      </c>
      <c r="Y323" s="2">
        <v>116.23</v>
      </c>
    </row>
    <row r="324" spans="1:25" x14ac:dyDescent="0.3">
      <c r="A324">
        <v>2030315872</v>
      </c>
      <c r="B324" t="s">
        <v>348</v>
      </c>
      <c r="C324" t="s">
        <v>349</v>
      </c>
      <c r="D324" t="str">
        <f t="shared" si="16"/>
        <v>MORRIS WILMER</v>
      </c>
      <c r="E324" t="s">
        <v>103</v>
      </c>
      <c r="F324" t="s">
        <v>222</v>
      </c>
      <c r="G324" t="s">
        <v>228</v>
      </c>
      <c r="H324" t="s">
        <v>228</v>
      </c>
      <c r="I324" s="10">
        <v>5442438</v>
      </c>
      <c r="J324" t="s">
        <v>149</v>
      </c>
      <c r="K324" t="s">
        <v>150</v>
      </c>
      <c r="L324" t="str">
        <f t="shared" si="15"/>
        <v>Ronald Max</v>
      </c>
      <c r="M324" t="s">
        <v>57</v>
      </c>
      <c r="N324" s="1">
        <v>45890</v>
      </c>
      <c r="O324" s="1">
        <v>46133</v>
      </c>
      <c r="P324">
        <f t="shared" si="17"/>
        <v>8</v>
      </c>
      <c r="Q324" s="1" t="s">
        <v>261</v>
      </c>
      <c r="R324" s="1" t="s">
        <v>843</v>
      </c>
      <c r="S324" s="2">
        <v>43.86</v>
      </c>
      <c r="T324">
        <v>1</v>
      </c>
      <c r="U324" t="s">
        <v>58</v>
      </c>
      <c r="V324" s="3">
        <v>0.42</v>
      </c>
      <c r="W324" t="s">
        <v>60</v>
      </c>
      <c r="X324" t="s">
        <v>262</v>
      </c>
      <c r="Y324" s="2">
        <v>18.420000000000002</v>
      </c>
    </row>
    <row r="325" spans="1:25" x14ac:dyDescent="0.3">
      <c r="A325">
        <v>2030313588</v>
      </c>
      <c r="B325" t="s">
        <v>659</v>
      </c>
      <c r="C325" t="s">
        <v>660</v>
      </c>
      <c r="D325" t="str">
        <f t="shared" si="16"/>
        <v>BURT-HOLSENDOLPH WILLANDA</v>
      </c>
      <c r="E325" t="s">
        <v>86</v>
      </c>
      <c r="F325" t="s">
        <v>222</v>
      </c>
      <c r="G325" t="s">
        <v>223</v>
      </c>
      <c r="H325" t="s">
        <v>223</v>
      </c>
      <c r="I325" s="10">
        <v>8977234</v>
      </c>
      <c r="J325" t="s">
        <v>76</v>
      </c>
      <c r="K325" t="s">
        <v>77</v>
      </c>
      <c r="L325" t="str">
        <f t="shared" si="15"/>
        <v>RYAN CALTAGIRONE</v>
      </c>
      <c r="M325" t="s">
        <v>57</v>
      </c>
      <c r="N325" s="1">
        <v>45894</v>
      </c>
      <c r="O325" s="1">
        <v>46137</v>
      </c>
      <c r="P325">
        <f t="shared" si="17"/>
        <v>8</v>
      </c>
      <c r="Q325" s="1" t="s">
        <v>261</v>
      </c>
      <c r="R325" s="1" t="s">
        <v>843</v>
      </c>
      <c r="S325" s="2">
        <v>120.91</v>
      </c>
      <c r="T325">
        <v>1</v>
      </c>
      <c r="U325" t="s">
        <v>58</v>
      </c>
      <c r="V325" s="3">
        <v>0.7</v>
      </c>
      <c r="W325" t="s">
        <v>60</v>
      </c>
      <c r="X325" t="s">
        <v>262</v>
      </c>
      <c r="Y325" s="2">
        <v>84.64</v>
      </c>
    </row>
    <row r="326" spans="1:25" x14ac:dyDescent="0.3">
      <c r="A326">
        <v>2030125457</v>
      </c>
      <c r="B326" t="s">
        <v>520</v>
      </c>
      <c r="C326" t="s">
        <v>521</v>
      </c>
      <c r="D326" t="str">
        <f t="shared" si="16"/>
        <v>EVERS MATHEW</v>
      </c>
      <c r="E326" t="s">
        <v>74</v>
      </c>
      <c r="F326" t="s">
        <v>222</v>
      </c>
      <c r="G326" t="s">
        <v>223</v>
      </c>
      <c r="H326" t="s">
        <v>223</v>
      </c>
      <c r="I326" s="10" t="s">
        <v>831</v>
      </c>
      <c r="J326" t="s">
        <v>67</v>
      </c>
      <c r="K326" t="s">
        <v>473</v>
      </c>
      <c r="L326" t="str">
        <f t="shared" ref="L326:L357" si="18">_xlfn.CONCAT(K326," ",J326)</f>
        <v>Chad Yale</v>
      </c>
      <c r="M326" t="s">
        <v>57</v>
      </c>
      <c r="N326" s="1">
        <v>45863</v>
      </c>
      <c r="O326" s="1">
        <v>46137</v>
      </c>
      <c r="P326">
        <f t="shared" si="17"/>
        <v>9</v>
      </c>
      <c r="Q326" s="1" t="s">
        <v>261</v>
      </c>
      <c r="R326" s="1" t="s">
        <v>843</v>
      </c>
      <c r="S326" s="2">
        <v>13</v>
      </c>
      <c r="T326">
        <v>1</v>
      </c>
      <c r="U326" t="s">
        <v>58</v>
      </c>
      <c r="V326" s="3">
        <v>0.7</v>
      </c>
      <c r="W326" t="s">
        <v>60</v>
      </c>
      <c r="X326" t="s">
        <v>262</v>
      </c>
      <c r="Y326" s="2">
        <v>9.1</v>
      </c>
    </row>
    <row r="327" spans="1:25" x14ac:dyDescent="0.3">
      <c r="A327">
        <v>2030125458</v>
      </c>
      <c r="B327" t="s">
        <v>520</v>
      </c>
      <c r="C327" t="s">
        <v>521</v>
      </c>
      <c r="D327" t="str">
        <f t="shared" si="16"/>
        <v>EVERS MATHEW</v>
      </c>
      <c r="E327" t="s">
        <v>74</v>
      </c>
      <c r="F327" t="s">
        <v>163</v>
      </c>
      <c r="G327" t="s">
        <v>164</v>
      </c>
      <c r="H327" t="s">
        <v>164</v>
      </c>
      <c r="I327" s="10" t="s">
        <v>831</v>
      </c>
      <c r="J327" t="s">
        <v>67</v>
      </c>
      <c r="K327" t="s">
        <v>473</v>
      </c>
      <c r="L327" t="str">
        <f t="shared" si="18"/>
        <v>Chad Yale</v>
      </c>
      <c r="M327" t="s">
        <v>57</v>
      </c>
      <c r="N327" s="1">
        <v>45863</v>
      </c>
      <c r="O327" s="1">
        <v>46137</v>
      </c>
      <c r="P327">
        <f t="shared" si="17"/>
        <v>9</v>
      </c>
      <c r="Q327" s="1" t="s">
        <v>261</v>
      </c>
      <c r="R327" s="1" t="s">
        <v>843</v>
      </c>
      <c r="S327" s="2">
        <v>50.3</v>
      </c>
      <c r="T327">
        <v>1</v>
      </c>
      <c r="U327" t="s">
        <v>58</v>
      </c>
      <c r="V327" s="4">
        <v>0.375</v>
      </c>
      <c r="W327" t="s">
        <v>60</v>
      </c>
      <c r="X327" t="s">
        <v>262</v>
      </c>
      <c r="Y327" s="2">
        <v>18.86</v>
      </c>
    </row>
    <row r="328" spans="1:25" x14ac:dyDescent="0.3">
      <c r="A328">
        <v>2030114522</v>
      </c>
      <c r="B328" t="s">
        <v>652</v>
      </c>
      <c r="C328" t="s">
        <v>653</v>
      </c>
      <c r="D328" t="str">
        <f t="shared" si="16"/>
        <v>HOUSE MARCIE</v>
      </c>
      <c r="E328" t="s">
        <v>64</v>
      </c>
      <c r="F328" t="s">
        <v>222</v>
      </c>
      <c r="G328" t="s">
        <v>223</v>
      </c>
      <c r="H328" t="s">
        <v>223</v>
      </c>
      <c r="I328" s="10">
        <v>21436172</v>
      </c>
      <c r="J328" t="s">
        <v>654</v>
      </c>
      <c r="K328" t="s">
        <v>655</v>
      </c>
      <c r="L328" t="str">
        <f t="shared" si="18"/>
        <v>Latesha Rose</v>
      </c>
      <c r="M328" t="s">
        <v>57</v>
      </c>
      <c r="N328" s="1">
        <v>45863</v>
      </c>
      <c r="O328" s="1">
        <v>46137</v>
      </c>
      <c r="P328">
        <f t="shared" si="17"/>
        <v>9</v>
      </c>
      <c r="Q328" s="1" t="s">
        <v>261</v>
      </c>
      <c r="R328" s="1" t="s">
        <v>843</v>
      </c>
      <c r="S328" s="2">
        <v>207.64</v>
      </c>
      <c r="T328">
        <v>1</v>
      </c>
      <c r="U328" t="s">
        <v>58</v>
      </c>
      <c r="V328" s="3">
        <v>0.7</v>
      </c>
      <c r="W328" t="s">
        <v>60</v>
      </c>
      <c r="X328" t="s">
        <v>262</v>
      </c>
      <c r="Y328" s="2">
        <v>145.35</v>
      </c>
    </row>
    <row r="329" spans="1:25" x14ac:dyDescent="0.3">
      <c r="A329">
        <v>2030079840</v>
      </c>
      <c r="B329" t="s">
        <v>341</v>
      </c>
      <c r="C329" t="s">
        <v>342</v>
      </c>
      <c r="D329" t="str">
        <f t="shared" si="16"/>
        <v>MESEROLL STEPHANIE</v>
      </c>
      <c r="E329" t="s">
        <v>103</v>
      </c>
      <c r="F329" t="s">
        <v>222</v>
      </c>
      <c r="G329" t="s">
        <v>590</v>
      </c>
      <c r="H329" t="s">
        <v>590</v>
      </c>
      <c r="I329" s="10">
        <v>5442438</v>
      </c>
      <c r="J329" t="s">
        <v>149</v>
      </c>
      <c r="K329" t="s">
        <v>150</v>
      </c>
      <c r="L329" t="str">
        <f t="shared" si="18"/>
        <v>Ronald Max</v>
      </c>
      <c r="M329" t="s">
        <v>57</v>
      </c>
      <c r="N329" s="1">
        <v>45861</v>
      </c>
      <c r="O329" s="1">
        <v>46135</v>
      </c>
      <c r="P329">
        <f t="shared" si="17"/>
        <v>9</v>
      </c>
      <c r="Q329" s="1" t="s">
        <v>261</v>
      </c>
      <c r="R329" s="1" t="s">
        <v>843</v>
      </c>
      <c r="S329" s="2">
        <v>24.61</v>
      </c>
      <c r="T329">
        <v>1</v>
      </c>
      <c r="U329" t="s">
        <v>58</v>
      </c>
      <c r="V329" s="3">
        <v>0.7</v>
      </c>
      <c r="W329" t="s">
        <v>60</v>
      </c>
      <c r="X329" t="s">
        <v>262</v>
      </c>
      <c r="Y329" s="2">
        <v>17.23</v>
      </c>
    </row>
    <row r="330" spans="1:25" x14ac:dyDescent="0.3">
      <c r="A330">
        <v>2030079839</v>
      </c>
      <c r="B330" t="s">
        <v>341</v>
      </c>
      <c r="C330" t="s">
        <v>342</v>
      </c>
      <c r="D330" t="str">
        <f t="shared" si="16"/>
        <v>MESEROLL STEPHANIE</v>
      </c>
      <c r="E330" t="s">
        <v>103</v>
      </c>
      <c r="F330" t="s">
        <v>65</v>
      </c>
      <c r="G330" t="s">
        <v>71</v>
      </c>
      <c r="H330" t="s">
        <v>796</v>
      </c>
      <c r="I330" s="10">
        <v>5442438</v>
      </c>
      <c r="J330" t="s">
        <v>149</v>
      </c>
      <c r="K330" t="s">
        <v>150</v>
      </c>
      <c r="L330" t="str">
        <f t="shared" si="18"/>
        <v>Ronald Max</v>
      </c>
      <c r="M330" t="s">
        <v>57</v>
      </c>
      <c r="N330" s="1">
        <v>45861</v>
      </c>
      <c r="O330" s="1">
        <v>46135</v>
      </c>
      <c r="P330">
        <f t="shared" si="17"/>
        <v>9</v>
      </c>
      <c r="Q330" s="1" t="s">
        <v>261</v>
      </c>
      <c r="R330" s="1" t="s">
        <v>843</v>
      </c>
      <c r="S330" s="2">
        <v>100.34</v>
      </c>
      <c r="T330">
        <v>1</v>
      </c>
      <c r="U330" t="s">
        <v>58</v>
      </c>
      <c r="V330" s="3">
        <v>0.9</v>
      </c>
      <c r="W330" t="s">
        <v>60</v>
      </c>
      <c r="X330" t="s">
        <v>262</v>
      </c>
      <c r="Y330" s="2">
        <v>90.31</v>
      </c>
    </row>
    <row r="331" spans="1:25" x14ac:dyDescent="0.3">
      <c r="A331">
        <v>2029756251</v>
      </c>
      <c r="B331" t="s">
        <v>337</v>
      </c>
      <c r="C331" t="s">
        <v>338</v>
      </c>
      <c r="D331" t="str">
        <f t="shared" si="16"/>
        <v>DICKERSON CASEY</v>
      </c>
      <c r="E331" t="s">
        <v>103</v>
      </c>
      <c r="F331" t="s">
        <v>222</v>
      </c>
      <c r="G331" t="s">
        <v>590</v>
      </c>
      <c r="H331" t="s">
        <v>590</v>
      </c>
      <c r="I331" s="10">
        <v>5442438</v>
      </c>
      <c r="J331" t="s">
        <v>149</v>
      </c>
      <c r="K331" t="s">
        <v>150</v>
      </c>
      <c r="L331" t="str">
        <f t="shared" si="18"/>
        <v>Ronald Max</v>
      </c>
      <c r="M331" t="s">
        <v>57</v>
      </c>
      <c r="N331" s="1">
        <v>45843</v>
      </c>
      <c r="O331" s="1">
        <v>46117</v>
      </c>
      <c r="P331">
        <f t="shared" si="17"/>
        <v>9</v>
      </c>
      <c r="Q331" s="1" t="s">
        <v>261</v>
      </c>
      <c r="R331" s="1" t="s">
        <v>843</v>
      </c>
      <c r="S331" s="2">
        <v>24.61</v>
      </c>
      <c r="T331">
        <v>1</v>
      </c>
      <c r="U331" t="s">
        <v>58</v>
      </c>
      <c r="V331" s="3">
        <v>0.7</v>
      </c>
      <c r="W331" t="s">
        <v>60</v>
      </c>
      <c r="X331" t="s">
        <v>262</v>
      </c>
      <c r="Y331" s="2">
        <v>17.23</v>
      </c>
    </row>
    <row r="332" spans="1:25" x14ac:dyDescent="0.3">
      <c r="A332">
        <v>2029756250</v>
      </c>
      <c r="B332" t="s">
        <v>337</v>
      </c>
      <c r="C332" t="s">
        <v>338</v>
      </c>
      <c r="D332" t="str">
        <f t="shared" si="16"/>
        <v>DICKERSON CASEY</v>
      </c>
      <c r="E332" t="s">
        <v>103</v>
      </c>
      <c r="F332" t="s">
        <v>65</v>
      </c>
      <c r="G332" t="s">
        <v>71</v>
      </c>
      <c r="H332" t="s">
        <v>796</v>
      </c>
      <c r="I332" s="10">
        <v>5442438</v>
      </c>
      <c r="J332" t="s">
        <v>149</v>
      </c>
      <c r="K332" t="s">
        <v>150</v>
      </c>
      <c r="L332" t="str">
        <f t="shared" si="18"/>
        <v>Ronald Max</v>
      </c>
      <c r="M332" t="s">
        <v>57</v>
      </c>
      <c r="N332" s="1">
        <v>45843</v>
      </c>
      <c r="O332" s="1">
        <v>46117</v>
      </c>
      <c r="P332">
        <f t="shared" si="17"/>
        <v>9</v>
      </c>
      <c r="Q332" s="1" t="s">
        <v>261</v>
      </c>
      <c r="R332" s="1" t="s">
        <v>843</v>
      </c>
      <c r="S332" s="2">
        <v>31.19</v>
      </c>
      <c r="T332">
        <v>1</v>
      </c>
      <c r="U332" t="s">
        <v>58</v>
      </c>
      <c r="V332" s="3">
        <v>0.9</v>
      </c>
      <c r="W332" t="s">
        <v>60</v>
      </c>
      <c r="X332" t="s">
        <v>262</v>
      </c>
      <c r="Y332" s="2">
        <v>28.07</v>
      </c>
    </row>
    <row r="333" spans="1:25" x14ac:dyDescent="0.3">
      <c r="A333">
        <v>2030085142</v>
      </c>
      <c r="B333" t="s">
        <v>343</v>
      </c>
      <c r="C333" t="s">
        <v>344</v>
      </c>
      <c r="D333" t="str">
        <f t="shared" si="16"/>
        <v>GARRARD NOREEN</v>
      </c>
      <c r="E333" t="s">
        <v>64</v>
      </c>
      <c r="F333" t="s">
        <v>65</v>
      </c>
      <c r="G333" t="s">
        <v>66</v>
      </c>
      <c r="H333" t="s">
        <v>797</v>
      </c>
      <c r="I333" s="10">
        <v>8977234</v>
      </c>
      <c r="J333" t="s">
        <v>76</v>
      </c>
      <c r="K333" t="s">
        <v>77</v>
      </c>
      <c r="L333" t="str">
        <f t="shared" si="18"/>
        <v>RYAN CALTAGIRONE</v>
      </c>
      <c r="M333" t="s">
        <v>57</v>
      </c>
      <c r="N333" s="1">
        <v>45861</v>
      </c>
      <c r="O333" s="1">
        <v>46135</v>
      </c>
      <c r="P333">
        <f t="shared" si="17"/>
        <v>9</v>
      </c>
      <c r="Q333" s="1" t="s">
        <v>261</v>
      </c>
      <c r="R333" s="1" t="s">
        <v>843</v>
      </c>
      <c r="S333" s="2">
        <v>78.430000000000007</v>
      </c>
      <c r="T333">
        <v>1</v>
      </c>
      <c r="U333" t="s">
        <v>58</v>
      </c>
      <c r="V333" s="3">
        <v>0.75</v>
      </c>
      <c r="W333" t="s">
        <v>60</v>
      </c>
      <c r="X333" t="s">
        <v>262</v>
      </c>
      <c r="Y333" s="2">
        <v>58.82</v>
      </c>
    </row>
    <row r="334" spans="1:25" x14ac:dyDescent="0.3">
      <c r="A334">
        <v>2030085143</v>
      </c>
      <c r="B334" t="s">
        <v>343</v>
      </c>
      <c r="C334" t="s">
        <v>344</v>
      </c>
      <c r="D334" t="str">
        <f t="shared" si="16"/>
        <v>GARRARD NOREEN</v>
      </c>
      <c r="E334" t="s">
        <v>64</v>
      </c>
      <c r="F334" t="s">
        <v>222</v>
      </c>
      <c r="G334" t="s">
        <v>223</v>
      </c>
      <c r="H334" t="s">
        <v>223</v>
      </c>
      <c r="I334" s="10">
        <v>8977234</v>
      </c>
      <c r="J334" t="s">
        <v>76</v>
      </c>
      <c r="K334" t="s">
        <v>77</v>
      </c>
      <c r="L334" t="str">
        <f t="shared" si="18"/>
        <v>RYAN CALTAGIRONE</v>
      </c>
      <c r="M334" t="s">
        <v>57</v>
      </c>
      <c r="N334" s="1">
        <v>45861</v>
      </c>
      <c r="O334" s="1">
        <v>46135</v>
      </c>
      <c r="P334">
        <f t="shared" si="17"/>
        <v>9</v>
      </c>
      <c r="Q334" s="1" t="s">
        <v>261</v>
      </c>
      <c r="R334" s="1" t="s">
        <v>843</v>
      </c>
      <c r="S334" s="2">
        <v>153.9</v>
      </c>
      <c r="T334">
        <v>1</v>
      </c>
      <c r="U334" t="s">
        <v>58</v>
      </c>
      <c r="V334" s="3">
        <v>0.7</v>
      </c>
      <c r="W334" t="s">
        <v>60</v>
      </c>
      <c r="X334" t="s">
        <v>262</v>
      </c>
      <c r="Y334" s="2">
        <v>107.73</v>
      </c>
    </row>
    <row r="335" spans="1:25" x14ac:dyDescent="0.3">
      <c r="A335">
        <v>2030085144</v>
      </c>
      <c r="B335" t="s">
        <v>343</v>
      </c>
      <c r="C335" t="s">
        <v>344</v>
      </c>
      <c r="D335" t="str">
        <f t="shared" si="16"/>
        <v>GARRARD NOREEN</v>
      </c>
      <c r="E335" t="s">
        <v>64</v>
      </c>
      <c r="F335" t="s">
        <v>163</v>
      </c>
      <c r="G335" t="s">
        <v>164</v>
      </c>
      <c r="H335" t="s">
        <v>164</v>
      </c>
      <c r="I335" s="10">
        <v>8977234</v>
      </c>
      <c r="J335" t="s">
        <v>76</v>
      </c>
      <c r="K335" t="s">
        <v>77</v>
      </c>
      <c r="L335" t="str">
        <f t="shared" si="18"/>
        <v>RYAN CALTAGIRONE</v>
      </c>
      <c r="M335" t="s">
        <v>57</v>
      </c>
      <c r="N335" s="1">
        <v>45861</v>
      </c>
      <c r="O335" s="1">
        <v>46135</v>
      </c>
      <c r="P335">
        <f t="shared" si="17"/>
        <v>9</v>
      </c>
      <c r="Q335" s="1" t="s">
        <v>261</v>
      </c>
      <c r="R335" s="1" t="s">
        <v>843</v>
      </c>
      <c r="S335" s="2">
        <v>77.48</v>
      </c>
      <c r="T335">
        <v>1</v>
      </c>
      <c r="U335" t="s">
        <v>58</v>
      </c>
      <c r="V335" s="4">
        <v>0.375</v>
      </c>
      <c r="W335" t="s">
        <v>60</v>
      </c>
      <c r="X335" t="s">
        <v>262</v>
      </c>
      <c r="Y335" s="2">
        <v>29.06</v>
      </c>
    </row>
    <row r="336" spans="1:25" x14ac:dyDescent="0.3">
      <c r="A336">
        <v>2029046099</v>
      </c>
      <c r="B336" t="s">
        <v>516</v>
      </c>
      <c r="C336" t="s">
        <v>517</v>
      </c>
      <c r="D336" t="str">
        <f t="shared" si="16"/>
        <v>DONNA FLEMING</v>
      </c>
      <c r="E336" t="s">
        <v>418</v>
      </c>
      <c r="F336" t="s">
        <v>163</v>
      </c>
      <c r="G336" t="s">
        <v>164</v>
      </c>
      <c r="H336" t="s">
        <v>164</v>
      </c>
      <c r="I336" s="10" t="s">
        <v>799</v>
      </c>
      <c r="J336" t="s">
        <v>269</v>
      </c>
      <c r="K336" t="s">
        <v>270</v>
      </c>
      <c r="L336" t="str">
        <f t="shared" si="18"/>
        <v>ANNE MARIE KOZACHECK</v>
      </c>
      <c r="M336" t="s">
        <v>57</v>
      </c>
      <c r="N336" s="1">
        <v>45799</v>
      </c>
      <c r="O336" s="1">
        <v>46134</v>
      </c>
      <c r="P336">
        <f t="shared" si="17"/>
        <v>11</v>
      </c>
      <c r="Q336" s="1" t="s">
        <v>261</v>
      </c>
      <c r="R336" s="1" t="s">
        <v>843</v>
      </c>
      <c r="S336" s="2">
        <v>54.16</v>
      </c>
      <c r="T336">
        <v>1</v>
      </c>
      <c r="U336" t="s">
        <v>58</v>
      </c>
      <c r="V336" s="4">
        <v>0.375</v>
      </c>
      <c r="W336" t="s">
        <v>60</v>
      </c>
      <c r="X336" t="s">
        <v>262</v>
      </c>
      <c r="Y336" s="2">
        <v>20.309999999999999</v>
      </c>
    </row>
    <row r="337" spans="1:25" x14ac:dyDescent="0.3">
      <c r="A337">
        <v>2028937325</v>
      </c>
      <c r="B337" t="s">
        <v>633</v>
      </c>
      <c r="C337" t="s">
        <v>138</v>
      </c>
      <c r="D337" t="str">
        <f t="shared" si="16"/>
        <v>CODY BURNS</v>
      </c>
      <c r="E337" t="s">
        <v>74</v>
      </c>
      <c r="F337" t="s">
        <v>222</v>
      </c>
      <c r="G337" t="s">
        <v>223</v>
      </c>
      <c r="H337" t="s">
        <v>223</v>
      </c>
      <c r="I337" s="10" t="s">
        <v>831</v>
      </c>
      <c r="J337" t="s">
        <v>67</v>
      </c>
      <c r="K337" t="s">
        <v>473</v>
      </c>
      <c r="L337" t="str">
        <f t="shared" si="18"/>
        <v>Chad Yale</v>
      </c>
      <c r="M337" t="s">
        <v>57</v>
      </c>
      <c r="N337" s="1">
        <v>45792</v>
      </c>
      <c r="O337" s="1">
        <v>46127</v>
      </c>
      <c r="P337">
        <f t="shared" si="17"/>
        <v>11</v>
      </c>
      <c r="Q337" s="1" t="s">
        <v>261</v>
      </c>
      <c r="R337" s="1" t="s">
        <v>843</v>
      </c>
      <c r="S337" s="2">
        <v>-163.43</v>
      </c>
      <c r="T337">
        <v>1</v>
      </c>
      <c r="U337" t="s">
        <v>58</v>
      </c>
      <c r="V337" s="3">
        <v>0.7</v>
      </c>
      <c r="W337" t="s">
        <v>60</v>
      </c>
      <c r="X337" t="s">
        <v>262</v>
      </c>
      <c r="Y337" s="2">
        <v>-114.4</v>
      </c>
    </row>
    <row r="338" spans="1:25" x14ac:dyDescent="0.3">
      <c r="A338">
        <v>2029303774</v>
      </c>
      <c r="B338" t="s">
        <v>776</v>
      </c>
      <c r="C338" t="s">
        <v>239</v>
      </c>
      <c r="D338" t="str">
        <f t="shared" si="16"/>
        <v>BEVERLY GATHANY</v>
      </c>
      <c r="E338" t="s">
        <v>52</v>
      </c>
      <c r="F338" t="s">
        <v>256</v>
      </c>
      <c r="G338" t="s">
        <v>257</v>
      </c>
      <c r="H338" t="s">
        <v>257</v>
      </c>
      <c r="I338" s="10" t="s">
        <v>829</v>
      </c>
      <c r="J338" t="s">
        <v>503</v>
      </c>
      <c r="K338" t="s">
        <v>504</v>
      </c>
      <c r="L338" t="str">
        <f t="shared" si="18"/>
        <v>DEBORAH INSKIPT</v>
      </c>
      <c r="M338" t="s">
        <v>57</v>
      </c>
      <c r="N338" s="1">
        <v>45798</v>
      </c>
      <c r="O338" s="1">
        <v>46133</v>
      </c>
      <c r="P338">
        <f t="shared" si="17"/>
        <v>11</v>
      </c>
      <c r="Q338" s="1" t="s">
        <v>261</v>
      </c>
      <c r="R338" s="1" t="s">
        <v>843</v>
      </c>
      <c r="S338" s="2">
        <v>37.32</v>
      </c>
      <c r="T338">
        <v>1</v>
      </c>
      <c r="U338" t="s">
        <v>58</v>
      </c>
      <c r="V338" s="3">
        <v>0.47</v>
      </c>
      <c r="W338" t="s">
        <v>60</v>
      </c>
      <c r="X338" t="s">
        <v>262</v>
      </c>
      <c r="Y338" s="2">
        <v>17.54</v>
      </c>
    </row>
    <row r="339" spans="1:25" x14ac:dyDescent="0.3">
      <c r="A339">
        <v>2029112078</v>
      </c>
      <c r="B339" t="s">
        <v>638</v>
      </c>
      <c r="C339" t="s">
        <v>639</v>
      </c>
      <c r="D339" t="str">
        <f t="shared" si="16"/>
        <v>JUDITH DEQUAKER</v>
      </c>
      <c r="E339" t="s">
        <v>64</v>
      </c>
      <c r="F339" t="s">
        <v>222</v>
      </c>
      <c r="G339" t="s">
        <v>223</v>
      </c>
      <c r="H339" t="s">
        <v>223</v>
      </c>
      <c r="I339" s="10">
        <v>9213293</v>
      </c>
      <c r="J339" t="s">
        <v>495</v>
      </c>
      <c r="K339" t="s">
        <v>547</v>
      </c>
      <c r="L339" t="str">
        <f t="shared" si="18"/>
        <v>GARY PORTUGAL</v>
      </c>
      <c r="M339" t="s">
        <v>57</v>
      </c>
      <c r="N339" s="1">
        <v>45802</v>
      </c>
      <c r="O339" s="1">
        <v>46137</v>
      </c>
      <c r="P339">
        <f t="shared" si="17"/>
        <v>11</v>
      </c>
      <c r="Q339" s="1" t="s">
        <v>261</v>
      </c>
      <c r="R339" s="1" t="s">
        <v>843</v>
      </c>
      <c r="S339" s="2">
        <v>46.08</v>
      </c>
      <c r="T339">
        <v>1</v>
      </c>
      <c r="U339" t="s">
        <v>58</v>
      </c>
      <c r="V339" s="3">
        <v>0.7</v>
      </c>
      <c r="W339" t="s">
        <v>60</v>
      </c>
      <c r="X339" t="s">
        <v>262</v>
      </c>
      <c r="Y339" s="2">
        <v>32.26</v>
      </c>
    </row>
    <row r="340" spans="1:25" x14ac:dyDescent="0.3">
      <c r="A340">
        <v>2028800424</v>
      </c>
      <c r="B340" t="s">
        <v>631</v>
      </c>
      <c r="C340" t="s">
        <v>632</v>
      </c>
      <c r="D340" t="str">
        <f t="shared" si="16"/>
        <v>TINA ANDERSON</v>
      </c>
      <c r="E340" t="s">
        <v>332</v>
      </c>
      <c r="F340" t="s">
        <v>222</v>
      </c>
      <c r="G340" t="s">
        <v>223</v>
      </c>
      <c r="H340" t="s">
        <v>223</v>
      </c>
      <c r="I340" s="10">
        <v>8977234</v>
      </c>
      <c r="J340" t="s">
        <v>76</v>
      </c>
      <c r="K340" t="s">
        <v>77</v>
      </c>
      <c r="L340" t="str">
        <f t="shared" si="18"/>
        <v>RYAN CALTAGIRONE</v>
      </c>
      <c r="M340" t="s">
        <v>57</v>
      </c>
      <c r="N340" s="1">
        <v>45804</v>
      </c>
      <c r="O340" s="1">
        <v>46139</v>
      </c>
      <c r="P340">
        <f t="shared" si="17"/>
        <v>11</v>
      </c>
      <c r="Q340" s="1" t="s">
        <v>261</v>
      </c>
      <c r="R340" s="1" t="s">
        <v>843</v>
      </c>
      <c r="S340" s="2">
        <v>141.32</v>
      </c>
      <c r="T340">
        <v>1</v>
      </c>
      <c r="U340" t="s">
        <v>58</v>
      </c>
      <c r="V340" s="3">
        <v>0.7</v>
      </c>
      <c r="W340" t="s">
        <v>60</v>
      </c>
      <c r="X340" t="s">
        <v>262</v>
      </c>
      <c r="Y340" s="2">
        <v>98.92</v>
      </c>
    </row>
    <row r="341" spans="1:25" x14ac:dyDescent="0.3">
      <c r="A341">
        <v>2029038485</v>
      </c>
      <c r="B341" t="s">
        <v>327</v>
      </c>
      <c r="C341" t="s">
        <v>328</v>
      </c>
      <c r="D341" t="str">
        <f t="shared" si="16"/>
        <v>SEAN HANAFI</v>
      </c>
      <c r="E341" t="s">
        <v>191</v>
      </c>
      <c r="F341" t="s">
        <v>65</v>
      </c>
      <c r="G341" t="s">
        <v>66</v>
      </c>
      <c r="H341" t="s">
        <v>797</v>
      </c>
      <c r="I341" s="10">
        <v>8977234</v>
      </c>
      <c r="J341" t="s">
        <v>76</v>
      </c>
      <c r="K341" t="s">
        <v>77</v>
      </c>
      <c r="L341" t="str">
        <f t="shared" si="18"/>
        <v>RYAN CALTAGIRONE</v>
      </c>
      <c r="M341" t="s">
        <v>57</v>
      </c>
      <c r="N341" s="1">
        <v>45798</v>
      </c>
      <c r="O341" s="1">
        <v>46133</v>
      </c>
      <c r="P341">
        <f t="shared" si="17"/>
        <v>11</v>
      </c>
      <c r="Q341" s="1" t="s">
        <v>261</v>
      </c>
      <c r="R341" s="1" t="s">
        <v>843</v>
      </c>
      <c r="S341" s="2">
        <v>50.74</v>
      </c>
      <c r="T341">
        <v>1</v>
      </c>
      <c r="U341" t="s">
        <v>58</v>
      </c>
      <c r="V341" s="3">
        <v>0.75</v>
      </c>
      <c r="W341" t="s">
        <v>60</v>
      </c>
      <c r="X341" t="s">
        <v>262</v>
      </c>
      <c r="Y341" s="2">
        <v>38.06</v>
      </c>
    </row>
    <row r="342" spans="1:25" x14ac:dyDescent="0.3">
      <c r="A342">
        <v>2029038486</v>
      </c>
      <c r="B342" t="s">
        <v>327</v>
      </c>
      <c r="C342" t="s">
        <v>328</v>
      </c>
      <c r="D342" t="str">
        <f t="shared" si="16"/>
        <v>SEAN HANAFI</v>
      </c>
      <c r="E342" t="s">
        <v>191</v>
      </c>
      <c r="F342" t="s">
        <v>222</v>
      </c>
      <c r="G342" t="s">
        <v>223</v>
      </c>
      <c r="H342" t="s">
        <v>223</v>
      </c>
      <c r="I342" s="10">
        <v>8977234</v>
      </c>
      <c r="J342" t="s">
        <v>76</v>
      </c>
      <c r="K342" t="s">
        <v>77</v>
      </c>
      <c r="L342" t="str">
        <f t="shared" si="18"/>
        <v>RYAN CALTAGIRONE</v>
      </c>
      <c r="M342" t="s">
        <v>57</v>
      </c>
      <c r="N342" s="1">
        <v>45798</v>
      </c>
      <c r="O342" s="1">
        <v>46133</v>
      </c>
      <c r="P342">
        <f t="shared" si="17"/>
        <v>11</v>
      </c>
      <c r="Q342" s="1" t="s">
        <v>261</v>
      </c>
      <c r="R342" s="1" t="s">
        <v>843</v>
      </c>
      <c r="S342" s="2">
        <v>61.99</v>
      </c>
      <c r="T342">
        <v>1</v>
      </c>
      <c r="U342" t="s">
        <v>58</v>
      </c>
      <c r="V342" s="3">
        <v>0.7</v>
      </c>
      <c r="W342" t="s">
        <v>60</v>
      </c>
      <c r="X342" t="s">
        <v>262</v>
      </c>
      <c r="Y342" s="2">
        <v>43.39</v>
      </c>
    </row>
    <row r="343" spans="1:25" x14ac:dyDescent="0.3">
      <c r="A343">
        <v>2029038487</v>
      </c>
      <c r="B343" t="s">
        <v>327</v>
      </c>
      <c r="C343" t="s">
        <v>328</v>
      </c>
      <c r="D343" t="str">
        <f t="shared" si="16"/>
        <v>SEAN HANAFI</v>
      </c>
      <c r="E343" t="s">
        <v>191</v>
      </c>
      <c r="F343" t="s">
        <v>163</v>
      </c>
      <c r="G343" t="s">
        <v>164</v>
      </c>
      <c r="H343" t="s">
        <v>164</v>
      </c>
      <c r="I343" s="10">
        <v>8977234</v>
      </c>
      <c r="J343" t="s">
        <v>76</v>
      </c>
      <c r="K343" t="s">
        <v>77</v>
      </c>
      <c r="L343" t="str">
        <f t="shared" si="18"/>
        <v>RYAN CALTAGIRONE</v>
      </c>
      <c r="M343" t="s">
        <v>57</v>
      </c>
      <c r="N343" s="1">
        <v>45798</v>
      </c>
      <c r="O343" s="1">
        <v>46133</v>
      </c>
      <c r="P343">
        <f t="shared" si="17"/>
        <v>11</v>
      </c>
      <c r="Q343" s="1" t="s">
        <v>261</v>
      </c>
      <c r="R343" s="1" t="s">
        <v>843</v>
      </c>
      <c r="S343" s="2">
        <v>60.1</v>
      </c>
      <c r="T343">
        <v>1</v>
      </c>
      <c r="U343" t="s">
        <v>58</v>
      </c>
      <c r="V343" s="4">
        <v>0.375</v>
      </c>
      <c r="W343" t="s">
        <v>60</v>
      </c>
      <c r="X343" t="s">
        <v>262</v>
      </c>
      <c r="Y343" s="2">
        <v>22.54</v>
      </c>
    </row>
    <row r="344" spans="1:25" x14ac:dyDescent="0.3">
      <c r="A344">
        <v>2028547423</v>
      </c>
      <c r="B344" t="s">
        <v>628</v>
      </c>
      <c r="C344" t="s">
        <v>124</v>
      </c>
      <c r="D344" t="str">
        <f t="shared" si="16"/>
        <v>WILLIAM BATKA</v>
      </c>
      <c r="E344" t="s">
        <v>64</v>
      </c>
      <c r="F344" t="s">
        <v>222</v>
      </c>
      <c r="G344" t="s">
        <v>223</v>
      </c>
      <c r="H344" t="s">
        <v>223</v>
      </c>
      <c r="I344" s="10">
        <v>9213293</v>
      </c>
      <c r="J344" t="s">
        <v>495</v>
      </c>
      <c r="K344" t="s">
        <v>547</v>
      </c>
      <c r="L344" t="str">
        <f t="shared" si="18"/>
        <v>GARY PORTUGAL</v>
      </c>
      <c r="M344" t="s">
        <v>57</v>
      </c>
      <c r="N344" s="1">
        <v>45770</v>
      </c>
      <c r="O344" s="1">
        <v>46135</v>
      </c>
      <c r="P344">
        <f t="shared" si="17"/>
        <v>12</v>
      </c>
      <c r="Q344" s="1" t="s">
        <v>261</v>
      </c>
      <c r="R344" s="1" t="s">
        <v>843</v>
      </c>
      <c r="S344" s="2">
        <v>35.700000000000003</v>
      </c>
      <c r="T344">
        <v>1</v>
      </c>
      <c r="U344" t="s">
        <v>58</v>
      </c>
      <c r="V344" s="3">
        <v>0.7</v>
      </c>
      <c r="W344" t="s">
        <v>60</v>
      </c>
      <c r="X344" t="s">
        <v>262</v>
      </c>
      <c r="Y344" s="2">
        <v>24.99</v>
      </c>
    </row>
    <row r="345" spans="1:25" x14ac:dyDescent="0.3">
      <c r="A345">
        <v>2028007024</v>
      </c>
      <c r="B345" t="s">
        <v>624</v>
      </c>
      <c r="C345" t="s">
        <v>625</v>
      </c>
      <c r="D345" t="str">
        <f t="shared" si="16"/>
        <v>TSOGOO DAMDINVAANJIL</v>
      </c>
      <c r="E345" t="s">
        <v>64</v>
      </c>
      <c r="F345" t="s">
        <v>222</v>
      </c>
      <c r="G345" t="s">
        <v>223</v>
      </c>
      <c r="H345" t="s">
        <v>223</v>
      </c>
      <c r="I345" s="10">
        <v>20999157</v>
      </c>
      <c r="J345" t="s">
        <v>626</v>
      </c>
      <c r="K345" t="s">
        <v>627</v>
      </c>
      <c r="L345" t="str">
        <f t="shared" si="18"/>
        <v>ODMAA ENKHTUR</v>
      </c>
      <c r="M345" t="s">
        <v>57</v>
      </c>
      <c r="N345" s="1">
        <v>45741</v>
      </c>
      <c r="O345" s="1">
        <v>46137</v>
      </c>
      <c r="P345">
        <f t="shared" si="17"/>
        <v>13</v>
      </c>
      <c r="Q345" s="1" t="s">
        <v>261</v>
      </c>
      <c r="R345" s="1" t="s">
        <v>843</v>
      </c>
      <c r="S345" s="2">
        <v>19</v>
      </c>
      <c r="T345">
        <v>1</v>
      </c>
      <c r="U345" t="s">
        <v>58</v>
      </c>
      <c r="V345" s="3">
        <v>0.15</v>
      </c>
      <c r="W345" t="s">
        <v>261</v>
      </c>
      <c r="X345" t="s">
        <v>262</v>
      </c>
      <c r="Y345" s="2">
        <v>2.85</v>
      </c>
    </row>
    <row r="346" spans="1:25" x14ac:dyDescent="0.3">
      <c r="A346">
        <v>2027957199</v>
      </c>
      <c r="B346" t="s">
        <v>623</v>
      </c>
      <c r="C346" t="s">
        <v>446</v>
      </c>
      <c r="D346" t="str">
        <f t="shared" si="16"/>
        <v>KAREN HAMRICK</v>
      </c>
      <c r="E346" t="s">
        <v>103</v>
      </c>
      <c r="F346" t="s">
        <v>222</v>
      </c>
      <c r="G346" t="s">
        <v>224</v>
      </c>
      <c r="H346" t="s">
        <v>224</v>
      </c>
      <c r="I346" s="10">
        <v>5442438</v>
      </c>
      <c r="J346" t="s">
        <v>149</v>
      </c>
      <c r="K346" t="s">
        <v>150</v>
      </c>
      <c r="L346" t="str">
        <f t="shared" si="18"/>
        <v>Ronald Max</v>
      </c>
      <c r="M346" t="s">
        <v>57</v>
      </c>
      <c r="N346" s="1">
        <v>45743</v>
      </c>
      <c r="O346" s="1">
        <v>46139</v>
      </c>
      <c r="P346">
        <f t="shared" si="17"/>
        <v>13</v>
      </c>
      <c r="Q346" s="1" t="s">
        <v>261</v>
      </c>
      <c r="R346" s="1" t="s">
        <v>843</v>
      </c>
      <c r="S346" s="2">
        <v>96.17</v>
      </c>
      <c r="T346">
        <v>1</v>
      </c>
      <c r="U346" t="s">
        <v>58</v>
      </c>
      <c r="V346" s="3">
        <v>0.1</v>
      </c>
      <c r="W346" t="s">
        <v>261</v>
      </c>
      <c r="X346" t="s">
        <v>262</v>
      </c>
      <c r="Y346" s="2">
        <v>9.6199999999999992</v>
      </c>
    </row>
    <row r="347" spans="1:25" x14ac:dyDescent="0.3">
      <c r="A347">
        <v>2027321379</v>
      </c>
      <c r="B347" t="s">
        <v>510</v>
      </c>
      <c r="C347" t="s">
        <v>511</v>
      </c>
      <c r="D347" t="str">
        <f t="shared" si="16"/>
        <v>EDWINA JENSEN</v>
      </c>
      <c r="E347" t="s">
        <v>64</v>
      </c>
      <c r="F347" t="s">
        <v>222</v>
      </c>
      <c r="G347" t="s">
        <v>223</v>
      </c>
      <c r="H347" t="s">
        <v>223</v>
      </c>
      <c r="I347" s="10">
        <v>8977234</v>
      </c>
      <c r="J347" t="s">
        <v>76</v>
      </c>
      <c r="K347" t="s">
        <v>77</v>
      </c>
      <c r="L347" t="str">
        <f t="shared" si="18"/>
        <v>RYAN CALTAGIRONE</v>
      </c>
      <c r="M347" t="s">
        <v>57</v>
      </c>
      <c r="N347" s="1">
        <v>45713</v>
      </c>
      <c r="O347" s="1">
        <v>46137</v>
      </c>
      <c r="P347">
        <f t="shared" si="17"/>
        <v>14</v>
      </c>
      <c r="Q347" s="1" t="s">
        <v>261</v>
      </c>
      <c r="R347" s="1" t="s">
        <v>843</v>
      </c>
      <c r="S347" s="2">
        <v>38.17</v>
      </c>
      <c r="T347">
        <v>1</v>
      </c>
      <c r="U347" t="s">
        <v>58</v>
      </c>
      <c r="V347" s="3">
        <v>0.15</v>
      </c>
      <c r="W347" t="s">
        <v>261</v>
      </c>
      <c r="X347" t="s">
        <v>262</v>
      </c>
      <c r="Y347" s="2">
        <v>5.73</v>
      </c>
    </row>
    <row r="348" spans="1:25" x14ac:dyDescent="0.3">
      <c r="A348">
        <v>2027321380</v>
      </c>
      <c r="B348" t="s">
        <v>510</v>
      </c>
      <c r="C348" t="s">
        <v>511</v>
      </c>
      <c r="D348" t="str">
        <f t="shared" si="16"/>
        <v>EDWINA JENSEN</v>
      </c>
      <c r="E348" t="s">
        <v>64</v>
      </c>
      <c r="F348" t="s">
        <v>163</v>
      </c>
      <c r="G348" t="s">
        <v>164</v>
      </c>
      <c r="H348" t="s">
        <v>164</v>
      </c>
      <c r="I348" s="10">
        <v>8977234</v>
      </c>
      <c r="J348" t="s">
        <v>76</v>
      </c>
      <c r="K348" t="s">
        <v>77</v>
      </c>
      <c r="L348" t="str">
        <f t="shared" si="18"/>
        <v>RYAN CALTAGIRONE</v>
      </c>
      <c r="M348" t="s">
        <v>57</v>
      </c>
      <c r="N348" s="1">
        <v>45713</v>
      </c>
      <c r="O348" s="1">
        <v>46137</v>
      </c>
      <c r="P348">
        <f t="shared" si="17"/>
        <v>14</v>
      </c>
      <c r="Q348" s="1" t="s">
        <v>261</v>
      </c>
      <c r="R348" s="1" t="s">
        <v>843</v>
      </c>
      <c r="S348" s="2">
        <v>27.64</v>
      </c>
      <c r="T348">
        <v>1</v>
      </c>
      <c r="U348" t="s">
        <v>58</v>
      </c>
      <c r="V348" s="3">
        <v>0.06</v>
      </c>
      <c r="W348" t="s">
        <v>261</v>
      </c>
      <c r="X348" t="s">
        <v>262</v>
      </c>
      <c r="Y348" s="2">
        <v>1.66</v>
      </c>
    </row>
    <row r="349" spans="1:25" x14ac:dyDescent="0.3">
      <c r="A349">
        <v>2027258065</v>
      </c>
      <c r="B349" t="s">
        <v>167</v>
      </c>
      <c r="C349" t="s">
        <v>316</v>
      </c>
      <c r="D349" t="str">
        <f t="shared" si="16"/>
        <v>VIVIANA BUSH</v>
      </c>
      <c r="E349" t="s">
        <v>86</v>
      </c>
      <c r="F349" t="s">
        <v>222</v>
      </c>
      <c r="G349" t="s">
        <v>590</v>
      </c>
      <c r="H349" t="s">
        <v>590</v>
      </c>
      <c r="I349" s="10">
        <v>8977234</v>
      </c>
      <c r="J349" t="s">
        <v>76</v>
      </c>
      <c r="K349" t="s">
        <v>77</v>
      </c>
      <c r="L349" t="str">
        <f t="shared" si="18"/>
        <v>RYAN CALTAGIRONE</v>
      </c>
      <c r="M349" t="s">
        <v>57</v>
      </c>
      <c r="N349" s="1">
        <v>45710</v>
      </c>
      <c r="O349" s="1">
        <v>46134</v>
      </c>
      <c r="P349">
        <f t="shared" si="17"/>
        <v>14</v>
      </c>
      <c r="Q349" s="1" t="s">
        <v>261</v>
      </c>
      <c r="R349" s="1" t="s">
        <v>843</v>
      </c>
      <c r="S349" s="2">
        <v>25.73</v>
      </c>
      <c r="T349">
        <v>1</v>
      </c>
      <c r="U349" t="s">
        <v>58</v>
      </c>
      <c r="V349" s="3">
        <v>0.15</v>
      </c>
      <c r="W349" t="s">
        <v>261</v>
      </c>
      <c r="X349" t="s">
        <v>262</v>
      </c>
      <c r="Y349" s="2">
        <v>3.86</v>
      </c>
    </row>
    <row r="350" spans="1:25" x14ac:dyDescent="0.3">
      <c r="A350">
        <v>2027258066</v>
      </c>
      <c r="B350" t="s">
        <v>167</v>
      </c>
      <c r="C350" t="s">
        <v>316</v>
      </c>
      <c r="D350" t="str">
        <f t="shared" si="16"/>
        <v>VIVIANA BUSH</v>
      </c>
      <c r="E350" t="s">
        <v>86</v>
      </c>
      <c r="F350" t="s">
        <v>65</v>
      </c>
      <c r="G350" t="s">
        <v>315</v>
      </c>
      <c r="H350" t="s">
        <v>807</v>
      </c>
      <c r="I350" s="10">
        <v>8977234</v>
      </c>
      <c r="J350" t="s">
        <v>76</v>
      </c>
      <c r="K350" t="s">
        <v>77</v>
      </c>
      <c r="L350" t="str">
        <f t="shared" si="18"/>
        <v>RYAN CALTAGIRONE</v>
      </c>
      <c r="M350" t="s">
        <v>57</v>
      </c>
      <c r="N350" s="1">
        <v>45710</v>
      </c>
      <c r="O350" s="1">
        <v>46134</v>
      </c>
      <c r="P350">
        <f t="shared" si="17"/>
        <v>14</v>
      </c>
      <c r="Q350" s="1" t="s">
        <v>261</v>
      </c>
      <c r="R350" s="1" t="s">
        <v>843</v>
      </c>
      <c r="S350" s="2">
        <v>78.239999999999995</v>
      </c>
      <c r="T350">
        <v>1</v>
      </c>
      <c r="U350" t="s">
        <v>58</v>
      </c>
      <c r="V350" s="3">
        <v>0.1</v>
      </c>
      <c r="W350" t="s">
        <v>261</v>
      </c>
      <c r="X350" t="s">
        <v>262</v>
      </c>
      <c r="Y350" s="2">
        <v>7.82</v>
      </c>
    </row>
    <row r="351" spans="1:25" x14ac:dyDescent="0.3">
      <c r="A351">
        <v>2027258064</v>
      </c>
      <c r="B351" t="s">
        <v>167</v>
      </c>
      <c r="C351" t="s">
        <v>316</v>
      </c>
      <c r="D351" t="str">
        <f t="shared" si="16"/>
        <v>VIVIANA BUSH</v>
      </c>
      <c r="E351" t="s">
        <v>86</v>
      </c>
      <c r="F351" t="s">
        <v>222</v>
      </c>
      <c r="G351" t="s">
        <v>223</v>
      </c>
      <c r="H351" t="s">
        <v>223</v>
      </c>
      <c r="I351" s="10">
        <v>8977234</v>
      </c>
      <c r="J351" t="s">
        <v>76</v>
      </c>
      <c r="K351" t="s">
        <v>77</v>
      </c>
      <c r="L351" t="str">
        <f t="shared" si="18"/>
        <v>RYAN CALTAGIRONE</v>
      </c>
      <c r="M351" t="s">
        <v>57</v>
      </c>
      <c r="N351" s="1">
        <v>45710</v>
      </c>
      <c r="O351" s="1">
        <v>46134</v>
      </c>
      <c r="P351">
        <f t="shared" si="17"/>
        <v>14</v>
      </c>
      <c r="Q351" s="1" t="s">
        <v>261</v>
      </c>
      <c r="R351" s="1" t="s">
        <v>843</v>
      </c>
      <c r="S351" s="2">
        <v>42.36</v>
      </c>
      <c r="T351">
        <v>1</v>
      </c>
      <c r="U351" t="s">
        <v>58</v>
      </c>
      <c r="V351" s="3">
        <v>0.15</v>
      </c>
      <c r="W351" t="s">
        <v>261</v>
      </c>
      <c r="X351" t="s">
        <v>262</v>
      </c>
      <c r="Y351" s="2">
        <v>6.35</v>
      </c>
    </row>
    <row r="352" spans="1:25" x14ac:dyDescent="0.3">
      <c r="A352">
        <v>2027258067</v>
      </c>
      <c r="B352" t="s">
        <v>167</v>
      </c>
      <c r="C352" t="s">
        <v>316</v>
      </c>
      <c r="D352" t="str">
        <f t="shared" si="16"/>
        <v>VIVIANA BUSH</v>
      </c>
      <c r="E352" t="s">
        <v>86</v>
      </c>
      <c r="F352" t="s">
        <v>222</v>
      </c>
      <c r="G352" t="s">
        <v>224</v>
      </c>
      <c r="H352" t="s">
        <v>224</v>
      </c>
      <c r="I352" s="10">
        <v>8977234</v>
      </c>
      <c r="J352" t="s">
        <v>76</v>
      </c>
      <c r="K352" t="s">
        <v>77</v>
      </c>
      <c r="L352" t="str">
        <f t="shared" si="18"/>
        <v>RYAN CALTAGIRONE</v>
      </c>
      <c r="M352" t="s">
        <v>57</v>
      </c>
      <c r="N352" s="1">
        <v>45710</v>
      </c>
      <c r="O352" s="1">
        <v>46134</v>
      </c>
      <c r="P352">
        <f t="shared" si="17"/>
        <v>14</v>
      </c>
      <c r="Q352" s="1" t="s">
        <v>261</v>
      </c>
      <c r="R352" s="1" t="s">
        <v>843</v>
      </c>
      <c r="S352" s="2">
        <v>31.08</v>
      </c>
      <c r="T352">
        <v>1</v>
      </c>
      <c r="U352" t="s">
        <v>58</v>
      </c>
      <c r="V352" s="3">
        <v>0.1</v>
      </c>
      <c r="W352" t="s">
        <v>261</v>
      </c>
      <c r="X352" t="s">
        <v>262</v>
      </c>
      <c r="Y352" s="2">
        <v>3.11</v>
      </c>
    </row>
    <row r="353" spans="1:25" x14ac:dyDescent="0.3">
      <c r="A353">
        <v>2026783377</v>
      </c>
      <c r="B353" t="s">
        <v>313</v>
      </c>
      <c r="C353" t="s">
        <v>314</v>
      </c>
      <c r="D353" t="str">
        <f t="shared" si="16"/>
        <v>MARK CERRETANI</v>
      </c>
      <c r="E353" t="s">
        <v>86</v>
      </c>
      <c r="F353" t="s">
        <v>222</v>
      </c>
      <c r="G353" t="s">
        <v>590</v>
      </c>
      <c r="H353" t="s">
        <v>590</v>
      </c>
      <c r="I353" s="10">
        <v>8977234</v>
      </c>
      <c r="J353" t="s">
        <v>76</v>
      </c>
      <c r="K353" t="s">
        <v>77</v>
      </c>
      <c r="L353" t="str">
        <f t="shared" si="18"/>
        <v>RYAN CALTAGIRONE</v>
      </c>
      <c r="M353" t="s">
        <v>57</v>
      </c>
      <c r="N353" s="1">
        <v>45709</v>
      </c>
      <c r="O353" s="1">
        <v>46133</v>
      </c>
      <c r="P353">
        <f t="shared" si="17"/>
        <v>14</v>
      </c>
      <c r="Q353" s="1" t="s">
        <v>261</v>
      </c>
      <c r="R353" s="1" t="s">
        <v>843</v>
      </c>
      <c r="S353" s="2">
        <v>25.73</v>
      </c>
      <c r="T353">
        <v>1</v>
      </c>
      <c r="U353" t="s">
        <v>58</v>
      </c>
      <c r="V353" s="3">
        <v>0.15</v>
      </c>
      <c r="W353" t="s">
        <v>261</v>
      </c>
      <c r="X353" t="s">
        <v>262</v>
      </c>
      <c r="Y353" s="2">
        <v>3.86</v>
      </c>
    </row>
    <row r="354" spans="1:25" x14ac:dyDescent="0.3">
      <c r="A354">
        <v>2026783376</v>
      </c>
      <c r="B354" t="s">
        <v>313</v>
      </c>
      <c r="C354" t="s">
        <v>314</v>
      </c>
      <c r="D354" t="str">
        <f t="shared" si="16"/>
        <v>MARK CERRETANI</v>
      </c>
      <c r="E354" t="s">
        <v>86</v>
      </c>
      <c r="F354" t="s">
        <v>65</v>
      </c>
      <c r="G354" t="s">
        <v>315</v>
      </c>
      <c r="H354" t="s">
        <v>807</v>
      </c>
      <c r="I354" s="10">
        <v>8977234</v>
      </c>
      <c r="J354" t="s">
        <v>76</v>
      </c>
      <c r="K354" t="s">
        <v>77</v>
      </c>
      <c r="L354" t="str">
        <f t="shared" si="18"/>
        <v>RYAN CALTAGIRONE</v>
      </c>
      <c r="M354" t="s">
        <v>57</v>
      </c>
      <c r="N354" s="1">
        <v>45709</v>
      </c>
      <c r="O354" s="1">
        <v>46133</v>
      </c>
      <c r="P354">
        <f t="shared" si="17"/>
        <v>14</v>
      </c>
      <c r="Q354" s="1" t="s">
        <v>261</v>
      </c>
      <c r="R354" s="1" t="s">
        <v>843</v>
      </c>
      <c r="S354" s="2">
        <v>66.489999999999995</v>
      </c>
      <c r="T354">
        <v>1</v>
      </c>
      <c r="U354" t="s">
        <v>58</v>
      </c>
      <c r="V354" s="3">
        <v>0.1</v>
      </c>
      <c r="W354" t="s">
        <v>261</v>
      </c>
      <c r="X354" t="s">
        <v>262</v>
      </c>
      <c r="Y354" s="2">
        <v>6.65</v>
      </c>
    </row>
    <row r="355" spans="1:25" x14ac:dyDescent="0.3">
      <c r="A355">
        <v>2026783375</v>
      </c>
      <c r="B355" t="s">
        <v>313</v>
      </c>
      <c r="C355" t="s">
        <v>314</v>
      </c>
      <c r="D355" t="str">
        <f t="shared" si="16"/>
        <v>MARK CERRETANI</v>
      </c>
      <c r="E355" t="s">
        <v>86</v>
      </c>
      <c r="F355" t="s">
        <v>222</v>
      </c>
      <c r="G355" t="s">
        <v>223</v>
      </c>
      <c r="H355" t="s">
        <v>223</v>
      </c>
      <c r="I355" s="10">
        <v>8977234</v>
      </c>
      <c r="J355" t="s">
        <v>76</v>
      </c>
      <c r="K355" t="s">
        <v>77</v>
      </c>
      <c r="L355" t="str">
        <f t="shared" si="18"/>
        <v>RYAN CALTAGIRONE</v>
      </c>
      <c r="M355" t="s">
        <v>57</v>
      </c>
      <c r="N355" s="1">
        <v>45709</v>
      </c>
      <c r="O355" s="1">
        <v>46133</v>
      </c>
      <c r="P355">
        <f t="shared" si="17"/>
        <v>14</v>
      </c>
      <c r="Q355" s="1" t="s">
        <v>261</v>
      </c>
      <c r="R355" s="1" t="s">
        <v>843</v>
      </c>
      <c r="S355" s="2">
        <v>57.27</v>
      </c>
      <c r="T355">
        <v>1</v>
      </c>
      <c r="U355" t="s">
        <v>58</v>
      </c>
      <c r="V355" s="3">
        <v>0.15</v>
      </c>
      <c r="W355" t="s">
        <v>261</v>
      </c>
      <c r="X355" t="s">
        <v>262</v>
      </c>
      <c r="Y355" s="2">
        <v>8.59</v>
      </c>
    </row>
    <row r="356" spans="1:25" x14ac:dyDescent="0.3">
      <c r="A356">
        <v>2026783378</v>
      </c>
      <c r="B356" t="s">
        <v>313</v>
      </c>
      <c r="C356" t="s">
        <v>314</v>
      </c>
      <c r="D356" t="str">
        <f t="shared" si="16"/>
        <v>MARK CERRETANI</v>
      </c>
      <c r="E356" t="s">
        <v>86</v>
      </c>
      <c r="F356" t="s">
        <v>163</v>
      </c>
      <c r="G356" t="s">
        <v>164</v>
      </c>
      <c r="H356" t="s">
        <v>164</v>
      </c>
      <c r="I356" s="10">
        <v>8977234</v>
      </c>
      <c r="J356" t="s">
        <v>76</v>
      </c>
      <c r="K356" t="s">
        <v>77</v>
      </c>
      <c r="L356" t="str">
        <f t="shared" si="18"/>
        <v>RYAN CALTAGIRONE</v>
      </c>
      <c r="M356" t="s">
        <v>57</v>
      </c>
      <c r="N356" s="1">
        <v>45709</v>
      </c>
      <c r="O356" s="1">
        <v>46133</v>
      </c>
      <c r="P356">
        <f t="shared" si="17"/>
        <v>14</v>
      </c>
      <c r="Q356" s="1" t="s">
        <v>261</v>
      </c>
      <c r="R356" s="1" t="s">
        <v>843</v>
      </c>
      <c r="S356" s="2">
        <v>54.86</v>
      </c>
      <c r="T356">
        <v>1</v>
      </c>
      <c r="U356" t="s">
        <v>58</v>
      </c>
      <c r="V356" s="3">
        <v>0.06</v>
      </c>
      <c r="W356" t="s">
        <v>261</v>
      </c>
      <c r="X356" t="s">
        <v>262</v>
      </c>
      <c r="Y356" s="2">
        <v>3.29</v>
      </c>
    </row>
    <row r="357" spans="1:25" x14ac:dyDescent="0.3">
      <c r="A357">
        <v>2026740150</v>
      </c>
      <c r="B357" t="s">
        <v>272</v>
      </c>
      <c r="C357" t="s">
        <v>273</v>
      </c>
      <c r="D357" t="str">
        <f t="shared" si="16"/>
        <v>CATHERINE MURRAY</v>
      </c>
      <c r="E357" t="s">
        <v>52</v>
      </c>
      <c r="F357" t="s">
        <v>220</v>
      </c>
      <c r="G357" t="s">
        <v>221</v>
      </c>
      <c r="H357" t="s">
        <v>221</v>
      </c>
      <c r="I357" s="10">
        <v>17425766</v>
      </c>
      <c r="J357" t="s">
        <v>87</v>
      </c>
      <c r="K357" t="s">
        <v>88</v>
      </c>
      <c r="L357" t="str">
        <f t="shared" si="18"/>
        <v>CAROL FOLEY</v>
      </c>
      <c r="M357" t="s">
        <v>57</v>
      </c>
      <c r="N357" s="1">
        <v>45681</v>
      </c>
      <c r="O357" s="1">
        <v>46136</v>
      </c>
      <c r="P357">
        <f t="shared" si="17"/>
        <v>15</v>
      </c>
      <c r="Q357" s="1" t="s">
        <v>261</v>
      </c>
      <c r="R357" s="1" t="s">
        <v>843</v>
      </c>
      <c r="S357" s="2">
        <v>53.16</v>
      </c>
      <c r="T357">
        <v>1</v>
      </c>
      <c r="U357" t="s">
        <v>58</v>
      </c>
      <c r="V357" s="3">
        <v>0.1</v>
      </c>
      <c r="W357" t="s">
        <v>261</v>
      </c>
      <c r="X357" t="s">
        <v>262</v>
      </c>
      <c r="Y357" s="2">
        <v>5.32</v>
      </c>
    </row>
    <row r="358" spans="1:25" x14ac:dyDescent="0.3">
      <c r="A358">
        <v>2026740151</v>
      </c>
      <c r="B358" t="s">
        <v>272</v>
      </c>
      <c r="C358" t="s">
        <v>273</v>
      </c>
      <c r="D358" t="str">
        <f t="shared" si="16"/>
        <v>CATHERINE MURRAY</v>
      </c>
      <c r="E358" t="s">
        <v>52</v>
      </c>
      <c r="F358" t="s">
        <v>53</v>
      </c>
      <c r="G358" t="s">
        <v>54</v>
      </c>
      <c r="H358" t="s">
        <v>54</v>
      </c>
      <c r="I358" s="10">
        <v>17425766</v>
      </c>
      <c r="J358" t="s">
        <v>87</v>
      </c>
      <c r="K358" t="s">
        <v>88</v>
      </c>
      <c r="L358" t="str">
        <f t="shared" ref="L358:L389" si="19">_xlfn.CONCAT(K358," ",J358)</f>
        <v>CAROL FOLEY</v>
      </c>
      <c r="M358" t="s">
        <v>57</v>
      </c>
      <c r="N358" s="1">
        <v>45681</v>
      </c>
      <c r="O358" s="1">
        <v>46136</v>
      </c>
      <c r="P358">
        <f t="shared" si="17"/>
        <v>15</v>
      </c>
      <c r="Q358" s="1" t="s">
        <v>261</v>
      </c>
      <c r="R358" s="1" t="s">
        <v>843</v>
      </c>
      <c r="S358" s="2">
        <v>40.159999999999997</v>
      </c>
      <c r="T358">
        <v>1</v>
      </c>
      <c r="U358" t="s">
        <v>58</v>
      </c>
      <c r="V358" s="4">
        <v>6.5000000000000002E-2</v>
      </c>
      <c r="W358" t="s">
        <v>261</v>
      </c>
      <c r="X358" t="s">
        <v>262</v>
      </c>
      <c r="Y358" s="2">
        <v>2.61</v>
      </c>
    </row>
    <row r="359" spans="1:25" x14ac:dyDescent="0.3">
      <c r="A359">
        <v>2026696631</v>
      </c>
      <c r="B359" t="s">
        <v>502</v>
      </c>
      <c r="C359" t="s">
        <v>337</v>
      </c>
      <c r="D359" t="str">
        <f t="shared" si="16"/>
        <v>CASEY REINIG</v>
      </c>
      <c r="E359" t="s">
        <v>52</v>
      </c>
      <c r="F359" t="s">
        <v>163</v>
      </c>
      <c r="G359" t="s">
        <v>164</v>
      </c>
      <c r="H359" t="s">
        <v>164</v>
      </c>
      <c r="I359" s="10" t="s">
        <v>829</v>
      </c>
      <c r="J359" t="s">
        <v>503</v>
      </c>
      <c r="K359" t="s">
        <v>504</v>
      </c>
      <c r="L359" t="str">
        <f t="shared" si="19"/>
        <v>DEBORAH INSKIPT</v>
      </c>
      <c r="M359" t="s">
        <v>57</v>
      </c>
      <c r="N359" s="1">
        <v>45679</v>
      </c>
      <c r="O359" s="1">
        <v>46134</v>
      </c>
      <c r="P359">
        <f t="shared" si="17"/>
        <v>15</v>
      </c>
      <c r="Q359" s="1" t="s">
        <v>261</v>
      </c>
      <c r="R359" s="1" t="s">
        <v>843</v>
      </c>
      <c r="S359" s="2">
        <v>81.58</v>
      </c>
      <c r="T359">
        <v>1</v>
      </c>
      <c r="U359" t="s">
        <v>58</v>
      </c>
      <c r="V359" s="3">
        <v>0.06</v>
      </c>
      <c r="W359" t="s">
        <v>261</v>
      </c>
      <c r="X359" t="s">
        <v>262</v>
      </c>
      <c r="Y359" s="2">
        <v>4.8899999999999997</v>
      </c>
    </row>
    <row r="360" spans="1:25" x14ac:dyDescent="0.3">
      <c r="A360">
        <v>2026607392</v>
      </c>
      <c r="B360" t="s">
        <v>773</v>
      </c>
      <c r="C360" t="s">
        <v>639</v>
      </c>
      <c r="D360" t="str">
        <f t="shared" si="16"/>
        <v>JUDITH DREISTADT</v>
      </c>
      <c r="E360" t="s">
        <v>52</v>
      </c>
      <c r="F360" t="s">
        <v>256</v>
      </c>
      <c r="G360" t="s">
        <v>257</v>
      </c>
      <c r="H360" t="s">
        <v>257</v>
      </c>
      <c r="I360" s="10" t="s">
        <v>829</v>
      </c>
      <c r="J360" t="s">
        <v>503</v>
      </c>
      <c r="K360" t="s">
        <v>504</v>
      </c>
      <c r="L360" t="str">
        <f t="shared" si="19"/>
        <v>DEBORAH INSKIPT</v>
      </c>
      <c r="M360" t="s">
        <v>57</v>
      </c>
      <c r="N360" s="1">
        <v>45673</v>
      </c>
      <c r="O360" s="1">
        <v>46128</v>
      </c>
      <c r="P360">
        <f t="shared" si="17"/>
        <v>15</v>
      </c>
      <c r="Q360" s="1" t="s">
        <v>261</v>
      </c>
      <c r="R360" s="1" t="s">
        <v>843</v>
      </c>
      <c r="S360" s="2">
        <v>78.83</v>
      </c>
      <c r="T360">
        <v>1</v>
      </c>
      <c r="U360" t="s">
        <v>58</v>
      </c>
      <c r="V360" s="4">
        <v>5.2499999999999998E-2</v>
      </c>
      <c r="W360" t="s">
        <v>261</v>
      </c>
      <c r="X360" t="s">
        <v>262</v>
      </c>
      <c r="Y360" s="2">
        <v>4.1399999999999997</v>
      </c>
    </row>
    <row r="361" spans="1:25" x14ac:dyDescent="0.3">
      <c r="A361">
        <v>2026603378</v>
      </c>
      <c r="B361" t="s">
        <v>563</v>
      </c>
      <c r="C361" t="s">
        <v>564</v>
      </c>
      <c r="D361" t="str">
        <f t="shared" si="16"/>
        <v>VALERIE COAD-THOMAS</v>
      </c>
      <c r="E361" t="s">
        <v>52</v>
      </c>
      <c r="F361" t="s">
        <v>222</v>
      </c>
      <c r="G361" t="s">
        <v>590</v>
      </c>
      <c r="H361" t="s">
        <v>590</v>
      </c>
      <c r="I361" s="10" t="s">
        <v>812</v>
      </c>
      <c r="J361" t="s">
        <v>292</v>
      </c>
      <c r="K361" t="s">
        <v>293</v>
      </c>
      <c r="L361" t="str">
        <f t="shared" si="19"/>
        <v>JOHN ROKEN</v>
      </c>
      <c r="M361" t="s">
        <v>57</v>
      </c>
      <c r="N361" s="1">
        <v>45673</v>
      </c>
      <c r="O361" s="1">
        <v>46128</v>
      </c>
      <c r="P361">
        <f t="shared" si="17"/>
        <v>15</v>
      </c>
      <c r="Q361" s="1" t="s">
        <v>261</v>
      </c>
      <c r="R361" s="1" t="s">
        <v>843</v>
      </c>
      <c r="S361" s="2">
        <v>25.73</v>
      </c>
      <c r="T361">
        <v>1</v>
      </c>
      <c r="U361" t="s">
        <v>58</v>
      </c>
      <c r="V361" s="3">
        <v>0.15</v>
      </c>
      <c r="W361" t="s">
        <v>261</v>
      </c>
      <c r="X361" t="s">
        <v>262</v>
      </c>
      <c r="Y361" s="2">
        <v>3.86</v>
      </c>
    </row>
    <row r="362" spans="1:25" x14ac:dyDescent="0.3">
      <c r="A362">
        <v>2026603377</v>
      </c>
      <c r="B362" t="s">
        <v>563</v>
      </c>
      <c r="C362" t="s">
        <v>564</v>
      </c>
      <c r="D362" t="str">
        <f t="shared" si="16"/>
        <v>VALERIE COAD-THOMAS</v>
      </c>
      <c r="E362" t="s">
        <v>52</v>
      </c>
      <c r="F362" t="s">
        <v>220</v>
      </c>
      <c r="G362" t="s">
        <v>221</v>
      </c>
      <c r="H362" t="s">
        <v>221</v>
      </c>
      <c r="I362" s="10" t="s">
        <v>812</v>
      </c>
      <c r="J362" t="s">
        <v>292</v>
      </c>
      <c r="K362" t="s">
        <v>293</v>
      </c>
      <c r="L362" t="str">
        <f t="shared" si="19"/>
        <v>JOHN ROKEN</v>
      </c>
      <c r="M362" t="s">
        <v>57</v>
      </c>
      <c r="N362" s="1">
        <v>45673</v>
      </c>
      <c r="O362" s="1">
        <v>46128</v>
      </c>
      <c r="P362">
        <f t="shared" si="17"/>
        <v>15</v>
      </c>
      <c r="Q362" s="1" t="s">
        <v>261</v>
      </c>
      <c r="R362" s="1" t="s">
        <v>843</v>
      </c>
      <c r="S362" s="2">
        <v>55.16</v>
      </c>
      <c r="T362">
        <v>1</v>
      </c>
      <c r="U362" t="s">
        <v>58</v>
      </c>
      <c r="V362" s="3">
        <v>0.1</v>
      </c>
      <c r="W362" t="s">
        <v>261</v>
      </c>
      <c r="X362" t="s">
        <v>262</v>
      </c>
      <c r="Y362" s="2">
        <v>5.52</v>
      </c>
    </row>
    <row r="363" spans="1:25" x14ac:dyDescent="0.3">
      <c r="A363">
        <v>2023809265</v>
      </c>
      <c r="B363" t="s">
        <v>429</v>
      </c>
      <c r="C363" t="s">
        <v>430</v>
      </c>
      <c r="D363" t="str">
        <f t="shared" si="16"/>
        <v>ANTOINETTE LARSON</v>
      </c>
      <c r="E363" t="s">
        <v>191</v>
      </c>
      <c r="F363" t="s">
        <v>250</v>
      </c>
      <c r="G363" t="s">
        <v>750</v>
      </c>
      <c r="H363" t="s">
        <v>757</v>
      </c>
      <c r="I363" s="10">
        <v>8977234</v>
      </c>
      <c r="J363" t="s">
        <v>76</v>
      </c>
      <c r="K363" t="s">
        <v>77</v>
      </c>
      <c r="L363" t="str">
        <f t="shared" si="19"/>
        <v>RYAN CALTAGIRONE</v>
      </c>
      <c r="M363" t="s">
        <v>57</v>
      </c>
      <c r="N363" s="1">
        <v>45653</v>
      </c>
      <c r="O363" s="1">
        <v>46138</v>
      </c>
      <c r="P363">
        <f t="shared" si="17"/>
        <v>15</v>
      </c>
      <c r="Q363" s="1" t="s">
        <v>261</v>
      </c>
      <c r="R363" s="1" t="s">
        <v>843</v>
      </c>
      <c r="S363" s="2">
        <v>252.6</v>
      </c>
      <c r="T363">
        <v>1</v>
      </c>
      <c r="U363" t="s">
        <v>58</v>
      </c>
      <c r="V363" s="3">
        <v>0.28999999999999998</v>
      </c>
      <c r="W363" t="s">
        <v>261</v>
      </c>
      <c r="X363" t="s">
        <v>262</v>
      </c>
      <c r="Y363" s="2">
        <v>73.25</v>
      </c>
    </row>
    <row r="364" spans="1:25" x14ac:dyDescent="0.3">
      <c r="A364">
        <v>2026211393</v>
      </c>
      <c r="B364" t="s">
        <v>770</v>
      </c>
      <c r="C364" t="s">
        <v>771</v>
      </c>
      <c r="D364" t="str">
        <f t="shared" si="16"/>
        <v>CORI SKELLIE</v>
      </c>
      <c r="E364" t="s">
        <v>52</v>
      </c>
      <c r="F364" t="s">
        <v>256</v>
      </c>
      <c r="G364" t="s">
        <v>257</v>
      </c>
      <c r="H364" t="s">
        <v>257</v>
      </c>
      <c r="I364" s="10">
        <v>17528908</v>
      </c>
      <c r="J364" t="s">
        <v>503</v>
      </c>
      <c r="K364" t="s">
        <v>504</v>
      </c>
      <c r="L364" t="str">
        <f t="shared" si="19"/>
        <v>DEBORAH INSKIPT</v>
      </c>
      <c r="M364" t="s">
        <v>57</v>
      </c>
      <c r="N364" s="1">
        <v>45644</v>
      </c>
      <c r="O364" s="1">
        <v>46130</v>
      </c>
      <c r="P364">
        <f t="shared" si="17"/>
        <v>16</v>
      </c>
      <c r="Q364" s="1" t="s">
        <v>261</v>
      </c>
      <c r="R364" s="1" t="s">
        <v>843</v>
      </c>
      <c r="S364" s="2">
        <v>45.54</v>
      </c>
      <c r="T364">
        <v>1</v>
      </c>
      <c r="U364" t="s">
        <v>58</v>
      </c>
      <c r="V364" s="4">
        <v>5.2499999999999998E-2</v>
      </c>
      <c r="W364" t="s">
        <v>261</v>
      </c>
      <c r="X364" t="s">
        <v>262</v>
      </c>
      <c r="Y364" s="2">
        <v>2.39</v>
      </c>
    </row>
    <row r="365" spans="1:25" x14ac:dyDescent="0.3">
      <c r="A365">
        <v>2026212129</v>
      </c>
      <c r="B365" t="s">
        <v>772</v>
      </c>
      <c r="C365" t="s">
        <v>99</v>
      </c>
      <c r="D365" t="str">
        <f t="shared" si="16"/>
        <v>DAVID SACH</v>
      </c>
      <c r="E365" t="s">
        <v>52</v>
      </c>
      <c r="F365" t="s">
        <v>256</v>
      </c>
      <c r="G365" t="s">
        <v>257</v>
      </c>
      <c r="H365" t="s">
        <v>257</v>
      </c>
      <c r="I365" s="10">
        <v>17528908</v>
      </c>
      <c r="J365" t="s">
        <v>503</v>
      </c>
      <c r="K365" t="s">
        <v>504</v>
      </c>
      <c r="L365" t="str">
        <f t="shared" si="19"/>
        <v>DEBORAH INSKIPT</v>
      </c>
      <c r="M365" t="s">
        <v>57</v>
      </c>
      <c r="N365" s="1">
        <v>45644</v>
      </c>
      <c r="O365" s="1">
        <v>46130</v>
      </c>
      <c r="P365">
        <f t="shared" si="17"/>
        <v>16</v>
      </c>
      <c r="Q365" s="1" t="s">
        <v>261</v>
      </c>
      <c r="R365" s="1" t="s">
        <v>843</v>
      </c>
      <c r="S365" s="2">
        <v>45.54</v>
      </c>
      <c r="T365">
        <v>1</v>
      </c>
      <c r="U365" t="s">
        <v>58</v>
      </c>
      <c r="V365" s="4">
        <v>5.2499999999999998E-2</v>
      </c>
      <c r="W365" t="s">
        <v>261</v>
      </c>
      <c r="X365" t="s">
        <v>262</v>
      </c>
      <c r="Y365" s="2">
        <v>2.39</v>
      </c>
    </row>
    <row r="366" spans="1:25" x14ac:dyDescent="0.3">
      <c r="A366">
        <v>2025816907</v>
      </c>
      <c r="B366" t="s">
        <v>303</v>
      </c>
      <c r="C366" t="s">
        <v>304</v>
      </c>
      <c r="D366" t="str">
        <f t="shared" si="16"/>
        <v>DAPHNIE KLUMPP</v>
      </c>
      <c r="E366" t="s">
        <v>139</v>
      </c>
      <c r="F366" t="s">
        <v>65</v>
      </c>
      <c r="G366" t="s">
        <v>81</v>
      </c>
      <c r="H366" t="s">
        <v>797</v>
      </c>
      <c r="I366" s="10">
        <v>8307933</v>
      </c>
      <c r="J366" t="s">
        <v>96</v>
      </c>
      <c r="K366" t="s">
        <v>97</v>
      </c>
      <c r="L366" t="str">
        <f t="shared" si="19"/>
        <v>GREGORY TEIPEL</v>
      </c>
      <c r="M366" t="s">
        <v>57</v>
      </c>
      <c r="N366" s="1">
        <v>45648</v>
      </c>
      <c r="O366" s="1">
        <v>46134</v>
      </c>
      <c r="P366">
        <f t="shared" si="17"/>
        <v>16</v>
      </c>
      <c r="Q366" s="1" t="s">
        <v>261</v>
      </c>
      <c r="R366" s="1" t="s">
        <v>843</v>
      </c>
      <c r="S366" s="2">
        <v>116.52</v>
      </c>
      <c r="T366">
        <v>1</v>
      </c>
      <c r="U366" t="s">
        <v>58</v>
      </c>
      <c r="V366" s="3">
        <v>0.1</v>
      </c>
      <c r="W366" t="s">
        <v>261</v>
      </c>
      <c r="X366" t="s">
        <v>262</v>
      </c>
      <c r="Y366" s="2">
        <v>11.65</v>
      </c>
    </row>
    <row r="367" spans="1:25" x14ac:dyDescent="0.3">
      <c r="A367">
        <v>2025693148</v>
      </c>
      <c r="B367" t="s">
        <v>238</v>
      </c>
      <c r="C367" t="s">
        <v>301</v>
      </c>
      <c r="D367" t="str">
        <f t="shared" si="16"/>
        <v>REBECCA MILLER</v>
      </c>
      <c r="E367" t="s">
        <v>302</v>
      </c>
      <c r="F367" t="s">
        <v>65</v>
      </c>
      <c r="G367" t="s">
        <v>71</v>
      </c>
      <c r="H367" t="s">
        <v>796</v>
      </c>
      <c r="I367" s="10">
        <v>8307933</v>
      </c>
      <c r="J367" t="s">
        <v>96</v>
      </c>
      <c r="K367" t="s">
        <v>97</v>
      </c>
      <c r="L367" t="str">
        <f t="shared" si="19"/>
        <v>GREGORY TEIPEL</v>
      </c>
      <c r="M367" t="s">
        <v>57</v>
      </c>
      <c r="N367" s="1">
        <v>45648</v>
      </c>
      <c r="O367" s="1">
        <v>46134</v>
      </c>
      <c r="P367">
        <f t="shared" si="17"/>
        <v>16</v>
      </c>
      <c r="Q367" s="1" t="s">
        <v>261</v>
      </c>
      <c r="R367" s="1" t="s">
        <v>843</v>
      </c>
      <c r="S367" s="2">
        <v>226.81</v>
      </c>
      <c r="T367">
        <v>1</v>
      </c>
      <c r="U367" t="s">
        <v>58</v>
      </c>
      <c r="V367" s="3">
        <v>0.1</v>
      </c>
      <c r="W367" t="s">
        <v>261</v>
      </c>
      <c r="X367" t="s">
        <v>262</v>
      </c>
      <c r="Y367" s="2">
        <v>22.68</v>
      </c>
    </row>
    <row r="368" spans="1:25" x14ac:dyDescent="0.3">
      <c r="A368">
        <v>2026265886</v>
      </c>
      <c r="B368" t="s">
        <v>431</v>
      </c>
      <c r="C368" t="s">
        <v>432</v>
      </c>
      <c r="D368" t="str">
        <f t="shared" si="16"/>
        <v>ALEX JOHNSON</v>
      </c>
      <c r="E368" t="s">
        <v>74</v>
      </c>
      <c r="F368" t="s">
        <v>157</v>
      </c>
      <c r="G368" t="s">
        <v>158</v>
      </c>
      <c r="H368" t="s">
        <v>158</v>
      </c>
      <c r="I368" s="10" t="s">
        <v>825</v>
      </c>
      <c r="J368" t="s">
        <v>433</v>
      </c>
      <c r="K368" t="s">
        <v>434</v>
      </c>
      <c r="L368" t="str">
        <f t="shared" si="19"/>
        <v>JARED KINYUA</v>
      </c>
      <c r="M368" t="s">
        <v>57</v>
      </c>
      <c r="N368" s="1">
        <v>45647</v>
      </c>
      <c r="O368" s="1">
        <v>46133</v>
      </c>
      <c r="P368">
        <f t="shared" si="17"/>
        <v>16</v>
      </c>
      <c r="Q368" s="1" t="s">
        <v>261</v>
      </c>
      <c r="R368" s="1" t="s">
        <v>843</v>
      </c>
      <c r="S368" s="2">
        <v>15</v>
      </c>
      <c r="T368">
        <v>1</v>
      </c>
      <c r="U368" t="s">
        <v>58</v>
      </c>
      <c r="V368" s="3">
        <v>0.1</v>
      </c>
      <c r="W368" t="s">
        <v>261</v>
      </c>
      <c r="X368" t="s">
        <v>262</v>
      </c>
      <c r="Y368" s="2">
        <v>1.5</v>
      </c>
    </row>
    <row r="369" spans="1:25" x14ac:dyDescent="0.3">
      <c r="A369">
        <v>2026265884</v>
      </c>
      <c r="B369" t="s">
        <v>431</v>
      </c>
      <c r="C369" t="s">
        <v>432</v>
      </c>
      <c r="D369" t="str">
        <f t="shared" si="16"/>
        <v>ALEX JOHNSON</v>
      </c>
      <c r="E369" t="s">
        <v>74</v>
      </c>
      <c r="F369" t="s">
        <v>220</v>
      </c>
      <c r="G369" t="s">
        <v>221</v>
      </c>
      <c r="H369" t="s">
        <v>221</v>
      </c>
      <c r="I369" s="10" t="s">
        <v>825</v>
      </c>
      <c r="J369" t="s">
        <v>433</v>
      </c>
      <c r="K369" t="s">
        <v>434</v>
      </c>
      <c r="L369" t="str">
        <f t="shared" si="19"/>
        <v>JARED KINYUA</v>
      </c>
      <c r="M369" t="s">
        <v>57</v>
      </c>
      <c r="N369" s="1">
        <v>45647</v>
      </c>
      <c r="O369" s="1">
        <v>46133</v>
      </c>
      <c r="P369">
        <f t="shared" si="17"/>
        <v>16</v>
      </c>
      <c r="Q369" s="1" t="s">
        <v>261</v>
      </c>
      <c r="R369" s="1" t="s">
        <v>843</v>
      </c>
      <c r="S369" s="2">
        <v>18.579999999999998</v>
      </c>
      <c r="T369">
        <v>1</v>
      </c>
      <c r="U369" t="s">
        <v>58</v>
      </c>
      <c r="V369" s="3">
        <v>0.1</v>
      </c>
      <c r="W369" t="s">
        <v>261</v>
      </c>
      <c r="X369" t="s">
        <v>262</v>
      </c>
      <c r="Y369" s="2">
        <v>1.86</v>
      </c>
    </row>
    <row r="370" spans="1:25" x14ac:dyDescent="0.3">
      <c r="A370">
        <v>2026265883</v>
      </c>
      <c r="B370" t="s">
        <v>431</v>
      </c>
      <c r="C370" t="s">
        <v>432</v>
      </c>
      <c r="D370" t="str">
        <f t="shared" si="16"/>
        <v>ALEX JOHNSON</v>
      </c>
      <c r="E370" t="s">
        <v>74</v>
      </c>
      <c r="F370" t="s">
        <v>163</v>
      </c>
      <c r="G370" t="s">
        <v>164</v>
      </c>
      <c r="H370" t="s">
        <v>164</v>
      </c>
      <c r="I370" s="10" t="s">
        <v>825</v>
      </c>
      <c r="J370" t="s">
        <v>433</v>
      </c>
      <c r="K370" t="s">
        <v>434</v>
      </c>
      <c r="L370" t="str">
        <f t="shared" si="19"/>
        <v>JARED KINYUA</v>
      </c>
      <c r="M370" t="s">
        <v>57</v>
      </c>
      <c r="N370" s="1">
        <v>45647</v>
      </c>
      <c r="O370" s="1">
        <v>46133</v>
      </c>
      <c r="P370">
        <f t="shared" si="17"/>
        <v>16</v>
      </c>
      <c r="Q370" s="1" t="s">
        <v>261</v>
      </c>
      <c r="R370" s="1" t="s">
        <v>843</v>
      </c>
      <c r="S370" s="2">
        <v>53.2</v>
      </c>
      <c r="T370">
        <v>1</v>
      </c>
      <c r="U370" t="s">
        <v>58</v>
      </c>
      <c r="V370" s="3">
        <v>0.06</v>
      </c>
      <c r="W370" t="s">
        <v>261</v>
      </c>
      <c r="X370" t="s">
        <v>262</v>
      </c>
      <c r="Y370" s="2">
        <v>3.19</v>
      </c>
    </row>
    <row r="371" spans="1:25" x14ac:dyDescent="0.3">
      <c r="A371">
        <v>2026265885</v>
      </c>
      <c r="B371" t="s">
        <v>431</v>
      </c>
      <c r="C371" t="s">
        <v>432</v>
      </c>
      <c r="D371" t="str">
        <f t="shared" si="16"/>
        <v>ALEX JOHNSON</v>
      </c>
      <c r="E371" t="s">
        <v>74</v>
      </c>
      <c r="F371" t="s">
        <v>222</v>
      </c>
      <c r="G371" t="s">
        <v>224</v>
      </c>
      <c r="H371" t="s">
        <v>224</v>
      </c>
      <c r="I371" s="10" t="s">
        <v>825</v>
      </c>
      <c r="J371" t="s">
        <v>433</v>
      </c>
      <c r="K371" t="s">
        <v>434</v>
      </c>
      <c r="L371" t="str">
        <f t="shared" si="19"/>
        <v>JARED KINYUA</v>
      </c>
      <c r="M371" t="s">
        <v>57</v>
      </c>
      <c r="N371" s="1">
        <v>45647</v>
      </c>
      <c r="O371" s="1">
        <v>46133</v>
      </c>
      <c r="P371">
        <f t="shared" si="17"/>
        <v>16</v>
      </c>
      <c r="Q371" s="1" t="s">
        <v>261</v>
      </c>
      <c r="R371" s="1" t="s">
        <v>843</v>
      </c>
      <c r="S371" s="2">
        <v>32.33</v>
      </c>
      <c r="T371">
        <v>1</v>
      </c>
      <c r="U371" t="s">
        <v>58</v>
      </c>
      <c r="V371" s="3">
        <v>0.1</v>
      </c>
      <c r="W371" t="s">
        <v>261</v>
      </c>
      <c r="X371" t="s">
        <v>262</v>
      </c>
      <c r="Y371" s="2">
        <v>3.23</v>
      </c>
    </row>
    <row r="372" spans="1:25" x14ac:dyDescent="0.3">
      <c r="A372">
        <v>2023809266</v>
      </c>
      <c r="B372" t="s">
        <v>429</v>
      </c>
      <c r="C372" t="s">
        <v>430</v>
      </c>
      <c r="D372" t="str">
        <f t="shared" si="16"/>
        <v>ANTOINETTE LARSON</v>
      </c>
      <c r="E372" t="s">
        <v>191</v>
      </c>
      <c r="F372" t="s">
        <v>157</v>
      </c>
      <c r="G372" t="s">
        <v>425</v>
      </c>
      <c r="H372" t="s">
        <v>808</v>
      </c>
      <c r="I372" s="10">
        <v>8977234</v>
      </c>
      <c r="J372" t="s">
        <v>76</v>
      </c>
      <c r="K372" t="s">
        <v>77</v>
      </c>
      <c r="L372" t="str">
        <f t="shared" si="19"/>
        <v>RYAN CALTAGIRONE</v>
      </c>
      <c r="M372" t="s">
        <v>57</v>
      </c>
      <c r="N372" s="1">
        <v>45653</v>
      </c>
      <c r="O372" s="1">
        <v>46139</v>
      </c>
      <c r="P372">
        <f t="shared" si="17"/>
        <v>16</v>
      </c>
      <c r="Q372" s="1" t="s">
        <v>261</v>
      </c>
      <c r="R372" s="1" t="s">
        <v>843</v>
      </c>
      <c r="S372" s="2">
        <v>15</v>
      </c>
      <c r="T372">
        <v>1</v>
      </c>
      <c r="U372" t="s">
        <v>58</v>
      </c>
      <c r="V372" s="3">
        <v>0.28999999999999998</v>
      </c>
      <c r="W372" t="s">
        <v>261</v>
      </c>
      <c r="X372" t="s">
        <v>262</v>
      </c>
      <c r="Y372" s="2">
        <v>4.3499999999999996</v>
      </c>
    </row>
    <row r="373" spans="1:25" x14ac:dyDescent="0.3">
      <c r="A373">
        <v>2025028098</v>
      </c>
      <c r="B373" t="s">
        <v>500</v>
      </c>
      <c r="C373" t="s">
        <v>501</v>
      </c>
      <c r="D373" t="str">
        <f t="shared" si="16"/>
        <v>NANCY GALE</v>
      </c>
      <c r="E373" t="s">
        <v>129</v>
      </c>
      <c r="F373" t="s">
        <v>163</v>
      </c>
      <c r="G373" t="s">
        <v>164</v>
      </c>
      <c r="H373" t="s">
        <v>164</v>
      </c>
      <c r="I373" s="10">
        <v>8977234</v>
      </c>
      <c r="J373" t="s">
        <v>76</v>
      </c>
      <c r="K373" t="s">
        <v>77</v>
      </c>
      <c r="L373" t="str">
        <f t="shared" si="19"/>
        <v>RYAN CALTAGIRONE</v>
      </c>
      <c r="M373" t="s">
        <v>57</v>
      </c>
      <c r="N373" s="1">
        <v>45561</v>
      </c>
      <c r="O373" s="1">
        <v>46138</v>
      </c>
      <c r="P373">
        <f t="shared" si="17"/>
        <v>19</v>
      </c>
      <c r="Q373" s="1" t="s">
        <v>261</v>
      </c>
      <c r="R373" s="1" t="s">
        <v>843</v>
      </c>
      <c r="S373" s="2">
        <v>37.840000000000003</v>
      </c>
      <c r="T373">
        <v>1</v>
      </c>
      <c r="U373" t="s">
        <v>58</v>
      </c>
      <c r="V373" s="3">
        <v>0.06</v>
      </c>
      <c r="W373" t="s">
        <v>261</v>
      </c>
      <c r="X373" t="s">
        <v>262</v>
      </c>
      <c r="Y373" s="2">
        <v>2.27</v>
      </c>
    </row>
    <row r="374" spans="1:25" x14ac:dyDescent="0.3">
      <c r="A374">
        <v>2024487768</v>
      </c>
      <c r="B374" t="s">
        <v>599</v>
      </c>
      <c r="C374" t="s">
        <v>600</v>
      </c>
      <c r="D374" t="str">
        <f t="shared" si="16"/>
        <v>BRETT WERNER</v>
      </c>
      <c r="E374" t="s">
        <v>64</v>
      </c>
      <c r="F374" t="s">
        <v>222</v>
      </c>
      <c r="G374" t="s">
        <v>223</v>
      </c>
      <c r="H374" t="s">
        <v>223</v>
      </c>
      <c r="I374" s="10">
        <v>19481808</v>
      </c>
      <c r="J374" t="s">
        <v>599</v>
      </c>
      <c r="K374" t="s">
        <v>295</v>
      </c>
      <c r="L374" t="str">
        <f t="shared" si="19"/>
        <v>STEVEN WERNER</v>
      </c>
      <c r="M374" t="s">
        <v>57</v>
      </c>
      <c r="N374" s="1">
        <v>45526</v>
      </c>
      <c r="O374" s="1">
        <v>46134</v>
      </c>
      <c r="P374">
        <f t="shared" si="17"/>
        <v>20</v>
      </c>
      <c r="Q374" s="1" t="s">
        <v>261</v>
      </c>
      <c r="R374" s="1" t="s">
        <v>843</v>
      </c>
      <c r="S374" s="2">
        <v>49.8</v>
      </c>
      <c r="T374">
        <v>1</v>
      </c>
      <c r="U374" t="s">
        <v>58</v>
      </c>
      <c r="V374" s="3">
        <v>0.15</v>
      </c>
      <c r="W374" t="s">
        <v>261</v>
      </c>
      <c r="X374" t="s">
        <v>262</v>
      </c>
      <c r="Y374" s="2">
        <v>7.47</v>
      </c>
    </row>
    <row r="375" spans="1:25" x14ac:dyDescent="0.3">
      <c r="A375">
        <v>2023625918</v>
      </c>
      <c r="B375" t="s">
        <v>426</v>
      </c>
      <c r="C375" t="s">
        <v>427</v>
      </c>
      <c r="D375" t="str">
        <f t="shared" si="16"/>
        <v>THERESA KALMAN</v>
      </c>
      <c r="E375" t="s">
        <v>129</v>
      </c>
      <c r="F375" t="s">
        <v>157</v>
      </c>
      <c r="G375" t="s">
        <v>428</v>
      </c>
      <c r="H375" t="s">
        <v>428</v>
      </c>
      <c r="I375" s="10">
        <v>8977234</v>
      </c>
      <c r="J375" t="s">
        <v>76</v>
      </c>
      <c r="K375" t="s">
        <v>77</v>
      </c>
      <c r="L375" t="str">
        <f t="shared" si="19"/>
        <v>RYAN CALTAGIRONE</v>
      </c>
      <c r="M375" t="s">
        <v>57</v>
      </c>
      <c r="N375" s="1">
        <v>45466</v>
      </c>
      <c r="O375" s="1">
        <v>46135</v>
      </c>
      <c r="P375">
        <f t="shared" si="17"/>
        <v>22</v>
      </c>
      <c r="Q375" s="1" t="s">
        <v>261</v>
      </c>
      <c r="R375" s="1" t="s">
        <v>843</v>
      </c>
      <c r="S375" s="2">
        <v>15</v>
      </c>
      <c r="T375">
        <v>1</v>
      </c>
      <c r="U375" t="s">
        <v>58</v>
      </c>
      <c r="V375" s="3">
        <v>0.19</v>
      </c>
      <c r="W375" t="s">
        <v>261</v>
      </c>
      <c r="X375" t="s">
        <v>262</v>
      </c>
      <c r="Y375" s="2">
        <v>2.85</v>
      </c>
    </row>
    <row r="376" spans="1:25" x14ac:dyDescent="0.3">
      <c r="A376">
        <v>2022974572</v>
      </c>
      <c r="B376" t="s">
        <v>423</v>
      </c>
      <c r="C376" t="s">
        <v>424</v>
      </c>
      <c r="D376" t="str">
        <f t="shared" si="16"/>
        <v>GERALDO CHACIN</v>
      </c>
      <c r="E376" t="s">
        <v>64</v>
      </c>
      <c r="F376" t="s">
        <v>157</v>
      </c>
      <c r="G376" t="s">
        <v>425</v>
      </c>
      <c r="H376" t="s">
        <v>808</v>
      </c>
      <c r="I376" s="10">
        <v>8307933</v>
      </c>
      <c r="J376" t="s">
        <v>96</v>
      </c>
      <c r="K376" t="s">
        <v>97</v>
      </c>
      <c r="L376" t="str">
        <f t="shared" si="19"/>
        <v>GREGORY TEIPEL</v>
      </c>
      <c r="M376" t="s">
        <v>57</v>
      </c>
      <c r="N376" s="1">
        <v>45433</v>
      </c>
      <c r="O376" s="1">
        <v>46133</v>
      </c>
      <c r="P376">
        <f t="shared" si="17"/>
        <v>23</v>
      </c>
      <c r="Q376" s="1" t="s">
        <v>261</v>
      </c>
      <c r="R376" s="1" t="s">
        <v>843</v>
      </c>
      <c r="S376" s="2">
        <v>15</v>
      </c>
      <c r="T376">
        <v>1</v>
      </c>
      <c r="U376" t="s">
        <v>58</v>
      </c>
      <c r="V376" s="3">
        <v>0.28999999999999998</v>
      </c>
      <c r="W376" t="s">
        <v>261</v>
      </c>
      <c r="X376" t="s">
        <v>262</v>
      </c>
      <c r="Y376" s="2">
        <v>4.3499999999999996</v>
      </c>
    </row>
    <row r="377" spans="1:25" x14ac:dyDescent="0.3">
      <c r="A377">
        <v>2022762069</v>
      </c>
      <c r="B377" t="s">
        <v>296</v>
      </c>
      <c r="C377" t="s">
        <v>297</v>
      </c>
      <c r="D377" t="str">
        <f t="shared" si="16"/>
        <v>RICHARD JACKSON</v>
      </c>
      <c r="E377" t="s">
        <v>100</v>
      </c>
      <c r="F377" t="s">
        <v>65</v>
      </c>
      <c r="G377" t="s">
        <v>71</v>
      </c>
      <c r="H377" t="s">
        <v>796</v>
      </c>
      <c r="I377" s="10">
        <v>8307933</v>
      </c>
      <c r="J377" t="s">
        <v>96</v>
      </c>
      <c r="K377" t="s">
        <v>97</v>
      </c>
      <c r="L377" t="str">
        <f t="shared" si="19"/>
        <v>GREGORY TEIPEL</v>
      </c>
      <c r="M377" t="s">
        <v>57</v>
      </c>
      <c r="N377" s="1">
        <v>45407</v>
      </c>
      <c r="O377" s="1">
        <v>46137</v>
      </c>
      <c r="P377">
        <f t="shared" si="17"/>
        <v>24</v>
      </c>
      <c r="Q377" s="1" t="s">
        <v>261</v>
      </c>
      <c r="R377" s="1" t="s">
        <v>843</v>
      </c>
      <c r="S377" s="2">
        <v>178.58</v>
      </c>
      <c r="T377">
        <v>1</v>
      </c>
      <c r="U377" t="s">
        <v>58</v>
      </c>
      <c r="V377" s="3">
        <v>0.1</v>
      </c>
      <c r="W377" t="s">
        <v>261</v>
      </c>
      <c r="X377" t="s">
        <v>262</v>
      </c>
      <c r="Y377" s="2">
        <v>17.86</v>
      </c>
    </row>
    <row r="378" spans="1:25" x14ac:dyDescent="0.3">
      <c r="A378">
        <v>2022148752</v>
      </c>
      <c r="B378" t="s">
        <v>595</v>
      </c>
      <c r="C378" t="s">
        <v>596</v>
      </c>
      <c r="D378" t="str">
        <f t="shared" si="16"/>
        <v>FELICIA WALLACE</v>
      </c>
      <c r="E378" t="s">
        <v>597</v>
      </c>
      <c r="F378" t="s">
        <v>222</v>
      </c>
      <c r="G378" t="s">
        <v>224</v>
      </c>
      <c r="H378" t="s">
        <v>224</v>
      </c>
      <c r="I378" s="10">
        <v>8307933</v>
      </c>
      <c r="J378" t="s">
        <v>96</v>
      </c>
      <c r="K378" t="s">
        <v>97</v>
      </c>
      <c r="L378" t="str">
        <f t="shared" si="19"/>
        <v>GREGORY TEIPEL</v>
      </c>
      <c r="M378" t="s">
        <v>57</v>
      </c>
      <c r="N378" s="1">
        <v>45377</v>
      </c>
      <c r="O378" s="1">
        <v>46138</v>
      </c>
      <c r="P378">
        <f t="shared" si="17"/>
        <v>25</v>
      </c>
      <c r="Q378" s="1" t="s">
        <v>261</v>
      </c>
      <c r="R378" s="1" t="s">
        <v>843</v>
      </c>
      <c r="S378" s="2">
        <v>51.31</v>
      </c>
      <c r="T378">
        <v>1</v>
      </c>
      <c r="U378" t="s">
        <v>58</v>
      </c>
      <c r="V378" s="3">
        <v>0.1</v>
      </c>
      <c r="W378" t="s">
        <v>261</v>
      </c>
      <c r="X378" t="s">
        <v>262</v>
      </c>
      <c r="Y378" s="2">
        <v>5.13</v>
      </c>
    </row>
    <row r="379" spans="1:25" x14ac:dyDescent="0.3">
      <c r="A379">
        <v>2021764695</v>
      </c>
      <c r="B379" t="s">
        <v>263</v>
      </c>
      <c r="C379" t="s">
        <v>264</v>
      </c>
      <c r="D379" t="str">
        <f t="shared" si="16"/>
        <v>PATRICK BREEDY</v>
      </c>
      <c r="E379" t="s">
        <v>52</v>
      </c>
      <c r="F379" t="s">
        <v>53</v>
      </c>
      <c r="G379" t="s">
        <v>54</v>
      </c>
      <c r="H379" t="s">
        <v>54</v>
      </c>
      <c r="I379" s="10">
        <v>15278437</v>
      </c>
      <c r="J379" t="s">
        <v>265</v>
      </c>
      <c r="K379" t="s">
        <v>266</v>
      </c>
      <c r="L379" t="str">
        <f t="shared" si="19"/>
        <v>JASON HOFFMANN</v>
      </c>
      <c r="M379" t="s">
        <v>57</v>
      </c>
      <c r="N379" s="1">
        <v>45352</v>
      </c>
      <c r="O379" s="1">
        <v>46113</v>
      </c>
      <c r="P379">
        <f t="shared" si="17"/>
        <v>25</v>
      </c>
      <c r="Q379" s="1" t="s">
        <v>261</v>
      </c>
      <c r="R379" s="1" t="s">
        <v>843</v>
      </c>
      <c r="S379" s="2">
        <v>52.69</v>
      </c>
      <c r="T379">
        <v>1</v>
      </c>
      <c r="U379" t="s">
        <v>58</v>
      </c>
      <c r="V379" s="4">
        <v>6.5000000000000002E-2</v>
      </c>
      <c r="W379" t="s">
        <v>261</v>
      </c>
      <c r="X379" t="s">
        <v>262</v>
      </c>
      <c r="Y379" s="2">
        <v>3.42</v>
      </c>
    </row>
    <row r="380" spans="1:25" x14ac:dyDescent="0.3">
      <c r="A380">
        <v>2022085303</v>
      </c>
      <c r="B380" t="s">
        <v>593</v>
      </c>
      <c r="C380" t="s">
        <v>594</v>
      </c>
      <c r="D380" t="str">
        <f t="shared" si="16"/>
        <v>BOBBY GOINS</v>
      </c>
      <c r="E380" t="s">
        <v>191</v>
      </c>
      <c r="F380" t="s">
        <v>222</v>
      </c>
      <c r="G380" t="s">
        <v>223</v>
      </c>
      <c r="H380" t="s">
        <v>223</v>
      </c>
      <c r="I380" s="10">
        <v>8977234</v>
      </c>
      <c r="J380" t="s">
        <v>76</v>
      </c>
      <c r="K380" t="s">
        <v>77</v>
      </c>
      <c r="L380" t="str">
        <f t="shared" si="19"/>
        <v>RYAN CALTAGIRONE</v>
      </c>
      <c r="M380" t="s">
        <v>57</v>
      </c>
      <c r="N380" s="1">
        <v>45374</v>
      </c>
      <c r="O380" s="1">
        <v>46135</v>
      </c>
      <c r="P380">
        <f t="shared" si="17"/>
        <v>25</v>
      </c>
      <c r="Q380" s="1" t="s">
        <v>261</v>
      </c>
      <c r="R380" s="1" t="s">
        <v>843</v>
      </c>
      <c r="S380" s="2">
        <v>159</v>
      </c>
      <c r="T380">
        <v>1</v>
      </c>
      <c r="U380" t="s">
        <v>58</v>
      </c>
      <c r="V380" s="3">
        <v>0.15</v>
      </c>
      <c r="W380" t="s">
        <v>261</v>
      </c>
      <c r="X380" t="s">
        <v>262</v>
      </c>
      <c r="Y380" s="2">
        <v>23.85</v>
      </c>
    </row>
    <row r="381" spans="1:25" x14ac:dyDescent="0.3">
      <c r="A381">
        <v>2022373049</v>
      </c>
      <c r="B381" t="s">
        <v>313</v>
      </c>
      <c r="C381" t="s">
        <v>598</v>
      </c>
      <c r="D381" t="str">
        <f t="shared" si="16"/>
        <v>KATHLEEN CERRETANI</v>
      </c>
      <c r="E381" t="s">
        <v>86</v>
      </c>
      <c r="F381" t="s">
        <v>222</v>
      </c>
      <c r="G381" t="s">
        <v>223</v>
      </c>
      <c r="H381" t="s">
        <v>223</v>
      </c>
      <c r="I381" s="10">
        <v>8977234</v>
      </c>
      <c r="J381" t="s">
        <v>76</v>
      </c>
      <c r="K381" t="s">
        <v>77</v>
      </c>
      <c r="L381" t="str">
        <f t="shared" si="19"/>
        <v>RYAN CALTAGIRONE</v>
      </c>
      <c r="M381" t="s">
        <v>57</v>
      </c>
      <c r="N381" s="1">
        <v>45372</v>
      </c>
      <c r="O381" s="1">
        <v>46133</v>
      </c>
      <c r="P381">
        <f t="shared" si="17"/>
        <v>25</v>
      </c>
      <c r="Q381" s="1" t="s">
        <v>261</v>
      </c>
      <c r="R381" s="1" t="s">
        <v>843</v>
      </c>
      <c r="S381" s="2">
        <v>57.27</v>
      </c>
      <c r="T381">
        <v>1</v>
      </c>
      <c r="U381" t="s">
        <v>58</v>
      </c>
      <c r="V381" s="3">
        <v>0.15</v>
      </c>
      <c r="W381" t="s">
        <v>261</v>
      </c>
      <c r="X381" t="s">
        <v>262</v>
      </c>
      <c r="Y381" s="2">
        <v>8.59</v>
      </c>
    </row>
    <row r="382" spans="1:25" x14ac:dyDescent="0.3">
      <c r="A382">
        <v>2021939084</v>
      </c>
      <c r="B382" t="s">
        <v>591</v>
      </c>
      <c r="C382" t="s">
        <v>592</v>
      </c>
      <c r="D382" t="str">
        <f t="shared" si="16"/>
        <v>CORINNE DITTLINGER</v>
      </c>
      <c r="E382" t="s">
        <v>324</v>
      </c>
      <c r="F382" t="s">
        <v>222</v>
      </c>
      <c r="G382" t="s">
        <v>590</v>
      </c>
      <c r="H382" t="s">
        <v>590</v>
      </c>
      <c r="I382" s="10">
        <v>8977234</v>
      </c>
      <c r="J382" t="s">
        <v>76</v>
      </c>
      <c r="K382" t="s">
        <v>77</v>
      </c>
      <c r="L382" t="str">
        <f t="shared" si="19"/>
        <v>RYAN CALTAGIRONE</v>
      </c>
      <c r="M382" t="s">
        <v>57</v>
      </c>
      <c r="N382" s="1">
        <v>45346</v>
      </c>
      <c r="O382" s="1">
        <v>46136</v>
      </c>
      <c r="P382">
        <f t="shared" si="17"/>
        <v>26</v>
      </c>
      <c r="Q382" s="1" t="s">
        <v>261</v>
      </c>
      <c r="R382" s="1" t="s">
        <v>843</v>
      </c>
      <c r="S382" s="2">
        <v>8.3699999999999992</v>
      </c>
      <c r="T382">
        <v>1</v>
      </c>
      <c r="U382" t="s">
        <v>58</v>
      </c>
      <c r="V382" s="3">
        <v>0.15</v>
      </c>
      <c r="W382" t="s">
        <v>261</v>
      </c>
      <c r="X382" t="s">
        <v>262</v>
      </c>
      <c r="Y382" s="2">
        <v>1.26</v>
      </c>
    </row>
    <row r="383" spans="1:25" x14ac:dyDescent="0.3">
      <c r="A383">
        <v>2021499228</v>
      </c>
      <c r="B383" t="s">
        <v>487</v>
      </c>
      <c r="C383" t="s">
        <v>488</v>
      </c>
      <c r="D383" t="str">
        <f t="shared" si="16"/>
        <v>SHATAYA JONES</v>
      </c>
      <c r="E383" t="s">
        <v>52</v>
      </c>
      <c r="F383" t="s">
        <v>163</v>
      </c>
      <c r="G383" t="s">
        <v>164</v>
      </c>
      <c r="H383" t="s">
        <v>164</v>
      </c>
      <c r="I383" s="10">
        <v>19562245</v>
      </c>
      <c r="J383" t="s">
        <v>483</v>
      </c>
      <c r="K383" t="s">
        <v>484</v>
      </c>
      <c r="L383" t="str">
        <f t="shared" si="19"/>
        <v>KELLY CARRYER</v>
      </c>
      <c r="M383" t="s">
        <v>57</v>
      </c>
      <c r="N383" s="1">
        <v>45314</v>
      </c>
      <c r="O383" s="1">
        <v>46135</v>
      </c>
      <c r="P383">
        <f t="shared" si="17"/>
        <v>27</v>
      </c>
      <c r="Q383" s="1" t="s">
        <v>261</v>
      </c>
      <c r="R383" s="1" t="s">
        <v>843</v>
      </c>
      <c r="S383" s="2">
        <v>39.979999999999997</v>
      </c>
      <c r="T383">
        <v>1</v>
      </c>
      <c r="U383" t="s">
        <v>58</v>
      </c>
      <c r="V383" s="3">
        <v>0.06</v>
      </c>
      <c r="W383" t="s">
        <v>261</v>
      </c>
      <c r="X383" t="s">
        <v>262</v>
      </c>
      <c r="Y383" s="2">
        <v>2.4</v>
      </c>
    </row>
    <row r="384" spans="1:25" x14ac:dyDescent="0.3">
      <c r="A384">
        <v>2020850122</v>
      </c>
      <c r="B384" t="s">
        <v>766</v>
      </c>
      <c r="C384" t="s">
        <v>293</v>
      </c>
      <c r="D384" t="str">
        <f t="shared" si="16"/>
        <v>JOHN FENGER</v>
      </c>
      <c r="E384" t="s">
        <v>100</v>
      </c>
      <c r="F384" t="s">
        <v>256</v>
      </c>
      <c r="G384" t="s">
        <v>257</v>
      </c>
      <c r="H384" t="s">
        <v>257</v>
      </c>
      <c r="I384" s="10">
        <v>15278437</v>
      </c>
      <c r="J384" t="s">
        <v>265</v>
      </c>
      <c r="K384" t="s">
        <v>266</v>
      </c>
      <c r="L384" t="str">
        <f t="shared" si="19"/>
        <v>JASON HOFFMANN</v>
      </c>
      <c r="M384" t="s">
        <v>57</v>
      </c>
      <c r="N384" s="1">
        <v>45251</v>
      </c>
      <c r="O384" s="1">
        <v>46133</v>
      </c>
      <c r="P384">
        <f t="shared" si="17"/>
        <v>29</v>
      </c>
      <c r="Q384" s="1" t="s">
        <v>261</v>
      </c>
      <c r="R384" s="1" t="s">
        <v>843</v>
      </c>
      <c r="S384" s="2">
        <v>130.83000000000001</v>
      </c>
      <c r="T384">
        <v>1</v>
      </c>
      <c r="U384" t="s">
        <v>58</v>
      </c>
      <c r="V384" s="4">
        <v>5.2499999999999998E-2</v>
      </c>
      <c r="W384" t="s">
        <v>261</v>
      </c>
      <c r="X384" t="s">
        <v>262</v>
      </c>
      <c r="Y384" s="2">
        <v>6.87</v>
      </c>
    </row>
    <row r="385" spans="1:25" x14ac:dyDescent="0.3">
      <c r="A385">
        <v>2020849790</v>
      </c>
      <c r="B385" t="s">
        <v>485</v>
      </c>
      <c r="C385" t="s">
        <v>486</v>
      </c>
      <c r="D385" t="str">
        <f t="shared" si="16"/>
        <v>LANCE MEHAFFEY</v>
      </c>
      <c r="E385" t="s">
        <v>64</v>
      </c>
      <c r="F385" t="s">
        <v>163</v>
      </c>
      <c r="G385" t="s">
        <v>164</v>
      </c>
      <c r="H385" t="s">
        <v>164</v>
      </c>
      <c r="I385" s="10">
        <v>8977234</v>
      </c>
      <c r="J385" t="s">
        <v>76</v>
      </c>
      <c r="K385" t="s">
        <v>77</v>
      </c>
      <c r="L385" t="str">
        <f t="shared" si="19"/>
        <v>RYAN CALTAGIRONE</v>
      </c>
      <c r="M385" t="s">
        <v>57</v>
      </c>
      <c r="N385" s="1">
        <v>45251</v>
      </c>
      <c r="O385" s="1">
        <v>46133</v>
      </c>
      <c r="P385">
        <f t="shared" si="17"/>
        <v>29</v>
      </c>
      <c r="Q385" s="1" t="s">
        <v>261</v>
      </c>
      <c r="R385" s="1" t="s">
        <v>843</v>
      </c>
      <c r="S385" s="2">
        <v>47.78</v>
      </c>
      <c r="T385">
        <v>1</v>
      </c>
      <c r="U385" t="s">
        <v>58</v>
      </c>
      <c r="V385" s="3">
        <v>0.06</v>
      </c>
      <c r="W385" t="s">
        <v>261</v>
      </c>
      <c r="X385" t="s">
        <v>262</v>
      </c>
      <c r="Y385" s="2">
        <v>2.87</v>
      </c>
    </row>
    <row r="386" spans="1:25" x14ac:dyDescent="0.3">
      <c r="A386">
        <v>2019665208</v>
      </c>
      <c r="B386" t="s">
        <v>479</v>
      </c>
      <c r="C386" t="s">
        <v>480</v>
      </c>
      <c r="D386" t="str">
        <f t="shared" ref="D386:D449" si="20">_xlfn.CONCAT(C386," ",B386)</f>
        <v>ALAN CLARK</v>
      </c>
      <c r="E386" t="s">
        <v>324</v>
      </c>
      <c r="F386" t="s">
        <v>222</v>
      </c>
      <c r="G386" t="s">
        <v>590</v>
      </c>
      <c r="H386" t="s">
        <v>590</v>
      </c>
      <c r="I386" s="10">
        <v>8977234</v>
      </c>
      <c r="J386" t="s">
        <v>76</v>
      </c>
      <c r="K386" t="s">
        <v>77</v>
      </c>
      <c r="L386" t="str">
        <f t="shared" si="19"/>
        <v>RYAN CALTAGIRONE</v>
      </c>
      <c r="M386" t="s">
        <v>57</v>
      </c>
      <c r="N386" s="1">
        <v>45192</v>
      </c>
      <c r="O386" s="1">
        <v>46135</v>
      </c>
      <c r="P386">
        <f t="shared" ref="P386:P449" si="21">DATEDIF(N386,O386,"M")</f>
        <v>31</v>
      </c>
      <c r="Q386" s="1" t="s">
        <v>261</v>
      </c>
      <c r="R386" s="1" t="s">
        <v>843</v>
      </c>
      <c r="S386" s="2">
        <v>8.3699999999999992</v>
      </c>
      <c r="T386">
        <v>1</v>
      </c>
      <c r="U386" t="s">
        <v>58</v>
      </c>
      <c r="V386" s="3">
        <v>0.15</v>
      </c>
      <c r="W386" t="s">
        <v>261</v>
      </c>
      <c r="X386" t="s">
        <v>262</v>
      </c>
      <c r="Y386" s="2">
        <v>1.26</v>
      </c>
    </row>
    <row r="387" spans="1:25" x14ac:dyDescent="0.3">
      <c r="A387">
        <v>2019665209</v>
      </c>
      <c r="B387" t="s">
        <v>479</v>
      </c>
      <c r="C387" t="s">
        <v>480</v>
      </c>
      <c r="D387" t="str">
        <f t="shared" si="20"/>
        <v>ALAN CLARK</v>
      </c>
      <c r="E387" t="s">
        <v>324</v>
      </c>
      <c r="F387" t="s">
        <v>222</v>
      </c>
      <c r="G387" t="s">
        <v>223</v>
      </c>
      <c r="H387" t="s">
        <v>223</v>
      </c>
      <c r="I387" s="10">
        <v>8977234</v>
      </c>
      <c r="J387" t="s">
        <v>76</v>
      </c>
      <c r="K387" t="s">
        <v>77</v>
      </c>
      <c r="L387" t="str">
        <f t="shared" si="19"/>
        <v>RYAN CALTAGIRONE</v>
      </c>
      <c r="M387" t="s">
        <v>57</v>
      </c>
      <c r="N387" s="1">
        <v>45192</v>
      </c>
      <c r="O387" s="1">
        <v>46135</v>
      </c>
      <c r="P387">
        <f t="shared" si="21"/>
        <v>31</v>
      </c>
      <c r="Q387" s="1" t="s">
        <v>261</v>
      </c>
      <c r="R387" s="1" t="s">
        <v>843</v>
      </c>
      <c r="S387" s="2">
        <v>62.38</v>
      </c>
      <c r="T387">
        <v>1</v>
      </c>
      <c r="U387" t="s">
        <v>58</v>
      </c>
      <c r="V387" s="3">
        <v>0.15</v>
      </c>
      <c r="W387" t="s">
        <v>261</v>
      </c>
      <c r="X387" t="s">
        <v>262</v>
      </c>
      <c r="Y387" s="2">
        <v>9.36</v>
      </c>
    </row>
    <row r="388" spans="1:25" x14ac:dyDescent="0.3">
      <c r="A388">
        <v>2019665210</v>
      </c>
      <c r="B388" t="s">
        <v>479</v>
      </c>
      <c r="C388" t="s">
        <v>480</v>
      </c>
      <c r="D388" t="str">
        <f t="shared" si="20"/>
        <v>ALAN CLARK</v>
      </c>
      <c r="E388" t="s">
        <v>324</v>
      </c>
      <c r="F388" t="s">
        <v>163</v>
      </c>
      <c r="G388" t="s">
        <v>164</v>
      </c>
      <c r="H388" t="s">
        <v>164</v>
      </c>
      <c r="I388" s="10">
        <v>8977234</v>
      </c>
      <c r="J388" t="s">
        <v>76</v>
      </c>
      <c r="K388" t="s">
        <v>77</v>
      </c>
      <c r="L388" t="str">
        <f t="shared" si="19"/>
        <v>RYAN CALTAGIRONE</v>
      </c>
      <c r="M388" t="s">
        <v>57</v>
      </c>
      <c r="N388" s="1">
        <v>45192</v>
      </c>
      <c r="O388" s="1">
        <v>46135</v>
      </c>
      <c r="P388">
        <f t="shared" si="21"/>
        <v>31</v>
      </c>
      <c r="Q388" s="1" t="s">
        <v>261</v>
      </c>
      <c r="R388" s="1" t="s">
        <v>843</v>
      </c>
      <c r="S388" s="2">
        <v>42.78</v>
      </c>
      <c r="T388">
        <v>1</v>
      </c>
      <c r="U388" t="s">
        <v>58</v>
      </c>
      <c r="V388" s="3">
        <v>0.06</v>
      </c>
      <c r="W388" t="s">
        <v>261</v>
      </c>
      <c r="X388" t="s">
        <v>262</v>
      </c>
      <c r="Y388" s="2">
        <v>2.57</v>
      </c>
    </row>
    <row r="389" spans="1:25" x14ac:dyDescent="0.3">
      <c r="A389">
        <v>2019971559</v>
      </c>
      <c r="B389" t="s">
        <v>481</v>
      </c>
      <c r="C389" t="s">
        <v>482</v>
      </c>
      <c r="D389" t="str">
        <f t="shared" si="20"/>
        <v>MACKENZIE AMALIA</v>
      </c>
      <c r="E389" t="s">
        <v>52</v>
      </c>
      <c r="F389" t="s">
        <v>163</v>
      </c>
      <c r="G389" t="s">
        <v>164</v>
      </c>
      <c r="H389" t="s">
        <v>164</v>
      </c>
      <c r="I389" s="10">
        <v>19562245</v>
      </c>
      <c r="J389" t="s">
        <v>483</v>
      </c>
      <c r="K389" t="s">
        <v>484</v>
      </c>
      <c r="L389" t="str">
        <f t="shared" si="19"/>
        <v>KELLY CARRYER</v>
      </c>
      <c r="M389" t="s">
        <v>57</v>
      </c>
      <c r="N389" s="1">
        <v>45163</v>
      </c>
      <c r="O389" s="1">
        <v>46137</v>
      </c>
      <c r="P389">
        <f t="shared" si="21"/>
        <v>32</v>
      </c>
      <c r="Q389" s="1" t="s">
        <v>261</v>
      </c>
      <c r="R389" s="1" t="s">
        <v>843</v>
      </c>
      <c r="S389" s="2">
        <v>49.12</v>
      </c>
      <c r="T389">
        <v>1</v>
      </c>
      <c r="U389" t="s">
        <v>58</v>
      </c>
      <c r="V389" s="3">
        <v>0.06</v>
      </c>
      <c r="W389" t="s">
        <v>261</v>
      </c>
      <c r="X389" t="s">
        <v>262</v>
      </c>
      <c r="Y389" s="2">
        <v>2.95</v>
      </c>
    </row>
    <row r="390" spans="1:25" x14ac:dyDescent="0.3">
      <c r="A390">
        <v>2018421687</v>
      </c>
      <c r="B390" t="s">
        <v>764</v>
      </c>
      <c r="C390" t="s">
        <v>765</v>
      </c>
      <c r="D390" t="str">
        <f t="shared" si="20"/>
        <v>ELIZABETH BRIDGES</v>
      </c>
      <c r="E390" t="s">
        <v>86</v>
      </c>
      <c r="F390" t="s">
        <v>256</v>
      </c>
      <c r="G390" t="s">
        <v>257</v>
      </c>
      <c r="H390" t="s">
        <v>257</v>
      </c>
      <c r="I390" s="10">
        <v>8977234</v>
      </c>
      <c r="J390" t="s">
        <v>76</v>
      </c>
      <c r="K390" t="s">
        <v>77</v>
      </c>
      <c r="L390" t="str">
        <f t="shared" ref="L390:L421" si="22">_xlfn.CONCAT(K390," ",J390)</f>
        <v>RYAN CALTAGIRONE</v>
      </c>
      <c r="M390" t="s">
        <v>57</v>
      </c>
      <c r="N390" s="1">
        <v>45037</v>
      </c>
      <c r="O390" s="1">
        <v>46133</v>
      </c>
      <c r="P390">
        <f t="shared" si="21"/>
        <v>36</v>
      </c>
      <c r="Q390" s="1" t="s">
        <v>261</v>
      </c>
      <c r="R390" s="1" t="s">
        <v>843</v>
      </c>
      <c r="S390" s="2">
        <v>113.49</v>
      </c>
      <c r="T390">
        <v>1</v>
      </c>
      <c r="U390" t="s">
        <v>58</v>
      </c>
      <c r="V390" s="4">
        <v>5.2499999999999998E-2</v>
      </c>
      <c r="W390" t="s">
        <v>261</v>
      </c>
      <c r="X390" t="s">
        <v>262</v>
      </c>
      <c r="Y390" s="2">
        <v>5.96</v>
      </c>
    </row>
    <row r="391" spans="1:25" x14ac:dyDescent="0.3">
      <c r="A391">
        <v>2018107017</v>
      </c>
      <c r="B391" t="s">
        <v>588</v>
      </c>
      <c r="C391" t="s">
        <v>589</v>
      </c>
      <c r="D391" t="str">
        <f t="shared" si="20"/>
        <v>HEIDI MAERTENS</v>
      </c>
      <c r="E391" t="s">
        <v>122</v>
      </c>
      <c r="F391" t="s">
        <v>222</v>
      </c>
      <c r="G391" t="s">
        <v>223</v>
      </c>
      <c r="H391" t="s">
        <v>223</v>
      </c>
      <c r="I391" s="10">
        <v>8977234</v>
      </c>
      <c r="J391" t="s">
        <v>76</v>
      </c>
      <c r="K391" t="s">
        <v>77</v>
      </c>
      <c r="L391" t="str">
        <f t="shared" si="22"/>
        <v>RYAN CALTAGIRONE</v>
      </c>
      <c r="M391" t="s">
        <v>57</v>
      </c>
      <c r="N391" s="1">
        <v>45012</v>
      </c>
      <c r="O391" s="1">
        <v>46139</v>
      </c>
      <c r="P391">
        <f t="shared" si="21"/>
        <v>37</v>
      </c>
      <c r="Q391" s="1" t="s">
        <v>261</v>
      </c>
      <c r="R391" s="1" t="s">
        <v>843</v>
      </c>
      <c r="S391" s="2">
        <v>35.369999999999997</v>
      </c>
      <c r="T391">
        <v>1</v>
      </c>
      <c r="U391" t="s">
        <v>58</v>
      </c>
      <c r="V391" s="3">
        <v>0.15</v>
      </c>
      <c r="W391" t="s">
        <v>261</v>
      </c>
      <c r="X391" t="s">
        <v>262</v>
      </c>
      <c r="Y391" s="2">
        <v>5.31</v>
      </c>
    </row>
    <row r="392" spans="1:25" x14ac:dyDescent="0.3">
      <c r="A392">
        <v>2017608417</v>
      </c>
      <c r="B392" t="s">
        <v>296</v>
      </c>
      <c r="C392" t="s">
        <v>587</v>
      </c>
      <c r="D392" t="str">
        <f t="shared" si="20"/>
        <v>ROBERT JACKSON</v>
      </c>
      <c r="E392" t="s">
        <v>302</v>
      </c>
      <c r="F392" t="s">
        <v>222</v>
      </c>
      <c r="G392" t="s">
        <v>224</v>
      </c>
      <c r="H392" t="s">
        <v>224</v>
      </c>
      <c r="I392" s="10">
        <v>8307933</v>
      </c>
      <c r="J392" t="s">
        <v>96</v>
      </c>
      <c r="K392" t="s">
        <v>97</v>
      </c>
      <c r="L392" t="str">
        <f t="shared" si="22"/>
        <v>GREGORY TEIPEL</v>
      </c>
      <c r="M392" t="s">
        <v>57</v>
      </c>
      <c r="N392" s="1">
        <v>44983</v>
      </c>
      <c r="O392" s="1">
        <v>46138</v>
      </c>
      <c r="P392">
        <f t="shared" si="21"/>
        <v>38</v>
      </c>
      <c r="Q392" s="1" t="s">
        <v>261</v>
      </c>
      <c r="R392" s="1" t="s">
        <v>843</v>
      </c>
      <c r="S392" s="2">
        <v>163.25</v>
      </c>
      <c r="T392">
        <v>1</v>
      </c>
      <c r="U392" t="s">
        <v>58</v>
      </c>
      <c r="V392" s="3">
        <v>0.1</v>
      </c>
      <c r="W392" t="s">
        <v>261</v>
      </c>
      <c r="X392" t="s">
        <v>262</v>
      </c>
      <c r="Y392" s="2">
        <v>16.32</v>
      </c>
    </row>
    <row r="393" spans="1:25" x14ac:dyDescent="0.3">
      <c r="A393">
        <v>2016875098</v>
      </c>
      <c r="B393" t="s">
        <v>584</v>
      </c>
      <c r="C393" t="s">
        <v>585</v>
      </c>
      <c r="D393" t="str">
        <f t="shared" si="20"/>
        <v>PAULA HUBER</v>
      </c>
      <c r="E393" t="s">
        <v>586</v>
      </c>
      <c r="F393" t="s">
        <v>222</v>
      </c>
      <c r="G393" t="s">
        <v>228</v>
      </c>
      <c r="H393" t="s">
        <v>228</v>
      </c>
      <c r="I393" s="10">
        <v>9079571</v>
      </c>
      <c r="J393" t="s">
        <v>132</v>
      </c>
      <c r="K393" t="s">
        <v>133</v>
      </c>
      <c r="L393" t="str">
        <f t="shared" si="22"/>
        <v>ADAM RICHTER</v>
      </c>
      <c r="M393" t="s">
        <v>57</v>
      </c>
      <c r="N393" s="1">
        <v>44887</v>
      </c>
      <c r="O393" s="1">
        <v>46134</v>
      </c>
      <c r="P393">
        <f t="shared" si="21"/>
        <v>41</v>
      </c>
      <c r="Q393" s="1" t="s">
        <v>261</v>
      </c>
      <c r="R393" s="1" t="s">
        <v>843</v>
      </c>
      <c r="S393" s="2">
        <v>93.84</v>
      </c>
      <c r="T393">
        <v>1</v>
      </c>
      <c r="U393" t="s">
        <v>58</v>
      </c>
      <c r="V393" s="3">
        <v>0.09</v>
      </c>
      <c r="W393" t="s">
        <v>261</v>
      </c>
      <c r="X393" t="s">
        <v>262</v>
      </c>
      <c r="Y393" s="2">
        <v>8.4499999999999993</v>
      </c>
    </row>
    <row r="394" spans="1:25" x14ac:dyDescent="0.3">
      <c r="A394">
        <v>2016328594</v>
      </c>
      <c r="B394" t="s">
        <v>294</v>
      </c>
      <c r="C394" t="s">
        <v>295</v>
      </c>
      <c r="D394" t="str">
        <f t="shared" si="20"/>
        <v>STEVEN DIETZ</v>
      </c>
      <c r="E394" t="s">
        <v>205</v>
      </c>
      <c r="F394" t="s">
        <v>65</v>
      </c>
      <c r="G394" t="s">
        <v>71</v>
      </c>
      <c r="H394" t="s">
        <v>796</v>
      </c>
      <c r="I394" s="10">
        <v>8307933</v>
      </c>
      <c r="J394" t="s">
        <v>96</v>
      </c>
      <c r="K394" t="s">
        <v>97</v>
      </c>
      <c r="L394" t="str">
        <f t="shared" si="22"/>
        <v>GREGORY TEIPEL</v>
      </c>
      <c r="M394" t="s">
        <v>57</v>
      </c>
      <c r="N394" s="1">
        <v>44829</v>
      </c>
      <c r="O394" s="1">
        <v>46137</v>
      </c>
      <c r="P394">
        <f t="shared" si="21"/>
        <v>43</v>
      </c>
      <c r="Q394" s="1" t="s">
        <v>261</v>
      </c>
      <c r="R394" s="1" t="s">
        <v>843</v>
      </c>
      <c r="S394" s="2">
        <v>85.84</v>
      </c>
      <c r="T394">
        <v>1</v>
      </c>
      <c r="U394" t="s">
        <v>58</v>
      </c>
      <c r="V394" s="3">
        <v>0.1</v>
      </c>
      <c r="W394" t="s">
        <v>261</v>
      </c>
      <c r="X394" t="s">
        <v>262</v>
      </c>
      <c r="Y394" s="2">
        <v>8.58</v>
      </c>
    </row>
    <row r="395" spans="1:25" x14ac:dyDescent="0.3">
      <c r="A395">
        <v>2016328595</v>
      </c>
      <c r="B395" t="s">
        <v>294</v>
      </c>
      <c r="C395" t="s">
        <v>295</v>
      </c>
      <c r="D395" t="str">
        <f t="shared" si="20"/>
        <v>STEVEN DIETZ</v>
      </c>
      <c r="E395" t="s">
        <v>205</v>
      </c>
      <c r="F395" t="s">
        <v>163</v>
      </c>
      <c r="G395" t="s">
        <v>164</v>
      </c>
      <c r="H395" t="s">
        <v>164</v>
      </c>
      <c r="I395" s="10">
        <v>8307933</v>
      </c>
      <c r="J395" t="s">
        <v>96</v>
      </c>
      <c r="K395" t="s">
        <v>97</v>
      </c>
      <c r="L395" t="str">
        <f t="shared" si="22"/>
        <v>GREGORY TEIPEL</v>
      </c>
      <c r="M395" t="s">
        <v>57</v>
      </c>
      <c r="N395" s="1">
        <v>44829</v>
      </c>
      <c r="O395" s="1">
        <v>46137</v>
      </c>
      <c r="P395">
        <f t="shared" si="21"/>
        <v>43</v>
      </c>
      <c r="Q395" s="1" t="s">
        <v>261</v>
      </c>
      <c r="R395" s="1" t="s">
        <v>843</v>
      </c>
      <c r="S395" s="2">
        <v>42.47</v>
      </c>
      <c r="T395">
        <v>1</v>
      </c>
      <c r="U395" t="s">
        <v>58</v>
      </c>
      <c r="V395" s="3">
        <v>0.06</v>
      </c>
      <c r="W395" t="s">
        <v>261</v>
      </c>
      <c r="X395" t="s">
        <v>262</v>
      </c>
      <c r="Y395" s="2">
        <v>2.5499999999999998</v>
      </c>
    </row>
    <row r="396" spans="1:25" x14ac:dyDescent="0.3">
      <c r="A396">
        <v>2016328596</v>
      </c>
      <c r="B396" t="s">
        <v>294</v>
      </c>
      <c r="C396" t="s">
        <v>295</v>
      </c>
      <c r="D396" t="str">
        <f t="shared" si="20"/>
        <v>STEVEN DIETZ</v>
      </c>
      <c r="E396" t="s">
        <v>205</v>
      </c>
      <c r="F396" t="s">
        <v>222</v>
      </c>
      <c r="G396" t="s">
        <v>224</v>
      </c>
      <c r="H396" t="s">
        <v>224</v>
      </c>
      <c r="I396" s="10">
        <v>8307933</v>
      </c>
      <c r="J396" t="s">
        <v>96</v>
      </c>
      <c r="K396" t="s">
        <v>97</v>
      </c>
      <c r="L396" t="str">
        <f t="shared" si="22"/>
        <v>GREGORY TEIPEL</v>
      </c>
      <c r="M396" t="s">
        <v>57</v>
      </c>
      <c r="N396" s="1">
        <v>44829</v>
      </c>
      <c r="O396" s="1">
        <v>46137</v>
      </c>
      <c r="P396">
        <f t="shared" si="21"/>
        <v>43</v>
      </c>
      <c r="Q396" s="1" t="s">
        <v>261</v>
      </c>
      <c r="R396" s="1" t="s">
        <v>843</v>
      </c>
      <c r="S396" s="2">
        <v>32.42</v>
      </c>
      <c r="T396">
        <v>1</v>
      </c>
      <c r="U396" t="s">
        <v>58</v>
      </c>
      <c r="V396" s="3">
        <v>0.1</v>
      </c>
      <c r="W396" t="s">
        <v>261</v>
      </c>
      <c r="X396" t="s">
        <v>262</v>
      </c>
      <c r="Y396" s="2">
        <v>3.24</v>
      </c>
    </row>
  </sheetData>
  <sortState xmlns:xlrd2="http://schemas.microsoft.com/office/spreadsheetml/2017/richdata2" ref="A2:AD396">
    <sortCondition sortBy="cellColor" ref="A2:A396" dxfId="0"/>
    <sortCondition ref="P2:P39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061D2-1CE4-419D-97FA-3E8B918601F8}">
  <dimension ref="A1:Z83"/>
  <sheetViews>
    <sheetView topLeftCell="H1" workbookViewId="0">
      <selection activeCell="X2" sqref="X2:X31"/>
    </sheetView>
  </sheetViews>
  <sheetFormatPr defaultRowHeight="14.4" x14ac:dyDescent="0.3"/>
  <cols>
    <col min="1" max="1" width="11.88671875" customWidth="1"/>
    <col min="7" max="7" width="36.77734375" customWidth="1"/>
    <col min="8" max="8" width="34.88671875" customWidth="1"/>
    <col min="9" max="9" width="15.21875" bestFit="1" customWidth="1"/>
    <col min="14" max="14" width="11.44140625" customWidth="1"/>
    <col min="15" max="15" width="10.5546875" customWidth="1"/>
    <col min="23" max="23" width="10" customWidth="1"/>
  </cols>
  <sheetData>
    <row r="1" spans="1:26" x14ac:dyDescent="0.3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P1" t="s">
        <v>17</v>
      </c>
      <c r="Q1" t="s">
        <v>18</v>
      </c>
      <c r="R1" t="s">
        <v>19</v>
      </c>
      <c r="S1" t="s">
        <v>21</v>
      </c>
      <c r="T1" t="s">
        <v>24</v>
      </c>
      <c r="U1" t="s">
        <v>25</v>
      </c>
      <c r="V1" t="s">
        <v>26</v>
      </c>
      <c r="W1" t="s">
        <v>27</v>
      </c>
      <c r="X1" t="s">
        <v>38</v>
      </c>
      <c r="Y1" t="s">
        <v>39</v>
      </c>
      <c r="Z1" t="s">
        <v>40</v>
      </c>
    </row>
    <row r="2" spans="1:26" x14ac:dyDescent="0.3">
      <c r="A2">
        <v>2026245239</v>
      </c>
      <c r="B2" t="s">
        <v>267</v>
      </c>
      <c r="C2" t="s">
        <v>268</v>
      </c>
      <c r="D2" t="str">
        <f t="shared" ref="D2:D31" si="0">_xlfn.CONCAT(C2," ",B2)</f>
        <v>ERIN MARKHAM</v>
      </c>
      <c r="E2" t="s">
        <v>52</v>
      </c>
      <c r="F2" t="s">
        <v>53</v>
      </c>
      <c r="G2" t="s">
        <v>54</v>
      </c>
      <c r="H2" t="s">
        <v>54</v>
      </c>
      <c r="I2" s="10" t="s">
        <v>799</v>
      </c>
      <c r="J2" t="s">
        <v>269</v>
      </c>
      <c r="K2" t="s">
        <v>270</v>
      </c>
      <c r="L2" t="str">
        <f t="shared" ref="L2:L31" si="1">_xlfn.CONCAT(K2," ",J2)</f>
        <v>ANNE MARIE KOZACHECK</v>
      </c>
      <c r="M2" t="s">
        <v>271</v>
      </c>
      <c r="N2" s="1">
        <v>45658</v>
      </c>
      <c r="O2" s="1">
        <v>46113</v>
      </c>
      <c r="P2" s="2">
        <v>-42.45</v>
      </c>
      <c r="Q2">
        <v>1</v>
      </c>
      <c r="R2" t="s">
        <v>58</v>
      </c>
      <c r="S2" s="4">
        <v>6.5000000000000002E-2</v>
      </c>
      <c r="T2" t="s">
        <v>261</v>
      </c>
      <c r="U2" t="s">
        <v>262</v>
      </c>
      <c r="V2">
        <v>0</v>
      </c>
      <c r="W2" s="2">
        <v>0</v>
      </c>
      <c r="X2" s="2">
        <v>-2.76</v>
      </c>
      <c r="Y2" s="2">
        <v>-2.76</v>
      </c>
      <c r="Z2" s="2">
        <v>0</v>
      </c>
    </row>
    <row r="3" spans="1:26" x14ac:dyDescent="0.3">
      <c r="A3">
        <v>2025233514</v>
      </c>
      <c r="B3" t="s">
        <v>298</v>
      </c>
      <c r="C3" t="s">
        <v>299</v>
      </c>
      <c r="D3" t="str">
        <f t="shared" si="0"/>
        <v>KELSEY DREW</v>
      </c>
      <c r="E3" t="s">
        <v>300</v>
      </c>
      <c r="F3" t="s">
        <v>65</v>
      </c>
      <c r="G3" t="s">
        <v>71</v>
      </c>
      <c r="H3" t="s">
        <v>796</v>
      </c>
      <c r="I3" s="10" t="s">
        <v>800</v>
      </c>
      <c r="J3" t="s">
        <v>185</v>
      </c>
      <c r="K3" t="s">
        <v>186</v>
      </c>
      <c r="L3" t="str">
        <f t="shared" si="1"/>
        <v>THOMAS PARDUE</v>
      </c>
      <c r="M3" t="s">
        <v>271</v>
      </c>
      <c r="N3" s="1">
        <v>45586</v>
      </c>
      <c r="O3" s="1">
        <v>46133</v>
      </c>
      <c r="P3" s="2">
        <v>14.94</v>
      </c>
      <c r="Q3">
        <v>1</v>
      </c>
      <c r="R3" t="s">
        <v>58</v>
      </c>
      <c r="S3" s="3">
        <v>0.1</v>
      </c>
      <c r="T3" t="s">
        <v>261</v>
      </c>
      <c r="U3" t="s">
        <v>262</v>
      </c>
      <c r="V3">
        <v>0</v>
      </c>
      <c r="W3" s="2">
        <v>0</v>
      </c>
      <c r="X3" s="2">
        <v>1.49</v>
      </c>
      <c r="Y3" s="2">
        <v>1.49</v>
      </c>
      <c r="Z3" s="2">
        <v>0</v>
      </c>
    </row>
    <row r="4" spans="1:26" x14ac:dyDescent="0.3">
      <c r="A4">
        <v>2028859180</v>
      </c>
      <c r="B4" t="s">
        <v>325</v>
      </c>
      <c r="C4" t="s">
        <v>326</v>
      </c>
      <c r="D4" t="str">
        <f t="shared" si="0"/>
        <v>ERIC SINATRA</v>
      </c>
      <c r="E4" t="s">
        <v>302</v>
      </c>
      <c r="F4" t="s">
        <v>65</v>
      </c>
      <c r="G4" t="s">
        <v>71</v>
      </c>
      <c r="H4" t="s">
        <v>796</v>
      </c>
      <c r="I4" s="10">
        <v>8307933</v>
      </c>
      <c r="J4" t="s">
        <v>96</v>
      </c>
      <c r="K4" t="s">
        <v>97</v>
      </c>
      <c r="L4" t="str">
        <f t="shared" si="1"/>
        <v>GREGORY TEIPEL</v>
      </c>
      <c r="M4" t="s">
        <v>271</v>
      </c>
      <c r="N4" s="1">
        <v>45815</v>
      </c>
      <c r="O4" s="1">
        <v>46119</v>
      </c>
      <c r="P4" s="2">
        <v>-37.21</v>
      </c>
      <c r="Q4">
        <v>1</v>
      </c>
      <c r="R4" t="s">
        <v>58</v>
      </c>
      <c r="S4" s="3">
        <v>0.9</v>
      </c>
      <c r="T4" t="s">
        <v>60</v>
      </c>
      <c r="U4" t="s">
        <v>262</v>
      </c>
      <c r="V4">
        <v>0</v>
      </c>
      <c r="W4" s="2">
        <v>0</v>
      </c>
      <c r="X4" s="2">
        <v>-33.49</v>
      </c>
      <c r="Y4" s="2">
        <v>-33.49</v>
      </c>
      <c r="Z4" s="2">
        <v>0</v>
      </c>
    </row>
    <row r="5" spans="1:26" x14ac:dyDescent="0.3">
      <c r="A5">
        <v>2029285746</v>
      </c>
      <c r="B5" t="s">
        <v>331</v>
      </c>
      <c r="C5" t="s">
        <v>219</v>
      </c>
      <c r="D5" t="str">
        <f t="shared" si="0"/>
        <v>CHARLES CARSPECKEN</v>
      </c>
      <c r="E5" t="s">
        <v>332</v>
      </c>
      <c r="F5" t="s">
        <v>65</v>
      </c>
      <c r="G5" t="s">
        <v>81</v>
      </c>
      <c r="H5" t="s">
        <v>797</v>
      </c>
      <c r="I5" s="10">
        <v>8977234</v>
      </c>
      <c r="J5" t="s">
        <v>76</v>
      </c>
      <c r="K5" t="s">
        <v>77</v>
      </c>
      <c r="L5" t="str">
        <f t="shared" si="1"/>
        <v>RYAN CALTAGIRONE</v>
      </c>
      <c r="M5" t="s">
        <v>271</v>
      </c>
      <c r="N5" s="1">
        <v>45839</v>
      </c>
      <c r="O5" s="1">
        <v>46113</v>
      </c>
      <c r="P5" s="2">
        <v>-31.88</v>
      </c>
      <c r="Q5">
        <v>1</v>
      </c>
      <c r="R5" t="s">
        <v>58</v>
      </c>
      <c r="S5" s="3">
        <v>0.75</v>
      </c>
      <c r="T5" t="s">
        <v>60</v>
      </c>
      <c r="U5" t="s">
        <v>262</v>
      </c>
      <c r="V5">
        <v>0</v>
      </c>
      <c r="W5" s="2">
        <v>0</v>
      </c>
      <c r="X5" s="2">
        <v>-23.91</v>
      </c>
      <c r="Y5" s="2">
        <v>-23.91</v>
      </c>
      <c r="Z5" s="2">
        <v>0</v>
      </c>
    </row>
    <row r="6" spans="1:26" x14ac:dyDescent="0.3">
      <c r="A6">
        <v>2032910576</v>
      </c>
      <c r="B6" t="s">
        <v>383</v>
      </c>
      <c r="C6" t="s">
        <v>384</v>
      </c>
      <c r="D6" t="str">
        <f t="shared" si="0"/>
        <v>ANTHONY SHERIDAN</v>
      </c>
      <c r="E6" t="s">
        <v>213</v>
      </c>
      <c r="F6" t="s">
        <v>65</v>
      </c>
      <c r="G6" t="s">
        <v>66</v>
      </c>
      <c r="H6" t="s">
        <v>797</v>
      </c>
      <c r="I6" s="10">
        <v>1706194</v>
      </c>
      <c r="J6" t="s">
        <v>146</v>
      </c>
      <c r="K6" t="s">
        <v>116</v>
      </c>
      <c r="L6" t="str">
        <f t="shared" si="1"/>
        <v>MATTHEW DAUGHERTY</v>
      </c>
      <c r="M6" t="s">
        <v>271</v>
      </c>
      <c r="N6" s="1">
        <v>46054</v>
      </c>
      <c r="O6" s="1">
        <v>46113</v>
      </c>
      <c r="P6" s="2">
        <v>-71.48</v>
      </c>
      <c r="Q6">
        <v>1</v>
      </c>
      <c r="R6" t="s">
        <v>58</v>
      </c>
      <c r="S6" s="3">
        <v>0.75</v>
      </c>
      <c r="T6" t="s">
        <v>60</v>
      </c>
      <c r="U6" t="s">
        <v>262</v>
      </c>
      <c r="V6">
        <v>0</v>
      </c>
      <c r="W6" s="2">
        <v>0</v>
      </c>
      <c r="X6" s="2">
        <v>-53.61</v>
      </c>
      <c r="Y6" s="2">
        <v>-53.61</v>
      </c>
      <c r="Z6" s="2">
        <v>0</v>
      </c>
    </row>
    <row r="7" spans="1:26" x14ac:dyDescent="0.3">
      <c r="A7">
        <v>2033900704</v>
      </c>
      <c r="B7" t="s">
        <v>419</v>
      </c>
      <c r="C7" t="s">
        <v>420</v>
      </c>
      <c r="D7" t="str">
        <f t="shared" si="0"/>
        <v>SHIONA DEROLLO</v>
      </c>
      <c r="E7" t="s">
        <v>191</v>
      </c>
      <c r="F7" t="s">
        <v>65</v>
      </c>
      <c r="G7" t="s">
        <v>66</v>
      </c>
      <c r="H7" t="s">
        <v>797</v>
      </c>
      <c r="I7" s="10">
        <v>8977234</v>
      </c>
      <c r="J7" t="s">
        <v>76</v>
      </c>
      <c r="K7" t="s">
        <v>77</v>
      </c>
      <c r="L7" t="str">
        <f t="shared" si="1"/>
        <v>RYAN CALTAGIRONE</v>
      </c>
      <c r="M7" t="s">
        <v>271</v>
      </c>
      <c r="N7" s="1">
        <v>46095</v>
      </c>
      <c r="O7" s="1">
        <v>46126</v>
      </c>
      <c r="P7" s="2">
        <v>-41.38</v>
      </c>
      <c r="Q7">
        <v>1</v>
      </c>
      <c r="R7" t="s">
        <v>58</v>
      </c>
      <c r="S7" s="3">
        <v>0.75</v>
      </c>
      <c r="T7" t="s">
        <v>60</v>
      </c>
      <c r="U7" t="s">
        <v>262</v>
      </c>
      <c r="V7">
        <v>0</v>
      </c>
      <c r="W7" s="2">
        <v>0</v>
      </c>
      <c r="X7" s="2">
        <v>-31.04</v>
      </c>
      <c r="Y7" s="2">
        <v>-31.04</v>
      </c>
      <c r="Z7" s="2">
        <v>0</v>
      </c>
    </row>
    <row r="8" spans="1:26" x14ac:dyDescent="0.3">
      <c r="A8">
        <v>2032581668</v>
      </c>
      <c r="B8" t="s">
        <v>461</v>
      </c>
      <c r="C8" t="s">
        <v>321</v>
      </c>
      <c r="D8" t="str">
        <f t="shared" si="0"/>
        <v>BRENDA KELLER</v>
      </c>
      <c r="E8" t="s">
        <v>462</v>
      </c>
      <c r="F8" t="s">
        <v>157</v>
      </c>
      <c r="G8" t="s">
        <v>437</v>
      </c>
      <c r="H8" t="s">
        <v>437</v>
      </c>
      <c r="I8" s="10">
        <v>17425766</v>
      </c>
      <c r="J8" t="s">
        <v>87</v>
      </c>
      <c r="K8" t="s">
        <v>88</v>
      </c>
      <c r="L8" t="str">
        <f t="shared" si="1"/>
        <v>CAROL FOLEY</v>
      </c>
      <c r="M8" t="s">
        <v>271</v>
      </c>
      <c r="N8" s="1">
        <v>46023</v>
      </c>
      <c r="O8" s="1">
        <v>46113</v>
      </c>
      <c r="P8" s="2">
        <v>-7.26</v>
      </c>
      <c r="Q8">
        <v>1</v>
      </c>
      <c r="R8" t="s">
        <v>58</v>
      </c>
      <c r="S8" s="3">
        <v>0.38</v>
      </c>
      <c r="T8" t="s">
        <v>60</v>
      </c>
      <c r="U8" t="s">
        <v>262</v>
      </c>
      <c r="V8">
        <v>0</v>
      </c>
      <c r="W8" s="2">
        <v>0</v>
      </c>
      <c r="X8" s="2">
        <v>-2.76</v>
      </c>
      <c r="Y8" s="2">
        <v>-2.76</v>
      </c>
      <c r="Z8" s="2">
        <v>0</v>
      </c>
    </row>
    <row r="9" spans="1:26" x14ac:dyDescent="0.3">
      <c r="A9">
        <v>2025233515</v>
      </c>
      <c r="B9" t="s">
        <v>298</v>
      </c>
      <c r="C9" t="s">
        <v>299</v>
      </c>
      <c r="D9" t="str">
        <f t="shared" si="0"/>
        <v>KELSEY DREW</v>
      </c>
      <c r="E9" t="s">
        <v>300</v>
      </c>
      <c r="F9" t="s">
        <v>163</v>
      </c>
      <c r="G9" t="s">
        <v>164</v>
      </c>
      <c r="H9" t="s">
        <v>164</v>
      </c>
      <c r="I9" s="10" t="s">
        <v>800</v>
      </c>
      <c r="J9" t="s">
        <v>185</v>
      </c>
      <c r="K9" t="s">
        <v>186</v>
      </c>
      <c r="L9" t="str">
        <f t="shared" si="1"/>
        <v>THOMAS PARDUE</v>
      </c>
      <c r="M9" t="s">
        <v>271</v>
      </c>
      <c r="N9" s="1">
        <v>45586</v>
      </c>
      <c r="O9" s="1">
        <v>46133</v>
      </c>
      <c r="P9" s="2">
        <v>26.74</v>
      </c>
      <c r="Q9">
        <v>1</v>
      </c>
      <c r="R9" t="s">
        <v>58</v>
      </c>
      <c r="S9" s="3">
        <v>0.06</v>
      </c>
      <c r="T9" t="s">
        <v>261</v>
      </c>
      <c r="U9" t="s">
        <v>262</v>
      </c>
      <c r="V9">
        <v>0</v>
      </c>
      <c r="W9" s="2">
        <v>0</v>
      </c>
      <c r="X9" s="2">
        <v>1.6</v>
      </c>
      <c r="Y9" s="2">
        <v>1.6</v>
      </c>
      <c r="Z9" s="2">
        <v>0</v>
      </c>
    </row>
    <row r="10" spans="1:26" x14ac:dyDescent="0.3">
      <c r="A10">
        <v>2029285748</v>
      </c>
      <c r="B10" t="s">
        <v>331</v>
      </c>
      <c r="C10" t="s">
        <v>219</v>
      </c>
      <c r="D10" t="str">
        <f t="shared" si="0"/>
        <v>CHARLES CARSPECKEN</v>
      </c>
      <c r="E10" t="s">
        <v>332</v>
      </c>
      <c r="F10" t="s">
        <v>163</v>
      </c>
      <c r="G10" t="s">
        <v>164</v>
      </c>
      <c r="H10" t="s">
        <v>164</v>
      </c>
      <c r="I10" s="10">
        <v>8977234</v>
      </c>
      <c r="J10" t="s">
        <v>76</v>
      </c>
      <c r="K10" t="s">
        <v>77</v>
      </c>
      <c r="L10" t="str">
        <f t="shared" si="1"/>
        <v>RYAN CALTAGIRONE</v>
      </c>
      <c r="M10" t="s">
        <v>271</v>
      </c>
      <c r="N10" s="1">
        <v>45839</v>
      </c>
      <c r="O10" s="1">
        <v>46113</v>
      </c>
      <c r="P10" s="2">
        <v>-7.76</v>
      </c>
      <c r="Q10">
        <v>1</v>
      </c>
      <c r="R10" t="s">
        <v>58</v>
      </c>
      <c r="S10" s="4">
        <v>0.375</v>
      </c>
      <c r="T10" t="s">
        <v>60</v>
      </c>
      <c r="U10" t="s">
        <v>262</v>
      </c>
      <c r="V10">
        <v>0</v>
      </c>
      <c r="W10" s="2">
        <v>0</v>
      </c>
      <c r="X10" s="2">
        <v>-2.91</v>
      </c>
      <c r="Y10" s="2">
        <v>-2.91</v>
      </c>
      <c r="Z10" s="2">
        <v>0</v>
      </c>
    </row>
    <row r="11" spans="1:26" x14ac:dyDescent="0.3">
      <c r="A11">
        <v>2032202380</v>
      </c>
      <c r="B11" t="s">
        <v>536</v>
      </c>
      <c r="C11" t="s">
        <v>537</v>
      </c>
      <c r="D11" t="str">
        <f t="shared" si="0"/>
        <v>HOLLY STAMPER</v>
      </c>
      <c r="E11" t="s">
        <v>300</v>
      </c>
      <c r="F11" t="s">
        <v>163</v>
      </c>
      <c r="G11" t="s">
        <v>164</v>
      </c>
      <c r="H11" t="s">
        <v>164</v>
      </c>
      <c r="I11" s="10" t="s">
        <v>801</v>
      </c>
      <c r="J11" t="s">
        <v>398</v>
      </c>
      <c r="K11" t="s">
        <v>399</v>
      </c>
      <c r="L11" t="str">
        <f t="shared" si="1"/>
        <v>CHRISTIAN TAUGNER</v>
      </c>
      <c r="M11" t="s">
        <v>271</v>
      </c>
      <c r="N11" s="1">
        <v>45978</v>
      </c>
      <c r="O11" s="1">
        <v>46129</v>
      </c>
      <c r="P11" s="2">
        <v>-101.58</v>
      </c>
      <c r="Q11">
        <v>1</v>
      </c>
      <c r="R11" t="s">
        <v>58</v>
      </c>
      <c r="S11" s="4">
        <v>0.375</v>
      </c>
      <c r="T11" t="s">
        <v>60</v>
      </c>
      <c r="U11" t="s">
        <v>262</v>
      </c>
      <c r="V11">
        <v>0</v>
      </c>
      <c r="W11" s="2">
        <v>0</v>
      </c>
      <c r="X11" s="2">
        <v>-38.090000000000003</v>
      </c>
      <c r="Y11" s="2">
        <v>-38.090000000000003</v>
      </c>
      <c r="Z11" s="2">
        <v>0</v>
      </c>
    </row>
    <row r="12" spans="1:26" x14ac:dyDescent="0.3">
      <c r="A12">
        <v>2032581666</v>
      </c>
      <c r="B12" t="s">
        <v>461</v>
      </c>
      <c r="C12" t="s">
        <v>321</v>
      </c>
      <c r="D12" t="str">
        <f t="shared" si="0"/>
        <v>BRENDA KELLER</v>
      </c>
      <c r="E12" t="s">
        <v>462</v>
      </c>
      <c r="F12" t="s">
        <v>163</v>
      </c>
      <c r="G12" t="s">
        <v>164</v>
      </c>
      <c r="H12" t="s">
        <v>164</v>
      </c>
      <c r="I12" s="10">
        <v>17425766</v>
      </c>
      <c r="J12" t="s">
        <v>87</v>
      </c>
      <c r="K12" t="s">
        <v>88</v>
      </c>
      <c r="L12" t="str">
        <f t="shared" si="1"/>
        <v>CAROL FOLEY</v>
      </c>
      <c r="M12" t="s">
        <v>271</v>
      </c>
      <c r="N12" s="1">
        <v>46023</v>
      </c>
      <c r="O12" s="1">
        <v>46113</v>
      </c>
      <c r="P12" s="2">
        <v>-30.84</v>
      </c>
      <c r="Q12">
        <v>1</v>
      </c>
      <c r="R12" t="s">
        <v>58</v>
      </c>
      <c r="S12" s="4">
        <v>0.375</v>
      </c>
      <c r="T12" t="s">
        <v>60</v>
      </c>
      <c r="U12" t="s">
        <v>262</v>
      </c>
      <c r="V12">
        <v>0</v>
      </c>
      <c r="W12" s="2">
        <v>0</v>
      </c>
      <c r="X12" s="2">
        <v>-11.56</v>
      </c>
      <c r="Y12" s="2">
        <v>-11.56</v>
      </c>
      <c r="Z12" s="2">
        <v>0</v>
      </c>
    </row>
    <row r="13" spans="1:26" x14ac:dyDescent="0.3">
      <c r="A13">
        <v>2032910577</v>
      </c>
      <c r="B13" t="s">
        <v>383</v>
      </c>
      <c r="C13" t="s">
        <v>384</v>
      </c>
      <c r="D13" t="str">
        <f t="shared" si="0"/>
        <v>ANTHONY SHERIDAN</v>
      </c>
      <c r="E13" t="s">
        <v>213</v>
      </c>
      <c r="F13" t="s">
        <v>163</v>
      </c>
      <c r="G13" t="s">
        <v>164</v>
      </c>
      <c r="H13" t="s">
        <v>164</v>
      </c>
      <c r="I13" s="10">
        <v>1706194</v>
      </c>
      <c r="J13" t="s">
        <v>146</v>
      </c>
      <c r="K13" t="s">
        <v>116</v>
      </c>
      <c r="L13" t="str">
        <f t="shared" si="1"/>
        <v>MATTHEW DAUGHERTY</v>
      </c>
      <c r="M13" t="s">
        <v>271</v>
      </c>
      <c r="N13" s="1">
        <v>46054</v>
      </c>
      <c r="O13" s="1">
        <v>46113</v>
      </c>
      <c r="P13" s="2">
        <v>-38.06</v>
      </c>
      <c r="Q13">
        <v>1</v>
      </c>
      <c r="R13" t="s">
        <v>58</v>
      </c>
      <c r="S13" s="4">
        <v>0.375</v>
      </c>
      <c r="T13" t="s">
        <v>60</v>
      </c>
      <c r="U13" t="s">
        <v>262</v>
      </c>
      <c r="V13">
        <v>0</v>
      </c>
      <c r="W13" s="2">
        <v>0</v>
      </c>
      <c r="X13" s="2">
        <v>-14.27</v>
      </c>
      <c r="Y13" s="2">
        <v>-14.27</v>
      </c>
      <c r="Z13" s="2">
        <v>0</v>
      </c>
    </row>
    <row r="14" spans="1:26" x14ac:dyDescent="0.3">
      <c r="A14">
        <v>2033900705</v>
      </c>
      <c r="B14" t="s">
        <v>419</v>
      </c>
      <c r="C14" t="s">
        <v>420</v>
      </c>
      <c r="D14" t="str">
        <f t="shared" si="0"/>
        <v>SHIONA DEROLLO</v>
      </c>
      <c r="E14" t="s">
        <v>191</v>
      </c>
      <c r="F14" t="s">
        <v>163</v>
      </c>
      <c r="G14" t="s">
        <v>164</v>
      </c>
      <c r="H14" t="s">
        <v>164</v>
      </c>
      <c r="I14" s="10">
        <v>8977234</v>
      </c>
      <c r="J14" t="s">
        <v>76</v>
      </c>
      <c r="K14" t="s">
        <v>77</v>
      </c>
      <c r="L14" t="str">
        <f t="shared" si="1"/>
        <v>RYAN CALTAGIRONE</v>
      </c>
      <c r="M14" t="s">
        <v>271</v>
      </c>
      <c r="N14" s="1">
        <v>46095</v>
      </c>
      <c r="O14" s="1">
        <v>46126</v>
      </c>
      <c r="P14" s="2">
        <v>-79.97</v>
      </c>
      <c r="Q14">
        <v>1</v>
      </c>
      <c r="R14" t="s">
        <v>58</v>
      </c>
      <c r="S14" s="4">
        <v>0.375</v>
      </c>
      <c r="T14" t="s">
        <v>60</v>
      </c>
      <c r="U14" t="s">
        <v>262</v>
      </c>
      <c r="V14">
        <v>0</v>
      </c>
      <c r="W14" s="2">
        <v>0</v>
      </c>
      <c r="X14" s="2">
        <v>-29.99</v>
      </c>
      <c r="Y14" s="2">
        <v>-29.99</v>
      </c>
      <c r="Z14" s="2">
        <v>0</v>
      </c>
    </row>
    <row r="15" spans="1:26" x14ac:dyDescent="0.3">
      <c r="A15">
        <v>2032581667</v>
      </c>
      <c r="B15" t="s">
        <v>461</v>
      </c>
      <c r="C15" t="s">
        <v>321</v>
      </c>
      <c r="D15" t="str">
        <f t="shared" si="0"/>
        <v>BRENDA KELLER</v>
      </c>
      <c r="E15" t="s">
        <v>462</v>
      </c>
      <c r="F15" t="s">
        <v>220</v>
      </c>
      <c r="G15" t="s">
        <v>568</v>
      </c>
      <c r="H15" t="s">
        <v>568</v>
      </c>
      <c r="I15" s="10">
        <v>17425766</v>
      </c>
      <c r="J15" t="s">
        <v>87</v>
      </c>
      <c r="K15" t="s">
        <v>88</v>
      </c>
      <c r="L15" t="str">
        <f t="shared" si="1"/>
        <v>CAROL FOLEY</v>
      </c>
      <c r="M15" t="s">
        <v>271</v>
      </c>
      <c r="N15" s="1">
        <v>46023</v>
      </c>
      <c r="O15" s="1">
        <v>46113</v>
      </c>
      <c r="P15" s="2">
        <v>-105.27</v>
      </c>
      <c r="Q15">
        <v>1</v>
      </c>
      <c r="R15" t="s">
        <v>58</v>
      </c>
      <c r="S15" s="3">
        <v>0.38</v>
      </c>
      <c r="T15" t="s">
        <v>60</v>
      </c>
      <c r="U15" t="s">
        <v>262</v>
      </c>
      <c r="V15">
        <v>0</v>
      </c>
      <c r="W15" s="2">
        <v>0</v>
      </c>
      <c r="X15" s="2">
        <v>-40</v>
      </c>
      <c r="Y15" s="2">
        <v>-40</v>
      </c>
      <c r="Z15" s="2">
        <v>0</v>
      </c>
    </row>
    <row r="16" spans="1:26" x14ac:dyDescent="0.3">
      <c r="A16">
        <v>2027922860</v>
      </c>
      <c r="B16" t="s">
        <v>580</v>
      </c>
      <c r="C16" t="s">
        <v>581</v>
      </c>
      <c r="D16" t="str">
        <f t="shared" si="0"/>
        <v>BRIAN BOWIE</v>
      </c>
      <c r="E16" t="s">
        <v>64</v>
      </c>
      <c r="F16" t="s">
        <v>582</v>
      </c>
      <c r="G16" t="s">
        <v>583</v>
      </c>
      <c r="H16" t="s">
        <v>798</v>
      </c>
      <c r="I16" s="10" t="s">
        <v>802</v>
      </c>
      <c r="J16" t="s">
        <v>153</v>
      </c>
      <c r="K16" t="s">
        <v>154</v>
      </c>
      <c r="L16" t="str">
        <f t="shared" si="1"/>
        <v>ANDREA PETRUNGARO</v>
      </c>
      <c r="M16" t="s">
        <v>271</v>
      </c>
      <c r="N16" s="1">
        <v>45748</v>
      </c>
      <c r="O16" s="1">
        <v>46113</v>
      </c>
      <c r="P16" s="2">
        <v>-139.18</v>
      </c>
      <c r="Q16">
        <v>1</v>
      </c>
      <c r="R16" t="s">
        <v>58</v>
      </c>
      <c r="S16" s="3">
        <v>0.26</v>
      </c>
      <c r="T16" t="s">
        <v>60</v>
      </c>
      <c r="U16" t="s">
        <v>262</v>
      </c>
      <c r="V16">
        <v>0</v>
      </c>
      <c r="W16" s="2">
        <v>0</v>
      </c>
      <c r="X16" s="2">
        <v>-36.19</v>
      </c>
      <c r="Y16" s="2">
        <v>-36.19</v>
      </c>
      <c r="Z16" s="2">
        <v>0</v>
      </c>
    </row>
    <row r="17" spans="1:26" x14ac:dyDescent="0.3">
      <c r="A17">
        <v>2025233513</v>
      </c>
      <c r="B17" t="s">
        <v>298</v>
      </c>
      <c r="C17" t="s">
        <v>299</v>
      </c>
      <c r="D17" t="str">
        <f t="shared" si="0"/>
        <v>KELSEY DREW</v>
      </c>
      <c r="E17" t="s">
        <v>300</v>
      </c>
      <c r="F17" t="s">
        <v>222</v>
      </c>
      <c r="G17" t="s">
        <v>223</v>
      </c>
      <c r="H17" t="s">
        <v>223</v>
      </c>
      <c r="I17" s="10" t="s">
        <v>800</v>
      </c>
      <c r="J17" t="s">
        <v>185</v>
      </c>
      <c r="K17" t="s">
        <v>186</v>
      </c>
      <c r="L17" t="str">
        <f t="shared" si="1"/>
        <v>THOMAS PARDUE</v>
      </c>
      <c r="M17" t="s">
        <v>271</v>
      </c>
      <c r="N17" s="1">
        <v>45586</v>
      </c>
      <c r="O17" s="1">
        <v>46133</v>
      </c>
      <c r="P17" s="2">
        <v>28.73</v>
      </c>
      <c r="Q17">
        <v>1</v>
      </c>
      <c r="R17" t="s">
        <v>58</v>
      </c>
      <c r="S17" s="3">
        <v>0.15</v>
      </c>
      <c r="T17" t="s">
        <v>261</v>
      </c>
      <c r="U17" t="s">
        <v>262</v>
      </c>
      <c r="V17">
        <v>0</v>
      </c>
      <c r="W17" s="2">
        <v>0</v>
      </c>
      <c r="X17" s="2">
        <v>4.3099999999999996</v>
      </c>
      <c r="Y17" s="2">
        <v>4.3099999999999996</v>
      </c>
      <c r="Z17" s="2">
        <v>0</v>
      </c>
    </row>
    <row r="18" spans="1:26" x14ac:dyDescent="0.3">
      <c r="A18">
        <v>2026084250</v>
      </c>
      <c r="B18" t="s">
        <v>607</v>
      </c>
      <c r="C18" t="s">
        <v>608</v>
      </c>
      <c r="D18" t="str">
        <f t="shared" si="0"/>
        <v>ALVIN ROBERTS</v>
      </c>
      <c r="E18" t="s">
        <v>74</v>
      </c>
      <c r="F18" t="s">
        <v>222</v>
      </c>
      <c r="G18" t="s">
        <v>223</v>
      </c>
      <c r="H18" t="s">
        <v>223</v>
      </c>
      <c r="I18" s="10">
        <v>1706194</v>
      </c>
      <c r="J18" t="s">
        <v>146</v>
      </c>
      <c r="K18" t="s">
        <v>116</v>
      </c>
      <c r="L18" t="str">
        <f t="shared" si="1"/>
        <v>MATTHEW DAUGHERTY</v>
      </c>
      <c r="M18" t="s">
        <v>271</v>
      </c>
      <c r="N18" s="1">
        <v>45658</v>
      </c>
      <c r="O18" s="1">
        <v>46113</v>
      </c>
      <c r="P18" s="2">
        <v>-178.32</v>
      </c>
      <c r="Q18">
        <v>1</v>
      </c>
      <c r="R18" t="s">
        <v>58</v>
      </c>
      <c r="S18" s="3">
        <v>0.15</v>
      </c>
      <c r="T18" t="s">
        <v>261</v>
      </c>
      <c r="U18" t="s">
        <v>262</v>
      </c>
      <c r="V18">
        <v>0</v>
      </c>
      <c r="W18" s="2">
        <v>0</v>
      </c>
      <c r="X18" s="2">
        <v>-26.75</v>
      </c>
      <c r="Y18" s="2">
        <v>-26.75</v>
      </c>
      <c r="Z18" s="2">
        <v>0</v>
      </c>
    </row>
    <row r="19" spans="1:26" x14ac:dyDescent="0.3">
      <c r="A19">
        <v>2026848316</v>
      </c>
      <c r="B19" t="s">
        <v>616</v>
      </c>
      <c r="C19" t="s">
        <v>377</v>
      </c>
      <c r="D19" t="str">
        <f t="shared" si="0"/>
        <v>CHRISTOPHER SHUMAN</v>
      </c>
      <c r="E19" t="s">
        <v>64</v>
      </c>
      <c r="F19" t="s">
        <v>222</v>
      </c>
      <c r="G19" t="s">
        <v>223</v>
      </c>
      <c r="H19" t="s">
        <v>223</v>
      </c>
      <c r="I19" s="10">
        <v>8977234</v>
      </c>
      <c r="J19" t="s">
        <v>76</v>
      </c>
      <c r="K19" t="s">
        <v>77</v>
      </c>
      <c r="L19" t="str">
        <f t="shared" si="1"/>
        <v>RYAN CALTAGIRONE</v>
      </c>
      <c r="M19" t="s">
        <v>271</v>
      </c>
      <c r="N19" s="1">
        <v>45717</v>
      </c>
      <c r="O19" s="1">
        <v>46113</v>
      </c>
      <c r="P19" s="2">
        <v>-56.55</v>
      </c>
      <c r="Q19">
        <v>1</v>
      </c>
      <c r="R19" t="s">
        <v>58</v>
      </c>
      <c r="S19" s="3">
        <v>0.15</v>
      </c>
      <c r="T19" t="s">
        <v>261</v>
      </c>
      <c r="U19" t="s">
        <v>262</v>
      </c>
      <c r="V19">
        <v>0</v>
      </c>
      <c r="W19" s="2">
        <v>0</v>
      </c>
      <c r="X19" s="2">
        <v>-8.48</v>
      </c>
      <c r="Y19" s="2">
        <v>-8.48</v>
      </c>
      <c r="Z19" s="2">
        <v>0</v>
      </c>
    </row>
    <row r="20" spans="1:26" x14ac:dyDescent="0.3">
      <c r="A20">
        <v>2026848317</v>
      </c>
      <c r="B20" t="s">
        <v>616</v>
      </c>
      <c r="C20" t="s">
        <v>377</v>
      </c>
      <c r="D20" t="str">
        <f t="shared" si="0"/>
        <v>CHRISTOPHER SHUMAN</v>
      </c>
      <c r="E20" t="s">
        <v>64</v>
      </c>
      <c r="F20" t="s">
        <v>222</v>
      </c>
      <c r="G20" t="s">
        <v>590</v>
      </c>
      <c r="H20" t="s">
        <v>590</v>
      </c>
      <c r="I20" s="10">
        <v>8977234</v>
      </c>
      <c r="J20" t="s">
        <v>76</v>
      </c>
      <c r="K20" t="s">
        <v>77</v>
      </c>
      <c r="L20" t="str">
        <f t="shared" si="1"/>
        <v>RYAN CALTAGIRONE</v>
      </c>
      <c r="M20" t="s">
        <v>271</v>
      </c>
      <c r="N20" s="1">
        <v>45717</v>
      </c>
      <c r="O20" s="1">
        <v>46113</v>
      </c>
      <c r="P20" s="2">
        <v>-18.260000000000002</v>
      </c>
      <c r="Q20">
        <v>1</v>
      </c>
      <c r="R20" t="s">
        <v>58</v>
      </c>
      <c r="S20" s="3">
        <v>0.15</v>
      </c>
      <c r="T20" t="s">
        <v>261</v>
      </c>
      <c r="U20" t="s">
        <v>262</v>
      </c>
      <c r="V20">
        <v>0</v>
      </c>
      <c r="W20" s="2">
        <v>0</v>
      </c>
      <c r="X20" s="2">
        <v>-2.74</v>
      </c>
      <c r="Y20" s="2">
        <v>-2.74</v>
      </c>
      <c r="Z20" s="2">
        <v>0</v>
      </c>
    </row>
    <row r="21" spans="1:26" x14ac:dyDescent="0.3">
      <c r="A21">
        <v>2028582349</v>
      </c>
      <c r="B21" t="s">
        <v>629</v>
      </c>
      <c r="C21" t="s">
        <v>630</v>
      </c>
      <c r="D21" t="str">
        <f t="shared" si="0"/>
        <v>BRITT MOORE</v>
      </c>
      <c r="E21" t="s">
        <v>64</v>
      </c>
      <c r="F21" t="s">
        <v>222</v>
      </c>
      <c r="G21" t="s">
        <v>223</v>
      </c>
      <c r="H21" t="s">
        <v>223</v>
      </c>
      <c r="I21" s="10" t="s">
        <v>803</v>
      </c>
      <c r="J21" t="s">
        <v>276</v>
      </c>
      <c r="K21" t="s">
        <v>277</v>
      </c>
      <c r="L21" t="str">
        <f t="shared" si="1"/>
        <v>Barry Schumann</v>
      </c>
      <c r="M21" t="s">
        <v>271</v>
      </c>
      <c r="N21" s="1">
        <v>45784</v>
      </c>
      <c r="O21" s="1">
        <v>46119</v>
      </c>
      <c r="P21" s="2">
        <v>-50.01</v>
      </c>
      <c r="Q21">
        <v>1</v>
      </c>
      <c r="R21" t="s">
        <v>58</v>
      </c>
      <c r="S21" s="3">
        <v>0.7</v>
      </c>
      <c r="T21" t="s">
        <v>60</v>
      </c>
      <c r="U21" t="s">
        <v>262</v>
      </c>
      <c r="V21">
        <v>0</v>
      </c>
      <c r="W21" s="2">
        <v>0</v>
      </c>
      <c r="X21" s="2">
        <v>-35.01</v>
      </c>
      <c r="Y21" s="2">
        <v>-35.01</v>
      </c>
      <c r="Z21" s="2">
        <v>0</v>
      </c>
    </row>
    <row r="22" spans="1:26" x14ac:dyDescent="0.3">
      <c r="A22">
        <v>2029285747</v>
      </c>
      <c r="B22" t="s">
        <v>331</v>
      </c>
      <c r="C22" t="s">
        <v>219</v>
      </c>
      <c r="D22" t="str">
        <f t="shared" si="0"/>
        <v>CHARLES CARSPECKEN</v>
      </c>
      <c r="E22" t="s">
        <v>332</v>
      </c>
      <c r="F22" t="s">
        <v>222</v>
      </c>
      <c r="G22" t="s">
        <v>223</v>
      </c>
      <c r="H22" t="s">
        <v>223</v>
      </c>
      <c r="I22" s="10">
        <v>8977234</v>
      </c>
      <c r="J22" t="s">
        <v>76</v>
      </c>
      <c r="K22" t="s">
        <v>77</v>
      </c>
      <c r="L22" t="str">
        <f t="shared" si="1"/>
        <v>RYAN CALTAGIRONE</v>
      </c>
      <c r="M22" t="s">
        <v>271</v>
      </c>
      <c r="N22" s="1">
        <v>45839</v>
      </c>
      <c r="O22" s="1">
        <v>46113</v>
      </c>
      <c r="P22" s="2">
        <v>-36.619999999999997</v>
      </c>
      <c r="Q22">
        <v>1</v>
      </c>
      <c r="R22" t="s">
        <v>58</v>
      </c>
      <c r="S22" s="3">
        <v>0.7</v>
      </c>
      <c r="T22" t="s">
        <v>60</v>
      </c>
      <c r="U22" t="s">
        <v>262</v>
      </c>
      <c r="V22">
        <v>0</v>
      </c>
      <c r="W22" s="2">
        <v>0</v>
      </c>
      <c r="X22" s="2">
        <v>-25.63</v>
      </c>
      <c r="Y22" s="2">
        <v>-25.63</v>
      </c>
      <c r="Z22" s="2">
        <v>0</v>
      </c>
    </row>
    <row r="23" spans="1:26" x14ac:dyDescent="0.3">
      <c r="A23">
        <v>2030055437</v>
      </c>
      <c r="B23" t="s">
        <v>647</v>
      </c>
      <c r="C23" t="s">
        <v>648</v>
      </c>
      <c r="D23" t="str">
        <f t="shared" si="0"/>
        <v>WOJTASIK JAY</v>
      </c>
      <c r="E23" t="s">
        <v>64</v>
      </c>
      <c r="F23" t="s">
        <v>222</v>
      </c>
      <c r="G23" t="s">
        <v>223</v>
      </c>
      <c r="H23" t="s">
        <v>223</v>
      </c>
      <c r="I23" s="10" t="s">
        <v>804</v>
      </c>
      <c r="J23" t="s">
        <v>246</v>
      </c>
      <c r="K23" t="s">
        <v>247</v>
      </c>
      <c r="L23" t="str">
        <f t="shared" si="1"/>
        <v>NASANDELGER ZANA</v>
      </c>
      <c r="M23" t="s">
        <v>271</v>
      </c>
      <c r="N23" s="1">
        <v>45859</v>
      </c>
      <c r="O23" s="1">
        <v>46133</v>
      </c>
      <c r="P23" s="2">
        <v>32.200000000000003</v>
      </c>
      <c r="Q23">
        <v>1</v>
      </c>
      <c r="R23" t="s">
        <v>58</v>
      </c>
      <c r="S23" s="3">
        <v>0.7</v>
      </c>
      <c r="T23" t="s">
        <v>60</v>
      </c>
      <c r="U23" t="s">
        <v>262</v>
      </c>
      <c r="V23">
        <v>0</v>
      </c>
      <c r="W23" s="2">
        <v>0</v>
      </c>
      <c r="X23" s="2">
        <v>22.54</v>
      </c>
      <c r="Y23" s="2">
        <v>22.54</v>
      </c>
      <c r="Z23" s="2">
        <v>0</v>
      </c>
    </row>
    <row r="24" spans="1:26" x14ac:dyDescent="0.3">
      <c r="A24">
        <v>2031757551</v>
      </c>
      <c r="B24" t="s">
        <v>670</v>
      </c>
      <c r="C24" t="s">
        <v>658</v>
      </c>
      <c r="D24" t="str">
        <f t="shared" si="0"/>
        <v>BENJAMIN PRITT</v>
      </c>
      <c r="E24" t="s">
        <v>332</v>
      </c>
      <c r="F24" t="s">
        <v>222</v>
      </c>
      <c r="G24" t="s">
        <v>223</v>
      </c>
      <c r="H24" t="s">
        <v>223</v>
      </c>
      <c r="I24" s="10">
        <v>1706194</v>
      </c>
      <c r="J24" t="s">
        <v>146</v>
      </c>
      <c r="K24" t="s">
        <v>116</v>
      </c>
      <c r="L24" t="str">
        <f t="shared" si="1"/>
        <v>MATTHEW DAUGHERTY</v>
      </c>
      <c r="M24" t="s">
        <v>271</v>
      </c>
      <c r="N24" s="1">
        <v>45962</v>
      </c>
      <c r="O24" s="1">
        <v>46113</v>
      </c>
      <c r="P24" s="2">
        <v>-153.31</v>
      </c>
      <c r="Q24">
        <v>1</v>
      </c>
      <c r="R24" t="s">
        <v>58</v>
      </c>
      <c r="S24" s="3">
        <v>0.7</v>
      </c>
      <c r="T24" t="s">
        <v>60</v>
      </c>
      <c r="U24" t="s">
        <v>262</v>
      </c>
      <c r="V24">
        <v>0</v>
      </c>
      <c r="W24" s="2">
        <v>0</v>
      </c>
      <c r="X24" s="2">
        <v>-107.32</v>
      </c>
      <c r="Y24" s="2">
        <v>-107.32</v>
      </c>
      <c r="Z24" s="2">
        <v>0</v>
      </c>
    </row>
    <row r="25" spans="1:26" x14ac:dyDescent="0.3">
      <c r="A25">
        <v>2032241078</v>
      </c>
      <c r="B25" t="s">
        <v>683</v>
      </c>
      <c r="C25" t="s">
        <v>684</v>
      </c>
      <c r="D25" t="str">
        <f t="shared" si="0"/>
        <v>ANUJIN SUKHBAT</v>
      </c>
      <c r="E25" t="s">
        <v>64</v>
      </c>
      <c r="F25" t="s">
        <v>222</v>
      </c>
      <c r="G25" t="s">
        <v>223</v>
      </c>
      <c r="H25" t="s">
        <v>223</v>
      </c>
      <c r="I25" s="10" t="s">
        <v>804</v>
      </c>
      <c r="J25" t="s">
        <v>246</v>
      </c>
      <c r="K25" t="s">
        <v>247</v>
      </c>
      <c r="L25" t="str">
        <f t="shared" si="1"/>
        <v>NASANDELGER ZANA</v>
      </c>
      <c r="M25" t="s">
        <v>271</v>
      </c>
      <c r="N25" s="1">
        <v>46023</v>
      </c>
      <c r="O25" s="1">
        <v>46113</v>
      </c>
      <c r="P25" s="2">
        <v>-11.74</v>
      </c>
      <c r="Q25">
        <v>1</v>
      </c>
      <c r="R25" t="s">
        <v>58</v>
      </c>
      <c r="S25" s="3">
        <v>0.7</v>
      </c>
      <c r="T25" t="s">
        <v>60</v>
      </c>
      <c r="U25" t="s">
        <v>262</v>
      </c>
      <c r="V25">
        <v>0</v>
      </c>
      <c r="W25" s="2">
        <v>0</v>
      </c>
      <c r="X25" s="2">
        <v>-8.2200000000000006</v>
      </c>
      <c r="Y25" s="2">
        <v>-8.2200000000000006</v>
      </c>
      <c r="Z25" s="2">
        <v>0</v>
      </c>
    </row>
    <row r="26" spans="1:26" x14ac:dyDescent="0.3">
      <c r="A26">
        <v>2032903420</v>
      </c>
      <c r="B26" t="s">
        <v>710</v>
      </c>
      <c r="C26" t="s">
        <v>711</v>
      </c>
      <c r="D26" t="str">
        <f t="shared" si="0"/>
        <v>SARRY YONO</v>
      </c>
      <c r="E26" t="s">
        <v>64</v>
      </c>
      <c r="F26" t="s">
        <v>222</v>
      </c>
      <c r="G26" t="s">
        <v>228</v>
      </c>
      <c r="H26" t="s">
        <v>228</v>
      </c>
      <c r="I26" s="10" t="s">
        <v>803</v>
      </c>
      <c r="J26" t="s">
        <v>276</v>
      </c>
      <c r="K26" t="s">
        <v>277</v>
      </c>
      <c r="L26" t="str">
        <f t="shared" si="1"/>
        <v>Barry Schumann</v>
      </c>
      <c r="M26" t="s">
        <v>271</v>
      </c>
      <c r="N26" s="1">
        <v>46023</v>
      </c>
      <c r="O26" s="1">
        <v>46113</v>
      </c>
      <c r="P26" s="2">
        <v>-20.56</v>
      </c>
      <c r="Q26">
        <v>1</v>
      </c>
      <c r="R26" t="s">
        <v>58</v>
      </c>
      <c r="S26" s="3">
        <v>0.42</v>
      </c>
      <c r="T26" t="s">
        <v>60</v>
      </c>
      <c r="U26" t="s">
        <v>262</v>
      </c>
      <c r="V26">
        <v>0</v>
      </c>
      <c r="W26" s="2">
        <v>0</v>
      </c>
      <c r="X26" s="2">
        <v>-8.64</v>
      </c>
      <c r="Y26" s="2">
        <v>-8.64</v>
      </c>
      <c r="Z26" s="2">
        <v>0</v>
      </c>
    </row>
    <row r="27" spans="1:26" x14ac:dyDescent="0.3">
      <c r="A27">
        <v>2032910575</v>
      </c>
      <c r="B27" t="s">
        <v>383</v>
      </c>
      <c r="C27" t="s">
        <v>384</v>
      </c>
      <c r="D27" t="str">
        <f t="shared" si="0"/>
        <v>ANTHONY SHERIDAN</v>
      </c>
      <c r="E27" t="s">
        <v>213</v>
      </c>
      <c r="F27" t="s">
        <v>222</v>
      </c>
      <c r="G27" t="s">
        <v>223</v>
      </c>
      <c r="H27" t="s">
        <v>223</v>
      </c>
      <c r="I27" s="10">
        <v>1706194</v>
      </c>
      <c r="J27" t="s">
        <v>146</v>
      </c>
      <c r="K27" t="s">
        <v>116</v>
      </c>
      <c r="L27" t="str">
        <f t="shared" si="1"/>
        <v>MATTHEW DAUGHERTY</v>
      </c>
      <c r="M27" t="s">
        <v>271</v>
      </c>
      <c r="N27" s="1">
        <v>46054</v>
      </c>
      <c r="O27" s="1">
        <v>46113</v>
      </c>
      <c r="P27" s="2">
        <v>-22.61</v>
      </c>
      <c r="Q27">
        <v>1</v>
      </c>
      <c r="R27" t="s">
        <v>58</v>
      </c>
      <c r="S27" s="3">
        <v>0.7</v>
      </c>
      <c r="T27" t="s">
        <v>60</v>
      </c>
      <c r="U27" t="s">
        <v>262</v>
      </c>
      <c r="V27">
        <v>0</v>
      </c>
      <c r="W27" s="2">
        <v>0</v>
      </c>
      <c r="X27" s="2">
        <v>-15.83</v>
      </c>
      <c r="Y27" s="2">
        <v>-15.83</v>
      </c>
      <c r="Z27" s="2">
        <v>0</v>
      </c>
    </row>
    <row r="28" spans="1:26" x14ac:dyDescent="0.3">
      <c r="A28">
        <v>2033569244</v>
      </c>
      <c r="B28" t="s">
        <v>728</v>
      </c>
      <c r="C28" t="s">
        <v>729</v>
      </c>
      <c r="D28" t="str">
        <f t="shared" si="0"/>
        <v>BETTE WATKINS</v>
      </c>
      <c r="E28" t="s">
        <v>103</v>
      </c>
      <c r="F28" t="s">
        <v>222</v>
      </c>
      <c r="G28" t="s">
        <v>224</v>
      </c>
      <c r="H28" t="s">
        <v>224</v>
      </c>
      <c r="I28" s="10" t="s">
        <v>805</v>
      </c>
      <c r="J28" t="s">
        <v>108</v>
      </c>
      <c r="K28" t="s">
        <v>109</v>
      </c>
      <c r="L28" t="str">
        <f t="shared" si="1"/>
        <v>Brittany Oliver</v>
      </c>
      <c r="M28" t="s">
        <v>271</v>
      </c>
      <c r="N28" s="1">
        <v>46081</v>
      </c>
      <c r="O28" s="1">
        <v>46109</v>
      </c>
      <c r="P28" s="2">
        <v>-23.05</v>
      </c>
      <c r="Q28">
        <v>1</v>
      </c>
      <c r="R28" t="s">
        <v>58</v>
      </c>
      <c r="S28" s="3">
        <v>0.9</v>
      </c>
      <c r="T28" t="s">
        <v>60</v>
      </c>
      <c r="U28" t="s">
        <v>262</v>
      </c>
      <c r="V28">
        <v>0</v>
      </c>
      <c r="W28" s="2">
        <v>0</v>
      </c>
      <c r="X28" s="2">
        <v>-20.74</v>
      </c>
      <c r="Y28" s="2">
        <v>-20.74</v>
      </c>
      <c r="Z28" s="2">
        <v>0</v>
      </c>
    </row>
    <row r="29" spans="1:26" x14ac:dyDescent="0.3">
      <c r="A29">
        <v>2033569245</v>
      </c>
      <c r="B29" t="s">
        <v>728</v>
      </c>
      <c r="C29" t="s">
        <v>729</v>
      </c>
      <c r="D29" t="str">
        <f t="shared" si="0"/>
        <v>BETTE WATKINS</v>
      </c>
      <c r="E29" t="s">
        <v>103</v>
      </c>
      <c r="F29" t="s">
        <v>222</v>
      </c>
      <c r="G29" t="s">
        <v>227</v>
      </c>
      <c r="H29" t="s">
        <v>590</v>
      </c>
      <c r="I29" s="10" t="s">
        <v>805</v>
      </c>
      <c r="J29" t="s">
        <v>108</v>
      </c>
      <c r="K29" t="s">
        <v>109</v>
      </c>
      <c r="L29" t="str">
        <f t="shared" si="1"/>
        <v>Brittany Oliver</v>
      </c>
      <c r="M29" t="s">
        <v>271</v>
      </c>
      <c r="N29" s="1">
        <v>46081</v>
      </c>
      <c r="O29" s="1">
        <v>46109</v>
      </c>
      <c r="P29" s="2">
        <v>-24.61</v>
      </c>
      <c r="Q29">
        <v>1</v>
      </c>
      <c r="R29" t="s">
        <v>58</v>
      </c>
      <c r="S29" s="3">
        <v>0.7</v>
      </c>
      <c r="T29" t="s">
        <v>60</v>
      </c>
      <c r="U29" t="s">
        <v>262</v>
      </c>
      <c r="V29">
        <v>0</v>
      </c>
      <c r="W29" s="2">
        <v>0</v>
      </c>
      <c r="X29" s="2">
        <v>-17.23</v>
      </c>
      <c r="Y29" s="2">
        <v>-17.23</v>
      </c>
      <c r="Z29" s="2">
        <v>0</v>
      </c>
    </row>
    <row r="30" spans="1:26" x14ac:dyDescent="0.3">
      <c r="A30">
        <v>2033900703</v>
      </c>
      <c r="B30" t="s">
        <v>419</v>
      </c>
      <c r="C30" t="s">
        <v>420</v>
      </c>
      <c r="D30" t="str">
        <f t="shared" si="0"/>
        <v>SHIONA DEROLLO</v>
      </c>
      <c r="E30" t="s">
        <v>191</v>
      </c>
      <c r="F30" t="s">
        <v>222</v>
      </c>
      <c r="G30" t="s">
        <v>223</v>
      </c>
      <c r="H30" t="s">
        <v>223</v>
      </c>
      <c r="I30" s="10">
        <v>8977234</v>
      </c>
      <c r="J30" t="s">
        <v>76</v>
      </c>
      <c r="K30" t="s">
        <v>77</v>
      </c>
      <c r="L30" t="str">
        <f t="shared" si="1"/>
        <v>RYAN CALTAGIRONE</v>
      </c>
      <c r="M30" t="s">
        <v>271</v>
      </c>
      <c r="N30" s="1">
        <v>46095</v>
      </c>
      <c r="O30" s="1">
        <v>46126</v>
      </c>
      <c r="P30" s="2">
        <v>-104.7</v>
      </c>
      <c r="Q30">
        <v>1</v>
      </c>
      <c r="R30" t="s">
        <v>58</v>
      </c>
      <c r="S30" s="3">
        <v>0.7</v>
      </c>
      <c r="T30" t="s">
        <v>60</v>
      </c>
      <c r="U30" t="s">
        <v>262</v>
      </c>
      <c r="V30">
        <v>0</v>
      </c>
      <c r="W30" s="2">
        <v>0</v>
      </c>
      <c r="X30" s="2">
        <v>-73.290000000000006</v>
      </c>
      <c r="Y30" s="2">
        <v>-73.290000000000006</v>
      </c>
      <c r="Z30" s="2">
        <v>0</v>
      </c>
    </row>
    <row r="31" spans="1:26" x14ac:dyDescent="0.3">
      <c r="A31">
        <v>2034200142</v>
      </c>
      <c r="B31" t="s">
        <v>748</v>
      </c>
      <c r="C31" t="s">
        <v>749</v>
      </c>
      <c r="D31" t="str">
        <f t="shared" si="0"/>
        <v>GANTSEGMED GOMBOPUREV</v>
      </c>
      <c r="E31" t="s">
        <v>64</v>
      </c>
      <c r="F31" t="s">
        <v>222</v>
      </c>
      <c r="G31" t="s">
        <v>223</v>
      </c>
      <c r="H31" t="s">
        <v>223</v>
      </c>
      <c r="I31" s="10">
        <v>20220688</v>
      </c>
      <c r="J31" t="s">
        <v>246</v>
      </c>
      <c r="K31" t="s">
        <v>247</v>
      </c>
      <c r="L31" t="str">
        <f t="shared" si="1"/>
        <v>NASANDELGER ZANA</v>
      </c>
      <c r="M31" t="s">
        <v>271</v>
      </c>
      <c r="N31" s="1">
        <v>46089</v>
      </c>
      <c r="O31" s="1">
        <v>46120</v>
      </c>
      <c r="P31" s="2">
        <v>-61.26</v>
      </c>
      <c r="Q31">
        <v>1</v>
      </c>
      <c r="R31" t="s">
        <v>58</v>
      </c>
      <c r="S31" s="3">
        <v>0.7</v>
      </c>
      <c r="T31" t="s">
        <v>60</v>
      </c>
      <c r="U31" t="s">
        <v>262</v>
      </c>
      <c r="V31">
        <v>0</v>
      </c>
      <c r="W31" s="2">
        <v>0</v>
      </c>
      <c r="X31" s="2">
        <v>-42.88</v>
      </c>
      <c r="Y31" s="2">
        <v>-42.88</v>
      </c>
      <c r="Z31" s="2">
        <v>0</v>
      </c>
    </row>
    <row r="32" spans="1:26" x14ac:dyDescent="0.3">
      <c r="N32" s="1"/>
      <c r="O32" s="1"/>
      <c r="P32" s="2"/>
      <c r="S32" s="3"/>
      <c r="W32" s="2"/>
      <c r="X32" s="2"/>
      <c r="Y32" s="2"/>
      <c r="Z32" s="2"/>
    </row>
    <row r="33" spans="1:26" x14ac:dyDescent="0.3">
      <c r="N33" s="1"/>
      <c r="O33" s="1"/>
      <c r="P33" s="2"/>
      <c r="S33" s="3"/>
      <c r="W33" s="2"/>
      <c r="X33" s="2"/>
      <c r="Y33" s="2"/>
      <c r="Z33" s="2"/>
    </row>
    <row r="34" spans="1:26" x14ac:dyDescent="0.3">
      <c r="N34" s="1"/>
      <c r="O34" s="1"/>
      <c r="P34" s="2"/>
      <c r="S34" s="3"/>
      <c r="W34" s="2"/>
      <c r="X34" s="2"/>
      <c r="Y34" s="2"/>
      <c r="Z34" s="2"/>
    </row>
    <row r="35" spans="1:26" x14ac:dyDescent="0.3">
      <c r="N35" s="1"/>
      <c r="O35" s="1"/>
      <c r="P35" s="2"/>
      <c r="S35" s="3"/>
      <c r="W35" s="2"/>
      <c r="X35" s="2"/>
      <c r="Y35" s="2"/>
      <c r="Z35" s="2"/>
    </row>
    <row r="36" spans="1:26" x14ac:dyDescent="0.3">
      <c r="N36" s="1"/>
      <c r="O36" s="1"/>
      <c r="P36" s="2"/>
      <c r="S36" s="3"/>
      <c r="W36" s="2"/>
      <c r="X36" s="2"/>
      <c r="Y36" s="2"/>
      <c r="Z36" s="2"/>
    </row>
    <row r="37" spans="1:26" x14ac:dyDescent="0.3">
      <c r="A37">
        <v>2025233514</v>
      </c>
      <c r="B37" t="s">
        <v>298</v>
      </c>
      <c r="C37" t="s">
        <v>299</v>
      </c>
      <c r="F37" t="s">
        <v>65</v>
      </c>
      <c r="G37" t="s">
        <v>71</v>
      </c>
      <c r="I37">
        <v>649163</v>
      </c>
      <c r="J37" t="s">
        <v>185</v>
      </c>
      <c r="K37" t="s">
        <v>186</v>
      </c>
      <c r="M37" t="s">
        <v>271</v>
      </c>
      <c r="N37" s="1">
        <v>45586</v>
      </c>
      <c r="P37" s="2">
        <v>0</v>
      </c>
      <c r="W37" s="2">
        <v>0</v>
      </c>
      <c r="X37" s="2">
        <v>0</v>
      </c>
      <c r="Y37" s="2">
        <v>0</v>
      </c>
      <c r="Z37" s="2">
        <v>0</v>
      </c>
    </row>
    <row r="38" spans="1:26" x14ac:dyDescent="0.3">
      <c r="A38">
        <v>2025233515</v>
      </c>
      <c r="B38" t="s">
        <v>298</v>
      </c>
      <c r="C38" t="s">
        <v>299</v>
      </c>
      <c r="F38" t="s">
        <v>163</v>
      </c>
      <c r="G38" t="s">
        <v>164</v>
      </c>
      <c r="I38">
        <v>649163</v>
      </c>
      <c r="J38" t="s">
        <v>185</v>
      </c>
      <c r="K38" t="s">
        <v>186</v>
      </c>
      <c r="M38" t="s">
        <v>271</v>
      </c>
      <c r="N38" s="1">
        <v>45586</v>
      </c>
      <c r="P38" s="2">
        <v>0</v>
      </c>
      <c r="W38" s="2">
        <v>0</v>
      </c>
      <c r="X38" s="2">
        <v>0</v>
      </c>
      <c r="Y38" s="2">
        <v>0</v>
      </c>
      <c r="Z38" s="2">
        <v>0</v>
      </c>
    </row>
    <row r="39" spans="1:26" x14ac:dyDescent="0.3">
      <c r="A39">
        <v>2025233513</v>
      </c>
      <c r="B39" t="s">
        <v>298</v>
      </c>
      <c r="C39" t="s">
        <v>299</v>
      </c>
      <c r="F39" t="s">
        <v>222</v>
      </c>
      <c r="G39" t="s">
        <v>223</v>
      </c>
      <c r="I39">
        <v>649163</v>
      </c>
      <c r="J39" t="s">
        <v>185</v>
      </c>
      <c r="K39" t="s">
        <v>186</v>
      </c>
      <c r="M39" t="s">
        <v>271</v>
      </c>
      <c r="N39" s="1">
        <v>45586</v>
      </c>
      <c r="P39" s="2">
        <v>0</v>
      </c>
      <c r="W39" s="2">
        <v>0</v>
      </c>
      <c r="X39" s="2">
        <v>0</v>
      </c>
      <c r="Y39" s="2">
        <v>0</v>
      </c>
      <c r="Z39" s="2">
        <v>0</v>
      </c>
    </row>
    <row r="40" spans="1:26" x14ac:dyDescent="0.3">
      <c r="A40">
        <v>2026213329</v>
      </c>
      <c r="B40" t="s">
        <v>779</v>
      </c>
      <c r="C40" t="s">
        <v>780</v>
      </c>
      <c r="F40" t="s">
        <v>157</v>
      </c>
      <c r="G40" t="s">
        <v>158</v>
      </c>
      <c r="I40">
        <v>756418</v>
      </c>
      <c r="J40" t="s">
        <v>433</v>
      </c>
      <c r="K40" t="s">
        <v>434</v>
      </c>
      <c r="M40" t="s">
        <v>271</v>
      </c>
      <c r="N40" s="1">
        <v>45644</v>
      </c>
      <c r="P40" s="2">
        <v>0</v>
      </c>
      <c r="W40" s="2">
        <v>0</v>
      </c>
      <c r="X40" s="2">
        <v>0</v>
      </c>
      <c r="Y40" s="2">
        <v>0</v>
      </c>
      <c r="Z40" s="2">
        <v>0</v>
      </c>
    </row>
    <row r="41" spans="1:26" x14ac:dyDescent="0.3">
      <c r="A41">
        <v>2026084250</v>
      </c>
      <c r="B41" t="s">
        <v>607</v>
      </c>
      <c r="C41" t="s">
        <v>608</v>
      </c>
      <c r="F41" t="s">
        <v>222</v>
      </c>
      <c r="G41" t="s">
        <v>223</v>
      </c>
      <c r="I41">
        <v>649163</v>
      </c>
      <c r="J41" t="s">
        <v>146</v>
      </c>
      <c r="K41" t="s">
        <v>116</v>
      </c>
      <c r="M41" t="s">
        <v>271</v>
      </c>
      <c r="N41" s="1">
        <v>45658</v>
      </c>
      <c r="P41" s="2">
        <v>0</v>
      </c>
      <c r="W41" s="2">
        <v>0</v>
      </c>
      <c r="X41" s="2">
        <v>0</v>
      </c>
      <c r="Y41" s="2">
        <v>0</v>
      </c>
      <c r="Z41" s="2">
        <v>0</v>
      </c>
    </row>
    <row r="42" spans="1:26" x14ac:dyDescent="0.3">
      <c r="A42">
        <v>2026213327</v>
      </c>
      <c r="B42" t="s">
        <v>779</v>
      </c>
      <c r="C42" t="s">
        <v>780</v>
      </c>
      <c r="F42" t="s">
        <v>220</v>
      </c>
      <c r="G42" t="s">
        <v>221</v>
      </c>
      <c r="I42">
        <v>756418</v>
      </c>
      <c r="J42" t="s">
        <v>433</v>
      </c>
      <c r="K42" t="s">
        <v>434</v>
      </c>
      <c r="M42" t="s">
        <v>271</v>
      </c>
      <c r="N42" s="1">
        <v>45644</v>
      </c>
      <c r="P42" s="2">
        <v>0</v>
      </c>
      <c r="W42" s="2">
        <v>0</v>
      </c>
      <c r="X42" s="2">
        <v>0</v>
      </c>
      <c r="Y42" s="2">
        <v>0</v>
      </c>
      <c r="Z42" s="2">
        <v>0</v>
      </c>
    </row>
    <row r="43" spans="1:26" x14ac:dyDescent="0.3">
      <c r="A43">
        <v>2026213328</v>
      </c>
      <c r="B43" t="s">
        <v>779</v>
      </c>
      <c r="C43" t="s">
        <v>780</v>
      </c>
      <c r="F43" t="s">
        <v>222</v>
      </c>
      <c r="G43" t="s">
        <v>223</v>
      </c>
      <c r="I43">
        <v>756418</v>
      </c>
      <c r="J43" t="s">
        <v>433</v>
      </c>
      <c r="K43" t="s">
        <v>434</v>
      </c>
      <c r="M43" t="s">
        <v>271</v>
      </c>
      <c r="N43" s="1">
        <v>45644</v>
      </c>
      <c r="P43" s="2">
        <v>0</v>
      </c>
      <c r="W43" s="2">
        <v>0</v>
      </c>
      <c r="X43" s="2">
        <v>0</v>
      </c>
      <c r="Y43" s="2">
        <v>0</v>
      </c>
      <c r="Z43" s="2">
        <v>0</v>
      </c>
    </row>
    <row r="44" spans="1:26" x14ac:dyDescent="0.3">
      <c r="A44">
        <v>2026213326</v>
      </c>
      <c r="B44" t="s">
        <v>779</v>
      </c>
      <c r="C44" t="s">
        <v>780</v>
      </c>
      <c r="F44" t="s">
        <v>163</v>
      </c>
      <c r="G44" t="s">
        <v>164</v>
      </c>
      <c r="I44">
        <v>756418</v>
      </c>
      <c r="J44" t="s">
        <v>433</v>
      </c>
      <c r="K44" t="s">
        <v>434</v>
      </c>
      <c r="M44" t="s">
        <v>271</v>
      </c>
      <c r="N44" s="1">
        <v>45644</v>
      </c>
      <c r="P44" s="2">
        <v>0</v>
      </c>
      <c r="W44" s="2">
        <v>0</v>
      </c>
      <c r="X44" s="2">
        <v>0</v>
      </c>
      <c r="Y44" s="2">
        <v>0</v>
      </c>
      <c r="Z44" s="2">
        <v>0</v>
      </c>
    </row>
    <row r="45" spans="1:26" x14ac:dyDescent="0.3">
      <c r="A45">
        <v>2026245239</v>
      </c>
      <c r="B45" t="s">
        <v>267</v>
      </c>
      <c r="C45" t="s">
        <v>268</v>
      </c>
      <c r="F45" t="s">
        <v>53</v>
      </c>
      <c r="G45" t="s">
        <v>54</v>
      </c>
      <c r="I45">
        <v>649163</v>
      </c>
      <c r="J45" t="s">
        <v>269</v>
      </c>
      <c r="K45" t="s">
        <v>270</v>
      </c>
      <c r="M45" t="s">
        <v>271</v>
      </c>
      <c r="N45" s="1">
        <v>45658</v>
      </c>
      <c r="P45" s="2">
        <v>0</v>
      </c>
      <c r="W45" s="2">
        <v>0</v>
      </c>
      <c r="X45" s="2">
        <v>0</v>
      </c>
      <c r="Y45" s="2">
        <v>0</v>
      </c>
      <c r="Z45" s="2">
        <v>0</v>
      </c>
    </row>
    <row r="46" spans="1:26" x14ac:dyDescent="0.3">
      <c r="A46">
        <v>2026848316</v>
      </c>
      <c r="B46" t="s">
        <v>616</v>
      </c>
      <c r="C46" t="s">
        <v>377</v>
      </c>
      <c r="F46" t="s">
        <v>222</v>
      </c>
      <c r="G46" t="s">
        <v>223</v>
      </c>
      <c r="I46">
        <v>649163</v>
      </c>
      <c r="J46" t="s">
        <v>76</v>
      </c>
      <c r="K46" t="s">
        <v>77</v>
      </c>
      <c r="M46" t="s">
        <v>271</v>
      </c>
      <c r="N46" s="1">
        <v>45717</v>
      </c>
      <c r="P46" s="2">
        <v>0</v>
      </c>
      <c r="W46" s="2">
        <v>0</v>
      </c>
      <c r="X46" s="2">
        <v>0</v>
      </c>
      <c r="Y46" s="2">
        <v>0</v>
      </c>
      <c r="Z46" s="2">
        <v>0</v>
      </c>
    </row>
    <row r="47" spans="1:26" x14ac:dyDescent="0.3">
      <c r="A47">
        <v>2026848317</v>
      </c>
      <c r="B47" t="s">
        <v>616</v>
      </c>
      <c r="C47" t="s">
        <v>377</v>
      </c>
      <c r="F47" t="s">
        <v>222</v>
      </c>
      <c r="G47" t="s">
        <v>590</v>
      </c>
      <c r="I47">
        <v>649163</v>
      </c>
      <c r="J47" t="s">
        <v>76</v>
      </c>
      <c r="K47" t="s">
        <v>77</v>
      </c>
      <c r="M47" t="s">
        <v>271</v>
      </c>
      <c r="N47" s="1">
        <v>45717</v>
      </c>
      <c r="P47" s="2">
        <v>0</v>
      </c>
      <c r="W47" s="2">
        <v>0</v>
      </c>
      <c r="X47" s="2">
        <v>0</v>
      </c>
      <c r="Y47" s="2">
        <v>0</v>
      </c>
      <c r="Z47" s="2">
        <v>0</v>
      </c>
    </row>
    <row r="48" spans="1:26" x14ac:dyDescent="0.3">
      <c r="A48">
        <v>2028582349</v>
      </c>
      <c r="B48" t="s">
        <v>629</v>
      </c>
      <c r="C48" t="s">
        <v>630</v>
      </c>
      <c r="F48" t="s">
        <v>222</v>
      </c>
      <c r="G48" t="s">
        <v>223</v>
      </c>
      <c r="I48">
        <v>649163</v>
      </c>
      <c r="J48" t="s">
        <v>276</v>
      </c>
      <c r="K48" t="s">
        <v>277</v>
      </c>
      <c r="M48" t="s">
        <v>271</v>
      </c>
      <c r="N48" s="1">
        <v>45784</v>
      </c>
      <c r="P48" s="2">
        <v>0</v>
      </c>
      <c r="W48" s="2">
        <v>0</v>
      </c>
      <c r="X48" s="2">
        <v>0</v>
      </c>
      <c r="Y48" s="2">
        <v>0</v>
      </c>
      <c r="Z48" s="2">
        <v>0</v>
      </c>
    </row>
    <row r="49" spans="1:26" x14ac:dyDescent="0.3">
      <c r="A49">
        <v>2028859180</v>
      </c>
      <c r="B49" t="s">
        <v>325</v>
      </c>
      <c r="C49" t="s">
        <v>326</v>
      </c>
      <c r="F49" t="s">
        <v>65</v>
      </c>
      <c r="G49" t="s">
        <v>71</v>
      </c>
      <c r="I49">
        <v>649163</v>
      </c>
      <c r="J49" t="s">
        <v>96</v>
      </c>
      <c r="K49" t="s">
        <v>97</v>
      </c>
      <c r="M49" t="s">
        <v>271</v>
      </c>
      <c r="N49" s="1">
        <v>45815</v>
      </c>
      <c r="P49" s="2">
        <v>0</v>
      </c>
      <c r="W49" s="2">
        <v>311.42</v>
      </c>
      <c r="X49" s="2">
        <v>311.42</v>
      </c>
      <c r="Y49" s="2">
        <v>0</v>
      </c>
      <c r="Z49" s="2">
        <v>0</v>
      </c>
    </row>
    <row r="50" spans="1:26" x14ac:dyDescent="0.3">
      <c r="A50">
        <v>2029285746</v>
      </c>
      <c r="B50" t="s">
        <v>331</v>
      </c>
      <c r="C50" t="s">
        <v>219</v>
      </c>
      <c r="F50" t="s">
        <v>65</v>
      </c>
      <c r="G50" t="s">
        <v>81</v>
      </c>
      <c r="I50">
        <v>649163</v>
      </c>
      <c r="J50" t="s">
        <v>76</v>
      </c>
      <c r="K50" t="s">
        <v>77</v>
      </c>
      <c r="M50" t="s">
        <v>271</v>
      </c>
      <c r="N50" s="1">
        <v>45839</v>
      </c>
      <c r="P50" s="2">
        <v>0</v>
      </c>
      <c r="W50" s="2">
        <v>296.45999999999998</v>
      </c>
      <c r="X50" s="2">
        <v>296.45999999999998</v>
      </c>
      <c r="Y50" s="2">
        <v>0</v>
      </c>
      <c r="Z50" s="2">
        <v>0</v>
      </c>
    </row>
    <row r="51" spans="1:26" x14ac:dyDescent="0.3">
      <c r="A51">
        <v>2029285747</v>
      </c>
      <c r="B51" t="s">
        <v>331</v>
      </c>
      <c r="C51" t="s">
        <v>219</v>
      </c>
      <c r="F51" t="s">
        <v>222</v>
      </c>
      <c r="G51" t="s">
        <v>223</v>
      </c>
      <c r="I51">
        <v>649163</v>
      </c>
      <c r="J51" t="s">
        <v>76</v>
      </c>
      <c r="K51" t="s">
        <v>77</v>
      </c>
      <c r="M51" t="s">
        <v>271</v>
      </c>
      <c r="N51" s="1">
        <v>45839</v>
      </c>
      <c r="P51" s="2">
        <v>0</v>
      </c>
      <c r="W51" s="2">
        <v>317.89999999999998</v>
      </c>
      <c r="X51" s="2">
        <v>317.89999999999998</v>
      </c>
      <c r="Y51" s="2">
        <v>0</v>
      </c>
      <c r="Z51" s="2">
        <v>0</v>
      </c>
    </row>
    <row r="52" spans="1:26" x14ac:dyDescent="0.3">
      <c r="A52">
        <v>2029285748</v>
      </c>
      <c r="B52" t="s">
        <v>331</v>
      </c>
      <c r="C52" t="s">
        <v>219</v>
      </c>
      <c r="F52" t="s">
        <v>163</v>
      </c>
      <c r="G52" t="s">
        <v>164</v>
      </c>
      <c r="I52">
        <v>649163</v>
      </c>
      <c r="J52" t="s">
        <v>76</v>
      </c>
      <c r="K52" t="s">
        <v>77</v>
      </c>
      <c r="M52" t="s">
        <v>271</v>
      </c>
      <c r="N52" s="1">
        <v>45839</v>
      </c>
      <c r="P52" s="2">
        <v>0</v>
      </c>
      <c r="W52" s="2">
        <v>36.07</v>
      </c>
      <c r="X52" s="2">
        <v>36.07</v>
      </c>
      <c r="Y52" s="2">
        <v>0</v>
      </c>
      <c r="Z52" s="2">
        <v>0</v>
      </c>
    </row>
    <row r="53" spans="1:26" x14ac:dyDescent="0.3">
      <c r="A53">
        <v>2030008353</v>
      </c>
      <c r="B53" t="s">
        <v>781</v>
      </c>
      <c r="C53" t="s">
        <v>664</v>
      </c>
      <c r="F53" t="s">
        <v>222</v>
      </c>
      <c r="G53" t="s">
        <v>223</v>
      </c>
      <c r="I53">
        <v>673059</v>
      </c>
      <c r="J53" t="s">
        <v>76</v>
      </c>
      <c r="K53" t="s">
        <v>77</v>
      </c>
      <c r="M53" t="s">
        <v>271</v>
      </c>
      <c r="N53" s="1">
        <v>45856</v>
      </c>
      <c r="P53" s="2">
        <v>0</v>
      </c>
      <c r="W53" s="2">
        <v>131.38</v>
      </c>
      <c r="X53" s="2">
        <v>131.38</v>
      </c>
      <c r="Y53" s="2">
        <v>0</v>
      </c>
      <c r="Z53" s="2">
        <v>0</v>
      </c>
    </row>
    <row r="54" spans="1:26" x14ac:dyDescent="0.3">
      <c r="A54">
        <v>2030017882</v>
      </c>
      <c r="B54" t="s">
        <v>782</v>
      </c>
      <c r="C54" t="s">
        <v>783</v>
      </c>
      <c r="F54" t="s">
        <v>222</v>
      </c>
      <c r="G54" t="s">
        <v>223</v>
      </c>
      <c r="I54">
        <v>839554</v>
      </c>
      <c r="J54" t="s">
        <v>654</v>
      </c>
      <c r="K54" t="s">
        <v>655</v>
      </c>
      <c r="M54" t="s">
        <v>271</v>
      </c>
      <c r="N54" s="1">
        <v>45856</v>
      </c>
      <c r="P54" s="2">
        <v>0</v>
      </c>
      <c r="W54" s="2">
        <v>237.3</v>
      </c>
      <c r="X54" s="2">
        <v>237.3</v>
      </c>
      <c r="Y54" s="2">
        <v>0</v>
      </c>
      <c r="Z54" s="2">
        <v>0</v>
      </c>
    </row>
    <row r="55" spans="1:26" x14ac:dyDescent="0.3">
      <c r="A55">
        <v>2030055437</v>
      </c>
      <c r="B55" t="s">
        <v>647</v>
      </c>
      <c r="C55" t="s">
        <v>648</v>
      </c>
      <c r="F55" t="s">
        <v>222</v>
      </c>
      <c r="G55" t="s">
        <v>223</v>
      </c>
      <c r="I55">
        <v>649163</v>
      </c>
      <c r="J55" t="s">
        <v>246</v>
      </c>
      <c r="K55" t="s">
        <v>247</v>
      </c>
      <c r="M55" t="s">
        <v>271</v>
      </c>
      <c r="N55" s="1">
        <v>45859</v>
      </c>
      <c r="P55" s="2">
        <v>0</v>
      </c>
      <c r="W55" s="2">
        <v>135.24</v>
      </c>
      <c r="X55" s="2">
        <v>135.24</v>
      </c>
      <c r="Y55" s="2">
        <v>0</v>
      </c>
      <c r="Z55" s="2">
        <v>0</v>
      </c>
    </row>
    <row r="56" spans="1:26" x14ac:dyDescent="0.3">
      <c r="A56">
        <v>2030008352</v>
      </c>
      <c r="B56" t="s">
        <v>781</v>
      </c>
      <c r="C56" t="s">
        <v>664</v>
      </c>
      <c r="F56" t="s">
        <v>65</v>
      </c>
      <c r="G56" t="s">
        <v>66</v>
      </c>
      <c r="I56">
        <v>673059</v>
      </c>
      <c r="J56" t="s">
        <v>76</v>
      </c>
      <c r="K56" t="s">
        <v>77</v>
      </c>
      <c r="M56" t="s">
        <v>271</v>
      </c>
      <c r="N56" s="1">
        <v>45856</v>
      </c>
      <c r="P56" s="2">
        <v>0</v>
      </c>
      <c r="W56" s="2">
        <v>300.29000000000002</v>
      </c>
      <c r="X56" s="2">
        <v>300.29000000000002</v>
      </c>
      <c r="Y56" s="2">
        <v>0</v>
      </c>
      <c r="Z56" s="2">
        <v>0</v>
      </c>
    </row>
    <row r="57" spans="1:26" x14ac:dyDescent="0.3">
      <c r="N57" s="1"/>
      <c r="P57" s="2"/>
      <c r="W57" s="2"/>
      <c r="X57" s="2"/>
      <c r="Y57" s="2"/>
      <c r="Z57" s="2"/>
    </row>
    <row r="58" spans="1:26" x14ac:dyDescent="0.3">
      <c r="N58" s="1"/>
      <c r="P58" s="2"/>
      <c r="W58" s="2"/>
      <c r="X58" s="2"/>
      <c r="Y58" s="2"/>
      <c r="Z58" s="2"/>
    </row>
    <row r="59" spans="1:26" x14ac:dyDescent="0.3">
      <c r="N59" s="1"/>
      <c r="P59" s="2"/>
      <c r="W59" s="2"/>
      <c r="X59" s="2"/>
      <c r="Y59" s="2"/>
      <c r="Z59" s="2"/>
    </row>
    <row r="60" spans="1:26" x14ac:dyDescent="0.3">
      <c r="A60">
        <v>2032779505</v>
      </c>
      <c r="B60" t="s">
        <v>788</v>
      </c>
      <c r="C60" t="s">
        <v>789</v>
      </c>
      <c r="F60" t="s">
        <v>163</v>
      </c>
      <c r="G60" t="s">
        <v>164</v>
      </c>
      <c r="I60">
        <v>806645</v>
      </c>
      <c r="J60" t="s">
        <v>553</v>
      </c>
      <c r="K60" t="s">
        <v>554</v>
      </c>
      <c r="M60" t="s">
        <v>271</v>
      </c>
      <c r="N60" s="1">
        <v>46011</v>
      </c>
      <c r="P60" s="2">
        <v>0</v>
      </c>
      <c r="W60" s="2">
        <v>142.56</v>
      </c>
      <c r="X60" s="2">
        <v>71.28</v>
      </c>
      <c r="Y60" s="2">
        <v>-71.28</v>
      </c>
      <c r="Z60" s="2">
        <v>-71.28</v>
      </c>
    </row>
    <row r="61" spans="1:26" x14ac:dyDescent="0.3">
      <c r="A61">
        <v>2033900703</v>
      </c>
      <c r="B61" t="s">
        <v>419</v>
      </c>
      <c r="C61" t="s">
        <v>420</v>
      </c>
      <c r="F61" t="s">
        <v>222</v>
      </c>
      <c r="G61" t="s">
        <v>223</v>
      </c>
      <c r="I61">
        <v>649163</v>
      </c>
      <c r="J61" t="s">
        <v>76</v>
      </c>
      <c r="K61" t="s">
        <v>77</v>
      </c>
      <c r="M61" t="s">
        <v>271</v>
      </c>
      <c r="N61" s="1">
        <v>46095</v>
      </c>
      <c r="P61" s="2">
        <v>0</v>
      </c>
      <c r="W61" s="2">
        <v>439.74</v>
      </c>
      <c r="X61" s="2">
        <v>73.290000000000006</v>
      </c>
      <c r="Y61" s="2">
        <v>-366.45</v>
      </c>
      <c r="Z61" s="2">
        <v>-366.45</v>
      </c>
    </row>
    <row r="62" spans="1:26" x14ac:dyDescent="0.3">
      <c r="A62">
        <v>2033900704</v>
      </c>
      <c r="B62" t="s">
        <v>419</v>
      </c>
      <c r="C62" t="s">
        <v>420</v>
      </c>
      <c r="F62" t="s">
        <v>65</v>
      </c>
      <c r="G62" t="s">
        <v>66</v>
      </c>
      <c r="I62">
        <v>649163</v>
      </c>
      <c r="J62" t="s">
        <v>76</v>
      </c>
      <c r="K62" t="s">
        <v>77</v>
      </c>
      <c r="M62" t="s">
        <v>271</v>
      </c>
      <c r="N62" s="1">
        <v>46095</v>
      </c>
      <c r="P62" s="2">
        <v>0</v>
      </c>
      <c r="W62" s="2">
        <v>186.24</v>
      </c>
      <c r="X62" s="2">
        <v>31.04</v>
      </c>
      <c r="Y62" s="2">
        <v>-155.19999999999999</v>
      </c>
      <c r="Z62" s="2">
        <v>-155.19999999999999</v>
      </c>
    </row>
    <row r="63" spans="1:26" x14ac:dyDescent="0.3">
      <c r="A63">
        <v>2033900705</v>
      </c>
      <c r="B63" t="s">
        <v>419</v>
      </c>
      <c r="C63" t="s">
        <v>420</v>
      </c>
      <c r="F63" t="s">
        <v>163</v>
      </c>
      <c r="G63" t="s">
        <v>164</v>
      </c>
      <c r="I63">
        <v>649163</v>
      </c>
      <c r="J63" t="s">
        <v>76</v>
      </c>
      <c r="K63" t="s">
        <v>77</v>
      </c>
      <c r="M63" t="s">
        <v>271</v>
      </c>
      <c r="N63" s="1">
        <v>46095</v>
      </c>
      <c r="P63" s="2">
        <v>0</v>
      </c>
      <c r="W63" s="2">
        <v>179.94</v>
      </c>
      <c r="X63" s="2">
        <v>29.99</v>
      </c>
      <c r="Y63" s="2">
        <v>-149.94999999999999</v>
      </c>
      <c r="Z63" s="2">
        <v>-149.94999999999999</v>
      </c>
    </row>
    <row r="64" spans="1:26" x14ac:dyDescent="0.3">
      <c r="A64">
        <v>2031757551</v>
      </c>
      <c r="B64" t="s">
        <v>670</v>
      </c>
      <c r="C64" t="s">
        <v>658</v>
      </c>
      <c r="F64" t="s">
        <v>222</v>
      </c>
      <c r="G64" t="s">
        <v>223</v>
      </c>
      <c r="I64">
        <v>649163</v>
      </c>
      <c r="J64" t="s">
        <v>146</v>
      </c>
      <c r="K64" t="s">
        <v>116</v>
      </c>
      <c r="M64" t="s">
        <v>271</v>
      </c>
      <c r="N64" s="1">
        <v>45962</v>
      </c>
      <c r="P64" s="2">
        <v>0</v>
      </c>
      <c r="W64" s="2">
        <v>621.66</v>
      </c>
      <c r="X64" s="2">
        <v>518.04999999999995</v>
      </c>
      <c r="Y64" s="2">
        <v>-103.61</v>
      </c>
      <c r="Z64" s="2">
        <v>-103.61</v>
      </c>
    </row>
    <row r="65" spans="1:26" x14ac:dyDescent="0.3">
      <c r="A65">
        <v>2032667519</v>
      </c>
      <c r="B65" t="s">
        <v>791</v>
      </c>
      <c r="C65" t="s">
        <v>200</v>
      </c>
      <c r="F65" t="s">
        <v>65</v>
      </c>
      <c r="G65" t="s">
        <v>71</v>
      </c>
      <c r="I65">
        <v>753748</v>
      </c>
      <c r="J65" t="s">
        <v>146</v>
      </c>
      <c r="K65" t="s">
        <v>116</v>
      </c>
      <c r="M65" t="s">
        <v>271</v>
      </c>
      <c r="N65" s="1">
        <v>46023</v>
      </c>
      <c r="P65" s="2">
        <v>0</v>
      </c>
      <c r="W65" s="2">
        <v>817.38</v>
      </c>
      <c r="X65" s="2">
        <v>408.69</v>
      </c>
      <c r="Y65" s="2">
        <v>-408.69</v>
      </c>
      <c r="Z65" s="2">
        <v>-408.69</v>
      </c>
    </row>
    <row r="66" spans="1:26" x14ac:dyDescent="0.3">
      <c r="A66">
        <v>2032667520</v>
      </c>
      <c r="B66" t="s">
        <v>791</v>
      </c>
      <c r="C66" t="s">
        <v>200</v>
      </c>
      <c r="F66" t="s">
        <v>222</v>
      </c>
      <c r="G66" t="s">
        <v>223</v>
      </c>
      <c r="I66">
        <v>753748</v>
      </c>
      <c r="J66" t="s">
        <v>146</v>
      </c>
      <c r="K66" t="s">
        <v>116</v>
      </c>
      <c r="M66" t="s">
        <v>271</v>
      </c>
      <c r="N66" s="1">
        <v>46023</v>
      </c>
      <c r="P66" s="2">
        <v>0</v>
      </c>
      <c r="W66" s="2">
        <v>601.20000000000005</v>
      </c>
      <c r="X66" s="2">
        <v>300.60000000000002</v>
      </c>
      <c r="Y66" s="2">
        <v>-300.60000000000002</v>
      </c>
      <c r="Z66" s="2">
        <v>-300.60000000000002</v>
      </c>
    </row>
    <row r="67" spans="1:26" x14ac:dyDescent="0.3">
      <c r="A67">
        <v>2032910575</v>
      </c>
      <c r="B67" t="s">
        <v>383</v>
      </c>
      <c r="C67" t="s">
        <v>384</v>
      </c>
      <c r="F67" t="s">
        <v>222</v>
      </c>
      <c r="G67" t="s">
        <v>223</v>
      </c>
      <c r="I67">
        <v>649163</v>
      </c>
      <c r="J67" t="s">
        <v>146</v>
      </c>
      <c r="K67" t="s">
        <v>116</v>
      </c>
      <c r="M67" t="s">
        <v>271</v>
      </c>
      <c r="N67" s="1">
        <v>46054</v>
      </c>
      <c r="P67" s="2">
        <v>0</v>
      </c>
      <c r="W67" s="2">
        <v>196.2</v>
      </c>
      <c r="X67" s="2">
        <v>65.400000000000006</v>
      </c>
      <c r="Y67" s="2">
        <v>-130.80000000000001</v>
      </c>
      <c r="Z67" s="2">
        <v>-130.80000000000001</v>
      </c>
    </row>
    <row r="68" spans="1:26" x14ac:dyDescent="0.3">
      <c r="A68">
        <v>2032910576</v>
      </c>
      <c r="B68" t="s">
        <v>383</v>
      </c>
      <c r="C68" t="s">
        <v>384</v>
      </c>
      <c r="F68" t="s">
        <v>65</v>
      </c>
      <c r="G68" t="s">
        <v>66</v>
      </c>
      <c r="I68">
        <v>649163</v>
      </c>
      <c r="J68" t="s">
        <v>146</v>
      </c>
      <c r="K68" t="s">
        <v>116</v>
      </c>
      <c r="M68" t="s">
        <v>271</v>
      </c>
      <c r="N68" s="1">
        <v>46054</v>
      </c>
      <c r="P68" s="2">
        <v>0</v>
      </c>
      <c r="W68" s="2">
        <v>664.8</v>
      </c>
      <c r="X68" s="2">
        <v>221.6</v>
      </c>
      <c r="Y68" s="2">
        <v>-443.2</v>
      </c>
      <c r="Z68" s="2">
        <v>-443.2</v>
      </c>
    </row>
    <row r="69" spans="1:26" x14ac:dyDescent="0.3">
      <c r="A69">
        <v>2032910577</v>
      </c>
      <c r="B69" t="s">
        <v>383</v>
      </c>
      <c r="C69" t="s">
        <v>384</v>
      </c>
      <c r="F69" t="s">
        <v>163</v>
      </c>
      <c r="G69" t="s">
        <v>164</v>
      </c>
      <c r="I69">
        <v>649163</v>
      </c>
      <c r="J69" t="s">
        <v>146</v>
      </c>
      <c r="K69" t="s">
        <v>116</v>
      </c>
      <c r="M69" t="s">
        <v>271</v>
      </c>
      <c r="N69" s="1">
        <v>46054</v>
      </c>
      <c r="P69" s="2">
        <v>0</v>
      </c>
      <c r="W69" s="2">
        <v>176.94</v>
      </c>
      <c r="X69" s="2">
        <v>58.98</v>
      </c>
      <c r="Y69" s="2">
        <v>-117.96</v>
      </c>
      <c r="Z69" s="2">
        <v>-117.96</v>
      </c>
    </row>
    <row r="70" spans="1:26" x14ac:dyDescent="0.3">
      <c r="A70">
        <v>2032581666</v>
      </c>
      <c r="B70" t="s">
        <v>461</v>
      </c>
      <c r="C70" t="s">
        <v>321</v>
      </c>
      <c r="F70" t="s">
        <v>163</v>
      </c>
      <c r="G70" t="s">
        <v>164</v>
      </c>
      <c r="I70">
        <v>649163</v>
      </c>
      <c r="J70" t="s">
        <v>87</v>
      </c>
      <c r="K70" t="s">
        <v>88</v>
      </c>
      <c r="M70" t="s">
        <v>271</v>
      </c>
      <c r="N70" s="1">
        <v>46023</v>
      </c>
      <c r="P70" s="2">
        <v>0</v>
      </c>
      <c r="W70" s="2">
        <v>143.4</v>
      </c>
      <c r="X70" s="2">
        <v>71.7</v>
      </c>
      <c r="Y70" s="2">
        <v>-71.7</v>
      </c>
      <c r="Z70" s="2">
        <v>-71.7</v>
      </c>
    </row>
    <row r="71" spans="1:26" x14ac:dyDescent="0.3">
      <c r="A71">
        <v>2032581667</v>
      </c>
      <c r="B71" t="s">
        <v>461</v>
      </c>
      <c r="C71" t="s">
        <v>321</v>
      </c>
      <c r="F71" t="s">
        <v>220</v>
      </c>
      <c r="G71" t="s">
        <v>568</v>
      </c>
      <c r="I71">
        <v>649163</v>
      </c>
      <c r="J71" t="s">
        <v>87</v>
      </c>
      <c r="K71" t="s">
        <v>88</v>
      </c>
      <c r="M71" t="s">
        <v>271</v>
      </c>
      <c r="N71" s="1">
        <v>46023</v>
      </c>
      <c r="P71" s="2">
        <v>0</v>
      </c>
      <c r="W71" s="2">
        <v>496.02</v>
      </c>
      <c r="X71" s="2">
        <v>248.01</v>
      </c>
      <c r="Y71" s="2">
        <v>-248.01</v>
      </c>
      <c r="Z71" s="2">
        <v>-248.01</v>
      </c>
    </row>
    <row r="72" spans="1:26" x14ac:dyDescent="0.3">
      <c r="A72">
        <v>2032581668</v>
      </c>
      <c r="B72" t="s">
        <v>461</v>
      </c>
      <c r="C72" t="s">
        <v>321</v>
      </c>
      <c r="F72" t="s">
        <v>157</v>
      </c>
      <c r="G72" t="s">
        <v>437</v>
      </c>
      <c r="I72">
        <v>649163</v>
      </c>
      <c r="J72" t="s">
        <v>87</v>
      </c>
      <c r="K72" t="s">
        <v>88</v>
      </c>
      <c r="M72" t="s">
        <v>271</v>
      </c>
      <c r="N72" s="1">
        <v>46023</v>
      </c>
      <c r="P72" s="2">
        <v>0</v>
      </c>
      <c r="W72" s="2">
        <v>34.200000000000003</v>
      </c>
      <c r="X72" s="2">
        <v>17.100000000000001</v>
      </c>
      <c r="Y72" s="2">
        <v>-17.100000000000001</v>
      </c>
      <c r="Z72" s="2">
        <v>-17.100000000000001</v>
      </c>
    </row>
    <row r="73" spans="1:26" s="6" customFormat="1" x14ac:dyDescent="0.3">
      <c r="A73" s="6">
        <v>2033569244</v>
      </c>
      <c r="B73" s="6" t="s">
        <v>728</v>
      </c>
      <c r="C73" s="6" t="s">
        <v>729</v>
      </c>
      <c r="F73" s="6" t="s">
        <v>222</v>
      </c>
      <c r="G73" s="6" t="s">
        <v>224</v>
      </c>
      <c r="I73" s="6">
        <v>649163</v>
      </c>
      <c r="J73" s="6" t="s">
        <v>108</v>
      </c>
      <c r="K73" s="6" t="s">
        <v>109</v>
      </c>
      <c r="M73" s="6" t="s">
        <v>271</v>
      </c>
      <c r="N73" s="7">
        <v>46081</v>
      </c>
      <c r="P73" s="8">
        <v>0</v>
      </c>
      <c r="V73" s="6">
        <v>1</v>
      </c>
      <c r="W73" s="8">
        <v>124.44</v>
      </c>
      <c r="X73" s="8">
        <v>20.74</v>
      </c>
      <c r="Y73" s="8">
        <v>-103.7</v>
      </c>
      <c r="Z73" s="8">
        <v>-103.7</v>
      </c>
    </row>
    <row r="74" spans="1:26" s="6" customFormat="1" x14ac:dyDescent="0.3">
      <c r="A74" s="6">
        <v>2033569245</v>
      </c>
      <c r="B74" s="6" t="s">
        <v>728</v>
      </c>
      <c r="C74" s="6" t="s">
        <v>729</v>
      </c>
      <c r="F74" s="6" t="s">
        <v>222</v>
      </c>
      <c r="G74" s="6" t="s">
        <v>227</v>
      </c>
      <c r="I74" s="6">
        <v>649163</v>
      </c>
      <c r="J74" s="6" t="s">
        <v>108</v>
      </c>
      <c r="K74" s="6" t="s">
        <v>109</v>
      </c>
      <c r="M74" s="6" t="s">
        <v>271</v>
      </c>
      <c r="N74" s="7">
        <v>46081</v>
      </c>
      <c r="P74" s="8">
        <v>0</v>
      </c>
      <c r="V74" s="6">
        <v>1</v>
      </c>
      <c r="W74" s="8">
        <v>103.38</v>
      </c>
      <c r="X74" s="8">
        <v>17.23</v>
      </c>
      <c r="Y74" s="8">
        <v>-86.15</v>
      </c>
      <c r="Z74" s="8">
        <v>-86.15</v>
      </c>
    </row>
    <row r="75" spans="1:26" s="6" customFormat="1" x14ac:dyDescent="0.3">
      <c r="A75" s="6">
        <v>2032903420</v>
      </c>
      <c r="B75" s="6" t="s">
        <v>710</v>
      </c>
      <c r="C75" s="6" t="s">
        <v>711</v>
      </c>
      <c r="F75" s="6" t="s">
        <v>222</v>
      </c>
      <c r="G75" s="6" t="s">
        <v>228</v>
      </c>
      <c r="I75" s="6">
        <v>649163</v>
      </c>
      <c r="J75" s="6" t="s">
        <v>276</v>
      </c>
      <c r="K75" s="6" t="s">
        <v>277</v>
      </c>
      <c r="M75" s="6" t="s">
        <v>271</v>
      </c>
      <c r="N75" s="7">
        <v>46023</v>
      </c>
      <c r="P75" s="8">
        <v>0</v>
      </c>
      <c r="V75" s="6">
        <f>53.55/17.85</f>
        <v>2.9999999999999996</v>
      </c>
      <c r="W75" s="8">
        <v>107.1</v>
      </c>
      <c r="X75" s="8">
        <v>53.55</v>
      </c>
      <c r="Y75" s="8">
        <v>-53.55</v>
      </c>
      <c r="Z75" s="8">
        <v>-53.55</v>
      </c>
    </row>
    <row r="76" spans="1:26" s="6" customFormat="1" x14ac:dyDescent="0.3">
      <c r="A76" s="6">
        <v>2032202380</v>
      </c>
      <c r="B76" s="6" t="s">
        <v>536</v>
      </c>
      <c r="C76" s="6" t="s">
        <v>537</v>
      </c>
      <c r="F76" s="6" t="s">
        <v>163</v>
      </c>
      <c r="G76" s="6" t="s">
        <v>164</v>
      </c>
      <c r="I76" s="6">
        <v>649163</v>
      </c>
      <c r="J76" s="6" t="s">
        <v>398</v>
      </c>
      <c r="K76" s="6" t="s">
        <v>399</v>
      </c>
      <c r="M76" s="6" t="s">
        <v>271</v>
      </c>
      <c r="N76" s="7">
        <v>45978</v>
      </c>
      <c r="P76" s="8">
        <v>0</v>
      </c>
      <c r="V76" s="6">
        <f>95.25/19.05</f>
        <v>5</v>
      </c>
      <c r="W76" s="8">
        <v>114.3</v>
      </c>
      <c r="X76" s="8">
        <v>95.25</v>
      </c>
      <c r="Y76" s="8">
        <v>-19.05</v>
      </c>
      <c r="Z76" s="8">
        <v>-19.05</v>
      </c>
    </row>
    <row r="77" spans="1:26" s="6" customFormat="1" x14ac:dyDescent="0.3">
      <c r="A77" s="6">
        <v>2032250175</v>
      </c>
      <c r="B77" s="6" t="s">
        <v>785</v>
      </c>
      <c r="C77" s="6" t="s">
        <v>535</v>
      </c>
      <c r="F77" s="6" t="s">
        <v>222</v>
      </c>
      <c r="G77" s="6" t="s">
        <v>223</v>
      </c>
      <c r="I77" s="6">
        <v>813184</v>
      </c>
      <c r="J77" s="6" t="s">
        <v>398</v>
      </c>
      <c r="K77" s="6" t="s">
        <v>399</v>
      </c>
      <c r="M77" s="6" t="s">
        <v>271</v>
      </c>
      <c r="N77" s="7">
        <v>45981</v>
      </c>
      <c r="P77" s="8">
        <v>0</v>
      </c>
      <c r="V77" s="6">
        <f>24.15/8.05</f>
        <v>2.9999999999999996</v>
      </c>
      <c r="W77" s="8">
        <v>48.3</v>
      </c>
      <c r="X77" s="8">
        <v>24.15</v>
      </c>
      <c r="Y77" s="8">
        <v>-24.15</v>
      </c>
      <c r="Z77" s="8">
        <v>-24.15</v>
      </c>
    </row>
    <row r="78" spans="1:26" s="6" customFormat="1" x14ac:dyDescent="0.3">
      <c r="A78" s="6">
        <v>2032250176</v>
      </c>
      <c r="B78" s="6" t="s">
        <v>785</v>
      </c>
      <c r="C78" s="6" t="s">
        <v>535</v>
      </c>
      <c r="F78" s="6" t="s">
        <v>163</v>
      </c>
      <c r="G78" s="6" t="s">
        <v>164</v>
      </c>
      <c r="I78" s="6">
        <v>813184</v>
      </c>
      <c r="J78" s="6" t="s">
        <v>398</v>
      </c>
      <c r="K78" s="6" t="s">
        <v>399</v>
      </c>
      <c r="M78" s="6" t="s">
        <v>271</v>
      </c>
      <c r="N78" s="7">
        <v>45981</v>
      </c>
      <c r="P78" s="8">
        <v>0</v>
      </c>
      <c r="V78" s="6">
        <f>60.6/20.2</f>
        <v>3</v>
      </c>
      <c r="W78" s="8">
        <v>121.2</v>
      </c>
      <c r="X78" s="8">
        <v>60.6</v>
      </c>
      <c r="Y78" s="8">
        <v>-60.6</v>
      </c>
      <c r="Z78" s="8">
        <v>-60.6</v>
      </c>
    </row>
    <row r="79" spans="1:26" x14ac:dyDescent="0.3">
      <c r="A79">
        <v>2032613369</v>
      </c>
      <c r="B79" t="s">
        <v>790</v>
      </c>
      <c r="C79" t="s">
        <v>341</v>
      </c>
      <c r="F79" t="s">
        <v>250</v>
      </c>
      <c r="G79" t="s">
        <v>750</v>
      </c>
      <c r="I79">
        <v>651818</v>
      </c>
      <c r="J79" t="s">
        <v>96</v>
      </c>
      <c r="K79" t="s">
        <v>97</v>
      </c>
      <c r="M79" t="s">
        <v>271</v>
      </c>
      <c r="N79" s="1">
        <v>46023</v>
      </c>
      <c r="P79" s="2">
        <v>0</v>
      </c>
      <c r="W79" s="2">
        <v>1208.76</v>
      </c>
      <c r="X79" s="2">
        <v>604.38</v>
      </c>
      <c r="Y79" s="2">
        <v>-604.38</v>
      </c>
      <c r="Z79" s="2">
        <v>-604.38</v>
      </c>
    </row>
    <row r="80" spans="1:26" s="6" customFormat="1" x14ac:dyDescent="0.3">
      <c r="A80" s="6">
        <v>2032712958</v>
      </c>
      <c r="B80" s="6" t="s">
        <v>786</v>
      </c>
      <c r="C80" s="6" t="s">
        <v>787</v>
      </c>
      <c r="F80" s="6" t="s">
        <v>163</v>
      </c>
      <c r="G80" s="6" t="s">
        <v>164</v>
      </c>
      <c r="I80" s="6">
        <v>823350</v>
      </c>
      <c r="J80" s="6" t="s">
        <v>67</v>
      </c>
      <c r="K80" s="6" t="s">
        <v>68</v>
      </c>
      <c r="M80" s="6" t="s">
        <v>271</v>
      </c>
      <c r="N80" s="7">
        <v>46013</v>
      </c>
      <c r="P80" s="8">
        <v>0</v>
      </c>
      <c r="V80" s="6">
        <f>87.18/29.06</f>
        <v>3.0000000000000004</v>
      </c>
      <c r="W80" s="8">
        <v>174.36</v>
      </c>
      <c r="X80" s="8">
        <v>87.18</v>
      </c>
      <c r="Y80" s="8">
        <v>-87.18</v>
      </c>
      <c r="Z80" s="8">
        <v>-87.18</v>
      </c>
    </row>
    <row r="81" spans="1:26" s="6" customFormat="1" x14ac:dyDescent="0.3">
      <c r="A81" s="6">
        <v>2032712959</v>
      </c>
      <c r="B81" s="6" t="s">
        <v>786</v>
      </c>
      <c r="C81" s="6" t="s">
        <v>787</v>
      </c>
      <c r="F81" s="6" t="s">
        <v>222</v>
      </c>
      <c r="G81" s="6" t="s">
        <v>223</v>
      </c>
      <c r="I81" s="6">
        <v>823350</v>
      </c>
      <c r="J81" s="6" t="s">
        <v>67</v>
      </c>
      <c r="K81" s="6" t="s">
        <v>68</v>
      </c>
      <c r="M81" s="6" t="s">
        <v>271</v>
      </c>
      <c r="N81" s="7">
        <v>46013</v>
      </c>
      <c r="P81" s="8">
        <v>0</v>
      </c>
      <c r="V81" s="6">
        <f>24.15/8.05</f>
        <v>2.9999999999999996</v>
      </c>
      <c r="W81" s="8">
        <v>48.3</v>
      </c>
      <c r="X81" s="8">
        <v>24.15</v>
      </c>
      <c r="Y81" s="8">
        <v>-24.15</v>
      </c>
      <c r="Z81" s="8">
        <v>-24.15</v>
      </c>
    </row>
    <row r="82" spans="1:26" s="6" customFormat="1" x14ac:dyDescent="0.3">
      <c r="A82" s="6">
        <v>2031232214</v>
      </c>
      <c r="B82" s="6" t="s">
        <v>784</v>
      </c>
      <c r="C82" s="6" t="s">
        <v>248</v>
      </c>
      <c r="F82" s="6" t="s">
        <v>222</v>
      </c>
      <c r="G82" s="6" t="s">
        <v>223</v>
      </c>
      <c r="I82" s="6">
        <v>807212</v>
      </c>
      <c r="J82" s="6" t="s">
        <v>246</v>
      </c>
      <c r="K82" s="6" t="s">
        <v>247</v>
      </c>
      <c r="M82" s="6" t="s">
        <v>271</v>
      </c>
      <c r="N82" s="7">
        <v>45924</v>
      </c>
      <c r="P82" s="8">
        <v>0</v>
      </c>
      <c r="V82" s="6">
        <f>101.15/20.23</f>
        <v>5</v>
      </c>
      <c r="W82" s="8">
        <v>121.38</v>
      </c>
      <c r="X82" s="8">
        <v>101.15</v>
      </c>
      <c r="Y82" s="8">
        <v>-20.23</v>
      </c>
      <c r="Z82" s="8">
        <v>-20.23</v>
      </c>
    </row>
    <row r="83" spans="1:26" s="6" customFormat="1" x14ac:dyDescent="0.3">
      <c r="A83" s="6">
        <v>2032241078</v>
      </c>
      <c r="B83" s="6" t="s">
        <v>683</v>
      </c>
      <c r="C83" s="6" t="s">
        <v>684</v>
      </c>
      <c r="F83" s="6" t="s">
        <v>222</v>
      </c>
      <c r="G83" s="6" t="s">
        <v>223</v>
      </c>
      <c r="I83" s="6">
        <v>649163</v>
      </c>
      <c r="J83" s="6" t="s">
        <v>246</v>
      </c>
      <c r="K83" s="6" t="s">
        <v>247</v>
      </c>
      <c r="M83" s="6" t="s">
        <v>271</v>
      </c>
      <c r="N83" s="7">
        <v>46023</v>
      </c>
      <c r="P83" s="8">
        <v>0</v>
      </c>
      <c r="V83" s="6">
        <f>69.48/23.16</f>
        <v>3</v>
      </c>
      <c r="W83" s="8">
        <v>138.96</v>
      </c>
      <c r="X83" s="8">
        <v>69.48</v>
      </c>
      <c r="Y83" s="8">
        <v>-69.48</v>
      </c>
      <c r="Z83" s="8">
        <v>-69.48</v>
      </c>
    </row>
  </sheetData>
  <sortState xmlns:xlrd2="http://schemas.microsoft.com/office/spreadsheetml/2017/richdata2" ref="A60:AY83">
    <sortCondition ref="J60:J8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6873-4D0E-441F-AA68-4A5A6F6553E3}">
  <dimension ref="A1:AA100"/>
  <sheetViews>
    <sheetView topLeftCell="G49" workbookViewId="0">
      <selection activeCell="X2" sqref="X2:X100"/>
    </sheetView>
  </sheetViews>
  <sheetFormatPr defaultRowHeight="14.4" x14ac:dyDescent="0.3"/>
  <cols>
    <col min="1" max="1" width="13" customWidth="1"/>
    <col min="8" max="8" width="41.77734375" bestFit="1" customWidth="1"/>
    <col min="9" max="9" width="41.77734375" customWidth="1"/>
    <col min="10" max="10" width="15.21875" bestFit="1" customWidth="1"/>
    <col min="11" max="11" width="15.21875" customWidth="1"/>
    <col min="16" max="16" width="10.109375" customWidth="1"/>
    <col min="17" max="17" width="10.33203125" customWidth="1"/>
  </cols>
  <sheetData>
    <row r="1" spans="1:27" x14ac:dyDescent="0.3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t="s">
        <v>10</v>
      </c>
      <c r="L1" t="s">
        <v>11</v>
      </c>
      <c r="M1" t="s">
        <v>12</v>
      </c>
      <c r="O1" t="s">
        <v>13</v>
      </c>
      <c r="P1" t="s">
        <v>14</v>
      </c>
      <c r="Q1" t="s">
        <v>16</v>
      </c>
      <c r="R1" t="s">
        <v>17</v>
      </c>
      <c r="S1" t="s">
        <v>18</v>
      </c>
      <c r="T1" t="s">
        <v>19</v>
      </c>
      <c r="U1" t="s">
        <v>24</v>
      </c>
      <c r="V1" t="s">
        <v>25</v>
      </c>
      <c r="W1" t="s">
        <v>26</v>
      </c>
      <c r="X1" t="s">
        <v>37</v>
      </c>
    </row>
    <row r="2" spans="1:27" s="6" customFormat="1" x14ac:dyDescent="0.3">
      <c r="A2" s="6">
        <v>2034483031</v>
      </c>
      <c r="B2" s="6" t="s">
        <v>151</v>
      </c>
      <c r="C2" s="6" t="s">
        <v>152</v>
      </c>
      <c r="D2" s="6" t="str">
        <f t="shared" ref="D2:D33" si="0">_xlfn.CONCAT(C2," ",B2)</f>
        <v>KETURAH GRANDSTAFF</v>
      </c>
      <c r="E2" s="6" t="s">
        <v>80</v>
      </c>
      <c r="F2" s="6" t="s">
        <v>65</v>
      </c>
      <c r="G2" s="11">
        <v>0.75</v>
      </c>
      <c r="H2" s="6" t="s">
        <v>66</v>
      </c>
      <c r="I2" s="6" t="s">
        <v>797</v>
      </c>
      <c r="J2" s="6">
        <v>16912722</v>
      </c>
      <c r="K2" s="6" t="str">
        <f t="shared" ref="K2:K33" si="1">_xlfn.CONCAT(J2,"AV6")</f>
        <v>16912722AV6</v>
      </c>
      <c r="L2" s="6" t="s">
        <v>153</v>
      </c>
      <c r="M2" s="6" t="s">
        <v>154</v>
      </c>
      <c r="N2" s="6" t="str">
        <f t="shared" ref="N2:N33" si="2">_xlfn.CONCAT(M2," ",L2)</f>
        <v>ANDREA PETRUNGARO</v>
      </c>
      <c r="O2" s="6" t="s">
        <v>57</v>
      </c>
      <c r="P2" s="7">
        <v>46102</v>
      </c>
      <c r="Q2" s="7">
        <v>46133</v>
      </c>
      <c r="R2" s="8">
        <v>101.44</v>
      </c>
      <c r="S2" s="6">
        <v>1</v>
      </c>
      <c r="T2" s="6" t="s">
        <v>58</v>
      </c>
      <c r="U2" s="6" t="s">
        <v>60</v>
      </c>
      <c r="V2" s="6" t="s">
        <v>61</v>
      </c>
      <c r="W2" s="6">
        <v>6</v>
      </c>
      <c r="X2" s="8">
        <v>76.08</v>
      </c>
      <c r="Z2" s="6" t="s">
        <v>844</v>
      </c>
      <c r="AA2" s="6" t="s">
        <v>845</v>
      </c>
    </row>
    <row r="3" spans="1:27" s="6" customFormat="1" x14ac:dyDescent="0.3">
      <c r="A3" s="6">
        <v>2034373765</v>
      </c>
      <c r="B3" s="6" t="s">
        <v>89</v>
      </c>
      <c r="C3" s="6" t="s">
        <v>90</v>
      </c>
      <c r="D3" s="6" t="str">
        <f t="shared" si="0"/>
        <v>DYLAN BRANIA</v>
      </c>
      <c r="E3" s="6" t="s">
        <v>64</v>
      </c>
      <c r="F3" s="6" t="s">
        <v>65</v>
      </c>
      <c r="G3" s="11">
        <v>0.9</v>
      </c>
      <c r="H3" s="6" t="s">
        <v>71</v>
      </c>
      <c r="I3" s="6" t="s">
        <v>796</v>
      </c>
      <c r="J3" s="6">
        <v>7470776</v>
      </c>
      <c r="K3" s="6" t="str">
        <f t="shared" si="1"/>
        <v>7470776AV6</v>
      </c>
      <c r="L3" s="6" t="s">
        <v>91</v>
      </c>
      <c r="M3" s="6" t="s">
        <v>92</v>
      </c>
      <c r="N3" s="6" t="str">
        <f t="shared" si="2"/>
        <v>Andrew Choi</v>
      </c>
      <c r="O3" s="6" t="s">
        <v>57</v>
      </c>
      <c r="P3" s="7">
        <v>46140</v>
      </c>
      <c r="Q3" s="7">
        <v>46170</v>
      </c>
      <c r="R3" s="8">
        <v>42.82</v>
      </c>
      <c r="S3" s="6">
        <v>1</v>
      </c>
      <c r="T3" s="6" t="s">
        <v>58</v>
      </c>
      <c r="U3" s="6" t="s">
        <v>60</v>
      </c>
      <c r="V3" s="6" t="s">
        <v>61</v>
      </c>
      <c r="W3" s="6">
        <v>6</v>
      </c>
      <c r="X3" s="8">
        <v>38.54</v>
      </c>
      <c r="Z3" s="6" t="s">
        <v>844</v>
      </c>
      <c r="AA3" s="6" t="s">
        <v>845</v>
      </c>
    </row>
    <row r="4" spans="1:27" s="6" customFormat="1" x14ac:dyDescent="0.3">
      <c r="A4" s="6">
        <v>2034379294</v>
      </c>
      <c r="B4" s="6" t="s">
        <v>106</v>
      </c>
      <c r="C4" s="6" t="s">
        <v>107</v>
      </c>
      <c r="D4" s="6" t="str">
        <f t="shared" si="0"/>
        <v>FARID MANIYEV</v>
      </c>
      <c r="E4" s="6" t="s">
        <v>103</v>
      </c>
      <c r="F4" s="6" t="s">
        <v>65</v>
      </c>
      <c r="G4" s="11">
        <v>0.9</v>
      </c>
      <c r="H4" s="6" t="s">
        <v>71</v>
      </c>
      <c r="I4" s="6" t="s">
        <v>796</v>
      </c>
      <c r="J4" s="6">
        <v>17554531</v>
      </c>
      <c r="K4" s="6" t="str">
        <f t="shared" si="1"/>
        <v>17554531AV6</v>
      </c>
      <c r="L4" s="6" t="s">
        <v>108</v>
      </c>
      <c r="M4" s="6" t="s">
        <v>109</v>
      </c>
      <c r="N4" s="6" t="str">
        <f t="shared" si="2"/>
        <v>Brittany Oliver</v>
      </c>
      <c r="O4" s="6" t="s">
        <v>57</v>
      </c>
      <c r="P4" s="7">
        <v>46113</v>
      </c>
      <c r="Q4" s="7">
        <v>46143</v>
      </c>
      <c r="R4" s="8">
        <v>30.92</v>
      </c>
      <c r="S4" s="6">
        <v>1</v>
      </c>
      <c r="T4" s="6" t="s">
        <v>58</v>
      </c>
      <c r="U4" s="6" t="s">
        <v>60</v>
      </c>
      <c r="V4" s="6" t="s">
        <v>61</v>
      </c>
      <c r="W4" s="6">
        <v>6</v>
      </c>
      <c r="X4" s="8">
        <v>27.83</v>
      </c>
      <c r="Z4" s="6" t="s">
        <v>844</v>
      </c>
      <c r="AA4" s="6" t="s">
        <v>845</v>
      </c>
    </row>
    <row r="5" spans="1:27" s="6" customFormat="1" x14ac:dyDescent="0.3">
      <c r="A5" s="6">
        <v>2034346334</v>
      </c>
      <c r="B5" s="6" t="s">
        <v>78</v>
      </c>
      <c r="C5" s="6" t="s">
        <v>79</v>
      </c>
      <c r="D5" s="6" t="str">
        <f t="shared" si="0"/>
        <v>MISTER ISBELLE</v>
      </c>
      <c r="E5" s="6" t="s">
        <v>80</v>
      </c>
      <c r="F5" s="6" t="s">
        <v>65</v>
      </c>
      <c r="G5" s="11">
        <v>0.75</v>
      </c>
      <c r="H5" s="6" t="s">
        <v>81</v>
      </c>
      <c r="I5" s="6" t="s">
        <v>797</v>
      </c>
      <c r="J5" s="6">
        <v>8046194</v>
      </c>
      <c r="K5" s="6" t="str">
        <f t="shared" si="1"/>
        <v>8046194AV6</v>
      </c>
      <c r="L5" s="6" t="s">
        <v>82</v>
      </c>
      <c r="M5" s="6" t="s">
        <v>83</v>
      </c>
      <c r="N5" s="6" t="str">
        <f t="shared" si="2"/>
        <v>H Allan</v>
      </c>
      <c r="O5" s="6" t="s">
        <v>57</v>
      </c>
      <c r="P5" s="7">
        <v>46101</v>
      </c>
      <c r="Q5" s="7">
        <v>46132</v>
      </c>
      <c r="R5" s="8">
        <v>121.45</v>
      </c>
      <c r="S5" s="6">
        <v>1</v>
      </c>
      <c r="T5" s="6" t="s">
        <v>58</v>
      </c>
      <c r="U5" s="6" t="s">
        <v>60</v>
      </c>
      <c r="V5" s="6" t="s">
        <v>61</v>
      </c>
      <c r="W5" s="6">
        <v>6</v>
      </c>
      <c r="X5" s="8">
        <v>91.09</v>
      </c>
      <c r="Z5" s="6" t="s">
        <v>844</v>
      </c>
      <c r="AA5" s="6" t="s">
        <v>845</v>
      </c>
    </row>
    <row r="6" spans="1:27" s="6" customFormat="1" x14ac:dyDescent="0.3">
      <c r="A6" s="6">
        <v>2034383428</v>
      </c>
      <c r="B6" s="6" t="s">
        <v>110</v>
      </c>
      <c r="C6" s="6" t="s">
        <v>111</v>
      </c>
      <c r="D6" s="6" t="str">
        <f t="shared" si="0"/>
        <v>ASHLEE LANOUETTE</v>
      </c>
      <c r="E6" s="6" t="s">
        <v>112</v>
      </c>
      <c r="F6" s="6" t="s">
        <v>65</v>
      </c>
      <c r="G6" s="11">
        <v>0.75</v>
      </c>
      <c r="H6" s="6" t="s">
        <v>75</v>
      </c>
      <c r="I6" s="6" t="s">
        <v>797</v>
      </c>
      <c r="J6" s="6">
        <v>6634327</v>
      </c>
      <c r="K6" s="6" t="str">
        <f t="shared" si="1"/>
        <v>6634327AV6</v>
      </c>
      <c r="L6" s="6" t="s">
        <v>113</v>
      </c>
      <c r="M6" s="6" t="s">
        <v>114</v>
      </c>
      <c r="N6" s="6" t="str">
        <f t="shared" si="2"/>
        <v>Joel Lee</v>
      </c>
      <c r="O6" s="6" t="s">
        <v>57</v>
      </c>
      <c r="P6" s="7">
        <v>46113</v>
      </c>
      <c r="Q6" s="7">
        <v>46143</v>
      </c>
      <c r="R6" s="8">
        <v>18.68</v>
      </c>
      <c r="S6" s="6">
        <v>1</v>
      </c>
      <c r="T6" s="6" t="s">
        <v>58</v>
      </c>
      <c r="U6" s="6" t="s">
        <v>60</v>
      </c>
      <c r="V6" s="6" t="s">
        <v>61</v>
      </c>
      <c r="W6" s="6">
        <v>6</v>
      </c>
      <c r="X6" s="8">
        <v>14.01</v>
      </c>
      <c r="Z6" s="6" t="s">
        <v>844</v>
      </c>
      <c r="AA6" s="6" t="s">
        <v>845</v>
      </c>
    </row>
    <row r="7" spans="1:27" s="6" customFormat="1" x14ac:dyDescent="0.3">
      <c r="A7" s="6">
        <v>2033832427</v>
      </c>
      <c r="B7" s="6" t="s">
        <v>62</v>
      </c>
      <c r="C7" s="6" t="s">
        <v>63</v>
      </c>
      <c r="D7" s="6" t="str">
        <f t="shared" si="0"/>
        <v>BRANDON RODRIGUEZ</v>
      </c>
      <c r="E7" s="6" t="s">
        <v>64</v>
      </c>
      <c r="F7" s="6" t="s">
        <v>65</v>
      </c>
      <c r="G7" s="11">
        <v>0.75</v>
      </c>
      <c r="H7" s="6" t="s">
        <v>66</v>
      </c>
      <c r="I7" s="6" t="s">
        <v>797</v>
      </c>
      <c r="J7" s="6">
        <v>16633294</v>
      </c>
      <c r="K7" s="6" t="str">
        <f t="shared" si="1"/>
        <v>16633294AV6</v>
      </c>
      <c r="L7" s="6" t="s">
        <v>67</v>
      </c>
      <c r="M7" s="6" t="s">
        <v>68</v>
      </c>
      <c r="N7" s="6" t="str">
        <f t="shared" si="2"/>
        <v>Richard Yale</v>
      </c>
      <c r="O7" s="6" t="s">
        <v>57</v>
      </c>
      <c r="P7" s="7">
        <v>46082</v>
      </c>
      <c r="Q7" s="7">
        <v>46113</v>
      </c>
      <c r="R7" s="8">
        <v>41.95</v>
      </c>
      <c r="S7" s="6">
        <v>1</v>
      </c>
      <c r="T7" s="6" t="s">
        <v>58</v>
      </c>
      <c r="U7" s="6" t="s">
        <v>60</v>
      </c>
      <c r="V7" s="6" t="s">
        <v>61</v>
      </c>
      <c r="W7" s="6">
        <v>6</v>
      </c>
      <c r="X7" s="8">
        <v>31.46</v>
      </c>
      <c r="Z7" s="6" t="s">
        <v>844</v>
      </c>
      <c r="AA7" s="6" t="s">
        <v>845</v>
      </c>
    </row>
    <row r="8" spans="1:27" s="6" customFormat="1" x14ac:dyDescent="0.3">
      <c r="A8" s="6">
        <v>2034392892</v>
      </c>
      <c r="B8" s="6" t="s">
        <v>120</v>
      </c>
      <c r="C8" s="6" t="s">
        <v>121</v>
      </c>
      <c r="D8" s="6" t="str">
        <f t="shared" si="0"/>
        <v>MERCEDEZ NEESSEN</v>
      </c>
      <c r="E8" s="6" t="s">
        <v>122</v>
      </c>
      <c r="F8" s="6" t="s">
        <v>65</v>
      </c>
      <c r="G8" s="11">
        <v>0.75</v>
      </c>
      <c r="H8" s="6" t="s">
        <v>66</v>
      </c>
      <c r="I8" s="6" t="s">
        <v>797</v>
      </c>
      <c r="J8" s="6">
        <v>16633294</v>
      </c>
      <c r="K8" s="6" t="str">
        <f t="shared" si="1"/>
        <v>16633294AV6</v>
      </c>
      <c r="L8" s="6" t="s">
        <v>67</v>
      </c>
      <c r="M8" s="6" t="s">
        <v>68</v>
      </c>
      <c r="N8" s="6" t="str">
        <f t="shared" si="2"/>
        <v>Richard Yale</v>
      </c>
      <c r="O8" s="6" t="s">
        <v>57</v>
      </c>
      <c r="P8" s="7">
        <v>46102</v>
      </c>
      <c r="Q8" s="7">
        <v>46133</v>
      </c>
      <c r="R8" s="8">
        <v>24.73</v>
      </c>
      <c r="S8" s="6">
        <v>1</v>
      </c>
      <c r="T8" s="6" t="s">
        <v>58</v>
      </c>
      <c r="U8" s="6" t="s">
        <v>60</v>
      </c>
      <c r="V8" s="6" t="s">
        <v>61</v>
      </c>
      <c r="W8" s="6">
        <v>6</v>
      </c>
      <c r="X8" s="8">
        <v>18.55</v>
      </c>
      <c r="Z8" s="6" t="s">
        <v>844</v>
      </c>
      <c r="AA8" s="6" t="s">
        <v>845</v>
      </c>
    </row>
    <row r="9" spans="1:27" s="6" customFormat="1" x14ac:dyDescent="0.3">
      <c r="A9" s="6">
        <v>2033835703</v>
      </c>
      <c r="B9" s="6" t="s">
        <v>69</v>
      </c>
      <c r="C9" s="6" t="s">
        <v>70</v>
      </c>
      <c r="D9" s="6" t="str">
        <f t="shared" si="0"/>
        <v>NORMA ROBLES</v>
      </c>
      <c r="E9" s="6" t="s">
        <v>64</v>
      </c>
      <c r="F9" s="6" t="s">
        <v>65</v>
      </c>
      <c r="G9" s="11">
        <v>0.9</v>
      </c>
      <c r="H9" s="6" t="s">
        <v>71</v>
      </c>
      <c r="I9" s="6" t="s">
        <v>796</v>
      </c>
      <c r="J9" s="6">
        <v>16633294</v>
      </c>
      <c r="K9" s="6" t="str">
        <f t="shared" si="1"/>
        <v>16633294AV6</v>
      </c>
      <c r="L9" s="6" t="s">
        <v>67</v>
      </c>
      <c r="M9" s="6" t="s">
        <v>68</v>
      </c>
      <c r="N9" s="6" t="str">
        <f t="shared" si="2"/>
        <v>Richard Yale</v>
      </c>
      <c r="O9" s="6" t="s">
        <v>57</v>
      </c>
      <c r="P9" s="7">
        <v>46082</v>
      </c>
      <c r="Q9" s="7">
        <v>46113</v>
      </c>
      <c r="R9" s="8">
        <v>87.08</v>
      </c>
      <c r="S9" s="6">
        <v>1</v>
      </c>
      <c r="T9" s="6" t="s">
        <v>58</v>
      </c>
      <c r="U9" s="6" t="s">
        <v>60</v>
      </c>
      <c r="V9" s="6" t="s">
        <v>61</v>
      </c>
      <c r="W9" s="6">
        <v>6</v>
      </c>
      <c r="X9" s="8">
        <v>78.37</v>
      </c>
      <c r="Z9" s="6" t="s">
        <v>844</v>
      </c>
      <c r="AA9" s="6" t="s">
        <v>845</v>
      </c>
    </row>
    <row r="10" spans="1:27" s="6" customFormat="1" x14ac:dyDescent="0.3">
      <c r="A10" s="6">
        <v>2034427468</v>
      </c>
      <c r="B10" s="6" t="s">
        <v>137</v>
      </c>
      <c r="C10" s="6" t="s">
        <v>138</v>
      </c>
      <c r="D10" s="6" t="str">
        <f t="shared" si="0"/>
        <v>CODY HARRIS</v>
      </c>
      <c r="E10" s="6" t="s">
        <v>139</v>
      </c>
      <c r="F10" s="6" t="s">
        <v>65</v>
      </c>
      <c r="G10" s="11">
        <v>0.9</v>
      </c>
      <c r="H10" s="6" t="s">
        <v>71</v>
      </c>
      <c r="I10" s="6" t="s">
        <v>796</v>
      </c>
      <c r="J10" s="6">
        <v>16633294</v>
      </c>
      <c r="K10" s="6" t="str">
        <f t="shared" si="1"/>
        <v>16633294AV6</v>
      </c>
      <c r="L10" s="6" t="s">
        <v>67</v>
      </c>
      <c r="M10" s="6" t="s">
        <v>68</v>
      </c>
      <c r="N10" s="6" t="str">
        <f t="shared" si="2"/>
        <v>Richard Yale</v>
      </c>
      <c r="O10" s="6" t="s">
        <v>57</v>
      </c>
      <c r="P10" s="7">
        <v>46103</v>
      </c>
      <c r="Q10" s="7">
        <v>46134</v>
      </c>
      <c r="R10" s="8">
        <v>95.88</v>
      </c>
      <c r="S10" s="6">
        <v>1</v>
      </c>
      <c r="T10" s="6" t="s">
        <v>58</v>
      </c>
      <c r="U10" s="6" t="s">
        <v>60</v>
      </c>
      <c r="V10" s="6" t="s">
        <v>61</v>
      </c>
      <c r="W10" s="6">
        <v>6</v>
      </c>
      <c r="X10" s="8">
        <v>86.29</v>
      </c>
      <c r="Z10" s="6" t="s">
        <v>844</v>
      </c>
      <c r="AA10" s="6" t="s">
        <v>845</v>
      </c>
    </row>
    <row r="11" spans="1:27" s="6" customFormat="1" x14ac:dyDescent="0.3">
      <c r="A11" s="6">
        <v>2034385371</v>
      </c>
      <c r="B11" s="6" t="s">
        <v>155</v>
      </c>
      <c r="C11" s="6" t="s">
        <v>156</v>
      </c>
      <c r="D11" s="6" t="str">
        <f t="shared" si="0"/>
        <v>AXEL CASTELLANOS</v>
      </c>
      <c r="E11" s="6" t="s">
        <v>64</v>
      </c>
      <c r="F11" s="6" t="s">
        <v>157</v>
      </c>
      <c r="G11" s="11">
        <v>0.38</v>
      </c>
      <c r="H11" s="6" t="s">
        <v>158</v>
      </c>
      <c r="I11" s="6" t="s">
        <v>158</v>
      </c>
      <c r="J11" s="6">
        <v>20212926</v>
      </c>
      <c r="K11" s="6" t="str">
        <f t="shared" si="1"/>
        <v>20212926AV6</v>
      </c>
      <c r="L11" s="6" t="s">
        <v>159</v>
      </c>
      <c r="M11" s="6" t="s">
        <v>160</v>
      </c>
      <c r="N11" s="6" t="str">
        <f t="shared" si="2"/>
        <v>JOSE TORRES</v>
      </c>
      <c r="O11" s="6" t="s">
        <v>57</v>
      </c>
      <c r="P11" s="7">
        <v>46098</v>
      </c>
      <c r="Q11" s="7">
        <v>46129</v>
      </c>
      <c r="R11" s="8">
        <v>15</v>
      </c>
      <c r="S11" s="6">
        <v>1</v>
      </c>
      <c r="T11" s="6" t="s">
        <v>58</v>
      </c>
      <c r="U11" s="6" t="s">
        <v>60</v>
      </c>
      <c r="V11" s="6" t="s">
        <v>61</v>
      </c>
      <c r="W11" s="6">
        <v>6</v>
      </c>
      <c r="X11" s="8">
        <v>5.7</v>
      </c>
      <c r="Z11" s="6" t="s">
        <v>844</v>
      </c>
      <c r="AA11" s="6" t="s">
        <v>845</v>
      </c>
    </row>
    <row r="12" spans="1:27" s="6" customFormat="1" x14ac:dyDescent="0.3">
      <c r="A12" s="6">
        <v>2034373764</v>
      </c>
      <c r="B12" s="6" t="s">
        <v>89</v>
      </c>
      <c r="C12" s="6" t="s">
        <v>90</v>
      </c>
      <c r="D12" s="6" t="str">
        <f t="shared" si="0"/>
        <v>DYLAN BRANIA</v>
      </c>
      <c r="E12" s="6" t="s">
        <v>64</v>
      </c>
      <c r="F12" s="6" t="s">
        <v>163</v>
      </c>
      <c r="G12" s="12">
        <v>0.375</v>
      </c>
      <c r="H12" s="6" t="s">
        <v>164</v>
      </c>
      <c r="I12" s="6" t="s">
        <v>164</v>
      </c>
      <c r="J12" s="6">
        <v>7470776</v>
      </c>
      <c r="K12" s="6" t="str">
        <f t="shared" si="1"/>
        <v>7470776AV6</v>
      </c>
      <c r="L12" s="6" t="s">
        <v>91</v>
      </c>
      <c r="M12" s="6" t="s">
        <v>92</v>
      </c>
      <c r="N12" s="6" t="str">
        <f t="shared" si="2"/>
        <v>Andrew Choi</v>
      </c>
      <c r="O12" s="6" t="s">
        <v>57</v>
      </c>
      <c r="P12" s="7">
        <v>46140</v>
      </c>
      <c r="Q12" s="7">
        <v>46170</v>
      </c>
      <c r="R12" s="8">
        <v>78.760000000000005</v>
      </c>
      <c r="S12" s="6">
        <v>1</v>
      </c>
      <c r="T12" s="6" t="s">
        <v>58</v>
      </c>
      <c r="U12" s="6" t="s">
        <v>60</v>
      </c>
      <c r="V12" s="6" t="s">
        <v>61</v>
      </c>
      <c r="W12" s="6">
        <v>6</v>
      </c>
      <c r="X12" s="8">
        <v>29.54</v>
      </c>
      <c r="Z12" s="6" t="s">
        <v>844</v>
      </c>
      <c r="AA12" s="6" t="s">
        <v>845</v>
      </c>
    </row>
    <row r="13" spans="1:27" s="6" customFormat="1" x14ac:dyDescent="0.3">
      <c r="A13" s="6">
        <v>2034384126</v>
      </c>
      <c r="B13" s="6" t="s">
        <v>177</v>
      </c>
      <c r="C13" s="6" t="s">
        <v>173</v>
      </c>
      <c r="D13" s="6" t="str">
        <f t="shared" si="0"/>
        <v>SCOTT SESSO</v>
      </c>
      <c r="E13" s="6" t="s">
        <v>129</v>
      </c>
      <c r="F13" s="6" t="s">
        <v>163</v>
      </c>
      <c r="G13" s="12">
        <v>0.375</v>
      </c>
      <c r="H13" s="6" t="s">
        <v>164</v>
      </c>
      <c r="I13" s="6" t="s">
        <v>164</v>
      </c>
      <c r="J13" s="6">
        <v>7470776</v>
      </c>
      <c r="K13" s="6" t="str">
        <f t="shared" si="1"/>
        <v>7470776AV6</v>
      </c>
      <c r="L13" s="6" t="s">
        <v>91</v>
      </c>
      <c r="M13" s="6" t="s">
        <v>92</v>
      </c>
      <c r="N13" s="6" t="str">
        <f t="shared" si="2"/>
        <v>Andrew Choi</v>
      </c>
      <c r="O13" s="6" t="s">
        <v>57</v>
      </c>
      <c r="P13" s="7">
        <v>46107</v>
      </c>
      <c r="Q13" s="7">
        <v>46138</v>
      </c>
      <c r="R13" s="8">
        <v>92.05</v>
      </c>
      <c r="S13" s="6">
        <v>1</v>
      </c>
      <c r="T13" s="6" t="s">
        <v>58</v>
      </c>
      <c r="U13" s="6" t="s">
        <v>60</v>
      </c>
      <c r="V13" s="6" t="s">
        <v>61</v>
      </c>
      <c r="W13" s="6">
        <v>6</v>
      </c>
      <c r="X13" s="8">
        <v>34.520000000000003</v>
      </c>
      <c r="Z13" s="6" t="s">
        <v>844</v>
      </c>
      <c r="AA13" s="6" t="s">
        <v>845</v>
      </c>
    </row>
    <row r="14" spans="1:27" s="6" customFormat="1" x14ac:dyDescent="0.3">
      <c r="A14" s="6">
        <v>2034443387</v>
      </c>
      <c r="B14" s="6" t="s">
        <v>203</v>
      </c>
      <c r="C14" s="6" t="s">
        <v>204</v>
      </c>
      <c r="D14" s="6" t="str">
        <f t="shared" si="0"/>
        <v>DANIELLE LOPEZ</v>
      </c>
      <c r="E14" s="6" t="s">
        <v>205</v>
      </c>
      <c r="F14" s="6" t="s">
        <v>163</v>
      </c>
      <c r="G14" s="12">
        <v>0.375</v>
      </c>
      <c r="H14" s="6" t="s">
        <v>164</v>
      </c>
      <c r="I14" s="6" t="s">
        <v>164</v>
      </c>
      <c r="J14" s="6">
        <v>19617796</v>
      </c>
      <c r="K14" s="6" t="str">
        <f t="shared" si="1"/>
        <v>19617796AV6</v>
      </c>
      <c r="L14" s="6" t="s">
        <v>206</v>
      </c>
      <c r="M14" s="6" t="s">
        <v>207</v>
      </c>
      <c r="N14" s="6" t="str">
        <f t="shared" si="2"/>
        <v>Heidi Berthelsen</v>
      </c>
      <c r="O14" s="6" t="s">
        <v>57</v>
      </c>
      <c r="P14" s="7">
        <v>46101</v>
      </c>
      <c r="Q14" s="7">
        <v>46132</v>
      </c>
      <c r="R14" s="8">
        <v>41.61</v>
      </c>
      <c r="S14" s="6">
        <v>1</v>
      </c>
      <c r="T14" s="6" t="s">
        <v>58</v>
      </c>
      <c r="U14" s="6" t="s">
        <v>60</v>
      </c>
      <c r="V14" s="6" t="s">
        <v>61</v>
      </c>
      <c r="W14" s="6">
        <v>6</v>
      </c>
      <c r="X14" s="8">
        <v>15.6</v>
      </c>
      <c r="Z14" s="6" t="s">
        <v>844</v>
      </c>
      <c r="AA14" s="6" t="s">
        <v>845</v>
      </c>
    </row>
    <row r="15" spans="1:27" s="6" customFormat="1" x14ac:dyDescent="0.3">
      <c r="A15" s="6">
        <v>2033593099</v>
      </c>
      <c r="B15" s="6" t="s">
        <v>161</v>
      </c>
      <c r="C15" s="6" t="s">
        <v>162</v>
      </c>
      <c r="D15" s="6" t="str">
        <f t="shared" si="0"/>
        <v>JOSHUA EDWARDS</v>
      </c>
      <c r="E15" s="6" t="s">
        <v>86</v>
      </c>
      <c r="F15" s="6" t="s">
        <v>163</v>
      </c>
      <c r="G15" s="12">
        <v>0.375</v>
      </c>
      <c r="H15" s="6" t="s">
        <v>164</v>
      </c>
      <c r="I15" s="6" t="s">
        <v>164</v>
      </c>
      <c r="J15" s="6">
        <v>17117649</v>
      </c>
      <c r="K15" s="6" t="str">
        <f t="shared" si="1"/>
        <v>17117649AV6</v>
      </c>
      <c r="L15" s="6" t="s">
        <v>165</v>
      </c>
      <c r="M15" s="6" t="s">
        <v>166</v>
      </c>
      <c r="N15" s="6" t="str">
        <f t="shared" si="2"/>
        <v>Ines Berg</v>
      </c>
      <c r="O15" s="6" t="s">
        <v>57</v>
      </c>
      <c r="P15" s="7">
        <v>46082</v>
      </c>
      <c r="Q15" s="7">
        <v>46113</v>
      </c>
      <c r="R15" s="8">
        <v>54.95</v>
      </c>
      <c r="S15" s="6">
        <v>1</v>
      </c>
      <c r="T15" s="6" t="s">
        <v>58</v>
      </c>
      <c r="U15" s="6" t="s">
        <v>60</v>
      </c>
      <c r="V15" s="6" t="s">
        <v>61</v>
      </c>
      <c r="W15" s="6">
        <v>6</v>
      </c>
      <c r="X15" s="8">
        <v>20.61</v>
      </c>
      <c r="Z15" s="6" t="s">
        <v>844</v>
      </c>
      <c r="AA15" s="6" t="s">
        <v>845</v>
      </c>
    </row>
    <row r="16" spans="1:27" s="6" customFormat="1" x14ac:dyDescent="0.3">
      <c r="A16" s="6">
        <v>2033593222</v>
      </c>
      <c r="B16" s="6" t="s">
        <v>167</v>
      </c>
      <c r="C16" s="6" t="s">
        <v>168</v>
      </c>
      <c r="D16" s="6" t="str">
        <f t="shared" si="0"/>
        <v>SARAH BUSH</v>
      </c>
      <c r="E16" s="6" t="s">
        <v>86</v>
      </c>
      <c r="F16" s="6" t="s">
        <v>163</v>
      </c>
      <c r="G16" s="12">
        <v>0.375</v>
      </c>
      <c r="H16" s="6" t="s">
        <v>164</v>
      </c>
      <c r="I16" s="6" t="s">
        <v>164</v>
      </c>
      <c r="J16" s="6">
        <v>17117649</v>
      </c>
      <c r="K16" s="6" t="str">
        <f t="shared" si="1"/>
        <v>17117649AV6</v>
      </c>
      <c r="L16" s="6" t="s">
        <v>165</v>
      </c>
      <c r="M16" s="6" t="s">
        <v>166</v>
      </c>
      <c r="N16" s="6" t="str">
        <f t="shared" si="2"/>
        <v>Ines Berg</v>
      </c>
      <c r="O16" s="6" t="s">
        <v>57</v>
      </c>
      <c r="P16" s="7">
        <v>46082</v>
      </c>
      <c r="Q16" s="7">
        <v>46113</v>
      </c>
      <c r="R16" s="8">
        <v>28.87</v>
      </c>
      <c r="S16" s="6">
        <v>1</v>
      </c>
      <c r="T16" s="6" t="s">
        <v>58</v>
      </c>
      <c r="U16" s="6" t="s">
        <v>60</v>
      </c>
      <c r="V16" s="6" t="s">
        <v>61</v>
      </c>
      <c r="W16" s="6">
        <v>6</v>
      </c>
      <c r="X16" s="8">
        <v>10.83</v>
      </c>
      <c r="Z16" s="6" t="s">
        <v>844</v>
      </c>
      <c r="AA16" s="6" t="s">
        <v>845</v>
      </c>
    </row>
    <row r="17" spans="1:27" s="6" customFormat="1" x14ac:dyDescent="0.3">
      <c r="A17" s="6">
        <v>2033593327</v>
      </c>
      <c r="B17" s="6" t="s">
        <v>169</v>
      </c>
      <c r="C17" s="6" t="s">
        <v>170</v>
      </c>
      <c r="D17" s="6" t="str">
        <f t="shared" si="0"/>
        <v>DYNASTY TYSON-GRANT</v>
      </c>
      <c r="E17" s="6" t="s">
        <v>86</v>
      </c>
      <c r="F17" s="6" t="s">
        <v>163</v>
      </c>
      <c r="G17" s="12">
        <v>0.375</v>
      </c>
      <c r="H17" s="6" t="s">
        <v>164</v>
      </c>
      <c r="I17" s="6" t="s">
        <v>164</v>
      </c>
      <c r="J17" s="6">
        <v>17117649</v>
      </c>
      <c r="K17" s="6" t="str">
        <f t="shared" si="1"/>
        <v>17117649AV6</v>
      </c>
      <c r="L17" s="6" t="s">
        <v>165</v>
      </c>
      <c r="M17" s="6" t="s">
        <v>166</v>
      </c>
      <c r="N17" s="6" t="str">
        <f t="shared" si="2"/>
        <v>Ines Berg</v>
      </c>
      <c r="O17" s="6" t="s">
        <v>57</v>
      </c>
      <c r="P17" s="7">
        <v>46082</v>
      </c>
      <c r="Q17" s="7">
        <v>46113</v>
      </c>
      <c r="R17" s="8">
        <v>28.87</v>
      </c>
      <c r="S17" s="6">
        <v>1</v>
      </c>
      <c r="T17" s="6" t="s">
        <v>58</v>
      </c>
      <c r="U17" s="6" t="s">
        <v>60</v>
      </c>
      <c r="V17" s="6" t="s">
        <v>61</v>
      </c>
      <c r="W17" s="6">
        <v>6</v>
      </c>
      <c r="X17" s="8">
        <v>10.83</v>
      </c>
      <c r="Z17" s="6" t="s">
        <v>844</v>
      </c>
      <c r="AA17" s="6" t="s">
        <v>845</v>
      </c>
    </row>
    <row r="18" spans="1:27" s="6" customFormat="1" x14ac:dyDescent="0.3">
      <c r="A18" s="6">
        <v>2033593450</v>
      </c>
      <c r="B18" s="6" t="s">
        <v>171</v>
      </c>
      <c r="C18" s="6" t="s">
        <v>172</v>
      </c>
      <c r="D18" s="6" t="str">
        <f t="shared" si="0"/>
        <v>SHAWANDA BRYANT</v>
      </c>
      <c r="E18" s="6" t="s">
        <v>86</v>
      </c>
      <c r="F18" s="6" t="s">
        <v>163</v>
      </c>
      <c r="G18" s="12">
        <v>0.375</v>
      </c>
      <c r="H18" s="6" t="s">
        <v>164</v>
      </c>
      <c r="I18" s="6" t="s">
        <v>164</v>
      </c>
      <c r="J18" s="6">
        <v>17117649</v>
      </c>
      <c r="K18" s="6" t="str">
        <f t="shared" si="1"/>
        <v>17117649AV6</v>
      </c>
      <c r="L18" s="6" t="s">
        <v>165</v>
      </c>
      <c r="M18" s="6" t="s">
        <v>166</v>
      </c>
      <c r="N18" s="6" t="str">
        <f t="shared" si="2"/>
        <v>Ines Berg</v>
      </c>
      <c r="O18" s="6" t="s">
        <v>57</v>
      </c>
      <c r="P18" s="7">
        <v>46082</v>
      </c>
      <c r="Q18" s="7">
        <v>46113</v>
      </c>
      <c r="R18" s="8">
        <v>28.87</v>
      </c>
      <c r="S18" s="6">
        <v>1</v>
      </c>
      <c r="T18" s="6" t="s">
        <v>58</v>
      </c>
      <c r="U18" s="6" t="s">
        <v>60</v>
      </c>
      <c r="V18" s="6" t="s">
        <v>61</v>
      </c>
      <c r="W18" s="6">
        <v>6</v>
      </c>
      <c r="X18" s="8">
        <v>10.83</v>
      </c>
      <c r="Z18" s="6" t="s">
        <v>844</v>
      </c>
      <c r="AA18" s="6" t="s">
        <v>845</v>
      </c>
    </row>
    <row r="19" spans="1:27" s="6" customFormat="1" x14ac:dyDescent="0.3">
      <c r="A19" s="6">
        <v>2034431421</v>
      </c>
      <c r="B19" s="6" t="s">
        <v>194</v>
      </c>
      <c r="C19" s="6" t="s">
        <v>195</v>
      </c>
      <c r="D19" s="6" t="str">
        <f t="shared" si="0"/>
        <v>MARIA ROBY</v>
      </c>
      <c r="E19" s="6" t="s">
        <v>74</v>
      </c>
      <c r="F19" s="6" t="s">
        <v>163</v>
      </c>
      <c r="G19" s="12">
        <v>0.375</v>
      </c>
      <c r="H19" s="6" t="s">
        <v>164</v>
      </c>
      <c r="I19" s="6" t="s">
        <v>164</v>
      </c>
      <c r="J19" s="6">
        <v>21733361</v>
      </c>
      <c r="K19" s="6" t="str">
        <f t="shared" si="1"/>
        <v>21733361AV6</v>
      </c>
      <c r="L19" s="6" t="s">
        <v>196</v>
      </c>
      <c r="M19" s="6" t="s">
        <v>197</v>
      </c>
      <c r="N19" s="6" t="str">
        <f t="shared" si="2"/>
        <v>James Whitman</v>
      </c>
      <c r="O19" s="6" t="s">
        <v>57</v>
      </c>
      <c r="P19" s="7">
        <v>46100</v>
      </c>
      <c r="Q19" s="7">
        <v>46131</v>
      </c>
      <c r="R19" s="8">
        <v>23.9</v>
      </c>
      <c r="S19" s="6">
        <v>1</v>
      </c>
      <c r="T19" s="6" t="s">
        <v>58</v>
      </c>
      <c r="U19" s="6" t="s">
        <v>60</v>
      </c>
      <c r="V19" s="6" t="s">
        <v>61</v>
      </c>
      <c r="W19" s="6">
        <v>6</v>
      </c>
      <c r="X19" s="8">
        <v>8.9600000000000009</v>
      </c>
      <c r="Z19" s="6" t="s">
        <v>844</v>
      </c>
      <c r="AA19" s="6" t="s">
        <v>845</v>
      </c>
    </row>
    <row r="20" spans="1:27" s="6" customFormat="1" x14ac:dyDescent="0.3">
      <c r="A20" s="6">
        <v>2034383425</v>
      </c>
      <c r="B20" s="6" t="s">
        <v>110</v>
      </c>
      <c r="C20" s="6" t="s">
        <v>111</v>
      </c>
      <c r="D20" s="6" t="str">
        <f t="shared" si="0"/>
        <v>ASHLEE LANOUETTE</v>
      </c>
      <c r="E20" s="6" t="s">
        <v>112</v>
      </c>
      <c r="F20" s="6" t="s">
        <v>163</v>
      </c>
      <c r="G20" s="12">
        <v>0.375</v>
      </c>
      <c r="H20" s="6" t="s">
        <v>164</v>
      </c>
      <c r="I20" s="6" t="s">
        <v>164</v>
      </c>
      <c r="J20" s="6">
        <v>6634327</v>
      </c>
      <c r="K20" s="6" t="str">
        <f t="shared" si="1"/>
        <v>6634327AV6</v>
      </c>
      <c r="L20" s="6" t="s">
        <v>113</v>
      </c>
      <c r="M20" s="6" t="s">
        <v>114</v>
      </c>
      <c r="N20" s="6" t="str">
        <f t="shared" si="2"/>
        <v>Joel Lee</v>
      </c>
      <c r="O20" s="6" t="s">
        <v>57</v>
      </c>
      <c r="P20" s="7">
        <v>46113</v>
      </c>
      <c r="Q20" s="7">
        <v>46143</v>
      </c>
      <c r="R20" s="8">
        <v>55.79</v>
      </c>
      <c r="S20" s="6">
        <v>1</v>
      </c>
      <c r="T20" s="6" t="s">
        <v>58</v>
      </c>
      <c r="U20" s="6" t="s">
        <v>60</v>
      </c>
      <c r="V20" s="6" t="s">
        <v>61</v>
      </c>
      <c r="W20" s="6">
        <v>6</v>
      </c>
      <c r="X20" s="8">
        <v>20.92</v>
      </c>
      <c r="Z20" s="6" t="s">
        <v>844</v>
      </c>
      <c r="AA20" s="6" t="s">
        <v>845</v>
      </c>
    </row>
    <row r="21" spans="1:27" s="6" customFormat="1" x14ac:dyDescent="0.3">
      <c r="A21" s="6">
        <v>2034479519</v>
      </c>
      <c r="B21" s="6" t="s">
        <v>214</v>
      </c>
      <c r="C21" s="6" t="s">
        <v>215</v>
      </c>
      <c r="D21" s="6" t="str">
        <f t="shared" si="0"/>
        <v>DIANA POLLEY</v>
      </c>
      <c r="E21" s="6" t="s">
        <v>191</v>
      </c>
      <c r="F21" s="6" t="s">
        <v>163</v>
      </c>
      <c r="G21" s="12">
        <v>0.375</v>
      </c>
      <c r="H21" s="6" t="s">
        <v>164</v>
      </c>
      <c r="I21" s="6" t="s">
        <v>164</v>
      </c>
      <c r="J21" s="6">
        <v>21777079</v>
      </c>
      <c r="K21" s="6" t="str">
        <f t="shared" si="1"/>
        <v>21777079AV6</v>
      </c>
      <c r="L21" s="6" t="s">
        <v>216</v>
      </c>
      <c r="M21" s="6" t="s">
        <v>217</v>
      </c>
      <c r="N21" s="6" t="str">
        <f t="shared" si="2"/>
        <v>Makena Booker</v>
      </c>
      <c r="O21" s="6" t="s">
        <v>57</v>
      </c>
      <c r="P21" s="7">
        <v>46113</v>
      </c>
      <c r="Q21" s="7">
        <v>46143</v>
      </c>
      <c r="R21" s="8">
        <v>125.29</v>
      </c>
      <c r="S21" s="6">
        <v>1</v>
      </c>
      <c r="T21" s="6" t="s">
        <v>58</v>
      </c>
      <c r="U21" s="6" t="s">
        <v>60</v>
      </c>
      <c r="V21" s="6" t="s">
        <v>61</v>
      </c>
      <c r="W21" s="6">
        <v>6</v>
      </c>
      <c r="X21" s="8">
        <v>46.98</v>
      </c>
      <c r="Z21" s="6" t="s">
        <v>844</v>
      </c>
      <c r="AA21" s="6" t="s">
        <v>845</v>
      </c>
    </row>
    <row r="22" spans="1:27" s="6" customFormat="1" x14ac:dyDescent="0.3">
      <c r="A22" s="6">
        <v>2033835702</v>
      </c>
      <c r="B22" s="6" t="s">
        <v>69</v>
      </c>
      <c r="C22" s="6" t="s">
        <v>70</v>
      </c>
      <c r="D22" s="6" t="str">
        <f t="shared" si="0"/>
        <v>NORMA ROBLES</v>
      </c>
      <c r="E22" s="6" t="s">
        <v>64</v>
      </c>
      <c r="F22" s="6" t="s">
        <v>163</v>
      </c>
      <c r="G22" s="12">
        <v>0.375</v>
      </c>
      <c r="H22" s="6" t="s">
        <v>164</v>
      </c>
      <c r="I22" s="6" t="s">
        <v>164</v>
      </c>
      <c r="J22" s="6">
        <v>16633294</v>
      </c>
      <c r="K22" s="6" t="str">
        <f t="shared" si="1"/>
        <v>16633294AV6</v>
      </c>
      <c r="L22" s="6" t="s">
        <v>67</v>
      </c>
      <c r="M22" s="6" t="s">
        <v>68</v>
      </c>
      <c r="N22" s="6" t="str">
        <f t="shared" si="2"/>
        <v>Richard Yale</v>
      </c>
      <c r="O22" s="6" t="s">
        <v>57</v>
      </c>
      <c r="P22" s="7">
        <v>46082</v>
      </c>
      <c r="Q22" s="7">
        <v>46113</v>
      </c>
      <c r="R22" s="8">
        <v>78.760000000000005</v>
      </c>
      <c r="S22" s="6">
        <v>1</v>
      </c>
      <c r="T22" s="6" t="s">
        <v>58</v>
      </c>
      <c r="U22" s="6" t="s">
        <v>60</v>
      </c>
      <c r="V22" s="6" t="s">
        <v>61</v>
      </c>
      <c r="W22" s="6">
        <v>6</v>
      </c>
      <c r="X22" s="8">
        <v>29.54</v>
      </c>
      <c r="Z22" s="6" t="s">
        <v>844</v>
      </c>
      <c r="AA22" s="6" t="s">
        <v>845</v>
      </c>
    </row>
    <row r="23" spans="1:27" s="6" customFormat="1" x14ac:dyDescent="0.3">
      <c r="A23" s="6">
        <v>2034470495</v>
      </c>
      <c r="B23" s="6" t="s">
        <v>211</v>
      </c>
      <c r="C23" s="6" t="s">
        <v>212</v>
      </c>
      <c r="D23" s="6" t="str">
        <f t="shared" si="0"/>
        <v>ROBIN WEBSTER</v>
      </c>
      <c r="E23" s="6" t="s">
        <v>213</v>
      </c>
      <c r="F23" s="6" t="s">
        <v>163</v>
      </c>
      <c r="G23" s="12">
        <v>0.375</v>
      </c>
      <c r="H23" s="6" t="s">
        <v>164</v>
      </c>
      <c r="I23" s="6" t="s">
        <v>164</v>
      </c>
      <c r="J23" s="6">
        <v>16633294</v>
      </c>
      <c r="K23" s="6" t="str">
        <f t="shared" si="1"/>
        <v>16633294AV6</v>
      </c>
      <c r="L23" s="6" t="s">
        <v>67</v>
      </c>
      <c r="M23" s="6" t="s">
        <v>68</v>
      </c>
      <c r="N23" s="6" t="str">
        <f t="shared" si="2"/>
        <v>Richard Yale</v>
      </c>
      <c r="O23" s="6" t="s">
        <v>57</v>
      </c>
      <c r="P23" s="7">
        <v>46103</v>
      </c>
      <c r="Q23" s="7">
        <v>46134</v>
      </c>
      <c r="R23" s="8">
        <v>43.72</v>
      </c>
      <c r="S23" s="6">
        <v>1</v>
      </c>
      <c r="T23" s="6" t="s">
        <v>58</v>
      </c>
      <c r="U23" s="6" t="s">
        <v>60</v>
      </c>
      <c r="V23" s="6" t="s">
        <v>61</v>
      </c>
      <c r="W23" s="6">
        <v>6</v>
      </c>
      <c r="X23" s="8">
        <v>16.399999999999999</v>
      </c>
      <c r="Z23" s="6" t="s">
        <v>844</v>
      </c>
      <c r="AA23" s="6" t="s">
        <v>845</v>
      </c>
    </row>
    <row r="24" spans="1:27" s="6" customFormat="1" x14ac:dyDescent="0.3">
      <c r="A24" s="6">
        <v>2034401982</v>
      </c>
      <c r="B24" s="6" t="s">
        <v>182</v>
      </c>
      <c r="C24" s="6" t="s">
        <v>183</v>
      </c>
      <c r="D24" s="6" t="str">
        <f t="shared" si="0"/>
        <v>DYWREN OATS</v>
      </c>
      <c r="E24" s="6" t="s">
        <v>184</v>
      </c>
      <c r="F24" s="6" t="s">
        <v>163</v>
      </c>
      <c r="G24" s="12">
        <v>0.375</v>
      </c>
      <c r="H24" s="6" t="s">
        <v>164</v>
      </c>
      <c r="I24" s="6" t="s">
        <v>164</v>
      </c>
      <c r="J24" s="6">
        <v>371819</v>
      </c>
      <c r="K24" s="6" t="str">
        <f t="shared" si="1"/>
        <v>371819AV6</v>
      </c>
      <c r="L24" s="6" t="s">
        <v>185</v>
      </c>
      <c r="M24" s="6" t="s">
        <v>186</v>
      </c>
      <c r="N24" s="6" t="str">
        <f t="shared" si="2"/>
        <v>THOMAS PARDUE</v>
      </c>
      <c r="O24" s="6" t="s">
        <v>57</v>
      </c>
      <c r="P24" s="7">
        <v>46099</v>
      </c>
      <c r="Q24" s="7">
        <v>46130</v>
      </c>
      <c r="R24" s="8">
        <v>79.5</v>
      </c>
      <c r="S24" s="6">
        <v>1</v>
      </c>
      <c r="T24" s="6" t="s">
        <v>58</v>
      </c>
      <c r="U24" s="6" t="s">
        <v>60</v>
      </c>
      <c r="V24" s="6" t="s">
        <v>61</v>
      </c>
      <c r="W24" s="6">
        <v>6</v>
      </c>
      <c r="X24" s="8">
        <v>29.81</v>
      </c>
      <c r="Z24" s="6" t="s">
        <v>844</v>
      </c>
      <c r="AA24" s="6" t="s">
        <v>845</v>
      </c>
    </row>
    <row r="25" spans="1:27" s="6" customFormat="1" x14ac:dyDescent="0.3">
      <c r="A25" s="6">
        <v>2034416508</v>
      </c>
      <c r="B25" s="6" t="s">
        <v>187</v>
      </c>
      <c r="C25" s="6" t="s">
        <v>188</v>
      </c>
      <c r="D25" s="6" t="str">
        <f t="shared" si="0"/>
        <v>ASHLEN CORDES</v>
      </c>
      <c r="E25" s="6" t="s">
        <v>64</v>
      </c>
      <c r="F25" s="6" t="s">
        <v>163</v>
      </c>
      <c r="G25" s="12">
        <v>0.375</v>
      </c>
      <c r="H25" s="6" t="s">
        <v>164</v>
      </c>
      <c r="I25" s="6" t="s">
        <v>164</v>
      </c>
      <c r="J25" s="6">
        <v>371819</v>
      </c>
      <c r="K25" s="6" t="str">
        <f t="shared" si="1"/>
        <v>371819AV6</v>
      </c>
      <c r="L25" s="6" t="s">
        <v>185</v>
      </c>
      <c r="M25" s="6" t="s">
        <v>186</v>
      </c>
      <c r="N25" s="6" t="str">
        <f t="shared" si="2"/>
        <v>THOMAS PARDUE</v>
      </c>
      <c r="O25" s="6" t="s">
        <v>57</v>
      </c>
      <c r="P25" s="7">
        <v>46100</v>
      </c>
      <c r="Q25" s="7">
        <v>46131</v>
      </c>
      <c r="R25" s="8">
        <v>64.349999999999994</v>
      </c>
      <c r="S25" s="6">
        <v>1</v>
      </c>
      <c r="T25" s="6" t="s">
        <v>58</v>
      </c>
      <c r="U25" s="6" t="s">
        <v>60</v>
      </c>
      <c r="V25" s="6" t="s">
        <v>61</v>
      </c>
      <c r="W25" s="6">
        <v>6</v>
      </c>
      <c r="X25" s="8">
        <v>24.13</v>
      </c>
      <c r="Z25" s="6" t="s">
        <v>844</v>
      </c>
      <c r="AA25" s="6" t="s">
        <v>845</v>
      </c>
    </row>
    <row r="26" spans="1:27" s="6" customFormat="1" x14ac:dyDescent="0.3">
      <c r="A26" s="6">
        <v>2034426380</v>
      </c>
      <c r="B26" s="6" t="s">
        <v>189</v>
      </c>
      <c r="C26" s="6" t="s">
        <v>190</v>
      </c>
      <c r="D26" s="6" t="str">
        <f t="shared" si="0"/>
        <v>MELISSA CASTANEDA</v>
      </c>
      <c r="E26" s="6" t="s">
        <v>191</v>
      </c>
      <c r="F26" s="6" t="s">
        <v>163</v>
      </c>
      <c r="G26" s="12">
        <v>0.375</v>
      </c>
      <c r="H26" s="6" t="s">
        <v>164</v>
      </c>
      <c r="I26" s="6" t="s">
        <v>164</v>
      </c>
      <c r="J26" s="6">
        <v>371819</v>
      </c>
      <c r="K26" s="6" t="str">
        <f t="shared" si="1"/>
        <v>371819AV6</v>
      </c>
      <c r="L26" s="6" t="s">
        <v>185</v>
      </c>
      <c r="M26" s="6" t="s">
        <v>186</v>
      </c>
      <c r="N26" s="6" t="str">
        <f t="shared" si="2"/>
        <v>THOMAS PARDUE</v>
      </c>
      <c r="O26" s="6" t="s">
        <v>57</v>
      </c>
      <c r="P26" s="7">
        <v>46104</v>
      </c>
      <c r="Q26" s="7">
        <v>46135</v>
      </c>
      <c r="R26" s="8">
        <v>148.81</v>
      </c>
      <c r="S26" s="6">
        <v>1</v>
      </c>
      <c r="T26" s="6" t="s">
        <v>58</v>
      </c>
      <c r="U26" s="6" t="s">
        <v>60</v>
      </c>
      <c r="V26" s="6" t="s">
        <v>61</v>
      </c>
      <c r="W26" s="6">
        <v>6</v>
      </c>
      <c r="X26" s="8">
        <v>55.8</v>
      </c>
      <c r="Z26" s="6" t="s">
        <v>844</v>
      </c>
      <c r="AA26" s="6" t="s">
        <v>845</v>
      </c>
    </row>
    <row r="27" spans="1:27" s="6" customFormat="1" x14ac:dyDescent="0.3">
      <c r="A27" s="6">
        <v>2034427349</v>
      </c>
      <c r="B27" s="6" t="s">
        <v>192</v>
      </c>
      <c r="C27" s="6" t="s">
        <v>193</v>
      </c>
      <c r="D27" s="6" t="str">
        <f t="shared" si="0"/>
        <v>RENE DOLITTLE</v>
      </c>
      <c r="E27" s="6" t="s">
        <v>86</v>
      </c>
      <c r="F27" s="6" t="s">
        <v>163</v>
      </c>
      <c r="G27" s="12">
        <v>0.375</v>
      </c>
      <c r="H27" s="6" t="s">
        <v>164</v>
      </c>
      <c r="I27" s="6" t="s">
        <v>164</v>
      </c>
      <c r="J27" s="6">
        <v>371819</v>
      </c>
      <c r="K27" s="6" t="str">
        <f t="shared" si="1"/>
        <v>371819AV6</v>
      </c>
      <c r="L27" s="6" t="s">
        <v>185</v>
      </c>
      <c r="M27" s="6" t="s">
        <v>186</v>
      </c>
      <c r="N27" s="6" t="str">
        <f t="shared" si="2"/>
        <v>THOMAS PARDUE</v>
      </c>
      <c r="O27" s="6" t="s">
        <v>57</v>
      </c>
      <c r="P27" s="7">
        <v>46100</v>
      </c>
      <c r="Q27" s="7">
        <v>46131</v>
      </c>
      <c r="R27" s="8">
        <v>122.21</v>
      </c>
      <c r="S27" s="6">
        <v>1</v>
      </c>
      <c r="T27" s="6" t="s">
        <v>58</v>
      </c>
      <c r="U27" s="6" t="s">
        <v>60</v>
      </c>
      <c r="V27" s="6" t="s">
        <v>61</v>
      </c>
      <c r="W27" s="6">
        <v>6</v>
      </c>
      <c r="X27" s="8">
        <v>45.83</v>
      </c>
      <c r="Z27" s="6" t="s">
        <v>844</v>
      </c>
      <c r="AA27" s="6" t="s">
        <v>845</v>
      </c>
    </row>
    <row r="28" spans="1:27" s="6" customFormat="1" x14ac:dyDescent="0.3">
      <c r="A28" s="6">
        <v>2034439981</v>
      </c>
      <c r="B28" s="6" t="s">
        <v>198</v>
      </c>
      <c r="C28" s="6" t="s">
        <v>199</v>
      </c>
      <c r="D28" s="6" t="str">
        <f t="shared" si="0"/>
        <v>WARREN SHIRLEY</v>
      </c>
      <c r="E28" s="6" t="s">
        <v>191</v>
      </c>
      <c r="F28" s="6" t="s">
        <v>163</v>
      </c>
      <c r="G28" s="12">
        <v>0.375</v>
      </c>
      <c r="H28" s="6" t="s">
        <v>164</v>
      </c>
      <c r="I28" s="6" t="s">
        <v>164</v>
      </c>
      <c r="J28" s="6">
        <v>371819</v>
      </c>
      <c r="K28" s="6" t="str">
        <f t="shared" si="1"/>
        <v>371819AV6</v>
      </c>
      <c r="L28" s="6" t="s">
        <v>185</v>
      </c>
      <c r="M28" s="6" t="s">
        <v>186</v>
      </c>
      <c r="N28" s="6" t="str">
        <f t="shared" si="2"/>
        <v>THOMAS PARDUE</v>
      </c>
      <c r="O28" s="6" t="s">
        <v>57</v>
      </c>
      <c r="P28" s="7">
        <v>46102</v>
      </c>
      <c r="Q28" s="7">
        <v>46133</v>
      </c>
      <c r="R28" s="8">
        <v>27.85</v>
      </c>
      <c r="S28" s="6">
        <v>1</v>
      </c>
      <c r="T28" s="6" t="s">
        <v>58</v>
      </c>
      <c r="U28" s="6" t="s">
        <v>60</v>
      </c>
      <c r="V28" s="6" t="s">
        <v>61</v>
      </c>
      <c r="W28" s="6">
        <v>6</v>
      </c>
      <c r="X28" s="8">
        <v>10.44</v>
      </c>
      <c r="Z28" s="6" t="s">
        <v>844</v>
      </c>
      <c r="AA28" s="6" t="s">
        <v>845</v>
      </c>
    </row>
    <row r="29" spans="1:27" s="6" customFormat="1" x14ac:dyDescent="0.3">
      <c r="A29" s="6">
        <v>2034020382</v>
      </c>
      <c r="B29" s="6" t="s">
        <v>173</v>
      </c>
      <c r="C29" s="6" t="s">
        <v>174</v>
      </c>
      <c r="D29" s="6" t="str">
        <f t="shared" si="0"/>
        <v>CURTIS SCOTT</v>
      </c>
      <c r="E29" s="6" t="s">
        <v>86</v>
      </c>
      <c r="F29" s="6" t="s">
        <v>163</v>
      </c>
      <c r="G29" s="12">
        <v>0.375</v>
      </c>
      <c r="H29" s="6" t="s">
        <v>164</v>
      </c>
      <c r="I29" s="6" t="s">
        <v>164</v>
      </c>
      <c r="J29" s="6">
        <v>21744152</v>
      </c>
      <c r="K29" s="6" t="str">
        <f t="shared" si="1"/>
        <v>21744152AV6</v>
      </c>
      <c r="L29" s="6" t="s">
        <v>175</v>
      </c>
      <c r="M29" s="6" t="s">
        <v>176</v>
      </c>
      <c r="N29" s="6" t="str">
        <f t="shared" si="2"/>
        <v>Wendy Sorrentino</v>
      </c>
      <c r="O29" s="6" t="s">
        <v>57</v>
      </c>
      <c r="P29" s="7">
        <v>46088</v>
      </c>
      <c r="Q29" s="7">
        <v>46119</v>
      </c>
      <c r="R29" s="8">
        <v>43.46</v>
      </c>
      <c r="S29" s="6">
        <v>1</v>
      </c>
      <c r="T29" s="6" t="s">
        <v>58</v>
      </c>
      <c r="U29" s="6" t="s">
        <v>60</v>
      </c>
      <c r="V29" s="6" t="s">
        <v>61</v>
      </c>
      <c r="W29" s="6">
        <v>6</v>
      </c>
      <c r="X29" s="8">
        <v>16.3</v>
      </c>
      <c r="Z29" s="6" t="s">
        <v>844</v>
      </c>
      <c r="AA29" s="6" t="s">
        <v>845</v>
      </c>
    </row>
    <row r="30" spans="1:27" s="6" customFormat="1" x14ac:dyDescent="0.3">
      <c r="A30" s="6">
        <v>2034383426</v>
      </c>
      <c r="B30" s="6" t="s">
        <v>110</v>
      </c>
      <c r="C30" s="6" t="s">
        <v>111</v>
      </c>
      <c r="D30" s="6" t="str">
        <f t="shared" si="0"/>
        <v>ASHLEE LANOUETTE</v>
      </c>
      <c r="E30" s="6" t="s">
        <v>112</v>
      </c>
      <c r="F30" s="6" t="s">
        <v>220</v>
      </c>
      <c r="G30" s="11">
        <v>0.38</v>
      </c>
      <c r="H30" s="6" t="s">
        <v>221</v>
      </c>
      <c r="I30" s="6" t="s">
        <v>221</v>
      </c>
      <c r="J30" s="6">
        <v>6634327</v>
      </c>
      <c r="K30" s="6" t="str">
        <f t="shared" si="1"/>
        <v>6634327AV6</v>
      </c>
      <c r="L30" s="6" t="s">
        <v>113</v>
      </c>
      <c r="M30" s="6" t="s">
        <v>114</v>
      </c>
      <c r="N30" s="6" t="str">
        <f t="shared" si="2"/>
        <v>Joel Lee</v>
      </c>
      <c r="O30" s="6" t="s">
        <v>57</v>
      </c>
      <c r="P30" s="7">
        <v>46113</v>
      </c>
      <c r="Q30" s="7">
        <v>46143</v>
      </c>
      <c r="R30" s="8">
        <v>18.079999999999998</v>
      </c>
      <c r="S30" s="6">
        <v>1</v>
      </c>
      <c r="T30" s="6" t="s">
        <v>58</v>
      </c>
      <c r="U30" s="6" t="s">
        <v>60</v>
      </c>
      <c r="V30" s="6" t="s">
        <v>61</v>
      </c>
      <c r="W30" s="6">
        <v>6</v>
      </c>
      <c r="X30" s="8">
        <v>6.87</v>
      </c>
      <c r="Z30" s="6" t="s">
        <v>844</v>
      </c>
      <c r="AA30" s="6" t="s">
        <v>845</v>
      </c>
    </row>
    <row r="31" spans="1:27" s="6" customFormat="1" x14ac:dyDescent="0.3">
      <c r="A31" s="6">
        <v>2034385370</v>
      </c>
      <c r="B31" s="6" t="s">
        <v>155</v>
      </c>
      <c r="C31" s="6" t="s">
        <v>156</v>
      </c>
      <c r="D31" s="6" t="str">
        <f t="shared" si="0"/>
        <v>AXEL CASTELLANOS</v>
      </c>
      <c r="E31" s="6" t="s">
        <v>64</v>
      </c>
      <c r="F31" s="6" t="s">
        <v>220</v>
      </c>
      <c r="G31" s="11">
        <v>0.38</v>
      </c>
      <c r="H31" s="6" t="s">
        <v>221</v>
      </c>
      <c r="I31" s="6" t="s">
        <v>221</v>
      </c>
      <c r="J31" s="6">
        <v>20212926</v>
      </c>
      <c r="K31" s="6" t="str">
        <f t="shared" si="1"/>
        <v>20212926AV6</v>
      </c>
      <c r="L31" s="6" t="s">
        <v>159</v>
      </c>
      <c r="M31" s="6" t="s">
        <v>160</v>
      </c>
      <c r="N31" s="6" t="str">
        <f t="shared" si="2"/>
        <v>JOSE TORRES</v>
      </c>
      <c r="O31" s="6" t="s">
        <v>57</v>
      </c>
      <c r="P31" s="7">
        <v>46098</v>
      </c>
      <c r="Q31" s="7">
        <v>46129</v>
      </c>
      <c r="R31" s="8">
        <v>42.1</v>
      </c>
      <c r="S31" s="6">
        <v>1</v>
      </c>
      <c r="T31" s="6" t="s">
        <v>58</v>
      </c>
      <c r="U31" s="6" t="s">
        <v>60</v>
      </c>
      <c r="V31" s="6" t="s">
        <v>61</v>
      </c>
      <c r="W31" s="6">
        <v>6</v>
      </c>
      <c r="X31" s="8">
        <v>16</v>
      </c>
      <c r="Z31" s="6" t="s">
        <v>844</v>
      </c>
      <c r="AA31" s="6" t="s">
        <v>845</v>
      </c>
    </row>
    <row r="32" spans="1:27" s="6" customFormat="1" x14ac:dyDescent="0.3">
      <c r="A32" s="6">
        <v>2034483030</v>
      </c>
      <c r="B32" s="6" t="s">
        <v>151</v>
      </c>
      <c r="C32" s="6" t="s">
        <v>152</v>
      </c>
      <c r="D32" s="6" t="str">
        <f t="shared" si="0"/>
        <v>KETURAH GRANDSTAFF</v>
      </c>
      <c r="E32" s="6" t="s">
        <v>80</v>
      </c>
      <c r="F32" s="6" t="s">
        <v>222</v>
      </c>
      <c r="G32" s="11">
        <v>0.42</v>
      </c>
      <c r="H32" s="6" t="s">
        <v>228</v>
      </c>
      <c r="I32" s="6" t="s">
        <v>228</v>
      </c>
      <c r="J32" s="6">
        <v>16912722</v>
      </c>
      <c r="K32" s="6" t="str">
        <f t="shared" si="1"/>
        <v>16912722AV6</v>
      </c>
      <c r="L32" s="6" t="s">
        <v>153</v>
      </c>
      <c r="M32" s="6" t="s">
        <v>154</v>
      </c>
      <c r="N32" s="6" t="str">
        <f t="shared" si="2"/>
        <v>ANDREA PETRUNGARO</v>
      </c>
      <c r="O32" s="6" t="s">
        <v>57</v>
      </c>
      <c r="P32" s="7">
        <v>46102</v>
      </c>
      <c r="Q32" s="7">
        <v>46133</v>
      </c>
      <c r="R32" s="8">
        <v>86.66</v>
      </c>
      <c r="S32" s="6">
        <v>1</v>
      </c>
      <c r="T32" s="6" t="s">
        <v>58</v>
      </c>
      <c r="U32" s="6" t="s">
        <v>60</v>
      </c>
      <c r="V32" s="6" t="s">
        <v>61</v>
      </c>
      <c r="W32" s="6">
        <v>6</v>
      </c>
      <c r="X32" s="8">
        <v>36.4</v>
      </c>
      <c r="Z32" s="6" t="s">
        <v>844</v>
      </c>
      <c r="AA32" s="6" t="s">
        <v>845</v>
      </c>
    </row>
    <row r="33" spans="1:27" s="6" customFormat="1" x14ac:dyDescent="0.3">
      <c r="A33" s="6">
        <v>2034373766</v>
      </c>
      <c r="B33" s="6" t="s">
        <v>89</v>
      </c>
      <c r="C33" s="6" t="s">
        <v>90</v>
      </c>
      <c r="D33" s="6" t="str">
        <f t="shared" si="0"/>
        <v>DYLAN BRANIA</v>
      </c>
      <c r="E33" s="6" t="s">
        <v>64</v>
      </c>
      <c r="F33" s="6" t="s">
        <v>222</v>
      </c>
      <c r="G33" s="11">
        <v>0.7</v>
      </c>
      <c r="H33" s="6" t="s">
        <v>223</v>
      </c>
      <c r="I33" s="6" t="s">
        <v>223</v>
      </c>
      <c r="J33" s="6">
        <v>7470776</v>
      </c>
      <c r="K33" s="6" t="str">
        <f t="shared" si="1"/>
        <v>7470776AV6</v>
      </c>
      <c r="L33" s="6" t="s">
        <v>91</v>
      </c>
      <c r="M33" s="6" t="s">
        <v>92</v>
      </c>
      <c r="N33" s="6" t="str">
        <f t="shared" si="2"/>
        <v>Andrew Choi</v>
      </c>
      <c r="O33" s="6" t="s">
        <v>57</v>
      </c>
      <c r="P33" s="7">
        <v>46140</v>
      </c>
      <c r="Q33" s="7">
        <v>46170</v>
      </c>
      <c r="R33" s="8">
        <v>19</v>
      </c>
      <c r="S33" s="6">
        <v>1</v>
      </c>
      <c r="T33" s="6" t="s">
        <v>58</v>
      </c>
      <c r="U33" s="6" t="s">
        <v>60</v>
      </c>
      <c r="V33" s="6" t="s">
        <v>61</v>
      </c>
      <c r="W33" s="6">
        <v>6</v>
      </c>
      <c r="X33" s="8">
        <v>13.3</v>
      </c>
      <c r="Z33" s="6" t="s">
        <v>844</v>
      </c>
      <c r="AA33" s="6" t="s">
        <v>845</v>
      </c>
    </row>
    <row r="34" spans="1:27" s="6" customFormat="1" x14ac:dyDescent="0.3">
      <c r="A34" s="6">
        <v>2034384125</v>
      </c>
      <c r="B34" s="6" t="s">
        <v>177</v>
      </c>
      <c r="C34" s="6" t="s">
        <v>173</v>
      </c>
      <c r="D34" s="6" t="str">
        <f t="shared" ref="D34:D65" si="3">_xlfn.CONCAT(C34," ",B34)</f>
        <v>SCOTT SESSO</v>
      </c>
      <c r="E34" s="6" t="s">
        <v>129</v>
      </c>
      <c r="F34" s="6" t="s">
        <v>222</v>
      </c>
      <c r="G34" s="11">
        <v>0.7</v>
      </c>
      <c r="H34" s="6" t="s">
        <v>223</v>
      </c>
      <c r="I34" s="6" t="s">
        <v>223</v>
      </c>
      <c r="J34" s="6">
        <v>7470776</v>
      </c>
      <c r="K34" s="6" t="str">
        <f t="shared" ref="K34:K65" si="4">_xlfn.CONCAT(J34,"AV6")</f>
        <v>7470776AV6</v>
      </c>
      <c r="L34" s="6" t="s">
        <v>91</v>
      </c>
      <c r="M34" s="6" t="s">
        <v>92</v>
      </c>
      <c r="N34" s="6" t="str">
        <f t="shared" ref="N34:N65" si="5">_xlfn.CONCAT(M34," ",L34)</f>
        <v>Andrew Choi</v>
      </c>
      <c r="O34" s="6" t="s">
        <v>57</v>
      </c>
      <c r="P34" s="7">
        <v>46107</v>
      </c>
      <c r="Q34" s="7">
        <v>46138</v>
      </c>
      <c r="R34" s="8">
        <v>19.46</v>
      </c>
      <c r="S34" s="6">
        <v>1</v>
      </c>
      <c r="T34" s="6" t="s">
        <v>58</v>
      </c>
      <c r="U34" s="6" t="s">
        <v>60</v>
      </c>
      <c r="V34" s="6" t="s">
        <v>61</v>
      </c>
      <c r="W34" s="6">
        <v>6</v>
      </c>
      <c r="X34" s="8">
        <v>13.62</v>
      </c>
      <c r="Z34" s="6" t="s">
        <v>844</v>
      </c>
      <c r="AA34" s="6" t="s">
        <v>845</v>
      </c>
    </row>
    <row r="35" spans="1:27" s="6" customFormat="1" x14ac:dyDescent="0.3">
      <c r="A35" s="6">
        <v>2034379293</v>
      </c>
      <c r="B35" s="6" t="s">
        <v>106</v>
      </c>
      <c r="C35" s="6" t="s">
        <v>107</v>
      </c>
      <c r="D35" s="6" t="str">
        <f t="shared" si="3"/>
        <v>FARID MANIYEV</v>
      </c>
      <c r="E35" s="6" t="s">
        <v>103</v>
      </c>
      <c r="F35" s="6" t="s">
        <v>222</v>
      </c>
      <c r="G35" s="11">
        <v>0.42</v>
      </c>
      <c r="H35" s="6" t="s">
        <v>228</v>
      </c>
      <c r="I35" s="6" t="s">
        <v>228</v>
      </c>
      <c r="J35" s="6">
        <v>17554531</v>
      </c>
      <c r="K35" s="6" t="str">
        <f t="shared" si="4"/>
        <v>17554531AV6</v>
      </c>
      <c r="L35" s="6" t="s">
        <v>108</v>
      </c>
      <c r="M35" s="6" t="s">
        <v>109</v>
      </c>
      <c r="N35" s="6" t="str">
        <f t="shared" si="5"/>
        <v>Brittany Oliver</v>
      </c>
      <c r="O35" s="6" t="s">
        <v>57</v>
      </c>
      <c r="P35" s="7">
        <v>46113</v>
      </c>
      <c r="Q35" s="7">
        <v>46143</v>
      </c>
      <c r="R35" s="8">
        <v>27.8</v>
      </c>
      <c r="S35" s="6">
        <v>1</v>
      </c>
      <c r="T35" s="6" t="s">
        <v>58</v>
      </c>
      <c r="U35" s="6" t="s">
        <v>60</v>
      </c>
      <c r="V35" s="6" t="s">
        <v>61</v>
      </c>
      <c r="W35" s="6">
        <v>6</v>
      </c>
      <c r="X35" s="8">
        <v>11.68</v>
      </c>
      <c r="Z35" s="6" t="s">
        <v>844</v>
      </c>
      <c r="AA35" s="6" t="s">
        <v>845</v>
      </c>
    </row>
    <row r="36" spans="1:27" s="6" customFormat="1" x14ac:dyDescent="0.3">
      <c r="A36" s="6">
        <v>2034346333</v>
      </c>
      <c r="B36" s="6" t="s">
        <v>78</v>
      </c>
      <c r="C36" s="6" t="s">
        <v>79</v>
      </c>
      <c r="D36" s="6" t="str">
        <f t="shared" si="3"/>
        <v>MISTER ISBELLE</v>
      </c>
      <c r="E36" s="6" t="s">
        <v>80</v>
      </c>
      <c r="F36" s="6" t="s">
        <v>222</v>
      </c>
      <c r="G36" s="11">
        <v>0.9</v>
      </c>
      <c r="H36" s="6" t="s">
        <v>224</v>
      </c>
      <c r="I36" s="6" t="s">
        <v>224</v>
      </c>
      <c r="J36" s="6">
        <v>8046194</v>
      </c>
      <c r="K36" s="6" t="str">
        <f t="shared" si="4"/>
        <v>8046194AV6</v>
      </c>
      <c r="L36" s="6" t="s">
        <v>82</v>
      </c>
      <c r="M36" s="6" t="s">
        <v>83</v>
      </c>
      <c r="N36" s="6" t="str">
        <f t="shared" si="5"/>
        <v>H Allan</v>
      </c>
      <c r="O36" s="6" t="s">
        <v>57</v>
      </c>
      <c r="P36" s="7">
        <v>46101</v>
      </c>
      <c r="Q36" s="7">
        <v>46132</v>
      </c>
      <c r="R36" s="8">
        <v>74.92</v>
      </c>
      <c r="S36" s="6">
        <v>1</v>
      </c>
      <c r="T36" s="6" t="s">
        <v>58</v>
      </c>
      <c r="U36" s="6" t="s">
        <v>60</v>
      </c>
      <c r="V36" s="6" t="s">
        <v>61</v>
      </c>
      <c r="W36" s="6">
        <v>6</v>
      </c>
      <c r="X36" s="8">
        <v>67.430000000000007</v>
      </c>
      <c r="Z36" s="6" t="s">
        <v>844</v>
      </c>
      <c r="AA36" s="6" t="s">
        <v>845</v>
      </c>
    </row>
    <row r="37" spans="1:27" s="6" customFormat="1" x14ac:dyDescent="0.3">
      <c r="A37" s="6">
        <v>2034443385</v>
      </c>
      <c r="B37" s="6" t="s">
        <v>203</v>
      </c>
      <c r="C37" s="6" t="s">
        <v>204</v>
      </c>
      <c r="D37" s="6" t="str">
        <f t="shared" si="3"/>
        <v>DANIELLE LOPEZ</v>
      </c>
      <c r="E37" s="6" t="s">
        <v>205</v>
      </c>
      <c r="F37" s="6" t="s">
        <v>222</v>
      </c>
      <c r="G37" s="11">
        <v>0.7</v>
      </c>
      <c r="H37" s="6" t="s">
        <v>223</v>
      </c>
      <c r="I37" s="6" t="s">
        <v>223</v>
      </c>
      <c r="J37" s="6">
        <v>19617796</v>
      </c>
      <c r="K37" s="6" t="str">
        <f t="shared" si="4"/>
        <v>19617796AV6</v>
      </c>
      <c r="L37" s="6" t="s">
        <v>206</v>
      </c>
      <c r="M37" s="6" t="s">
        <v>207</v>
      </c>
      <c r="N37" s="6" t="str">
        <f t="shared" si="5"/>
        <v>Heidi Berthelsen</v>
      </c>
      <c r="O37" s="6" t="s">
        <v>57</v>
      </c>
      <c r="P37" s="7">
        <v>46101</v>
      </c>
      <c r="Q37" s="7">
        <v>46132</v>
      </c>
      <c r="R37" s="8">
        <v>73.56</v>
      </c>
      <c r="S37" s="6">
        <v>1</v>
      </c>
      <c r="T37" s="6" t="s">
        <v>58</v>
      </c>
      <c r="U37" s="6" t="s">
        <v>60</v>
      </c>
      <c r="V37" s="6" t="s">
        <v>61</v>
      </c>
      <c r="W37" s="6">
        <v>6</v>
      </c>
      <c r="X37" s="8">
        <v>51.49</v>
      </c>
      <c r="Z37" s="6" t="s">
        <v>844</v>
      </c>
      <c r="AA37" s="6" t="s">
        <v>845</v>
      </c>
    </row>
    <row r="38" spans="1:27" s="6" customFormat="1" x14ac:dyDescent="0.3">
      <c r="A38" s="6">
        <v>2034443386</v>
      </c>
      <c r="B38" s="6" t="s">
        <v>203</v>
      </c>
      <c r="C38" s="6" t="s">
        <v>204</v>
      </c>
      <c r="D38" s="6" t="str">
        <f t="shared" si="3"/>
        <v>DANIELLE LOPEZ</v>
      </c>
      <c r="E38" s="6" t="s">
        <v>205</v>
      </c>
      <c r="F38" s="6" t="s">
        <v>222</v>
      </c>
      <c r="G38" s="11">
        <v>0.9</v>
      </c>
      <c r="H38" s="6" t="s">
        <v>224</v>
      </c>
      <c r="I38" s="6" t="s">
        <v>224</v>
      </c>
      <c r="J38" s="6">
        <v>19617796</v>
      </c>
      <c r="K38" s="6" t="str">
        <f t="shared" si="4"/>
        <v>19617796AV6</v>
      </c>
      <c r="L38" s="6" t="s">
        <v>206</v>
      </c>
      <c r="M38" s="6" t="s">
        <v>207</v>
      </c>
      <c r="N38" s="6" t="str">
        <f t="shared" si="5"/>
        <v>Heidi Berthelsen</v>
      </c>
      <c r="O38" s="6" t="s">
        <v>57</v>
      </c>
      <c r="P38" s="7">
        <v>46101</v>
      </c>
      <c r="Q38" s="7">
        <v>46132</v>
      </c>
      <c r="R38" s="8">
        <v>30.75</v>
      </c>
      <c r="S38" s="6">
        <v>1</v>
      </c>
      <c r="T38" s="6" t="s">
        <v>58</v>
      </c>
      <c r="U38" s="6" t="s">
        <v>60</v>
      </c>
      <c r="V38" s="6" t="s">
        <v>61</v>
      </c>
      <c r="W38" s="6">
        <v>6</v>
      </c>
      <c r="X38" s="8">
        <v>27.68</v>
      </c>
      <c r="Z38" s="6" t="s">
        <v>844</v>
      </c>
      <c r="AA38" s="6" t="s">
        <v>845</v>
      </c>
    </row>
    <row r="39" spans="1:27" s="6" customFormat="1" x14ac:dyDescent="0.3">
      <c r="A39" s="6">
        <v>2033593100</v>
      </c>
      <c r="B39" s="6" t="s">
        <v>161</v>
      </c>
      <c r="C39" s="6" t="s">
        <v>162</v>
      </c>
      <c r="D39" s="6" t="str">
        <f t="shared" si="3"/>
        <v>JOSHUA EDWARDS</v>
      </c>
      <c r="E39" s="6" t="s">
        <v>86</v>
      </c>
      <c r="F39" s="6" t="s">
        <v>222</v>
      </c>
      <c r="G39" s="11">
        <v>0.7</v>
      </c>
      <c r="H39" s="6" t="s">
        <v>223</v>
      </c>
      <c r="I39" s="6" t="s">
        <v>223</v>
      </c>
      <c r="J39" s="6">
        <v>17117649</v>
      </c>
      <c r="K39" s="6" t="str">
        <f t="shared" si="4"/>
        <v>17117649AV6</v>
      </c>
      <c r="L39" s="6" t="s">
        <v>165</v>
      </c>
      <c r="M39" s="6" t="s">
        <v>166</v>
      </c>
      <c r="N39" s="6" t="str">
        <f t="shared" si="5"/>
        <v>Ines Berg</v>
      </c>
      <c r="O39" s="6" t="s">
        <v>57</v>
      </c>
      <c r="P39" s="7">
        <v>46082</v>
      </c>
      <c r="Q39" s="7">
        <v>46113</v>
      </c>
      <c r="R39" s="8">
        <v>10.43</v>
      </c>
      <c r="S39" s="6">
        <v>1</v>
      </c>
      <c r="T39" s="6" t="s">
        <v>58</v>
      </c>
      <c r="U39" s="6" t="s">
        <v>60</v>
      </c>
      <c r="V39" s="6" t="s">
        <v>61</v>
      </c>
      <c r="W39" s="6">
        <v>6</v>
      </c>
      <c r="X39" s="8">
        <v>7.3</v>
      </c>
      <c r="Z39" s="6" t="s">
        <v>844</v>
      </c>
      <c r="AA39" s="6" t="s">
        <v>845</v>
      </c>
    </row>
    <row r="40" spans="1:27" s="6" customFormat="1" x14ac:dyDescent="0.3">
      <c r="A40" s="6">
        <v>2034383427</v>
      </c>
      <c r="B40" s="6" t="s">
        <v>110</v>
      </c>
      <c r="C40" s="6" t="s">
        <v>111</v>
      </c>
      <c r="D40" s="6" t="str">
        <f t="shared" si="3"/>
        <v>ASHLEE LANOUETTE</v>
      </c>
      <c r="E40" s="6" t="s">
        <v>112</v>
      </c>
      <c r="F40" s="6" t="s">
        <v>222</v>
      </c>
      <c r="G40" s="11">
        <v>0.7</v>
      </c>
      <c r="H40" s="6" t="s">
        <v>223</v>
      </c>
      <c r="I40" s="6" t="s">
        <v>223</v>
      </c>
      <c r="J40" s="6">
        <v>6634327</v>
      </c>
      <c r="K40" s="6" t="str">
        <f t="shared" si="4"/>
        <v>6634327AV6</v>
      </c>
      <c r="L40" s="6" t="s">
        <v>113</v>
      </c>
      <c r="M40" s="6" t="s">
        <v>114</v>
      </c>
      <c r="N40" s="6" t="str">
        <f t="shared" si="5"/>
        <v>Joel Lee</v>
      </c>
      <c r="O40" s="6" t="s">
        <v>57</v>
      </c>
      <c r="P40" s="7">
        <v>46113</v>
      </c>
      <c r="Q40" s="7">
        <v>46143</v>
      </c>
      <c r="R40" s="8">
        <v>9.6999999999999993</v>
      </c>
      <c r="S40" s="6">
        <v>1</v>
      </c>
      <c r="T40" s="6" t="s">
        <v>58</v>
      </c>
      <c r="U40" s="6" t="s">
        <v>60</v>
      </c>
      <c r="V40" s="6" t="s">
        <v>61</v>
      </c>
      <c r="W40" s="6">
        <v>6</v>
      </c>
      <c r="X40" s="8">
        <v>6.79</v>
      </c>
      <c r="Z40" s="6" t="s">
        <v>844</v>
      </c>
      <c r="AA40" s="6" t="s">
        <v>845</v>
      </c>
    </row>
    <row r="41" spans="1:27" s="6" customFormat="1" x14ac:dyDescent="0.3">
      <c r="A41" s="6">
        <v>2034385369</v>
      </c>
      <c r="B41" s="6" t="s">
        <v>155</v>
      </c>
      <c r="C41" s="6" t="s">
        <v>156</v>
      </c>
      <c r="D41" s="6" t="str">
        <f t="shared" si="3"/>
        <v>AXEL CASTELLANOS</v>
      </c>
      <c r="E41" s="6" t="s">
        <v>64</v>
      </c>
      <c r="F41" s="6" t="s">
        <v>222</v>
      </c>
      <c r="G41" s="11">
        <v>0.7</v>
      </c>
      <c r="H41" s="6" t="s">
        <v>223</v>
      </c>
      <c r="I41" s="6" t="s">
        <v>223</v>
      </c>
      <c r="J41" s="6">
        <v>20212926</v>
      </c>
      <c r="K41" s="6" t="str">
        <f t="shared" si="4"/>
        <v>20212926AV6</v>
      </c>
      <c r="L41" s="6" t="s">
        <v>159</v>
      </c>
      <c r="M41" s="6" t="s">
        <v>160</v>
      </c>
      <c r="N41" s="6" t="str">
        <f t="shared" si="5"/>
        <v>JOSE TORRES</v>
      </c>
      <c r="O41" s="6" t="s">
        <v>57</v>
      </c>
      <c r="P41" s="7">
        <v>46098</v>
      </c>
      <c r="Q41" s="7">
        <v>46129</v>
      </c>
      <c r="R41" s="8">
        <v>19</v>
      </c>
      <c r="S41" s="6">
        <v>1</v>
      </c>
      <c r="T41" s="6" t="s">
        <v>58</v>
      </c>
      <c r="U41" s="6" t="s">
        <v>60</v>
      </c>
      <c r="V41" s="6" t="s">
        <v>61</v>
      </c>
      <c r="W41" s="6">
        <v>6</v>
      </c>
      <c r="X41" s="8">
        <v>13.3</v>
      </c>
      <c r="Z41" s="6" t="s">
        <v>844</v>
      </c>
      <c r="AA41" s="6" t="s">
        <v>845</v>
      </c>
    </row>
    <row r="42" spans="1:27" s="6" customFormat="1" x14ac:dyDescent="0.3">
      <c r="A42" s="6">
        <v>2034487745</v>
      </c>
      <c r="B42" s="6" t="s">
        <v>244</v>
      </c>
      <c r="C42" s="6" t="s">
        <v>245</v>
      </c>
      <c r="D42" s="6" t="str">
        <f t="shared" si="3"/>
        <v>TUMURBAT TUMENBAATAR</v>
      </c>
      <c r="E42" s="6" t="s">
        <v>112</v>
      </c>
      <c r="F42" s="6" t="s">
        <v>222</v>
      </c>
      <c r="G42" s="11">
        <v>0.7</v>
      </c>
      <c r="H42" s="6" t="s">
        <v>227</v>
      </c>
      <c r="I42" s="6" t="s">
        <v>590</v>
      </c>
      <c r="J42" s="6">
        <v>20220688</v>
      </c>
      <c r="K42" s="6" t="str">
        <f t="shared" si="4"/>
        <v>20220688AV6</v>
      </c>
      <c r="L42" s="6" t="s">
        <v>246</v>
      </c>
      <c r="M42" s="6" t="s">
        <v>247</v>
      </c>
      <c r="N42" s="6" t="str">
        <f t="shared" si="5"/>
        <v>NASANDELGER ZANA</v>
      </c>
      <c r="O42" s="6" t="s">
        <v>57</v>
      </c>
      <c r="P42" s="7">
        <v>46103</v>
      </c>
      <c r="Q42" s="7">
        <v>46134</v>
      </c>
      <c r="R42" s="8">
        <v>20.95</v>
      </c>
      <c r="S42" s="6">
        <v>1</v>
      </c>
      <c r="T42" s="6" t="s">
        <v>58</v>
      </c>
      <c r="U42" s="6" t="s">
        <v>60</v>
      </c>
      <c r="V42" s="6" t="s">
        <v>61</v>
      </c>
      <c r="W42" s="6">
        <v>6</v>
      </c>
      <c r="X42" s="8">
        <v>14.66</v>
      </c>
      <c r="Z42" s="6" t="s">
        <v>844</v>
      </c>
      <c r="AA42" s="6" t="s">
        <v>845</v>
      </c>
    </row>
    <row r="43" spans="1:27" s="6" customFormat="1" x14ac:dyDescent="0.3">
      <c r="A43" s="6">
        <v>2034497007</v>
      </c>
      <c r="B43" s="6" t="s">
        <v>248</v>
      </c>
      <c r="C43" s="6" t="s">
        <v>249</v>
      </c>
      <c r="D43" s="6" t="str">
        <f t="shared" si="3"/>
        <v>KHURELBAT LKHAGVASUREN</v>
      </c>
      <c r="E43" s="6" t="s">
        <v>64</v>
      </c>
      <c r="F43" s="6" t="s">
        <v>222</v>
      </c>
      <c r="G43" s="11">
        <v>0.7</v>
      </c>
      <c r="H43" s="6" t="s">
        <v>223</v>
      </c>
      <c r="I43" s="6" t="s">
        <v>223</v>
      </c>
      <c r="J43" s="6">
        <v>20220688</v>
      </c>
      <c r="K43" s="6" t="str">
        <f t="shared" si="4"/>
        <v>20220688AV6</v>
      </c>
      <c r="L43" s="6" t="s">
        <v>246</v>
      </c>
      <c r="M43" s="6" t="s">
        <v>247</v>
      </c>
      <c r="N43" s="6" t="str">
        <f t="shared" si="5"/>
        <v>NASANDELGER ZANA</v>
      </c>
      <c r="O43" s="6" t="s">
        <v>57</v>
      </c>
      <c r="P43" s="7">
        <v>46103</v>
      </c>
      <c r="Q43" s="7">
        <v>46134</v>
      </c>
      <c r="R43" s="8">
        <v>56.51</v>
      </c>
      <c r="S43" s="6">
        <v>1</v>
      </c>
      <c r="T43" s="6" t="s">
        <v>58</v>
      </c>
      <c r="U43" s="6" t="s">
        <v>60</v>
      </c>
      <c r="V43" s="6" t="s">
        <v>61</v>
      </c>
      <c r="W43" s="6">
        <v>6</v>
      </c>
      <c r="X43" s="8">
        <v>39.56</v>
      </c>
      <c r="Z43" s="6" t="s">
        <v>844</v>
      </c>
      <c r="AA43" s="6" t="s">
        <v>845</v>
      </c>
    </row>
    <row r="44" spans="1:27" s="6" customFormat="1" x14ac:dyDescent="0.3">
      <c r="A44" s="6">
        <v>2033832426</v>
      </c>
      <c r="B44" s="6" t="s">
        <v>62</v>
      </c>
      <c r="C44" s="6" t="s">
        <v>63</v>
      </c>
      <c r="D44" s="6" t="str">
        <f t="shared" si="3"/>
        <v>BRANDON RODRIGUEZ</v>
      </c>
      <c r="E44" s="6" t="s">
        <v>64</v>
      </c>
      <c r="F44" s="6" t="s">
        <v>222</v>
      </c>
      <c r="G44" s="11">
        <v>0.7</v>
      </c>
      <c r="H44" s="6" t="s">
        <v>223</v>
      </c>
      <c r="I44" s="6" t="s">
        <v>223</v>
      </c>
      <c r="J44" s="6">
        <v>16633294</v>
      </c>
      <c r="K44" s="6" t="str">
        <f t="shared" si="4"/>
        <v>16633294AV6</v>
      </c>
      <c r="L44" s="6" t="s">
        <v>67</v>
      </c>
      <c r="M44" s="6" t="s">
        <v>68</v>
      </c>
      <c r="N44" s="6" t="str">
        <f t="shared" si="5"/>
        <v>Richard Yale</v>
      </c>
      <c r="O44" s="6" t="s">
        <v>57</v>
      </c>
      <c r="P44" s="7">
        <v>46082</v>
      </c>
      <c r="Q44" s="7">
        <v>46113</v>
      </c>
      <c r="R44" s="8">
        <v>177.79</v>
      </c>
      <c r="S44" s="6">
        <v>1</v>
      </c>
      <c r="T44" s="6" t="s">
        <v>58</v>
      </c>
      <c r="U44" s="6" t="s">
        <v>60</v>
      </c>
      <c r="V44" s="6" t="s">
        <v>61</v>
      </c>
      <c r="W44" s="6">
        <v>6</v>
      </c>
      <c r="X44" s="8">
        <v>124.45</v>
      </c>
      <c r="Z44" s="6" t="s">
        <v>844</v>
      </c>
      <c r="AA44" s="6" t="s">
        <v>845</v>
      </c>
    </row>
    <row r="45" spans="1:27" s="6" customFormat="1" x14ac:dyDescent="0.3">
      <c r="A45" s="6">
        <v>2033834123</v>
      </c>
      <c r="B45" s="6" t="s">
        <v>225</v>
      </c>
      <c r="C45" s="6" t="s">
        <v>226</v>
      </c>
      <c r="D45" s="6" t="str">
        <f t="shared" si="3"/>
        <v>TREVOR WARBURTON</v>
      </c>
      <c r="E45" s="6" t="s">
        <v>64</v>
      </c>
      <c r="F45" s="6" t="s">
        <v>222</v>
      </c>
      <c r="G45" s="11">
        <v>0.7</v>
      </c>
      <c r="H45" s="6" t="s">
        <v>223</v>
      </c>
      <c r="I45" s="6" t="s">
        <v>223</v>
      </c>
      <c r="J45" s="6">
        <v>16633294</v>
      </c>
      <c r="K45" s="6" t="str">
        <f t="shared" si="4"/>
        <v>16633294AV6</v>
      </c>
      <c r="L45" s="6" t="s">
        <v>67</v>
      </c>
      <c r="M45" s="6" t="s">
        <v>68</v>
      </c>
      <c r="N45" s="6" t="str">
        <f t="shared" si="5"/>
        <v>Richard Yale</v>
      </c>
      <c r="O45" s="6" t="s">
        <v>57</v>
      </c>
      <c r="P45" s="7">
        <v>46082</v>
      </c>
      <c r="Q45" s="7">
        <v>46113</v>
      </c>
      <c r="R45" s="8">
        <v>333.52</v>
      </c>
      <c r="S45" s="6">
        <v>1</v>
      </c>
      <c r="T45" s="6" t="s">
        <v>58</v>
      </c>
      <c r="U45" s="6" t="s">
        <v>60</v>
      </c>
      <c r="V45" s="6" t="s">
        <v>61</v>
      </c>
      <c r="W45" s="6">
        <v>6</v>
      </c>
      <c r="X45" s="8">
        <v>233.46</v>
      </c>
      <c r="Z45" s="6" t="s">
        <v>844</v>
      </c>
      <c r="AA45" s="6" t="s">
        <v>845</v>
      </c>
    </row>
    <row r="46" spans="1:27" s="6" customFormat="1" x14ac:dyDescent="0.3">
      <c r="A46" s="6">
        <v>2033835701</v>
      </c>
      <c r="B46" s="6" t="s">
        <v>69</v>
      </c>
      <c r="C46" s="6" t="s">
        <v>70</v>
      </c>
      <c r="D46" s="6" t="str">
        <f t="shared" si="3"/>
        <v>NORMA ROBLES</v>
      </c>
      <c r="E46" s="6" t="s">
        <v>64</v>
      </c>
      <c r="F46" s="6" t="s">
        <v>222</v>
      </c>
      <c r="G46" s="11">
        <v>0.7</v>
      </c>
      <c r="H46" s="6" t="s">
        <v>223</v>
      </c>
      <c r="I46" s="6" t="s">
        <v>223</v>
      </c>
      <c r="J46" s="6">
        <v>16633294</v>
      </c>
      <c r="K46" s="6" t="str">
        <f t="shared" si="4"/>
        <v>16633294AV6</v>
      </c>
      <c r="L46" s="6" t="s">
        <v>67</v>
      </c>
      <c r="M46" s="6" t="s">
        <v>68</v>
      </c>
      <c r="N46" s="6" t="str">
        <f t="shared" si="5"/>
        <v>Richard Yale</v>
      </c>
      <c r="O46" s="6" t="s">
        <v>57</v>
      </c>
      <c r="P46" s="7">
        <v>46082</v>
      </c>
      <c r="Q46" s="7">
        <v>46113</v>
      </c>
      <c r="R46" s="8">
        <v>153.66999999999999</v>
      </c>
      <c r="S46" s="6">
        <v>1</v>
      </c>
      <c r="T46" s="6" t="s">
        <v>58</v>
      </c>
      <c r="U46" s="6" t="s">
        <v>60</v>
      </c>
      <c r="V46" s="6" t="s">
        <v>61</v>
      </c>
      <c r="W46" s="6">
        <v>6</v>
      </c>
      <c r="X46" s="8">
        <v>107.57</v>
      </c>
      <c r="Z46" s="6" t="s">
        <v>844</v>
      </c>
      <c r="AA46" s="6" t="s">
        <v>845</v>
      </c>
    </row>
    <row r="47" spans="1:27" s="6" customFormat="1" x14ac:dyDescent="0.3">
      <c r="A47" s="6">
        <v>2034392891</v>
      </c>
      <c r="B47" s="6" t="s">
        <v>120</v>
      </c>
      <c r="C47" s="6" t="s">
        <v>121</v>
      </c>
      <c r="D47" s="6" t="str">
        <f t="shared" si="3"/>
        <v>MERCEDEZ NEESSEN</v>
      </c>
      <c r="E47" s="6" t="s">
        <v>122</v>
      </c>
      <c r="F47" s="6" t="s">
        <v>222</v>
      </c>
      <c r="G47" s="11">
        <v>0.7</v>
      </c>
      <c r="H47" s="6" t="s">
        <v>223</v>
      </c>
      <c r="I47" s="6" t="s">
        <v>223</v>
      </c>
      <c r="J47" s="6">
        <v>16633294</v>
      </c>
      <c r="K47" s="6" t="str">
        <f t="shared" si="4"/>
        <v>16633294AV6</v>
      </c>
      <c r="L47" s="6" t="s">
        <v>67</v>
      </c>
      <c r="M47" s="6" t="s">
        <v>68</v>
      </c>
      <c r="N47" s="6" t="str">
        <f t="shared" si="5"/>
        <v>Richard Yale</v>
      </c>
      <c r="O47" s="6" t="s">
        <v>57</v>
      </c>
      <c r="P47" s="7">
        <v>46102</v>
      </c>
      <c r="Q47" s="7">
        <v>46133</v>
      </c>
      <c r="R47" s="8">
        <v>172.57</v>
      </c>
      <c r="S47" s="6">
        <v>1</v>
      </c>
      <c r="T47" s="6" t="s">
        <v>58</v>
      </c>
      <c r="U47" s="6" t="s">
        <v>60</v>
      </c>
      <c r="V47" s="6" t="s">
        <v>61</v>
      </c>
      <c r="W47" s="6">
        <v>6</v>
      </c>
      <c r="X47" s="8">
        <v>120.8</v>
      </c>
      <c r="Z47" s="6" t="s">
        <v>844</v>
      </c>
      <c r="AA47" s="6" t="s">
        <v>845</v>
      </c>
    </row>
    <row r="48" spans="1:27" s="6" customFormat="1" x14ac:dyDescent="0.3">
      <c r="A48" s="6">
        <v>2034427467</v>
      </c>
      <c r="B48" s="6" t="s">
        <v>137</v>
      </c>
      <c r="C48" s="6" t="s">
        <v>138</v>
      </c>
      <c r="D48" s="6" t="str">
        <f t="shared" si="3"/>
        <v>CODY HARRIS</v>
      </c>
      <c r="E48" s="6" t="s">
        <v>139</v>
      </c>
      <c r="F48" s="6" t="s">
        <v>222</v>
      </c>
      <c r="G48" s="11">
        <v>0.7</v>
      </c>
      <c r="H48" s="6" t="s">
        <v>223</v>
      </c>
      <c r="I48" s="6" t="s">
        <v>223</v>
      </c>
      <c r="J48" s="6">
        <v>16633294</v>
      </c>
      <c r="K48" s="6" t="str">
        <f t="shared" si="4"/>
        <v>16633294AV6</v>
      </c>
      <c r="L48" s="6" t="s">
        <v>67</v>
      </c>
      <c r="M48" s="6" t="s">
        <v>68</v>
      </c>
      <c r="N48" s="6" t="str">
        <f t="shared" si="5"/>
        <v>Richard Yale</v>
      </c>
      <c r="O48" s="6" t="s">
        <v>57</v>
      </c>
      <c r="P48" s="7">
        <v>46103</v>
      </c>
      <c r="Q48" s="7">
        <v>46134</v>
      </c>
      <c r="R48" s="8">
        <v>51.38</v>
      </c>
      <c r="S48" s="6">
        <v>1</v>
      </c>
      <c r="T48" s="6" t="s">
        <v>58</v>
      </c>
      <c r="U48" s="6" t="s">
        <v>60</v>
      </c>
      <c r="V48" s="6" t="s">
        <v>61</v>
      </c>
      <c r="W48" s="6">
        <v>6</v>
      </c>
      <c r="X48" s="8">
        <v>35.97</v>
      </c>
      <c r="Z48" s="6" t="s">
        <v>844</v>
      </c>
      <c r="AA48" s="6" t="s">
        <v>845</v>
      </c>
    </row>
    <row r="49" spans="1:27" s="6" customFormat="1" x14ac:dyDescent="0.3">
      <c r="A49" s="6">
        <v>2033832428</v>
      </c>
      <c r="B49" s="6" t="s">
        <v>62</v>
      </c>
      <c r="C49" s="6" t="s">
        <v>63</v>
      </c>
      <c r="D49" s="6" t="str">
        <f t="shared" si="3"/>
        <v>BRANDON RODRIGUEZ</v>
      </c>
      <c r="E49" s="6" t="s">
        <v>64</v>
      </c>
      <c r="F49" s="6" t="s">
        <v>222</v>
      </c>
      <c r="G49" s="11">
        <v>0.9</v>
      </c>
      <c r="H49" s="6" t="s">
        <v>224</v>
      </c>
      <c r="I49" s="6" t="s">
        <v>224</v>
      </c>
      <c r="J49" s="6">
        <v>16633294</v>
      </c>
      <c r="K49" s="6" t="str">
        <f t="shared" si="4"/>
        <v>16633294AV6</v>
      </c>
      <c r="L49" s="6" t="s">
        <v>67</v>
      </c>
      <c r="M49" s="6" t="s">
        <v>68</v>
      </c>
      <c r="N49" s="6" t="str">
        <f t="shared" si="5"/>
        <v>Richard Yale</v>
      </c>
      <c r="O49" s="6" t="s">
        <v>57</v>
      </c>
      <c r="P49" s="7">
        <v>46082</v>
      </c>
      <c r="Q49" s="7">
        <v>46113</v>
      </c>
      <c r="R49" s="8">
        <v>80.75</v>
      </c>
      <c r="S49" s="6">
        <v>1</v>
      </c>
      <c r="T49" s="6" t="s">
        <v>58</v>
      </c>
      <c r="U49" s="6" t="s">
        <v>60</v>
      </c>
      <c r="V49" s="6" t="s">
        <v>61</v>
      </c>
      <c r="W49" s="6">
        <v>6</v>
      </c>
      <c r="X49" s="8">
        <v>72.680000000000007</v>
      </c>
      <c r="Z49" s="6" t="s">
        <v>844</v>
      </c>
      <c r="AA49" s="6" t="s">
        <v>845</v>
      </c>
    </row>
    <row r="50" spans="1:27" s="6" customFormat="1" x14ac:dyDescent="0.3">
      <c r="A50" s="6">
        <v>2034392893</v>
      </c>
      <c r="B50" s="6" t="s">
        <v>120</v>
      </c>
      <c r="C50" s="6" t="s">
        <v>121</v>
      </c>
      <c r="D50" s="6" t="str">
        <f t="shared" si="3"/>
        <v>MERCEDEZ NEESSEN</v>
      </c>
      <c r="E50" s="6" t="s">
        <v>122</v>
      </c>
      <c r="F50" s="6" t="s">
        <v>222</v>
      </c>
      <c r="G50" s="11">
        <v>0.9</v>
      </c>
      <c r="H50" s="6" t="s">
        <v>224</v>
      </c>
      <c r="I50" s="6" t="s">
        <v>224</v>
      </c>
      <c r="J50" s="6">
        <v>16633294</v>
      </c>
      <c r="K50" s="6" t="str">
        <f t="shared" si="4"/>
        <v>16633294AV6</v>
      </c>
      <c r="L50" s="6" t="s">
        <v>67</v>
      </c>
      <c r="M50" s="6" t="s">
        <v>68</v>
      </c>
      <c r="N50" s="6" t="str">
        <f t="shared" si="5"/>
        <v>Richard Yale</v>
      </c>
      <c r="O50" s="6" t="s">
        <v>57</v>
      </c>
      <c r="P50" s="7">
        <v>46102</v>
      </c>
      <c r="Q50" s="7">
        <v>46133</v>
      </c>
      <c r="R50" s="8">
        <v>14.77</v>
      </c>
      <c r="S50" s="6">
        <v>1</v>
      </c>
      <c r="T50" s="6" t="s">
        <v>58</v>
      </c>
      <c r="U50" s="6" t="s">
        <v>60</v>
      </c>
      <c r="V50" s="6" t="s">
        <v>61</v>
      </c>
      <c r="W50" s="6">
        <v>6</v>
      </c>
      <c r="X50" s="8">
        <v>13.29</v>
      </c>
      <c r="Z50" s="6" t="s">
        <v>844</v>
      </c>
      <c r="AA50" s="6" t="s">
        <v>845</v>
      </c>
    </row>
    <row r="51" spans="1:27" s="6" customFormat="1" x14ac:dyDescent="0.3">
      <c r="A51" s="6">
        <v>2034389622</v>
      </c>
      <c r="B51" s="6" t="s">
        <v>231</v>
      </c>
      <c r="C51" s="6" t="s">
        <v>232</v>
      </c>
      <c r="D51" s="6" t="str">
        <f t="shared" si="3"/>
        <v>TYLER GOODBEAR</v>
      </c>
      <c r="E51" s="6" t="s">
        <v>184</v>
      </c>
      <c r="F51" s="6" t="s">
        <v>222</v>
      </c>
      <c r="G51" s="11">
        <v>0.9</v>
      </c>
      <c r="H51" s="6" t="s">
        <v>224</v>
      </c>
      <c r="I51" s="6" t="s">
        <v>224</v>
      </c>
      <c r="J51" s="6">
        <v>371819</v>
      </c>
      <c r="K51" s="6" t="str">
        <f t="shared" si="4"/>
        <v>371819AV6</v>
      </c>
      <c r="L51" s="6" t="s">
        <v>185</v>
      </c>
      <c r="M51" s="6" t="s">
        <v>186</v>
      </c>
      <c r="N51" s="6" t="str">
        <f t="shared" si="5"/>
        <v>THOMAS PARDUE</v>
      </c>
      <c r="O51" s="6" t="s">
        <v>57</v>
      </c>
      <c r="P51" s="7">
        <v>46104</v>
      </c>
      <c r="Q51" s="7">
        <v>46135</v>
      </c>
      <c r="R51" s="8">
        <v>46.63</v>
      </c>
      <c r="S51" s="6">
        <v>1</v>
      </c>
      <c r="T51" s="6" t="s">
        <v>58</v>
      </c>
      <c r="U51" s="6" t="s">
        <v>60</v>
      </c>
      <c r="V51" s="6" t="s">
        <v>61</v>
      </c>
      <c r="W51" s="6">
        <v>6</v>
      </c>
      <c r="X51" s="8">
        <v>41.97</v>
      </c>
      <c r="Z51" s="6" t="s">
        <v>844</v>
      </c>
      <c r="AA51" s="6" t="s">
        <v>845</v>
      </c>
    </row>
    <row r="52" spans="1:27" s="6" customFormat="1" x14ac:dyDescent="0.3">
      <c r="A52" s="6">
        <v>2034439982</v>
      </c>
      <c r="B52" s="6" t="s">
        <v>198</v>
      </c>
      <c r="C52" s="6" t="s">
        <v>199</v>
      </c>
      <c r="D52" s="6" t="str">
        <f t="shared" si="3"/>
        <v>WARREN SHIRLEY</v>
      </c>
      <c r="E52" s="6" t="s">
        <v>191</v>
      </c>
      <c r="F52" s="6" t="s">
        <v>222</v>
      </c>
      <c r="G52" s="11">
        <v>0.9</v>
      </c>
      <c r="H52" s="6" t="s">
        <v>224</v>
      </c>
      <c r="I52" s="6" t="s">
        <v>224</v>
      </c>
      <c r="J52" s="6">
        <v>371819</v>
      </c>
      <c r="K52" s="6" t="str">
        <f t="shared" si="4"/>
        <v>371819AV6</v>
      </c>
      <c r="L52" s="6" t="s">
        <v>185</v>
      </c>
      <c r="M52" s="6" t="s">
        <v>186</v>
      </c>
      <c r="N52" s="6" t="str">
        <f t="shared" si="5"/>
        <v>THOMAS PARDUE</v>
      </c>
      <c r="O52" s="6" t="s">
        <v>57</v>
      </c>
      <c r="P52" s="7">
        <v>46102</v>
      </c>
      <c r="Q52" s="7">
        <v>46133</v>
      </c>
      <c r="R52" s="8">
        <v>22.22</v>
      </c>
      <c r="S52" s="6">
        <v>1</v>
      </c>
      <c r="T52" s="6" t="s">
        <v>58</v>
      </c>
      <c r="U52" s="6" t="s">
        <v>60</v>
      </c>
      <c r="V52" s="6" t="s">
        <v>61</v>
      </c>
      <c r="W52" s="6">
        <v>6</v>
      </c>
      <c r="X52" s="8">
        <v>20</v>
      </c>
      <c r="Z52" s="6" t="s">
        <v>844</v>
      </c>
      <c r="AA52" s="6" t="s">
        <v>845</v>
      </c>
    </row>
    <row r="53" spans="1:27" s="6" customFormat="1" x14ac:dyDescent="0.3">
      <c r="A53" s="6">
        <v>2034020383</v>
      </c>
      <c r="B53" s="6" t="s">
        <v>173</v>
      </c>
      <c r="C53" s="6" t="s">
        <v>174</v>
      </c>
      <c r="D53" s="6" t="str">
        <f t="shared" si="3"/>
        <v>CURTIS SCOTT</v>
      </c>
      <c r="E53" s="6" t="s">
        <v>86</v>
      </c>
      <c r="F53" s="6" t="s">
        <v>222</v>
      </c>
      <c r="G53" s="11">
        <v>0.7</v>
      </c>
      <c r="H53" s="6" t="s">
        <v>227</v>
      </c>
      <c r="I53" s="6" t="s">
        <v>590</v>
      </c>
      <c r="J53" s="6">
        <v>21744152</v>
      </c>
      <c r="K53" s="6" t="str">
        <f t="shared" si="4"/>
        <v>21744152AV6</v>
      </c>
      <c r="L53" s="6" t="s">
        <v>175</v>
      </c>
      <c r="M53" s="6" t="s">
        <v>176</v>
      </c>
      <c r="N53" s="6" t="str">
        <f t="shared" si="5"/>
        <v>Wendy Sorrentino</v>
      </c>
      <c r="O53" s="6" t="s">
        <v>57</v>
      </c>
      <c r="P53" s="7">
        <v>46088</v>
      </c>
      <c r="Q53" s="7">
        <v>46119</v>
      </c>
      <c r="R53" s="8">
        <v>25.73</v>
      </c>
      <c r="S53" s="6">
        <v>1</v>
      </c>
      <c r="T53" s="6" t="s">
        <v>58</v>
      </c>
      <c r="U53" s="6" t="s">
        <v>60</v>
      </c>
      <c r="V53" s="6" t="s">
        <v>61</v>
      </c>
      <c r="W53" s="6">
        <v>6</v>
      </c>
      <c r="X53" s="8">
        <v>18.010000000000002</v>
      </c>
      <c r="Z53" s="6" t="s">
        <v>844</v>
      </c>
      <c r="AA53" s="6" t="s">
        <v>845</v>
      </c>
    </row>
    <row r="54" spans="1:27" s="6" customFormat="1" x14ac:dyDescent="0.3">
      <c r="A54" s="6">
        <v>2034382900</v>
      </c>
      <c r="B54" s="6" t="s">
        <v>229</v>
      </c>
      <c r="C54" s="6" t="s">
        <v>230</v>
      </c>
      <c r="D54" s="6" t="str">
        <f t="shared" si="3"/>
        <v>SANOBAR AIRPOVA</v>
      </c>
      <c r="E54" s="6" t="s">
        <v>86</v>
      </c>
      <c r="F54" s="6" t="s">
        <v>222</v>
      </c>
      <c r="G54" s="11">
        <v>0.42</v>
      </c>
      <c r="H54" s="6" t="s">
        <v>228</v>
      </c>
      <c r="I54" s="6" t="s">
        <v>228</v>
      </c>
      <c r="J54" s="6">
        <v>21744152</v>
      </c>
      <c r="K54" s="6" t="str">
        <f t="shared" si="4"/>
        <v>21744152AV6</v>
      </c>
      <c r="L54" s="6" t="s">
        <v>175</v>
      </c>
      <c r="M54" s="6" t="s">
        <v>176</v>
      </c>
      <c r="N54" s="6" t="str">
        <f t="shared" si="5"/>
        <v>Wendy Sorrentino</v>
      </c>
      <c r="O54" s="6" t="s">
        <v>57</v>
      </c>
      <c r="P54" s="7">
        <v>46113</v>
      </c>
      <c r="Q54" s="7">
        <v>46143</v>
      </c>
      <c r="R54" s="8">
        <v>22.8</v>
      </c>
      <c r="S54" s="6">
        <v>1</v>
      </c>
      <c r="T54" s="6" t="s">
        <v>58</v>
      </c>
      <c r="U54" s="6" t="s">
        <v>60</v>
      </c>
      <c r="V54" s="6" t="s">
        <v>61</v>
      </c>
      <c r="W54" s="6">
        <v>6</v>
      </c>
      <c r="X54" s="8">
        <v>9.58</v>
      </c>
      <c r="Z54" s="6" t="s">
        <v>844</v>
      </c>
      <c r="AA54" s="6" t="s">
        <v>845</v>
      </c>
    </row>
    <row r="55" spans="1:27" x14ac:dyDescent="0.3">
      <c r="A55">
        <v>2034443383</v>
      </c>
      <c r="B55" t="s">
        <v>203</v>
      </c>
      <c r="C55" t="s">
        <v>204</v>
      </c>
      <c r="D55" t="str">
        <f t="shared" si="3"/>
        <v>DANIELLE LOPEZ</v>
      </c>
      <c r="E55" t="s">
        <v>205</v>
      </c>
      <c r="F55" t="s">
        <v>250</v>
      </c>
      <c r="G55" s="3">
        <v>0.27</v>
      </c>
      <c r="H55" t="s">
        <v>251</v>
      </c>
      <c r="I55" t="s">
        <v>810</v>
      </c>
      <c r="J55">
        <v>19617796</v>
      </c>
      <c r="K55">
        <v>19617796</v>
      </c>
      <c r="L55" t="s">
        <v>206</v>
      </c>
      <c r="M55" t="s">
        <v>207</v>
      </c>
      <c r="N55" t="str">
        <f t="shared" si="5"/>
        <v>Heidi Berthelsen</v>
      </c>
      <c r="O55" t="s">
        <v>57</v>
      </c>
      <c r="P55" s="1">
        <v>46101</v>
      </c>
      <c r="Q55" s="1">
        <v>46132</v>
      </c>
      <c r="R55" s="2">
        <v>130.56</v>
      </c>
      <c r="S55">
        <v>1</v>
      </c>
      <c r="T55" t="s">
        <v>58</v>
      </c>
      <c r="U55" t="s">
        <v>60</v>
      </c>
      <c r="V55" t="s">
        <v>61</v>
      </c>
      <c r="W55">
        <v>6</v>
      </c>
      <c r="X55" s="2">
        <v>35.25</v>
      </c>
      <c r="Z55" t="s">
        <v>261</v>
      </c>
      <c r="AA55" t="s">
        <v>843</v>
      </c>
    </row>
    <row r="56" spans="1:27" x14ac:dyDescent="0.3">
      <c r="A56">
        <v>2034443384</v>
      </c>
      <c r="B56" t="s">
        <v>203</v>
      </c>
      <c r="C56" t="s">
        <v>204</v>
      </c>
      <c r="D56" t="str">
        <f t="shared" si="3"/>
        <v>DANIELLE LOPEZ</v>
      </c>
      <c r="E56" t="s">
        <v>205</v>
      </c>
      <c r="F56" t="s">
        <v>250</v>
      </c>
      <c r="G56" s="3">
        <v>0.27</v>
      </c>
      <c r="H56" t="s">
        <v>253</v>
      </c>
      <c r="I56" t="s">
        <v>810</v>
      </c>
      <c r="J56">
        <v>19617796</v>
      </c>
      <c r="K56">
        <v>19617796</v>
      </c>
      <c r="L56" t="s">
        <v>206</v>
      </c>
      <c r="M56" t="s">
        <v>207</v>
      </c>
      <c r="N56" t="str">
        <f t="shared" si="5"/>
        <v>Heidi Berthelsen</v>
      </c>
      <c r="O56" t="s">
        <v>57</v>
      </c>
      <c r="P56" s="1">
        <v>46101</v>
      </c>
      <c r="Q56" s="1">
        <v>46132</v>
      </c>
      <c r="R56" s="2">
        <v>9.9499999999999993</v>
      </c>
      <c r="S56">
        <v>1</v>
      </c>
      <c r="T56" t="s">
        <v>58</v>
      </c>
      <c r="U56" t="s">
        <v>60</v>
      </c>
      <c r="V56" t="s">
        <v>61</v>
      </c>
      <c r="W56">
        <v>6</v>
      </c>
      <c r="X56" s="2">
        <v>2.69</v>
      </c>
      <c r="Z56" t="s">
        <v>261</v>
      </c>
      <c r="AA56" t="s">
        <v>843</v>
      </c>
    </row>
    <row r="57" spans="1:27" x14ac:dyDescent="0.3">
      <c r="A57">
        <v>2034425177</v>
      </c>
      <c r="B57" t="s">
        <v>131</v>
      </c>
      <c r="C57" t="s">
        <v>124</v>
      </c>
      <c r="D57" t="str">
        <f t="shared" si="3"/>
        <v>WILLIAM CORLEY</v>
      </c>
      <c r="E57" t="s">
        <v>103</v>
      </c>
      <c r="F57" t="s">
        <v>65</v>
      </c>
      <c r="G57" s="3">
        <v>0.9</v>
      </c>
      <c r="H57" t="s">
        <v>71</v>
      </c>
      <c r="I57" t="s">
        <v>796</v>
      </c>
      <c r="J57">
        <v>9079571</v>
      </c>
      <c r="K57">
        <v>9079571</v>
      </c>
      <c r="L57" t="s">
        <v>132</v>
      </c>
      <c r="M57" t="s">
        <v>133</v>
      </c>
      <c r="N57" t="str">
        <f t="shared" si="5"/>
        <v>ADAM RICHTER</v>
      </c>
      <c r="O57" t="s">
        <v>57</v>
      </c>
      <c r="P57" s="1">
        <v>46109</v>
      </c>
      <c r="Q57" s="1">
        <v>46140</v>
      </c>
      <c r="R57" s="2">
        <v>73.25</v>
      </c>
      <c r="S57">
        <v>1</v>
      </c>
      <c r="T57" t="s">
        <v>58</v>
      </c>
      <c r="U57" t="s">
        <v>60</v>
      </c>
      <c r="V57" t="s">
        <v>61</v>
      </c>
      <c r="W57">
        <v>6</v>
      </c>
      <c r="X57" s="2">
        <v>65.92</v>
      </c>
      <c r="Z57" t="s">
        <v>261</v>
      </c>
      <c r="AA57" t="s">
        <v>843</v>
      </c>
    </row>
    <row r="58" spans="1:27" x14ac:dyDescent="0.3">
      <c r="A58">
        <v>2034309584</v>
      </c>
      <c r="B58" t="s">
        <v>218</v>
      </c>
      <c r="C58" t="s">
        <v>219</v>
      </c>
      <c r="D58" t="str">
        <f t="shared" si="3"/>
        <v>CHARLES WRIGHT</v>
      </c>
      <c r="E58" t="s">
        <v>52</v>
      </c>
      <c r="F58" t="s">
        <v>222</v>
      </c>
      <c r="G58" s="3">
        <v>0.7</v>
      </c>
      <c r="H58" t="s">
        <v>227</v>
      </c>
      <c r="I58" t="s">
        <v>590</v>
      </c>
      <c r="J58">
        <v>17425766</v>
      </c>
      <c r="K58">
        <v>17425766</v>
      </c>
      <c r="L58" t="s">
        <v>87</v>
      </c>
      <c r="M58" t="s">
        <v>88</v>
      </c>
      <c r="N58" t="str">
        <f t="shared" si="5"/>
        <v>CAROL FOLEY</v>
      </c>
      <c r="O58" t="s">
        <v>57</v>
      </c>
      <c r="P58" s="1">
        <v>46113</v>
      </c>
      <c r="Q58" s="1">
        <v>46143</v>
      </c>
      <c r="R58" s="2">
        <v>59.8</v>
      </c>
      <c r="S58">
        <v>1</v>
      </c>
      <c r="T58" t="s">
        <v>58</v>
      </c>
      <c r="U58" t="s">
        <v>60</v>
      </c>
      <c r="V58" t="s">
        <v>61</v>
      </c>
      <c r="W58">
        <v>6</v>
      </c>
      <c r="X58" s="2">
        <v>41.86</v>
      </c>
      <c r="Z58" t="s">
        <v>261</v>
      </c>
      <c r="AA58" t="s">
        <v>843</v>
      </c>
    </row>
    <row r="59" spans="1:27" x14ac:dyDescent="0.3">
      <c r="A59">
        <v>2034368684</v>
      </c>
      <c r="B59" t="s">
        <v>84</v>
      </c>
      <c r="C59" t="s">
        <v>85</v>
      </c>
      <c r="D59" t="str">
        <f t="shared" si="3"/>
        <v>URANIA KATZ</v>
      </c>
      <c r="E59" t="s">
        <v>86</v>
      </c>
      <c r="F59" t="s">
        <v>65</v>
      </c>
      <c r="G59" s="3">
        <v>0.75</v>
      </c>
      <c r="H59" t="s">
        <v>75</v>
      </c>
      <c r="I59" t="s">
        <v>797</v>
      </c>
      <c r="J59">
        <v>17425766</v>
      </c>
      <c r="K59">
        <v>17425766</v>
      </c>
      <c r="L59" t="s">
        <v>87</v>
      </c>
      <c r="M59" t="s">
        <v>88</v>
      </c>
      <c r="N59" t="str">
        <f t="shared" si="5"/>
        <v>CAROL FOLEY</v>
      </c>
      <c r="O59" t="s">
        <v>57</v>
      </c>
      <c r="P59" s="1">
        <v>46100</v>
      </c>
      <c r="Q59" s="1">
        <v>46131</v>
      </c>
      <c r="R59" s="2">
        <v>23.55</v>
      </c>
      <c r="S59">
        <v>1</v>
      </c>
      <c r="T59" t="s">
        <v>58</v>
      </c>
      <c r="U59" t="s">
        <v>60</v>
      </c>
      <c r="V59" t="s">
        <v>61</v>
      </c>
      <c r="W59">
        <v>6</v>
      </c>
      <c r="X59" s="2">
        <v>17.66</v>
      </c>
      <c r="Z59" t="s">
        <v>261</v>
      </c>
      <c r="AA59" t="s">
        <v>843</v>
      </c>
    </row>
    <row r="60" spans="1:27" x14ac:dyDescent="0.3">
      <c r="A60">
        <v>2034309583</v>
      </c>
      <c r="B60" t="s">
        <v>218</v>
      </c>
      <c r="C60" t="s">
        <v>219</v>
      </c>
      <c r="D60" t="str">
        <f t="shared" si="3"/>
        <v>CHARLES WRIGHT</v>
      </c>
      <c r="E60" t="s">
        <v>52</v>
      </c>
      <c r="F60" t="s">
        <v>220</v>
      </c>
      <c r="G60" s="3">
        <v>0.38</v>
      </c>
      <c r="H60" t="s">
        <v>221</v>
      </c>
      <c r="I60" t="s">
        <v>221</v>
      </c>
      <c r="J60">
        <v>17425766</v>
      </c>
      <c r="K60">
        <v>17425766</v>
      </c>
      <c r="L60" t="s">
        <v>87</v>
      </c>
      <c r="M60" t="s">
        <v>88</v>
      </c>
      <c r="N60" t="str">
        <f t="shared" si="5"/>
        <v>CAROL FOLEY</v>
      </c>
      <c r="O60" t="s">
        <v>57</v>
      </c>
      <c r="P60" s="1">
        <v>46113</v>
      </c>
      <c r="Q60" s="1">
        <v>46143</v>
      </c>
      <c r="R60" s="2">
        <v>68.040000000000006</v>
      </c>
      <c r="S60">
        <v>1</v>
      </c>
      <c r="T60" t="s">
        <v>58</v>
      </c>
      <c r="U60" t="s">
        <v>60</v>
      </c>
      <c r="V60" t="s">
        <v>61</v>
      </c>
      <c r="W60">
        <v>6</v>
      </c>
      <c r="X60" s="2">
        <v>25.86</v>
      </c>
      <c r="Z60" t="s">
        <v>261</v>
      </c>
      <c r="AA60" t="s">
        <v>843</v>
      </c>
    </row>
    <row r="61" spans="1:27" x14ac:dyDescent="0.3">
      <c r="A61">
        <v>2034384323</v>
      </c>
      <c r="B61" t="s">
        <v>115</v>
      </c>
      <c r="C61" t="s">
        <v>116</v>
      </c>
      <c r="D61" t="str">
        <f t="shared" si="3"/>
        <v>MATTHEW TITUS</v>
      </c>
      <c r="E61" t="s">
        <v>117</v>
      </c>
      <c r="F61" t="s">
        <v>65</v>
      </c>
      <c r="G61" s="3">
        <v>0.9</v>
      </c>
      <c r="H61" t="s">
        <v>71</v>
      </c>
      <c r="I61" t="s">
        <v>796</v>
      </c>
      <c r="J61">
        <v>21435997</v>
      </c>
      <c r="K61">
        <v>21435997</v>
      </c>
      <c r="L61" t="s">
        <v>118</v>
      </c>
      <c r="M61" t="s">
        <v>119</v>
      </c>
      <c r="N61" t="str">
        <f t="shared" si="5"/>
        <v>Christopher Brousseau</v>
      </c>
      <c r="O61" t="s">
        <v>57</v>
      </c>
      <c r="P61" s="1">
        <v>46098</v>
      </c>
      <c r="Q61" s="1">
        <v>46129</v>
      </c>
      <c r="R61" s="2">
        <v>16.940000000000001</v>
      </c>
      <c r="S61">
        <v>1</v>
      </c>
      <c r="T61" t="s">
        <v>58</v>
      </c>
      <c r="U61" t="s">
        <v>60</v>
      </c>
      <c r="V61" t="s">
        <v>61</v>
      </c>
      <c r="W61">
        <v>6</v>
      </c>
      <c r="X61" s="2">
        <v>15.25</v>
      </c>
      <c r="Z61" t="s">
        <v>261</v>
      </c>
      <c r="AA61" t="s">
        <v>843</v>
      </c>
    </row>
    <row r="62" spans="1:27" x14ac:dyDescent="0.3">
      <c r="A62">
        <v>2034384322</v>
      </c>
      <c r="B62" t="s">
        <v>115</v>
      </c>
      <c r="C62" t="s">
        <v>116</v>
      </c>
      <c r="D62" t="str">
        <f t="shared" si="3"/>
        <v>MATTHEW TITUS</v>
      </c>
      <c r="E62" t="s">
        <v>117</v>
      </c>
      <c r="F62" t="s">
        <v>222</v>
      </c>
      <c r="G62" s="3">
        <v>0.7</v>
      </c>
      <c r="H62" t="s">
        <v>223</v>
      </c>
      <c r="I62" t="s">
        <v>223</v>
      </c>
      <c r="J62">
        <v>21435997</v>
      </c>
      <c r="K62">
        <v>21435997</v>
      </c>
      <c r="L62" t="s">
        <v>118</v>
      </c>
      <c r="M62" t="s">
        <v>119</v>
      </c>
      <c r="N62" t="str">
        <f t="shared" si="5"/>
        <v>Christopher Brousseau</v>
      </c>
      <c r="O62" t="s">
        <v>57</v>
      </c>
      <c r="P62" s="1">
        <v>46098</v>
      </c>
      <c r="Q62" s="1">
        <v>46129</v>
      </c>
      <c r="R62" s="2">
        <v>59.04</v>
      </c>
      <c r="S62">
        <v>1</v>
      </c>
      <c r="T62" t="s">
        <v>58</v>
      </c>
      <c r="U62" t="s">
        <v>60</v>
      </c>
      <c r="V62" t="s">
        <v>61</v>
      </c>
      <c r="W62">
        <v>6</v>
      </c>
      <c r="X62" s="2">
        <v>41.33</v>
      </c>
      <c r="Z62" t="s">
        <v>261</v>
      </c>
      <c r="AA62" t="s">
        <v>843</v>
      </c>
    </row>
    <row r="63" spans="1:27" x14ac:dyDescent="0.3">
      <c r="A63">
        <v>2034485199</v>
      </c>
      <c r="B63" t="s">
        <v>242</v>
      </c>
      <c r="C63" t="s">
        <v>243</v>
      </c>
      <c r="D63" t="str">
        <f t="shared" si="3"/>
        <v>MELINDA SMITH</v>
      </c>
      <c r="E63" t="s">
        <v>74</v>
      </c>
      <c r="F63" t="s">
        <v>222</v>
      </c>
      <c r="G63" s="3">
        <v>0.7</v>
      </c>
      <c r="H63" t="s">
        <v>223</v>
      </c>
      <c r="I63" t="s">
        <v>223</v>
      </c>
      <c r="J63">
        <v>21435997</v>
      </c>
      <c r="K63">
        <v>21435997</v>
      </c>
      <c r="L63" t="s">
        <v>118</v>
      </c>
      <c r="M63" t="s">
        <v>119</v>
      </c>
      <c r="N63" t="str">
        <f t="shared" si="5"/>
        <v>Christopher Brousseau</v>
      </c>
      <c r="O63" t="s">
        <v>57</v>
      </c>
      <c r="P63" s="1">
        <v>46102</v>
      </c>
      <c r="Q63" s="1">
        <v>46133</v>
      </c>
      <c r="R63" s="2">
        <v>89.52</v>
      </c>
      <c r="S63">
        <v>1</v>
      </c>
      <c r="T63" t="s">
        <v>58</v>
      </c>
      <c r="U63" t="s">
        <v>60</v>
      </c>
      <c r="V63" t="s">
        <v>61</v>
      </c>
      <c r="W63">
        <v>6</v>
      </c>
      <c r="X63" s="2">
        <v>62.66</v>
      </c>
      <c r="Z63" t="s">
        <v>261</v>
      </c>
      <c r="AA63" t="s">
        <v>843</v>
      </c>
    </row>
    <row r="64" spans="1:27" x14ac:dyDescent="0.3">
      <c r="A64">
        <v>2034475268</v>
      </c>
      <c r="B64" t="s">
        <v>238</v>
      </c>
      <c r="C64" t="s">
        <v>239</v>
      </c>
      <c r="D64" t="str">
        <f t="shared" si="3"/>
        <v>BEVERLY MILLER</v>
      </c>
      <c r="E64" t="s">
        <v>74</v>
      </c>
      <c r="F64" t="s">
        <v>222</v>
      </c>
      <c r="G64" s="3">
        <v>0.7</v>
      </c>
      <c r="H64" t="s">
        <v>223</v>
      </c>
      <c r="I64" t="s">
        <v>223</v>
      </c>
      <c r="J64">
        <v>3333476</v>
      </c>
      <c r="K64">
        <v>3333476</v>
      </c>
      <c r="L64" t="s">
        <v>240</v>
      </c>
      <c r="M64" t="s">
        <v>241</v>
      </c>
      <c r="N64" t="str">
        <f t="shared" si="5"/>
        <v>Colleen Jerger</v>
      </c>
      <c r="O64" t="s">
        <v>57</v>
      </c>
      <c r="P64" s="1">
        <v>46102</v>
      </c>
      <c r="Q64" s="1">
        <v>46133</v>
      </c>
      <c r="R64" s="2">
        <v>49</v>
      </c>
      <c r="S64">
        <v>1</v>
      </c>
      <c r="T64" t="s">
        <v>58</v>
      </c>
      <c r="U64" t="s">
        <v>60</v>
      </c>
      <c r="V64" t="s">
        <v>61</v>
      </c>
      <c r="W64">
        <v>6</v>
      </c>
      <c r="X64" s="2">
        <v>34.299999999999997</v>
      </c>
      <c r="Z64" t="s">
        <v>261</v>
      </c>
      <c r="AA64" t="s">
        <v>843</v>
      </c>
    </row>
    <row r="65" spans="1:27" x14ac:dyDescent="0.3">
      <c r="A65">
        <v>2034475269</v>
      </c>
      <c r="B65" t="s">
        <v>238</v>
      </c>
      <c r="C65" t="s">
        <v>239</v>
      </c>
      <c r="D65" t="str">
        <f t="shared" si="3"/>
        <v>BEVERLY MILLER</v>
      </c>
      <c r="E65" t="s">
        <v>74</v>
      </c>
      <c r="F65" t="s">
        <v>222</v>
      </c>
      <c r="G65" s="3">
        <v>0.9</v>
      </c>
      <c r="H65" t="s">
        <v>224</v>
      </c>
      <c r="I65" t="s">
        <v>224</v>
      </c>
      <c r="J65">
        <v>3333476</v>
      </c>
      <c r="K65">
        <v>3333476</v>
      </c>
      <c r="L65" t="s">
        <v>240</v>
      </c>
      <c r="M65" t="s">
        <v>241</v>
      </c>
      <c r="N65" t="str">
        <f t="shared" si="5"/>
        <v>Colleen Jerger</v>
      </c>
      <c r="O65" t="s">
        <v>57</v>
      </c>
      <c r="P65" s="1">
        <v>46102</v>
      </c>
      <c r="Q65" s="1">
        <v>46133</v>
      </c>
      <c r="R65" s="2">
        <v>23.05</v>
      </c>
      <c r="S65">
        <v>1</v>
      </c>
      <c r="T65" t="s">
        <v>58</v>
      </c>
      <c r="U65" t="s">
        <v>60</v>
      </c>
      <c r="V65" t="s">
        <v>61</v>
      </c>
      <c r="W65">
        <v>6</v>
      </c>
      <c r="X65" s="2">
        <v>20.74</v>
      </c>
      <c r="Z65" t="s">
        <v>261</v>
      </c>
      <c r="AA65" t="s">
        <v>843</v>
      </c>
    </row>
    <row r="66" spans="1:27" x14ac:dyDescent="0.3">
      <c r="A66">
        <v>2034374843</v>
      </c>
      <c r="B66" t="s">
        <v>93</v>
      </c>
      <c r="C66" t="s">
        <v>94</v>
      </c>
      <c r="D66" t="str">
        <f t="shared" ref="D66:D97" si="6">_xlfn.CONCAT(C66," ",B66)</f>
        <v>ELLIOTT KENNEDY</v>
      </c>
      <c r="E66" t="s">
        <v>95</v>
      </c>
      <c r="F66" t="s">
        <v>65</v>
      </c>
      <c r="G66" s="3">
        <v>0.9</v>
      </c>
      <c r="H66" t="s">
        <v>71</v>
      </c>
      <c r="I66" t="s">
        <v>796</v>
      </c>
      <c r="J66">
        <v>8307933</v>
      </c>
      <c r="K66">
        <v>8307933</v>
      </c>
      <c r="L66" t="s">
        <v>96</v>
      </c>
      <c r="M66" t="s">
        <v>97</v>
      </c>
      <c r="N66" t="str">
        <f t="shared" ref="N66:N97" si="7">_xlfn.CONCAT(M66," ",L66)</f>
        <v>GREGORY TEIPEL</v>
      </c>
      <c r="O66" t="s">
        <v>57</v>
      </c>
      <c r="P66" s="1">
        <v>46099</v>
      </c>
      <c r="Q66" s="1">
        <v>46130</v>
      </c>
      <c r="R66" s="2">
        <v>95.88</v>
      </c>
      <c r="S66">
        <v>1</v>
      </c>
      <c r="T66" t="s">
        <v>58</v>
      </c>
      <c r="U66" t="s">
        <v>60</v>
      </c>
      <c r="V66" t="s">
        <v>61</v>
      </c>
      <c r="W66">
        <v>6</v>
      </c>
      <c r="X66" s="2">
        <v>86.29</v>
      </c>
      <c r="Z66" t="s">
        <v>261</v>
      </c>
      <c r="AA66" t="s">
        <v>843</v>
      </c>
    </row>
    <row r="67" spans="1:27" x14ac:dyDescent="0.3">
      <c r="A67">
        <v>2034374842</v>
      </c>
      <c r="B67" t="s">
        <v>93</v>
      </c>
      <c r="C67" t="s">
        <v>94</v>
      </c>
      <c r="D67" t="str">
        <f t="shared" si="6"/>
        <v>ELLIOTT KENNEDY</v>
      </c>
      <c r="E67" t="s">
        <v>95</v>
      </c>
      <c r="F67" t="s">
        <v>222</v>
      </c>
      <c r="G67" s="3">
        <v>0.7</v>
      </c>
      <c r="H67" t="s">
        <v>223</v>
      </c>
      <c r="I67" t="s">
        <v>223</v>
      </c>
      <c r="J67">
        <v>8307933</v>
      </c>
      <c r="K67">
        <v>8307933</v>
      </c>
      <c r="L67" t="s">
        <v>96</v>
      </c>
      <c r="M67" t="s">
        <v>97</v>
      </c>
      <c r="N67" t="str">
        <f t="shared" si="7"/>
        <v>GREGORY TEIPEL</v>
      </c>
      <c r="O67" t="s">
        <v>57</v>
      </c>
      <c r="P67" s="1">
        <v>46099</v>
      </c>
      <c r="Q67" s="1">
        <v>46130</v>
      </c>
      <c r="R67" s="2">
        <v>23.09</v>
      </c>
      <c r="S67">
        <v>1</v>
      </c>
      <c r="T67" t="s">
        <v>58</v>
      </c>
      <c r="U67" t="s">
        <v>60</v>
      </c>
      <c r="V67" t="s">
        <v>61</v>
      </c>
      <c r="W67">
        <v>6</v>
      </c>
      <c r="X67" s="2">
        <v>16.16</v>
      </c>
      <c r="Z67" t="s">
        <v>261</v>
      </c>
      <c r="AA67" t="s">
        <v>843</v>
      </c>
    </row>
    <row r="68" spans="1:27" x14ac:dyDescent="0.3">
      <c r="A68">
        <v>2034374844</v>
      </c>
      <c r="B68" t="s">
        <v>93</v>
      </c>
      <c r="C68" t="s">
        <v>94</v>
      </c>
      <c r="D68" t="str">
        <f t="shared" si="6"/>
        <v>ELLIOTT KENNEDY</v>
      </c>
      <c r="E68" t="s">
        <v>95</v>
      </c>
      <c r="F68" t="s">
        <v>163</v>
      </c>
      <c r="G68" s="4">
        <v>0.375</v>
      </c>
      <c r="H68" t="s">
        <v>164</v>
      </c>
      <c r="I68" t="s">
        <v>164</v>
      </c>
      <c r="J68">
        <v>8307933</v>
      </c>
      <c r="K68">
        <v>8307933</v>
      </c>
      <c r="L68" t="s">
        <v>96</v>
      </c>
      <c r="M68" t="s">
        <v>97</v>
      </c>
      <c r="N68" t="str">
        <f t="shared" si="7"/>
        <v>GREGORY TEIPEL</v>
      </c>
      <c r="O68" t="s">
        <v>57</v>
      </c>
      <c r="P68" s="1">
        <v>46099</v>
      </c>
      <c r="Q68" s="1">
        <v>46130</v>
      </c>
      <c r="R68" s="2">
        <v>48.15</v>
      </c>
      <c r="S68">
        <v>1</v>
      </c>
      <c r="T68" t="s">
        <v>58</v>
      </c>
      <c r="U68" t="s">
        <v>60</v>
      </c>
      <c r="V68" t="s">
        <v>61</v>
      </c>
      <c r="W68">
        <v>6</v>
      </c>
      <c r="X68" s="2">
        <v>18.059999999999999</v>
      </c>
      <c r="Z68" t="s">
        <v>261</v>
      </c>
      <c r="AA68" t="s">
        <v>843</v>
      </c>
    </row>
    <row r="69" spans="1:27" x14ac:dyDescent="0.3">
      <c r="A69">
        <v>2034439273</v>
      </c>
      <c r="B69" t="s">
        <v>235</v>
      </c>
      <c r="C69" t="s">
        <v>200</v>
      </c>
      <c r="D69" t="str">
        <f t="shared" si="6"/>
        <v>MICHAEL RELUE</v>
      </c>
      <c r="E69" t="s">
        <v>74</v>
      </c>
      <c r="F69" t="s">
        <v>222</v>
      </c>
      <c r="G69" s="3">
        <v>0.7</v>
      </c>
      <c r="H69" t="s">
        <v>223</v>
      </c>
      <c r="I69" t="s">
        <v>223</v>
      </c>
      <c r="J69">
        <v>18754354</v>
      </c>
      <c r="K69">
        <v>18754354</v>
      </c>
      <c r="L69" t="s">
        <v>236</v>
      </c>
      <c r="M69" t="s">
        <v>237</v>
      </c>
      <c r="N69" t="str">
        <f t="shared" si="7"/>
        <v>JACOB YALE</v>
      </c>
      <c r="O69" t="s">
        <v>57</v>
      </c>
      <c r="P69" s="1">
        <v>46113</v>
      </c>
      <c r="Q69" s="1">
        <v>46143</v>
      </c>
      <c r="R69" s="2">
        <v>208.28</v>
      </c>
      <c r="S69">
        <v>1</v>
      </c>
      <c r="T69" t="s">
        <v>58</v>
      </c>
      <c r="U69" t="s">
        <v>60</v>
      </c>
      <c r="V69" t="s">
        <v>61</v>
      </c>
      <c r="W69">
        <v>6</v>
      </c>
      <c r="X69" s="2">
        <v>145.80000000000001</v>
      </c>
      <c r="Z69" t="s">
        <v>261</v>
      </c>
      <c r="AA69" t="s">
        <v>843</v>
      </c>
    </row>
    <row r="70" spans="1:27" x14ac:dyDescent="0.3">
      <c r="A70">
        <v>2034403263</v>
      </c>
      <c r="B70" t="s">
        <v>123</v>
      </c>
      <c r="C70" t="s">
        <v>124</v>
      </c>
      <c r="D70" t="str">
        <f t="shared" si="6"/>
        <v>WILLIAM PITTIS</v>
      </c>
      <c r="E70" t="s">
        <v>80</v>
      </c>
      <c r="F70" t="s">
        <v>65</v>
      </c>
      <c r="G70" s="3">
        <v>0.75</v>
      </c>
      <c r="H70" t="s">
        <v>66</v>
      </c>
      <c r="I70" t="s">
        <v>797</v>
      </c>
      <c r="J70">
        <v>18201929</v>
      </c>
      <c r="K70">
        <v>18201929</v>
      </c>
      <c r="L70" t="s">
        <v>125</v>
      </c>
      <c r="M70" t="s">
        <v>126</v>
      </c>
      <c r="N70" t="str">
        <f t="shared" si="7"/>
        <v>Jake Shulman</v>
      </c>
      <c r="O70" t="s">
        <v>57</v>
      </c>
      <c r="P70" s="1">
        <v>46113</v>
      </c>
      <c r="Q70" s="1">
        <v>46143</v>
      </c>
      <c r="R70" s="2">
        <v>88.75</v>
      </c>
      <c r="S70">
        <v>1</v>
      </c>
      <c r="T70" t="s">
        <v>58</v>
      </c>
      <c r="U70" t="s">
        <v>60</v>
      </c>
      <c r="V70" t="s">
        <v>61</v>
      </c>
      <c r="W70">
        <v>6</v>
      </c>
      <c r="X70" s="2">
        <v>66.56</v>
      </c>
      <c r="Z70" t="s">
        <v>261</v>
      </c>
      <c r="AA70" t="s">
        <v>843</v>
      </c>
    </row>
    <row r="71" spans="1:27" x14ac:dyDescent="0.3">
      <c r="A71">
        <v>2034430270</v>
      </c>
      <c r="B71" t="s">
        <v>140</v>
      </c>
      <c r="C71" t="s">
        <v>141</v>
      </c>
      <c r="D71" t="str">
        <f t="shared" si="6"/>
        <v>ANDY STREICH</v>
      </c>
      <c r="E71" t="s">
        <v>80</v>
      </c>
      <c r="F71" t="s">
        <v>65</v>
      </c>
      <c r="G71" s="3">
        <v>0.75</v>
      </c>
      <c r="H71" t="s">
        <v>66</v>
      </c>
      <c r="I71" t="s">
        <v>797</v>
      </c>
      <c r="J71">
        <v>18201929</v>
      </c>
      <c r="K71">
        <v>18201929</v>
      </c>
      <c r="L71" t="s">
        <v>125</v>
      </c>
      <c r="M71" t="s">
        <v>126</v>
      </c>
      <c r="N71" t="str">
        <f t="shared" si="7"/>
        <v>Jake Shulman</v>
      </c>
      <c r="O71" t="s">
        <v>57</v>
      </c>
      <c r="P71" s="1">
        <v>46113</v>
      </c>
      <c r="Q71" s="1">
        <v>46143</v>
      </c>
      <c r="R71" s="2">
        <v>94.06</v>
      </c>
      <c r="S71">
        <v>1</v>
      </c>
      <c r="T71" t="s">
        <v>58</v>
      </c>
      <c r="U71" t="s">
        <v>60</v>
      </c>
      <c r="V71" t="s">
        <v>61</v>
      </c>
      <c r="W71">
        <v>6</v>
      </c>
      <c r="X71" s="2">
        <v>70.540000000000006</v>
      </c>
      <c r="Z71" t="s">
        <v>261</v>
      </c>
      <c r="AA71" t="s">
        <v>843</v>
      </c>
    </row>
    <row r="72" spans="1:27" x14ac:dyDescent="0.3">
      <c r="A72">
        <v>2034425272</v>
      </c>
      <c r="B72" t="s">
        <v>134</v>
      </c>
      <c r="C72" t="s">
        <v>135</v>
      </c>
      <c r="D72" t="str">
        <f t="shared" si="6"/>
        <v>JINAYA BROW</v>
      </c>
      <c r="E72" t="s">
        <v>80</v>
      </c>
      <c r="F72" t="s">
        <v>65</v>
      </c>
      <c r="G72" s="3">
        <v>0.75</v>
      </c>
      <c r="H72" t="s">
        <v>81</v>
      </c>
      <c r="I72" t="s">
        <v>797</v>
      </c>
      <c r="J72" t="s">
        <v>821</v>
      </c>
      <c r="K72" t="s">
        <v>821</v>
      </c>
      <c r="L72" t="s">
        <v>125</v>
      </c>
      <c r="M72" t="s">
        <v>126</v>
      </c>
      <c r="N72" t="str">
        <f t="shared" si="7"/>
        <v>Jake Shulman</v>
      </c>
      <c r="O72" t="s">
        <v>57</v>
      </c>
      <c r="P72" s="1">
        <v>46100</v>
      </c>
      <c r="Q72" s="1">
        <v>46131</v>
      </c>
      <c r="R72" s="2">
        <v>22.68</v>
      </c>
      <c r="S72">
        <v>1</v>
      </c>
      <c r="T72" t="s">
        <v>58</v>
      </c>
      <c r="U72" t="s">
        <v>60</v>
      </c>
      <c r="V72" t="s">
        <v>61</v>
      </c>
      <c r="W72">
        <v>6</v>
      </c>
      <c r="X72" s="2">
        <v>17.010000000000002</v>
      </c>
      <c r="Z72" t="s">
        <v>261</v>
      </c>
      <c r="AA72" t="s">
        <v>843</v>
      </c>
    </row>
    <row r="73" spans="1:27" x14ac:dyDescent="0.3">
      <c r="A73">
        <v>2034426699</v>
      </c>
      <c r="B73" t="s">
        <v>136</v>
      </c>
      <c r="C73" t="s">
        <v>124</v>
      </c>
      <c r="D73" t="str">
        <f t="shared" si="6"/>
        <v>WILLIAM WINTERFIELD</v>
      </c>
      <c r="E73" t="s">
        <v>80</v>
      </c>
      <c r="F73" t="s">
        <v>65</v>
      </c>
      <c r="G73" s="3">
        <v>0.75</v>
      </c>
      <c r="H73" t="s">
        <v>66</v>
      </c>
      <c r="I73" t="s">
        <v>797</v>
      </c>
      <c r="J73" t="s">
        <v>821</v>
      </c>
      <c r="K73" t="s">
        <v>821</v>
      </c>
      <c r="L73" t="s">
        <v>125</v>
      </c>
      <c r="M73" t="s">
        <v>126</v>
      </c>
      <c r="N73" t="str">
        <f t="shared" si="7"/>
        <v>Jake Shulman</v>
      </c>
      <c r="O73" t="s">
        <v>57</v>
      </c>
      <c r="P73" s="1">
        <v>46100</v>
      </c>
      <c r="Q73" s="1">
        <v>46131</v>
      </c>
      <c r="R73" s="2">
        <v>88.75</v>
      </c>
      <c r="S73">
        <v>1</v>
      </c>
      <c r="T73" t="s">
        <v>58</v>
      </c>
      <c r="U73" t="s">
        <v>60</v>
      </c>
      <c r="V73" t="s">
        <v>61</v>
      </c>
      <c r="W73">
        <v>6</v>
      </c>
      <c r="X73" s="2">
        <v>66.56</v>
      </c>
      <c r="Z73" t="s">
        <v>261</v>
      </c>
      <c r="AA73" t="s">
        <v>843</v>
      </c>
    </row>
    <row r="74" spans="1:27" x14ac:dyDescent="0.3">
      <c r="A74">
        <v>2034398379</v>
      </c>
      <c r="B74" t="s">
        <v>178</v>
      </c>
      <c r="C74" t="s">
        <v>179</v>
      </c>
      <c r="D74" t="str">
        <f t="shared" si="6"/>
        <v>ARIANNA MEJIA</v>
      </c>
      <c r="E74" t="s">
        <v>74</v>
      </c>
      <c r="F74" t="s">
        <v>163</v>
      </c>
      <c r="G74" s="4">
        <v>9.5000000000000001E-2</v>
      </c>
      <c r="H74" t="s">
        <v>164</v>
      </c>
      <c r="I74" t="s">
        <v>806</v>
      </c>
      <c r="J74">
        <v>20411454</v>
      </c>
      <c r="K74">
        <v>20411454</v>
      </c>
      <c r="L74" t="s">
        <v>180</v>
      </c>
      <c r="M74" t="s">
        <v>181</v>
      </c>
      <c r="N74" t="s">
        <v>841</v>
      </c>
      <c r="O74" t="s">
        <v>57</v>
      </c>
      <c r="P74" s="1">
        <v>46099</v>
      </c>
      <c r="Q74" s="1">
        <v>46130</v>
      </c>
      <c r="R74" s="2">
        <v>2.27</v>
      </c>
      <c r="S74">
        <v>1</v>
      </c>
      <c r="T74" t="s">
        <v>58</v>
      </c>
      <c r="U74" t="s">
        <v>60</v>
      </c>
      <c r="V74" t="s">
        <v>61</v>
      </c>
      <c r="W74">
        <v>6</v>
      </c>
      <c r="X74" s="2">
        <v>2.27</v>
      </c>
      <c r="Z74" t="s">
        <v>261</v>
      </c>
      <c r="AA74" t="s">
        <v>843</v>
      </c>
    </row>
    <row r="75" spans="1:27" x14ac:dyDescent="0.3">
      <c r="A75">
        <v>2034456836</v>
      </c>
      <c r="B75" t="s">
        <v>208</v>
      </c>
      <c r="C75" t="s">
        <v>209</v>
      </c>
      <c r="D75" t="str">
        <f t="shared" si="6"/>
        <v>GLORIA OBENG</v>
      </c>
      <c r="E75" t="s">
        <v>210</v>
      </c>
      <c r="F75" t="s">
        <v>163</v>
      </c>
      <c r="G75" s="4">
        <v>9.5000000000000001E-2</v>
      </c>
      <c r="H75" t="s">
        <v>164</v>
      </c>
      <c r="I75" t="s">
        <v>806</v>
      </c>
      <c r="J75">
        <v>20411454</v>
      </c>
      <c r="K75">
        <v>20411454</v>
      </c>
      <c r="L75" t="s">
        <v>180</v>
      </c>
      <c r="M75" t="s">
        <v>181</v>
      </c>
      <c r="N75" t="s">
        <v>841</v>
      </c>
      <c r="O75" t="s">
        <v>57</v>
      </c>
      <c r="P75" s="1">
        <v>46101</v>
      </c>
      <c r="Q75" s="1">
        <v>46132</v>
      </c>
      <c r="R75" s="2">
        <v>2.87</v>
      </c>
      <c r="S75">
        <v>1</v>
      </c>
      <c r="T75" t="s">
        <v>58</v>
      </c>
      <c r="U75" t="s">
        <v>60</v>
      </c>
      <c r="V75" t="s">
        <v>61</v>
      </c>
      <c r="W75">
        <v>6</v>
      </c>
      <c r="X75" s="2">
        <v>2.87</v>
      </c>
      <c r="Z75" t="s">
        <v>261</v>
      </c>
      <c r="AA75" t="s">
        <v>843</v>
      </c>
    </row>
    <row r="76" spans="1:27" x14ac:dyDescent="0.3">
      <c r="A76">
        <v>2034445649</v>
      </c>
      <c r="B76" t="s">
        <v>144</v>
      </c>
      <c r="C76" t="s">
        <v>145</v>
      </c>
      <c r="D76" t="str">
        <f t="shared" si="6"/>
        <v>LANDON LIVELY</v>
      </c>
      <c r="E76" t="s">
        <v>74</v>
      </c>
      <c r="F76" t="s">
        <v>65</v>
      </c>
      <c r="G76" s="3">
        <v>0.75</v>
      </c>
      <c r="H76" t="s">
        <v>81</v>
      </c>
      <c r="I76" t="s">
        <v>797</v>
      </c>
      <c r="J76">
        <v>1706194</v>
      </c>
      <c r="K76">
        <v>1706194</v>
      </c>
      <c r="L76" t="s">
        <v>146</v>
      </c>
      <c r="M76" t="s">
        <v>116</v>
      </c>
      <c r="N76" t="str">
        <f t="shared" ref="N76:N100" si="8">_xlfn.CONCAT(M76," ",L76)</f>
        <v>MATTHEW DAUGHERTY</v>
      </c>
      <c r="O76" t="s">
        <v>57</v>
      </c>
      <c r="P76" s="1">
        <v>46101</v>
      </c>
      <c r="Q76" s="1">
        <v>46132</v>
      </c>
      <c r="R76" s="2">
        <v>74.95</v>
      </c>
      <c r="S76">
        <v>1</v>
      </c>
      <c r="T76" t="s">
        <v>58</v>
      </c>
      <c r="U76" t="s">
        <v>60</v>
      </c>
      <c r="V76" t="s">
        <v>61</v>
      </c>
      <c r="W76">
        <v>6</v>
      </c>
      <c r="X76" s="2">
        <v>56.21</v>
      </c>
      <c r="Z76" t="s">
        <v>261</v>
      </c>
      <c r="AA76" t="s">
        <v>843</v>
      </c>
    </row>
    <row r="77" spans="1:27" x14ac:dyDescent="0.3">
      <c r="A77">
        <v>2034377609</v>
      </c>
      <c r="B77" t="s">
        <v>101</v>
      </c>
      <c r="C77" t="s">
        <v>102</v>
      </c>
      <c r="D77" t="str">
        <f t="shared" si="6"/>
        <v>KENNETH LUCAS</v>
      </c>
      <c r="E77" t="s">
        <v>103</v>
      </c>
      <c r="F77" t="s">
        <v>222</v>
      </c>
      <c r="G77" s="3">
        <v>0.7</v>
      </c>
      <c r="H77" t="s">
        <v>227</v>
      </c>
      <c r="I77" t="s">
        <v>590</v>
      </c>
      <c r="J77">
        <v>20872981</v>
      </c>
      <c r="K77">
        <v>20872981</v>
      </c>
      <c r="L77" t="s">
        <v>104</v>
      </c>
      <c r="M77" t="s">
        <v>105</v>
      </c>
      <c r="N77" t="str">
        <f t="shared" si="8"/>
        <v>Robert Adcock</v>
      </c>
      <c r="O77" t="s">
        <v>57</v>
      </c>
      <c r="P77" s="1">
        <v>46113</v>
      </c>
      <c r="Q77" s="1">
        <v>46143</v>
      </c>
      <c r="R77" s="2">
        <v>24.61</v>
      </c>
      <c r="S77">
        <v>1</v>
      </c>
      <c r="T77" t="s">
        <v>58</v>
      </c>
      <c r="U77" t="s">
        <v>60</v>
      </c>
      <c r="V77" t="s">
        <v>61</v>
      </c>
      <c r="W77">
        <v>6</v>
      </c>
      <c r="X77" s="2">
        <v>17.23</v>
      </c>
      <c r="Z77" t="s">
        <v>261</v>
      </c>
      <c r="AA77" t="s">
        <v>843</v>
      </c>
    </row>
    <row r="78" spans="1:27" x14ac:dyDescent="0.3">
      <c r="A78">
        <v>2034377610</v>
      </c>
      <c r="B78" t="s">
        <v>101</v>
      </c>
      <c r="C78" t="s">
        <v>102</v>
      </c>
      <c r="D78" t="str">
        <f t="shared" si="6"/>
        <v>KENNETH LUCAS</v>
      </c>
      <c r="E78" t="s">
        <v>103</v>
      </c>
      <c r="F78" t="s">
        <v>65</v>
      </c>
      <c r="G78" s="3">
        <v>0.9</v>
      </c>
      <c r="H78" t="s">
        <v>71</v>
      </c>
      <c r="I78" t="s">
        <v>796</v>
      </c>
      <c r="J78">
        <v>20872981</v>
      </c>
      <c r="K78">
        <v>20872981</v>
      </c>
      <c r="L78" t="s">
        <v>104</v>
      </c>
      <c r="M78" t="s">
        <v>105</v>
      </c>
      <c r="N78" t="str">
        <f t="shared" si="8"/>
        <v>Robert Adcock</v>
      </c>
      <c r="O78" t="s">
        <v>57</v>
      </c>
      <c r="P78" s="1">
        <v>46113</v>
      </c>
      <c r="Q78" s="1">
        <v>46143</v>
      </c>
      <c r="R78" s="2">
        <v>105.56</v>
      </c>
      <c r="S78">
        <v>1</v>
      </c>
      <c r="T78" t="s">
        <v>58</v>
      </c>
      <c r="U78" t="s">
        <v>60</v>
      </c>
      <c r="V78" t="s">
        <v>61</v>
      </c>
      <c r="W78">
        <v>6</v>
      </c>
      <c r="X78" s="2">
        <v>95</v>
      </c>
      <c r="Z78" t="s">
        <v>261</v>
      </c>
      <c r="AA78" t="s">
        <v>843</v>
      </c>
    </row>
    <row r="79" spans="1:27" x14ac:dyDescent="0.3">
      <c r="A79">
        <v>2034420238</v>
      </c>
      <c r="B79" t="s">
        <v>233</v>
      </c>
      <c r="C79" t="s">
        <v>234</v>
      </c>
      <c r="D79" t="str">
        <f t="shared" si="6"/>
        <v>NICOLE DIEM</v>
      </c>
      <c r="E79" t="s">
        <v>103</v>
      </c>
      <c r="F79" t="s">
        <v>222</v>
      </c>
      <c r="G79" s="3">
        <v>0.7</v>
      </c>
      <c r="H79" t="s">
        <v>227</v>
      </c>
      <c r="I79" t="s">
        <v>590</v>
      </c>
      <c r="J79">
        <v>5442438</v>
      </c>
      <c r="K79">
        <v>5442438</v>
      </c>
      <c r="L79" t="s">
        <v>149</v>
      </c>
      <c r="M79" t="s">
        <v>150</v>
      </c>
      <c r="N79" t="str">
        <f t="shared" si="8"/>
        <v>Ronald Max</v>
      </c>
      <c r="O79" t="s">
        <v>57</v>
      </c>
      <c r="P79" s="1">
        <v>46101</v>
      </c>
      <c r="Q79" s="1">
        <v>46132</v>
      </c>
      <c r="R79" s="2">
        <v>78.97</v>
      </c>
      <c r="S79">
        <v>1</v>
      </c>
      <c r="T79" t="s">
        <v>58</v>
      </c>
      <c r="U79" t="s">
        <v>60</v>
      </c>
      <c r="V79" t="s">
        <v>61</v>
      </c>
      <c r="W79">
        <v>6</v>
      </c>
      <c r="X79" s="2">
        <v>55.28</v>
      </c>
      <c r="Z79" t="s">
        <v>261</v>
      </c>
      <c r="AA79" t="s">
        <v>843</v>
      </c>
    </row>
    <row r="80" spans="1:27" x14ac:dyDescent="0.3">
      <c r="A80">
        <v>2034474265</v>
      </c>
      <c r="B80" t="s">
        <v>147</v>
      </c>
      <c r="C80" t="s">
        <v>148</v>
      </c>
      <c r="D80" t="str">
        <f t="shared" si="6"/>
        <v>DANIEL BROVER</v>
      </c>
      <c r="E80" t="s">
        <v>103</v>
      </c>
      <c r="F80" t="s">
        <v>222</v>
      </c>
      <c r="G80" s="3">
        <v>0.7</v>
      </c>
      <c r="H80" t="s">
        <v>227</v>
      </c>
      <c r="I80" t="s">
        <v>590</v>
      </c>
      <c r="J80">
        <v>5442438</v>
      </c>
      <c r="K80">
        <v>5442438</v>
      </c>
      <c r="L80" t="s">
        <v>149</v>
      </c>
      <c r="M80" t="s">
        <v>150</v>
      </c>
      <c r="N80" t="str">
        <f t="shared" si="8"/>
        <v>Ronald Max</v>
      </c>
      <c r="O80" t="s">
        <v>57</v>
      </c>
      <c r="P80" s="1">
        <v>46113</v>
      </c>
      <c r="Q80" s="1">
        <v>46143</v>
      </c>
      <c r="R80" s="2">
        <v>48</v>
      </c>
      <c r="S80">
        <v>1</v>
      </c>
      <c r="T80" t="s">
        <v>58</v>
      </c>
      <c r="U80" t="s">
        <v>60</v>
      </c>
      <c r="V80" t="s">
        <v>61</v>
      </c>
      <c r="W80">
        <v>6</v>
      </c>
      <c r="X80" s="2">
        <v>33.6</v>
      </c>
      <c r="Z80" t="s">
        <v>261</v>
      </c>
      <c r="AA80" t="s">
        <v>843</v>
      </c>
    </row>
    <row r="81" spans="1:27" x14ac:dyDescent="0.3">
      <c r="A81">
        <v>2034474266</v>
      </c>
      <c r="B81" t="s">
        <v>147</v>
      </c>
      <c r="C81" t="s">
        <v>148</v>
      </c>
      <c r="D81" t="str">
        <f t="shared" si="6"/>
        <v>DANIEL BROVER</v>
      </c>
      <c r="E81" t="s">
        <v>103</v>
      </c>
      <c r="F81" t="s">
        <v>65</v>
      </c>
      <c r="G81" s="3">
        <v>0.9</v>
      </c>
      <c r="H81" t="s">
        <v>71</v>
      </c>
      <c r="I81" t="s">
        <v>796</v>
      </c>
      <c r="J81">
        <v>5442438</v>
      </c>
      <c r="K81">
        <v>5442438</v>
      </c>
      <c r="L81" t="s">
        <v>149</v>
      </c>
      <c r="M81" t="s">
        <v>150</v>
      </c>
      <c r="N81" t="str">
        <f t="shared" si="8"/>
        <v>Ronald Max</v>
      </c>
      <c r="O81" t="s">
        <v>57</v>
      </c>
      <c r="P81" s="1">
        <v>46113</v>
      </c>
      <c r="Q81" s="1">
        <v>46143</v>
      </c>
      <c r="R81" s="2">
        <v>113.84</v>
      </c>
      <c r="S81">
        <v>1</v>
      </c>
      <c r="T81" t="s">
        <v>58</v>
      </c>
      <c r="U81" t="s">
        <v>60</v>
      </c>
      <c r="V81" t="s">
        <v>61</v>
      </c>
      <c r="W81">
        <v>6</v>
      </c>
      <c r="X81" s="2">
        <v>102.46</v>
      </c>
      <c r="Z81" t="s">
        <v>261</v>
      </c>
      <c r="AA81" t="s">
        <v>843</v>
      </c>
    </row>
    <row r="82" spans="1:27" x14ac:dyDescent="0.3">
      <c r="A82">
        <v>2034420239</v>
      </c>
      <c r="B82" t="s">
        <v>233</v>
      </c>
      <c r="C82" t="s">
        <v>234</v>
      </c>
      <c r="D82" t="str">
        <f t="shared" si="6"/>
        <v>NICOLE DIEM</v>
      </c>
      <c r="E82" t="s">
        <v>103</v>
      </c>
      <c r="F82" t="s">
        <v>222</v>
      </c>
      <c r="G82" s="3">
        <v>0.9</v>
      </c>
      <c r="H82" t="s">
        <v>224</v>
      </c>
      <c r="I82" t="s">
        <v>224</v>
      </c>
      <c r="J82">
        <v>5442438</v>
      </c>
      <c r="K82">
        <v>5442438</v>
      </c>
      <c r="L82" t="s">
        <v>149</v>
      </c>
      <c r="M82" t="s">
        <v>150</v>
      </c>
      <c r="N82" t="str">
        <f t="shared" si="8"/>
        <v>Ronald Max</v>
      </c>
      <c r="O82" t="s">
        <v>57</v>
      </c>
      <c r="P82" s="1">
        <v>46101</v>
      </c>
      <c r="Q82" s="1">
        <v>46132</v>
      </c>
      <c r="R82" s="2">
        <v>82.17</v>
      </c>
      <c r="S82">
        <v>1</v>
      </c>
      <c r="T82" t="s">
        <v>58</v>
      </c>
      <c r="U82" t="s">
        <v>60</v>
      </c>
      <c r="V82" t="s">
        <v>61</v>
      </c>
      <c r="W82">
        <v>6</v>
      </c>
      <c r="X82" s="2">
        <v>73.95</v>
      </c>
      <c r="Z82" t="s">
        <v>261</v>
      </c>
      <c r="AA82" t="s">
        <v>843</v>
      </c>
    </row>
    <row r="83" spans="1:27" x14ac:dyDescent="0.3">
      <c r="A83">
        <v>2034375765</v>
      </c>
      <c r="B83" t="s">
        <v>98</v>
      </c>
      <c r="C83" t="s">
        <v>99</v>
      </c>
      <c r="D83" t="str">
        <f t="shared" si="6"/>
        <v>DAVID DYBEL</v>
      </c>
      <c r="E83" t="s">
        <v>100</v>
      </c>
      <c r="F83" t="s">
        <v>222</v>
      </c>
      <c r="G83" s="3">
        <v>0.7</v>
      </c>
      <c r="H83" t="s">
        <v>227</v>
      </c>
      <c r="I83" t="s">
        <v>590</v>
      </c>
      <c r="J83">
        <v>8977234</v>
      </c>
      <c r="K83">
        <v>8977234</v>
      </c>
      <c r="L83" t="s">
        <v>76</v>
      </c>
      <c r="M83" t="s">
        <v>77</v>
      </c>
      <c r="N83" t="str">
        <f t="shared" si="8"/>
        <v>RYAN CALTAGIRONE</v>
      </c>
      <c r="O83" t="s">
        <v>57</v>
      </c>
      <c r="P83" s="1">
        <v>46098</v>
      </c>
      <c r="Q83" s="1">
        <v>46129</v>
      </c>
      <c r="R83" s="2">
        <v>25.73</v>
      </c>
      <c r="S83">
        <v>1</v>
      </c>
      <c r="T83" t="s">
        <v>58</v>
      </c>
      <c r="U83" t="s">
        <v>60</v>
      </c>
      <c r="V83" t="s">
        <v>61</v>
      </c>
      <c r="W83">
        <v>6</v>
      </c>
      <c r="X83" s="2">
        <v>18.010000000000002</v>
      </c>
      <c r="Z83" t="s">
        <v>261</v>
      </c>
      <c r="AA83" t="s">
        <v>843</v>
      </c>
    </row>
    <row r="84" spans="1:27" x14ac:dyDescent="0.3">
      <c r="A84">
        <v>2033908764</v>
      </c>
      <c r="B84" t="s">
        <v>72</v>
      </c>
      <c r="C84" t="s">
        <v>73</v>
      </c>
      <c r="D84" t="str">
        <f t="shared" si="6"/>
        <v>TERRY PEASLEE</v>
      </c>
      <c r="E84" t="s">
        <v>74</v>
      </c>
      <c r="F84" t="s">
        <v>65</v>
      </c>
      <c r="G84" s="3">
        <v>0.75</v>
      </c>
      <c r="H84" t="s">
        <v>75</v>
      </c>
      <c r="I84" t="s">
        <v>797</v>
      </c>
      <c r="J84">
        <v>8977234</v>
      </c>
      <c r="K84">
        <v>8977234</v>
      </c>
      <c r="L84" t="s">
        <v>76</v>
      </c>
      <c r="M84" t="s">
        <v>77</v>
      </c>
      <c r="N84" t="str">
        <f t="shared" si="8"/>
        <v>RYAN CALTAGIRONE</v>
      </c>
      <c r="O84" t="s">
        <v>57</v>
      </c>
      <c r="P84" s="1">
        <v>46102</v>
      </c>
      <c r="Q84" s="1">
        <v>46133</v>
      </c>
      <c r="R84" s="2">
        <v>48.28</v>
      </c>
      <c r="S84">
        <v>1</v>
      </c>
      <c r="T84" t="s">
        <v>58</v>
      </c>
      <c r="U84" t="s">
        <v>60</v>
      </c>
      <c r="V84" t="s">
        <v>61</v>
      </c>
      <c r="W84">
        <v>6</v>
      </c>
      <c r="X84" s="2">
        <v>36.21</v>
      </c>
      <c r="Z84" t="s">
        <v>261</v>
      </c>
      <c r="AA84" t="s">
        <v>843</v>
      </c>
    </row>
    <row r="85" spans="1:27" x14ac:dyDescent="0.3">
      <c r="A85">
        <v>2034430398</v>
      </c>
      <c r="B85" t="s">
        <v>142</v>
      </c>
      <c r="C85" t="s">
        <v>143</v>
      </c>
      <c r="D85" t="str">
        <f t="shared" si="6"/>
        <v>KEVIN KOPPMEIER</v>
      </c>
      <c r="E85" t="s">
        <v>129</v>
      </c>
      <c r="F85" t="s">
        <v>65</v>
      </c>
      <c r="G85" s="3">
        <v>0.75</v>
      </c>
      <c r="H85" t="s">
        <v>66</v>
      </c>
      <c r="I85" t="s">
        <v>797</v>
      </c>
      <c r="J85">
        <v>8977234</v>
      </c>
      <c r="K85">
        <v>8977234</v>
      </c>
      <c r="L85" t="s">
        <v>76</v>
      </c>
      <c r="M85" t="s">
        <v>77</v>
      </c>
      <c r="N85" t="str">
        <f t="shared" si="8"/>
        <v>RYAN CALTAGIRONE</v>
      </c>
      <c r="O85" t="s">
        <v>57</v>
      </c>
      <c r="P85" s="1">
        <v>46113</v>
      </c>
      <c r="Q85" s="1">
        <v>46143</v>
      </c>
      <c r="R85" s="2">
        <v>102.2</v>
      </c>
      <c r="S85">
        <v>1</v>
      </c>
      <c r="T85" t="s">
        <v>58</v>
      </c>
      <c r="U85" t="s">
        <v>60</v>
      </c>
      <c r="V85" t="s">
        <v>61</v>
      </c>
      <c r="W85">
        <v>6</v>
      </c>
      <c r="X85" s="2">
        <v>76.650000000000006</v>
      </c>
      <c r="Z85" t="s">
        <v>261</v>
      </c>
      <c r="AA85" t="s">
        <v>843</v>
      </c>
    </row>
    <row r="86" spans="1:27" x14ac:dyDescent="0.3">
      <c r="A86">
        <v>2034375763</v>
      </c>
      <c r="B86" t="s">
        <v>98</v>
      </c>
      <c r="C86" t="s">
        <v>99</v>
      </c>
      <c r="D86" t="str">
        <f t="shared" si="6"/>
        <v>DAVID DYBEL</v>
      </c>
      <c r="E86" t="s">
        <v>100</v>
      </c>
      <c r="F86" t="s">
        <v>65</v>
      </c>
      <c r="G86" s="3">
        <v>0.9</v>
      </c>
      <c r="H86" t="s">
        <v>71</v>
      </c>
      <c r="I86" t="s">
        <v>796</v>
      </c>
      <c r="J86">
        <v>8977234</v>
      </c>
      <c r="K86">
        <v>8977234</v>
      </c>
      <c r="L86" t="s">
        <v>76</v>
      </c>
      <c r="M86" t="s">
        <v>77</v>
      </c>
      <c r="N86" t="str">
        <f t="shared" si="8"/>
        <v>RYAN CALTAGIRONE</v>
      </c>
      <c r="O86" t="s">
        <v>57</v>
      </c>
      <c r="P86" s="1">
        <v>46098</v>
      </c>
      <c r="Q86" s="1">
        <v>46129</v>
      </c>
      <c r="R86" s="2">
        <v>132</v>
      </c>
      <c r="S86">
        <v>1</v>
      </c>
      <c r="T86" t="s">
        <v>58</v>
      </c>
      <c r="U86" t="s">
        <v>60</v>
      </c>
      <c r="V86" t="s">
        <v>61</v>
      </c>
      <c r="W86">
        <v>6</v>
      </c>
      <c r="X86" s="2">
        <v>118.8</v>
      </c>
      <c r="Z86" t="s">
        <v>261</v>
      </c>
      <c r="AA86" t="s">
        <v>843</v>
      </c>
    </row>
    <row r="87" spans="1:27" x14ac:dyDescent="0.3">
      <c r="A87">
        <v>2033908763</v>
      </c>
      <c r="B87" t="s">
        <v>72</v>
      </c>
      <c r="C87" t="s">
        <v>73</v>
      </c>
      <c r="D87" t="str">
        <f t="shared" si="6"/>
        <v>TERRY PEASLEE</v>
      </c>
      <c r="E87" t="s">
        <v>74</v>
      </c>
      <c r="F87" t="s">
        <v>222</v>
      </c>
      <c r="G87" s="3">
        <v>0.7</v>
      </c>
      <c r="H87" t="s">
        <v>223</v>
      </c>
      <c r="I87" t="s">
        <v>223</v>
      </c>
      <c r="J87">
        <v>8977234</v>
      </c>
      <c r="K87">
        <v>8977234</v>
      </c>
      <c r="L87" t="s">
        <v>76</v>
      </c>
      <c r="M87" t="s">
        <v>77</v>
      </c>
      <c r="N87" t="str">
        <f t="shared" si="8"/>
        <v>RYAN CALTAGIRONE</v>
      </c>
      <c r="O87" t="s">
        <v>57</v>
      </c>
      <c r="P87" s="1">
        <v>46102</v>
      </c>
      <c r="Q87" s="1">
        <v>46133</v>
      </c>
      <c r="R87" s="2">
        <v>77.7</v>
      </c>
      <c r="S87">
        <v>1</v>
      </c>
      <c r="T87" t="s">
        <v>58</v>
      </c>
      <c r="U87" t="s">
        <v>60</v>
      </c>
      <c r="V87" t="s">
        <v>61</v>
      </c>
      <c r="W87">
        <v>6</v>
      </c>
      <c r="X87" s="2">
        <v>54.39</v>
      </c>
      <c r="Z87" t="s">
        <v>261</v>
      </c>
      <c r="AA87" t="s">
        <v>843</v>
      </c>
    </row>
    <row r="88" spans="1:27" x14ac:dyDescent="0.3">
      <c r="A88">
        <v>2034375764</v>
      </c>
      <c r="B88" t="s">
        <v>98</v>
      </c>
      <c r="C88" t="s">
        <v>99</v>
      </c>
      <c r="D88" t="str">
        <f t="shared" si="6"/>
        <v>DAVID DYBEL</v>
      </c>
      <c r="E88" t="s">
        <v>100</v>
      </c>
      <c r="F88" t="s">
        <v>222</v>
      </c>
      <c r="G88" s="3">
        <v>0.7</v>
      </c>
      <c r="H88" t="s">
        <v>223</v>
      </c>
      <c r="I88" t="s">
        <v>223</v>
      </c>
      <c r="J88">
        <v>8977234</v>
      </c>
      <c r="K88">
        <v>8977234</v>
      </c>
      <c r="L88" t="s">
        <v>76</v>
      </c>
      <c r="M88" t="s">
        <v>77</v>
      </c>
      <c r="N88" t="str">
        <f t="shared" si="8"/>
        <v>RYAN CALTAGIRONE</v>
      </c>
      <c r="O88" t="s">
        <v>57</v>
      </c>
      <c r="P88" s="1">
        <v>46098</v>
      </c>
      <c r="Q88" s="1">
        <v>46129</v>
      </c>
      <c r="R88" s="2">
        <v>24.78</v>
      </c>
      <c r="S88">
        <v>1</v>
      </c>
      <c r="T88" t="s">
        <v>58</v>
      </c>
      <c r="U88" t="s">
        <v>60</v>
      </c>
      <c r="V88" t="s">
        <v>61</v>
      </c>
      <c r="W88">
        <v>6</v>
      </c>
      <c r="X88" s="2">
        <v>17.350000000000001</v>
      </c>
      <c r="Z88" t="s">
        <v>261</v>
      </c>
      <c r="AA88" t="s">
        <v>843</v>
      </c>
    </row>
    <row r="89" spans="1:27" x14ac:dyDescent="0.3">
      <c r="A89">
        <v>2034430399</v>
      </c>
      <c r="B89" t="s">
        <v>142</v>
      </c>
      <c r="C89" t="s">
        <v>143</v>
      </c>
      <c r="D89" t="str">
        <f t="shared" si="6"/>
        <v>KEVIN KOPPMEIER</v>
      </c>
      <c r="E89" t="s">
        <v>129</v>
      </c>
      <c r="F89" t="s">
        <v>222</v>
      </c>
      <c r="G89" s="3">
        <v>0.7</v>
      </c>
      <c r="H89" t="s">
        <v>223</v>
      </c>
      <c r="I89" t="s">
        <v>223</v>
      </c>
      <c r="J89">
        <v>8977234</v>
      </c>
      <c r="K89">
        <v>8977234</v>
      </c>
      <c r="L89" t="s">
        <v>76</v>
      </c>
      <c r="M89" t="s">
        <v>77</v>
      </c>
      <c r="N89" t="str">
        <f t="shared" si="8"/>
        <v>RYAN CALTAGIRONE</v>
      </c>
      <c r="O89" t="s">
        <v>57</v>
      </c>
      <c r="P89" s="1">
        <v>46113</v>
      </c>
      <c r="Q89" s="1">
        <v>46143</v>
      </c>
      <c r="R89" s="2">
        <v>94.16</v>
      </c>
      <c r="S89">
        <v>1</v>
      </c>
      <c r="T89" t="s">
        <v>58</v>
      </c>
      <c r="U89" t="s">
        <v>60</v>
      </c>
      <c r="V89" t="s">
        <v>61</v>
      </c>
      <c r="W89">
        <v>6</v>
      </c>
      <c r="X89" s="2">
        <v>65.91</v>
      </c>
      <c r="Z89" t="s">
        <v>261</v>
      </c>
      <c r="AA89" t="s">
        <v>843</v>
      </c>
    </row>
    <row r="90" spans="1:27" x14ac:dyDescent="0.3">
      <c r="A90">
        <v>2034375766</v>
      </c>
      <c r="B90" t="s">
        <v>98</v>
      </c>
      <c r="C90" t="s">
        <v>99</v>
      </c>
      <c r="D90" t="str">
        <f t="shared" si="6"/>
        <v>DAVID DYBEL</v>
      </c>
      <c r="E90" t="s">
        <v>100</v>
      </c>
      <c r="F90" t="s">
        <v>163</v>
      </c>
      <c r="G90" s="4">
        <v>0.375</v>
      </c>
      <c r="H90" t="s">
        <v>164</v>
      </c>
      <c r="I90" t="s">
        <v>164</v>
      </c>
      <c r="J90">
        <v>8977234</v>
      </c>
      <c r="K90">
        <v>8977234</v>
      </c>
      <c r="L90" t="s">
        <v>76</v>
      </c>
      <c r="M90" t="s">
        <v>77</v>
      </c>
      <c r="N90" t="str">
        <f t="shared" si="8"/>
        <v>RYAN CALTAGIRONE</v>
      </c>
      <c r="O90" t="s">
        <v>57</v>
      </c>
      <c r="P90" s="1">
        <v>46098</v>
      </c>
      <c r="Q90" s="1">
        <v>46129</v>
      </c>
      <c r="R90" s="2">
        <v>28.91</v>
      </c>
      <c r="S90">
        <v>1</v>
      </c>
      <c r="T90" t="s">
        <v>58</v>
      </c>
      <c r="U90" t="s">
        <v>60</v>
      </c>
      <c r="V90" t="s">
        <v>61</v>
      </c>
      <c r="W90">
        <v>6</v>
      </c>
      <c r="X90" s="2">
        <v>10.84</v>
      </c>
      <c r="Z90" t="s">
        <v>261</v>
      </c>
      <c r="AA90" t="s">
        <v>843</v>
      </c>
    </row>
    <row r="91" spans="1:27" x14ac:dyDescent="0.3">
      <c r="A91">
        <v>2034430400</v>
      </c>
      <c r="B91" t="s">
        <v>142</v>
      </c>
      <c r="C91" t="s">
        <v>143</v>
      </c>
      <c r="D91" t="str">
        <f t="shared" si="6"/>
        <v>KEVIN KOPPMEIER</v>
      </c>
      <c r="E91" t="s">
        <v>129</v>
      </c>
      <c r="F91" t="s">
        <v>163</v>
      </c>
      <c r="G91" s="4">
        <v>0.375</v>
      </c>
      <c r="H91" t="s">
        <v>164</v>
      </c>
      <c r="I91" t="s">
        <v>164</v>
      </c>
      <c r="J91">
        <v>8977234</v>
      </c>
      <c r="K91">
        <v>8977234</v>
      </c>
      <c r="L91" t="s">
        <v>76</v>
      </c>
      <c r="M91" t="s">
        <v>77</v>
      </c>
      <c r="N91" t="str">
        <f t="shared" si="8"/>
        <v>RYAN CALTAGIRONE</v>
      </c>
      <c r="O91" t="s">
        <v>57</v>
      </c>
      <c r="P91" s="1">
        <v>46113</v>
      </c>
      <c r="Q91" s="1">
        <v>46143</v>
      </c>
      <c r="R91" s="2">
        <v>25.89</v>
      </c>
      <c r="S91">
        <v>1</v>
      </c>
      <c r="T91" t="s">
        <v>58</v>
      </c>
      <c r="U91" t="s">
        <v>60</v>
      </c>
      <c r="V91" t="s">
        <v>61</v>
      </c>
      <c r="W91">
        <v>6</v>
      </c>
      <c r="X91" s="2">
        <v>9.7100000000000009</v>
      </c>
      <c r="Z91" t="s">
        <v>261</v>
      </c>
      <c r="AA91" t="s">
        <v>843</v>
      </c>
    </row>
    <row r="92" spans="1:27" x14ac:dyDescent="0.3">
      <c r="A92">
        <v>2034413971</v>
      </c>
      <c r="B92" t="s">
        <v>127</v>
      </c>
      <c r="C92" t="s">
        <v>128</v>
      </c>
      <c r="D92" t="str">
        <f t="shared" si="6"/>
        <v>VERONICA FLORES</v>
      </c>
      <c r="E92" t="s">
        <v>129</v>
      </c>
      <c r="F92" t="s">
        <v>65</v>
      </c>
      <c r="G92" s="3">
        <v>0.75</v>
      </c>
      <c r="H92" t="s">
        <v>66</v>
      </c>
      <c r="I92" t="s">
        <v>797</v>
      </c>
      <c r="J92">
        <v>16170994</v>
      </c>
      <c r="K92">
        <v>16170994</v>
      </c>
      <c r="L92" t="s">
        <v>130</v>
      </c>
      <c r="M92" t="s">
        <v>56</v>
      </c>
      <c r="N92" t="str">
        <f t="shared" si="8"/>
        <v>Ryan Shepard</v>
      </c>
      <c r="O92" t="s">
        <v>57</v>
      </c>
      <c r="P92" s="1">
        <v>46100</v>
      </c>
      <c r="Q92" s="1">
        <v>46131</v>
      </c>
      <c r="R92" s="2">
        <v>34.090000000000003</v>
      </c>
      <c r="S92">
        <v>1</v>
      </c>
      <c r="T92" t="s">
        <v>58</v>
      </c>
      <c r="U92" t="s">
        <v>60</v>
      </c>
      <c r="V92" t="s">
        <v>61</v>
      </c>
      <c r="W92">
        <v>6</v>
      </c>
      <c r="X92" s="2">
        <v>25.57</v>
      </c>
      <c r="Z92" t="s">
        <v>261</v>
      </c>
      <c r="AA92" t="s">
        <v>843</v>
      </c>
    </row>
    <row r="93" spans="1:27" x14ac:dyDescent="0.3">
      <c r="A93">
        <v>2034436288</v>
      </c>
      <c r="B93" t="s">
        <v>254</v>
      </c>
      <c r="C93" t="s">
        <v>255</v>
      </c>
      <c r="D93" t="str">
        <f t="shared" si="6"/>
        <v>HUGH RIEGGER</v>
      </c>
      <c r="E93" t="s">
        <v>129</v>
      </c>
      <c r="F93" t="s">
        <v>256</v>
      </c>
      <c r="G93" s="3">
        <v>0.47</v>
      </c>
      <c r="H93" t="s">
        <v>257</v>
      </c>
      <c r="I93" t="s">
        <v>257</v>
      </c>
      <c r="J93">
        <v>16170994</v>
      </c>
      <c r="K93">
        <v>16170994</v>
      </c>
      <c r="L93" t="s">
        <v>130</v>
      </c>
      <c r="M93" t="s">
        <v>56</v>
      </c>
      <c r="N93" t="str">
        <f t="shared" si="8"/>
        <v>Ryan Shepard</v>
      </c>
      <c r="O93" t="s">
        <v>57</v>
      </c>
      <c r="P93" s="1">
        <v>46101</v>
      </c>
      <c r="Q93" s="1">
        <v>46132</v>
      </c>
      <c r="R93" s="2">
        <v>76.209999999999994</v>
      </c>
      <c r="S93">
        <v>1</v>
      </c>
      <c r="T93" t="s">
        <v>58</v>
      </c>
      <c r="U93" t="s">
        <v>60</v>
      </c>
      <c r="V93" t="s">
        <v>61</v>
      </c>
      <c r="W93">
        <v>6</v>
      </c>
      <c r="X93" s="2">
        <v>35.82</v>
      </c>
      <c r="Z93" t="s">
        <v>261</v>
      </c>
      <c r="AA93" t="s">
        <v>843</v>
      </c>
    </row>
    <row r="94" spans="1:27" x14ac:dyDescent="0.3">
      <c r="A94">
        <v>2034413970</v>
      </c>
      <c r="B94" t="s">
        <v>127</v>
      </c>
      <c r="C94" t="s">
        <v>128</v>
      </c>
      <c r="D94" t="str">
        <f t="shared" si="6"/>
        <v>VERONICA FLORES</v>
      </c>
      <c r="E94" t="s">
        <v>129</v>
      </c>
      <c r="F94" t="s">
        <v>222</v>
      </c>
      <c r="G94" s="3">
        <v>0.7</v>
      </c>
      <c r="H94" t="s">
        <v>223</v>
      </c>
      <c r="I94" t="s">
        <v>223</v>
      </c>
      <c r="J94">
        <v>16170994</v>
      </c>
      <c r="K94">
        <v>16170994</v>
      </c>
      <c r="L94" t="s">
        <v>130</v>
      </c>
      <c r="M94" t="s">
        <v>56</v>
      </c>
      <c r="N94" t="str">
        <f t="shared" si="8"/>
        <v>Ryan Shepard</v>
      </c>
      <c r="O94" t="s">
        <v>57</v>
      </c>
      <c r="P94" s="1">
        <v>46100</v>
      </c>
      <c r="Q94" s="1">
        <v>46131</v>
      </c>
      <c r="R94" s="2">
        <v>44</v>
      </c>
      <c r="S94">
        <v>1</v>
      </c>
      <c r="T94" t="s">
        <v>58</v>
      </c>
      <c r="U94" t="s">
        <v>60</v>
      </c>
      <c r="V94" t="s">
        <v>61</v>
      </c>
      <c r="W94">
        <v>6</v>
      </c>
      <c r="X94" s="2">
        <v>30.8</v>
      </c>
      <c r="Z94" t="s">
        <v>261</v>
      </c>
      <c r="AA94" t="s">
        <v>843</v>
      </c>
    </row>
    <row r="95" spans="1:27" x14ac:dyDescent="0.3">
      <c r="A95">
        <v>2034413969</v>
      </c>
      <c r="B95" t="s">
        <v>127</v>
      </c>
      <c r="C95" t="s">
        <v>128</v>
      </c>
      <c r="D95" t="str">
        <f t="shared" si="6"/>
        <v>VERONICA FLORES</v>
      </c>
      <c r="E95" t="s">
        <v>129</v>
      </c>
      <c r="F95" t="s">
        <v>163</v>
      </c>
      <c r="G95" s="4">
        <v>0.375</v>
      </c>
      <c r="H95" t="s">
        <v>164</v>
      </c>
      <c r="I95" t="s">
        <v>164</v>
      </c>
      <c r="J95">
        <v>16170994</v>
      </c>
      <c r="K95">
        <v>16170994</v>
      </c>
      <c r="L95" t="s">
        <v>130</v>
      </c>
      <c r="M95" t="s">
        <v>56</v>
      </c>
      <c r="N95" t="str">
        <f t="shared" si="8"/>
        <v>Ryan Shepard</v>
      </c>
      <c r="O95" t="s">
        <v>57</v>
      </c>
      <c r="P95" s="1">
        <v>46100</v>
      </c>
      <c r="Q95" s="1">
        <v>46131</v>
      </c>
      <c r="R95" s="2">
        <v>34.39</v>
      </c>
      <c r="S95">
        <v>1</v>
      </c>
      <c r="T95" t="s">
        <v>58</v>
      </c>
      <c r="U95" t="s">
        <v>60</v>
      </c>
      <c r="V95" t="s">
        <v>61</v>
      </c>
      <c r="W95">
        <v>6</v>
      </c>
      <c r="X95" s="2">
        <v>12.9</v>
      </c>
      <c r="Z95" t="s">
        <v>261</v>
      </c>
      <c r="AA95" t="s">
        <v>843</v>
      </c>
    </row>
    <row r="96" spans="1:27" x14ac:dyDescent="0.3">
      <c r="A96">
        <v>2034404406</v>
      </c>
      <c r="B96" t="s">
        <v>49</v>
      </c>
      <c r="C96" t="s">
        <v>50</v>
      </c>
      <c r="D96" t="str">
        <f t="shared" si="6"/>
        <v>JOSEPH SABA</v>
      </c>
      <c r="E96" t="s">
        <v>52</v>
      </c>
      <c r="F96" t="s">
        <v>220</v>
      </c>
      <c r="G96" s="3">
        <v>0.38</v>
      </c>
      <c r="H96" t="s">
        <v>221</v>
      </c>
      <c r="I96" t="s">
        <v>221</v>
      </c>
      <c r="J96">
        <v>15950276</v>
      </c>
      <c r="K96">
        <v>15950276</v>
      </c>
      <c r="L96" t="s">
        <v>55</v>
      </c>
      <c r="M96" t="s">
        <v>56</v>
      </c>
      <c r="N96" t="str">
        <f t="shared" si="8"/>
        <v>Ryan Stocker</v>
      </c>
      <c r="O96" t="s">
        <v>57</v>
      </c>
      <c r="P96" s="1">
        <v>46099</v>
      </c>
      <c r="Q96" s="1">
        <v>46130</v>
      </c>
      <c r="R96" s="2">
        <v>27.15</v>
      </c>
      <c r="S96">
        <v>1</v>
      </c>
      <c r="T96" t="s">
        <v>58</v>
      </c>
      <c r="U96" t="s">
        <v>60</v>
      </c>
      <c r="V96" t="s">
        <v>61</v>
      </c>
      <c r="W96">
        <v>6</v>
      </c>
      <c r="X96" s="2">
        <v>10.32</v>
      </c>
      <c r="Z96" t="s">
        <v>261</v>
      </c>
      <c r="AA96" t="s">
        <v>843</v>
      </c>
    </row>
    <row r="97" spans="1:27" x14ac:dyDescent="0.3">
      <c r="A97">
        <v>2034404405</v>
      </c>
      <c r="B97" t="s">
        <v>49</v>
      </c>
      <c r="C97" t="s">
        <v>50</v>
      </c>
      <c r="D97" t="str">
        <f t="shared" si="6"/>
        <v>JOSEPH SABA</v>
      </c>
      <c r="E97" t="s">
        <v>52</v>
      </c>
      <c r="F97" t="s">
        <v>163</v>
      </c>
      <c r="G97" s="4">
        <v>0.375</v>
      </c>
      <c r="H97" t="s">
        <v>164</v>
      </c>
      <c r="I97" t="s">
        <v>164</v>
      </c>
      <c r="J97">
        <v>15950276</v>
      </c>
      <c r="K97">
        <v>15950276</v>
      </c>
      <c r="L97" t="s">
        <v>55</v>
      </c>
      <c r="M97" t="s">
        <v>56</v>
      </c>
      <c r="N97" t="str">
        <f t="shared" si="8"/>
        <v>Ryan Stocker</v>
      </c>
      <c r="O97" t="s">
        <v>57</v>
      </c>
      <c r="P97" s="1">
        <v>46099</v>
      </c>
      <c r="Q97" s="1">
        <v>46130</v>
      </c>
      <c r="R97" s="2">
        <v>37.32</v>
      </c>
      <c r="S97">
        <v>1</v>
      </c>
      <c r="T97" t="s">
        <v>58</v>
      </c>
      <c r="U97" t="s">
        <v>60</v>
      </c>
      <c r="V97" t="s">
        <v>61</v>
      </c>
      <c r="W97">
        <v>6</v>
      </c>
      <c r="X97" s="2">
        <v>14</v>
      </c>
      <c r="Z97" t="s">
        <v>261</v>
      </c>
      <c r="AA97" t="s">
        <v>843</v>
      </c>
    </row>
    <row r="98" spans="1:27" x14ac:dyDescent="0.3">
      <c r="A98">
        <v>2034404407</v>
      </c>
      <c r="B98" t="s">
        <v>49</v>
      </c>
      <c r="C98" t="s">
        <v>50</v>
      </c>
      <c r="D98" t="str">
        <f t="shared" ref="D98:D129" si="9">_xlfn.CONCAT(C98," ",B98)</f>
        <v>JOSEPH SABA</v>
      </c>
      <c r="E98" t="s">
        <v>52</v>
      </c>
      <c r="F98" t="s">
        <v>53</v>
      </c>
      <c r="G98" s="3">
        <v>0.6</v>
      </c>
      <c r="H98" t="s">
        <v>54</v>
      </c>
      <c r="I98" t="s">
        <v>54</v>
      </c>
      <c r="J98">
        <v>15950276</v>
      </c>
      <c r="K98">
        <v>15950276</v>
      </c>
      <c r="L98" t="s">
        <v>55</v>
      </c>
      <c r="M98" t="s">
        <v>56</v>
      </c>
      <c r="N98" t="str">
        <f t="shared" si="8"/>
        <v>Ryan Stocker</v>
      </c>
      <c r="O98" t="s">
        <v>57</v>
      </c>
      <c r="P98" s="1">
        <v>46099</v>
      </c>
      <c r="Q98" s="1">
        <v>46130</v>
      </c>
      <c r="R98" s="2">
        <v>46.45</v>
      </c>
      <c r="S98">
        <v>1</v>
      </c>
      <c r="T98" t="s">
        <v>58</v>
      </c>
      <c r="U98" t="s">
        <v>60</v>
      </c>
      <c r="V98" t="s">
        <v>61</v>
      </c>
      <c r="W98">
        <v>6</v>
      </c>
      <c r="X98" s="2">
        <v>27.87</v>
      </c>
      <c r="Z98" t="s">
        <v>261</v>
      </c>
      <c r="AA98" t="s">
        <v>843</v>
      </c>
    </row>
    <row r="99" spans="1:27" x14ac:dyDescent="0.3">
      <c r="A99">
        <v>2034442777</v>
      </c>
      <c r="B99" t="s">
        <v>87</v>
      </c>
      <c r="C99" t="s">
        <v>200</v>
      </c>
      <c r="D99" t="str">
        <f t="shared" si="9"/>
        <v>MICHAEL FOLEY</v>
      </c>
      <c r="E99" t="s">
        <v>64</v>
      </c>
      <c r="F99" t="s">
        <v>222</v>
      </c>
      <c r="G99" s="3">
        <v>0.7</v>
      </c>
      <c r="H99" t="s">
        <v>223</v>
      </c>
      <c r="I99" t="s">
        <v>223</v>
      </c>
      <c r="J99">
        <v>19396223</v>
      </c>
      <c r="K99">
        <v>19396223</v>
      </c>
      <c r="L99" t="s">
        <v>201</v>
      </c>
      <c r="M99" t="s">
        <v>202</v>
      </c>
      <c r="N99" t="str">
        <f t="shared" si="8"/>
        <v>Saadia Abdul</v>
      </c>
      <c r="O99" t="s">
        <v>57</v>
      </c>
      <c r="P99" s="1">
        <v>46113</v>
      </c>
      <c r="Q99" s="1">
        <v>46143</v>
      </c>
      <c r="R99" s="2">
        <v>11.5</v>
      </c>
      <c r="S99">
        <v>1</v>
      </c>
      <c r="T99" t="s">
        <v>58</v>
      </c>
      <c r="U99" t="s">
        <v>60</v>
      </c>
      <c r="V99" t="s">
        <v>61</v>
      </c>
      <c r="W99">
        <v>6</v>
      </c>
      <c r="X99" s="2">
        <v>8.0500000000000007</v>
      </c>
      <c r="Z99" t="s">
        <v>261</v>
      </c>
      <c r="AA99" t="s">
        <v>843</v>
      </c>
    </row>
    <row r="100" spans="1:27" x14ac:dyDescent="0.3">
      <c r="A100">
        <v>2034442776</v>
      </c>
      <c r="B100" t="s">
        <v>87</v>
      </c>
      <c r="C100" t="s">
        <v>200</v>
      </c>
      <c r="D100" t="str">
        <f t="shared" si="9"/>
        <v>MICHAEL FOLEY</v>
      </c>
      <c r="E100" t="s">
        <v>64</v>
      </c>
      <c r="F100" t="s">
        <v>163</v>
      </c>
      <c r="G100" s="4">
        <v>0.375</v>
      </c>
      <c r="H100" t="s">
        <v>164</v>
      </c>
      <c r="I100" t="s">
        <v>164</v>
      </c>
      <c r="J100">
        <v>19396223</v>
      </c>
      <c r="K100">
        <v>19396223</v>
      </c>
      <c r="L100" t="s">
        <v>201</v>
      </c>
      <c r="M100" t="s">
        <v>202</v>
      </c>
      <c r="N100" t="str">
        <f t="shared" si="8"/>
        <v>Saadia Abdul</v>
      </c>
      <c r="O100" t="s">
        <v>57</v>
      </c>
      <c r="P100" s="1">
        <v>46113</v>
      </c>
      <c r="Q100" s="1">
        <v>46143</v>
      </c>
      <c r="R100" s="2">
        <v>78.760000000000005</v>
      </c>
      <c r="S100">
        <v>1</v>
      </c>
      <c r="T100" t="s">
        <v>58</v>
      </c>
      <c r="U100" t="s">
        <v>60</v>
      </c>
      <c r="V100" t="s">
        <v>61</v>
      </c>
      <c r="W100">
        <v>6</v>
      </c>
      <c r="X100" s="2">
        <v>29.54</v>
      </c>
      <c r="Z100" t="s">
        <v>261</v>
      </c>
      <c r="AA100" t="s">
        <v>843</v>
      </c>
    </row>
  </sheetData>
  <sortState xmlns:xlrd2="http://schemas.microsoft.com/office/spreadsheetml/2017/richdata2" ref="A2:AC56">
    <sortCondition ref="F2:F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</cp:lastModifiedBy>
  <dcterms:created xsi:type="dcterms:W3CDTF">2026-03-27T08:18:20Z</dcterms:created>
  <dcterms:modified xsi:type="dcterms:W3CDTF">2026-04-01T17:54:07Z</dcterms:modified>
</cp:coreProperties>
</file>